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9. KUEHNE NAGEL PVT. LTD\Updated ledger\"/>
    </mc:Choice>
  </mc:AlternateContent>
  <xr:revisionPtr revIDLastSave="0" documentId="13_ncr:1_{7968A742-FC10-45AB-932B-9C5D8D5CC4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_xlnm._FilterDatabase" localSheetId="0" hidden="1">Sheet1!$G$1:$AJ$728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724" i="1" l="1"/>
  <c r="AJ723" i="1"/>
  <c r="AJ722" i="1"/>
  <c r="AJ721" i="1"/>
  <c r="AJ720" i="1"/>
  <c r="AJ719" i="1"/>
  <c r="AJ718" i="1"/>
  <c r="AJ717" i="1"/>
  <c r="AJ716" i="1"/>
  <c r="AJ715" i="1"/>
  <c r="AJ714" i="1"/>
  <c r="AJ713" i="1"/>
  <c r="AJ712" i="1"/>
  <c r="AJ711" i="1"/>
  <c r="AJ710" i="1"/>
  <c r="AJ709" i="1"/>
  <c r="AJ708" i="1"/>
  <c r="AJ707" i="1"/>
  <c r="AJ706" i="1"/>
  <c r="AJ705" i="1"/>
  <c r="AJ704" i="1"/>
  <c r="AJ703" i="1"/>
  <c r="AJ702" i="1"/>
  <c r="AJ701" i="1"/>
  <c r="AJ700" i="1"/>
  <c r="AJ699" i="1"/>
  <c r="AJ698" i="1"/>
  <c r="AJ697" i="1"/>
  <c r="AJ696" i="1"/>
  <c r="AJ695" i="1"/>
  <c r="AJ694" i="1"/>
  <c r="AJ693" i="1"/>
  <c r="AJ692" i="1"/>
  <c r="AJ691" i="1"/>
  <c r="AJ690" i="1"/>
  <c r="AJ689" i="1"/>
  <c r="AJ688" i="1"/>
  <c r="AJ687" i="1"/>
  <c r="AJ686" i="1"/>
  <c r="AJ685" i="1"/>
  <c r="AJ684" i="1"/>
  <c r="AJ683" i="1"/>
  <c r="AJ682" i="1"/>
  <c r="AJ681" i="1"/>
  <c r="AJ680" i="1"/>
  <c r="AJ679" i="1"/>
  <c r="AJ678" i="1"/>
  <c r="AJ677" i="1"/>
  <c r="AJ676" i="1"/>
  <c r="AJ675" i="1"/>
  <c r="AJ674" i="1"/>
  <c r="AJ673" i="1"/>
  <c r="AJ672" i="1"/>
  <c r="AJ671" i="1"/>
  <c r="AJ670" i="1"/>
  <c r="AJ669" i="1"/>
  <c r="AJ668" i="1"/>
  <c r="AJ667" i="1"/>
  <c r="AJ666" i="1"/>
  <c r="AJ665" i="1"/>
  <c r="AJ664" i="1"/>
  <c r="AJ663" i="1"/>
  <c r="AJ662" i="1"/>
  <c r="AJ661" i="1"/>
  <c r="AJ660" i="1"/>
  <c r="AJ659" i="1"/>
  <c r="AJ658" i="1"/>
  <c r="AJ657" i="1"/>
  <c r="AJ656" i="1"/>
  <c r="AJ655" i="1"/>
  <c r="AJ654" i="1"/>
  <c r="AJ653" i="1"/>
  <c r="AJ652" i="1"/>
  <c r="AJ651" i="1"/>
  <c r="AJ650" i="1"/>
  <c r="AJ649" i="1"/>
  <c r="AJ648" i="1"/>
  <c r="AJ647" i="1"/>
  <c r="AJ646" i="1"/>
  <c r="AJ645" i="1"/>
  <c r="AJ644" i="1"/>
  <c r="AJ643" i="1"/>
  <c r="AJ642" i="1"/>
  <c r="AJ641" i="1"/>
  <c r="AJ640" i="1"/>
  <c r="AJ639" i="1"/>
  <c r="AJ638" i="1"/>
  <c r="AJ637" i="1"/>
  <c r="AJ636" i="1"/>
  <c r="AJ635" i="1"/>
  <c r="AJ634" i="1"/>
  <c r="AJ633" i="1"/>
  <c r="AJ632" i="1"/>
  <c r="AJ631" i="1"/>
  <c r="AJ606" i="1"/>
  <c r="AJ605" i="1"/>
  <c r="AJ604" i="1"/>
  <c r="AJ603" i="1"/>
  <c r="AJ602" i="1"/>
  <c r="AJ601" i="1"/>
  <c r="AJ600" i="1"/>
  <c r="AJ599" i="1"/>
  <c r="AJ598" i="1"/>
  <c r="AJ597" i="1"/>
  <c r="AJ596" i="1"/>
  <c r="AJ595" i="1"/>
  <c r="AJ594" i="1"/>
  <c r="AJ593" i="1"/>
  <c r="AJ592" i="1"/>
  <c r="AJ591" i="1"/>
  <c r="AJ590" i="1"/>
  <c r="AJ589" i="1"/>
  <c r="AJ588" i="1"/>
  <c r="AJ587" i="1"/>
  <c r="AJ586" i="1"/>
  <c r="AJ585" i="1"/>
  <c r="AJ584" i="1"/>
  <c r="AJ583" i="1"/>
  <c r="AJ582" i="1"/>
  <c r="AJ581" i="1"/>
  <c r="AJ580" i="1"/>
  <c r="AJ579" i="1"/>
  <c r="AJ578" i="1"/>
  <c r="AJ577" i="1"/>
  <c r="AJ576" i="1"/>
  <c r="AJ575" i="1"/>
  <c r="AJ574" i="1"/>
  <c r="AJ573" i="1"/>
  <c r="AJ572" i="1"/>
  <c r="AJ571" i="1"/>
  <c r="AJ570" i="1"/>
  <c r="AJ569" i="1"/>
  <c r="AJ568" i="1"/>
  <c r="AJ567" i="1"/>
  <c r="AJ566" i="1"/>
  <c r="AJ565" i="1"/>
  <c r="AJ564" i="1"/>
  <c r="AJ563" i="1"/>
  <c r="AJ562" i="1"/>
  <c r="AJ561" i="1"/>
  <c r="AJ560" i="1"/>
  <c r="AJ559" i="1"/>
  <c r="AJ558" i="1"/>
  <c r="AJ557" i="1"/>
  <c r="AJ556" i="1"/>
  <c r="AJ555" i="1"/>
  <c r="AJ554" i="1"/>
  <c r="AJ553" i="1"/>
  <c r="AJ552" i="1"/>
  <c r="AJ551" i="1"/>
  <c r="AJ550" i="1"/>
  <c r="AJ549" i="1"/>
  <c r="AJ548" i="1"/>
  <c r="AJ547" i="1"/>
  <c r="AJ546" i="1"/>
  <c r="AJ545" i="1"/>
  <c r="AJ544" i="1"/>
  <c r="AJ543" i="1"/>
  <c r="AJ542" i="1"/>
  <c r="AJ541" i="1"/>
  <c r="AJ540" i="1"/>
  <c r="AJ539" i="1"/>
  <c r="AJ538" i="1"/>
  <c r="AJ537" i="1"/>
  <c r="AJ536" i="1"/>
  <c r="AJ535" i="1"/>
  <c r="AJ534" i="1"/>
  <c r="AJ533" i="1"/>
  <c r="AJ532" i="1"/>
  <c r="AJ531" i="1"/>
  <c r="AJ530" i="1"/>
  <c r="AJ529" i="1"/>
  <c r="AJ528" i="1"/>
  <c r="AJ527" i="1"/>
  <c r="AJ526" i="1"/>
  <c r="AJ525" i="1"/>
  <c r="AJ524" i="1"/>
  <c r="AJ523" i="1"/>
  <c r="AJ522" i="1"/>
  <c r="AJ521" i="1"/>
  <c r="AJ520" i="1"/>
  <c r="AJ519" i="1"/>
  <c r="AJ518" i="1"/>
  <c r="AJ517" i="1"/>
  <c r="AJ516" i="1"/>
  <c r="AJ515" i="1"/>
  <c r="AJ514" i="1"/>
  <c r="AJ513" i="1"/>
  <c r="AJ512" i="1"/>
  <c r="AJ511" i="1"/>
  <c r="AJ510" i="1"/>
  <c r="AJ509" i="1"/>
  <c r="AJ508" i="1"/>
  <c r="AJ507" i="1"/>
  <c r="AJ506" i="1"/>
  <c r="AJ505" i="1"/>
  <c r="AJ504" i="1"/>
  <c r="AJ503" i="1"/>
  <c r="AJ502" i="1"/>
  <c r="AJ501" i="1"/>
  <c r="AJ500" i="1"/>
  <c r="AJ499" i="1"/>
  <c r="AJ498" i="1"/>
  <c r="AJ497" i="1"/>
  <c r="AJ496" i="1"/>
  <c r="AJ495" i="1"/>
  <c r="AJ494" i="1"/>
  <c r="AJ493" i="1"/>
  <c r="AJ492" i="1"/>
  <c r="AJ491" i="1"/>
  <c r="AJ490" i="1"/>
  <c r="AJ489" i="1"/>
  <c r="AJ488" i="1"/>
  <c r="AJ487" i="1"/>
  <c r="AJ486" i="1"/>
  <c r="AJ485" i="1"/>
  <c r="AJ484" i="1"/>
  <c r="AJ483" i="1"/>
  <c r="AJ482" i="1"/>
  <c r="AJ481" i="1"/>
  <c r="AJ480" i="1"/>
  <c r="AJ479" i="1"/>
  <c r="AJ478" i="1"/>
  <c r="AJ477" i="1"/>
  <c r="AJ476" i="1"/>
  <c r="AJ475" i="1"/>
  <c r="AJ474" i="1"/>
  <c r="AJ473" i="1"/>
  <c r="AJ472" i="1"/>
  <c r="AJ471" i="1"/>
  <c r="AJ470" i="1"/>
  <c r="AJ469" i="1"/>
  <c r="AJ468" i="1"/>
  <c r="AJ467" i="1"/>
  <c r="AJ466" i="1"/>
  <c r="AJ465" i="1"/>
  <c r="AJ464" i="1"/>
  <c r="AJ463" i="1"/>
  <c r="AJ462" i="1"/>
  <c r="AJ461" i="1"/>
  <c r="AJ460" i="1"/>
  <c r="AJ459" i="1"/>
  <c r="AJ458" i="1"/>
  <c r="AJ457" i="1"/>
  <c r="AJ456" i="1"/>
  <c r="AJ455" i="1"/>
  <c r="AJ454" i="1"/>
  <c r="AJ453" i="1"/>
  <c r="AJ452" i="1"/>
  <c r="AJ451" i="1"/>
  <c r="AJ450" i="1"/>
  <c r="AJ449" i="1"/>
  <c r="AJ448" i="1"/>
  <c r="AJ447" i="1"/>
  <c r="AJ446" i="1"/>
  <c r="AJ445" i="1"/>
  <c r="AJ444" i="1"/>
  <c r="AJ443" i="1"/>
  <c r="AJ442" i="1"/>
  <c r="AJ441" i="1"/>
  <c r="AJ440" i="1"/>
  <c r="AJ439" i="1"/>
  <c r="AJ438" i="1"/>
  <c r="AJ437" i="1"/>
  <c r="AJ436" i="1"/>
  <c r="AJ435" i="1"/>
  <c r="AJ434" i="1"/>
  <c r="AJ433" i="1"/>
  <c r="AJ432" i="1"/>
  <c r="AJ431" i="1"/>
  <c r="AJ430" i="1"/>
  <c r="AJ429" i="1"/>
  <c r="AJ428" i="1"/>
  <c r="AJ427" i="1"/>
  <c r="AJ426" i="1"/>
  <c r="AJ425" i="1"/>
  <c r="AJ424" i="1"/>
  <c r="AJ423" i="1"/>
  <c r="AJ422" i="1"/>
  <c r="AJ421" i="1"/>
  <c r="AJ420" i="1"/>
  <c r="AJ419" i="1"/>
  <c r="AJ418" i="1"/>
  <c r="AJ417" i="1"/>
  <c r="AJ416" i="1"/>
  <c r="AJ415" i="1"/>
  <c r="AJ414" i="1"/>
  <c r="AJ413" i="1"/>
  <c r="AJ412" i="1"/>
  <c r="AJ411" i="1"/>
  <c r="AJ410" i="1"/>
  <c r="AJ409" i="1"/>
  <c r="AJ408" i="1"/>
  <c r="AJ407" i="1"/>
  <c r="AJ406" i="1"/>
  <c r="AJ405" i="1"/>
  <c r="AJ404" i="1"/>
  <c r="AJ403" i="1"/>
  <c r="AJ402" i="1"/>
  <c r="AJ401" i="1"/>
  <c r="AJ400" i="1"/>
  <c r="AJ399" i="1"/>
  <c r="AJ398" i="1"/>
  <c r="AJ397" i="1"/>
  <c r="AJ396" i="1"/>
  <c r="AJ395" i="1"/>
  <c r="AJ394" i="1"/>
  <c r="AJ393" i="1"/>
  <c r="AJ392" i="1"/>
  <c r="AJ391" i="1"/>
  <c r="AJ390" i="1"/>
  <c r="AJ389" i="1"/>
  <c r="AJ388" i="1"/>
  <c r="AJ387" i="1"/>
  <c r="AJ386" i="1"/>
  <c r="AJ385" i="1"/>
  <c r="AJ384" i="1"/>
  <c r="AJ383" i="1"/>
  <c r="AJ382" i="1"/>
  <c r="AJ381" i="1"/>
  <c r="AJ380" i="1"/>
  <c r="AJ379" i="1"/>
  <c r="AJ378" i="1"/>
  <c r="AJ377" i="1"/>
  <c r="AJ376" i="1"/>
  <c r="AJ375" i="1"/>
  <c r="AJ374" i="1"/>
  <c r="AJ373" i="1"/>
  <c r="AJ372" i="1"/>
  <c r="AJ371" i="1"/>
  <c r="AJ370" i="1"/>
  <c r="AJ369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J2" i="1"/>
  <c r="AI662" i="1" l="1"/>
  <c r="AI659" i="1"/>
  <c r="AI658" i="1"/>
  <c r="AI603" i="1"/>
  <c r="AI602" i="1"/>
  <c r="AI601" i="1"/>
  <c r="AI600" i="1"/>
  <c r="AI599" i="1"/>
  <c r="AI598" i="1"/>
  <c r="AI597" i="1"/>
  <c r="AI596" i="1"/>
  <c r="AI595" i="1"/>
  <c r="AI594" i="1"/>
  <c r="AI580" i="1"/>
  <c r="AI579" i="1"/>
  <c r="AI578" i="1"/>
  <c r="AI577" i="1"/>
  <c r="AI558" i="1"/>
  <c r="AI484" i="1"/>
  <c r="AI483" i="1"/>
  <c r="AI482" i="1"/>
  <c r="AI481" i="1"/>
  <c r="AI480" i="1"/>
  <c r="AI479" i="1"/>
  <c r="AI478" i="1"/>
  <c r="AI477" i="1"/>
  <c r="AI476" i="1"/>
  <c r="AI475" i="1"/>
  <c r="AI474" i="1"/>
  <c r="AI473" i="1"/>
  <c r="AI472" i="1"/>
  <c r="AI471" i="1"/>
  <c r="AI470" i="1"/>
  <c r="AI469" i="1"/>
  <c r="AI468" i="1"/>
  <c r="AI467" i="1"/>
  <c r="AI466" i="1"/>
  <c r="AI465" i="1"/>
  <c r="AI464" i="1"/>
  <c r="AI463" i="1"/>
  <c r="AI462" i="1"/>
  <c r="AI461" i="1"/>
  <c r="AI460" i="1"/>
  <c r="AI459" i="1"/>
  <c r="AI458" i="1"/>
  <c r="AI457" i="1"/>
  <c r="AI456" i="1"/>
  <c r="AI455" i="1"/>
  <c r="AI454" i="1"/>
  <c r="AI453" i="1"/>
  <c r="AI452" i="1"/>
  <c r="AI451" i="1"/>
  <c r="AI450" i="1"/>
  <c r="AI449" i="1"/>
  <c r="AI448" i="1"/>
  <c r="AI447" i="1"/>
  <c r="AI446" i="1"/>
  <c r="AI445" i="1"/>
  <c r="AI444" i="1"/>
  <c r="AI443" i="1"/>
  <c r="AI442" i="1"/>
  <c r="AI441" i="1"/>
  <c r="AI440" i="1"/>
  <c r="AI439" i="1"/>
  <c r="AI438" i="1"/>
  <c r="AI437" i="1"/>
  <c r="AI436" i="1"/>
  <c r="AI435" i="1"/>
  <c r="AI434" i="1"/>
  <c r="AI433" i="1"/>
  <c r="AI432" i="1"/>
  <c r="AI431" i="1"/>
  <c r="AI430" i="1"/>
  <c r="AI429" i="1"/>
  <c r="AI428" i="1"/>
  <c r="AI427" i="1"/>
  <c r="AI426" i="1"/>
  <c r="AI425" i="1"/>
  <c r="AI424" i="1"/>
  <c r="AI423" i="1"/>
  <c r="AI422" i="1"/>
  <c r="AI421" i="1"/>
  <c r="AI420" i="1"/>
  <c r="AI419" i="1"/>
  <c r="AI418" i="1"/>
  <c r="AI417" i="1"/>
  <c r="AI416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30" i="1"/>
  <c r="AI303" i="1"/>
  <c r="AI302" i="1"/>
  <c r="AI301" i="1"/>
  <c r="AI300" i="1"/>
  <c r="AI299" i="1"/>
  <c r="AI298" i="1"/>
  <c r="AI297" i="1"/>
  <c r="AI296" i="1"/>
  <c r="AI295" i="1"/>
  <c r="AI294" i="1"/>
  <c r="AI293" i="1"/>
  <c r="AI292" i="1"/>
  <c r="AI291" i="1"/>
  <c r="AI290" i="1"/>
  <c r="AI289" i="1"/>
  <c r="AI288" i="1"/>
  <c r="AI287" i="1"/>
  <c r="AI286" i="1"/>
  <c r="AI285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3" i="1"/>
  <c r="AI242" i="1"/>
  <c r="AI241" i="1"/>
  <c r="AI172" i="1"/>
  <c r="AI75" i="1"/>
  <c r="AI74" i="1"/>
  <c r="AI42" i="1"/>
  <c r="AI41" i="1"/>
  <c r="AI674" i="1"/>
  <c r="AI673" i="1"/>
  <c r="AI667" i="1"/>
  <c r="AI660" i="1"/>
  <c r="AI632" i="1"/>
  <c r="AI631" i="1"/>
  <c r="AI606" i="1"/>
  <c r="AI570" i="1"/>
  <c r="AI569" i="1"/>
  <c r="AI568" i="1"/>
  <c r="AI567" i="1"/>
  <c r="AI566" i="1"/>
  <c r="AI565" i="1"/>
  <c r="AI562" i="1"/>
  <c r="AI557" i="1"/>
  <c r="AI556" i="1"/>
  <c r="AI555" i="1"/>
  <c r="AI550" i="1"/>
  <c r="AI549" i="1"/>
  <c r="AI548" i="1"/>
  <c r="AI546" i="1"/>
  <c r="AI525" i="1"/>
  <c r="AI524" i="1"/>
  <c r="AI520" i="1"/>
  <c r="AI519" i="1"/>
  <c r="AI518" i="1"/>
  <c r="AI517" i="1"/>
  <c r="AI516" i="1"/>
  <c r="AI515" i="1"/>
  <c r="AI514" i="1"/>
  <c r="AI513" i="1"/>
  <c r="AI512" i="1"/>
  <c r="AI511" i="1"/>
  <c r="AI510" i="1"/>
  <c r="AI509" i="1"/>
  <c r="AI508" i="1"/>
  <c r="AI507" i="1"/>
  <c r="AI506" i="1"/>
  <c r="AI505" i="1"/>
  <c r="AI504" i="1"/>
  <c r="AI503" i="1"/>
  <c r="AI502" i="1"/>
  <c r="AI501" i="1"/>
  <c r="AI491" i="1"/>
  <c r="AI402" i="1"/>
  <c r="AI361" i="1"/>
  <c r="AI360" i="1"/>
  <c r="AI359" i="1"/>
  <c r="AI343" i="1"/>
  <c r="AI342" i="1"/>
  <c r="AI341" i="1"/>
  <c r="AI340" i="1"/>
  <c r="AI339" i="1"/>
  <c r="AI338" i="1"/>
  <c r="AI321" i="1"/>
  <c r="AI214" i="1"/>
  <c r="AI213" i="1"/>
  <c r="AI212" i="1"/>
  <c r="AI211" i="1"/>
  <c r="AI210" i="1"/>
  <c r="AI209" i="1"/>
  <c r="AI208" i="1"/>
  <c r="AI200" i="1"/>
  <c r="AI199" i="1"/>
  <c r="AI198" i="1"/>
  <c r="AI197" i="1"/>
  <c r="AI196" i="1"/>
  <c r="AI195" i="1"/>
  <c r="AI185" i="1"/>
  <c r="AI184" i="1"/>
  <c r="AI183" i="1"/>
  <c r="AI182" i="1"/>
  <c r="AI181" i="1"/>
  <c r="AI180" i="1"/>
  <c r="AI171" i="1"/>
  <c r="AI166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18" i="1"/>
  <c r="AI117" i="1"/>
  <c r="AI116" i="1"/>
  <c r="AI115" i="1"/>
  <c r="AI114" i="1"/>
  <c r="AI113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7" i="1"/>
  <c r="AI96" i="1"/>
  <c r="AI95" i="1"/>
  <c r="AI94" i="1"/>
  <c r="AI93" i="1"/>
  <c r="AI78" i="1"/>
  <c r="AI72" i="1"/>
  <c r="AI71" i="1"/>
  <c r="AI70" i="1"/>
  <c r="AI63" i="1"/>
  <c r="AI59" i="1"/>
  <c r="AI58" i="1"/>
  <c r="AI54" i="1"/>
  <c r="AI50" i="1"/>
  <c r="AI49" i="1"/>
  <c r="AI48" i="1"/>
  <c r="AI47" i="1"/>
  <c r="AI46" i="1"/>
  <c r="AI45" i="1"/>
  <c r="AI37" i="1"/>
  <c r="AI34" i="1"/>
  <c r="AI33" i="1"/>
  <c r="AI11" i="1"/>
  <c r="AI6" i="1"/>
  <c r="AI5" i="1"/>
  <c r="AI2" i="1"/>
  <c r="AH724" i="1" l="1"/>
  <c r="AH723" i="1"/>
  <c r="AH722" i="1"/>
  <c r="AH721" i="1"/>
  <c r="AH720" i="1"/>
  <c r="AH719" i="1"/>
  <c r="AH718" i="1"/>
  <c r="AH717" i="1"/>
  <c r="AH716" i="1"/>
  <c r="AH715" i="1"/>
  <c r="AH714" i="1"/>
  <c r="AH713" i="1"/>
  <c r="AH712" i="1"/>
  <c r="AH711" i="1"/>
  <c r="AH710" i="1"/>
  <c r="AH709" i="1"/>
  <c r="AH708" i="1"/>
  <c r="AH707" i="1"/>
  <c r="AH706" i="1"/>
  <c r="AH705" i="1"/>
  <c r="AH704" i="1"/>
  <c r="AH703" i="1"/>
  <c r="AH702" i="1"/>
  <c r="AH701" i="1"/>
  <c r="AH700" i="1"/>
  <c r="AH699" i="1"/>
  <c r="AH698" i="1"/>
  <c r="AH697" i="1"/>
  <c r="AH696" i="1"/>
  <c r="AH695" i="1"/>
  <c r="AH694" i="1"/>
  <c r="AH693" i="1"/>
  <c r="AH692" i="1"/>
  <c r="AH691" i="1"/>
  <c r="AH690" i="1"/>
  <c r="AH689" i="1"/>
  <c r="AH688" i="1"/>
  <c r="AH687" i="1"/>
  <c r="AH686" i="1"/>
  <c r="AH685" i="1"/>
  <c r="AH684" i="1"/>
  <c r="AH683" i="1"/>
  <c r="AH682" i="1"/>
  <c r="AH681" i="1"/>
  <c r="AH680" i="1"/>
  <c r="AH679" i="1"/>
  <c r="AH678" i="1"/>
  <c r="AH677" i="1"/>
  <c r="AH676" i="1"/>
  <c r="AH675" i="1"/>
  <c r="AH674" i="1"/>
  <c r="AH673" i="1"/>
  <c r="AH672" i="1"/>
  <c r="AH671" i="1"/>
  <c r="AH670" i="1"/>
  <c r="AH669" i="1"/>
  <c r="AH668" i="1"/>
  <c r="AH667" i="1"/>
  <c r="AH666" i="1"/>
  <c r="AH665" i="1"/>
  <c r="AH664" i="1"/>
  <c r="AH663" i="1"/>
  <c r="AH662" i="1"/>
  <c r="AH661" i="1"/>
  <c r="AH660" i="1"/>
  <c r="AH659" i="1"/>
  <c r="AH658" i="1"/>
  <c r="AH657" i="1"/>
  <c r="AH656" i="1"/>
  <c r="AH655" i="1"/>
  <c r="AH654" i="1"/>
  <c r="AH653" i="1"/>
  <c r="AH652" i="1"/>
  <c r="AH651" i="1"/>
  <c r="AH650" i="1"/>
  <c r="AH649" i="1"/>
  <c r="AH648" i="1"/>
  <c r="AH647" i="1"/>
  <c r="AH646" i="1"/>
  <c r="AH645" i="1"/>
  <c r="AH644" i="1"/>
  <c r="AH643" i="1"/>
  <c r="AH642" i="1"/>
  <c r="AH641" i="1"/>
  <c r="AH640" i="1"/>
  <c r="AH639" i="1"/>
  <c r="AH638" i="1"/>
  <c r="AH637" i="1"/>
  <c r="AH636" i="1"/>
  <c r="AH635" i="1"/>
  <c r="AH634" i="1"/>
  <c r="AH633" i="1"/>
  <c r="AH632" i="1"/>
  <c r="AH631" i="1"/>
  <c r="AH606" i="1"/>
  <c r="AH605" i="1"/>
  <c r="AH604" i="1"/>
  <c r="AH603" i="1"/>
  <c r="AH602" i="1"/>
  <c r="AH601" i="1"/>
  <c r="AH600" i="1"/>
  <c r="AH599" i="1"/>
  <c r="AH598" i="1"/>
  <c r="AH597" i="1"/>
  <c r="AH596" i="1"/>
  <c r="AH595" i="1"/>
  <c r="AH594" i="1"/>
  <c r="AH593" i="1"/>
  <c r="AH592" i="1"/>
  <c r="AH591" i="1"/>
  <c r="AH590" i="1"/>
  <c r="AH589" i="1"/>
  <c r="AH588" i="1"/>
  <c r="AH587" i="1"/>
  <c r="AH586" i="1"/>
  <c r="AH585" i="1"/>
  <c r="AH584" i="1"/>
  <c r="AH583" i="1"/>
  <c r="AH582" i="1"/>
  <c r="AH581" i="1"/>
  <c r="AH580" i="1"/>
  <c r="AH579" i="1"/>
  <c r="AH578" i="1"/>
  <c r="AH577" i="1"/>
  <c r="AH576" i="1"/>
  <c r="AH575" i="1"/>
  <c r="AH574" i="1"/>
  <c r="AH573" i="1"/>
  <c r="AH572" i="1"/>
  <c r="AH571" i="1"/>
  <c r="AH570" i="1"/>
  <c r="AH569" i="1"/>
  <c r="AH568" i="1"/>
  <c r="AH567" i="1"/>
  <c r="AH566" i="1"/>
  <c r="AH565" i="1"/>
  <c r="AH564" i="1"/>
  <c r="AH563" i="1"/>
  <c r="AH562" i="1"/>
  <c r="AH561" i="1"/>
  <c r="AH560" i="1"/>
  <c r="AH559" i="1"/>
  <c r="AH558" i="1"/>
  <c r="AH557" i="1"/>
  <c r="AH556" i="1"/>
  <c r="AH555" i="1"/>
  <c r="AH554" i="1"/>
  <c r="AH553" i="1"/>
  <c r="AH552" i="1"/>
  <c r="AH551" i="1"/>
  <c r="AH550" i="1"/>
  <c r="AH549" i="1"/>
  <c r="AH548" i="1"/>
  <c r="AH547" i="1"/>
  <c r="AH546" i="1"/>
  <c r="AH545" i="1"/>
  <c r="AH544" i="1"/>
  <c r="AH543" i="1"/>
  <c r="AH542" i="1"/>
  <c r="AH541" i="1"/>
  <c r="AH540" i="1"/>
  <c r="AH539" i="1"/>
  <c r="AH538" i="1"/>
  <c r="AH537" i="1"/>
  <c r="AH536" i="1"/>
  <c r="AH535" i="1"/>
  <c r="AH534" i="1"/>
  <c r="AH533" i="1"/>
  <c r="AH532" i="1"/>
  <c r="AH531" i="1"/>
  <c r="AH530" i="1"/>
  <c r="AH529" i="1"/>
  <c r="AH528" i="1"/>
  <c r="AH527" i="1"/>
  <c r="AH526" i="1"/>
  <c r="AH525" i="1"/>
  <c r="AH524" i="1"/>
  <c r="AH523" i="1"/>
  <c r="AH522" i="1"/>
  <c r="AH521" i="1"/>
  <c r="AH520" i="1"/>
  <c r="AH519" i="1"/>
  <c r="AH518" i="1"/>
  <c r="AH517" i="1"/>
  <c r="AH516" i="1"/>
  <c r="AH515" i="1"/>
  <c r="AH514" i="1"/>
  <c r="AH513" i="1"/>
  <c r="AH512" i="1"/>
  <c r="AH511" i="1"/>
  <c r="AH510" i="1"/>
  <c r="AH509" i="1"/>
  <c r="AH508" i="1"/>
  <c r="AH507" i="1"/>
  <c r="AH506" i="1"/>
  <c r="AH505" i="1"/>
  <c r="AH504" i="1"/>
  <c r="AH503" i="1"/>
  <c r="AH502" i="1"/>
  <c r="AH501" i="1"/>
  <c r="AH500" i="1"/>
  <c r="AH499" i="1"/>
  <c r="AH498" i="1"/>
  <c r="AH497" i="1"/>
  <c r="AH496" i="1"/>
  <c r="AH495" i="1"/>
  <c r="AH494" i="1"/>
  <c r="AH493" i="1"/>
  <c r="AH492" i="1"/>
  <c r="AH491" i="1"/>
  <c r="AH490" i="1"/>
  <c r="AH489" i="1"/>
  <c r="AH488" i="1"/>
  <c r="AH487" i="1"/>
  <c r="AH486" i="1"/>
  <c r="AH485" i="1"/>
  <c r="AH484" i="1"/>
  <c r="AH483" i="1"/>
  <c r="AH482" i="1"/>
  <c r="AH481" i="1"/>
  <c r="AH480" i="1"/>
  <c r="AH479" i="1"/>
  <c r="AH478" i="1"/>
  <c r="AH477" i="1"/>
  <c r="AH476" i="1"/>
  <c r="AH475" i="1"/>
  <c r="AH474" i="1"/>
  <c r="AH473" i="1"/>
  <c r="AH472" i="1"/>
  <c r="AH471" i="1"/>
  <c r="AH470" i="1"/>
  <c r="AH469" i="1"/>
  <c r="AH468" i="1"/>
  <c r="AH467" i="1"/>
  <c r="AH466" i="1"/>
  <c r="AH465" i="1"/>
  <c r="AH464" i="1"/>
  <c r="AH463" i="1"/>
  <c r="AH462" i="1"/>
  <c r="AH461" i="1"/>
  <c r="AH460" i="1"/>
  <c r="AH459" i="1"/>
  <c r="AH458" i="1"/>
  <c r="AH457" i="1"/>
  <c r="AH456" i="1"/>
  <c r="AH455" i="1"/>
  <c r="AH454" i="1"/>
  <c r="AH453" i="1"/>
  <c r="AH452" i="1"/>
  <c r="AH451" i="1"/>
  <c r="AH450" i="1"/>
  <c r="AH449" i="1"/>
  <c r="AH448" i="1"/>
  <c r="AH447" i="1"/>
  <c r="AH446" i="1"/>
  <c r="AH445" i="1"/>
  <c r="AH444" i="1"/>
  <c r="AH443" i="1"/>
  <c r="AH442" i="1"/>
  <c r="AH441" i="1"/>
  <c r="AH440" i="1"/>
  <c r="AH439" i="1"/>
  <c r="AH438" i="1"/>
  <c r="AH437" i="1"/>
  <c r="AH436" i="1"/>
  <c r="AH435" i="1"/>
  <c r="AH434" i="1"/>
  <c r="AH433" i="1"/>
  <c r="AH432" i="1"/>
  <c r="AH431" i="1"/>
  <c r="AH430" i="1"/>
  <c r="AH429" i="1"/>
  <c r="AH428" i="1"/>
  <c r="AH427" i="1"/>
  <c r="AH426" i="1"/>
  <c r="AH425" i="1"/>
  <c r="AH424" i="1"/>
  <c r="AH423" i="1"/>
  <c r="AH422" i="1"/>
  <c r="AH421" i="1"/>
  <c r="AH420" i="1"/>
  <c r="AH419" i="1"/>
  <c r="AH418" i="1"/>
  <c r="AH417" i="1"/>
  <c r="AH416" i="1"/>
  <c r="AH415" i="1"/>
  <c r="AH414" i="1"/>
  <c r="AH413" i="1"/>
  <c r="AH412" i="1"/>
  <c r="AH411" i="1"/>
  <c r="AH410" i="1"/>
  <c r="AH409" i="1"/>
  <c r="AH408" i="1"/>
  <c r="AH407" i="1"/>
  <c r="AH406" i="1"/>
  <c r="AH405" i="1"/>
  <c r="AH404" i="1"/>
  <c r="AH403" i="1"/>
  <c r="AH402" i="1"/>
  <c r="AH401" i="1"/>
  <c r="AH400" i="1"/>
  <c r="AH399" i="1"/>
  <c r="AH398" i="1"/>
  <c r="AH397" i="1"/>
  <c r="AH396" i="1"/>
  <c r="AH395" i="1"/>
  <c r="AH394" i="1"/>
  <c r="AH393" i="1"/>
  <c r="AH392" i="1"/>
  <c r="AH391" i="1"/>
  <c r="AH390" i="1"/>
  <c r="AH389" i="1"/>
  <c r="AH388" i="1"/>
  <c r="AH387" i="1"/>
  <c r="AH386" i="1"/>
  <c r="AH385" i="1"/>
  <c r="AH384" i="1"/>
  <c r="AH383" i="1"/>
  <c r="AH382" i="1"/>
  <c r="AH381" i="1"/>
  <c r="AH380" i="1"/>
  <c r="AH379" i="1"/>
  <c r="AH378" i="1"/>
  <c r="AH377" i="1"/>
  <c r="AH376" i="1"/>
  <c r="AH375" i="1"/>
  <c r="AH374" i="1"/>
  <c r="AH373" i="1"/>
  <c r="AH372" i="1"/>
  <c r="AH371" i="1"/>
  <c r="AH370" i="1"/>
  <c r="AH369" i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H3" i="1"/>
  <c r="AH2" i="1"/>
</calcChain>
</file>

<file path=xl/sharedStrings.xml><?xml version="1.0" encoding="utf-8"?>
<sst xmlns="http://schemas.openxmlformats.org/spreadsheetml/2006/main" count="18237" uniqueCount="1246">
  <si>
    <t>Selected</t>
  </si>
  <si>
    <t>6779</t>
  </si>
  <si>
    <t>100222364</t>
  </si>
  <si>
    <t>KUEHNE+NAGEL PVT. LTD.</t>
  </si>
  <si>
    <t>2025</t>
  </si>
  <si>
    <t>6</t>
  </si>
  <si>
    <t>1800009681</t>
  </si>
  <si>
    <t>DR</t>
  </si>
  <si>
    <t>NA</t>
  </si>
  <si>
    <t>212100</t>
  </si>
  <si>
    <t>Trade Debtors (Ctrl)</t>
  </si>
  <si>
    <t/>
  </si>
  <si>
    <t>01</t>
  </si>
  <si>
    <t>USD</t>
  </si>
  <si>
    <t>INR</t>
  </si>
  <si>
    <t>O0</t>
  </si>
  <si>
    <t>6779224500</t>
  </si>
  <si>
    <t>1</t>
  </si>
  <si>
    <t>Fixed Rental charges for Jan 2025</t>
  </si>
  <si>
    <t>1400001125</t>
  </si>
  <si>
    <t>Not Selected</t>
  </si>
  <si>
    <t>10</t>
  </si>
  <si>
    <t>1800013942</t>
  </si>
  <si>
    <t>2114868</t>
  </si>
  <si>
    <t>VAS  -1-15 Oct 2025</t>
  </si>
  <si>
    <t>1800013948</t>
  </si>
  <si>
    <t>Weighment  -1-15 Oct 2025</t>
  </si>
  <si>
    <t>1800013959</t>
  </si>
  <si>
    <t>1800013965</t>
  </si>
  <si>
    <t>3</t>
  </si>
  <si>
    <t>1800003127</t>
  </si>
  <si>
    <t>Fixed Storage Charges for Mar 2025</t>
  </si>
  <si>
    <t>1800003156</t>
  </si>
  <si>
    <t>1800003157</t>
  </si>
  <si>
    <t>1800003335</t>
  </si>
  <si>
    <t>CAAU8009071-Port SSR Shifting Jan 2025. Exch rate</t>
  </si>
  <si>
    <t>1800003450</t>
  </si>
  <si>
    <t>O2</t>
  </si>
  <si>
    <t>WHSU5159898-Port SSR Storage Feb 2025. Exch rate -</t>
  </si>
  <si>
    <t>1400001815</t>
  </si>
  <si>
    <t>1800009977</t>
  </si>
  <si>
    <t>VAS 1-15 June 25, Exch 86.10</t>
  </si>
  <si>
    <t>11</t>
  </si>
  <si>
    <t>1800015121</t>
  </si>
  <si>
    <t>2130612</t>
  </si>
  <si>
    <t>Outbound chgs - 01 - 15 Nov 25</t>
  </si>
  <si>
    <t>1800015030</t>
  </si>
  <si>
    <t>CODC LCL Chgs -1-15 Nov 25</t>
  </si>
  <si>
    <t>1800015091</t>
  </si>
  <si>
    <t>2130609</t>
  </si>
  <si>
    <t>CODC Out chgs -1-15 Nov 25</t>
  </si>
  <si>
    <t>1800015068</t>
  </si>
  <si>
    <t>2130611</t>
  </si>
  <si>
    <t>LCL Chgs - 01 - 15 NOV 25</t>
  </si>
  <si>
    <t>4</t>
  </si>
  <si>
    <t>1800007633</t>
  </si>
  <si>
    <t>Inbound Handling charges for Feb 2025</t>
  </si>
  <si>
    <t>1800007638</t>
  </si>
  <si>
    <t>1800007645</t>
  </si>
  <si>
    <t>1800007646</t>
  </si>
  <si>
    <t>1800007671</t>
  </si>
  <si>
    <t>1800007672</t>
  </si>
  <si>
    <t>1800007673</t>
  </si>
  <si>
    <t>1800007679</t>
  </si>
  <si>
    <t>1800007685</t>
  </si>
  <si>
    <t>1800007686</t>
  </si>
  <si>
    <t>1800007688</t>
  </si>
  <si>
    <t>1800007689</t>
  </si>
  <si>
    <t>1800007690</t>
  </si>
  <si>
    <t>1800007692</t>
  </si>
  <si>
    <t>1800007694</t>
  </si>
  <si>
    <t>1800007695</t>
  </si>
  <si>
    <t>1800007718</t>
  </si>
  <si>
    <t>Inbound Handling charges for 31 Mar 2025</t>
  </si>
  <si>
    <t>1800007758</t>
  </si>
  <si>
    <t>Outbound Handling charges for 31 Mar 25</t>
  </si>
  <si>
    <t>9</t>
  </si>
  <si>
    <t>1800012982</t>
  </si>
  <si>
    <t>2102483</t>
  </si>
  <si>
    <t>Outbound chgs - 01 - 15 Sep 25</t>
  </si>
  <si>
    <t>1800012918</t>
  </si>
  <si>
    <t>2102480</t>
  </si>
  <si>
    <t>LCL Chgs - 01 - 15 SEP 25</t>
  </si>
  <si>
    <t>1800012941</t>
  </si>
  <si>
    <t>2102527</t>
  </si>
  <si>
    <t>CODC Inbound chgs - 1-15  Sep  25</t>
  </si>
  <si>
    <t>1800012861</t>
  </si>
  <si>
    <t>2102528</t>
  </si>
  <si>
    <t>CODC Out chgs -1-15 Sep 25</t>
  </si>
  <si>
    <t>12</t>
  </si>
  <si>
    <t>1800015359</t>
  </si>
  <si>
    <t>2140076</t>
  </si>
  <si>
    <t>Internet Activity Chgs - Nov 25</t>
  </si>
  <si>
    <t>1800015279</t>
  </si>
  <si>
    <t>2140088</t>
  </si>
  <si>
    <t>Outbound chgs - 16 - 30 Nov 25</t>
  </si>
  <si>
    <t>5</t>
  </si>
  <si>
    <t>1600001156</t>
  </si>
  <si>
    <t>DG</t>
  </si>
  <si>
    <t>Credit Note against 256779412140</t>
  </si>
  <si>
    <t>1600001157</t>
  </si>
  <si>
    <t>Credit Note against 246779413076</t>
  </si>
  <si>
    <t>1800013139</t>
  </si>
  <si>
    <t>2103138</t>
  </si>
  <si>
    <t>Transportation IN Chargs</t>
  </si>
  <si>
    <t>1800013168</t>
  </si>
  <si>
    <t>Assignment</t>
  </si>
  <si>
    <t>Unit - Storage - Aug 25</t>
  </si>
  <si>
    <t>1800007993</t>
  </si>
  <si>
    <t>LCL Chgs - 01 - 15 Apr 25</t>
  </si>
  <si>
    <t>1800008027</t>
  </si>
  <si>
    <t>Outbound chgs - 01 - 15 Apr 25</t>
  </si>
  <si>
    <t>1800008057</t>
  </si>
  <si>
    <t>1800004428</t>
  </si>
  <si>
    <t>Inbound Handling charges for Oct 2024</t>
  </si>
  <si>
    <t>1800004429</t>
  </si>
  <si>
    <t>LCL Movement Charges for Oct 2024</t>
  </si>
  <si>
    <t>1800004430</t>
  </si>
  <si>
    <t>CY-MOVEMENT CHARGES for Oct 2024</t>
  </si>
  <si>
    <t>1800009167</t>
  </si>
  <si>
    <t>Port SSR Charges - Shifting for Aug to D</t>
  </si>
  <si>
    <t>1800009208</t>
  </si>
  <si>
    <t>Fixed Internet Charges for April,2025</t>
  </si>
  <si>
    <t>1800013755</t>
  </si>
  <si>
    <t>2110802</t>
  </si>
  <si>
    <t>VAS-16-30 Sept 25</t>
  </si>
  <si>
    <t>1800013764</t>
  </si>
  <si>
    <t>Weighment-16-30 Sept 25</t>
  </si>
  <si>
    <t>7</t>
  </si>
  <si>
    <t>1800011009</t>
  </si>
  <si>
    <t>VAS - 1-15 July 25</t>
  </si>
  <si>
    <t>1800008357</t>
  </si>
  <si>
    <t>VAS - 16-30 April 25, Ex.Rate-85.05</t>
  </si>
  <si>
    <t>1800008367</t>
  </si>
  <si>
    <t>Weighment-16-30 April25, Ex.Rate-85.05</t>
  </si>
  <si>
    <t>1800008278</t>
  </si>
  <si>
    <t>6779224501</t>
  </si>
  <si>
    <t>CODC Inbound chgs - 16 - 30 Apr 25</t>
  </si>
  <si>
    <t>1800008286</t>
  </si>
  <si>
    <t>CODC Out chgs - 16 - 30 Apr 25</t>
  </si>
  <si>
    <t>1800015466</t>
  </si>
  <si>
    <t>2140458</t>
  </si>
  <si>
    <t>PORT SSR Chgs Nov 25</t>
  </si>
  <si>
    <t>1800014000</t>
  </si>
  <si>
    <t>2114864</t>
  </si>
  <si>
    <t>CODC Inbound chgs - 1-15 Oct 25</t>
  </si>
  <si>
    <t>1800014141</t>
  </si>
  <si>
    <t>2114865</t>
  </si>
  <si>
    <t>CODC Out chgs -1-15 Oct 25</t>
  </si>
  <si>
    <t>1800009489</t>
  </si>
  <si>
    <t>Unit storage -1-31 May 25</t>
  </si>
  <si>
    <t>1800013270</t>
  </si>
  <si>
    <t>2110511</t>
  </si>
  <si>
    <t>Unit Storage - 1-30 Sept 2025</t>
  </si>
  <si>
    <t>1800013296</t>
  </si>
  <si>
    <t>2110493</t>
  </si>
  <si>
    <t>Empty Lolo Chgs - 01 - 30 SEP 25</t>
  </si>
  <si>
    <t>1800013335</t>
  </si>
  <si>
    <t>LCL Chgs - 16 - 30 SEP 25</t>
  </si>
  <si>
    <t>1800013375</t>
  </si>
  <si>
    <t>2110504</t>
  </si>
  <si>
    <t>Outbound chgs - 16 - 30 Sep 25</t>
  </si>
  <si>
    <t>1800013575</t>
  </si>
  <si>
    <t>2110978</t>
  </si>
  <si>
    <t>Internet Activity Chgs - Aug 24 to Sep 25</t>
  </si>
  <si>
    <t>1800013501</t>
  </si>
  <si>
    <t>2110981</t>
  </si>
  <si>
    <t>PORT SSR Chgs Sep 25</t>
  </si>
  <si>
    <t>1800013421</t>
  </si>
  <si>
    <t>2110503</t>
  </si>
  <si>
    <t>1800012485</t>
  </si>
  <si>
    <t>Unit-Storage-1-31 Aug 25</t>
  </si>
  <si>
    <t>1800009095</t>
  </si>
  <si>
    <t>Scanning  Chgs - 01 - 15 May 25</t>
  </si>
  <si>
    <t>2026</t>
  </si>
  <si>
    <t>1800015674</t>
  </si>
  <si>
    <t>2139799</t>
  </si>
  <si>
    <t>Unit Storage - 1-30 Nov 2025</t>
  </si>
  <si>
    <t>1600002694</t>
  </si>
  <si>
    <t>2141835</t>
  </si>
  <si>
    <t>Credit note for Duplicate invoice -256779418489</t>
  </si>
  <si>
    <t>1600002700</t>
  </si>
  <si>
    <t>Credit note for Duplicate invoice -256779418495</t>
  </si>
  <si>
    <t>1800015879</t>
  </si>
  <si>
    <t>2156171</t>
  </si>
  <si>
    <t>CODC LCL Chgs -01-15 Dec 25</t>
  </si>
  <si>
    <t>1800015982</t>
  </si>
  <si>
    <t>2156172</t>
  </si>
  <si>
    <t>CODC Out chgs -1-15 Dec 25</t>
  </si>
  <si>
    <t>1800015955</t>
  </si>
  <si>
    <t>2156419</t>
  </si>
  <si>
    <t>Outbound chgs - 01 - 15 Dec 25</t>
  </si>
  <si>
    <t>1800016079</t>
  </si>
  <si>
    <t>2156406</t>
  </si>
  <si>
    <t>LCL Chgs - 01 - 15 DEC 25</t>
  </si>
  <si>
    <t>1400002402</t>
  </si>
  <si>
    <t>DZ</t>
  </si>
  <si>
    <t>T54SWIC284611</t>
  </si>
  <si>
    <t>15</t>
  </si>
  <si>
    <t>6779220000</t>
  </si>
  <si>
    <t>2</t>
  </si>
  <si>
    <t>1800016155</t>
  </si>
  <si>
    <t>1800016168</t>
  </si>
  <si>
    <t>2158273</t>
  </si>
  <si>
    <t>Internet Activity Chgs - Dec 25</t>
  </si>
  <si>
    <t>1800016249</t>
  </si>
  <si>
    <t>2158323</t>
  </si>
  <si>
    <t>Empty Lolo Chgs - 01 - 31 DEC 25</t>
  </si>
  <si>
    <t>1800016276</t>
  </si>
  <si>
    <t>2158342</t>
  </si>
  <si>
    <t>PORT SSR Chgs Dec 25</t>
  </si>
  <si>
    <t>1800016496</t>
  </si>
  <si>
    <t>2158404</t>
  </si>
  <si>
    <t>LCL Chgs - 16 - 31 DEC 25</t>
  </si>
  <si>
    <t>1800016404</t>
  </si>
  <si>
    <t>2158406</t>
  </si>
  <si>
    <t>Outbound chgs - 16 - 31 Dec 25</t>
  </si>
  <si>
    <t>1800016348</t>
  </si>
  <si>
    <t>2158411</t>
  </si>
  <si>
    <t>Unit Storage - 1-31 DEC 2025</t>
  </si>
  <si>
    <t>1800016696</t>
  </si>
  <si>
    <t>2158638</t>
  </si>
  <si>
    <t>VAS-Dec 25 - 16-31</t>
  </si>
  <si>
    <t>1800016547</t>
  </si>
  <si>
    <t>2158669</t>
  </si>
  <si>
    <t>Fixed Storage Charges for January 2026</t>
  </si>
  <si>
    <t>1800016548</t>
  </si>
  <si>
    <t>1800016549</t>
  </si>
  <si>
    <t>1800016776</t>
  </si>
  <si>
    <t>2159214</t>
  </si>
  <si>
    <t>VAS - NOV 25,16-30</t>
  </si>
  <si>
    <t>1800016933</t>
  </si>
  <si>
    <t>2163056</t>
  </si>
  <si>
    <t>CODC Out chgs -1-15 JAN 26</t>
  </si>
  <si>
    <t>1800016874</t>
  </si>
  <si>
    <t>2163060</t>
  </si>
  <si>
    <t>CODC LCL Chgs -1-15 JAN 26</t>
  </si>
  <si>
    <t>1800017058</t>
  </si>
  <si>
    <t>2163146</t>
  </si>
  <si>
    <t>LCL Chgs - 01 - 15 JAN 26</t>
  </si>
  <si>
    <t>1800017100</t>
  </si>
  <si>
    <t>2163152</t>
  </si>
  <si>
    <t>Outbound chgs - 01 - 15 JAN 26</t>
  </si>
  <si>
    <t>1800017150</t>
  </si>
  <si>
    <t>2163426</t>
  </si>
  <si>
    <t>VAS-1-15 Jan 2026</t>
  </si>
  <si>
    <t>1400002627</t>
  </si>
  <si>
    <t>T54SWIC288152</t>
  </si>
  <si>
    <t>1800017439</t>
  </si>
  <si>
    <t>2172703</t>
  </si>
  <si>
    <t>Fixed Storage Charges for February 2026</t>
  </si>
  <si>
    <t>1800017440</t>
  </si>
  <si>
    <t>1800017441</t>
  </si>
  <si>
    <t>1800017545</t>
  </si>
  <si>
    <t>2172710</t>
  </si>
  <si>
    <t>VAS -VAS-16-31 Jan 2026</t>
  </si>
  <si>
    <t>1800017506</t>
  </si>
  <si>
    <t>2172711</t>
  </si>
  <si>
    <t>Unit Storage 1-31 Jan 2026</t>
  </si>
  <si>
    <t>1800017573</t>
  </si>
  <si>
    <t>2173094</t>
  </si>
  <si>
    <t>PORT SSR Chgs Jan 26</t>
  </si>
  <si>
    <t>1800017615</t>
  </si>
  <si>
    <t>2173096</t>
  </si>
  <si>
    <t>Outbound chgs - 16 - 31 JAN 26</t>
  </si>
  <si>
    <t>1800017654</t>
  </si>
  <si>
    <t>2173110</t>
  </si>
  <si>
    <t>Bond Stamp Paper Chgs Jan 26</t>
  </si>
  <si>
    <t>1800017685</t>
  </si>
  <si>
    <t>2173159</t>
  </si>
  <si>
    <t>Internet Activity Chgs - Jan 26</t>
  </si>
  <si>
    <t>1800017751</t>
  </si>
  <si>
    <t>2173092</t>
  </si>
  <si>
    <t>Empty Lolo Chgs - 01 - 31 JAN 26</t>
  </si>
  <si>
    <t>1800017718</t>
  </si>
  <si>
    <t>2173095</t>
  </si>
  <si>
    <t>LCL Chgs - 16 - 31 JAN 26</t>
  </si>
  <si>
    <t>1800017793</t>
  </si>
  <si>
    <t>2173950</t>
  </si>
  <si>
    <t>CODC Out chgs -16-31 JAN 26</t>
  </si>
  <si>
    <t>1800017804</t>
  </si>
  <si>
    <t>2173951</t>
  </si>
  <si>
    <t>CODC LCL Chgs -16-31 JAN 26</t>
  </si>
  <si>
    <t>1400002805</t>
  </si>
  <si>
    <t>T54SWIC289959</t>
  </si>
  <si>
    <t>1800018046</t>
  </si>
  <si>
    <t>2175463</t>
  </si>
  <si>
    <t>VAS-1-15 Feb 2026</t>
  </si>
  <si>
    <t>1800018071</t>
  </si>
  <si>
    <t>Weighment-1-15 Feb 2026</t>
  </si>
  <si>
    <t>1800018091</t>
  </si>
  <si>
    <t>2175423</t>
  </si>
  <si>
    <t>LCL Chgs - 01 - 15 FEB 26</t>
  </si>
  <si>
    <t>1800018138</t>
  </si>
  <si>
    <t>2175570</t>
  </si>
  <si>
    <t>Outbound chgs - 01 - 15 FEB 26</t>
  </si>
  <si>
    <t>1800018171</t>
  </si>
  <si>
    <t>2176056</t>
  </si>
  <si>
    <t>CODC Out chgs -1-15 FEB 26</t>
  </si>
  <si>
    <t>1800018184</t>
  </si>
  <si>
    <t>2176057</t>
  </si>
  <si>
    <t>CODC LCL Chgs -1-15 FEB 26</t>
  </si>
  <si>
    <t>1800002374</t>
  </si>
  <si>
    <t>VAS Activity Charges for the month of December, 24</t>
  </si>
  <si>
    <t>1800002375</t>
  </si>
  <si>
    <t>1800002376</t>
  </si>
  <si>
    <t>1800002377</t>
  </si>
  <si>
    <t>1800002378</t>
  </si>
  <si>
    <t>1800002380</t>
  </si>
  <si>
    <t>1800002382</t>
  </si>
  <si>
    <t>1800002383</t>
  </si>
  <si>
    <t>1800002446</t>
  </si>
  <si>
    <t>1800002053</t>
  </si>
  <si>
    <t>VAS Activity Charges for the month of October, 24</t>
  </si>
  <si>
    <t>1800002054</t>
  </si>
  <si>
    <t>1800002055</t>
  </si>
  <si>
    <t>1800002056</t>
  </si>
  <si>
    <t>1800002057</t>
  </si>
  <si>
    <t>1800002068</t>
  </si>
  <si>
    <t>1800002069</t>
  </si>
  <si>
    <t>1800002070</t>
  </si>
  <si>
    <t>1800002071</t>
  </si>
  <si>
    <t>1800002072</t>
  </si>
  <si>
    <t>1800002073</t>
  </si>
  <si>
    <t>1800002074</t>
  </si>
  <si>
    <t>1800002075</t>
  </si>
  <si>
    <t>1800002076</t>
  </si>
  <si>
    <t>1800002077</t>
  </si>
  <si>
    <t>1800002124</t>
  </si>
  <si>
    <t>1800002230</t>
  </si>
  <si>
    <t>VAS Activity Charges for the month of November, 24</t>
  </si>
  <si>
    <t>1800002231</t>
  </si>
  <si>
    <t>1800002250</t>
  </si>
  <si>
    <t>1800002308</t>
  </si>
  <si>
    <t>1800002379</t>
  </si>
  <si>
    <t>1800002381</t>
  </si>
  <si>
    <t>1800006200</t>
  </si>
  <si>
    <t>LCL Charges August 2024</t>
  </si>
  <si>
    <t>1800006201</t>
  </si>
  <si>
    <t>1800006202</t>
  </si>
  <si>
    <t>1800006203</t>
  </si>
  <si>
    <t>1800006204</t>
  </si>
  <si>
    <t>1800006205</t>
  </si>
  <si>
    <t>1800006207</t>
  </si>
  <si>
    <t>1800006208</t>
  </si>
  <si>
    <t>1800006209</t>
  </si>
  <si>
    <t>1800006210</t>
  </si>
  <si>
    <t>1800006567</t>
  </si>
  <si>
    <t>Outbound Handling Charges Aug 2024</t>
  </si>
  <si>
    <t>1800006568</t>
  </si>
  <si>
    <t>1800006569</t>
  </si>
  <si>
    <t>1800006570</t>
  </si>
  <si>
    <t>1800006571</t>
  </si>
  <si>
    <t>1800006572</t>
  </si>
  <si>
    <t>1800006573</t>
  </si>
  <si>
    <t>1800006574</t>
  </si>
  <si>
    <t>1800006575</t>
  </si>
  <si>
    <t>1800006576</t>
  </si>
  <si>
    <t>1800006577</t>
  </si>
  <si>
    <t>1800006578</t>
  </si>
  <si>
    <t>1600002464</t>
  </si>
  <si>
    <t>2117487</t>
  </si>
  <si>
    <t>Credit note raised against 256779418068</t>
  </si>
  <si>
    <t>1800007078</t>
  </si>
  <si>
    <t>WHSU5018375-Port SSR Shifting Mar 2025. Exch rate</t>
  </si>
  <si>
    <t>1800007079</t>
  </si>
  <si>
    <t>1800007121</t>
  </si>
  <si>
    <t>VAS Activity - Jan 25, Ex Rate. 86.64</t>
  </si>
  <si>
    <t>1800007162</t>
  </si>
  <si>
    <t>VAS Activity - Feb 25, Ex Rate. 87.40</t>
  </si>
  <si>
    <t>1800007200</t>
  </si>
  <si>
    <t>VAS Activity - Mar 25, 16-31, Ex Rate. 85.58</t>
  </si>
  <si>
    <t>1800007201</t>
  </si>
  <si>
    <t>1800007232</t>
  </si>
  <si>
    <t>Storage Charges Mar, 25 Exch Rate 85.58</t>
  </si>
  <si>
    <t>1800006831</t>
  </si>
  <si>
    <t>CY Longstanding Transportation chgs for 31 MAR 202</t>
  </si>
  <si>
    <t>1800006904</t>
  </si>
  <si>
    <t>Inbound Handling charges for Dec 2024</t>
  </si>
  <si>
    <t>1800006905</t>
  </si>
  <si>
    <t>LCL charges for Dec 2024</t>
  </si>
  <si>
    <t>1800006906</t>
  </si>
  <si>
    <t>Cy-WH Destuff charges for Dec 2024</t>
  </si>
  <si>
    <t>1800006907</t>
  </si>
  <si>
    <t>Transportation Inbound charges for Dec 2024</t>
  </si>
  <si>
    <t>1800006908</t>
  </si>
  <si>
    <t>Empty Cont. Outbound charges for Dec 2024</t>
  </si>
  <si>
    <t>1800006976</t>
  </si>
  <si>
    <t>Outbound Handling charges for Dec 2024</t>
  </si>
  <si>
    <t>1800011257</t>
  </si>
  <si>
    <t>VAS 16-31 May 25 Ex.85.48</t>
  </si>
  <si>
    <t>1800011275</t>
  </si>
  <si>
    <t>Weighment -16-31 May 25, Ex.85.48</t>
  </si>
  <si>
    <t>1800001742</t>
  </si>
  <si>
    <t>VAS Activity Charges for the month of August, 24</t>
  </si>
  <si>
    <t>1800001746</t>
  </si>
  <si>
    <t>1800001747</t>
  </si>
  <si>
    <t>1800001748</t>
  </si>
  <si>
    <t>1800001750</t>
  </si>
  <si>
    <t>1800001754</t>
  </si>
  <si>
    <t>1800001550</t>
  </si>
  <si>
    <t>1400000766</t>
  </si>
  <si>
    <t>1800001551</t>
  </si>
  <si>
    <t>1400000767</t>
  </si>
  <si>
    <t>1800001540</t>
  </si>
  <si>
    <t>1800001541</t>
  </si>
  <si>
    <t>1800001542</t>
  </si>
  <si>
    <t>1800001543</t>
  </si>
  <si>
    <t>1800001743</t>
  </si>
  <si>
    <t>1800001744</t>
  </si>
  <si>
    <t>1800001745</t>
  </si>
  <si>
    <t>1800001749</t>
  </si>
  <si>
    <t>1800001751</t>
  </si>
  <si>
    <t>1800001752</t>
  </si>
  <si>
    <t>1800001753</t>
  </si>
  <si>
    <t>1800001545</t>
  </si>
  <si>
    <t>1400000755</t>
  </si>
  <si>
    <t>1800001546</t>
  </si>
  <si>
    <t>1400000759</t>
  </si>
  <si>
    <t>1800001547</t>
  </si>
  <si>
    <t>1400000760</t>
  </si>
  <si>
    <t>1800001548</t>
  </si>
  <si>
    <t>1400000762</t>
  </si>
  <si>
    <t>1800001549</t>
  </si>
  <si>
    <t>1400000764</t>
  </si>
  <si>
    <t>1800001539</t>
  </si>
  <si>
    <t>1800001544</t>
  </si>
  <si>
    <t>1800010529</t>
  </si>
  <si>
    <t>1800010530</t>
  </si>
  <si>
    <t>LCL charges for Jan 2025</t>
  </si>
  <si>
    <t>1800010531</t>
  </si>
  <si>
    <t>1800010532</t>
  </si>
  <si>
    <t>1800010533</t>
  </si>
  <si>
    <t>1800010534</t>
  </si>
  <si>
    <t>1800010535</t>
  </si>
  <si>
    <t>1800010536</t>
  </si>
  <si>
    <t>1800010537</t>
  </si>
  <si>
    <t>1800010538</t>
  </si>
  <si>
    <t>1800010539</t>
  </si>
  <si>
    <t>1800010540</t>
  </si>
  <si>
    <t>1800010541</t>
  </si>
  <si>
    <t>Cy-WH Destuff charges for Sep 2024</t>
  </si>
  <si>
    <t>1800010542</t>
  </si>
  <si>
    <t>Outbound Handling charges for Jan 2025</t>
  </si>
  <si>
    <t>1800010549</t>
  </si>
  <si>
    <t>1800010550</t>
  </si>
  <si>
    <t>Cy-WH Destuff charges for 31 Mar 2025</t>
  </si>
  <si>
    <t>1800010551</t>
  </si>
  <si>
    <t>Inbound Handling charges for Jan 2025</t>
  </si>
  <si>
    <t>1800010552</t>
  </si>
  <si>
    <t>Transportation Inbound charges for Jan 2025</t>
  </si>
  <si>
    <t>1800010553</t>
  </si>
  <si>
    <t>Empty Cont Outbound charges for Jan 2025</t>
  </si>
  <si>
    <t>1800010554</t>
  </si>
  <si>
    <t>1800010555</t>
  </si>
  <si>
    <t>LCL Movement Charges for Feb 2025</t>
  </si>
  <si>
    <t>1800010556</t>
  </si>
  <si>
    <t>Empty transportation Charges for Feb 2025</t>
  </si>
  <si>
    <t>1800010557</t>
  </si>
  <si>
    <t>Transportation Charges for Feb 2025</t>
  </si>
  <si>
    <t>1800010558</t>
  </si>
  <si>
    <t>Outbound Handling charges for Oct 2024</t>
  </si>
  <si>
    <t>1800010559</t>
  </si>
  <si>
    <t>1800010560</t>
  </si>
  <si>
    <t>1600001660</t>
  </si>
  <si>
    <t>Credit note raised against INV 256779412609</t>
  </si>
  <si>
    <t>1600001661</t>
  </si>
  <si>
    <t>1600001662</t>
  </si>
  <si>
    <t>Credit note raised against INV 256779412649</t>
  </si>
  <si>
    <t>1600001663</t>
  </si>
  <si>
    <t>Credit note raised against INV 246779410482</t>
  </si>
  <si>
    <t>1600001664</t>
  </si>
  <si>
    <t>Credit note raised against INV 246779410483</t>
  </si>
  <si>
    <t>1600001665</t>
  </si>
  <si>
    <t>Credit note raised against INV 256779411722</t>
  </si>
  <si>
    <t>1600001666</t>
  </si>
  <si>
    <t>Credit note raised against INV 256779411795</t>
  </si>
  <si>
    <t>1600001667</t>
  </si>
  <si>
    <t>Credit note raised against INV 256779411796</t>
  </si>
  <si>
    <t>1600001668</t>
  </si>
  <si>
    <t>Credit note raised against INV 256779411798</t>
  </si>
  <si>
    <t>1600001669</t>
  </si>
  <si>
    <t>Credit note raised against INV 256779411799</t>
  </si>
  <si>
    <t>1600001670</t>
  </si>
  <si>
    <t>Credit note raised against INV 246779410665</t>
  </si>
  <si>
    <t>1600001671</t>
  </si>
  <si>
    <t>Credit note raised against INV 256779412884</t>
  </si>
  <si>
    <t>1600001672</t>
  </si>
  <si>
    <t>1600001673</t>
  </si>
  <si>
    <t>Credit note raised against INV 256779412918</t>
  </si>
  <si>
    <t>1600001674</t>
  </si>
  <si>
    <t>Credit note raised against INV 256779412948</t>
  </si>
  <si>
    <t>1600001675</t>
  </si>
  <si>
    <t>Credit note raised against INV 246779414296</t>
  </si>
  <si>
    <t>1600001676</t>
  </si>
  <si>
    <t>Credit note raised against INV 246779414297</t>
  </si>
  <si>
    <t>1600001677</t>
  </si>
  <si>
    <t>Credit note raised against INV 246779414298</t>
  </si>
  <si>
    <t>1800010544</t>
  </si>
  <si>
    <t>1800010545</t>
  </si>
  <si>
    <t>1800010546</t>
  </si>
  <si>
    <t>1800010547</t>
  </si>
  <si>
    <t>1800010548</t>
  </si>
  <si>
    <t>1800010561</t>
  </si>
  <si>
    <t>Inbound Handling charges for  Sep 2024</t>
  </si>
  <si>
    <t>1800010579</t>
  </si>
  <si>
    <t>Inbound Handling for August 24</t>
  </si>
  <si>
    <t>1800010617</t>
  </si>
  <si>
    <t>Scanning Chgs - 16 - 31 Apr 25 ( BOE9523237 )</t>
  </si>
  <si>
    <t>1800010618</t>
  </si>
  <si>
    <t>LCL Chgs - 16 - 30 Apr 25 ( BOE9471796/9501725 )</t>
  </si>
  <si>
    <t>1800010619</t>
  </si>
  <si>
    <t>Inbound chgs -16 - 30 Apr 25 ( BOE9471796/9501725</t>
  </si>
  <si>
    <t>1800010620</t>
  </si>
  <si>
    <t>Transportation In Chgs - 16 - 30 Apr 25 ( BOE94717</t>
  </si>
  <si>
    <t>1800010621</t>
  </si>
  <si>
    <t>Empty Cont Out - 16 - 30 Apr 25 ( BOE9471796/95017</t>
  </si>
  <si>
    <t>1800010622</t>
  </si>
  <si>
    <t>Outbound chgs - 16 - 30 Apr 25 ( DTA9452390 )</t>
  </si>
  <si>
    <t>1800010623</t>
  </si>
  <si>
    <t>Outbound chgs - 01 - 15 MAY 25 ( DTA9652445/951659</t>
  </si>
  <si>
    <t>1800010624</t>
  </si>
  <si>
    <t>Scanning  Chgs - 01 - 15 May 25 (BOE9821502)</t>
  </si>
  <si>
    <t>1800010625</t>
  </si>
  <si>
    <t>LCL Chgs - 01-15 MAY 25 ( BOE9963613 )</t>
  </si>
  <si>
    <t>1800010626</t>
  </si>
  <si>
    <t>Inbound chgs -01-15 MAY 25 ( BOE9963613 )</t>
  </si>
  <si>
    <t>1800010627</t>
  </si>
  <si>
    <t>CODC Inbound chgs - 16 - 31 May 25 ( 9918629 )</t>
  </si>
  <si>
    <t>1800010628</t>
  </si>
  <si>
    <t>PORT SSR Chgs - 16 - 31 May 25</t>
  </si>
  <si>
    <t>1800010629</t>
  </si>
  <si>
    <t>Outbound chgs - 16 - 31 MAY 25 ( DTA2037850 )</t>
  </si>
  <si>
    <t>1800010630</t>
  </si>
  <si>
    <t>Detention Chgs - 01 - 15 MAY 25</t>
  </si>
  <si>
    <t>1800010631</t>
  </si>
  <si>
    <t>Empty Lolo Chgs - 01 - 31 MAY 25</t>
  </si>
  <si>
    <t>1800010632</t>
  </si>
  <si>
    <t>Transportation In Chgs - 16-31 MAY 25</t>
  </si>
  <si>
    <t>1800010633</t>
  </si>
  <si>
    <t>Empty Cont Out - 16-31 MAY 25</t>
  </si>
  <si>
    <t>1800010634</t>
  </si>
  <si>
    <t>LCL Chgs - 16-31 MAY 25</t>
  </si>
  <si>
    <t>1800010635</t>
  </si>
  <si>
    <t>Inbound chgs -16-31 MAY 25</t>
  </si>
  <si>
    <t>1600001678</t>
  </si>
  <si>
    <t>Credit note raised against INV 256779413280</t>
  </si>
  <si>
    <t>1600001679</t>
  </si>
  <si>
    <t>Credit note raised against INV 256779413308</t>
  </si>
  <si>
    <t>1600001680</t>
  </si>
  <si>
    <t>1600001681</t>
  </si>
  <si>
    <t>1600001682</t>
  </si>
  <si>
    <t>1600001683</t>
  </si>
  <si>
    <t>Credit note raised against INV 256779413348</t>
  </si>
  <si>
    <t>1600001684</t>
  </si>
  <si>
    <t>Credit note raised against INV 256779413480</t>
  </si>
  <si>
    <t>1600001685</t>
  </si>
  <si>
    <t>Credit note raised against INV 256779413859</t>
  </si>
  <si>
    <t>1600001686</t>
  </si>
  <si>
    <t>Credit note raised against INV 256779413879</t>
  </si>
  <si>
    <t>1600001687</t>
  </si>
  <si>
    <t>1600001688</t>
  </si>
  <si>
    <t>Credit note raised against INV 256779414156</t>
  </si>
  <si>
    <t>1600001689</t>
  </si>
  <si>
    <t>Credit note raised against INV 256779414173</t>
  </si>
  <si>
    <t>1600001690</t>
  </si>
  <si>
    <t>Credit note raised against INV 256779414206</t>
  </si>
  <si>
    <t>1600001691</t>
  </si>
  <si>
    <t>Credit note raised against INV 256779414260</t>
  </si>
  <si>
    <t>1600001692</t>
  </si>
  <si>
    <t>Credit note raised against INV 256779414271</t>
  </si>
  <si>
    <t>1600001693</t>
  </si>
  <si>
    <t>Credit note raised against INV 256779414309</t>
  </si>
  <si>
    <t>1600001694</t>
  </si>
  <si>
    <t>1600001695</t>
  </si>
  <si>
    <t>1600001696</t>
  </si>
  <si>
    <t>1800012273</t>
  </si>
  <si>
    <t>CODC Inbound chgs - 16-31 Aug  25</t>
  </si>
  <si>
    <t>1800012530</t>
  </si>
  <si>
    <t>VAS - 16-31 Aug 25</t>
  </si>
  <si>
    <t>1800012533</t>
  </si>
  <si>
    <t>WEIGHMENT - 16-31 Aug 25</t>
  </si>
  <si>
    <t>1800012458</t>
  </si>
  <si>
    <t>Intra 16-31 Aug 25</t>
  </si>
  <si>
    <t>1800012613</t>
  </si>
  <si>
    <t>Empty Lolo Chgs - 01 - 31 AUG 25</t>
  </si>
  <si>
    <t>1800012580</t>
  </si>
  <si>
    <t>PORT SSR Chgs Aug 25</t>
  </si>
  <si>
    <t>1800012592</t>
  </si>
  <si>
    <t>Scanning  Chgs - 16 - 31 Aug 25</t>
  </si>
  <si>
    <t>1800012599</t>
  </si>
  <si>
    <t>Bond Stamp Paper Chgs 01 - 31 Aug 25</t>
  </si>
  <si>
    <t>1800012640</t>
  </si>
  <si>
    <t>LCL Chgs - 16 - 31 AUG 25</t>
  </si>
  <si>
    <t>1800012677</t>
  </si>
  <si>
    <t>2096996</t>
  </si>
  <si>
    <t>Outbound chgs - 16 - 31 Aug 25</t>
  </si>
  <si>
    <t>1800010099</t>
  </si>
  <si>
    <t>LCL Chgs - 16 - 30 JUN 25</t>
  </si>
  <si>
    <t>1800010252</t>
  </si>
  <si>
    <t>Outbound chgs - 16 - 30 Jun 25</t>
  </si>
  <si>
    <t>1800010448</t>
  </si>
  <si>
    <t>Unit Storage - 1-30 June 25</t>
  </si>
  <si>
    <t>1800010449</t>
  </si>
  <si>
    <t>1800010450</t>
  </si>
  <si>
    <t>1800010501</t>
  </si>
  <si>
    <t>VAS - 16-30 June 25</t>
  </si>
  <si>
    <t>1800010510</t>
  </si>
  <si>
    <t>Weighment- 16-30 June 25</t>
  </si>
  <si>
    <t>1800014279</t>
  </si>
  <si>
    <t>2123387</t>
  </si>
  <si>
    <t>VAS-16 -31 Oct 25</t>
  </si>
  <si>
    <t>1800014540</t>
  </si>
  <si>
    <t>2123390</t>
  </si>
  <si>
    <t>Unit Storage - 1-31 Oct 2025</t>
  </si>
  <si>
    <t>1800014585</t>
  </si>
  <si>
    <t>2123392</t>
  </si>
  <si>
    <t>CODC Inbound chgs - 16-31 Oct 25</t>
  </si>
  <si>
    <t>1800014639</t>
  </si>
  <si>
    <t>2123393</t>
  </si>
  <si>
    <t>CODC Out chgs -16-31 Oct 25</t>
  </si>
  <si>
    <t>1800014516</t>
  </si>
  <si>
    <t>2123410</t>
  </si>
  <si>
    <t>Outbound chgs - 16 - 31 Oct 25</t>
  </si>
  <si>
    <t>1800014610</t>
  </si>
  <si>
    <t>2123415</t>
  </si>
  <si>
    <t>Empty Lolo Chgs - 01 - 31 OCT 25</t>
  </si>
  <si>
    <t>1800014710</t>
  </si>
  <si>
    <t>2123629</t>
  </si>
  <si>
    <t>Internet Activity Chgs - Oct 25</t>
  </si>
  <si>
    <t>1800014721</t>
  </si>
  <si>
    <t>2123630</t>
  </si>
  <si>
    <t>PORT SSR Chgs Oct 25</t>
  </si>
  <si>
    <t>1800014400</t>
  </si>
  <si>
    <t>2123409</t>
  </si>
  <si>
    <t>LCL Chgs - 16 - 31 OCT 25</t>
  </si>
  <si>
    <t>1600002516</t>
  </si>
  <si>
    <t>2121918</t>
  </si>
  <si>
    <t>CN issued against 256779417093</t>
  </si>
  <si>
    <t>8</t>
  </si>
  <si>
    <t>1800011666</t>
  </si>
  <si>
    <t>Unit Storage - 1-31 July 25</t>
  </si>
  <si>
    <t>1800011828</t>
  </si>
  <si>
    <t>Empty Lolo Chgs - 01 - 31 JUL 25</t>
  </si>
  <si>
    <t>1800011778</t>
  </si>
  <si>
    <t>LCL Chgs - 16 - 31 JUL 25</t>
  </si>
  <si>
    <t>1800011696</t>
  </si>
  <si>
    <t>Outbound chgs - 16 - 31 Jul 25</t>
  </si>
  <si>
    <t>1800011405</t>
  </si>
  <si>
    <t>CODC Out chgs - 16 - 31 Jul 25</t>
  </si>
  <si>
    <t>1800011592</t>
  </si>
  <si>
    <t>VAS 16-31 July 25</t>
  </si>
  <si>
    <t>1800011604</t>
  </si>
  <si>
    <t>Weighment - 16-31 July 25</t>
  </si>
  <si>
    <t>1800009392</t>
  </si>
  <si>
    <t>CODC Inbound chgs - 16 - 31 May 25</t>
  </si>
  <si>
    <t>1800009409</t>
  </si>
  <si>
    <t>1800009442</t>
  </si>
  <si>
    <t>Outbound chgs - 16 - 31 MAY 25</t>
  </si>
  <si>
    <t>1800009496</t>
  </si>
  <si>
    <t>1800009507</t>
  </si>
  <si>
    <t>1800009545</t>
  </si>
  <si>
    <t>1600000563</t>
  </si>
  <si>
    <t>Credit note against 246779412202</t>
  </si>
  <si>
    <t>1600000564</t>
  </si>
  <si>
    <t>Credit note against 246779412203</t>
  </si>
  <si>
    <t>1600000566</t>
  </si>
  <si>
    <t>Credit note against 246779412205</t>
  </si>
  <si>
    <t>1600000567</t>
  </si>
  <si>
    <t>Credit note against 246779412206</t>
  </si>
  <si>
    <t>1600000559</t>
  </si>
  <si>
    <t>Credit note against 246779412198</t>
  </si>
  <si>
    <t>1600000560</t>
  </si>
  <si>
    <t>Credit note against 246779412199</t>
  </si>
  <si>
    <t>1600000565</t>
  </si>
  <si>
    <t>Credit note against 246779412204</t>
  </si>
  <si>
    <t>1600000568</t>
  </si>
  <si>
    <t>Credit note against 246779412207</t>
  </si>
  <si>
    <t>1600000569</t>
  </si>
  <si>
    <t>Credit note against 246779412208</t>
  </si>
  <si>
    <t>1600000557</t>
  </si>
  <si>
    <t>Credit note against 246779412196</t>
  </si>
  <si>
    <t>1600000558</t>
  </si>
  <si>
    <t>Credit note against 246779412197</t>
  </si>
  <si>
    <t>1600000561</t>
  </si>
  <si>
    <t>Credit note against 246779412200</t>
  </si>
  <si>
    <t>1600000562</t>
  </si>
  <si>
    <t>Credit note against 246779412201</t>
  </si>
  <si>
    <t>1600000783</t>
  </si>
  <si>
    <t>Credit note against 256779410231</t>
  </si>
  <si>
    <t>1600000817</t>
  </si>
  <si>
    <t>Credit note against 256779410272</t>
  </si>
  <si>
    <t>1800008516</t>
  </si>
  <si>
    <t>Scanning  Chgs - 16 - 31 Apr 25</t>
  </si>
  <si>
    <t>1800008544</t>
  </si>
  <si>
    <t>LCL Chgs - 16 - 30 Apr 25</t>
  </si>
  <si>
    <t>1800008584</t>
  </si>
  <si>
    <t>Outbound chgs - 16 - 30 Apr 25</t>
  </si>
  <si>
    <t>1800015529</t>
  </si>
  <si>
    <t>2139795</t>
  </si>
  <si>
    <t>CODC LCL Chgs -16-30 Nov 25</t>
  </si>
  <si>
    <t>1800010562</t>
  </si>
  <si>
    <t>LCL charges for  Sep 2024</t>
  </si>
  <si>
    <t>1800010563</t>
  </si>
  <si>
    <t>Outbound Handling charges for Sep 2024</t>
  </si>
  <si>
    <t>1800010564</t>
  </si>
  <si>
    <t>1800010565</t>
  </si>
  <si>
    <t>1800010566</t>
  </si>
  <si>
    <t>Outbound Handling charges for Feb 2025</t>
  </si>
  <si>
    <t>1800010567</t>
  </si>
  <si>
    <t>1800010568</t>
  </si>
  <si>
    <t>1800010569</t>
  </si>
  <si>
    <t>1800010570</t>
  </si>
  <si>
    <t>1800010571</t>
  </si>
  <si>
    <t>1800010572</t>
  </si>
  <si>
    <t>1800010573</t>
  </si>
  <si>
    <t>1800010574</t>
  </si>
  <si>
    <t>1800010575</t>
  </si>
  <si>
    <t>1800010577</t>
  </si>
  <si>
    <t>1800010578</t>
  </si>
  <si>
    <t>1800010580</t>
  </si>
  <si>
    <t>1800010581</t>
  </si>
  <si>
    <t>1800010582</t>
  </si>
  <si>
    <t>1800010583</t>
  </si>
  <si>
    <t>Loose Unloading Charges August 2024</t>
  </si>
  <si>
    <t>1800010584</t>
  </si>
  <si>
    <t>1800010585</t>
  </si>
  <si>
    <t>1800010586</t>
  </si>
  <si>
    <t>1800010587</t>
  </si>
  <si>
    <t>1800010588</t>
  </si>
  <si>
    <t>1800010589</t>
  </si>
  <si>
    <t>1800010590</t>
  </si>
  <si>
    <t>1800010591</t>
  </si>
  <si>
    <t>1800010592</t>
  </si>
  <si>
    <t>Outbound Handling charges for Mar 25</t>
  </si>
  <si>
    <t>1800010593</t>
  </si>
  <si>
    <t>1800010594</t>
  </si>
  <si>
    <t>Empty Cont Out charges for Jan 2025</t>
  </si>
  <si>
    <t>1800010595</t>
  </si>
  <si>
    <t>Inbound Handling charges for Mar 2025</t>
  </si>
  <si>
    <t>1800010596</t>
  </si>
  <si>
    <t>LCL charges for Mar 2025</t>
  </si>
  <si>
    <t>1800010597</t>
  </si>
  <si>
    <t>1800010598</t>
  </si>
  <si>
    <t>LCL charges for 31 Mar 2025</t>
  </si>
  <si>
    <t>1800010599</t>
  </si>
  <si>
    <t>Transportation Inbound charges for 31 Mar 2025</t>
  </si>
  <si>
    <t>1800010600</t>
  </si>
  <si>
    <t>Empty Cont. Outbound charges for 31 Mar 2025</t>
  </si>
  <si>
    <t>1800010601</t>
  </si>
  <si>
    <t>1800010602</t>
  </si>
  <si>
    <t>Outbound Handling for Aug 2024</t>
  </si>
  <si>
    <t>1800010603</t>
  </si>
  <si>
    <t>1800010604</t>
  </si>
  <si>
    <t>1800010605</t>
  </si>
  <si>
    <t>1800010606</t>
  </si>
  <si>
    <t>1800010607</t>
  </si>
  <si>
    <t>1800010608</t>
  </si>
  <si>
    <t>1800010609</t>
  </si>
  <si>
    <t>Outbound Handling for Oct 2024</t>
  </si>
  <si>
    <t>1800010610</t>
  </si>
  <si>
    <t>LCL Chgs - 01 - 15 Apr 25 ( BOE9231261 / 9272978 /</t>
  </si>
  <si>
    <t>1800010611</t>
  </si>
  <si>
    <t>Inbound chgs - 01 - 15 Apr 25 ( BOE9231261 / 92729</t>
  </si>
  <si>
    <t>1800010612</t>
  </si>
  <si>
    <t>Outbound chgs - 01 - 15 Apr 25 ( DTA8744354 )</t>
  </si>
  <si>
    <t>1800010613</t>
  </si>
  <si>
    <t>CODC Outbound chgs - 01 - 15 Apr 25 ( DTA9177079 )</t>
  </si>
  <si>
    <t>1800010614</t>
  </si>
  <si>
    <t>1800010615</t>
  </si>
  <si>
    <t>1800010616</t>
  </si>
  <si>
    <t>1600001590</t>
  </si>
  <si>
    <t>Credit note raised against INV 256779411867</t>
  </si>
  <si>
    <t>1600001591</t>
  </si>
  <si>
    <t>Credit note raised against INV 246779414057</t>
  </si>
  <si>
    <t>1600001592</t>
  </si>
  <si>
    <t>Credit note raised against INV 256779411091</t>
  </si>
  <si>
    <t>1600001593</t>
  </si>
  <si>
    <t>Credit note raised against INV 256779411092</t>
  </si>
  <si>
    <t>1600001594</t>
  </si>
  <si>
    <t>Credit note raised against INV 256779411093</t>
  </si>
  <si>
    <t>1600001595</t>
  </si>
  <si>
    <t>Credit note raised against INV 256779411094</t>
  </si>
  <si>
    <t>1600001596</t>
  </si>
  <si>
    <t>Credit note raised against INV 256779411095</t>
  </si>
  <si>
    <t>1600001597</t>
  </si>
  <si>
    <t>Credit note raised against INV 256779411096</t>
  </si>
  <si>
    <t>1600001598</t>
  </si>
  <si>
    <t>Credit note raised against INV 256779411098</t>
  </si>
  <si>
    <t>1600001599</t>
  </si>
  <si>
    <t>Credit note raised against INV 256779411099</t>
  </si>
  <si>
    <t>1600001600</t>
  </si>
  <si>
    <t>Credit note raised against INV 256779411100</t>
  </si>
  <si>
    <t>1600001601</t>
  </si>
  <si>
    <t>Credit note raised against INV 256779411101</t>
  </si>
  <si>
    <t>1600001602</t>
  </si>
  <si>
    <t>Credit note raised against INV 246779414122</t>
  </si>
  <si>
    <t>1600001603</t>
  </si>
  <si>
    <t>Credit note raised against INV 246779414869</t>
  </si>
  <si>
    <t>1600001605</t>
  </si>
  <si>
    <t>Credit note raised against INV 256779411458</t>
  </si>
  <si>
    <t>1600001606</t>
  </si>
  <si>
    <t>Credit note raised against INV 256779411461</t>
  </si>
  <si>
    <t>1600001607</t>
  </si>
  <si>
    <t>Credit note raised against INV 256779411466</t>
  </si>
  <si>
    <t>1600001608</t>
  </si>
  <si>
    <t>Credit note raised against INV 256779411467</t>
  </si>
  <si>
    <t>1600001609</t>
  </si>
  <si>
    <t>Credit note raised against INV 256779411469</t>
  </si>
  <si>
    <t>1600001610</t>
  </si>
  <si>
    <t>Credit note raised against INV 256779411797</t>
  </si>
  <si>
    <t>1600001611</t>
  </si>
  <si>
    <t>1600001612</t>
  </si>
  <si>
    <t>Credit note raised against INV 246779414058</t>
  </si>
  <si>
    <t>1600001613</t>
  </si>
  <si>
    <t>1600001614</t>
  </si>
  <si>
    <t>1600001615</t>
  </si>
  <si>
    <t>Credit note raised against INV 246779414525</t>
  </si>
  <si>
    <t>1600001616</t>
  </si>
  <si>
    <t>Credit note raised against INV 246779414526</t>
  </si>
  <si>
    <t>1600001617</t>
  </si>
  <si>
    <t>Credit note raised against INV 246779414527</t>
  </si>
  <si>
    <t>1600001618</t>
  </si>
  <si>
    <t>Credit note raised against INV 246779414528</t>
  </si>
  <si>
    <t>1600001619</t>
  </si>
  <si>
    <t>Credit note raised against INV 246779414590</t>
  </si>
  <si>
    <t>1600001620</t>
  </si>
  <si>
    <t>Credit note raised against INV 246779414726</t>
  </si>
  <si>
    <t>1600001621</t>
  </si>
  <si>
    <t>1600001622</t>
  </si>
  <si>
    <t>Credit note raised against INV 246779414120</t>
  </si>
  <si>
    <t>1600001623</t>
  </si>
  <si>
    <t>Credit note raised against INV 246779414121</t>
  </si>
  <si>
    <t>1600001624</t>
  </si>
  <si>
    <t>Credit note raised against INV 246779414204</t>
  </si>
  <si>
    <t>1600001625</t>
  </si>
  <si>
    <t>Credit note raised against INV 246779414460</t>
  </si>
  <si>
    <t>1600001626</t>
  </si>
  <si>
    <t>Credit note raised against INV 246779414461</t>
  </si>
  <si>
    <t>1600001627</t>
  </si>
  <si>
    <t>Credit note raised against INV 246779414781</t>
  </si>
  <si>
    <t>1600001628</t>
  </si>
  <si>
    <t>Credit note raised against INV 246779414863</t>
  </si>
  <si>
    <t>1600001629</t>
  </si>
  <si>
    <t>Credit note raised against INV 246779414864</t>
  </si>
  <si>
    <t>1600001630</t>
  </si>
  <si>
    <t>Credit note raised against INV 246779414865</t>
  </si>
  <si>
    <t>1600001631</t>
  </si>
  <si>
    <t>Credit note raised against INV 246779414866</t>
  </si>
  <si>
    <t>1600001632</t>
  </si>
  <si>
    <t>Credit note raised against INV 246779414867</t>
  </si>
  <si>
    <t>1600001633</t>
  </si>
  <si>
    <t>Credit note raised against INV 246779414868</t>
  </si>
  <si>
    <t>1600001634</t>
  </si>
  <si>
    <t>1600001635</t>
  </si>
  <si>
    <t>1600001636</t>
  </si>
  <si>
    <t>1600001637</t>
  </si>
  <si>
    <t>1600001638</t>
  </si>
  <si>
    <t>1600001639</t>
  </si>
  <si>
    <t>1600001640</t>
  </si>
  <si>
    <t>1600001641</t>
  </si>
  <si>
    <t>1600001642</t>
  </si>
  <si>
    <t>1600001643</t>
  </si>
  <si>
    <t>1600001644</t>
  </si>
  <si>
    <t>1600001645</t>
  </si>
  <si>
    <t>Credit note raised against INV 256779411459</t>
  </si>
  <si>
    <t>1600001646</t>
  </si>
  <si>
    <t>Credit note raised against INV 256779411460</t>
  </si>
  <si>
    <t>1600001647</t>
  </si>
  <si>
    <t>Credit note raised against INV 256779411462</t>
  </si>
  <si>
    <t>1600001648</t>
  </si>
  <si>
    <t>Credit note raised against INV 256779411463</t>
  </si>
  <si>
    <t>1600001649</t>
  </si>
  <si>
    <t>Credit note raised against INV 256779411464</t>
  </si>
  <si>
    <t>1600001650</t>
  </si>
  <si>
    <t>Credit note raised against INV 256779411465</t>
  </si>
  <si>
    <t>1600001651</t>
  </si>
  <si>
    <t>Credit note raised against INV 256779411468</t>
  </si>
  <si>
    <t>1600001652</t>
  </si>
  <si>
    <t>Credit note raised against INV 246779413317</t>
  </si>
  <si>
    <t>1600001653</t>
  </si>
  <si>
    <t>Credit note raised against INV 256779410127</t>
  </si>
  <si>
    <t>1600001654</t>
  </si>
  <si>
    <t>Credit note raised against INV 256779410213</t>
  </si>
  <si>
    <t>1600001655</t>
  </si>
  <si>
    <t>Credit note raised against INV 256779410214</t>
  </si>
  <si>
    <t>1600001656</t>
  </si>
  <si>
    <t>Credit note raised against INV 256779410076</t>
  </si>
  <si>
    <t>1600001657</t>
  </si>
  <si>
    <t>Credit note raised against INV 256779410077</t>
  </si>
  <si>
    <t>1600001658</t>
  </si>
  <si>
    <t>1600001659</t>
  </si>
  <si>
    <t>1800009144</t>
  </si>
  <si>
    <t>Storage Chgs - 01 - 31 Apr 25</t>
  </si>
  <si>
    <t>1800010764</t>
  </si>
  <si>
    <t>PORT SSR Chgs Apr &amp; May 25</t>
  </si>
  <si>
    <t>1800010658</t>
  </si>
  <si>
    <t>CODC Inbound Chgs - 01 - 15 July 25</t>
  </si>
  <si>
    <t>1800010669</t>
  </si>
  <si>
    <t>CODC Out chgs - 01 - 15 July 25</t>
  </si>
  <si>
    <t>1800010690</t>
  </si>
  <si>
    <t>Transportation In Chgs - 01 - 15 JUL 25</t>
  </si>
  <si>
    <t>1800010733</t>
  </si>
  <si>
    <t>Outbound chgs - 01 - 15 Jul 25</t>
  </si>
  <si>
    <t>1800011032</t>
  </si>
  <si>
    <t>1800001448</t>
  </si>
  <si>
    <t>Scanning Charges for the month of October, 2024</t>
  </si>
  <si>
    <t>1800003862</t>
  </si>
  <si>
    <t>1800003879</t>
  </si>
  <si>
    <t>1800003959</t>
  </si>
  <si>
    <t>Scanning Charges for the month of Feb 2025</t>
  </si>
  <si>
    <t>1800004064</t>
  </si>
  <si>
    <t>1800004080</t>
  </si>
  <si>
    <t>1800004085</t>
  </si>
  <si>
    <t>1800004516</t>
  </si>
  <si>
    <t>Inbound Handling charges for Nov 2024</t>
  </si>
  <si>
    <t>1800004517</t>
  </si>
  <si>
    <t>LCL Movement Charges for Nov 2024</t>
  </si>
  <si>
    <t>1800004189</t>
  </si>
  <si>
    <t>1800004190</t>
  </si>
  <si>
    <t>1800004252</t>
  </si>
  <si>
    <t>1800004253</t>
  </si>
  <si>
    <t>1800004254</t>
  </si>
  <si>
    <t>1800004336</t>
  </si>
  <si>
    <t>1800004592</t>
  </si>
  <si>
    <t>1800004593</t>
  </si>
  <si>
    <t>1800004657</t>
  </si>
  <si>
    <t>1800004658</t>
  </si>
  <si>
    <t>1800004659</t>
  </si>
  <si>
    <t>1800004660</t>
  </si>
  <si>
    <t>1800004913</t>
  </si>
  <si>
    <t>1800004995</t>
  </si>
  <si>
    <t>1800004996</t>
  </si>
  <si>
    <t>1800004997</t>
  </si>
  <si>
    <t>1800004998</t>
  </si>
  <si>
    <t>1800004999</t>
  </si>
  <si>
    <t>1800005000</t>
  </si>
  <si>
    <t>1800005001</t>
  </si>
  <si>
    <t>1800004033</t>
  </si>
  <si>
    <t>1800004794</t>
  </si>
  <si>
    <t>Outbound Handling charges for Nov 2024</t>
  </si>
  <si>
    <t>1800004795</t>
  </si>
  <si>
    <t>CY-MOVEMENT CHARGES for Nov 2024</t>
  </si>
  <si>
    <t>1800004722</t>
  </si>
  <si>
    <t>1800004858</t>
  </si>
  <si>
    <t>1800000057</t>
  </si>
  <si>
    <t>Fixed Rental charges for Aug 2024</t>
  </si>
  <si>
    <t>1800000102</t>
  </si>
  <si>
    <t>Fixed Rental charges for Sept 2024</t>
  </si>
  <si>
    <t>1800000135</t>
  </si>
  <si>
    <t>Office space charges for Sept 2024</t>
  </si>
  <si>
    <t>1800000136</t>
  </si>
  <si>
    <t>Utility charge- Electricity for Sept 2024</t>
  </si>
  <si>
    <t>1800000053</t>
  </si>
  <si>
    <t>Office space charges - Aug, 2024</t>
  </si>
  <si>
    <t>1800000171</t>
  </si>
  <si>
    <t>Fixed Rental charges for Nov 2024</t>
  </si>
  <si>
    <t>1800000204</t>
  </si>
  <si>
    <t>Office space charges for Nov 2024</t>
  </si>
  <si>
    <t>1800000205</t>
  </si>
  <si>
    <t>Utility charge- Electricity for Nov 2024</t>
  </si>
  <si>
    <t>1800000214</t>
  </si>
  <si>
    <t>Fixed Rental charges for Dec 2024</t>
  </si>
  <si>
    <t>1800000247</t>
  </si>
  <si>
    <t>Office space charges for Dec 2024</t>
  </si>
  <si>
    <t>1800000248</t>
  </si>
  <si>
    <t>Utility charge- Electricity for Dec 2024</t>
  </si>
  <si>
    <t>1800000257</t>
  </si>
  <si>
    <t>1800000290</t>
  </si>
  <si>
    <t>Office space charges for Jan 2025</t>
  </si>
  <si>
    <t>1800000291</t>
  </si>
  <si>
    <t>Utility charge- Electricity for Jan 2025</t>
  </si>
  <si>
    <t>1800000333</t>
  </si>
  <si>
    <t>Office space charges for Feb 2025</t>
  </si>
  <si>
    <t>1800000334</t>
  </si>
  <si>
    <t>Utility charge- Electricity for Feb 2025</t>
  </si>
  <si>
    <t>1800000086</t>
  </si>
  <si>
    <t>Office space charges for Oct 2024</t>
  </si>
  <si>
    <t>1800000148</t>
  </si>
  <si>
    <t>Utility charge- Electricity for Oct 2024</t>
  </si>
  <si>
    <t>1800000069</t>
  </si>
  <si>
    <t>Fixed Rental charges for Oct 2024</t>
  </si>
  <si>
    <t>1800000300</t>
  </si>
  <si>
    <t>Fixed Rental charges for Feb 2025</t>
  </si>
  <si>
    <t>1800011944</t>
  </si>
  <si>
    <t>Empty Cont Out Chgs - 16 - 31 Jul 25</t>
  </si>
  <si>
    <t>1800012065</t>
  </si>
  <si>
    <t>CODC Inbound chgs - 1 -15 Aug  25</t>
  </si>
  <si>
    <t>1800012156</t>
  </si>
  <si>
    <t>INTRA-Aug 25- 1-15</t>
  </si>
  <si>
    <t>1800012162</t>
  </si>
  <si>
    <t>VAS-Aug 25- 1-15</t>
  </si>
  <si>
    <t>1800012182</t>
  </si>
  <si>
    <t>Transportation In Chgs - 01 - 15 Aug 25</t>
  </si>
  <si>
    <t>1800012242</t>
  </si>
  <si>
    <t>LCL Chgs - 01 - 15 AUG 25</t>
  </si>
  <si>
    <t>1800012207</t>
  </si>
  <si>
    <t>Outbound chgs - 01 - 15 Aug 25</t>
  </si>
  <si>
    <t>1800015409</t>
  </si>
  <si>
    <t>2140083</t>
  </si>
  <si>
    <t>LCL Chgs - 16 - 30 NOV 25</t>
  </si>
  <si>
    <t>1800000026</t>
  </si>
  <si>
    <t>Utility charge- Electricity - Aug, 2024</t>
  </si>
  <si>
    <t>1800009071</t>
  </si>
  <si>
    <t>VAS -1-15 May 25, Ex.rate 85.43</t>
  </si>
  <si>
    <t>1800008716</t>
  </si>
  <si>
    <t>Outbound chgs - 01 - 15 MAY 25</t>
  </si>
  <si>
    <t>1800009115</t>
  </si>
  <si>
    <t>LCL Chgs - 01-15 MAY 25</t>
  </si>
  <si>
    <t>1600002047</t>
  </si>
  <si>
    <t>Credit note raised against 256779415792</t>
  </si>
  <si>
    <t>1800005304</t>
  </si>
  <si>
    <t>VAS Activity -1 -15 Mar 25, Ex Rate. 87.01</t>
  </si>
  <si>
    <t>1800005370</t>
  </si>
  <si>
    <t>1800005371</t>
  </si>
  <si>
    <t>1800005380</t>
  </si>
  <si>
    <t>1800005411</t>
  </si>
  <si>
    <t>1800005412</t>
  </si>
  <si>
    <t>1800005130</t>
  </si>
  <si>
    <t>1800005131</t>
  </si>
  <si>
    <t>1800005181</t>
  </si>
  <si>
    <t>1800005321</t>
  </si>
  <si>
    <t>1800005322</t>
  </si>
  <si>
    <t>1800005339</t>
  </si>
  <si>
    <t>1800013835</t>
  </si>
  <si>
    <t>2114881</t>
  </si>
  <si>
    <t>LCL Chgs - 01 - 15 OCT 25</t>
  </si>
  <si>
    <t>1800013915</t>
  </si>
  <si>
    <t>2114883</t>
  </si>
  <si>
    <t>Outbound chgs - 01 - 15 Oct 25</t>
  </si>
  <si>
    <t>1800007264</t>
  </si>
  <si>
    <t>Fixed Storage Charges for April 2025</t>
  </si>
  <si>
    <t>1800007293</t>
  </si>
  <si>
    <t>1800007294</t>
  </si>
  <si>
    <t>1800007298</t>
  </si>
  <si>
    <t>1600001878</t>
  </si>
  <si>
    <t>Credit note raised against 256779414430</t>
  </si>
  <si>
    <t>1600001892</t>
  </si>
  <si>
    <t>Credit note raised against 256779414445</t>
  </si>
  <si>
    <t>1600001418</t>
  </si>
  <si>
    <t>Credit Note against 256779413161</t>
  </si>
  <si>
    <t>1600001421</t>
  </si>
  <si>
    <t>Credit Note against 256779413169</t>
  </si>
  <si>
    <t>1800008627</t>
  </si>
  <si>
    <t>InKPI-CODC-1-15 May 25-BOE9821502</t>
  </si>
  <si>
    <t>1800008628</t>
  </si>
  <si>
    <t>1800008629</t>
  </si>
  <si>
    <t>1800008630</t>
  </si>
  <si>
    <t>1800008631</t>
  </si>
  <si>
    <t>InKPI-CODC-1-15 May 25-BOE9921502</t>
  </si>
  <si>
    <t>1800008632</t>
  </si>
  <si>
    <t>1800008633</t>
  </si>
  <si>
    <t>1800008634</t>
  </si>
  <si>
    <t>1800008635</t>
  </si>
  <si>
    <t>1800008636</t>
  </si>
  <si>
    <t>1800008637</t>
  </si>
  <si>
    <t>1800008638</t>
  </si>
  <si>
    <t>1800008639</t>
  </si>
  <si>
    <t>InKPI-CODC-1-15 May 25-BOE9918629</t>
  </si>
  <si>
    <t>1600002133</t>
  </si>
  <si>
    <t>CN ISSUED TOWARDS BILL NO.256779415304</t>
  </si>
  <si>
    <t>1600002134</t>
  </si>
  <si>
    <t>CN ISSUED TOWARDS BILL NO.256779415305</t>
  </si>
  <si>
    <t>1600002135</t>
  </si>
  <si>
    <t>CN ISSUED TOWARDS BILL NO.256779415306</t>
  </si>
  <si>
    <t>1600002136</t>
  </si>
  <si>
    <t>CN ISSUED TOWARDS BILL NO.256779415307</t>
  </si>
  <si>
    <t>1600002137</t>
  </si>
  <si>
    <t>CN ISSUED TOWARDS BILL NO.256779415308</t>
  </si>
  <si>
    <t>1600002138</t>
  </si>
  <si>
    <t>CN ISSUED TOWARDS BILL NO.256779415339</t>
  </si>
  <si>
    <t>1600002140</t>
  </si>
  <si>
    <t>CN ISSUED TOWARDS BILL NO.256779415321</t>
  </si>
  <si>
    <t>1600002141</t>
  </si>
  <si>
    <t>CN ISSUED TOWARDS BILL NO.256779415374</t>
  </si>
  <si>
    <t>1400001816</t>
  </si>
  <si>
    <t>1600002142</t>
  </si>
  <si>
    <t>CN ISSUED TOWARDS BILL NO.246779414662</t>
  </si>
  <si>
    <t>1600002143</t>
  </si>
  <si>
    <t>CN ISSUED TOWARDS BILL NO.256779415365</t>
  </si>
  <si>
    <t>1800007885</t>
  </si>
  <si>
    <t>VAS 1-15 April-25,Ex.Rate-85.69</t>
  </si>
  <si>
    <t>1800009667</t>
  </si>
  <si>
    <t>1800009666</t>
  </si>
  <si>
    <t>DY</t>
  </si>
  <si>
    <t>08</t>
  </si>
  <si>
    <t>1400001385</t>
  </si>
  <si>
    <t>2025062000094100</t>
  </si>
  <si>
    <t>1400001386</t>
  </si>
  <si>
    <t>2025072100233400</t>
  </si>
  <si>
    <t>1400001534</t>
  </si>
  <si>
    <t>T54SWIC278450</t>
  </si>
  <si>
    <t>1400002056</t>
  </si>
  <si>
    <t>T54SWIC281366</t>
  </si>
  <si>
    <t>1800007249</t>
  </si>
  <si>
    <t>1800003209</t>
  </si>
  <si>
    <t>Port SSR Charges - Shifting for Aug to Dec,24.</t>
  </si>
  <si>
    <t>1800008263</t>
  </si>
  <si>
    <t>Fixed Storage Charges fo MAY 2025</t>
  </si>
  <si>
    <t>1800009595</t>
  </si>
  <si>
    <t>Fixed Storage Charges fo JUNE 2025</t>
  </si>
  <si>
    <t>1800010157</t>
  </si>
  <si>
    <t>Fixed Storage Charges fo JULY 2025</t>
  </si>
  <si>
    <t>1800011363</t>
  </si>
  <si>
    <t>Fixed Storage Charges for August 2025</t>
  </si>
  <si>
    <t>1800012715</t>
  </si>
  <si>
    <t>2097261</t>
  </si>
  <si>
    <t>Fixed Storage Charges for September 2025</t>
  </si>
  <si>
    <t>1800013256</t>
  </si>
  <si>
    <t>2110507</t>
  </si>
  <si>
    <t>Fixed Storage Charges for October 2025</t>
  </si>
  <si>
    <t>1800014238</t>
  </si>
  <si>
    <t>2123158</t>
  </si>
  <si>
    <t>Fixed Storage Charges for November 2025</t>
  </si>
  <si>
    <t>1800015487</t>
  </si>
  <si>
    <t>2139804</t>
  </si>
  <si>
    <t>Fixed Storage Charges for December 2025</t>
  </si>
  <si>
    <t>1800008264</t>
  </si>
  <si>
    <t>1800009596</t>
  </si>
  <si>
    <t>1800010158</t>
  </si>
  <si>
    <t>1800011364</t>
  </si>
  <si>
    <t>1800012716</t>
  </si>
  <si>
    <t>1800013257</t>
  </si>
  <si>
    <t>1800014239</t>
  </si>
  <si>
    <t>1800015488</t>
  </si>
  <si>
    <t>1800008262</t>
  </si>
  <si>
    <t>1800009594</t>
  </si>
  <si>
    <t>1800010156</t>
  </si>
  <si>
    <t>1800011362</t>
  </si>
  <si>
    <t>1800012714</t>
  </si>
  <si>
    <t>1800013255</t>
  </si>
  <si>
    <t>1800014237</t>
  </si>
  <si>
    <t>1800015486</t>
  </si>
  <si>
    <t>1800010576</t>
  </si>
  <si>
    <t>1600001604</t>
  </si>
  <si>
    <t>Credit note raised against INV 256779411097</t>
  </si>
  <si>
    <t>1600002132</t>
  </si>
  <si>
    <t>CN ISSUED TOWARDS BILL NO.256779415303</t>
  </si>
  <si>
    <t>1800006206</t>
  </si>
  <si>
    <t>1800010543</t>
  </si>
  <si>
    <t>1600002139</t>
  </si>
  <si>
    <t>CN ISSUED TOWARDS BILL NO.256779415349</t>
  </si>
  <si>
    <t>1800000803</t>
  </si>
  <si>
    <t>Outbound Handling for Nov 2024</t>
  </si>
  <si>
    <t>1800000885</t>
  </si>
  <si>
    <t>Outbound Handling for Dec 2024</t>
  </si>
  <si>
    <t>1800000725</t>
  </si>
  <si>
    <t>1800005910</t>
  </si>
  <si>
    <t>Storage Charges Feb, 25</t>
  </si>
  <si>
    <t>1800005928</t>
  </si>
  <si>
    <t>Storage Charges Jan, 25</t>
  </si>
  <si>
    <t>1800000942</t>
  </si>
  <si>
    <t>Storage for the month of Nov 2024</t>
  </si>
  <si>
    <t>1800000964</t>
  </si>
  <si>
    <t>Storage for the month of Dec 2024</t>
  </si>
  <si>
    <t>1800000474</t>
  </si>
  <si>
    <t>Storage for the month of Oct 2024</t>
  </si>
  <si>
    <t>1800000427</t>
  </si>
  <si>
    <t>Storage Charges for the month of August, 2024</t>
  </si>
  <si>
    <t>1800000451</t>
  </si>
  <si>
    <t>Storage  for the month of Sept  2024</t>
  </si>
  <si>
    <t>1800000530</t>
  </si>
  <si>
    <t>1800000531</t>
  </si>
  <si>
    <t>1800001928</t>
  </si>
  <si>
    <t>VAS Activity Charges for the month of September, 2</t>
  </si>
  <si>
    <t>1800001929</t>
  </si>
  <si>
    <t>1800001930</t>
  </si>
  <si>
    <t>1800001931</t>
  </si>
  <si>
    <t>1800001932</t>
  </si>
  <si>
    <t>1800001933</t>
  </si>
  <si>
    <t>1800001934</t>
  </si>
  <si>
    <t>1800001935</t>
  </si>
  <si>
    <t>1800001936</t>
  </si>
  <si>
    <t>1800001972</t>
  </si>
  <si>
    <t>1800002052</t>
  </si>
  <si>
    <t>1800002058</t>
  </si>
  <si>
    <t>1800002059</t>
  </si>
  <si>
    <t>1800002060</t>
  </si>
  <si>
    <t>1800002061</t>
  </si>
  <si>
    <t>1800002062</t>
  </si>
  <si>
    <t>1800002063</t>
  </si>
  <si>
    <t>1800002064</t>
  </si>
  <si>
    <t>1800002065</t>
  </si>
  <si>
    <t>1800002066</t>
  </si>
  <si>
    <t>1800002067</t>
  </si>
  <si>
    <t>1800002232</t>
  </si>
  <si>
    <t>1800002233</t>
  </si>
  <si>
    <t>1800002234</t>
  </si>
  <si>
    <t>1800002235</t>
  </si>
  <si>
    <t>1800002236</t>
  </si>
  <si>
    <t>1800002237</t>
  </si>
  <si>
    <t>1800002238</t>
  </si>
  <si>
    <t>1800002239</t>
  </si>
  <si>
    <t>1800002240</t>
  </si>
  <si>
    <t>1800002241</t>
  </si>
  <si>
    <t>1800002242</t>
  </si>
  <si>
    <t>1800002243</t>
  </si>
  <si>
    <t>1800002244</t>
  </si>
  <si>
    <t>1800002245</t>
  </si>
  <si>
    <t>1800002246</t>
  </si>
  <si>
    <t>1800002247</t>
  </si>
  <si>
    <t>1800002248</t>
  </si>
  <si>
    <t>1800002249</t>
  </si>
  <si>
    <t>1800002363</t>
  </si>
  <si>
    <t>1800002364</t>
  </si>
  <si>
    <t>1800002365</t>
  </si>
  <si>
    <t>1800002366</t>
  </si>
  <si>
    <t>1800002367</t>
  </si>
  <si>
    <t>1800002368</t>
  </si>
  <si>
    <t>1800002369</t>
  </si>
  <si>
    <t>1800002370</t>
  </si>
  <si>
    <t>1800002371</t>
  </si>
  <si>
    <t>1800002372</t>
  </si>
  <si>
    <t>1800002373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</si>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</sst>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4" fontId="0" fillId="5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DIAN%20ENTERPRISES_working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2.%20Tax%20&amp;%20Assurance/Capital%20Land/9.%20KUEHNE%20NAGEL%20PVT.%20LTD/Invoices%20and%20CN%20not%20in%20customer%20books-%20remar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AN ENTERPRISES"/>
      <sheetName val="P matching"/>
      <sheetName val="Customer TDS"/>
      <sheetName val="Sheet1"/>
    </sheetNames>
    <sheetDataSet>
      <sheetData sheetId="0">
        <row r="1">
          <cell r="I1">
            <v>-757364.81</v>
          </cell>
        </row>
        <row r="2">
          <cell r="D2" t="str">
            <v>Item#</v>
          </cell>
          <cell r="E2" t="str">
            <v>Item Date</v>
          </cell>
          <cell r="F2" t="str">
            <v>CCY</v>
          </cell>
          <cell r="G2" t="str">
            <v>FC Amount</v>
          </cell>
          <cell r="H2" t="str">
            <v xml:space="preserve">Settled FC Amount </v>
          </cell>
          <cell r="I2" t="str">
            <v>LC Amount</v>
          </cell>
          <cell r="J2" t="str">
            <v>Particular</v>
          </cell>
          <cell r="K2" t="str">
            <v>Due Date</v>
          </cell>
          <cell r="L2" t="str">
            <v>Last Sett. Date</v>
          </cell>
        </row>
        <row r="3">
          <cell r="D3">
            <v>246779411742</v>
          </cell>
          <cell r="E3">
            <v>45733</v>
          </cell>
          <cell r="F3" t="str">
            <v>USD</v>
          </cell>
          <cell r="G3">
            <v>-23.27</v>
          </cell>
          <cell r="H3">
            <v>23.27</v>
          </cell>
          <cell r="I3">
            <v>-2025.48</v>
          </cell>
          <cell r="J3" t="str">
            <v>NO EXCHANGE RATE</v>
          </cell>
          <cell r="K3">
            <v>45763</v>
          </cell>
          <cell r="L3">
            <v>45838</v>
          </cell>
        </row>
        <row r="4">
          <cell r="D4">
            <v>246779411737</v>
          </cell>
          <cell r="E4">
            <v>45733</v>
          </cell>
          <cell r="F4" t="str">
            <v>USD</v>
          </cell>
          <cell r="G4">
            <v>-28.54</v>
          </cell>
          <cell r="H4">
            <v>28.54</v>
          </cell>
          <cell r="I4">
            <v>-2484.19</v>
          </cell>
          <cell r="K4">
            <v>45763</v>
          </cell>
          <cell r="L4">
            <v>45838</v>
          </cell>
        </row>
        <row r="5">
          <cell r="D5">
            <v>246779411734</v>
          </cell>
          <cell r="E5">
            <v>45733</v>
          </cell>
          <cell r="F5" t="str">
            <v>USD</v>
          </cell>
          <cell r="G5">
            <v>-22.83</v>
          </cell>
          <cell r="H5">
            <v>22.83</v>
          </cell>
          <cell r="I5">
            <v>-1987.18</v>
          </cell>
          <cell r="K5">
            <v>45763</v>
          </cell>
          <cell r="L5">
            <v>45838</v>
          </cell>
        </row>
        <row r="6">
          <cell r="D6">
            <v>246779411732</v>
          </cell>
          <cell r="E6">
            <v>45733</v>
          </cell>
          <cell r="F6" t="str">
            <v>USD</v>
          </cell>
          <cell r="G6">
            <v>-28.54</v>
          </cell>
          <cell r="H6">
            <v>28.54</v>
          </cell>
          <cell r="I6">
            <v>-2484.19</v>
          </cell>
          <cell r="K6">
            <v>45763</v>
          </cell>
          <cell r="L6">
            <v>45838</v>
          </cell>
        </row>
        <row r="7">
          <cell r="D7">
            <v>246779411729</v>
          </cell>
          <cell r="E7">
            <v>45733</v>
          </cell>
          <cell r="F7" t="str">
            <v>USD</v>
          </cell>
          <cell r="G7">
            <v>-34.25</v>
          </cell>
          <cell r="H7">
            <v>34.25</v>
          </cell>
          <cell r="I7">
            <v>-2981.2</v>
          </cell>
          <cell r="J7" t="str">
            <v>NO EXCHANGE RATE</v>
          </cell>
          <cell r="K7">
            <v>45763</v>
          </cell>
          <cell r="L7">
            <v>45838</v>
          </cell>
        </row>
        <row r="8">
          <cell r="D8">
            <v>246779411724</v>
          </cell>
          <cell r="E8">
            <v>45733</v>
          </cell>
          <cell r="F8" t="str">
            <v>USD</v>
          </cell>
          <cell r="G8">
            <v>-68.5</v>
          </cell>
          <cell r="H8">
            <v>68.5</v>
          </cell>
          <cell r="I8">
            <v>-5962.41</v>
          </cell>
          <cell r="K8">
            <v>45763</v>
          </cell>
          <cell r="L8">
            <v>45838</v>
          </cell>
        </row>
        <row r="9">
          <cell r="D9">
            <v>246779411721</v>
          </cell>
          <cell r="E9">
            <v>45733</v>
          </cell>
          <cell r="F9" t="str">
            <v>USD</v>
          </cell>
          <cell r="G9">
            <v>-525.63</v>
          </cell>
          <cell r="H9">
            <v>525.63</v>
          </cell>
          <cell r="I9">
            <v>-45752.1</v>
          </cell>
          <cell r="K9">
            <v>45763</v>
          </cell>
          <cell r="L9">
            <v>45838</v>
          </cell>
        </row>
        <row r="10">
          <cell r="D10">
            <v>246779411741</v>
          </cell>
          <cell r="E10">
            <v>45733</v>
          </cell>
          <cell r="F10" t="str">
            <v>USD</v>
          </cell>
          <cell r="G10">
            <v>-240</v>
          </cell>
          <cell r="H10">
            <v>240</v>
          </cell>
          <cell r="I10">
            <v>-20890.18</v>
          </cell>
          <cell r="K10">
            <v>45763</v>
          </cell>
          <cell r="L10">
            <v>45838</v>
          </cell>
        </row>
        <row r="11">
          <cell r="D11">
            <v>246779410315</v>
          </cell>
          <cell r="E11">
            <v>45708</v>
          </cell>
          <cell r="F11" t="str">
            <v>USD</v>
          </cell>
          <cell r="G11">
            <v>-2380.9499999999998</v>
          </cell>
          <cell r="H11">
            <v>2380.9499999999998</v>
          </cell>
          <cell r="I11">
            <v>-207243.64</v>
          </cell>
          <cell r="K11">
            <v>45738</v>
          </cell>
          <cell r="L11">
            <v>45838</v>
          </cell>
        </row>
        <row r="12">
          <cell r="D12">
            <v>246779411735</v>
          </cell>
          <cell r="E12">
            <v>45733</v>
          </cell>
          <cell r="F12" t="str">
            <v>USD</v>
          </cell>
          <cell r="G12">
            <v>-479.25</v>
          </cell>
          <cell r="H12">
            <v>479.25</v>
          </cell>
          <cell r="I12">
            <v>-41715.08</v>
          </cell>
          <cell r="K12">
            <v>45763</v>
          </cell>
          <cell r="L12">
            <v>45838</v>
          </cell>
        </row>
        <row r="13">
          <cell r="D13">
            <v>246779411733</v>
          </cell>
          <cell r="E13">
            <v>45733</v>
          </cell>
          <cell r="F13" t="str">
            <v>USD</v>
          </cell>
          <cell r="G13">
            <v>-17.12</v>
          </cell>
          <cell r="H13">
            <v>17.12</v>
          </cell>
          <cell r="I13">
            <v>-1490.17</v>
          </cell>
          <cell r="K13">
            <v>45763</v>
          </cell>
          <cell r="L13">
            <v>45838</v>
          </cell>
        </row>
        <row r="14">
          <cell r="D14">
            <v>246779411727</v>
          </cell>
          <cell r="E14">
            <v>45733</v>
          </cell>
          <cell r="F14" t="str">
            <v>USD</v>
          </cell>
          <cell r="G14">
            <v>-17.12</v>
          </cell>
          <cell r="H14">
            <v>17.12</v>
          </cell>
          <cell r="I14">
            <v>-1490.17</v>
          </cell>
          <cell r="K14">
            <v>45763</v>
          </cell>
          <cell r="L14">
            <v>45838</v>
          </cell>
        </row>
        <row r="15">
          <cell r="D15">
            <v>246779411726</v>
          </cell>
          <cell r="E15">
            <v>45733</v>
          </cell>
          <cell r="F15" t="str">
            <v>USD</v>
          </cell>
          <cell r="G15">
            <v>-28.54</v>
          </cell>
          <cell r="H15">
            <v>28.54</v>
          </cell>
          <cell r="I15">
            <v>-2484.19</v>
          </cell>
          <cell r="K15">
            <v>45763</v>
          </cell>
          <cell r="L15">
            <v>45838</v>
          </cell>
        </row>
        <row r="16">
          <cell r="D16">
            <v>246779411720</v>
          </cell>
          <cell r="E16">
            <v>45733</v>
          </cell>
          <cell r="F16" t="str">
            <v>USD</v>
          </cell>
          <cell r="G16">
            <v>-17.12</v>
          </cell>
          <cell r="H16">
            <v>17.12</v>
          </cell>
          <cell r="I16">
            <v>-1490.17</v>
          </cell>
          <cell r="K16">
            <v>45763</v>
          </cell>
          <cell r="L16">
            <v>45838</v>
          </cell>
        </row>
        <row r="17">
          <cell r="D17">
            <v>246779411718</v>
          </cell>
          <cell r="E17">
            <v>45733</v>
          </cell>
          <cell r="F17" t="str">
            <v>USD</v>
          </cell>
          <cell r="G17">
            <v>-22.95</v>
          </cell>
          <cell r="H17">
            <v>22.95</v>
          </cell>
          <cell r="I17">
            <v>-1997.62</v>
          </cell>
          <cell r="K17">
            <v>45763</v>
          </cell>
          <cell r="L17">
            <v>45838</v>
          </cell>
        </row>
        <row r="18">
          <cell r="D18">
            <v>246779411637</v>
          </cell>
          <cell r="E18">
            <v>45733</v>
          </cell>
          <cell r="F18" t="str">
            <v>USD</v>
          </cell>
          <cell r="G18">
            <v>-429.65</v>
          </cell>
          <cell r="H18">
            <v>429.65</v>
          </cell>
          <cell r="I18">
            <v>-37397.769999999997</v>
          </cell>
          <cell r="K18">
            <v>45763</v>
          </cell>
          <cell r="L18">
            <v>45838</v>
          </cell>
        </row>
        <row r="19">
          <cell r="D19">
            <v>246779411717</v>
          </cell>
          <cell r="E19">
            <v>45733</v>
          </cell>
          <cell r="F19" t="str">
            <v>USD</v>
          </cell>
          <cell r="G19">
            <v>-45.67</v>
          </cell>
          <cell r="H19">
            <v>45.67</v>
          </cell>
          <cell r="I19">
            <v>-3975.23</v>
          </cell>
          <cell r="K19">
            <v>45763</v>
          </cell>
          <cell r="L19">
            <v>45838</v>
          </cell>
        </row>
        <row r="20">
          <cell r="D20">
            <v>246779411601</v>
          </cell>
          <cell r="E20">
            <v>45733</v>
          </cell>
          <cell r="F20" t="str">
            <v>USD</v>
          </cell>
          <cell r="G20">
            <v>-23.39</v>
          </cell>
          <cell r="H20">
            <v>23.39</v>
          </cell>
          <cell r="I20">
            <v>-2035.92</v>
          </cell>
          <cell r="K20">
            <v>45763</v>
          </cell>
          <cell r="L20">
            <v>45838</v>
          </cell>
        </row>
        <row r="21">
          <cell r="D21">
            <v>246779411740</v>
          </cell>
          <cell r="E21">
            <v>45733</v>
          </cell>
          <cell r="F21" t="str">
            <v>USD</v>
          </cell>
          <cell r="G21">
            <v>-22.83</v>
          </cell>
          <cell r="H21">
            <v>22.83</v>
          </cell>
          <cell r="I21">
            <v>-1987.18</v>
          </cell>
          <cell r="K21">
            <v>45763</v>
          </cell>
          <cell r="L21">
            <v>45838</v>
          </cell>
        </row>
        <row r="22">
          <cell r="D22">
            <v>246779411913</v>
          </cell>
          <cell r="E22">
            <v>45733</v>
          </cell>
          <cell r="F22" t="str">
            <v>USD</v>
          </cell>
          <cell r="G22">
            <v>-28.41</v>
          </cell>
          <cell r="H22">
            <v>28.41</v>
          </cell>
          <cell r="I22">
            <v>-2472.88</v>
          </cell>
          <cell r="K22">
            <v>45763</v>
          </cell>
          <cell r="L22">
            <v>45838</v>
          </cell>
        </row>
        <row r="23">
          <cell r="D23">
            <v>246779411597</v>
          </cell>
          <cell r="E23">
            <v>45733</v>
          </cell>
          <cell r="F23" t="str">
            <v>USD</v>
          </cell>
          <cell r="G23">
            <v>-57.29</v>
          </cell>
          <cell r="H23">
            <v>57.29</v>
          </cell>
          <cell r="I23">
            <v>-4986.66</v>
          </cell>
          <cell r="K23">
            <v>45763</v>
          </cell>
          <cell r="L23">
            <v>45838</v>
          </cell>
        </row>
        <row r="24">
          <cell r="D24">
            <v>246779411739</v>
          </cell>
          <cell r="E24">
            <v>45733</v>
          </cell>
          <cell r="F24" t="str">
            <v>USD</v>
          </cell>
          <cell r="G24">
            <v>-34.25</v>
          </cell>
          <cell r="H24">
            <v>34.25</v>
          </cell>
          <cell r="I24">
            <v>-2981.2</v>
          </cell>
          <cell r="J24" t="str">
            <v>NO EXCHANGE RATE</v>
          </cell>
          <cell r="K24">
            <v>45763</v>
          </cell>
          <cell r="L24">
            <v>45838</v>
          </cell>
        </row>
        <row r="25">
          <cell r="D25">
            <v>246779411914</v>
          </cell>
          <cell r="E25">
            <v>45733</v>
          </cell>
          <cell r="F25" t="str">
            <v>USD</v>
          </cell>
          <cell r="G25">
            <v>-260</v>
          </cell>
          <cell r="H25">
            <v>260</v>
          </cell>
          <cell r="I25">
            <v>-22631.03</v>
          </cell>
          <cell r="K25">
            <v>45763</v>
          </cell>
          <cell r="L25">
            <v>45838</v>
          </cell>
        </row>
        <row r="26">
          <cell r="D26">
            <v>246779411596</v>
          </cell>
          <cell r="E26">
            <v>45733</v>
          </cell>
          <cell r="F26" t="str">
            <v>USD</v>
          </cell>
          <cell r="G26">
            <v>-74.47</v>
          </cell>
          <cell r="H26">
            <v>74.47</v>
          </cell>
          <cell r="I26">
            <v>-6482.05</v>
          </cell>
          <cell r="K26">
            <v>45763</v>
          </cell>
          <cell r="L26">
            <v>45838</v>
          </cell>
        </row>
        <row r="27">
          <cell r="D27">
            <v>246779411738</v>
          </cell>
          <cell r="E27">
            <v>45733</v>
          </cell>
          <cell r="F27" t="str">
            <v>USD</v>
          </cell>
          <cell r="G27">
            <v>-28.54</v>
          </cell>
          <cell r="H27">
            <v>28.54</v>
          </cell>
          <cell r="I27">
            <v>-2484.19</v>
          </cell>
          <cell r="K27">
            <v>45763</v>
          </cell>
          <cell r="L27">
            <v>45838</v>
          </cell>
        </row>
        <row r="28">
          <cell r="D28">
            <v>246779412040</v>
          </cell>
          <cell r="E28">
            <v>45733</v>
          </cell>
          <cell r="F28" t="str">
            <v>USD</v>
          </cell>
          <cell r="G28">
            <v>-16.82</v>
          </cell>
          <cell r="H28">
            <v>16.82</v>
          </cell>
          <cell r="I28">
            <v>-1464.05</v>
          </cell>
          <cell r="J28" t="str">
            <v>NO EXCHANGE RATE / 14 DAYS OLDER</v>
          </cell>
          <cell r="K28">
            <v>45763</v>
          </cell>
          <cell r="L28">
            <v>45838</v>
          </cell>
        </row>
        <row r="29">
          <cell r="D29">
            <v>246779411736</v>
          </cell>
          <cell r="E29">
            <v>45733</v>
          </cell>
          <cell r="F29" t="str">
            <v>USD</v>
          </cell>
          <cell r="G29">
            <v>-22.83</v>
          </cell>
          <cell r="H29">
            <v>22.83</v>
          </cell>
          <cell r="I29">
            <v>-1987.18</v>
          </cell>
          <cell r="K29">
            <v>45763</v>
          </cell>
          <cell r="L29">
            <v>45838</v>
          </cell>
        </row>
        <row r="30">
          <cell r="D30">
            <v>246779411899</v>
          </cell>
          <cell r="E30">
            <v>45733</v>
          </cell>
          <cell r="F30" t="str">
            <v>USD</v>
          </cell>
          <cell r="G30">
            <v>-62.49</v>
          </cell>
          <cell r="H30">
            <v>62.49</v>
          </cell>
          <cell r="I30">
            <v>-5439.28</v>
          </cell>
          <cell r="K30">
            <v>45763</v>
          </cell>
          <cell r="L30">
            <v>45838</v>
          </cell>
        </row>
        <row r="31">
          <cell r="D31">
            <v>246779411896</v>
          </cell>
          <cell r="E31">
            <v>45733</v>
          </cell>
          <cell r="F31" t="str">
            <v>USD</v>
          </cell>
          <cell r="G31">
            <v>-39.770000000000003</v>
          </cell>
          <cell r="H31">
            <v>39.770000000000003</v>
          </cell>
          <cell r="I31">
            <v>-3461.68</v>
          </cell>
          <cell r="K31">
            <v>45763</v>
          </cell>
          <cell r="L31">
            <v>45838</v>
          </cell>
        </row>
        <row r="32">
          <cell r="D32">
            <v>246779411902</v>
          </cell>
          <cell r="E32">
            <v>45733</v>
          </cell>
          <cell r="F32" t="str">
            <v>USD</v>
          </cell>
          <cell r="G32">
            <v>-2.13</v>
          </cell>
          <cell r="H32">
            <v>2.13</v>
          </cell>
          <cell r="I32">
            <v>-185.4</v>
          </cell>
          <cell r="K32">
            <v>45763</v>
          </cell>
          <cell r="L32">
            <v>45838</v>
          </cell>
        </row>
        <row r="33">
          <cell r="D33">
            <v>246779411723</v>
          </cell>
          <cell r="E33">
            <v>45733</v>
          </cell>
          <cell r="F33" t="str">
            <v>USD</v>
          </cell>
          <cell r="G33">
            <v>-45.67</v>
          </cell>
          <cell r="H33">
            <v>45.67</v>
          </cell>
          <cell r="I33">
            <v>-3975.23</v>
          </cell>
          <cell r="J33" t="str">
            <v>NO EXCHANGE RATE</v>
          </cell>
          <cell r="K33">
            <v>45763</v>
          </cell>
          <cell r="L33">
            <v>45838</v>
          </cell>
        </row>
        <row r="34">
          <cell r="D34">
            <v>246779411722</v>
          </cell>
          <cell r="E34">
            <v>45733</v>
          </cell>
          <cell r="F34" t="str">
            <v>USD</v>
          </cell>
          <cell r="G34">
            <v>-39.96</v>
          </cell>
          <cell r="H34">
            <v>39.96</v>
          </cell>
          <cell r="I34">
            <v>-3478.21</v>
          </cell>
          <cell r="K34">
            <v>45763</v>
          </cell>
          <cell r="L34">
            <v>45838</v>
          </cell>
        </row>
        <row r="35">
          <cell r="D35">
            <v>246779411907</v>
          </cell>
          <cell r="E35">
            <v>45733</v>
          </cell>
          <cell r="F35" t="str">
            <v>USD</v>
          </cell>
          <cell r="G35">
            <v>-17.04</v>
          </cell>
          <cell r="H35">
            <v>17.04</v>
          </cell>
          <cell r="I35">
            <v>-1483.2</v>
          </cell>
          <cell r="K35">
            <v>45763</v>
          </cell>
          <cell r="L35">
            <v>45838</v>
          </cell>
        </row>
        <row r="36">
          <cell r="D36">
            <v>246779411909</v>
          </cell>
          <cell r="E36">
            <v>45733</v>
          </cell>
          <cell r="F36" t="str">
            <v>USD</v>
          </cell>
          <cell r="G36">
            <v>-28.41</v>
          </cell>
          <cell r="H36">
            <v>28.41</v>
          </cell>
          <cell r="I36">
            <v>-2472.88</v>
          </cell>
          <cell r="K36">
            <v>45763</v>
          </cell>
          <cell r="L36">
            <v>45838</v>
          </cell>
        </row>
        <row r="37">
          <cell r="D37">
            <v>246779411600</v>
          </cell>
          <cell r="E37">
            <v>45733</v>
          </cell>
          <cell r="F37" t="str">
            <v>USD</v>
          </cell>
          <cell r="G37">
            <v>-2.6</v>
          </cell>
          <cell r="H37">
            <v>2.6</v>
          </cell>
          <cell r="I37">
            <v>-226.31</v>
          </cell>
          <cell r="K37">
            <v>45763</v>
          </cell>
          <cell r="L37">
            <v>45838</v>
          </cell>
        </row>
        <row r="38">
          <cell r="D38">
            <v>246779410436</v>
          </cell>
          <cell r="E38">
            <v>45719</v>
          </cell>
          <cell r="F38" t="str">
            <v>USD</v>
          </cell>
          <cell r="G38">
            <v>-1332.41</v>
          </cell>
          <cell r="H38">
            <v>1332.41</v>
          </cell>
          <cell r="I38">
            <v>-115976.18</v>
          </cell>
          <cell r="K38">
            <v>45749</v>
          </cell>
          <cell r="L38">
            <v>45838</v>
          </cell>
        </row>
        <row r="39">
          <cell r="D39">
            <v>246779411595</v>
          </cell>
          <cell r="E39">
            <v>45733</v>
          </cell>
          <cell r="F39" t="str">
            <v>USD</v>
          </cell>
          <cell r="G39">
            <v>-51.56</v>
          </cell>
          <cell r="H39">
            <v>51.56</v>
          </cell>
          <cell r="I39">
            <v>-4487.91</v>
          </cell>
          <cell r="K39">
            <v>45763</v>
          </cell>
          <cell r="L39">
            <v>45838</v>
          </cell>
        </row>
        <row r="40">
          <cell r="D40">
            <v>246779414663</v>
          </cell>
          <cell r="E40">
            <v>45736</v>
          </cell>
          <cell r="F40" t="str">
            <v>USD</v>
          </cell>
          <cell r="G40">
            <v>-45</v>
          </cell>
          <cell r="H40">
            <v>45</v>
          </cell>
          <cell r="I40">
            <v>-3916.91</v>
          </cell>
          <cell r="K40">
            <v>45766</v>
          </cell>
          <cell r="L40">
            <v>45838</v>
          </cell>
        </row>
        <row r="41">
          <cell r="D41">
            <v>246779411594</v>
          </cell>
          <cell r="E41">
            <v>45733</v>
          </cell>
          <cell r="F41" t="str">
            <v>USD</v>
          </cell>
          <cell r="G41">
            <v>-17.190000000000001</v>
          </cell>
          <cell r="H41">
            <v>17.190000000000001</v>
          </cell>
          <cell r="I41">
            <v>-1496.26</v>
          </cell>
          <cell r="K41">
            <v>45763</v>
          </cell>
          <cell r="L41">
            <v>45838</v>
          </cell>
        </row>
        <row r="42">
          <cell r="D42">
            <v>246779410098</v>
          </cell>
          <cell r="E42">
            <v>45708</v>
          </cell>
          <cell r="F42" t="str">
            <v>USD</v>
          </cell>
          <cell r="G42">
            <v>-2380.9499999999998</v>
          </cell>
          <cell r="H42">
            <v>2380.9499999999998</v>
          </cell>
          <cell r="I42">
            <v>-206046.42</v>
          </cell>
          <cell r="K42">
            <v>45738</v>
          </cell>
          <cell r="L42">
            <v>45838</v>
          </cell>
        </row>
        <row r="43">
          <cell r="D43">
            <v>246779411599</v>
          </cell>
          <cell r="E43">
            <v>45733</v>
          </cell>
          <cell r="F43" t="str">
            <v>USD</v>
          </cell>
          <cell r="G43">
            <v>-37.950000000000003</v>
          </cell>
          <cell r="H43">
            <v>37.950000000000003</v>
          </cell>
          <cell r="I43">
            <v>-3303.26</v>
          </cell>
          <cell r="K43">
            <v>45763</v>
          </cell>
          <cell r="L43">
            <v>45838</v>
          </cell>
        </row>
        <row r="44">
          <cell r="D44">
            <v>246779410132</v>
          </cell>
          <cell r="E44">
            <v>45708</v>
          </cell>
          <cell r="F44" t="str">
            <v>USD</v>
          </cell>
          <cell r="G44">
            <v>-52.38</v>
          </cell>
          <cell r="H44">
            <v>52.38</v>
          </cell>
          <cell r="I44">
            <v>-4532.9399999999996</v>
          </cell>
          <cell r="K44">
            <v>45738</v>
          </cell>
          <cell r="L44">
            <v>45838</v>
          </cell>
        </row>
        <row r="45">
          <cell r="D45">
            <v>246779410413</v>
          </cell>
          <cell r="E45">
            <v>45719</v>
          </cell>
          <cell r="F45" t="str">
            <v>USD</v>
          </cell>
          <cell r="G45">
            <v>-694.12</v>
          </cell>
          <cell r="H45">
            <v>694.12</v>
          </cell>
          <cell r="I45">
            <v>-60417.88</v>
          </cell>
          <cell r="K45">
            <v>45749</v>
          </cell>
          <cell r="L45">
            <v>45838</v>
          </cell>
        </row>
        <row r="46">
          <cell r="D46">
            <v>246779410131</v>
          </cell>
          <cell r="E46">
            <v>45708</v>
          </cell>
          <cell r="F46" t="str">
            <v>USD</v>
          </cell>
          <cell r="G46">
            <v>-95.24</v>
          </cell>
          <cell r="H46">
            <v>95.24</v>
          </cell>
          <cell r="I46">
            <v>-8242.0300000000007</v>
          </cell>
          <cell r="K46">
            <v>45738</v>
          </cell>
          <cell r="L46">
            <v>45838</v>
          </cell>
        </row>
        <row r="47">
          <cell r="D47">
            <v>246779412111</v>
          </cell>
          <cell r="E47">
            <v>45733</v>
          </cell>
          <cell r="F47" t="str">
            <v>USD</v>
          </cell>
          <cell r="G47">
            <v>-420.46</v>
          </cell>
          <cell r="H47">
            <v>420.46</v>
          </cell>
          <cell r="I47">
            <v>-36597.85</v>
          </cell>
          <cell r="K47">
            <v>45763</v>
          </cell>
          <cell r="L47">
            <v>45838</v>
          </cell>
        </row>
        <row r="48">
          <cell r="D48">
            <v>246779411895</v>
          </cell>
          <cell r="E48">
            <v>45733</v>
          </cell>
          <cell r="F48" t="str">
            <v>USD</v>
          </cell>
          <cell r="G48">
            <v>-4.26</v>
          </cell>
          <cell r="H48">
            <v>4.26</v>
          </cell>
          <cell r="I48">
            <v>-370.8</v>
          </cell>
          <cell r="K48">
            <v>45763</v>
          </cell>
          <cell r="L48">
            <v>45838</v>
          </cell>
        </row>
        <row r="49">
          <cell r="D49">
            <v>246779412046</v>
          </cell>
          <cell r="E49">
            <v>45733</v>
          </cell>
          <cell r="F49" t="str">
            <v>USD</v>
          </cell>
          <cell r="G49">
            <v>-16.82</v>
          </cell>
          <cell r="H49">
            <v>16.82</v>
          </cell>
          <cell r="I49">
            <v>-1464.05</v>
          </cell>
          <cell r="K49">
            <v>45763</v>
          </cell>
          <cell r="L49">
            <v>45838</v>
          </cell>
        </row>
        <row r="50">
          <cell r="D50">
            <v>246779411897</v>
          </cell>
          <cell r="E50">
            <v>45733</v>
          </cell>
          <cell r="F50" t="str">
            <v>USD</v>
          </cell>
          <cell r="G50">
            <v>-22.72</v>
          </cell>
          <cell r="H50">
            <v>22.72</v>
          </cell>
          <cell r="I50">
            <v>-1977.6</v>
          </cell>
          <cell r="K50">
            <v>45763</v>
          </cell>
          <cell r="L50">
            <v>45838</v>
          </cell>
        </row>
        <row r="51">
          <cell r="D51">
            <v>246779412044</v>
          </cell>
          <cell r="E51">
            <v>45733</v>
          </cell>
          <cell r="F51" t="str">
            <v>USD</v>
          </cell>
          <cell r="G51">
            <v>-30.37</v>
          </cell>
          <cell r="H51">
            <v>30.37</v>
          </cell>
          <cell r="I51">
            <v>-2643.48</v>
          </cell>
          <cell r="K51">
            <v>45763</v>
          </cell>
          <cell r="L51">
            <v>45838</v>
          </cell>
        </row>
        <row r="52">
          <cell r="D52">
            <v>246779411898</v>
          </cell>
          <cell r="E52">
            <v>45733</v>
          </cell>
          <cell r="F52" t="str">
            <v>USD</v>
          </cell>
          <cell r="G52">
            <v>-7.1</v>
          </cell>
          <cell r="H52">
            <v>7.1</v>
          </cell>
          <cell r="I52">
            <v>-618</v>
          </cell>
          <cell r="K52">
            <v>45763</v>
          </cell>
          <cell r="L52">
            <v>45838</v>
          </cell>
        </row>
        <row r="53">
          <cell r="D53">
            <v>246779412043</v>
          </cell>
          <cell r="E53">
            <v>45733</v>
          </cell>
          <cell r="F53" t="str">
            <v>USD</v>
          </cell>
          <cell r="G53">
            <v>-16.82</v>
          </cell>
          <cell r="H53">
            <v>16.82</v>
          </cell>
          <cell r="I53">
            <v>-1464.05</v>
          </cell>
          <cell r="K53">
            <v>45763</v>
          </cell>
          <cell r="L53">
            <v>45838</v>
          </cell>
        </row>
        <row r="54">
          <cell r="D54">
            <v>246779411915</v>
          </cell>
          <cell r="E54">
            <v>45733</v>
          </cell>
          <cell r="F54" t="str">
            <v>USD</v>
          </cell>
          <cell r="G54">
            <v>-23.17</v>
          </cell>
          <cell r="H54">
            <v>23.17</v>
          </cell>
          <cell r="I54">
            <v>-2016.77</v>
          </cell>
          <cell r="K54">
            <v>45763</v>
          </cell>
          <cell r="L54">
            <v>45838</v>
          </cell>
        </row>
        <row r="55">
          <cell r="D55">
            <v>246779412041</v>
          </cell>
          <cell r="E55">
            <v>45733</v>
          </cell>
          <cell r="F55" t="str">
            <v>USD</v>
          </cell>
          <cell r="G55">
            <v>-33.64</v>
          </cell>
          <cell r="H55">
            <v>33.64</v>
          </cell>
          <cell r="I55">
            <v>-2928.11</v>
          </cell>
          <cell r="J55" t="str">
            <v>NO EXCHANGE RATE / 14 DAYS OLDER</v>
          </cell>
          <cell r="K55">
            <v>45763</v>
          </cell>
          <cell r="L55">
            <v>45838</v>
          </cell>
        </row>
        <row r="56">
          <cell r="D56">
            <v>246779411900</v>
          </cell>
          <cell r="E56">
            <v>45733</v>
          </cell>
          <cell r="F56" t="str">
            <v>USD</v>
          </cell>
          <cell r="G56">
            <v>-73.849999999999994</v>
          </cell>
          <cell r="H56">
            <v>73.849999999999994</v>
          </cell>
          <cell r="I56">
            <v>-6428.08</v>
          </cell>
          <cell r="K56">
            <v>45763</v>
          </cell>
          <cell r="L56">
            <v>45838</v>
          </cell>
        </row>
        <row r="57">
          <cell r="D57">
            <v>246779412048</v>
          </cell>
          <cell r="E57">
            <v>45733</v>
          </cell>
          <cell r="F57" t="str">
            <v>USD</v>
          </cell>
          <cell r="G57">
            <v>-22.78</v>
          </cell>
          <cell r="H57">
            <v>22.78</v>
          </cell>
          <cell r="I57">
            <v>-1982.83</v>
          </cell>
          <cell r="K57">
            <v>45763</v>
          </cell>
          <cell r="L57">
            <v>45838</v>
          </cell>
        </row>
        <row r="58">
          <cell r="D58">
            <v>246779411903</v>
          </cell>
          <cell r="E58">
            <v>45733</v>
          </cell>
          <cell r="F58" t="str">
            <v>USD</v>
          </cell>
          <cell r="G58">
            <v>-3.55</v>
          </cell>
          <cell r="H58">
            <v>3.55</v>
          </cell>
          <cell r="I58">
            <v>-309</v>
          </cell>
          <cell r="K58">
            <v>45763</v>
          </cell>
          <cell r="L58">
            <v>45838</v>
          </cell>
        </row>
        <row r="59">
          <cell r="D59">
            <v>246779411910</v>
          </cell>
          <cell r="E59">
            <v>45733</v>
          </cell>
          <cell r="F59" t="str">
            <v>USD</v>
          </cell>
          <cell r="G59">
            <v>-28.41</v>
          </cell>
          <cell r="H59">
            <v>28.41</v>
          </cell>
          <cell r="I59">
            <v>-2472.88</v>
          </cell>
          <cell r="K59">
            <v>45763</v>
          </cell>
          <cell r="L59">
            <v>45838</v>
          </cell>
        </row>
        <row r="60">
          <cell r="D60">
            <v>246779411598</v>
          </cell>
          <cell r="E60">
            <v>45733</v>
          </cell>
          <cell r="F60" t="str">
            <v>USD</v>
          </cell>
          <cell r="G60">
            <v>-91.66</v>
          </cell>
          <cell r="H60">
            <v>91.66</v>
          </cell>
          <cell r="I60">
            <v>-7978.31</v>
          </cell>
          <cell r="K60">
            <v>45763</v>
          </cell>
          <cell r="L60">
            <v>45838</v>
          </cell>
        </row>
        <row r="61">
          <cell r="D61">
            <v>246779411593</v>
          </cell>
          <cell r="E61">
            <v>45733</v>
          </cell>
          <cell r="F61" t="str">
            <v>USD</v>
          </cell>
          <cell r="G61">
            <v>-40.1</v>
          </cell>
          <cell r="H61">
            <v>40.1</v>
          </cell>
          <cell r="I61">
            <v>-3490.4</v>
          </cell>
          <cell r="K61">
            <v>45763</v>
          </cell>
          <cell r="L61">
            <v>45838</v>
          </cell>
        </row>
        <row r="62">
          <cell r="D62">
            <v>246779412045</v>
          </cell>
          <cell r="E62">
            <v>45733</v>
          </cell>
          <cell r="F62" t="str">
            <v>USD</v>
          </cell>
          <cell r="G62">
            <v>-230</v>
          </cell>
          <cell r="H62">
            <v>230</v>
          </cell>
          <cell r="I62">
            <v>-20019.759999999998</v>
          </cell>
          <cell r="J62" t="str">
            <v>NO EXCHANGE RATE / 14 DAYS OLDER</v>
          </cell>
          <cell r="K62">
            <v>45763</v>
          </cell>
          <cell r="L62">
            <v>45838</v>
          </cell>
        </row>
        <row r="63">
          <cell r="D63">
            <v>246779412042</v>
          </cell>
          <cell r="E63">
            <v>45733</v>
          </cell>
          <cell r="F63" t="str">
            <v>USD</v>
          </cell>
          <cell r="G63">
            <v>-16.82</v>
          </cell>
          <cell r="H63">
            <v>16.82</v>
          </cell>
          <cell r="I63">
            <v>-1464.05</v>
          </cell>
          <cell r="J63" t="str">
            <v>NO EXCHANGE RATE / 14 DAYS OLDER</v>
          </cell>
          <cell r="K63">
            <v>45763</v>
          </cell>
          <cell r="L63">
            <v>45838</v>
          </cell>
        </row>
        <row r="64">
          <cell r="D64">
            <v>246779412038</v>
          </cell>
          <cell r="E64">
            <v>45733</v>
          </cell>
          <cell r="F64" t="str">
            <v>USD</v>
          </cell>
          <cell r="G64">
            <v>-33.64</v>
          </cell>
          <cell r="H64">
            <v>33.64</v>
          </cell>
          <cell r="I64">
            <v>-2928.11</v>
          </cell>
          <cell r="J64" t="str">
            <v>NO EXCHANGE RATE / 14 DAYS OLDER</v>
          </cell>
          <cell r="K64">
            <v>45763</v>
          </cell>
          <cell r="L64">
            <v>45838</v>
          </cell>
        </row>
        <row r="65">
          <cell r="D65">
            <v>246779410312</v>
          </cell>
          <cell r="E65">
            <v>45708</v>
          </cell>
          <cell r="F65" t="str">
            <v>USD</v>
          </cell>
          <cell r="G65">
            <v>-52.38</v>
          </cell>
          <cell r="H65">
            <v>52.38</v>
          </cell>
          <cell r="I65">
            <v>-4559.28</v>
          </cell>
          <cell r="K65">
            <v>45738</v>
          </cell>
          <cell r="L65">
            <v>45838</v>
          </cell>
        </row>
        <row r="66">
          <cell r="D66">
            <v>246779411901</v>
          </cell>
          <cell r="E66">
            <v>45733</v>
          </cell>
          <cell r="F66" t="str">
            <v>USD</v>
          </cell>
          <cell r="G66">
            <v>-12.78</v>
          </cell>
          <cell r="H66">
            <v>12.78</v>
          </cell>
          <cell r="I66">
            <v>-1112.4000000000001</v>
          </cell>
          <cell r="K66">
            <v>45763</v>
          </cell>
          <cell r="L66">
            <v>45838</v>
          </cell>
        </row>
        <row r="67">
          <cell r="D67">
            <v>246779411906</v>
          </cell>
          <cell r="E67">
            <v>45733</v>
          </cell>
          <cell r="F67" t="str">
            <v>USD</v>
          </cell>
          <cell r="G67">
            <v>-34.090000000000003</v>
          </cell>
          <cell r="H67">
            <v>34.090000000000003</v>
          </cell>
          <cell r="I67">
            <v>-2967.28</v>
          </cell>
          <cell r="K67">
            <v>45763</v>
          </cell>
          <cell r="L67">
            <v>45838</v>
          </cell>
        </row>
        <row r="68">
          <cell r="D68">
            <v>246779411911</v>
          </cell>
          <cell r="E68">
            <v>45733</v>
          </cell>
          <cell r="F68" t="str">
            <v>USD</v>
          </cell>
          <cell r="G68">
            <v>-29.83</v>
          </cell>
          <cell r="H68">
            <v>29.83</v>
          </cell>
          <cell r="I68">
            <v>-2596.48</v>
          </cell>
          <cell r="K68">
            <v>45763</v>
          </cell>
          <cell r="L68">
            <v>45838</v>
          </cell>
        </row>
        <row r="69">
          <cell r="D69">
            <v>246779411731</v>
          </cell>
          <cell r="E69">
            <v>45733</v>
          </cell>
          <cell r="F69" t="str">
            <v>USD</v>
          </cell>
          <cell r="G69">
            <v>-22.83</v>
          </cell>
          <cell r="H69">
            <v>22.83</v>
          </cell>
          <cell r="I69">
            <v>-1987.18</v>
          </cell>
          <cell r="K69">
            <v>45763</v>
          </cell>
          <cell r="L69">
            <v>45838</v>
          </cell>
        </row>
        <row r="70">
          <cell r="D70">
            <v>246779414662</v>
          </cell>
          <cell r="E70">
            <v>45736</v>
          </cell>
          <cell r="F70" t="str">
            <v>USD</v>
          </cell>
          <cell r="G70">
            <v>-275</v>
          </cell>
          <cell r="H70">
            <v>275</v>
          </cell>
          <cell r="I70">
            <v>-23936.66</v>
          </cell>
          <cell r="K70">
            <v>45766</v>
          </cell>
          <cell r="L70">
            <v>45838</v>
          </cell>
        </row>
        <row r="71">
          <cell r="D71">
            <v>246779411725</v>
          </cell>
          <cell r="E71">
            <v>45733</v>
          </cell>
          <cell r="F71" t="str">
            <v>USD</v>
          </cell>
          <cell r="G71">
            <v>-22.83</v>
          </cell>
          <cell r="H71">
            <v>22.83</v>
          </cell>
          <cell r="I71">
            <v>-1987.18</v>
          </cell>
          <cell r="K71">
            <v>45763</v>
          </cell>
          <cell r="L71">
            <v>45838</v>
          </cell>
        </row>
        <row r="72">
          <cell r="D72">
            <v>246779411905</v>
          </cell>
          <cell r="E72">
            <v>45733</v>
          </cell>
          <cell r="F72" t="str">
            <v>USD</v>
          </cell>
          <cell r="G72">
            <v>-7.1</v>
          </cell>
          <cell r="H72">
            <v>7.1</v>
          </cell>
          <cell r="I72">
            <v>-618</v>
          </cell>
          <cell r="K72">
            <v>45763</v>
          </cell>
          <cell r="L72">
            <v>45838</v>
          </cell>
        </row>
        <row r="73">
          <cell r="D73">
            <v>246779411719</v>
          </cell>
          <cell r="E73">
            <v>45733</v>
          </cell>
          <cell r="F73" t="str">
            <v>USD</v>
          </cell>
          <cell r="G73">
            <v>-28.54</v>
          </cell>
          <cell r="H73">
            <v>28.54</v>
          </cell>
          <cell r="I73">
            <v>-2484.19</v>
          </cell>
          <cell r="K73">
            <v>45763</v>
          </cell>
          <cell r="L73">
            <v>45838</v>
          </cell>
        </row>
        <row r="74">
          <cell r="D74">
            <v>246779411312</v>
          </cell>
          <cell r="E74">
            <v>45729</v>
          </cell>
          <cell r="F74" t="str">
            <v>USD</v>
          </cell>
          <cell r="G74">
            <v>-27</v>
          </cell>
          <cell r="H74">
            <v>27</v>
          </cell>
          <cell r="I74">
            <v>-2350.15</v>
          </cell>
          <cell r="K74">
            <v>45759</v>
          </cell>
          <cell r="L74">
            <v>45838</v>
          </cell>
        </row>
        <row r="75">
          <cell r="D75">
            <v>246779414385</v>
          </cell>
          <cell r="E75">
            <v>45736</v>
          </cell>
          <cell r="F75" t="str">
            <v>USD</v>
          </cell>
          <cell r="G75">
            <v>-240</v>
          </cell>
          <cell r="H75">
            <v>240</v>
          </cell>
          <cell r="I75">
            <v>-20890.18</v>
          </cell>
          <cell r="K75">
            <v>45766</v>
          </cell>
          <cell r="L75">
            <v>45838</v>
          </cell>
        </row>
        <row r="76">
          <cell r="D76">
            <v>246779411728</v>
          </cell>
          <cell r="E76">
            <v>45733</v>
          </cell>
          <cell r="F76" t="str">
            <v>USD</v>
          </cell>
          <cell r="G76">
            <v>-11.42</v>
          </cell>
          <cell r="H76">
            <v>11.42</v>
          </cell>
          <cell r="I76">
            <v>-994.02</v>
          </cell>
          <cell r="K76">
            <v>45763</v>
          </cell>
          <cell r="L76">
            <v>45838</v>
          </cell>
        </row>
        <row r="77">
          <cell r="D77">
            <v>246779411904</v>
          </cell>
          <cell r="E77">
            <v>45733</v>
          </cell>
          <cell r="F77" t="str">
            <v>USD</v>
          </cell>
          <cell r="G77">
            <v>-58.94</v>
          </cell>
          <cell r="H77">
            <v>58.94</v>
          </cell>
          <cell r="I77">
            <v>-5130.28</v>
          </cell>
          <cell r="K77">
            <v>45763</v>
          </cell>
          <cell r="L77">
            <v>45838</v>
          </cell>
        </row>
        <row r="78">
          <cell r="D78">
            <v>246779411912</v>
          </cell>
          <cell r="E78">
            <v>45733</v>
          </cell>
          <cell r="F78" t="str">
            <v>USD</v>
          </cell>
          <cell r="G78">
            <v>-11.36</v>
          </cell>
          <cell r="H78">
            <v>11.36</v>
          </cell>
          <cell r="I78">
            <v>-988.8</v>
          </cell>
          <cell r="K78">
            <v>45763</v>
          </cell>
          <cell r="L78">
            <v>45838</v>
          </cell>
        </row>
        <row r="79">
          <cell r="D79">
            <v>246779412036</v>
          </cell>
          <cell r="E79">
            <v>45733</v>
          </cell>
          <cell r="F79" t="str">
            <v>USD</v>
          </cell>
          <cell r="G79">
            <v>-28.03</v>
          </cell>
          <cell r="H79">
            <v>28.03</v>
          </cell>
          <cell r="I79">
            <v>-2439.8000000000002</v>
          </cell>
          <cell r="K79">
            <v>45763</v>
          </cell>
          <cell r="L79">
            <v>45838</v>
          </cell>
        </row>
        <row r="80">
          <cell r="D80">
            <v>246779412034</v>
          </cell>
          <cell r="E80">
            <v>45733</v>
          </cell>
          <cell r="F80" t="str">
            <v>USD</v>
          </cell>
          <cell r="G80">
            <v>-33.64</v>
          </cell>
          <cell r="H80">
            <v>33.64</v>
          </cell>
          <cell r="I80">
            <v>-2928.11</v>
          </cell>
          <cell r="K80">
            <v>45763</v>
          </cell>
          <cell r="L80">
            <v>45838</v>
          </cell>
        </row>
        <row r="81">
          <cell r="D81">
            <v>246779412039</v>
          </cell>
          <cell r="E81">
            <v>45733</v>
          </cell>
          <cell r="F81" t="str">
            <v>USD</v>
          </cell>
          <cell r="G81">
            <v>-56.06</v>
          </cell>
          <cell r="H81">
            <v>56.06</v>
          </cell>
          <cell r="I81">
            <v>-4879.6000000000004</v>
          </cell>
          <cell r="K81">
            <v>45763</v>
          </cell>
          <cell r="L81">
            <v>45838</v>
          </cell>
        </row>
        <row r="82">
          <cell r="D82">
            <v>246779412028</v>
          </cell>
          <cell r="E82">
            <v>45733</v>
          </cell>
          <cell r="F82" t="str">
            <v>USD</v>
          </cell>
          <cell r="G82">
            <v>-28.03</v>
          </cell>
          <cell r="H82">
            <v>28.03</v>
          </cell>
          <cell r="I82">
            <v>-2439.8000000000002</v>
          </cell>
          <cell r="K82">
            <v>45763</v>
          </cell>
          <cell r="L82">
            <v>45838</v>
          </cell>
        </row>
        <row r="83">
          <cell r="D83">
            <v>246779411407</v>
          </cell>
          <cell r="E83">
            <v>45730</v>
          </cell>
          <cell r="F83" t="str">
            <v>USD</v>
          </cell>
          <cell r="G83">
            <v>-57.23</v>
          </cell>
          <cell r="H83">
            <v>57.23</v>
          </cell>
          <cell r="I83">
            <v>-4981.4399999999996</v>
          </cell>
          <cell r="K83">
            <v>45760</v>
          </cell>
          <cell r="L83">
            <v>45838</v>
          </cell>
        </row>
        <row r="84">
          <cell r="D84">
            <v>246779410826</v>
          </cell>
          <cell r="E84">
            <v>45720</v>
          </cell>
          <cell r="F84" t="str">
            <v>USD</v>
          </cell>
          <cell r="G84">
            <v>-3</v>
          </cell>
          <cell r="H84">
            <v>3</v>
          </cell>
          <cell r="I84">
            <v>-261.13</v>
          </cell>
          <cell r="K84">
            <v>45750</v>
          </cell>
          <cell r="L84">
            <v>45838</v>
          </cell>
        </row>
        <row r="85">
          <cell r="D85">
            <v>246779410175</v>
          </cell>
          <cell r="E85">
            <v>45708</v>
          </cell>
          <cell r="F85" t="str">
            <v>USD</v>
          </cell>
          <cell r="G85">
            <v>-52.38</v>
          </cell>
          <cell r="H85">
            <v>52.38</v>
          </cell>
          <cell r="I85">
            <v>-4532.9399999999996</v>
          </cell>
          <cell r="K85">
            <v>45738</v>
          </cell>
          <cell r="L85">
            <v>45838</v>
          </cell>
        </row>
        <row r="86">
          <cell r="D86">
            <v>246779411410</v>
          </cell>
          <cell r="E86">
            <v>45730</v>
          </cell>
          <cell r="F86" t="str">
            <v>USD</v>
          </cell>
          <cell r="G86">
            <v>-40.06</v>
          </cell>
          <cell r="H86">
            <v>40.06</v>
          </cell>
          <cell r="I86">
            <v>-3486.92</v>
          </cell>
          <cell r="K86">
            <v>45760</v>
          </cell>
          <cell r="L86">
            <v>45838</v>
          </cell>
        </row>
        <row r="87">
          <cell r="D87">
            <v>246779410141</v>
          </cell>
          <cell r="E87">
            <v>45708</v>
          </cell>
          <cell r="F87" t="str">
            <v>USD</v>
          </cell>
          <cell r="G87">
            <v>-2380.9499999999998</v>
          </cell>
          <cell r="H87">
            <v>2380.9499999999998</v>
          </cell>
          <cell r="I87">
            <v>-206046.42</v>
          </cell>
          <cell r="K87">
            <v>45738</v>
          </cell>
          <cell r="L87">
            <v>45838</v>
          </cell>
        </row>
        <row r="88">
          <cell r="D88">
            <v>246779411413</v>
          </cell>
          <cell r="E88">
            <v>45730</v>
          </cell>
          <cell r="F88" t="str">
            <v>USD</v>
          </cell>
          <cell r="G88">
            <v>-40.06</v>
          </cell>
          <cell r="H88">
            <v>40.06</v>
          </cell>
          <cell r="I88">
            <v>-3486.92</v>
          </cell>
          <cell r="K88">
            <v>45760</v>
          </cell>
          <cell r="L88">
            <v>45838</v>
          </cell>
        </row>
        <row r="89">
          <cell r="D89">
            <v>246779411414</v>
          </cell>
          <cell r="E89">
            <v>45730</v>
          </cell>
          <cell r="F89" t="str">
            <v>USD</v>
          </cell>
          <cell r="G89">
            <v>-28.62</v>
          </cell>
          <cell r="H89">
            <v>28.62</v>
          </cell>
          <cell r="I89">
            <v>-2491.15</v>
          </cell>
          <cell r="K89">
            <v>45760</v>
          </cell>
          <cell r="L89">
            <v>45838</v>
          </cell>
        </row>
        <row r="90">
          <cell r="D90">
            <v>246779411415</v>
          </cell>
          <cell r="E90">
            <v>45730</v>
          </cell>
          <cell r="F90" t="str">
            <v>USD</v>
          </cell>
          <cell r="G90">
            <v>-22.89</v>
          </cell>
          <cell r="H90">
            <v>22.89</v>
          </cell>
          <cell r="I90">
            <v>-1992.4</v>
          </cell>
          <cell r="K90">
            <v>45760</v>
          </cell>
          <cell r="L90">
            <v>45838</v>
          </cell>
        </row>
        <row r="91">
          <cell r="D91">
            <v>246779411417</v>
          </cell>
          <cell r="E91">
            <v>45730</v>
          </cell>
          <cell r="F91" t="str">
            <v>USD</v>
          </cell>
          <cell r="G91">
            <v>-68.680000000000007</v>
          </cell>
          <cell r="H91">
            <v>68.680000000000007</v>
          </cell>
          <cell r="I91">
            <v>-5978.07</v>
          </cell>
          <cell r="K91">
            <v>45760</v>
          </cell>
          <cell r="L91">
            <v>45838</v>
          </cell>
        </row>
        <row r="92">
          <cell r="D92">
            <v>246779410217</v>
          </cell>
          <cell r="E92">
            <v>45708</v>
          </cell>
          <cell r="F92" t="str">
            <v>USD</v>
          </cell>
          <cell r="G92">
            <v>-93.33</v>
          </cell>
          <cell r="H92">
            <v>93.33</v>
          </cell>
          <cell r="I92">
            <v>-8076.74</v>
          </cell>
          <cell r="J92" t="str">
            <v>NO EXCHANGE RATE</v>
          </cell>
          <cell r="K92">
            <v>45738</v>
          </cell>
          <cell r="L92">
            <v>45838</v>
          </cell>
        </row>
        <row r="93">
          <cell r="D93">
            <v>246779410218</v>
          </cell>
          <cell r="E93">
            <v>45708</v>
          </cell>
          <cell r="F93" t="str">
            <v>USD</v>
          </cell>
          <cell r="G93">
            <v>-51.33</v>
          </cell>
          <cell r="H93">
            <v>51.33</v>
          </cell>
          <cell r="I93">
            <v>-4442.08</v>
          </cell>
          <cell r="K93">
            <v>45738</v>
          </cell>
          <cell r="L93">
            <v>45838</v>
          </cell>
        </row>
        <row r="94">
          <cell r="D94">
            <v>256779410818</v>
          </cell>
          <cell r="E94">
            <v>45751</v>
          </cell>
          <cell r="F94" t="str">
            <v>INR</v>
          </cell>
          <cell r="G94" t="str">
            <v xml:space="preserve"> -   </v>
          </cell>
          <cell r="H94" t="str">
            <v xml:space="preserve"> -   </v>
          </cell>
          <cell r="I94">
            <v>-1231.96</v>
          </cell>
          <cell r="J94" t="str">
            <v>NO EXCHANGE RATE</v>
          </cell>
          <cell r="K94">
            <v>45781</v>
          </cell>
          <cell r="L94">
            <v>45961</v>
          </cell>
        </row>
        <row r="95">
          <cell r="D95">
            <v>246779411419</v>
          </cell>
          <cell r="E95">
            <v>45730</v>
          </cell>
          <cell r="F95" t="str">
            <v>USD</v>
          </cell>
          <cell r="G95">
            <v>-23.35</v>
          </cell>
          <cell r="H95">
            <v>23.35</v>
          </cell>
          <cell r="I95">
            <v>-2032.44</v>
          </cell>
          <cell r="K95">
            <v>45760</v>
          </cell>
          <cell r="L95">
            <v>45838</v>
          </cell>
        </row>
        <row r="96">
          <cell r="D96">
            <v>246779413202</v>
          </cell>
          <cell r="E96">
            <v>45735</v>
          </cell>
          <cell r="F96" t="str">
            <v>USD</v>
          </cell>
          <cell r="G96">
            <v>-39.06</v>
          </cell>
          <cell r="H96">
            <v>39.06</v>
          </cell>
          <cell r="I96">
            <v>-3380.24</v>
          </cell>
          <cell r="K96">
            <v>45765</v>
          </cell>
          <cell r="L96">
            <v>45838</v>
          </cell>
        </row>
        <row r="97">
          <cell r="D97">
            <v>256779410262</v>
          </cell>
          <cell r="E97">
            <v>45750</v>
          </cell>
          <cell r="F97" t="str">
            <v>INR</v>
          </cell>
          <cell r="G97" t="str">
            <v xml:space="preserve"> -   </v>
          </cell>
          <cell r="H97" t="str">
            <v xml:space="preserve"> -   </v>
          </cell>
          <cell r="I97">
            <v>-93.33</v>
          </cell>
          <cell r="J97" t="str">
            <v>NO EXCHANGE RATE</v>
          </cell>
          <cell r="K97">
            <v>45780</v>
          </cell>
          <cell r="L97">
            <v>45939</v>
          </cell>
        </row>
        <row r="98">
          <cell r="D98">
            <v>246779412037</v>
          </cell>
          <cell r="E98">
            <v>45733</v>
          </cell>
          <cell r="F98" t="str">
            <v>USD</v>
          </cell>
          <cell r="G98">
            <v>-44.85</v>
          </cell>
          <cell r="H98">
            <v>44.85</v>
          </cell>
          <cell r="I98">
            <v>-3903.85</v>
          </cell>
          <cell r="J98" t="str">
            <v>NO EXCHANGE RATE / 14 DAYS OLDER</v>
          </cell>
          <cell r="K98">
            <v>45763</v>
          </cell>
          <cell r="L98">
            <v>45838</v>
          </cell>
        </row>
        <row r="99">
          <cell r="D99">
            <v>246779412032</v>
          </cell>
          <cell r="E99">
            <v>45733</v>
          </cell>
          <cell r="F99" t="str">
            <v>USD</v>
          </cell>
          <cell r="G99">
            <v>-33.64</v>
          </cell>
          <cell r="H99">
            <v>33.64</v>
          </cell>
          <cell r="I99">
            <v>-2928.11</v>
          </cell>
          <cell r="K99">
            <v>45763</v>
          </cell>
          <cell r="L99">
            <v>45838</v>
          </cell>
        </row>
        <row r="100">
          <cell r="D100">
            <v>246779412030</v>
          </cell>
          <cell r="E100">
            <v>45733</v>
          </cell>
          <cell r="F100" t="str">
            <v>USD</v>
          </cell>
          <cell r="G100">
            <v>-16.82</v>
          </cell>
          <cell r="H100">
            <v>16.82</v>
          </cell>
          <cell r="I100">
            <v>-1464.05</v>
          </cell>
          <cell r="K100">
            <v>45763</v>
          </cell>
          <cell r="L100">
            <v>45838</v>
          </cell>
        </row>
        <row r="101">
          <cell r="D101">
            <v>246779410904</v>
          </cell>
          <cell r="E101">
            <v>45722</v>
          </cell>
          <cell r="F101" t="str">
            <v>USD</v>
          </cell>
          <cell r="G101">
            <v>-1665.82</v>
          </cell>
          <cell r="H101">
            <v>1665.82</v>
          </cell>
          <cell r="I101">
            <v>-144997</v>
          </cell>
          <cell r="K101">
            <v>45752</v>
          </cell>
          <cell r="L101">
            <v>45838</v>
          </cell>
        </row>
        <row r="102">
          <cell r="D102">
            <v>246779410174</v>
          </cell>
          <cell r="E102">
            <v>45708</v>
          </cell>
          <cell r="F102" t="str">
            <v>USD</v>
          </cell>
          <cell r="G102">
            <v>-95.24</v>
          </cell>
          <cell r="H102">
            <v>95.24</v>
          </cell>
          <cell r="I102">
            <v>-8242.0300000000007</v>
          </cell>
          <cell r="K102">
            <v>45738</v>
          </cell>
          <cell r="L102">
            <v>45838</v>
          </cell>
        </row>
        <row r="103">
          <cell r="D103">
            <v>256779411468</v>
          </cell>
          <cell r="E103">
            <v>45762</v>
          </cell>
          <cell r="F103" t="str">
            <v>USD</v>
          </cell>
          <cell r="G103">
            <v>-26.55</v>
          </cell>
          <cell r="H103">
            <v>26.55</v>
          </cell>
          <cell r="I103">
            <v>-2276.0500000000002</v>
          </cell>
          <cell r="K103">
            <v>45792</v>
          </cell>
          <cell r="L103">
            <v>45838</v>
          </cell>
        </row>
        <row r="104">
          <cell r="D104">
            <v>246779410389</v>
          </cell>
          <cell r="E104">
            <v>45719</v>
          </cell>
          <cell r="F104" t="str">
            <v>USD</v>
          </cell>
          <cell r="G104">
            <v>-542.08000000000004</v>
          </cell>
          <cell r="H104">
            <v>542.08000000000004</v>
          </cell>
          <cell r="I104">
            <v>-47183.95</v>
          </cell>
          <cell r="J104" t="str">
            <v>NO EXCHANGE RATE</v>
          </cell>
          <cell r="K104">
            <v>45749</v>
          </cell>
          <cell r="L104">
            <v>45838</v>
          </cell>
        </row>
        <row r="105">
          <cell r="D105">
            <v>246779411409</v>
          </cell>
          <cell r="E105">
            <v>45730</v>
          </cell>
          <cell r="F105" t="str">
            <v>USD</v>
          </cell>
          <cell r="G105">
            <v>-249.55</v>
          </cell>
          <cell r="H105">
            <v>249.55</v>
          </cell>
          <cell r="I105">
            <v>-21721.43</v>
          </cell>
          <cell r="J105" t="str">
            <v>NO EXCHANGE RATE</v>
          </cell>
          <cell r="K105">
            <v>45760</v>
          </cell>
          <cell r="L105">
            <v>45838</v>
          </cell>
        </row>
        <row r="106">
          <cell r="D106">
            <v>246779411408</v>
          </cell>
          <cell r="E106">
            <v>45730</v>
          </cell>
          <cell r="F106" t="str">
            <v>USD</v>
          </cell>
          <cell r="G106">
            <v>-40.06</v>
          </cell>
          <cell r="H106">
            <v>40.06</v>
          </cell>
          <cell r="I106">
            <v>-3486.92</v>
          </cell>
          <cell r="K106">
            <v>45760</v>
          </cell>
          <cell r="L106">
            <v>45838</v>
          </cell>
        </row>
        <row r="107">
          <cell r="D107">
            <v>246779411411</v>
          </cell>
          <cell r="E107">
            <v>45730</v>
          </cell>
          <cell r="F107" t="str">
            <v>USD</v>
          </cell>
          <cell r="G107">
            <v>-45.79</v>
          </cell>
          <cell r="H107">
            <v>45.79</v>
          </cell>
          <cell r="I107">
            <v>-3985.67</v>
          </cell>
          <cell r="K107">
            <v>45760</v>
          </cell>
          <cell r="L107">
            <v>45838</v>
          </cell>
        </row>
        <row r="108">
          <cell r="D108">
            <v>246779411412</v>
          </cell>
          <cell r="E108">
            <v>45730</v>
          </cell>
          <cell r="F108" t="str">
            <v>USD</v>
          </cell>
          <cell r="G108">
            <v>-20.03</v>
          </cell>
          <cell r="H108">
            <v>20.03</v>
          </cell>
          <cell r="I108">
            <v>-1743.46</v>
          </cell>
          <cell r="K108">
            <v>45760</v>
          </cell>
          <cell r="L108">
            <v>45838</v>
          </cell>
        </row>
        <row r="109">
          <cell r="D109">
            <v>246779411416</v>
          </cell>
          <cell r="E109">
            <v>45730</v>
          </cell>
          <cell r="F109" t="str">
            <v>USD</v>
          </cell>
          <cell r="G109">
            <v>-114.46</v>
          </cell>
          <cell r="H109">
            <v>114.46</v>
          </cell>
          <cell r="I109">
            <v>-9962.8700000000008</v>
          </cell>
          <cell r="K109">
            <v>45760</v>
          </cell>
          <cell r="L109">
            <v>45838</v>
          </cell>
        </row>
        <row r="110">
          <cell r="D110">
            <v>246779411418</v>
          </cell>
          <cell r="E110">
            <v>45730</v>
          </cell>
          <cell r="F110" t="str">
            <v>USD</v>
          </cell>
          <cell r="G110">
            <v>-312.5</v>
          </cell>
          <cell r="H110">
            <v>312.5</v>
          </cell>
          <cell r="I110">
            <v>-27200.75</v>
          </cell>
          <cell r="K110">
            <v>45760</v>
          </cell>
          <cell r="L110">
            <v>45838</v>
          </cell>
        </row>
        <row r="111">
          <cell r="D111">
            <v>246779410184</v>
          </cell>
          <cell r="E111">
            <v>45708</v>
          </cell>
          <cell r="F111" t="str">
            <v>USD</v>
          </cell>
          <cell r="G111">
            <v>-2333.1799999999998</v>
          </cell>
          <cell r="H111">
            <v>2333.1799999999998</v>
          </cell>
          <cell r="I111">
            <v>-201912.42</v>
          </cell>
          <cell r="J111" t="str">
            <v>NO EXCHANGE RATE</v>
          </cell>
          <cell r="K111">
            <v>45738</v>
          </cell>
          <cell r="L111">
            <v>45838</v>
          </cell>
        </row>
        <row r="112">
          <cell r="D112">
            <v>246779413730</v>
          </cell>
          <cell r="E112">
            <v>45736</v>
          </cell>
          <cell r="F112" t="str">
            <v>USD</v>
          </cell>
          <cell r="G112">
            <v>-3.2</v>
          </cell>
          <cell r="H112">
            <v>3.2</v>
          </cell>
          <cell r="I112">
            <v>-278.54000000000002</v>
          </cell>
          <cell r="K112">
            <v>45766</v>
          </cell>
          <cell r="L112">
            <v>45838</v>
          </cell>
        </row>
        <row r="113">
          <cell r="D113">
            <v>256779410263</v>
          </cell>
          <cell r="E113">
            <v>45750</v>
          </cell>
          <cell r="F113" t="str">
            <v>INR</v>
          </cell>
          <cell r="G113" t="str">
            <v xml:space="preserve"> -   </v>
          </cell>
          <cell r="H113" t="str">
            <v xml:space="preserve"> -   </v>
          </cell>
          <cell r="I113">
            <v>-51.33</v>
          </cell>
          <cell r="J113" t="str">
            <v>NO EXCHANGE RATE</v>
          </cell>
          <cell r="K113">
            <v>45780</v>
          </cell>
          <cell r="L113">
            <v>45939</v>
          </cell>
        </row>
        <row r="114">
          <cell r="D114">
            <v>256779412012</v>
          </cell>
          <cell r="E114">
            <v>45763</v>
          </cell>
          <cell r="F114" t="str">
            <v>INR</v>
          </cell>
          <cell r="G114" t="str">
            <v xml:space="preserve"> -   </v>
          </cell>
          <cell r="H114" t="str">
            <v xml:space="preserve"> -   </v>
          </cell>
          <cell r="I114">
            <v>-1051.22</v>
          </cell>
          <cell r="J114" t="str">
            <v>NO EXCHANGE RATE</v>
          </cell>
          <cell r="K114">
            <v>45793</v>
          </cell>
          <cell r="L114">
            <v>45820</v>
          </cell>
        </row>
        <row r="115">
          <cell r="D115">
            <v>246779412035</v>
          </cell>
          <cell r="E115">
            <v>45733</v>
          </cell>
          <cell r="F115" t="str">
            <v>USD</v>
          </cell>
          <cell r="G115">
            <v>-72.88</v>
          </cell>
          <cell r="H115">
            <v>72.88</v>
          </cell>
          <cell r="I115">
            <v>-6343.65</v>
          </cell>
          <cell r="K115">
            <v>45763</v>
          </cell>
          <cell r="L115">
            <v>45838</v>
          </cell>
        </row>
        <row r="116">
          <cell r="D116">
            <v>246779412031</v>
          </cell>
          <cell r="E116">
            <v>45733</v>
          </cell>
          <cell r="F116" t="str">
            <v>USD</v>
          </cell>
          <cell r="G116">
            <v>-28.03</v>
          </cell>
          <cell r="H116">
            <v>28.03</v>
          </cell>
          <cell r="I116">
            <v>-2439.8000000000002</v>
          </cell>
          <cell r="J116" t="str">
            <v>NO EXCHANGE RATE / 14 DAYS OLDER</v>
          </cell>
          <cell r="K116">
            <v>45763</v>
          </cell>
          <cell r="L116">
            <v>45838</v>
          </cell>
        </row>
        <row r="117">
          <cell r="D117">
            <v>246779412029</v>
          </cell>
          <cell r="E117">
            <v>45733</v>
          </cell>
          <cell r="F117" t="str">
            <v>USD</v>
          </cell>
          <cell r="G117">
            <v>-22.42</v>
          </cell>
          <cell r="H117">
            <v>22.42</v>
          </cell>
          <cell r="I117">
            <v>-1951.49</v>
          </cell>
          <cell r="K117">
            <v>45763</v>
          </cell>
          <cell r="L117">
            <v>45838</v>
          </cell>
        </row>
        <row r="118">
          <cell r="D118">
            <v>246779410227</v>
          </cell>
          <cell r="E118">
            <v>45708</v>
          </cell>
          <cell r="F118" t="str">
            <v>USD</v>
          </cell>
          <cell r="G118">
            <v>-2286.2399999999998</v>
          </cell>
          <cell r="H118">
            <v>2286.2399999999998</v>
          </cell>
          <cell r="I118">
            <v>-197850.25</v>
          </cell>
          <cell r="K118">
            <v>45738</v>
          </cell>
          <cell r="L118">
            <v>45869</v>
          </cell>
        </row>
        <row r="119">
          <cell r="D119">
            <v>2439105</v>
          </cell>
          <cell r="E119">
            <v>45827</v>
          </cell>
          <cell r="F119" t="str">
            <v>INR</v>
          </cell>
          <cell r="G119" t="str">
            <v xml:space="preserve"> -   </v>
          </cell>
          <cell r="H119" t="str">
            <v xml:space="preserve"> -   </v>
          </cell>
          <cell r="I119">
            <v>1760137.77</v>
          </cell>
          <cell r="J119" t="str">
            <v>Outwards remit C-A023951 USD20175.95@87.24</v>
          </cell>
          <cell r="K119">
            <v>45827</v>
          </cell>
          <cell r="L119">
            <v>45869</v>
          </cell>
        </row>
        <row r="120">
          <cell r="D120">
            <v>246779411973</v>
          </cell>
          <cell r="E120">
            <v>45733</v>
          </cell>
          <cell r="F120" t="str">
            <v>USD</v>
          </cell>
          <cell r="G120">
            <v>-426.09</v>
          </cell>
          <cell r="H120">
            <v>426.09</v>
          </cell>
          <cell r="I120">
            <v>-37087.9</v>
          </cell>
          <cell r="K120">
            <v>45763</v>
          </cell>
          <cell r="L120">
            <v>45869</v>
          </cell>
        </row>
        <row r="121">
          <cell r="D121">
            <v>246779412033</v>
          </cell>
          <cell r="E121">
            <v>45733</v>
          </cell>
          <cell r="F121" t="str">
            <v>USD</v>
          </cell>
          <cell r="G121">
            <v>-22.42</v>
          </cell>
          <cell r="H121">
            <v>22.42</v>
          </cell>
          <cell r="I121">
            <v>-1951.49</v>
          </cell>
          <cell r="K121">
            <v>45763</v>
          </cell>
          <cell r="L121">
            <v>45869</v>
          </cell>
        </row>
        <row r="122">
          <cell r="D122">
            <v>246779410260</v>
          </cell>
          <cell r="E122">
            <v>45708</v>
          </cell>
          <cell r="F122" t="str">
            <v>USD</v>
          </cell>
          <cell r="G122">
            <v>-91.45</v>
          </cell>
          <cell r="H122">
            <v>91.45</v>
          </cell>
          <cell r="I122">
            <v>-7914.04</v>
          </cell>
          <cell r="K122">
            <v>45738</v>
          </cell>
          <cell r="L122">
            <v>45869</v>
          </cell>
        </row>
        <row r="123">
          <cell r="D123">
            <v>246779413936</v>
          </cell>
          <cell r="E123">
            <v>45736</v>
          </cell>
          <cell r="F123" t="str">
            <v>USD</v>
          </cell>
          <cell r="G123">
            <v>-27.5</v>
          </cell>
          <cell r="H123">
            <v>27.5</v>
          </cell>
          <cell r="I123">
            <v>-2393.67</v>
          </cell>
          <cell r="K123">
            <v>45766</v>
          </cell>
          <cell r="L123">
            <v>45869</v>
          </cell>
        </row>
        <row r="124">
          <cell r="D124">
            <v>256779410801</v>
          </cell>
          <cell r="E124">
            <v>45751</v>
          </cell>
          <cell r="F124" t="str">
            <v>USD</v>
          </cell>
          <cell r="G124">
            <v>-2829.48</v>
          </cell>
          <cell r="H124">
            <v>2829.48</v>
          </cell>
          <cell r="I124">
            <v>-242562.74</v>
          </cell>
          <cell r="K124">
            <v>45781</v>
          </cell>
          <cell r="L124">
            <v>45869</v>
          </cell>
        </row>
        <row r="125">
          <cell r="D125">
            <v>256779412524</v>
          </cell>
          <cell r="E125">
            <v>45769</v>
          </cell>
          <cell r="F125" t="str">
            <v>USD</v>
          </cell>
          <cell r="G125">
            <v>-36.5</v>
          </cell>
          <cell r="H125">
            <v>36.5</v>
          </cell>
          <cell r="I125">
            <v>-3129.03</v>
          </cell>
          <cell r="K125">
            <v>45799</v>
          </cell>
          <cell r="L125">
            <v>45869</v>
          </cell>
        </row>
        <row r="126">
          <cell r="D126">
            <v>256779412529</v>
          </cell>
          <cell r="E126">
            <v>45769</v>
          </cell>
          <cell r="F126" t="str">
            <v>USD</v>
          </cell>
          <cell r="G126">
            <v>-29.57</v>
          </cell>
          <cell r="H126">
            <v>29.57</v>
          </cell>
          <cell r="I126">
            <v>-2534.9499999999998</v>
          </cell>
          <cell r="K126">
            <v>45799</v>
          </cell>
          <cell r="L126">
            <v>45869</v>
          </cell>
        </row>
        <row r="127">
          <cell r="D127">
            <v>256779412536</v>
          </cell>
          <cell r="E127">
            <v>45769</v>
          </cell>
          <cell r="F127" t="str">
            <v>USD</v>
          </cell>
          <cell r="G127">
            <v>-37.020000000000003</v>
          </cell>
          <cell r="H127">
            <v>37.020000000000003</v>
          </cell>
          <cell r="I127">
            <v>-3173.61</v>
          </cell>
          <cell r="K127">
            <v>45799</v>
          </cell>
          <cell r="L127">
            <v>45869</v>
          </cell>
        </row>
        <row r="128">
          <cell r="D128">
            <v>256779412537</v>
          </cell>
          <cell r="E128">
            <v>45769</v>
          </cell>
          <cell r="F128" t="str">
            <v>USD</v>
          </cell>
          <cell r="G128">
            <v>-407.58</v>
          </cell>
          <cell r="H128">
            <v>407.58</v>
          </cell>
          <cell r="I128">
            <v>-34940.6</v>
          </cell>
          <cell r="K128">
            <v>45799</v>
          </cell>
          <cell r="L128">
            <v>45869</v>
          </cell>
        </row>
        <row r="129">
          <cell r="D129">
            <v>256779412579</v>
          </cell>
          <cell r="E129">
            <v>45769</v>
          </cell>
          <cell r="F129" t="str">
            <v>USD</v>
          </cell>
          <cell r="G129">
            <v>-57.6</v>
          </cell>
          <cell r="H129">
            <v>57.6</v>
          </cell>
          <cell r="I129">
            <v>-4937.87</v>
          </cell>
          <cell r="K129">
            <v>45799</v>
          </cell>
          <cell r="L129">
            <v>45869</v>
          </cell>
        </row>
        <row r="130">
          <cell r="D130">
            <v>256779412586</v>
          </cell>
          <cell r="E130">
            <v>45769</v>
          </cell>
          <cell r="F130" t="str">
            <v>USD</v>
          </cell>
          <cell r="G130">
            <v>-51.5</v>
          </cell>
          <cell r="H130">
            <v>51.5</v>
          </cell>
          <cell r="I130">
            <v>-4414.9399999999996</v>
          </cell>
          <cell r="K130">
            <v>45799</v>
          </cell>
          <cell r="L130">
            <v>45869</v>
          </cell>
        </row>
        <row r="131">
          <cell r="D131">
            <v>246779412994</v>
          </cell>
          <cell r="E131">
            <v>45735</v>
          </cell>
          <cell r="F131" t="str">
            <v>USD</v>
          </cell>
          <cell r="G131">
            <v>-2297.27</v>
          </cell>
          <cell r="H131">
            <v>2297.27</v>
          </cell>
          <cell r="I131">
            <v>-199959.93</v>
          </cell>
          <cell r="K131">
            <v>45765</v>
          </cell>
          <cell r="L131">
            <v>45869</v>
          </cell>
        </row>
        <row r="132">
          <cell r="D132">
            <v>246779413889</v>
          </cell>
          <cell r="E132">
            <v>45736</v>
          </cell>
          <cell r="F132" t="str">
            <v>USD</v>
          </cell>
          <cell r="G132">
            <v>-42.5</v>
          </cell>
          <cell r="H132">
            <v>42.5</v>
          </cell>
          <cell r="I132">
            <v>-3699.3</v>
          </cell>
          <cell r="K132">
            <v>45766</v>
          </cell>
          <cell r="L132">
            <v>45869</v>
          </cell>
        </row>
        <row r="133">
          <cell r="D133">
            <v>246779413023</v>
          </cell>
          <cell r="E133">
            <v>45735</v>
          </cell>
          <cell r="F133" t="str">
            <v>USD</v>
          </cell>
          <cell r="G133">
            <v>-91.89</v>
          </cell>
          <cell r="H133">
            <v>91.89</v>
          </cell>
          <cell r="I133">
            <v>-7998.33</v>
          </cell>
          <cell r="K133">
            <v>45765</v>
          </cell>
          <cell r="L133">
            <v>45869</v>
          </cell>
        </row>
        <row r="134">
          <cell r="D134">
            <v>246779413920</v>
          </cell>
          <cell r="E134">
            <v>45736</v>
          </cell>
          <cell r="F134" t="str">
            <v>USD</v>
          </cell>
          <cell r="G134">
            <v>-22.5</v>
          </cell>
          <cell r="H134">
            <v>22.5</v>
          </cell>
          <cell r="I134">
            <v>-1958.45</v>
          </cell>
          <cell r="K134">
            <v>45766</v>
          </cell>
          <cell r="L134">
            <v>45869</v>
          </cell>
        </row>
        <row r="135">
          <cell r="D135">
            <v>256779410196</v>
          </cell>
          <cell r="E135">
            <v>45750</v>
          </cell>
          <cell r="F135" t="str">
            <v>USD</v>
          </cell>
          <cell r="G135">
            <v>-246.52</v>
          </cell>
          <cell r="H135">
            <v>246.52</v>
          </cell>
          <cell r="I135">
            <v>-21133.41</v>
          </cell>
          <cell r="K135">
            <v>45780</v>
          </cell>
          <cell r="L135">
            <v>45869</v>
          </cell>
        </row>
        <row r="136">
          <cell r="D136">
            <v>246779413941</v>
          </cell>
          <cell r="E136">
            <v>45736</v>
          </cell>
          <cell r="F136" t="str">
            <v>USD</v>
          </cell>
          <cell r="G136">
            <v>-30</v>
          </cell>
          <cell r="H136">
            <v>30</v>
          </cell>
          <cell r="I136">
            <v>-2611.27</v>
          </cell>
          <cell r="K136">
            <v>45766</v>
          </cell>
          <cell r="L136">
            <v>45869</v>
          </cell>
        </row>
        <row r="137">
          <cell r="D137">
            <v>256779412092</v>
          </cell>
          <cell r="E137">
            <v>45763</v>
          </cell>
          <cell r="F137" t="str">
            <v>USD</v>
          </cell>
          <cell r="G137">
            <v>-289.17</v>
          </cell>
          <cell r="H137">
            <v>289.17</v>
          </cell>
          <cell r="I137">
            <v>-24789.67</v>
          </cell>
          <cell r="K137">
            <v>45793</v>
          </cell>
          <cell r="L137">
            <v>45869</v>
          </cell>
        </row>
        <row r="138">
          <cell r="D138">
            <v>256779410303</v>
          </cell>
          <cell r="E138">
            <v>45750</v>
          </cell>
          <cell r="F138" t="str">
            <v>USD</v>
          </cell>
          <cell r="G138">
            <v>-91.45</v>
          </cell>
          <cell r="H138">
            <v>91.45</v>
          </cell>
          <cell r="I138">
            <v>-7839.73</v>
          </cell>
          <cell r="K138">
            <v>45780</v>
          </cell>
          <cell r="L138">
            <v>45869</v>
          </cell>
        </row>
        <row r="139">
          <cell r="D139">
            <v>256779412184</v>
          </cell>
          <cell r="E139">
            <v>45768</v>
          </cell>
          <cell r="F139" t="str">
            <v>USD</v>
          </cell>
          <cell r="G139">
            <v>-93.23</v>
          </cell>
          <cell r="H139">
            <v>93.23</v>
          </cell>
          <cell r="I139">
            <v>-7992.33</v>
          </cell>
          <cell r="K139">
            <v>45798</v>
          </cell>
          <cell r="L139">
            <v>45869</v>
          </cell>
        </row>
        <row r="140">
          <cell r="D140">
            <v>256779412053</v>
          </cell>
          <cell r="E140">
            <v>45763</v>
          </cell>
          <cell r="F140" t="str">
            <v>USD</v>
          </cell>
          <cell r="G140">
            <v>-985.93</v>
          </cell>
          <cell r="H140">
            <v>985.93</v>
          </cell>
          <cell r="I140">
            <v>-84520.79</v>
          </cell>
          <cell r="K140">
            <v>45793</v>
          </cell>
          <cell r="L140">
            <v>45869</v>
          </cell>
        </row>
        <row r="141">
          <cell r="D141">
            <v>256779412185</v>
          </cell>
          <cell r="E141">
            <v>45768</v>
          </cell>
          <cell r="F141" t="str">
            <v>USD</v>
          </cell>
          <cell r="G141">
            <v>-51.28</v>
          </cell>
          <cell r="H141">
            <v>51.28</v>
          </cell>
          <cell r="I141">
            <v>-4396.08</v>
          </cell>
          <cell r="K141">
            <v>45798</v>
          </cell>
          <cell r="L141">
            <v>45869</v>
          </cell>
        </row>
        <row r="142">
          <cell r="D142">
            <v>256779412563</v>
          </cell>
          <cell r="E142">
            <v>45769</v>
          </cell>
          <cell r="F142" t="str">
            <v>USD</v>
          </cell>
          <cell r="G142">
            <v>-27</v>
          </cell>
          <cell r="H142">
            <v>27</v>
          </cell>
          <cell r="I142">
            <v>-2314.63</v>
          </cell>
          <cell r="K142">
            <v>45799</v>
          </cell>
          <cell r="L142">
            <v>45869</v>
          </cell>
        </row>
        <row r="143">
          <cell r="D143">
            <v>246779410882</v>
          </cell>
          <cell r="E143">
            <v>45722</v>
          </cell>
          <cell r="F143" t="str">
            <v>USD</v>
          </cell>
          <cell r="G143">
            <v>-2232.73</v>
          </cell>
          <cell r="H143">
            <v>2232.73</v>
          </cell>
          <cell r="I143">
            <v>-194342.21</v>
          </cell>
          <cell r="K143">
            <v>45752</v>
          </cell>
          <cell r="L143">
            <v>45869</v>
          </cell>
        </row>
        <row r="144">
          <cell r="D144">
            <v>256779412576</v>
          </cell>
          <cell r="E144">
            <v>45769</v>
          </cell>
          <cell r="F144" t="str">
            <v>USD</v>
          </cell>
          <cell r="G144">
            <v>-46</v>
          </cell>
          <cell r="H144">
            <v>46</v>
          </cell>
          <cell r="I144">
            <v>-3943.44</v>
          </cell>
          <cell r="K144">
            <v>45799</v>
          </cell>
          <cell r="L144">
            <v>45869</v>
          </cell>
        </row>
        <row r="145">
          <cell r="D145">
            <v>256779412577</v>
          </cell>
          <cell r="E145">
            <v>45769</v>
          </cell>
          <cell r="F145" t="str">
            <v>USD</v>
          </cell>
          <cell r="G145">
            <v>-46</v>
          </cell>
          <cell r="H145">
            <v>46</v>
          </cell>
          <cell r="I145">
            <v>-3943.44</v>
          </cell>
          <cell r="K145">
            <v>45799</v>
          </cell>
          <cell r="L145">
            <v>45869</v>
          </cell>
        </row>
        <row r="146">
          <cell r="D146">
            <v>256779412580</v>
          </cell>
          <cell r="E146">
            <v>45769</v>
          </cell>
          <cell r="F146" t="str">
            <v>USD</v>
          </cell>
          <cell r="G146">
            <v>-40.5</v>
          </cell>
          <cell r="H146">
            <v>40.5</v>
          </cell>
          <cell r="I146">
            <v>-3471.94</v>
          </cell>
          <cell r="K146">
            <v>45799</v>
          </cell>
          <cell r="L146">
            <v>45869</v>
          </cell>
        </row>
        <row r="147">
          <cell r="D147">
            <v>246779413815</v>
          </cell>
          <cell r="E147">
            <v>45736</v>
          </cell>
          <cell r="F147" t="str">
            <v>USD</v>
          </cell>
          <cell r="G147">
            <v>-50</v>
          </cell>
          <cell r="H147">
            <v>50</v>
          </cell>
          <cell r="I147">
            <v>-4352.12</v>
          </cell>
          <cell r="K147">
            <v>45766</v>
          </cell>
          <cell r="L147">
            <v>45869</v>
          </cell>
        </row>
        <row r="148">
          <cell r="D148">
            <v>256779410304</v>
          </cell>
          <cell r="E148">
            <v>45750</v>
          </cell>
          <cell r="F148" t="str">
            <v>USD</v>
          </cell>
          <cell r="G148">
            <v>-50.3</v>
          </cell>
          <cell r="H148">
            <v>50.3</v>
          </cell>
          <cell r="I148">
            <v>-4312.07</v>
          </cell>
          <cell r="K148">
            <v>45780</v>
          </cell>
          <cell r="L148">
            <v>45869</v>
          </cell>
        </row>
        <row r="149">
          <cell r="D149">
            <v>246779413024</v>
          </cell>
          <cell r="E149">
            <v>45735</v>
          </cell>
          <cell r="F149" t="str">
            <v>USD</v>
          </cell>
          <cell r="G149">
            <v>-50.54</v>
          </cell>
          <cell r="H149">
            <v>50.54</v>
          </cell>
          <cell r="I149">
            <v>-4399.12</v>
          </cell>
          <cell r="K149">
            <v>45765</v>
          </cell>
          <cell r="L149">
            <v>45869</v>
          </cell>
        </row>
        <row r="150">
          <cell r="D150">
            <v>256779412091</v>
          </cell>
          <cell r="E150">
            <v>45763</v>
          </cell>
          <cell r="F150" t="str">
            <v>USD</v>
          </cell>
          <cell r="G150">
            <v>-96.4</v>
          </cell>
          <cell r="H150">
            <v>96.4</v>
          </cell>
          <cell r="I150">
            <v>-8264.08</v>
          </cell>
          <cell r="K150">
            <v>45793</v>
          </cell>
          <cell r="L150">
            <v>45869</v>
          </cell>
        </row>
        <row r="151">
          <cell r="D151">
            <v>256779412562</v>
          </cell>
          <cell r="E151">
            <v>45769</v>
          </cell>
          <cell r="F151" t="str">
            <v>USD</v>
          </cell>
          <cell r="G151">
            <v>-54.65</v>
          </cell>
          <cell r="H151">
            <v>54.65</v>
          </cell>
          <cell r="I151">
            <v>-4684.9799999999996</v>
          </cell>
          <cell r="K151">
            <v>45799</v>
          </cell>
          <cell r="L151">
            <v>45869</v>
          </cell>
        </row>
        <row r="152">
          <cell r="D152">
            <v>256779412123</v>
          </cell>
          <cell r="E152">
            <v>45763</v>
          </cell>
          <cell r="F152" t="str">
            <v>USD</v>
          </cell>
          <cell r="G152">
            <v>-3318.21</v>
          </cell>
          <cell r="H152">
            <v>3318.21</v>
          </cell>
          <cell r="I152">
            <v>-284460.08</v>
          </cell>
          <cell r="K152">
            <v>45793</v>
          </cell>
          <cell r="L152">
            <v>45869</v>
          </cell>
        </row>
        <row r="153">
          <cell r="D153">
            <v>256779412564</v>
          </cell>
          <cell r="E153">
            <v>45769</v>
          </cell>
          <cell r="F153" t="str">
            <v>USD</v>
          </cell>
          <cell r="G153">
            <v>-55.2</v>
          </cell>
          <cell r="H153">
            <v>55.2</v>
          </cell>
          <cell r="I153">
            <v>-4732.13</v>
          </cell>
          <cell r="K153">
            <v>45799</v>
          </cell>
          <cell r="L153">
            <v>45869</v>
          </cell>
        </row>
        <row r="154">
          <cell r="D154">
            <v>256779412189</v>
          </cell>
          <cell r="E154">
            <v>45768</v>
          </cell>
          <cell r="F154" t="str">
            <v>INR</v>
          </cell>
          <cell r="G154" t="str">
            <v xml:space="preserve"> -   </v>
          </cell>
          <cell r="H154" t="str">
            <v xml:space="preserve"> -   </v>
          </cell>
          <cell r="I154">
            <v>-262.20999999999998</v>
          </cell>
          <cell r="K154">
            <v>45798</v>
          </cell>
          <cell r="L154">
            <v>45939</v>
          </cell>
        </row>
        <row r="155">
          <cell r="D155">
            <v>256779412570</v>
          </cell>
          <cell r="E155">
            <v>45769</v>
          </cell>
          <cell r="F155" t="str">
            <v>USD</v>
          </cell>
          <cell r="G155">
            <v>-43.38</v>
          </cell>
          <cell r="H155">
            <v>43.38</v>
          </cell>
          <cell r="I155">
            <v>-3718.84</v>
          </cell>
          <cell r="K155">
            <v>45799</v>
          </cell>
          <cell r="L155">
            <v>45869</v>
          </cell>
        </row>
        <row r="156">
          <cell r="D156">
            <v>256779412581</v>
          </cell>
          <cell r="E156">
            <v>45769</v>
          </cell>
          <cell r="F156" t="str">
            <v>USD</v>
          </cell>
          <cell r="G156">
            <v>-51.5</v>
          </cell>
          <cell r="H156">
            <v>51.5</v>
          </cell>
          <cell r="I156">
            <v>-4414.9399999999996</v>
          </cell>
          <cell r="K156">
            <v>45799</v>
          </cell>
          <cell r="L156">
            <v>45869</v>
          </cell>
        </row>
        <row r="157">
          <cell r="D157">
            <v>246779410080</v>
          </cell>
          <cell r="E157">
            <v>45708</v>
          </cell>
          <cell r="F157" t="str">
            <v>USD</v>
          </cell>
          <cell r="G157">
            <v>-95.24</v>
          </cell>
          <cell r="H157">
            <v>95.24</v>
          </cell>
          <cell r="I157">
            <v>-8242.0300000000007</v>
          </cell>
          <cell r="K157">
            <v>45738</v>
          </cell>
          <cell r="L157">
            <v>45869</v>
          </cell>
        </row>
        <row r="158">
          <cell r="D158">
            <v>256779412585</v>
          </cell>
          <cell r="E158">
            <v>45769</v>
          </cell>
          <cell r="F158" t="str">
            <v>USD</v>
          </cell>
          <cell r="G158">
            <v>-48.75</v>
          </cell>
          <cell r="H158">
            <v>48.75</v>
          </cell>
          <cell r="I158">
            <v>-4179.1899999999996</v>
          </cell>
          <cell r="K158">
            <v>45799</v>
          </cell>
          <cell r="L158">
            <v>45869</v>
          </cell>
        </row>
        <row r="159">
          <cell r="D159">
            <v>246779410064</v>
          </cell>
          <cell r="E159">
            <v>45708</v>
          </cell>
          <cell r="F159" t="str">
            <v>USD</v>
          </cell>
          <cell r="G159">
            <v>-52.38</v>
          </cell>
          <cell r="H159">
            <v>52.38</v>
          </cell>
          <cell r="I159">
            <v>-4532.9399999999996</v>
          </cell>
          <cell r="K159">
            <v>45738</v>
          </cell>
          <cell r="L159">
            <v>45869</v>
          </cell>
        </row>
        <row r="160">
          <cell r="D160">
            <v>256779411969</v>
          </cell>
          <cell r="E160">
            <v>45763</v>
          </cell>
          <cell r="F160" t="str">
            <v>USD</v>
          </cell>
          <cell r="G160">
            <v>-79.08</v>
          </cell>
          <cell r="H160">
            <v>79.08</v>
          </cell>
          <cell r="I160">
            <v>-6779.29</v>
          </cell>
          <cell r="K160">
            <v>45793</v>
          </cell>
          <cell r="L160">
            <v>45869</v>
          </cell>
        </row>
        <row r="161">
          <cell r="D161">
            <v>256779412155</v>
          </cell>
          <cell r="E161">
            <v>45768</v>
          </cell>
          <cell r="F161" t="str">
            <v>USD</v>
          </cell>
          <cell r="G161">
            <v>-2330.73</v>
          </cell>
          <cell r="H161">
            <v>2330.73</v>
          </cell>
          <cell r="I161">
            <v>-199806.42</v>
          </cell>
          <cell r="K161">
            <v>45798</v>
          </cell>
          <cell r="L161">
            <v>45869</v>
          </cell>
        </row>
        <row r="162">
          <cell r="D162">
            <v>246779412047</v>
          </cell>
          <cell r="E162">
            <v>45733</v>
          </cell>
          <cell r="F162" t="str">
            <v>USD</v>
          </cell>
          <cell r="G162">
            <v>-28.03</v>
          </cell>
          <cell r="H162">
            <v>28.03</v>
          </cell>
          <cell r="I162">
            <v>-2439.8000000000002</v>
          </cell>
          <cell r="K162">
            <v>45763</v>
          </cell>
          <cell r="L162">
            <v>45869</v>
          </cell>
        </row>
        <row r="163">
          <cell r="D163">
            <v>246779414384</v>
          </cell>
          <cell r="E163">
            <v>45736</v>
          </cell>
          <cell r="F163" t="str">
            <v>USD</v>
          </cell>
          <cell r="G163">
            <v>-182.5</v>
          </cell>
          <cell r="H163">
            <v>182.5</v>
          </cell>
          <cell r="I163">
            <v>-15885.24</v>
          </cell>
          <cell r="K163">
            <v>45766</v>
          </cell>
          <cell r="L163">
            <v>45869</v>
          </cell>
        </row>
        <row r="164">
          <cell r="D164">
            <v>246779410743</v>
          </cell>
          <cell r="E164">
            <v>45720</v>
          </cell>
          <cell r="F164" t="str">
            <v>USD</v>
          </cell>
          <cell r="G164">
            <v>-3</v>
          </cell>
          <cell r="H164">
            <v>3</v>
          </cell>
          <cell r="I164">
            <v>-261.13</v>
          </cell>
          <cell r="K164">
            <v>45750</v>
          </cell>
          <cell r="L164">
            <v>45869</v>
          </cell>
        </row>
        <row r="165">
          <cell r="D165">
            <v>246779410010</v>
          </cell>
          <cell r="E165">
            <v>45708</v>
          </cell>
          <cell r="F165" t="str">
            <v>USD</v>
          </cell>
          <cell r="G165">
            <v>-2380.9499999999998</v>
          </cell>
          <cell r="H165">
            <v>2380.9499999999998</v>
          </cell>
          <cell r="I165">
            <v>-206046.42</v>
          </cell>
          <cell r="K165">
            <v>45738</v>
          </cell>
          <cell r="L165">
            <v>45869</v>
          </cell>
        </row>
        <row r="166">
          <cell r="D166">
            <v>246779411908</v>
          </cell>
          <cell r="E166">
            <v>45733</v>
          </cell>
          <cell r="F166" t="str">
            <v>USD</v>
          </cell>
          <cell r="G166">
            <v>-28.41</v>
          </cell>
          <cell r="H166">
            <v>28.41</v>
          </cell>
          <cell r="I166">
            <v>-2472.88</v>
          </cell>
          <cell r="K166">
            <v>45763</v>
          </cell>
          <cell r="L166">
            <v>45869</v>
          </cell>
        </row>
        <row r="167">
          <cell r="D167">
            <v>246779410081</v>
          </cell>
          <cell r="E167">
            <v>45707</v>
          </cell>
          <cell r="F167" t="str">
            <v>USD</v>
          </cell>
          <cell r="G167">
            <v>-52.38</v>
          </cell>
          <cell r="H167">
            <v>52.38</v>
          </cell>
          <cell r="I167">
            <v>-4532.9399999999996</v>
          </cell>
          <cell r="K167">
            <v>45737</v>
          </cell>
          <cell r="L167">
            <v>45869</v>
          </cell>
        </row>
        <row r="168">
          <cell r="D168">
            <v>246779410063</v>
          </cell>
          <cell r="E168">
            <v>45708</v>
          </cell>
          <cell r="F168" t="str">
            <v>USD</v>
          </cell>
          <cell r="G168">
            <v>-95.24</v>
          </cell>
          <cell r="H168">
            <v>95.24</v>
          </cell>
          <cell r="I168">
            <v>-8242.0300000000007</v>
          </cell>
          <cell r="K168">
            <v>45738</v>
          </cell>
          <cell r="L168">
            <v>45869</v>
          </cell>
        </row>
        <row r="169">
          <cell r="D169">
            <v>246779410030</v>
          </cell>
          <cell r="E169">
            <v>45708</v>
          </cell>
          <cell r="F169" t="str">
            <v>USD</v>
          </cell>
          <cell r="G169">
            <v>-2380.9499999999998</v>
          </cell>
          <cell r="H169">
            <v>2380.9499999999998</v>
          </cell>
          <cell r="I169">
            <v>-206046.42</v>
          </cell>
          <cell r="K169">
            <v>45738</v>
          </cell>
          <cell r="L169">
            <v>45869</v>
          </cell>
        </row>
        <row r="170">
          <cell r="D170">
            <v>246779410261</v>
          </cell>
          <cell r="E170">
            <v>45708</v>
          </cell>
          <cell r="F170" t="str">
            <v>USD</v>
          </cell>
          <cell r="G170">
            <v>-50.3</v>
          </cell>
          <cell r="H170">
            <v>50.3</v>
          </cell>
          <cell r="I170">
            <v>-4352.9399999999996</v>
          </cell>
          <cell r="K170">
            <v>45738</v>
          </cell>
          <cell r="L170">
            <v>45869</v>
          </cell>
        </row>
        <row r="171">
          <cell r="D171">
            <v>256779412583</v>
          </cell>
          <cell r="E171">
            <v>45769</v>
          </cell>
          <cell r="F171" t="str">
            <v>USD</v>
          </cell>
          <cell r="G171">
            <v>-51.75</v>
          </cell>
          <cell r="H171">
            <v>51.75</v>
          </cell>
          <cell r="I171">
            <v>-4436.37</v>
          </cell>
          <cell r="K171">
            <v>45799</v>
          </cell>
          <cell r="L171">
            <v>45869</v>
          </cell>
        </row>
        <row r="172">
          <cell r="D172">
            <v>246779410227</v>
          </cell>
          <cell r="E172">
            <v>45708</v>
          </cell>
          <cell r="F172" t="str">
            <v>USD</v>
          </cell>
          <cell r="G172" t="str">
            <v xml:space="preserve"> -   </v>
          </cell>
          <cell r="H172" t="str">
            <v xml:space="preserve"> -   </v>
          </cell>
          <cell r="I172">
            <v>1232.44</v>
          </cell>
          <cell r="J172" t="str">
            <v>C: ASCENDAS27 P: Matching</v>
          </cell>
          <cell r="K172">
            <v>45738</v>
          </cell>
        </row>
        <row r="173">
          <cell r="D173">
            <v>246779411973</v>
          </cell>
          <cell r="E173">
            <v>45733</v>
          </cell>
          <cell r="F173" t="str">
            <v>USD</v>
          </cell>
          <cell r="G173" t="str">
            <v xml:space="preserve"> -   </v>
          </cell>
          <cell r="H173" t="str">
            <v xml:space="preserve"> -   </v>
          </cell>
          <cell r="I173">
            <v>439.66</v>
          </cell>
          <cell r="J173" t="str">
            <v>C: ASCENDAS27 P: Matching</v>
          </cell>
          <cell r="K173">
            <v>45763</v>
          </cell>
        </row>
        <row r="174">
          <cell r="D174">
            <v>246779412033</v>
          </cell>
          <cell r="E174">
            <v>45733</v>
          </cell>
          <cell r="F174" t="str">
            <v>USD</v>
          </cell>
          <cell r="G174" t="str">
            <v xml:space="preserve"> -   </v>
          </cell>
          <cell r="H174" t="str">
            <v xml:space="preserve"> -   </v>
          </cell>
          <cell r="I174">
            <v>23.13</v>
          </cell>
          <cell r="J174" t="str">
            <v>C: ASCENDAS27 P: Matching</v>
          </cell>
          <cell r="K174">
            <v>45763</v>
          </cell>
        </row>
        <row r="175">
          <cell r="D175">
            <v>246779410260</v>
          </cell>
          <cell r="E175">
            <v>45708</v>
          </cell>
          <cell r="F175" t="str">
            <v>USD</v>
          </cell>
          <cell r="G175" t="str">
            <v xml:space="preserve"> -   </v>
          </cell>
          <cell r="H175" t="str">
            <v xml:space="preserve"> -   </v>
          </cell>
          <cell r="I175">
            <v>49.29</v>
          </cell>
          <cell r="J175" t="str">
            <v>C: ASCENDAS27 P: Matching</v>
          </cell>
          <cell r="K175">
            <v>45738</v>
          </cell>
        </row>
        <row r="176">
          <cell r="D176">
            <v>246779413936</v>
          </cell>
          <cell r="E176">
            <v>45736</v>
          </cell>
          <cell r="F176" t="str">
            <v>USD</v>
          </cell>
          <cell r="G176" t="str">
            <v xml:space="preserve"> -   </v>
          </cell>
          <cell r="H176" t="str">
            <v xml:space="preserve"> -   </v>
          </cell>
          <cell r="I176">
            <v>28.38</v>
          </cell>
          <cell r="J176" t="str">
            <v>C: ASCENDAS27 P: Matching</v>
          </cell>
          <cell r="K176">
            <v>45766</v>
          </cell>
        </row>
        <row r="177">
          <cell r="D177">
            <v>256779410801</v>
          </cell>
          <cell r="E177">
            <v>45751</v>
          </cell>
          <cell r="F177" t="str">
            <v>USD</v>
          </cell>
          <cell r="G177" t="str">
            <v xml:space="preserve"> -   </v>
          </cell>
          <cell r="H177" t="str">
            <v xml:space="preserve"> -   </v>
          </cell>
          <cell r="I177">
            <v>-728</v>
          </cell>
          <cell r="J177" t="str">
            <v>C: ASCENDAS27 P: Matching</v>
          </cell>
          <cell r="K177">
            <v>45781</v>
          </cell>
        </row>
        <row r="178">
          <cell r="D178">
            <v>256779412524</v>
          </cell>
          <cell r="E178">
            <v>45769</v>
          </cell>
          <cell r="F178" t="str">
            <v>USD</v>
          </cell>
          <cell r="G178" t="str">
            <v xml:space="preserve"> -   </v>
          </cell>
          <cell r="H178" t="str">
            <v xml:space="preserve"> -   </v>
          </cell>
          <cell r="I178">
            <v>-9.39</v>
          </cell>
          <cell r="J178" t="str">
            <v>C: ASCENDAS27 P: Matching</v>
          </cell>
          <cell r="K178">
            <v>45799</v>
          </cell>
        </row>
        <row r="179">
          <cell r="D179">
            <v>256779412529</v>
          </cell>
          <cell r="E179">
            <v>45769</v>
          </cell>
          <cell r="F179" t="str">
            <v>USD</v>
          </cell>
          <cell r="G179" t="str">
            <v xml:space="preserve"> -   </v>
          </cell>
          <cell r="H179" t="str">
            <v xml:space="preserve"> -   </v>
          </cell>
          <cell r="I179">
            <v>-7.61</v>
          </cell>
          <cell r="J179" t="str">
            <v>C: ASCENDAS27 P: Matching</v>
          </cell>
          <cell r="K179">
            <v>45799</v>
          </cell>
        </row>
        <row r="180">
          <cell r="D180">
            <v>256779412536</v>
          </cell>
          <cell r="E180">
            <v>45769</v>
          </cell>
          <cell r="F180" t="str">
            <v>USD</v>
          </cell>
          <cell r="G180" t="str">
            <v xml:space="preserve"> -   </v>
          </cell>
          <cell r="H180" t="str">
            <v xml:space="preserve"> -   </v>
          </cell>
          <cell r="I180">
            <v>-9.5299999999999994</v>
          </cell>
          <cell r="J180" t="str">
            <v>C: ASCENDAS27 P: Matching</v>
          </cell>
          <cell r="K180">
            <v>45799</v>
          </cell>
        </row>
        <row r="181">
          <cell r="D181">
            <v>256779412537</v>
          </cell>
          <cell r="E181">
            <v>45769</v>
          </cell>
          <cell r="F181" t="str">
            <v>USD</v>
          </cell>
          <cell r="G181" t="str">
            <v xml:space="preserve"> -   </v>
          </cell>
          <cell r="H181" t="str">
            <v xml:space="preserve"> -   </v>
          </cell>
          <cell r="I181">
            <v>-104.86</v>
          </cell>
          <cell r="J181" t="str">
            <v>C: ASCENDAS27 P: Matching</v>
          </cell>
          <cell r="K181">
            <v>45799</v>
          </cell>
        </row>
        <row r="182">
          <cell r="D182">
            <v>256779412579</v>
          </cell>
          <cell r="E182">
            <v>45769</v>
          </cell>
          <cell r="F182" t="str">
            <v>USD</v>
          </cell>
          <cell r="G182" t="str">
            <v xml:space="preserve"> -   </v>
          </cell>
          <cell r="H182" t="str">
            <v xml:space="preserve"> -   </v>
          </cell>
          <cell r="I182">
            <v>-14.83</v>
          </cell>
          <cell r="J182" t="str">
            <v>C: ASCENDAS27 P: Matching</v>
          </cell>
          <cell r="K182">
            <v>45799</v>
          </cell>
        </row>
        <row r="183">
          <cell r="D183">
            <v>256779412586</v>
          </cell>
          <cell r="E183">
            <v>45769</v>
          </cell>
          <cell r="F183" t="str">
            <v>USD</v>
          </cell>
          <cell r="G183" t="str">
            <v xml:space="preserve"> -   </v>
          </cell>
          <cell r="H183" t="str">
            <v xml:space="preserve"> -   </v>
          </cell>
          <cell r="I183">
            <v>-13.25</v>
          </cell>
          <cell r="J183" t="str">
            <v>C: ASCENDAS27 P: Matching</v>
          </cell>
          <cell r="K183">
            <v>45799</v>
          </cell>
        </row>
        <row r="184">
          <cell r="D184">
            <v>246779412994</v>
          </cell>
          <cell r="E184">
            <v>45735</v>
          </cell>
          <cell r="F184" t="str">
            <v>USD</v>
          </cell>
          <cell r="G184" t="str">
            <v xml:space="preserve"> -   </v>
          </cell>
          <cell r="H184" t="str">
            <v xml:space="preserve"> -   </v>
          </cell>
          <cell r="I184">
            <v>2370.4299999999998</v>
          </cell>
          <cell r="J184" t="str">
            <v>C: ASCENDAS27 P: Matching</v>
          </cell>
          <cell r="K184">
            <v>45765</v>
          </cell>
        </row>
        <row r="185">
          <cell r="D185">
            <v>246779413889</v>
          </cell>
          <cell r="E185">
            <v>45736</v>
          </cell>
          <cell r="F185" t="str">
            <v>USD</v>
          </cell>
          <cell r="G185" t="str">
            <v xml:space="preserve"> -   </v>
          </cell>
          <cell r="H185" t="str">
            <v xml:space="preserve"> -   </v>
          </cell>
          <cell r="I185">
            <v>43.85</v>
          </cell>
          <cell r="J185" t="str">
            <v>C: ASCENDAS27 P: Matching</v>
          </cell>
          <cell r="K185">
            <v>45766</v>
          </cell>
        </row>
        <row r="186">
          <cell r="D186">
            <v>246779413023</v>
          </cell>
          <cell r="E186">
            <v>45735</v>
          </cell>
          <cell r="F186" t="str">
            <v>USD</v>
          </cell>
          <cell r="G186" t="str">
            <v xml:space="preserve"> -   </v>
          </cell>
          <cell r="H186" t="str">
            <v xml:space="preserve"> -   </v>
          </cell>
          <cell r="I186">
            <v>94.81</v>
          </cell>
          <cell r="J186" t="str">
            <v>C: ASCENDAS27 P: Matching</v>
          </cell>
          <cell r="K186">
            <v>45765</v>
          </cell>
        </row>
        <row r="187">
          <cell r="D187">
            <v>246779413920</v>
          </cell>
          <cell r="E187">
            <v>45736</v>
          </cell>
          <cell r="F187" t="str">
            <v>USD</v>
          </cell>
          <cell r="G187" t="str">
            <v xml:space="preserve"> -   </v>
          </cell>
          <cell r="H187" t="str">
            <v xml:space="preserve"> -   </v>
          </cell>
          <cell r="I187">
            <v>23.21</v>
          </cell>
          <cell r="J187" t="str">
            <v>C: ASCENDAS27 P: Matching</v>
          </cell>
          <cell r="K187">
            <v>45766</v>
          </cell>
        </row>
        <row r="188">
          <cell r="D188">
            <v>256779410196</v>
          </cell>
          <cell r="E188">
            <v>45750</v>
          </cell>
          <cell r="F188" t="str">
            <v>USD</v>
          </cell>
          <cell r="G188" t="str">
            <v xml:space="preserve"> -   </v>
          </cell>
          <cell r="H188" t="str">
            <v xml:space="preserve"> -   </v>
          </cell>
          <cell r="I188">
            <v>-63.43</v>
          </cell>
          <cell r="J188" t="str">
            <v>C: ASCENDAS27 P: Matching</v>
          </cell>
          <cell r="K188">
            <v>45780</v>
          </cell>
        </row>
        <row r="189">
          <cell r="D189">
            <v>246779413941</v>
          </cell>
          <cell r="E189">
            <v>45736</v>
          </cell>
          <cell r="F189" t="str">
            <v>USD</v>
          </cell>
          <cell r="G189" t="str">
            <v xml:space="preserve"> -   </v>
          </cell>
          <cell r="H189" t="str">
            <v xml:space="preserve"> -   </v>
          </cell>
          <cell r="I189">
            <v>30.95</v>
          </cell>
          <cell r="J189" t="str">
            <v>C: ASCENDAS27 P: Matching</v>
          </cell>
          <cell r="K189">
            <v>45766</v>
          </cell>
        </row>
        <row r="190">
          <cell r="D190">
            <v>256779412092</v>
          </cell>
          <cell r="E190">
            <v>45763</v>
          </cell>
          <cell r="F190" t="str">
            <v>USD</v>
          </cell>
          <cell r="G190" t="str">
            <v xml:space="preserve"> -   </v>
          </cell>
          <cell r="H190" t="str">
            <v xml:space="preserve"> -   </v>
          </cell>
          <cell r="I190">
            <v>-74.400000000000006</v>
          </cell>
          <cell r="J190" t="str">
            <v>C: ASCENDAS27 P: Matching</v>
          </cell>
          <cell r="K190">
            <v>45793</v>
          </cell>
        </row>
        <row r="191">
          <cell r="D191">
            <v>256779410303</v>
          </cell>
          <cell r="E191">
            <v>45750</v>
          </cell>
          <cell r="F191" t="str">
            <v>USD</v>
          </cell>
          <cell r="G191" t="str">
            <v xml:space="preserve"> -   </v>
          </cell>
          <cell r="H191" t="str">
            <v xml:space="preserve"> -   </v>
          </cell>
          <cell r="I191">
            <v>-23.53</v>
          </cell>
          <cell r="J191" t="str">
            <v>C: ASCENDAS27 P: Matching</v>
          </cell>
          <cell r="K191">
            <v>45780</v>
          </cell>
        </row>
        <row r="192">
          <cell r="D192">
            <v>256779412184</v>
          </cell>
          <cell r="E192">
            <v>45768</v>
          </cell>
          <cell r="F192" t="str">
            <v>USD</v>
          </cell>
          <cell r="G192" t="str">
            <v xml:space="preserve"> -   </v>
          </cell>
          <cell r="H192" t="str">
            <v xml:space="preserve"> -   </v>
          </cell>
          <cell r="I192">
            <v>-23.98</v>
          </cell>
          <cell r="J192" t="str">
            <v>C: ASCENDAS27 P: Matching</v>
          </cell>
          <cell r="K192">
            <v>45798</v>
          </cell>
        </row>
        <row r="193">
          <cell r="D193">
            <v>256779412053</v>
          </cell>
          <cell r="E193">
            <v>45763</v>
          </cell>
          <cell r="F193" t="str">
            <v>USD</v>
          </cell>
          <cell r="G193" t="str">
            <v xml:space="preserve"> -   </v>
          </cell>
          <cell r="H193" t="str">
            <v xml:space="preserve"> -   </v>
          </cell>
          <cell r="I193">
            <v>-253.67</v>
          </cell>
          <cell r="J193" t="str">
            <v>C: ASCENDAS27 P: Matching</v>
          </cell>
          <cell r="K193">
            <v>45793</v>
          </cell>
        </row>
        <row r="194">
          <cell r="D194">
            <v>256779412185</v>
          </cell>
          <cell r="E194">
            <v>45768</v>
          </cell>
          <cell r="F194" t="str">
            <v>USD</v>
          </cell>
          <cell r="G194" t="str">
            <v xml:space="preserve"> -   </v>
          </cell>
          <cell r="H194" t="str">
            <v xml:space="preserve"> -   </v>
          </cell>
          <cell r="I194">
            <v>-13.19</v>
          </cell>
          <cell r="J194" t="str">
            <v>C: ASCENDAS27 P: Matching</v>
          </cell>
          <cell r="K194">
            <v>45798</v>
          </cell>
        </row>
        <row r="195">
          <cell r="D195">
            <v>256779412563</v>
          </cell>
          <cell r="E195">
            <v>45769</v>
          </cell>
          <cell r="F195" t="str">
            <v>USD</v>
          </cell>
          <cell r="G195" t="str">
            <v xml:space="preserve"> -   </v>
          </cell>
          <cell r="H195" t="str">
            <v xml:space="preserve"> -   </v>
          </cell>
          <cell r="I195">
            <v>-6.94</v>
          </cell>
          <cell r="J195" t="str">
            <v>C: ASCENDAS27 P: Matching</v>
          </cell>
          <cell r="K195">
            <v>45799</v>
          </cell>
        </row>
        <row r="196">
          <cell r="D196">
            <v>246779410882</v>
          </cell>
          <cell r="E196">
            <v>45722</v>
          </cell>
          <cell r="F196" t="str">
            <v>USD</v>
          </cell>
          <cell r="G196" t="str">
            <v xml:space="preserve"> -   </v>
          </cell>
          <cell r="H196" t="str">
            <v xml:space="preserve"> -   </v>
          </cell>
          <cell r="I196">
            <v>2303.84</v>
          </cell>
          <cell r="J196" t="str">
            <v>C: ASCENDAS27 P: Matching</v>
          </cell>
          <cell r="K196">
            <v>45752</v>
          </cell>
        </row>
        <row r="197">
          <cell r="D197">
            <v>256779412576</v>
          </cell>
          <cell r="E197">
            <v>45769</v>
          </cell>
          <cell r="F197" t="str">
            <v>USD</v>
          </cell>
          <cell r="G197" t="str">
            <v xml:space="preserve"> -   </v>
          </cell>
          <cell r="H197" t="str">
            <v xml:space="preserve"> -   </v>
          </cell>
          <cell r="I197">
            <v>-11.84</v>
          </cell>
          <cell r="J197" t="str">
            <v>C: ASCENDAS27 P: Matching</v>
          </cell>
          <cell r="K197">
            <v>45799</v>
          </cell>
        </row>
        <row r="198">
          <cell r="D198">
            <v>256779412577</v>
          </cell>
          <cell r="E198">
            <v>45769</v>
          </cell>
          <cell r="F198" t="str">
            <v>USD</v>
          </cell>
          <cell r="G198" t="str">
            <v xml:space="preserve"> -   </v>
          </cell>
          <cell r="H198" t="str">
            <v xml:space="preserve"> -   </v>
          </cell>
          <cell r="I198">
            <v>-11.84</v>
          </cell>
          <cell r="J198" t="str">
            <v>C: ASCENDAS27 P: Matching</v>
          </cell>
          <cell r="K198">
            <v>45799</v>
          </cell>
        </row>
        <row r="199">
          <cell r="D199">
            <v>256779412580</v>
          </cell>
          <cell r="E199">
            <v>45769</v>
          </cell>
          <cell r="F199" t="str">
            <v>USD</v>
          </cell>
          <cell r="G199" t="str">
            <v xml:space="preserve"> -   </v>
          </cell>
          <cell r="H199" t="str">
            <v xml:space="preserve"> -   </v>
          </cell>
          <cell r="I199">
            <v>-10.42</v>
          </cell>
          <cell r="J199" t="str">
            <v>C: ASCENDAS27 P: Matching</v>
          </cell>
          <cell r="K199">
            <v>45799</v>
          </cell>
        </row>
        <row r="200">
          <cell r="D200">
            <v>246779413815</v>
          </cell>
          <cell r="E200">
            <v>45736</v>
          </cell>
          <cell r="F200" t="str">
            <v>USD</v>
          </cell>
          <cell r="G200" t="str">
            <v xml:space="preserve"> -   </v>
          </cell>
          <cell r="H200" t="str">
            <v xml:space="preserve"> -   </v>
          </cell>
          <cell r="I200">
            <v>51.59</v>
          </cell>
          <cell r="J200" t="str">
            <v>C: ASCENDAS27 P: Matching</v>
          </cell>
          <cell r="K200">
            <v>45766</v>
          </cell>
        </row>
        <row r="201">
          <cell r="D201">
            <v>256779410304</v>
          </cell>
          <cell r="E201">
            <v>45750</v>
          </cell>
          <cell r="F201" t="str">
            <v>USD</v>
          </cell>
          <cell r="G201" t="str">
            <v xml:space="preserve"> -   </v>
          </cell>
          <cell r="H201" t="str">
            <v xml:space="preserve"> -   </v>
          </cell>
          <cell r="I201">
            <v>-12.93</v>
          </cell>
          <cell r="J201" t="str">
            <v>C: ASCENDAS27 P: Matching</v>
          </cell>
          <cell r="K201">
            <v>45780</v>
          </cell>
        </row>
        <row r="202">
          <cell r="D202">
            <v>246779413024</v>
          </cell>
          <cell r="E202">
            <v>45735</v>
          </cell>
          <cell r="F202" t="str">
            <v>USD</v>
          </cell>
          <cell r="G202" t="str">
            <v xml:space="preserve"> -   </v>
          </cell>
          <cell r="H202" t="str">
            <v xml:space="preserve"> -   </v>
          </cell>
          <cell r="I202">
            <v>52.15</v>
          </cell>
          <cell r="J202" t="str">
            <v>C: ASCENDAS27 P: Matching</v>
          </cell>
          <cell r="K202">
            <v>45765</v>
          </cell>
        </row>
        <row r="203">
          <cell r="D203">
            <v>256779412091</v>
          </cell>
          <cell r="E203">
            <v>45763</v>
          </cell>
          <cell r="F203" t="str">
            <v>USD</v>
          </cell>
          <cell r="G203" t="str">
            <v xml:space="preserve"> -   </v>
          </cell>
          <cell r="H203" t="str">
            <v xml:space="preserve"> -   </v>
          </cell>
          <cell r="I203">
            <v>-24.8</v>
          </cell>
          <cell r="J203" t="str">
            <v>C: ASCENDAS27 P: Matching</v>
          </cell>
          <cell r="K203">
            <v>45793</v>
          </cell>
        </row>
        <row r="204">
          <cell r="D204">
            <v>256779412562</v>
          </cell>
          <cell r="E204">
            <v>45769</v>
          </cell>
          <cell r="F204" t="str">
            <v>USD</v>
          </cell>
          <cell r="G204" t="str">
            <v xml:space="preserve"> -   </v>
          </cell>
          <cell r="H204" t="str">
            <v xml:space="preserve"> -   </v>
          </cell>
          <cell r="I204">
            <v>-14.06</v>
          </cell>
          <cell r="J204" t="str">
            <v>C: ASCENDAS27 P: Matching</v>
          </cell>
          <cell r="K204">
            <v>45799</v>
          </cell>
        </row>
        <row r="205">
          <cell r="D205">
            <v>256779412123</v>
          </cell>
          <cell r="E205">
            <v>45763</v>
          </cell>
          <cell r="F205" t="str">
            <v>USD</v>
          </cell>
          <cell r="G205" t="str">
            <v xml:space="preserve"> -   </v>
          </cell>
          <cell r="H205" t="str">
            <v xml:space="preserve"> -   </v>
          </cell>
          <cell r="I205">
            <v>-853.75</v>
          </cell>
          <cell r="J205" t="str">
            <v>C: ASCENDAS27 P: Matching</v>
          </cell>
          <cell r="K205">
            <v>45793</v>
          </cell>
        </row>
        <row r="206">
          <cell r="D206">
            <v>256779412564</v>
          </cell>
          <cell r="E206">
            <v>45769</v>
          </cell>
          <cell r="F206" t="str">
            <v>USD</v>
          </cell>
          <cell r="G206" t="str">
            <v xml:space="preserve"> -   </v>
          </cell>
          <cell r="H206" t="str">
            <v xml:space="preserve"> -   </v>
          </cell>
          <cell r="I206">
            <v>-14.2</v>
          </cell>
          <cell r="J206" t="str">
            <v>C: ASCENDAS27 P: Matching</v>
          </cell>
          <cell r="K206">
            <v>45799</v>
          </cell>
        </row>
        <row r="207">
          <cell r="D207">
            <v>256779412570</v>
          </cell>
          <cell r="E207">
            <v>45769</v>
          </cell>
          <cell r="F207" t="str">
            <v>USD</v>
          </cell>
          <cell r="G207" t="str">
            <v xml:space="preserve"> -   </v>
          </cell>
          <cell r="H207" t="str">
            <v xml:space="preserve"> -   </v>
          </cell>
          <cell r="I207">
            <v>-11.15</v>
          </cell>
          <cell r="J207" t="str">
            <v>C: ASCENDAS27 P: Matching</v>
          </cell>
          <cell r="K207">
            <v>45799</v>
          </cell>
        </row>
        <row r="208">
          <cell r="D208">
            <v>256779412581</v>
          </cell>
          <cell r="E208">
            <v>45769</v>
          </cell>
          <cell r="F208" t="str">
            <v>USD</v>
          </cell>
          <cell r="G208" t="str">
            <v xml:space="preserve"> -   </v>
          </cell>
          <cell r="H208" t="str">
            <v xml:space="preserve"> -   </v>
          </cell>
          <cell r="I208">
            <v>-13.25</v>
          </cell>
          <cell r="J208" t="str">
            <v>C: ASCENDAS27 P: Matching</v>
          </cell>
          <cell r="K208">
            <v>45799</v>
          </cell>
        </row>
        <row r="209">
          <cell r="D209">
            <v>246779410080</v>
          </cell>
          <cell r="E209">
            <v>45708</v>
          </cell>
          <cell r="F209" t="str">
            <v>USD</v>
          </cell>
          <cell r="G209" t="str">
            <v xml:space="preserve"> -   </v>
          </cell>
          <cell r="H209" t="str">
            <v xml:space="preserve"> -   </v>
          </cell>
          <cell r="I209">
            <v>51.34</v>
          </cell>
          <cell r="J209" t="str">
            <v>C: ASCENDAS27 P: Matching</v>
          </cell>
          <cell r="K209">
            <v>45738</v>
          </cell>
        </row>
        <row r="210">
          <cell r="D210">
            <v>256779412585</v>
          </cell>
          <cell r="E210">
            <v>45769</v>
          </cell>
          <cell r="F210" t="str">
            <v>USD</v>
          </cell>
          <cell r="G210" t="str">
            <v xml:space="preserve"> -   </v>
          </cell>
          <cell r="H210" t="str">
            <v xml:space="preserve"> -   </v>
          </cell>
          <cell r="I210">
            <v>-12.54</v>
          </cell>
          <cell r="J210" t="str">
            <v>C: ASCENDAS27 P: Matching</v>
          </cell>
          <cell r="K210">
            <v>45799</v>
          </cell>
        </row>
        <row r="211">
          <cell r="D211">
            <v>246779410064</v>
          </cell>
          <cell r="E211">
            <v>45708</v>
          </cell>
          <cell r="F211" t="str">
            <v>USD</v>
          </cell>
          <cell r="G211" t="str">
            <v xml:space="preserve"> -   </v>
          </cell>
          <cell r="H211" t="str">
            <v xml:space="preserve"> -   </v>
          </cell>
          <cell r="I211">
            <v>28.23</v>
          </cell>
          <cell r="J211" t="str">
            <v>C: ASCENDAS27 P: Matching</v>
          </cell>
          <cell r="K211">
            <v>45738</v>
          </cell>
        </row>
        <row r="212">
          <cell r="D212">
            <v>256779411969</v>
          </cell>
          <cell r="E212">
            <v>45763</v>
          </cell>
          <cell r="F212" t="str">
            <v>USD</v>
          </cell>
          <cell r="G212" t="str">
            <v xml:space="preserve"> -   </v>
          </cell>
          <cell r="H212" t="str">
            <v xml:space="preserve"> -   </v>
          </cell>
          <cell r="I212">
            <v>-20.350000000000001</v>
          </cell>
          <cell r="J212" t="str">
            <v>C: ASCENDAS27 P: Matching</v>
          </cell>
          <cell r="K212">
            <v>45793</v>
          </cell>
        </row>
        <row r="213">
          <cell r="D213">
            <v>256779412155</v>
          </cell>
          <cell r="E213">
            <v>45768</v>
          </cell>
          <cell r="F213" t="str">
            <v>USD</v>
          </cell>
          <cell r="G213" t="str">
            <v xml:space="preserve"> -   </v>
          </cell>
          <cell r="H213" t="str">
            <v xml:space="preserve"> -   </v>
          </cell>
          <cell r="I213">
            <v>-599.66999999999996</v>
          </cell>
          <cell r="J213" t="str">
            <v>C: ASCENDAS27 P: Matching</v>
          </cell>
          <cell r="K213">
            <v>45798</v>
          </cell>
        </row>
        <row r="214">
          <cell r="D214">
            <v>246779412047</v>
          </cell>
          <cell r="E214">
            <v>45733</v>
          </cell>
          <cell r="F214" t="str">
            <v>USD</v>
          </cell>
          <cell r="G214" t="str">
            <v xml:space="preserve"> -   </v>
          </cell>
          <cell r="H214" t="str">
            <v xml:space="preserve"> -   </v>
          </cell>
          <cell r="I214">
            <v>28.93</v>
          </cell>
          <cell r="J214" t="str">
            <v>C: ASCENDAS27 P: Matching</v>
          </cell>
          <cell r="K214">
            <v>45763</v>
          </cell>
        </row>
        <row r="215">
          <cell r="D215">
            <v>246779414384</v>
          </cell>
          <cell r="E215">
            <v>45736</v>
          </cell>
          <cell r="F215" t="str">
            <v>USD</v>
          </cell>
          <cell r="G215" t="str">
            <v xml:space="preserve"> -   </v>
          </cell>
          <cell r="H215" t="str">
            <v xml:space="preserve"> -   </v>
          </cell>
          <cell r="I215">
            <v>188.32</v>
          </cell>
          <cell r="J215" t="str">
            <v>C: ASCENDAS27 P: Matching</v>
          </cell>
          <cell r="K215">
            <v>45766</v>
          </cell>
        </row>
        <row r="216">
          <cell r="D216">
            <v>246779410743</v>
          </cell>
          <cell r="E216">
            <v>45720</v>
          </cell>
          <cell r="F216" t="str">
            <v>USD</v>
          </cell>
          <cell r="G216" t="str">
            <v xml:space="preserve"> -   </v>
          </cell>
          <cell r="H216" t="str">
            <v xml:space="preserve"> -   </v>
          </cell>
          <cell r="I216">
            <v>3.1</v>
          </cell>
          <cell r="J216" t="str">
            <v>C: ASCENDAS27 P: Matching</v>
          </cell>
          <cell r="K216">
            <v>45750</v>
          </cell>
        </row>
        <row r="217">
          <cell r="D217">
            <v>246779410010</v>
          </cell>
          <cell r="E217">
            <v>45708</v>
          </cell>
          <cell r="F217" t="str">
            <v>USD</v>
          </cell>
          <cell r="G217" t="str">
            <v xml:space="preserve"> -   </v>
          </cell>
          <cell r="H217" t="str">
            <v xml:space="preserve"> -   </v>
          </cell>
          <cell r="I217">
            <v>1283.51</v>
          </cell>
          <cell r="J217" t="str">
            <v>C: ASCENDAS27 P: Matching</v>
          </cell>
          <cell r="K217">
            <v>45738</v>
          </cell>
        </row>
        <row r="218">
          <cell r="D218">
            <v>246779411908</v>
          </cell>
          <cell r="E218">
            <v>45733</v>
          </cell>
          <cell r="F218" t="str">
            <v>USD</v>
          </cell>
          <cell r="G218" t="str">
            <v xml:space="preserve"> -   </v>
          </cell>
          <cell r="H218" t="str">
            <v xml:space="preserve"> -   </v>
          </cell>
          <cell r="I218">
            <v>29.32</v>
          </cell>
          <cell r="J218" t="str">
            <v>C: ASCENDAS27 P: Matching</v>
          </cell>
          <cell r="K218">
            <v>45763</v>
          </cell>
        </row>
        <row r="219">
          <cell r="D219">
            <v>246779410081</v>
          </cell>
          <cell r="E219">
            <v>45707</v>
          </cell>
          <cell r="F219" t="str">
            <v>USD</v>
          </cell>
          <cell r="G219" t="str">
            <v xml:space="preserve"> -   </v>
          </cell>
          <cell r="H219" t="str">
            <v xml:space="preserve"> -   </v>
          </cell>
          <cell r="I219">
            <v>28.23</v>
          </cell>
          <cell r="J219" t="str">
            <v>C: ASCENDAS27 P: Matching</v>
          </cell>
          <cell r="K219">
            <v>45737</v>
          </cell>
        </row>
        <row r="220">
          <cell r="D220">
            <v>246779410063</v>
          </cell>
          <cell r="E220">
            <v>45708</v>
          </cell>
          <cell r="F220" t="str">
            <v>USD</v>
          </cell>
          <cell r="G220" t="str">
            <v xml:space="preserve"> -   </v>
          </cell>
          <cell r="H220" t="str">
            <v xml:space="preserve"> -   </v>
          </cell>
          <cell r="I220">
            <v>51.34</v>
          </cell>
          <cell r="J220" t="str">
            <v>C: ASCENDAS27 P: Matching</v>
          </cell>
          <cell r="K220">
            <v>45738</v>
          </cell>
        </row>
        <row r="221">
          <cell r="D221">
            <v>246779410030</v>
          </cell>
          <cell r="E221">
            <v>45708</v>
          </cell>
          <cell r="F221" t="str">
            <v>USD</v>
          </cell>
          <cell r="G221" t="str">
            <v xml:space="preserve"> -   </v>
          </cell>
          <cell r="H221" t="str">
            <v xml:space="preserve"> -   </v>
          </cell>
          <cell r="I221">
            <v>1283.51</v>
          </cell>
          <cell r="J221" t="str">
            <v>C: ASCENDAS27 P: Matching</v>
          </cell>
          <cell r="K221">
            <v>45738</v>
          </cell>
        </row>
        <row r="222">
          <cell r="D222">
            <v>246779410261</v>
          </cell>
          <cell r="E222">
            <v>45708</v>
          </cell>
          <cell r="F222" t="str">
            <v>USD</v>
          </cell>
          <cell r="G222" t="str">
            <v xml:space="preserve"> -   </v>
          </cell>
          <cell r="H222" t="str">
            <v xml:space="preserve"> -   </v>
          </cell>
          <cell r="I222">
            <v>27.12</v>
          </cell>
          <cell r="J222" t="str">
            <v>C: ASCENDAS27 P: Matching</v>
          </cell>
          <cell r="K222">
            <v>45738</v>
          </cell>
        </row>
        <row r="223">
          <cell r="D223">
            <v>256779412583</v>
          </cell>
          <cell r="E223">
            <v>45769</v>
          </cell>
          <cell r="F223" t="str">
            <v>USD</v>
          </cell>
          <cell r="G223" t="str">
            <v xml:space="preserve"> -   </v>
          </cell>
          <cell r="H223" t="str">
            <v xml:space="preserve"> -   </v>
          </cell>
          <cell r="I223">
            <v>-13.59</v>
          </cell>
          <cell r="J223" t="str">
            <v>C: ASCENDAS27 P: Matching</v>
          </cell>
          <cell r="K223">
            <v>45799</v>
          </cell>
        </row>
        <row r="224">
          <cell r="D224">
            <v>256779413393</v>
          </cell>
          <cell r="E224">
            <v>45798</v>
          </cell>
          <cell r="F224" t="str">
            <v>USD</v>
          </cell>
          <cell r="G224">
            <v>-229.87</v>
          </cell>
          <cell r="H224">
            <v>229.87</v>
          </cell>
          <cell r="I224">
            <v>-19625.03</v>
          </cell>
          <cell r="K224">
            <v>45828</v>
          </cell>
          <cell r="L224">
            <v>45869</v>
          </cell>
        </row>
        <row r="225">
          <cell r="D225">
            <v>256779413394</v>
          </cell>
          <cell r="E225">
            <v>45798</v>
          </cell>
          <cell r="F225" t="str">
            <v>USD</v>
          </cell>
          <cell r="G225">
            <v>-218.17</v>
          </cell>
          <cell r="H225">
            <v>218.17</v>
          </cell>
          <cell r="I225">
            <v>-18626.150000000001</v>
          </cell>
          <cell r="K225">
            <v>45828</v>
          </cell>
          <cell r="L225">
            <v>45869</v>
          </cell>
        </row>
        <row r="226">
          <cell r="D226">
            <v>256779413403</v>
          </cell>
          <cell r="E226">
            <v>45798</v>
          </cell>
          <cell r="F226" t="str">
            <v>USD</v>
          </cell>
          <cell r="G226">
            <v>-402.88</v>
          </cell>
          <cell r="H226">
            <v>402.88</v>
          </cell>
          <cell r="I226">
            <v>-34395.67</v>
          </cell>
          <cell r="K226">
            <v>45828</v>
          </cell>
          <cell r="L226">
            <v>45869</v>
          </cell>
        </row>
        <row r="227">
          <cell r="D227">
            <v>256779413397</v>
          </cell>
          <cell r="E227">
            <v>45798</v>
          </cell>
          <cell r="F227" t="str">
            <v>USD</v>
          </cell>
          <cell r="G227">
            <v>-229.87</v>
          </cell>
          <cell r="H227">
            <v>229.87</v>
          </cell>
          <cell r="I227">
            <v>-19625.03</v>
          </cell>
          <cell r="K227">
            <v>45828</v>
          </cell>
          <cell r="L227">
            <v>45869</v>
          </cell>
        </row>
        <row r="228">
          <cell r="D228">
            <v>256779413398</v>
          </cell>
          <cell r="E228">
            <v>45798</v>
          </cell>
          <cell r="F228" t="str">
            <v>USD</v>
          </cell>
          <cell r="G228">
            <v>-218.17</v>
          </cell>
          <cell r="H228">
            <v>218.17</v>
          </cell>
          <cell r="I228">
            <v>-18626.150000000001</v>
          </cell>
          <cell r="K228">
            <v>45828</v>
          </cell>
          <cell r="L228">
            <v>45869</v>
          </cell>
        </row>
        <row r="229">
          <cell r="D229">
            <v>256779413400</v>
          </cell>
          <cell r="E229">
            <v>45798</v>
          </cell>
          <cell r="F229" t="str">
            <v>USD</v>
          </cell>
          <cell r="G229">
            <v>-218.17</v>
          </cell>
          <cell r="H229">
            <v>218.17</v>
          </cell>
          <cell r="I229">
            <v>-18626.150000000001</v>
          </cell>
          <cell r="J229" t="str">
            <v>USD CURRENCY</v>
          </cell>
          <cell r="K229">
            <v>45828</v>
          </cell>
          <cell r="L229">
            <v>45869</v>
          </cell>
        </row>
        <row r="230">
          <cell r="D230">
            <v>256779413402</v>
          </cell>
          <cell r="E230">
            <v>45798</v>
          </cell>
          <cell r="F230" t="str">
            <v>USD</v>
          </cell>
          <cell r="G230">
            <v>-229.87</v>
          </cell>
          <cell r="H230">
            <v>229.87</v>
          </cell>
          <cell r="I230">
            <v>-19625.03</v>
          </cell>
          <cell r="K230">
            <v>45828</v>
          </cell>
          <cell r="L230">
            <v>45869</v>
          </cell>
        </row>
        <row r="231">
          <cell r="D231">
            <v>256779413396</v>
          </cell>
          <cell r="E231">
            <v>45798</v>
          </cell>
          <cell r="F231" t="str">
            <v>USD</v>
          </cell>
          <cell r="G231">
            <v>-218.17</v>
          </cell>
          <cell r="H231">
            <v>218.17</v>
          </cell>
          <cell r="I231">
            <v>-18626.150000000001</v>
          </cell>
          <cell r="K231">
            <v>45828</v>
          </cell>
          <cell r="L231">
            <v>45869</v>
          </cell>
        </row>
        <row r="232">
          <cell r="D232">
            <v>256779413401</v>
          </cell>
          <cell r="E232">
            <v>45798</v>
          </cell>
          <cell r="F232" t="str">
            <v>USD</v>
          </cell>
          <cell r="G232">
            <v>-229.87</v>
          </cell>
          <cell r="H232">
            <v>229.87</v>
          </cell>
          <cell r="I232">
            <v>-19625.03</v>
          </cell>
          <cell r="K232">
            <v>45828</v>
          </cell>
          <cell r="L232">
            <v>45869</v>
          </cell>
        </row>
        <row r="233">
          <cell r="D233">
            <v>256779413395</v>
          </cell>
          <cell r="E233">
            <v>45798</v>
          </cell>
          <cell r="F233" t="str">
            <v>USD</v>
          </cell>
          <cell r="G233">
            <v>-264.98</v>
          </cell>
          <cell r="H233">
            <v>264.98</v>
          </cell>
          <cell r="I233">
            <v>-22622.53</v>
          </cell>
          <cell r="K233">
            <v>45828</v>
          </cell>
          <cell r="L233">
            <v>45869</v>
          </cell>
        </row>
        <row r="234">
          <cell r="D234">
            <v>256779413399</v>
          </cell>
          <cell r="E234">
            <v>45798</v>
          </cell>
          <cell r="F234" t="str">
            <v>USD</v>
          </cell>
          <cell r="G234">
            <v>-229.87</v>
          </cell>
          <cell r="H234">
            <v>229.87</v>
          </cell>
          <cell r="I234">
            <v>-19625.03</v>
          </cell>
          <cell r="K234">
            <v>45828</v>
          </cell>
          <cell r="L234">
            <v>45869</v>
          </cell>
        </row>
        <row r="235">
          <cell r="D235">
            <v>2512590</v>
          </cell>
          <cell r="E235">
            <v>45859</v>
          </cell>
          <cell r="F235" t="str">
            <v>INR</v>
          </cell>
          <cell r="G235" t="str">
            <v xml:space="preserve"> -   </v>
          </cell>
          <cell r="H235" t="str">
            <v xml:space="preserve"> -   </v>
          </cell>
          <cell r="I235">
            <v>2396201.27</v>
          </cell>
          <cell r="J235" t="str">
            <v>Outwards remit C-A023951 USD 27632.46@86.72</v>
          </cell>
          <cell r="K235">
            <v>45859</v>
          </cell>
          <cell r="L235">
            <v>46053</v>
          </cell>
        </row>
        <row r="236">
          <cell r="D236">
            <v>2513416</v>
          </cell>
          <cell r="E236">
            <v>45859</v>
          </cell>
          <cell r="F236" t="str">
            <v>INR</v>
          </cell>
          <cell r="G236" t="str">
            <v xml:space="preserve"> -   </v>
          </cell>
          <cell r="H236" t="str">
            <v xml:space="preserve"> -   </v>
          </cell>
          <cell r="I236">
            <v>2396201.27</v>
          </cell>
          <cell r="J236" t="str">
            <v>PAYMENT BATCH OF JUL'25</v>
          </cell>
          <cell r="K236">
            <v>45859</v>
          </cell>
          <cell r="L236">
            <v>45869</v>
          </cell>
        </row>
        <row r="237">
          <cell r="D237">
            <v>2516019</v>
          </cell>
          <cell r="E237">
            <v>45869</v>
          </cell>
          <cell r="F237" t="str">
            <v>INR</v>
          </cell>
          <cell r="G237" t="str">
            <v xml:space="preserve"> -   </v>
          </cell>
          <cell r="H237" t="str">
            <v xml:space="preserve"> -   </v>
          </cell>
          <cell r="I237">
            <v>-2396201.27</v>
          </cell>
          <cell r="J237" t="str">
            <v>PAYMENT BATCH OF JUL'25</v>
          </cell>
          <cell r="K237">
            <v>45869</v>
          </cell>
          <cell r="L237">
            <v>45869</v>
          </cell>
        </row>
        <row r="238">
          <cell r="D238" t="str">
            <v>246779411409_R</v>
          </cell>
          <cell r="E238">
            <v>45730</v>
          </cell>
          <cell r="F238" t="str">
            <v>USD</v>
          </cell>
          <cell r="G238" t="str">
            <v xml:space="preserve"> -   </v>
          </cell>
          <cell r="H238" t="str">
            <v xml:space="preserve"> -   </v>
          </cell>
          <cell r="I238">
            <v>-2.0499999999999998</v>
          </cell>
          <cell r="J238" t="str">
            <v>C: ASCENDAS27 P: Matching</v>
          </cell>
          <cell r="K238">
            <v>45760</v>
          </cell>
        </row>
        <row r="239">
          <cell r="D239">
            <v>246779410311</v>
          </cell>
          <cell r="E239">
            <v>45708</v>
          </cell>
          <cell r="F239" t="str">
            <v>USD</v>
          </cell>
          <cell r="G239">
            <v>-95.24</v>
          </cell>
          <cell r="H239">
            <v>95.24</v>
          </cell>
          <cell r="I239">
            <v>-8242.0300000000007</v>
          </cell>
          <cell r="K239">
            <v>45738</v>
          </cell>
          <cell r="L239">
            <v>45991</v>
          </cell>
        </row>
        <row r="240">
          <cell r="D240">
            <v>256779411867</v>
          </cell>
          <cell r="E240">
            <v>45763</v>
          </cell>
          <cell r="F240" t="str">
            <v>USD</v>
          </cell>
          <cell r="G240">
            <v>-295</v>
          </cell>
          <cell r="H240">
            <v>5.9</v>
          </cell>
          <cell r="I240">
            <v>-25289.46</v>
          </cell>
          <cell r="K240">
            <v>45793</v>
          </cell>
          <cell r="L240">
            <v>46053</v>
          </cell>
        </row>
        <row r="241">
          <cell r="D241">
            <v>256779415389</v>
          </cell>
          <cell r="E241">
            <v>45848</v>
          </cell>
          <cell r="F241" t="str">
            <v>USD</v>
          </cell>
          <cell r="G241">
            <v>-170.62</v>
          </cell>
          <cell r="H241">
            <v>170.62</v>
          </cell>
          <cell r="I241">
            <v>-15094.75</v>
          </cell>
          <cell r="K241">
            <v>45878</v>
          </cell>
          <cell r="L241">
            <v>45991</v>
          </cell>
        </row>
        <row r="242">
          <cell r="D242">
            <v>256779415346</v>
          </cell>
          <cell r="E242">
            <v>45848</v>
          </cell>
          <cell r="F242" t="str">
            <v>USD</v>
          </cell>
          <cell r="G242">
            <v>-17.5</v>
          </cell>
          <cell r="H242">
            <v>17.5</v>
          </cell>
          <cell r="I242">
            <v>-1548.23</v>
          </cell>
          <cell r="K242">
            <v>45878</v>
          </cell>
          <cell r="L242">
            <v>45991</v>
          </cell>
        </row>
        <row r="243">
          <cell r="D243">
            <v>256779415350</v>
          </cell>
          <cell r="E243">
            <v>45848</v>
          </cell>
          <cell r="F243" t="str">
            <v>USD</v>
          </cell>
          <cell r="G243">
            <v>-22.5</v>
          </cell>
          <cell r="H243">
            <v>22.5</v>
          </cell>
          <cell r="I243">
            <v>-1990.58</v>
          </cell>
          <cell r="K243">
            <v>45878</v>
          </cell>
          <cell r="L243">
            <v>45991</v>
          </cell>
        </row>
        <row r="244">
          <cell r="D244">
            <v>256779415316</v>
          </cell>
          <cell r="E244">
            <v>45848</v>
          </cell>
          <cell r="F244" t="str">
            <v>USD</v>
          </cell>
          <cell r="G244">
            <v>-60</v>
          </cell>
          <cell r="H244">
            <v>60</v>
          </cell>
          <cell r="I244">
            <v>-5308.2</v>
          </cell>
          <cell r="K244">
            <v>45878</v>
          </cell>
          <cell r="L244">
            <v>45991</v>
          </cell>
        </row>
        <row r="245">
          <cell r="D245">
            <v>256779415355</v>
          </cell>
          <cell r="E245">
            <v>45848</v>
          </cell>
          <cell r="F245" t="str">
            <v>USD</v>
          </cell>
          <cell r="G245">
            <v>-21.37</v>
          </cell>
          <cell r="H245">
            <v>21.37</v>
          </cell>
          <cell r="I245">
            <v>-1890.6</v>
          </cell>
          <cell r="K245">
            <v>45878</v>
          </cell>
          <cell r="L245">
            <v>45991</v>
          </cell>
        </row>
        <row r="246">
          <cell r="D246">
            <v>256779415209</v>
          </cell>
          <cell r="E246">
            <v>45842</v>
          </cell>
          <cell r="F246" t="str">
            <v>USD</v>
          </cell>
          <cell r="G246">
            <v>-63.26</v>
          </cell>
          <cell r="H246">
            <v>63.26</v>
          </cell>
          <cell r="I246">
            <v>-5596.61</v>
          </cell>
          <cell r="K246">
            <v>45872</v>
          </cell>
          <cell r="L246">
            <v>45991</v>
          </cell>
        </row>
        <row r="247">
          <cell r="D247">
            <v>256779415303</v>
          </cell>
          <cell r="E247">
            <v>45848</v>
          </cell>
          <cell r="F247" t="str">
            <v>USD</v>
          </cell>
          <cell r="G247">
            <v>-100</v>
          </cell>
          <cell r="H247">
            <v>2</v>
          </cell>
          <cell r="I247">
            <v>-8847</v>
          </cell>
          <cell r="K247">
            <v>45878</v>
          </cell>
          <cell r="L247">
            <v>46053</v>
          </cell>
        </row>
        <row r="248">
          <cell r="D248">
            <v>256779415333</v>
          </cell>
          <cell r="E248">
            <v>45848</v>
          </cell>
          <cell r="F248" t="str">
            <v>USD</v>
          </cell>
          <cell r="G248">
            <v>-22.5</v>
          </cell>
          <cell r="H248">
            <v>22.5</v>
          </cell>
          <cell r="I248">
            <v>-1990.58</v>
          </cell>
          <cell r="K248">
            <v>45878</v>
          </cell>
          <cell r="L248">
            <v>45991</v>
          </cell>
        </row>
        <row r="249">
          <cell r="D249">
            <v>256779415304</v>
          </cell>
          <cell r="E249">
            <v>45848</v>
          </cell>
          <cell r="F249" t="str">
            <v>USD</v>
          </cell>
          <cell r="G249">
            <v>-30</v>
          </cell>
          <cell r="H249">
            <v>0.6</v>
          </cell>
          <cell r="I249">
            <v>-2654.1</v>
          </cell>
          <cell r="K249">
            <v>45878</v>
          </cell>
          <cell r="L249">
            <v>46053</v>
          </cell>
        </row>
        <row r="250">
          <cell r="D250">
            <v>256779415377</v>
          </cell>
          <cell r="E250">
            <v>45848</v>
          </cell>
          <cell r="F250" t="str">
            <v>USD</v>
          </cell>
          <cell r="G250">
            <v>-50</v>
          </cell>
          <cell r="H250">
            <v>50</v>
          </cell>
          <cell r="I250">
            <v>-4423.5</v>
          </cell>
          <cell r="K250">
            <v>45878</v>
          </cell>
          <cell r="L250">
            <v>45991</v>
          </cell>
        </row>
        <row r="251">
          <cell r="D251">
            <v>256779415270</v>
          </cell>
          <cell r="E251">
            <v>45842</v>
          </cell>
          <cell r="F251" t="str">
            <v>USD</v>
          </cell>
          <cell r="G251">
            <v>-420.86</v>
          </cell>
          <cell r="H251">
            <v>420.86</v>
          </cell>
          <cell r="I251">
            <v>-37233.480000000003</v>
          </cell>
          <cell r="K251">
            <v>45872</v>
          </cell>
          <cell r="L251">
            <v>45991</v>
          </cell>
        </row>
        <row r="252">
          <cell r="D252">
            <v>256779415298</v>
          </cell>
          <cell r="E252">
            <v>45848</v>
          </cell>
          <cell r="F252" t="str">
            <v>USD</v>
          </cell>
          <cell r="G252">
            <v>-24</v>
          </cell>
          <cell r="H252">
            <v>24</v>
          </cell>
          <cell r="I252">
            <v>-2123.2800000000002</v>
          </cell>
          <cell r="K252">
            <v>45878</v>
          </cell>
          <cell r="L252">
            <v>45991</v>
          </cell>
        </row>
        <row r="253">
          <cell r="D253">
            <v>256779415380</v>
          </cell>
          <cell r="E253">
            <v>45848</v>
          </cell>
          <cell r="F253" t="str">
            <v>USD</v>
          </cell>
          <cell r="G253">
            <v>-200</v>
          </cell>
          <cell r="H253">
            <v>200</v>
          </cell>
          <cell r="I253">
            <v>-17694</v>
          </cell>
          <cell r="K253">
            <v>45878</v>
          </cell>
          <cell r="L253">
            <v>45991</v>
          </cell>
        </row>
        <row r="254">
          <cell r="D254">
            <v>256779415341</v>
          </cell>
          <cell r="E254">
            <v>45848</v>
          </cell>
          <cell r="F254" t="str">
            <v>USD</v>
          </cell>
          <cell r="G254">
            <v>-15</v>
          </cell>
          <cell r="H254">
            <v>15</v>
          </cell>
          <cell r="I254">
            <v>-1327.05</v>
          </cell>
          <cell r="K254">
            <v>45878</v>
          </cell>
          <cell r="L254">
            <v>45991</v>
          </cell>
        </row>
        <row r="255">
          <cell r="D255">
            <v>256779415385</v>
          </cell>
          <cell r="E255">
            <v>45848</v>
          </cell>
          <cell r="F255" t="str">
            <v>USD</v>
          </cell>
          <cell r="G255">
            <v>-24</v>
          </cell>
          <cell r="H255">
            <v>23.52</v>
          </cell>
          <cell r="I255">
            <v>-2123.2800000000002</v>
          </cell>
          <cell r="K255">
            <v>45878</v>
          </cell>
          <cell r="L255">
            <v>46053</v>
          </cell>
        </row>
        <row r="256">
          <cell r="D256">
            <v>256779415293</v>
          </cell>
          <cell r="E256">
            <v>45848</v>
          </cell>
          <cell r="F256" t="str">
            <v>USD</v>
          </cell>
          <cell r="G256">
            <v>-24</v>
          </cell>
          <cell r="H256">
            <v>23.52</v>
          </cell>
          <cell r="I256">
            <v>-2123.2800000000002</v>
          </cell>
          <cell r="K256">
            <v>45878</v>
          </cell>
          <cell r="L256">
            <v>46053</v>
          </cell>
        </row>
        <row r="257">
          <cell r="D257">
            <v>256779415359</v>
          </cell>
          <cell r="E257">
            <v>45848</v>
          </cell>
          <cell r="F257" t="str">
            <v>USD</v>
          </cell>
          <cell r="G257">
            <v>-200</v>
          </cell>
          <cell r="H257">
            <v>200</v>
          </cell>
          <cell r="I257">
            <v>-17694</v>
          </cell>
          <cell r="K257">
            <v>45878</v>
          </cell>
          <cell r="L257">
            <v>45991</v>
          </cell>
        </row>
        <row r="258">
          <cell r="D258">
            <v>256779415374</v>
          </cell>
          <cell r="E258">
            <v>45848</v>
          </cell>
          <cell r="F258" t="str">
            <v>USD</v>
          </cell>
          <cell r="G258">
            <v>-469.38</v>
          </cell>
          <cell r="H258">
            <v>459.99</v>
          </cell>
          <cell r="I258">
            <v>-41526.050000000003</v>
          </cell>
          <cell r="K258">
            <v>45878</v>
          </cell>
          <cell r="L258">
            <v>46053</v>
          </cell>
        </row>
        <row r="259">
          <cell r="D259">
            <v>256779415338</v>
          </cell>
          <cell r="E259">
            <v>45848</v>
          </cell>
          <cell r="F259" t="str">
            <v>USD</v>
          </cell>
          <cell r="G259">
            <v>-12.5</v>
          </cell>
          <cell r="H259">
            <v>12.5</v>
          </cell>
          <cell r="I259">
            <v>-1105.8800000000001</v>
          </cell>
          <cell r="K259">
            <v>45878</v>
          </cell>
          <cell r="L259">
            <v>45991</v>
          </cell>
        </row>
        <row r="260">
          <cell r="D260">
            <v>256779415344</v>
          </cell>
          <cell r="E260">
            <v>45848</v>
          </cell>
          <cell r="F260" t="str">
            <v>USD</v>
          </cell>
          <cell r="G260">
            <v>-25</v>
          </cell>
          <cell r="H260">
            <v>25</v>
          </cell>
          <cell r="I260">
            <v>-2211.75</v>
          </cell>
          <cell r="K260">
            <v>45878</v>
          </cell>
          <cell r="L260">
            <v>45991</v>
          </cell>
        </row>
        <row r="261">
          <cell r="D261">
            <v>256779415345</v>
          </cell>
          <cell r="E261">
            <v>45848</v>
          </cell>
          <cell r="F261" t="str">
            <v>USD</v>
          </cell>
          <cell r="G261">
            <v>-25</v>
          </cell>
          <cell r="H261">
            <v>25</v>
          </cell>
          <cell r="I261">
            <v>-2211.75</v>
          </cell>
          <cell r="K261">
            <v>45878</v>
          </cell>
          <cell r="L261">
            <v>45991</v>
          </cell>
        </row>
        <row r="262">
          <cell r="D262">
            <v>256779415388</v>
          </cell>
          <cell r="E262">
            <v>45848</v>
          </cell>
          <cell r="F262" t="str">
            <v>USD</v>
          </cell>
          <cell r="G262">
            <v>-2261.63</v>
          </cell>
          <cell r="H262">
            <v>2261.63</v>
          </cell>
          <cell r="I262">
            <v>-200086.41</v>
          </cell>
          <cell r="K262">
            <v>45878</v>
          </cell>
          <cell r="L262">
            <v>45991</v>
          </cell>
        </row>
        <row r="263">
          <cell r="D263">
            <v>256779415310</v>
          </cell>
          <cell r="E263">
            <v>45848</v>
          </cell>
          <cell r="F263" t="str">
            <v>USD</v>
          </cell>
          <cell r="G263">
            <v>-30</v>
          </cell>
          <cell r="H263">
            <v>30</v>
          </cell>
          <cell r="I263">
            <v>-2654.1</v>
          </cell>
          <cell r="K263">
            <v>45878</v>
          </cell>
          <cell r="L263">
            <v>45991</v>
          </cell>
        </row>
        <row r="264">
          <cell r="D264">
            <v>256779415379</v>
          </cell>
          <cell r="E264">
            <v>45848</v>
          </cell>
          <cell r="F264" t="str">
            <v>USD</v>
          </cell>
          <cell r="G264">
            <v>-233.11</v>
          </cell>
          <cell r="H264">
            <v>233.11</v>
          </cell>
          <cell r="I264">
            <v>-20623.240000000002</v>
          </cell>
          <cell r="K264">
            <v>45878</v>
          </cell>
          <cell r="L264">
            <v>45991</v>
          </cell>
        </row>
        <row r="265">
          <cell r="D265">
            <v>256779415384</v>
          </cell>
          <cell r="E265">
            <v>45848</v>
          </cell>
          <cell r="F265" t="str">
            <v>USD</v>
          </cell>
          <cell r="G265">
            <v>-350</v>
          </cell>
          <cell r="H265">
            <v>350</v>
          </cell>
          <cell r="I265">
            <v>-30964.5</v>
          </cell>
          <cell r="K265">
            <v>45878</v>
          </cell>
          <cell r="L265">
            <v>45991</v>
          </cell>
        </row>
        <row r="266">
          <cell r="D266">
            <v>256779415339</v>
          </cell>
          <cell r="E266">
            <v>45848</v>
          </cell>
          <cell r="F266" t="str">
            <v>USD</v>
          </cell>
          <cell r="G266">
            <v>-27.39</v>
          </cell>
          <cell r="H266">
            <v>0.55000000000000004</v>
          </cell>
          <cell r="I266">
            <v>-2423.19</v>
          </cell>
          <cell r="K266">
            <v>45878</v>
          </cell>
          <cell r="L266">
            <v>46053</v>
          </cell>
        </row>
        <row r="267">
          <cell r="D267">
            <v>256779411467</v>
          </cell>
          <cell r="E267">
            <v>45762</v>
          </cell>
          <cell r="F267" t="str">
            <v>USD</v>
          </cell>
          <cell r="G267">
            <v>-35.4</v>
          </cell>
          <cell r="H267">
            <v>0.71</v>
          </cell>
          <cell r="I267">
            <v>-3034.73</v>
          </cell>
          <cell r="K267">
            <v>45792</v>
          </cell>
          <cell r="L267">
            <v>46053</v>
          </cell>
        </row>
        <row r="268">
          <cell r="D268">
            <v>256779415393</v>
          </cell>
          <cell r="E268">
            <v>45848</v>
          </cell>
          <cell r="F268" t="str">
            <v>USD</v>
          </cell>
          <cell r="G268">
            <v>-60</v>
          </cell>
          <cell r="H268">
            <v>60</v>
          </cell>
          <cell r="I268">
            <v>-5308.2</v>
          </cell>
          <cell r="K268">
            <v>45878</v>
          </cell>
          <cell r="L268">
            <v>45991</v>
          </cell>
        </row>
        <row r="269">
          <cell r="D269">
            <v>256779415357</v>
          </cell>
          <cell r="E269">
            <v>45848</v>
          </cell>
          <cell r="F269" t="str">
            <v>USD</v>
          </cell>
          <cell r="G269">
            <v>-207.27</v>
          </cell>
          <cell r="H269">
            <v>207.27</v>
          </cell>
          <cell r="I269">
            <v>-18337.18</v>
          </cell>
          <cell r="K269">
            <v>45878</v>
          </cell>
          <cell r="L269">
            <v>45991</v>
          </cell>
        </row>
        <row r="270">
          <cell r="D270">
            <v>246779413747</v>
          </cell>
          <cell r="E270">
            <v>45736</v>
          </cell>
          <cell r="F270" t="str">
            <v>USD</v>
          </cell>
          <cell r="G270">
            <v>-2.74</v>
          </cell>
          <cell r="H270">
            <v>2.74</v>
          </cell>
          <cell r="I270">
            <v>-238.5</v>
          </cell>
          <cell r="K270">
            <v>45766</v>
          </cell>
          <cell r="L270">
            <v>45991</v>
          </cell>
        </row>
        <row r="271">
          <cell r="D271">
            <v>256779415300</v>
          </cell>
          <cell r="E271">
            <v>45848</v>
          </cell>
          <cell r="F271" t="str">
            <v>USD</v>
          </cell>
          <cell r="G271">
            <v>-24</v>
          </cell>
          <cell r="H271">
            <v>24</v>
          </cell>
          <cell r="I271">
            <v>-2123.2800000000002</v>
          </cell>
          <cell r="K271">
            <v>45878</v>
          </cell>
          <cell r="L271">
            <v>45991</v>
          </cell>
        </row>
        <row r="272">
          <cell r="D272">
            <v>256779415375</v>
          </cell>
          <cell r="E272">
            <v>45848</v>
          </cell>
          <cell r="F272" t="str">
            <v>USD</v>
          </cell>
          <cell r="G272">
            <v>-360</v>
          </cell>
          <cell r="H272">
            <v>360</v>
          </cell>
          <cell r="I272">
            <v>-31849.200000000001</v>
          </cell>
          <cell r="K272">
            <v>45878</v>
          </cell>
          <cell r="L272">
            <v>45991</v>
          </cell>
        </row>
        <row r="273">
          <cell r="D273">
            <v>256779413391</v>
          </cell>
          <cell r="E273">
            <v>45798</v>
          </cell>
          <cell r="F273" t="str">
            <v>USD</v>
          </cell>
          <cell r="G273">
            <v>-253.29</v>
          </cell>
          <cell r="H273">
            <v>253.29</v>
          </cell>
          <cell r="I273">
            <v>-21624.5</v>
          </cell>
          <cell r="K273">
            <v>45828</v>
          </cell>
          <cell r="L273">
            <v>45991</v>
          </cell>
        </row>
        <row r="274">
          <cell r="D274">
            <v>256779415349</v>
          </cell>
          <cell r="E274">
            <v>45848</v>
          </cell>
          <cell r="F274" t="str">
            <v>USD</v>
          </cell>
          <cell r="G274">
            <v>-27.5</v>
          </cell>
          <cell r="H274">
            <v>27.5</v>
          </cell>
          <cell r="I274">
            <v>-2432.9299999999998</v>
          </cell>
          <cell r="K274">
            <v>45878</v>
          </cell>
          <cell r="L274">
            <v>45991</v>
          </cell>
        </row>
        <row r="275">
          <cell r="D275">
            <v>256779415308</v>
          </cell>
          <cell r="E275">
            <v>45848</v>
          </cell>
          <cell r="F275" t="str">
            <v>USD</v>
          </cell>
          <cell r="G275">
            <v>-30</v>
          </cell>
          <cell r="H275">
            <v>0.6</v>
          </cell>
          <cell r="I275">
            <v>-2654.1</v>
          </cell>
          <cell r="K275">
            <v>45878</v>
          </cell>
          <cell r="L275">
            <v>46053</v>
          </cell>
        </row>
        <row r="276">
          <cell r="D276">
            <v>256779413392</v>
          </cell>
          <cell r="E276">
            <v>45798</v>
          </cell>
          <cell r="F276" t="str">
            <v>USD</v>
          </cell>
          <cell r="G276">
            <v>-218.17</v>
          </cell>
          <cell r="H276">
            <v>218.17</v>
          </cell>
          <cell r="I276">
            <v>-18626.150000000001</v>
          </cell>
          <cell r="K276">
            <v>45828</v>
          </cell>
          <cell r="L276">
            <v>45991</v>
          </cell>
        </row>
        <row r="277">
          <cell r="D277">
            <v>256779415360</v>
          </cell>
          <cell r="E277">
            <v>45848</v>
          </cell>
          <cell r="F277" t="str">
            <v>USD</v>
          </cell>
          <cell r="G277">
            <v>-60</v>
          </cell>
          <cell r="H277">
            <v>60</v>
          </cell>
          <cell r="I277">
            <v>-5308.2</v>
          </cell>
          <cell r="K277">
            <v>45878</v>
          </cell>
          <cell r="L277">
            <v>45991</v>
          </cell>
        </row>
        <row r="278">
          <cell r="D278">
            <v>256779415318</v>
          </cell>
          <cell r="E278">
            <v>45848</v>
          </cell>
          <cell r="F278" t="str">
            <v>USD</v>
          </cell>
          <cell r="G278">
            <v>-254.65</v>
          </cell>
          <cell r="H278">
            <v>254.65</v>
          </cell>
          <cell r="I278">
            <v>-22528.89</v>
          </cell>
          <cell r="K278">
            <v>45878</v>
          </cell>
          <cell r="L278">
            <v>45991</v>
          </cell>
        </row>
        <row r="279">
          <cell r="D279">
            <v>256779415378</v>
          </cell>
          <cell r="E279">
            <v>45848</v>
          </cell>
          <cell r="F279" t="str">
            <v>USD</v>
          </cell>
          <cell r="G279">
            <v>-120</v>
          </cell>
          <cell r="H279">
            <v>120</v>
          </cell>
          <cell r="I279">
            <v>-10616.4</v>
          </cell>
          <cell r="K279">
            <v>45878</v>
          </cell>
          <cell r="L279">
            <v>45991</v>
          </cell>
        </row>
        <row r="280">
          <cell r="D280">
            <v>256779415391</v>
          </cell>
          <cell r="E280">
            <v>45848</v>
          </cell>
          <cell r="F280" t="str">
            <v>USD</v>
          </cell>
          <cell r="G280">
            <v>-820.07</v>
          </cell>
          <cell r="H280">
            <v>820.07</v>
          </cell>
          <cell r="I280">
            <v>-72551.59</v>
          </cell>
          <cell r="K280">
            <v>45878</v>
          </cell>
          <cell r="L280">
            <v>45991</v>
          </cell>
        </row>
        <row r="281">
          <cell r="D281">
            <v>256779415334</v>
          </cell>
          <cell r="E281">
            <v>45848</v>
          </cell>
          <cell r="F281" t="str">
            <v>USD</v>
          </cell>
          <cell r="G281">
            <v>-22.5</v>
          </cell>
          <cell r="H281">
            <v>22.5</v>
          </cell>
          <cell r="I281">
            <v>-1990.58</v>
          </cell>
          <cell r="K281">
            <v>45878</v>
          </cell>
          <cell r="L281">
            <v>45991</v>
          </cell>
        </row>
        <row r="282">
          <cell r="D282">
            <v>256779415371</v>
          </cell>
          <cell r="E282">
            <v>45848</v>
          </cell>
          <cell r="F282" t="str">
            <v>USD</v>
          </cell>
          <cell r="G282">
            <v>-43.32</v>
          </cell>
          <cell r="H282">
            <v>43.32</v>
          </cell>
          <cell r="I282">
            <v>-3832.52</v>
          </cell>
          <cell r="K282">
            <v>45878</v>
          </cell>
          <cell r="L282">
            <v>45991</v>
          </cell>
        </row>
        <row r="283">
          <cell r="D283">
            <v>256779415305</v>
          </cell>
          <cell r="E283">
            <v>45848</v>
          </cell>
          <cell r="F283" t="str">
            <v>USD</v>
          </cell>
          <cell r="G283">
            <v>-30</v>
          </cell>
          <cell r="H283">
            <v>0.6</v>
          </cell>
          <cell r="I283">
            <v>-2654.1</v>
          </cell>
          <cell r="K283">
            <v>45878</v>
          </cell>
          <cell r="L283">
            <v>46053</v>
          </cell>
        </row>
        <row r="284">
          <cell r="D284">
            <v>256779415315</v>
          </cell>
          <cell r="E284">
            <v>45848</v>
          </cell>
          <cell r="F284" t="str">
            <v>USD</v>
          </cell>
          <cell r="G284">
            <v>-120</v>
          </cell>
          <cell r="H284">
            <v>120</v>
          </cell>
          <cell r="I284">
            <v>-10616.4</v>
          </cell>
          <cell r="K284">
            <v>45878</v>
          </cell>
          <cell r="L284">
            <v>45991</v>
          </cell>
        </row>
        <row r="285">
          <cell r="D285">
            <v>256779415356</v>
          </cell>
          <cell r="E285">
            <v>45848</v>
          </cell>
          <cell r="F285" t="str">
            <v>USD</v>
          </cell>
          <cell r="G285">
            <v>-72</v>
          </cell>
          <cell r="H285">
            <v>72</v>
          </cell>
          <cell r="I285">
            <v>-6369.84</v>
          </cell>
          <cell r="K285">
            <v>45878</v>
          </cell>
          <cell r="L285">
            <v>45991</v>
          </cell>
        </row>
        <row r="286">
          <cell r="D286">
            <v>256779415383</v>
          </cell>
          <cell r="E286">
            <v>45848</v>
          </cell>
          <cell r="F286" t="str">
            <v>USD</v>
          </cell>
          <cell r="G286">
            <v>-155.80000000000001</v>
          </cell>
          <cell r="H286">
            <v>155.80000000000001</v>
          </cell>
          <cell r="I286">
            <v>-13783.63</v>
          </cell>
          <cell r="K286">
            <v>45878</v>
          </cell>
          <cell r="L286">
            <v>45991</v>
          </cell>
        </row>
        <row r="287">
          <cell r="D287">
            <v>256779415372</v>
          </cell>
          <cell r="E287">
            <v>45848</v>
          </cell>
          <cell r="F287" t="str">
            <v>USD</v>
          </cell>
          <cell r="G287">
            <v>-155.38</v>
          </cell>
          <cell r="H287">
            <v>155.38</v>
          </cell>
          <cell r="I287">
            <v>-13746.47</v>
          </cell>
          <cell r="K287">
            <v>45878</v>
          </cell>
          <cell r="L287">
            <v>45991</v>
          </cell>
        </row>
        <row r="288">
          <cell r="D288">
            <v>256779415361</v>
          </cell>
          <cell r="E288">
            <v>45848</v>
          </cell>
          <cell r="F288" t="str">
            <v>USD</v>
          </cell>
          <cell r="G288">
            <v>-67.5</v>
          </cell>
          <cell r="H288">
            <v>67.5</v>
          </cell>
          <cell r="I288">
            <v>-5971.73</v>
          </cell>
          <cell r="K288">
            <v>45878</v>
          </cell>
          <cell r="L288">
            <v>45991</v>
          </cell>
        </row>
        <row r="289">
          <cell r="D289">
            <v>256779415317</v>
          </cell>
          <cell r="E289">
            <v>45848</v>
          </cell>
          <cell r="F289" t="str">
            <v>USD</v>
          </cell>
          <cell r="G289">
            <v>-200</v>
          </cell>
          <cell r="H289">
            <v>200</v>
          </cell>
          <cell r="I289">
            <v>-17694</v>
          </cell>
          <cell r="K289">
            <v>45878</v>
          </cell>
          <cell r="L289">
            <v>45991</v>
          </cell>
        </row>
        <row r="290">
          <cell r="D290">
            <v>256779415394</v>
          </cell>
          <cell r="E290">
            <v>45848</v>
          </cell>
          <cell r="F290" t="str">
            <v>USD</v>
          </cell>
          <cell r="G290">
            <v>-96</v>
          </cell>
          <cell r="H290">
            <v>96</v>
          </cell>
          <cell r="I290">
            <v>-8493.1200000000008</v>
          </cell>
          <cell r="K290">
            <v>45878</v>
          </cell>
          <cell r="L290">
            <v>45991</v>
          </cell>
        </row>
        <row r="291">
          <cell r="D291">
            <v>256779415314</v>
          </cell>
          <cell r="E291">
            <v>45848</v>
          </cell>
          <cell r="F291" t="str">
            <v>USD</v>
          </cell>
          <cell r="G291">
            <v>-179.14</v>
          </cell>
          <cell r="H291">
            <v>179.14</v>
          </cell>
          <cell r="I291">
            <v>-15848.52</v>
          </cell>
          <cell r="K291">
            <v>45878</v>
          </cell>
          <cell r="L291">
            <v>45991</v>
          </cell>
        </row>
        <row r="292">
          <cell r="D292">
            <v>256779415352</v>
          </cell>
          <cell r="E292">
            <v>45848</v>
          </cell>
          <cell r="F292" t="str">
            <v>USD</v>
          </cell>
          <cell r="G292">
            <v>-155.91999999999999</v>
          </cell>
          <cell r="H292">
            <v>155.91999999999999</v>
          </cell>
          <cell r="I292">
            <v>-13794.24</v>
          </cell>
          <cell r="K292">
            <v>45878</v>
          </cell>
          <cell r="L292">
            <v>45991</v>
          </cell>
        </row>
        <row r="293">
          <cell r="D293">
            <v>256779415208</v>
          </cell>
          <cell r="E293">
            <v>45842</v>
          </cell>
          <cell r="F293" t="str">
            <v>USD</v>
          </cell>
          <cell r="G293">
            <v>-183.43</v>
          </cell>
          <cell r="H293">
            <v>183.43</v>
          </cell>
          <cell r="I293">
            <v>-16228.05</v>
          </cell>
          <cell r="K293">
            <v>45872</v>
          </cell>
          <cell r="L293">
            <v>45991</v>
          </cell>
        </row>
        <row r="294">
          <cell r="D294">
            <v>256779415342</v>
          </cell>
          <cell r="E294">
            <v>45848</v>
          </cell>
          <cell r="F294" t="str">
            <v>USD</v>
          </cell>
          <cell r="G294">
            <v>-2.5</v>
          </cell>
          <cell r="H294">
            <v>2.5</v>
          </cell>
          <cell r="I294">
            <v>-221.18</v>
          </cell>
          <cell r="K294">
            <v>45878</v>
          </cell>
          <cell r="L294">
            <v>45991</v>
          </cell>
        </row>
        <row r="295">
          <cell r="D295">
            <v>256779415376</v>
          </cell>
          <cell r="E295">
            <v>45848</v>
          </cell>
          <cell r="F295" t="str">
            <v>USD</v>
          </cell>
          <cell r="G295">
            <v>-60</v>
          </cell>
          <cell r="H295">
            <v>60</v>
          </cell>
          <cell r="I295">
            <v>-5308.2</v>
          </cell>
          <cell r="K295">
            <v>45878</v>
          </cell>
          <cell r="L295">
            <v>45991</v>
          </cell>
        </row>
        <row r="296">
          <cell r="D296">
            <v>256779415210</v>
          </cell>
          <cell r="E296">
            <v>45842</v>
          </cell>
          <cell r="F296" t="str">
            <v>USD</v>
          </cell>
          <cell r="G296">
            <v>-9629.6299999999992</v>
          </cell>
          <cell r="H296">
            <v>9629.6299999999992</v>
          </cell>
          <cell r="I296">
            <v>-851933.37</v>
          </cell>
          <cell r="K296">
            <v>45872</v>
          </cell>
          <cell r="L296">
            <v>45991</v>
          </cell>
        </row>
        <row r="297">
          <cell r="D297">
            <v>256779415336</v>
          </cell>
          <cell r="E297">
            <v>45848</v>
          </cell>
          <cell r="F297" t="str">
            <v>USD</v>
          </cell>
          <cell r="G297">
            <v>-5</v>
          </cell>
          <cell r="H297">
            <v>5</v>
          </cell>
          <cell r="I297">
            <v>-442.35</v>
          </cell>
          <cell r="K297">
            <v>45878</v>
          </cell>
          <cell r="L297">
            <v>45991</v>
          </cell>
        </row>
        <row r="298">
          <cell r="D298">
            <v>256779415382</v>
          </cell>
          <cell r="E298">
            <v>45848</v>
          </cell>
          <cell r="F298" t="str">
            <v>USD</v>
          </cell>
          <cell r="G298">
            <v>-117.64</v>
          </cell>
          <cell r="H298">
            <v>117.64</v>
          </cell>
          <cell r="I298">
            <v>-10407.61</v>
          </cell>
          <cell r="K298">
            <v>45878</v>
          </cell>
          <cell r="L298">
            <v>45991</v>
          </cell>
        </row>
        <row r="299">
          <cell r="D299">
            <v>256779415295</v>
          </cell>
          <cell r="E299">
            <v>45848</v>
          </cell>
          <cell r="F299" t="str">
            <v>USD</v>
          </cell>
          <cell r="G299">
            <v>-24</v>
          </cell>
          <cell r="H299">
            <v>24</v>
          </cell>
          <cell r="I299">
            <v>-2123.2800000000002</v>
          </cell>
          <cell r="K299">
            <v>45878</v>
          </cell>
          <cell r="L299">
            <v>45991</v>
          </cell>
        </row>
        <row r="300">
          <cell r="D300">
            <v>256779415326</v>
          </cell>
          <cell r="E300">
            <v>45848</v>
          </cell>
          <cell r="F300" t="str">
            <v>USD</v>
          </cell>
          <cell r="G300">
            <v>-185.05</v>
          </cell>
          <cell r="H300">
            <v>185.05</v>
          </cell>
          <cell r="I300">
            <v>-16371.37</v>
          </cell>
          <cell r="K300">
            <v>45878</v>
          </cell>
          <cell r="L300">
            <v>45991</v>
          </cell>
        </row>
        <row r="301">
          <cell r="D301">
            <v>256779415306</v>
          </cell>
          <cell r="E301">
            <v>45848</v>
          </cell>
          <cell r="F301" t="str">
            <v>USD</v>
          </cell>
          <cell r="G301">
            <v>-30</v>
          </cell>
          <cell r="H301">
            <v>0.6</v>
          </cell>
          <cell r="I301">
            <v>-2654.1</v>
          </cell>
          <cell r="K301">
            <v>45878</v>
          </cell>
          <cell r="L301">
            <v>46053</v>
          </cell>
        </row>
        <row r="302">
          <cell r="D302">
            <v>256779415390</v>
          </cell>
          <cell r="E302">
            <v>45848</v>
          </cell>
          <cell r="F302" t="str">
            <v>USD</v>
          </cell>
          <cell r="G302">
            <v>-110.96</v>
          </cell>
          <cell r="H302">
            <v>110.96</v>
          </cell>
          <cell r="I302">
            <v>-9816.6299999999992</v>
          </cell>
          <cell r="K302">
            <v>45878</v>
          </cell>
          <cell r="L302">
            <v>45991</v>
          </cell>
        </row>
        <row r="303">
          <cell r="D303">
            <v>256779415340</v>
          </cell>
          <cell r="E303">
            <v>45848</v>
          </cell>
          <cell r="F303" t="str">
            <v>USD</v>
          </cell>
          <cell r="G303">
            <v>-25.84</v>
          </cell>
          <cell r="H303">
            <v>25.84</v>
          </cell>
          <cell r="I303">
            <v>-2286.06</v>
          </cell>
          <cell r="K303">
            <v>45878</v>
          </cell>
          <cell r="L303">
            <v>45991</v>
          </cell>
        </row>
        <row r="304">
          <cell r="D304">
            <v>256779415343</v>
          </cell>
          <cell r="E304">
            <v>45848</v>
          </cell>
          <cell r="F304" t="str">
            <v>USD</v>
          </cell>
          <cell r="G304">
            <v>-1</v>
          </cell>
          <cell r="H304">
            <v>1</v>
          </cell>
          <cell r="I304">
            <v>-88.47</v>
          </cell>
          <cell r="K304">
            <v>45878</v>
          </cell>
          <cell r="L304">
            <v>45991</v>
          </cell>
        </row>
        <row r="305">
          <cell r="D305">
            <v>256779415395</v>
          </cell>
          <cell r="E305">
            <v>45848</v>
          </cell>
          <cell r="F305" t="str">
            <v>USD</v>
          </cell>
          <cell r="G305">
            <v>-205.72</v>
          </cell>
          <cell r="H305">
            <v>205.72</v>
          </cell>
          <cell r="I305">
            <v>-18200.05</v>
          </cell>
          <cell r="K305">
            <v>45878</v>
          </cell>
          <cell r="L305">
            <v>45991</v>
          </cell>
        </row>
        <row r="306">
          <cell r="D306">
            <v>256779415381</v>
          </cell>
          <cell r="E306">
            <v>45848</v>
          </cell>
          <cell r="F306" t="str">
            <v>USD</v>
          </cell>
          <cell r="G306">
            <v>-60</v>
          </cell>
          <cell r="H306">
            <v>60</v>
          </cell>
          <cell r="I306">
            <v>-5308.2</v>
          </cell>
          <cell r="K306">
            <v>45878</v>
          </cell>
          <cell r="L306">
            <v>45991</v>
          </cell>
        </row>
        <row r="307">
          <cell r="D307">
            <v>256779415392</v>
          </cell>
          <cell r="E307">
            <v>45848</v>
          </cell>
          <cell r="F307" t="str">
            <v>USD</v>
          </cell>
          <cell r="G307">
            <v>-200</v>
          </cell>
          <cell r="H307">
            <v>200</v>
          </cell>
          <cell r="I307">
            <v>-17694</v>
          </cell>
          <cell r="K307">
            <v>45878</v>
          </cell>
          <cell r="L307">
            <v>45991</v>
          </cell>
        </row>
        <row r="308">
          <cell r="D308">
            <v>256779415358</v>
          </cell>
          <cell r="E308">
            <v>45848</v>
          </cell>
          <cell r="F308" t="str">
            <v>USD</v>
          </cell>
          <cell r="G308">
            <v>-96</v>
          </cell>
          <cell r="H308">
            <v>96</v>
          </cell>
          <cell r="I308">
            <v>-8493.1200000000008</v>
          </cell>
          <cell r="K308">
            <v>45878</v>
          </cell>
          <cell r="L308">
            <v>45991</v>
          </cell>
        </row>
        <row r="309">
          <cell r="D309">
            <v>256779415337</v>
          </cell>
          <cell r="E309">
            <v>45848</v>
          </cell>
          <cell r="F309" t="str">
            <v>USD</v>
          </cell>
          <cell r="G309">
            <v>-17.5</v>
          </cell>
          <cell r="H309">
            <v>17.5</v>
          </cell>
          <cell r="I309">
            <v>-1548.23</v>
          </cell>
          <cell r="K309">
            <v>45878</v>
          </cell>
          <cell r="L309">
            <v>45991</v>
          </cell>
        </row>
        <row r="310">
          <cell r="D310">
            <v>256779415362</v>
          </cell>
          <cell r="E310">
            <v>45848</v>
          </cell>
          <cell r="F310" t="str">
            <v>USD</v>
          </cell>
          <cell r="G310">
            <v>-3</v>
          </cell>
          <cell r="H310">
            <v>3</v>
          </cell>
          <cell r="I310">
            <v>-265.41000000000003</v>
          </cell>
          <cell r="K310">
            <v>45878</v>
          </cell>
          <cell r="L310">
            <v>45991</v>
          </cell>
        </row>
        <row r="311">
          <cell r="D311">
            <v>256779415373</v>
          </cell>
          <cell r="E311">
            <v>45848</v>
          </cell>
          <cell r="F311" t="str">
            <v>USD</v>
          </cell>
          <cell r="G311">
            <v>-2.63</v>
          </cell>
          <cell r="H311">
            <v>2.63</v>
          </cell>
          <cell r="I311">
            <v>-232.68</v>
          </cell>
          <cell r="K311">
            <v>45878</v>
          </cell>
          <cell r="L311">
            <v>45991</v>
          </cell>
        </row>
        <row r="312">
          <cell r="D312">
            <v>256779415386</v>
          </cell>
          <cell r="E312">
            <v>45848</v>
          </cell>
          <cell r="F312" t="str">
            <v>USD</v>
          </cell>
          <cell r="G312">
            <v>-7.5</v>
          </cell>
          <cell r="H312">
            <v>7.5</v>
          </cell>
          <cell r="I312">
            <v>-663.53</v>
          </cell>
          <cell r="K312">
            <v>45878</v>
          </cell>
          <cell r="L312">
            <v>45991</v>
          </cell>
        </row>
        <row r="313">
          <cell r="D313">
            <v>256779415348</v>
          </cell>
          <cell r="E313">
            <v>45848</v>
          </cell>
          <cell r="F313" t="str">
            <v>USD</v>
          </cell>
          <cell r="G313">
            <v>-7.5</v>
          </cell>
          <cell r="H313">
            <v>7.5</v>
          </cell>
          <cell r="I313">
            <v>-663.53</v>
          </cell>
          <cell r="K313">
            <v>45878</v>
          </cell>
          <cell r="L313">
            <v>45991</v>
          </cell>
        </row>
        <row r="314">
          <cell r="D314">
            <v>256779415369</v>
          </cell>
          <cell r="E314">
            <v>45848</v>
          </cell>
          <cell r="F314" t="str">
            <v>USD</v>
          </cell>
          <cell r="G314">
            <v>-3</v>
          </cell>
          <cell r="H314">
            <v>3</v>
          </cell>
          <cell r="I314">
            <v>-265.41000000000003</v>
          </cell>
          <cell r="K314">
            <v>45878</v>
          </cell>
          <cell r="L314">
            <v>45991</v>
          </cell>
        </row>
        <row r="315">
          <cell r="D315">
            <v>256779415364</v>
          </cell>
          <cell r="E315">
            <v>45848</v>
          </cell>
          <cell r="F315" t="str">
            <v>USD</v>
          </cell>
          <cell r="G315">
            <v>-200</v>
          </cell>
          <cell r="H315">
            <v>200</v>
          </cell>
          <cell r="I315">
            <v>-17694</v>
          </cell>
          <cell r="K315">
            <v>45878</v>
          </cell>
          <cell r="L315">
            <v>45991</v>
          </cell>
        </row>
        <row r="316">
          <cell r="D316">
            <v>256779415299</v>
          </cell>
          <cell r="E316">
            <v>45848</v>
          </cell>
          <cell r="F316" t="str">
            <v>USD</v>
          </cell>
          <cell r="G316">
            <v>-24</v>
          </cell>
          <cell r="H316">
            <v>24</v>
          </cell>
          <cell r="I316">
            <v>-2123.2800000000002</v>
          </cell>
          <cell r="K316">
            <v>45878</v>
          </cell>
          <cell r="L316">
            <v>45991</v>
          </cell>
        </row>
        <row r="317">
          <cell r="D317">
            <v>256779415335</v>
          </cell>
          <cell r="E317">
            <v>45848</v>
          </cell>
          <cell r="F317" t="str">
            <v>USD</v>
          </cell>
          <cell r="G317">
            <v>-25</v>
          </cell>
          <cell r="H317">
            <v>25</v>
          </cell>
          <cell r="I317">
            <v>-2211.75</v>
          </cell>
          <cell r="K317">
            <v>45878</v>
          </cell>
          <cell r="L317">
            <v>45991</v>
          </cell>
        </row>
        <row r="318">
          <cell r="D318">
            <v>256779415292</v>
          </cell>
          <cell r="E318">
            <v>45848</v>
          </cell>
          <cell r="F318" t="str">
            <v>USD</v>
          </cell>
          <cell r="G318">
            <v>-24</v>
          </cell>
          <cell r="H318">
            <v>24</v>
          </cell>
          <cell r="I318">
            <v>-2123.2800000000002</v>
          </cell>
          <cell r="K318">
            <v>45878</v>
          </cell>
          <cell r="L318">
            <v>45991</v>
          </cell>
        </row>
        <row r="319">
          <cell r="D319">
            <v>256779415370</v>
          </cell>
          <cell r="E319">
            <v>45848</v>
          </cell>
          <cell r="F319" t="str">
            <v>USD</v>
          </cell>
          <cell r="G319">
            <v>-72</v>
          </cell>
          <cell r="H319">
            <v>72</v>
          </cell>
          <cell r="I319">
            <v>-6369.84</v>
          </cell>
          <cell r="K319">
            <v>45878</v>
          </cell>
          <cell r="L319">
            <v>45991</v>
          </cell>
        </row>
        <row r="320">
          <cell r="D320">
            <v>256779415294</v>
          </cell>
          <cell r="E320">
            <v>45848</v>
          </cell>
          <cell r="F320" t="str">
            <v>USD</v>
          </cell>
          <cell r="G320">
            <v>-24</v>
          </cell>
          <cell r="H320">
            <v>24</v>
          </cell>
          <cell r="I320">
            <v>-2123.2800000000002</v>
          </cell>
          <cell r="K320">
            <v>45878</v>
          </cell>
          <cell r="L320">
            <v>45991</v>
          </cell>
        </row>
        <row r="321">
          <cell r="D321">
            <v>256779415307</v>
          </cell>
          <cell r="E321">
            <v>45848</v>
          </cell>
          <cell r="F321" t="str">
            <v>USD</v>
          </cell>
          <cell r="G321">
            <v>-30</v>
          </cell>
          <cell r="H321">
            <v>0.6</v>
          </cell>
          <cell r="I321">
            <v>-2654.1</v>
          </cell>
          <cell r="K321">
            <v>45878</v>
          </cell>
          <cell r="L321">
            <v>46053</v>
          </cell>
        </row>
        <row r="322">
          <cell r="D322">
            <v>256779415347</v>
          </cell>
          <cell r="E322">
            <v>45848</v>
          </cell>
          <cell r="F322" t="str">
            <v>USD</v>
          </cell>
          <cell r="G322">
            <v>-20</v>
          </cell>
          <cell r="H322">
            <v>20</v>
          </cell>
          <cell r="I322">
            <v>-1769.4</v>
          </cell>
          <cell r="K322">
            <v>45878</v>
          </cell>
          <cell r="L322">
            <v>45991</v>
          </cell>
        </row>
        <row r="323">
          <cell r="D323">
            <v>256779415297</v>
          </cell>
          <cell r="E323">
            <v>45848</v>
          </cell>
          <cell r="F323" t="str">
            <v>USD</v>
          </cell>
          <cell r="G323">
            <v>-24</v>
          </cell>
          <cell r="H323">
            <v>24</v>
          </cell>
          <cell r="I323">
            <v>-2123.2800000000002</v>
          </cell>
          <cell r="K323">
            <v>45878</v>
          </cell>
          <cell r="L323">
            <v>45991</v>
          </cell>
        </row>
        <row r="324">
          <cell r="D324">
            <v>256779415291</v>
          </cell>
          <cell r="E324">
            <v>45848</v>
          </cell>
          <cell r="F324" t="str">
            <v>USD</v>
          </cell>
          <cell r="G324">
            <v>-24</v>
          </cell>
          <cell r="H324">
            <v>23.52</v>
          </cell>
          <cell r="I324">
            <v>-2123.2800000000002</v>
          </cell>
          <cell r="K324">
            <v>45878</v>
          </cell>
          <cell r="L324">
            <v>46053</v>
          </cell>
        </row>
        <row r="325">
          <cell r="D325">
            <v>246779410311</v>
          </cell>
          <cell r="E325">
            <v>45708</v>
          </cell>
          <cell r="F325" t="str">
            <v>USD</v>
          </cell>
          <cell r="G325" t="str">
            <v xml:space="preserve"> -   </v>
          </cell>
          <cell r="H325" t="str">
            <v xml:space="preserve"> -   </v>
          </cell>
          <cell r="I325">
            <v>-197.88</v>
          </cell>
          <cell r="J325" t="str">
            <v>C: ASCENDAS27 P: Matching</v>
          </cell>
          <cell r="K325">
            <v>45738</v>
          </cell>
        </row>
        <row r="326">
          <cell r="D326">
            <v>256779411867</v>
          </cell>
          <cell r="E326">
            <v>45763</v>
          </cell>
          <cell r="F326" t="str">
            <v>USD</v>
          </cell>
          <cell r="G326" t="str">
            <v xml:space="preserve"> -   </v>
          </cell>
          <cell r="H326" t="str">
            <v xml:space="preserve"> -   </v>
          </cell>
          <cell r="I326">
            <v>-847.79</v>
          </cell>
          <cell r="J326" t="str">
            <v>C: ASCENDAS27 P: Matching</v>
          </cell>
          <cell r="K326">
            <v>45793</v>
          </cell>
        </row>
        <row r="327">
          <cell r="D327">
            <v>256779415389</v>
          </cell>
          <cell r="E327">
            <v>45848</v>
          </cell>
          <cell r="F327" t="str">
            <v>USD</v>
          </cell>
          <cell r="G327" t="str">
            <v xml:space="preserve"> -   </v>
          </cell>
          <cell r="H327" t="str">
            <v xml:space="preserve"> -   </v>
          </cell>
          <cell r="I327">
            <v>-31.68</v>
          </cell>
          <cell r="J327" t="str">
            <v>C: ASCENDAS27 P: Matching</v>
          </cell>
          <cell r="K327">
            <v>45878</v>
          </cell>
        </row>
        <row r="328">
          <cell r="D328">
            <v>256779415346</v>
          </cell>
          <cell r="E328">
            <v>45848</v>
          </cell>
          <cell r="F328" t="str">
            <v>USD</v>
          </cell>
          <cell r="G328" t="str">
            <v xml:space="preserve"> -   </v>
          </cell>
          <cell r="H328" t="str">
            <v xml:space="preserve"> -   </v>
          </cell>
          <cell r="I328">
            <v>-3.24</v>
          </cell>
          <cell r="J328" t="str">
            <v>C: ASCENDAS27 P: Matching</v>
          </cell>
          <cell r="K328">
            <v>45878</v>
          </cell>
        </row>
        <row r="329">
          <cell r="D329">
            <v>256779415350</v>
          </cell>
          <cell r="E329">
            <v>45848</v>
          </cell>
          <cell r="F329" t="str">
            <v>USD</v>
          </cell>
          <cell r="G329" t="str">
            <v xml:space="preserve"> -   </v>
          </cell>
          <cell r="H329" t="str">
            <v xml:space="preserve"> -   </v>
          </cell>
          <cell r="I329">
            <v>-4.17</v>
          </cell>
          <cell r="J329" t="str">
            <v>C: ASCENDAS27 P: Matching</v>
          </cell>
          <cell r="K329">
            <v>45878</v>
          </cell>
        </row>
        <row r="330">
          <cell r="D330">
            <v>256779415316</v>
          </cell>
          <cell r="E330">
            <v>45848</v>
          </cell>
          <cell r="F330" t="str">
            <v>USD</v>
          </cell>
          <cell r="G330" t="str">
            <v xml:space="preserve"> -   </v>
          </cell>
          <cell r="H330" t="str">
            <v xml:space="preserve"> -   </v>
          </cell>
          <cell r="I330">
            <v>-11.14</v>
          </cell>
          <cell r="J330" t="str">
            <v>C: ASCENDAS27 P: Matching</v>
          </cell>
          <cell r="K330">
            <v>45878</v>
          </cell>
        </row>
        <row r="331">
          <cell r="D331">
            <v>256779415355</v>
          </cell>
          <cell r="E331">
            <v>45848</v>
          </cell>
          <cell r="F331" t="str">
            <v>USD</v>
          </cell>
          <cell r="G331" t="str">
            <v xml:space="preserve"> -   </v>
          </cell>
          <cell r="H331" t="str">
            <v xml:space="preserve"> -   </v>
          </cell>
          <cell r="I331">
            <v>-3.97</v>
          </cell>
          <cell r="J331" t="str">
            <v>C: ASCENDAS27 P: Matching</v>
          </cell>
          <cell r="K331">
            <v>45878</v>
          </cell>
        </row>
        <row r="332">
          <cell r="D332">
            <v>256779415209</v>
          </cell>
          <cell r="E332">
            <v>45842</v>
          </cell>
          <cell r="F332" t="str">
            <v>USD</v>
          </cell>
          <cell r="G332" t="str">
            <v xml:space="preserve"> -   </v>
          </cell>
          <cell r="H332" t="str">
            <v xml:space="preserve"> -   </v>
          </cell>
          <cell r="I332">
            <v>-11.75</v>
          </cell>
          <cell r="J332" t="str">
            <v>C: ASCENDAS27 P: Matching</v>
          </cell>
          <cell r="K332">
            <v>45872</v>
          </cell>
        </row>
        <row r="333">
          <cell r="D333">
            <v>256779415303</v>
          </cell>
          <cell r="E333">
            <v>45848</v>
          </cell>
          <cell r="F333" t="str">
            <v>USD</v>
          </cell>
          <cell r="G333" t="str">
            <v xml:space="preserve"> -   </v>
          </cell>
          <cell r="H333" t="str">
            <v xml:space="preserve"> -   </v>
          </cell>
          <cell r="I333">
            <v>-18.57</v>
          </cell>
          <cell r="J333" t="str">
            <v>C: ASCENDAS27 P: Matching</v>
          </cell>
          <cell r="K333">
            <v>45878</v>
          </cell>
        </row>
        <row r="334">
          <cell r="D334">
            <v>256779415333</v>
          </cell>
          <cell r="E334">
            <v>45848</v>
          </cell>
          <cell r="F334" t="str">
            <v>USD</v>
          </cell>
          <cell r="G334" t="str">
            <v xml:space="preserve"> -   </v>
          </cell>
          <cell r="H334" t="str">
            <v xml:space="preserve"> -   </v>
          </cell>
          <cell r="I334">
            <v>-4.17</v>
          </cell>
          <cell r="J334" t="str">
            <v>C: ASCENDAS27 P: Matching</v>
          </cell>
          <cell r="K334">
            <v>45878</v>
          </cell>
        </row>
        <row r="335">
          <cell r="D335">
            <v>256779415304</v>
          </cell>
          <cell r="E335">
            <v>45848</v>
          </cell>
          <cell r="F335" t="str">
            <v>USD</v>
          </cell>
          <cell r="G335" t="str">
            <v xml:space="preserve"> -   </v>
          </cell>
          <cell r="H335" t="str">
            <v xml:space="preserve"> -   </v>
          </cell>
          <cell r="I335">
            <v>-5.57</v>
          </cell>
          <cell r="J335" t="str">
            <v>C: ASCENDAS27 P: Matching</v>
          </cell>
          <cell r="K335">
            <v>45878</v>
          </cell>
        </row>
        <row r="336">
          <cell r="D336">
            <v>256779415377</v>
          </cell>
          <cell r="E336">
            <v>45848</v>
          </cell>
          <cell r="F336" t="str">
            <v>USD</v>
          </cell>
          <cell r="G336" t="str">
            <v xml:space="preserve"> -   </v>
          </cell>
          <cell r="H336" t="str">
            <v xml:space="preserve"> -   </v>
          </cell>
          <cell r="I336">
            <v>-9.2899999999999991</v>
          </cell>
          <cell r="J336" t="str">
            <v>C: ASCENDAS27 P: Matching</v>
          </cell>
          <cell r="K336">
            <v>45878</v>
          </cell>
        </row>
        <row r="337">
          <cell r="D337">
            <v>256779415270</v>
          </cell>
          <cell r="E337">
            <v>45842</v>
          </cell>
          <cell r="F337" t="str">
            <v>USD</v>
          </cell>
          <cell r="G337" t="str">
            <v xml:space="preserve"> -   </v>
          </cell>
          <cell r="H337" t="str">
            <v xml:space="preserve"> -   </v>
          </cell>
          <cell r="I337">
            <v>-78.16</v>
          </cell>
          <cell r="J337" t="str">
            <v>C: ASCENDAS27 P: Matching</v>
          </cell>
          <cell r="K337">
            <v>45872</v>
          </cell>
        </row>
        <row r="338">
          <cell r="D338">
            <v>256779415298</v>
          </cell>
          <cell r="E338">
            <v>45848</v>
          </cell>
          <cell r="F338" t="str">
            <v>USD</v>
          </cell>
          <cell r="G338" t="str">
            <v xml:space="preserve"> -   </v>
          </cell>
          <cell r="H338" t="str">
            <v xml:space="preserve"> -   </v>
          </cell>
          <cell r="I338">
            <v>-4.46</v>
          </cell>
          <cell r="J338" t="str">
            <v>C: ASCENDAS27 P: Matching</v>
          </cell>
          <cell r="K338">
            <v>45878</v>
          </cell>
        </row>
        <row r="339">
          <cell r="D339">
            <v>256779415380</v>
          </cell>
          <cell r="E339">
            <v>45848</v>
          </cell>
          <cell r="F339" t="str">
            <v>USD</v>
          </cell>
          <cell r="G339" t="str">
            <v xml:space="preserve"> -   </v>
          </cell>
          <cell r="H339" t="str">
            <v xml:space="preserve"> -   </v>
          </cell>
          <cell r="I339">
            <v>-37.14</v>
          </cell>
          <cell r="J339" t="str">
            <v>C: ASCENDAS27 P: Matching</v>
          </cell>
          <cell r="K339">
            <v>45878</v>
          </cell>
        </row>
        <row r="340">
          <cell r="D340">
            <v>256779415341</v>
          </cell>
          <cell r="E340">
            <v>45848</v>
          </cell>
          <cell r="F340" t="str">
            <v>USD</v>
          </cell>
          <cell r="G340" t="str">
            <v xml:space="preserve"> -   </v>
          </cell>
          <cell r="H340" t="str">
            <v xml:space="preserve"> -   </v>
          </cell>
          <cell r="I340">
            <v>-2.78</v>
          </cell>
          <cell r="J340" t="str">
            <v>C: ASCENDAS27 P: Matching</v>
          </cell>
          <cell r="K340">
            <v>45878</v>
          </cell>
        </row>
        <row r="341">
          <cell r="D341">
            <v>256779415359</v>
          </cell>
          <cell r="E341">
            <v>45848</v>
          </cell>
          <cell r="F341" t="str">
            <v>USD</v>
          </cell>
          <cell r="G341" t="str">
            <v xml:space="preserve"> -   </v>
          </cell>
          <cell r="H341" t="str">
            <v xml:space="preserve"> -   </v>
          </cell>
          <cell r="I341">
            <v>-37.14</v>
          </cell>
          <cell r="J341" t="str">
            <v>C: ASCENDAS27 P: Matching</v>
          </cell>
          <cell r="K341">
            <v>45878</v>
          </cell>
        </row>
        <row r="342">
          <cell r="D342">
            <v>256779415338</v>
          </cell>
          <cell r="E342">
            <v>45848</v>
          </cell>
          <cell r="F342" t="str">
            <v>USD</v>
          </cell>
          <cell r="G342" t="str">
            <v xml:space="preserve"> -   </v>
          </cell>
          <cell r="H342" t="str">
            <v xml:space="preserve"> -   </v>
          </cell>
          <cell r="I342">
            <v>-2.3199999999999998</v>
          </cell>
          <cell r="J342" t="str">
            <v>C: ASCENDAS27 P: Matching</v>
          </cell>
          <cell r="K342">
            <v>45878</v>
          </cell>
        </row>
        <row r="343">
          <cell r="D343">
            <v>256779415344</v>
          </cell>
          <cell r="E343">
            <v>45848</v>
          </cell>
          <cell r="F343" t="str">
            <v>USD</v>
          </cell>
          <cell r="G343" t="str">
            <v xml:space="preserve"> -   </v>
          </cell>
          <cell r="H343" t="str">
            <v xml:space="preserve"> -   </v>
          </cell>
          <cell r="I343">
            <v>-4.6500000000000004</v>
          </cell>
          <cell r="J343" t="str">
            <v>C: ASCENDAS27 P: Matching</v>
          </cell>
          <cell r="K343">
            <v>45878</v>
          </cell>
        </row>
        <row r="344">
          <cell r="D344">
            <v>256779415345</v>
          </cell>
          <cell r="E344">
            <v>45848</v>
          </cell>
          <cell r="F344" t="str">
            <v>USD</v>
          </cell>
          <cell r="G344" t="str">
            <v xml:space="preserve"> -   </v>
          </cell>
          <cell r="H344" t="str">
            <v xml:space="preserve"> -   </v>
          </cell>
          <cell r="I344">
            <v>-4.6500000000000004</v>
          </cell>
          <cell r="J344" t="str">
            <v>C: ASCENDAS27 P: Matching</v>
          </cell>
          <cell r="K344">
            <v>45878</v>
          </cell>
        </row>
        <row r="345">
          <cell r="D345">
            <v>256779415388</v>
          </cell>
          <cell r="E345">
            <v>45848</v>
          </cell>
          <cell r="F345" t="str">
            <v>USD</v>
          </cell>
          <cell r="G345" t="str">
            <v xml:space="preserve"> -   </v>
          </cell>
          <cell r="H345" t="str">
            <v xml:space="preserve"> -   </v>
          </cell>
          <cell r="I345">
            <v>-420</v>
          </cell>
          <cell r="J345" t="str">
            <v>C: ASCENDAS27 P: Matching</v>
          </cell>
          <cell r="K345">
            <v>45878</v>
          </cell>
        </row>
        <row r="346">
          <cell r="D346">
            <v>256779415310</v>
          </cell>
          <cell r="E346">
            <v>45848</v>
          </cell>
          <cell r="F346" t="str">
            <v>USD</v>
          </cell>
          <cell r="G346" t="str">
            <v xml:space="preserve"> -   </v>
          </cell>
          <cell r="H346" t="str">
            <v xml:space="preserve"> -   </v>
          </cell>
          <cell r="I346">
            <v>-5.57</v>
          </cell>
          <cell r="J346" t="str">
            <v>C: ASCENDAS27 P: Matching</v>
          </cell>
          <cell r="K346">
            <v>45878</v>
          </cell>
        </row>
        <row r="347">
          <cell r="D347">
            <v>256779415379</v>
          </cell>
          <cell r="E347">
            <v>45848</v>
          </cell>
          <cell r="F347" t="str">
            <v>USD</v>
          </cell>
          <cell r="G347" t="str">
            <v xml:space="preserve"> -   </v>
          </cell>
          <cell r="H347" t="str">
            <v xml:space="preserve"> -   </v>
          </cell>
          <cell r="I347">
            <v>-43.29</v>
          </cell>
          <cell r="J347" t="str">
            <v>C: ASCENDAS27 P: Matching</v>
          </cell>
          <cell r="K347">
            <v>45878</v>
          </cell>
        </row>
        <row r="348">
          <cell r="D348">
            <v>256779415384</v>
          </cell>
          <cell r="E348">
            <v>45848</v>
          </cell>
          <cell r="F348" t="str">
            <v>USD</v>
          </cell>
          <cell r="G348" t="str">
            <v xml:space="preserve"> -   </v>
          </cell>
          <cell r="H348" t="str">
            <v xml:space="preserve"> -   </v>
          </cell>
          <cell r="I348">
            <v>-65</v>
          </cell>
          <cell r="J348" t="str">
            <v>C: ASCENDAS27 P: Matching</v>
          </cell>
          <cell r="K348">
            <v>45878</v>
          </cell>
        </row>
        <row r="349">
          <cell r="D349">
            <v>256779415339</v>
          </cell>
          <cell r="E349">
            <v>45848</v>
          </cell>
          <cell r="F349" t="str">
            <v>USD</v>
          </cell>
          <cell r="G349" t="str">
            <v xml:space="preserve"> -   </v>
          </cell>
          <cell r="H349" t="str">
            <v xml:space="preserve"> -   </v>
          </cell>
          <cell r="I349">
            <v>-5.09</v>
          </cell>
          <cell r="J349" t="str">
            <v>C: ASCENDAS27 P: Matching</v>
          </cell>
          <cell r="K349">
            <v>45878</v>
          </cell>
        </row>
        <row r="350">
          <cell r="D350">
            <v>256779411467</v>
          </cell>
          <cell r="E350">
            <v>45762</v>
          </cell>
          <cell r="F350" t="str">
            <v>USD</v>
          </cell>
          <cell r="G350" t="str">
            <v xml:space="preserve"> -   </v>
          </cell>
          <cell r="H350" t="str">
            <v xml:space="preserve"> -   </v>
          </cell>
          <cell r="I350">
            <v>-101.74</v>
          </cell>
          <cell r="J350" t="str">
            <v>C: ASCENDAS27 P: Matching</v>
          </cell>
          <cell r="K350">
            <v>45792</v>
          </cell>
        </row>
        <row r="351">
          <cell r="D351">
            <v>256779415393</v>
          </cell>
          <cell r="E351">
            <v>45848</v>
          </cell>
          <cell r="F351" t="str">
            <v>USD</v>
          </cell>
          <cell r="G351" t="str">
            <v xml:space="preserve"> -   </v>
          </cell>
          <cell r="H351" t="str">
            <v xml:space="preserve"> -   </v>
          </cell>
          <cell r="I351">
            <v>-11.14</v>
          </cell>
          <cell r="J351" t="str">
            <v>C: ASCENDAS27 P: Matching</v>
          </cell>
          <cell r="K351">
            <v>45878</v>
          </cell>
        </row>
        <row r="352">
          <cell r="D352">
            <v>256779415357</v>
          </cell>
          <cell r="E352">
            <v>45848</v>
          </cell>
          <cell r="F352" t="str">
            <v>USD</v>
          </cell>
          <cell r="G352" t="str">
            <v xml:space="preserve"> -   </v>
          </cell>
          <cell r="H352" t="str">
            <v xml:space="preserve"> -   </v>
          </cell>
          <cell r="I352">
            <v>-38.49</v>
          </cell>
          <cell r="J352" t="str">
            <v>C: ASCENDAS27 P: Matching</v>
          </cell>
          <cell r="K352">
            <v>45878</v>
          </cell>
        </row>
        <row r="353">
          <cell r="D353">
            <v>246779413747</v>
          </cell>
          <cell r="E353">
            <v>45736</v>
          </cell>
          <cell r="F353" t="str">
            <v>USD</v>
          </cell>
          <cell r="G353" t="str">
            <v xml:space="preserve"> -   </v>
          </cell>
          <cell r="H353" t="str">
            <v xml:space="preserve"> -   </v>
          </cell>
          <cell r="I353">
            <v>-4.34</v>
          </cell>
          <cell r="J353" t="str">
            <v>C: ASCENDAS27 P: Matching</v>
          </cell>
          <cell r="K353">
            <v>45766</v>
          </cell>
        </row>
        <row r="354">
          <cell r="D354">
            <v>256779415300</v>
          </cell>
          <cell r="E354">
            <v>45848</v>
          </cell>
          <cell r="F354" t="str">
            <v>USD</v>
          </cell>
          <cell r="G354" t="str">
            <v xml:space="preserve"> -   </v>
          </cell>
          <cell r="H354" t="str">
            <v xml:space="preserve"> -   </v>
          </cell>
          <cell r="I354">
            <v>-4.46</v>
          </cell>
          <cell r="J354" t="str">
            <v>C: ASCENDAS27 P: Matching</v>
          </cell>
          <cell r="K354">
            <v>45878</v>
          </cell>
        </row>
        <row r="355">
          <cell r="D355">
            <v>256779415375</v>
          </cell>
          <cell r="E355">
            <v>45848</v>
          </cell>
          <cell r="F355" t="str">
            <v>USD</v>
          </cell>
          <cell r="G355" t="str">
            <v xml:space="preserve"> -   </v>
          </cell>
          <cell r="H355" t="str">
            <v xml:space="preserve"> -   </v>
          </cell>
          <cell r="I355">
            <v>-66.849999999999994</v>
          </cell>
          <cell r="J355" t="str">
            <v>C: ASCENDAS27 P: Matching</v>
          </cell>
          <cell r="K355">
            <v>45878</v>
          </cell>
        </row>
        <row r="356">
          <cell r="D356">
            <v>256779413391</v>
          </cell>
          <cell r="E356">
            <v>45798</v>
          </cell>
          <cell r="F356" t="str">
            <v>USD</v>
          </cell>
          <cell r="G356" t="str">
            <v xml:space="preserve"> -   </v>
          </cell>
          <cell r="H356" t="str">
            <v xml:space="preserve"> -   </v>
          </cell>
          <cell r="I356">
            <v>-815.41</v>
          </cell>
          <cell r="J356" t="str">
            <v>C: ASCENDAS27 P: Matching</v>
          </cell>
          <cell r="K356">
            <v>45828</v>
          </cell>
        </row>
        <row r="357">
          <cell r="D357">
            <v>256779415349</v>
          </cell>
          <cell r="E357">
            <v>45848</v>
          </cell>
          <cell r="F357" t="str">
            <v>USD</v>
          </cell>
          <cell r="G357" t="str">
            <v xml:space="preserve"> -   </v>
          </cell>
          <cell r="H357" t="str">
            <v xml:space="preserve"> -   </v>
          </cell>
          <cell r="I357">
            <v>-5.0999999999999996</v>
          </cell>
          <cell r="J357" t="str">
            <v>C: ASCENDAS27 P: Matching</v>
          </cell>
          <cell r="K357">
            <v>45878</v>
          </cell>
        </row>
        <row r="358">
          <cell r="D358">
            <v>256779415308</v>
          </cell>
          <cell r="E358">
            <v>45848</v>
          </cell>
          <cell r="F358" t="str">
            <v>USD</v>
          </cell>
          <cell r="G358" t="str">
            <v xml:space="preserve"> -   </v>
          </cell>
          <cell r="H358" t="str">
            <v xml:space="preserve"> -   </v>
          </cell>
          <cell r="I358">
            <v>-5.57</v>
          </cell>
          <cell r="J358" t="str">
            <v>C: ASCENDAS27 P: Matching</v>
          </cell>
          <cell r="K358">
            <v>45878</v>
          </cell>
        </row>
        <row r="359">
          <cell r="D359">
            <v>256779413392</v>
          </cell>
          <cell r="E359">
            <v>45798</v>
          </cell>
          <cell r="F359" t="str">
            <v>USD</v>
          </cell>
          <cell r="G359" t="str">
            <v xml:space="preserve"> -   </v>
          </cell>
          <cell r="H359" t="str">
            <v xml:space="preserve"> -   </v>
          </cell>
          <cell r="I359">
            <v>-702.37</v>
          </cell>
          <cell r="J359" t="str">
            <v>C: ASCENDAS27 P: Matching</v>
          </cell>
          <cell r="K359">
            <v>45828</v>
          </cell>
        </row>
        <row r="360">
          <cell r="D360">
            <v>256779415360</v>
          </cell>
          <cell r="E360">
            <v>45848</v>
          </cell>
          <cell r="F360" t="str">
            <v>USD</v>
          </cell>
          <cell r="G360" t="str">
            <v xml:space="preserve"> -   </v>
          </cell>
          <cell r="H360" t="str">
            <v xml:space="preserve"> -   </v>
          </cell>
          <cell r="I360">
            <v>-11.14</v>
          </cell>
          <cell r="J360" t="str">
            <v>C: ASCENDAS27 P: Matching</v>
          </cell>
          <cell r="K360">
            <v>45878</v>
          </cell>
        </row>
        <row r="361">
          <cell r="D361">
            <v>256779415318</v>
          </cell>
          <cell r="E361">
            <v>45848</v>
          </cell>
          <cell r="F361" t="str">
            <v>USD</v>
          </cell>
          <cell r="G361" t="str">
            <v xml:space="preserve"> -   </v>
          </cell>
          <cell r="H361" t="str">
            <v xml:space="preserve"> -   </v>
          </cell>
          <cell r="I361">
            <v>-47.28</v>
          </cell>
          <cell r="J361" t="str">
            <v>C: ASCENDAS27 P: Matching</v>
          </cell>
          <cell r="K361">
            <v>45878</v>
          </cell>
        </row>
        <row r="362">
          <cell r="D362">
            <v>256779415378</v>
          </cell>
          <cell r="E362">
            <v>45848</v>
          </cell>
          <cell r="F362" t="str">
            <v>USD</v>
          </cell>
          <cell r="G362" t="str">
            <v xml:space="preserve"> -   </v>
          </cell>
          <cell r="H362" t="str">
            <v xml:space="preserve"> -   </v>
          </cell>
          <cell r="I362">
            <v>-22.29</v>
          </cell>
          <cell r="J362" t="str">
            <v>C: ASCENDAS27 P: Matching</v>
          </cell>
          <cell r="K362">
            <v>45878</v>
          </cell>
        </row>
        <row r="363">
          <cell r="D363">
            <v>256779415391</v>
          </cell>
          <cell r="E363">
            <v>45848</v>
          </cell>
          <cell r="F363" t="str">
            <v>USD</v>
          </cell>
          <cell r="G363" t="str">
            <v xml:space="preserve"> -   </v>
          </cell>
          <cell r="H363" t="str">
            <v xml:space="preserve"> -   </v>
          </cell>
          <cell r="I363">
            <v>-152.30000000000001</v>
          </cell>
          <cell r="J363" t="str">
            <v>C: ASCENDAS27 P: Matching</v>
          </cell>
          <cell r="K363">
            <v>45878</v>
          </cell>
        </row>
        <row r="364">
          <cell r="D364">
            <v>256779415334</v>
          </cell>
          <cell r="E364">
            <v>45848</v>
          </cell>
          <cell r="F364" t="str">
            <v>USD</v>
          </cell>
          <cell r="G364" t="str">
            <v xml:space="preserve"> -   </v>
          </cell>
          <cell r="H364" t="str">
            <v xml:space="preserve"> -   </v>
          </cell>
          <cell r="I364">
            <v>-4.17</v>
          </cell>
          <cell r="J364" t="str">
            <v>C: ASCENDAS27 P: Matching</v>
          </cell>
          <cell r="K364">
            <v>45878</v>
          </cell>
        </row>
        <row r="365">
          <cell r="D365">
            <v>256779415371</v>
          </cell>
          <cell r="E365">
            <v>45848</v>
          </cell>
          <cell r="F365" t="str">
            <v>USD</v>
          </cell>
          <cell r="G365" t="str">
            <v xml:space="preserve"> -   </v>
          </cell>
          <cell r="H365" t="str">
            <v xml:space="preserve"> -   </v>
          </cell>
          <cell r="I365">
            <v>-8.0500000000000007</v>
          </cell>
          <cell r="J365" t="str">
            <v>C: ASCENDAS27 P: Matching</v>
          </cell>
          <cell r="K365">
            <v>45878</v>
          </cell>
        </row>
        <row r="366">
          <cell r="D366">
            <v>256779415315</v>
          </cell>
          <cell r="E366">
            <v>45848</v>
          </cell>
          <cell r="F366" t="str">
            <v>USD</v>
          </cell>
          <cell r="G366" t="str">
            <v xml:space="preserve"> -   </v>
          </cell>
          <cell r="H366" t="str">
            <v xml:space="preserve"> -   </v>
          </cell>
          <cell r="I366">
            <v>-22.29</v>
          </cell>
          <cell r="J366" t="str">
            <v>C: ASCENDAS27 P: Matching</v>
          </cell>
          <cell r="K366">
            <v>45878</v>
          </cell>
        </row>
        <row r="367">
          <cell r="D367">
            <v>256779415305</v>
          </cell>
          <cell r="E367">
            <v>45848</v>
          </cell>
          <cell r="F367" t="str">
            <v>USD</v>
          </cell>
          <cell r="G367" t="str">
            <v xml:space="preserve"> -   </v>
          </cell>
          <cell r="H367" t="str">
            <v xml:space="preserve"> -   </v>
          </cell>
          <cell r="I367">
            <v>-5.57</v>
          </cell>
          <cell r="J367" t="str">
            <v>C: ASCENDAS27 P: Matching</v>
          </cell>
          <cell r="K367">
            <v>45878</v>
          </cell>
        </row>
        <row r="368">
          <cell r="D368">
            <v>256779415356</v>
          </cell>
          <cell r="E368">
            <v>45848</v>
          </cell>
          <cell r="F368" t="str">
            <v>USD</v>
          </cell>
          <cell r="G368" t="str">
            <v xml:space="preserve"> -   </v>
          </cell>
          <cell r="H368" t="str">
            <v xml:space="preserve"> -   </v>
          </cell>
          <cell r="I368">
            <v>-13.37</v>
          </cell>
          <cell r="J368" t="str">
            <v>C: ASCENDAS27 P: Matching</v>
          </cell>
          <cell r="K368">
            <v>45878</v>
          </cell>
        </row>
        <row r="369">
          <cell r="D369">
            <v>256779415383</v>
          </cell>
          <cell r="E369">
            <v>45848</v>
          </cell>
          <cell r="F369" t="str">
            <v>USD</v>
          </cell>
          <cell r="G369" t="str">
            <v xml:space="preserve"> -   </v>
          </cell>
          <cell r="H369" t="str">
            <v xml:space="preserve"> -   </v>
          </cell>
          <cell r="I369">
            <v>-28.93</v>
          </cell>
          <cell r="J369" t="str">
            <v>C: ASCENDAS27 P: Matching</v>
          </cell>
          <cell r="K369">
            <v>45878</v>
          </cell>
        </row>
        <row r="370">
          <cell r="D370">
            <v>256779415372</v>
          </cell>
          <cell r="E370">
            <v>45848</v>
          </cell>
          <cell r="F370" t="str">
            <v>USD</v>
          </cell>
          <cell r="G370" t="str">
            <v xml:space="preserve"> -   </v>
          </cell>
          <cell r="H370" t="str">
            <v xml:space="preserve"> -   </v>
          </cell>
          <cell r="I370">
            <v>-28.85</v>
          </cell>
          <cell r="J370" t="str">
            <v>C: ASCENDAS27 P: Matching</v>
          </cell>
          <cell r="K370">
            <v>45878</v>
          </cell>
        </row>
        <row r="371">
          <cell r="D371">
            <v>256779415361</v>
          </cell>
          <cell r="E371">
            <v>45848</v>
          </cell>
          <cell r="F371" t="str">
            <v>USD</v>
          </cell>
          <cell r="G371" t="str">
            <v xml:space="preserve"> -   </v>
          </cell>
          <cell r="H371" t="str">
            <v xml:space="preserve"> -   </v>
          </cell>
          <cell r="I371">
            <v>-12.53</v>
          </cell>
          <cell r="J371" t="str">
            <v>C: ASCENDAS27 P: Matching</v>
          </cell>
          <cell r="K371">
            <v>45878</v>
          </cell>
        </row>
        <row r="372">
          <cell r="D372">
            <v>256779415317</v>
          </cell>
          <cell r="E372">
            <v>45848</v>
          </cell>
          <cell r="F372" t="str">
            <v>USD</v>
          </cell>
          <cell r="G372" t="str">
            <v xml:space="preserve"> -   </v>
          </cell>
          <cell r="H372" t="str">
            <v xml:space="preserve"> -   </v>
          </cell>
          <cell r="I372">
            <v>-37.14</v>
          </cell>
          <cell r="J372" t="str">
            <v>C: ASCENDAS27 P: Matching</v>
          </cell>
          <cell r="K372">
            <v>45878</v>
          </cell>
        </row>
        <row r="373">
          <cell r="D373">
            <v>256779415394</v>
          </cell>
          <cell r="E373">
            <v>45848</v>
          </cell>
          <cell r="F373" t="str">
            <v>USD</v>
          </cell>
          <cell r="G373" t="str">
            <v xml:space="preserve"> -   </v>
          </cell>
          <cell r="H373" t="str">
            <v xml:space="preserve"> -   </v>
          </cell>
          <cell r="I373">
            <v>-17.829999999999998</v>
          </cell>
          <cell r="J373" t="str">
            <v>C: ASCENDAS27 P: Matching</v>
          </cell>
          <cell r="K373">
            <v>45878</v>
          </cell>
        </row>
        <row r="374">
          <cell r="D374">
            <v>256779415314</v>
          </cell>
          <cell r="E374">
            <v>45848</v>
          </cell>
          <cell r="F374" t="str">
            <v>USD</v>
          </cell>
          <cell r="G374" t="str">
            <v xml:space="preserve"> -   </v>
          </cell>
          <cell r="H374" t="str">
            <v xml:space="preserve"> -   </v>
          </cell>
          <cell r="I374">
            <v>-33.26</v>
          </cell>
          <cell r="J374" t="str">
            <v>C: ASCENDAS27 P: Matching</v>
          </cell>
          <cell r="K374">
            <v>45878</v>
          </cell>
        </row>
        <row r="375">
          <cell r="D375">
            <v>256779415352</v>
          </cell>
          <cell r="E375">
            <v>45848</v>
          </cell>
          <cell r="F375" t="str">
            <v>USD</v>
          </cell>
          <cell r="G375" t="str">
            <v xml:space="preserve"> -   </v>
          </cell>
          <cell r="H375" t="str">
            <v xml:space="preserve"> -   </v>
          </cell>
          <cell r="I375">
            <v>-28.96</v>
          </cell>
          <cell r="J375" t="str">
            <v>C: ASCENDAS27 P: Matching</v>
          </cell>
          <cell r="K375">
            <v>45878</v>
          </cell>
        </row>
        <row r="376">
          <cell r="D376">
            <v>256779415208</v>
          </cell>
          <cell r="E376">
            <v>45842</v>
          </cell>
          <cell r="F376" t="str">
            <v>USD</v>
          </cell>
          <cell r="G376" t="str">
            <v xml:space="preserve"> -   </v>
          </cell>
          <cell r="H376" t="str">
            <v xml:space="preserve"> -   </v>
          </cell>
          <cell r="I376">
            <v>-34.06</v>
          </cell>
          <cell r="J376" t="str">
            <v>C: ASCENDAS27 P: Matching</v>
          </cell>
          <cell r="K376">
            <v>45872</v>
          </cell>
        </row>
        <row r="377">
          <cell r="D377">
            <v>256779415342</v>
          </cell>
          <cell r="E377">
            <v>45848</v>
          </cell>
          <cell r="F377" t="str">
            <v>USD</v>
          </cell>
          <cell r="G377" t="str">
            <v xml:space="preserve"> -   </v>
          </cell>
          <cell r="H377" t="str">
            <v xml:space="preserve"> -   </v>
          </cell>
          <cell r="I377">
            <v>-0.46</v>
          </cell>
          <cell r="J377" t="str">
            <v>C: ASCENDAS27 P: Matching</v>
          </cell>
          <cell r="K377">
            <v>45878</v>
          </cell>
        </row>
        <row r="378">
          <cell r="D378">
            <v>256779415376</v>
          </cell>
          <cell r="E378">
            <v>45848</v>
          </cell>
          <cell r="F378" t="str">
            <v>USD</v>
          </cell>
          <cell r="G378" t="str">
            <v xml:space="preserve"> -   </v>
          </cell>
          <cell r="H378" t="str">
            <v xml:space="preserve"> -   </v>
          </cell>
          <cell r="I378">
            <v>-11.14</v>
          </cell>
          <cell r="J378" t="str">
            <v>C: ASCENDAS27 P: Matching</v>
          </cell>
          <cell r="K378">
            <v>45878</v>
          </cell>
        </row>
        <row r="379">
          <cell r="D379">
            <v>256779415336</v>
          </cell>
          <cell r="E379">
            <v>45848</v>
          </cell>
          <cell r="F379" t="str">
            <v>USD</v>
          </cell>
          <cell r="G379" t="str">
            <v xml:space="preserve"> -   </v>
          </cell>
          <cell r="H379" t="str">
            <v xml:space="preserve"> -   </v>
          </cell>
          <cell r="I379">
            <v>-0.93</v>
          </cell>
          <cell r="J379" t="str">
            <v>C: ASCENDAS27 P: Matching</v>
          </cell>
          <cell r="K379">
            <v>45878</v>
          </cell>
        </row>
        <row r="380">
          <cell r="D380">
            <v>256779415210</v>
          </cell>
          <cell r="E380">
            <v>45842</v>
          </cell>
          <cell r="F380" t="str">
            <v>USD</v>
          </cell>
          <cell r="G380" t="str">
            <v xml:space="preserve"> -   </v>
          </cell>
          <cell r="H380" t="str">
            <v xml:space="preserve"> -   </v>
          </cell>
          <cell r="I380">
            <v>-1788.28</v>
          </cell>
          <cell r="J380" t="str">
            <v>C: ASCENDAS27 P: Matching</v>
          </cell>
          <cell r="K380">
            <v>45872</v>
          </cell>
        </row>
        <row r="381">
          <cell r="D381">
            <v>256779415382</v>
          </cell>
          <cell r="E381">
            <v>45848</v>
          </cell>
          <cell r="F381" t="str">
            <v>USD</v>
          </cell>
          <cell r="G381" t="str">
            <v xml:space="preserve"> -   </v>
          </cell>
          <cell r="H381" t="str">
            <v xml:space="preserve"> -   </v>
          </cell>
          <cell r="I381">
            <v>-21.84</v>
          </cell>
          <cell r="J381" t="str">
            <v>C: ASCENDAS27 P: Matching</v>
          </cell>
          <cell r="K381">
            <v>45878</v>
          </cell>
        </row>
        <row r="382">
          <cell r="D382">
            <v>256779415295</v>
          </cell>
          <cell r="E382">
            <v>45848</v>
          </cell>
          <cell r="F382" t="str">
            <v>USD</v>
          </cell>
          <cell r="G382" t="str">
            <v xml:space="preserve"> -   </v>
          </cell>
          <cell r="H382" t="str">
            <v xml:space="preserve"> -   </v>
          </cell>
          <cell r="I382">
            <v>-4.46</v>
          </cell>
          <cell r="J382" t="str">
            <v>C: ASCENDAS27 P: Matching</v>
          </cell>
          <cell r="K382">
            <v>45878</v>
          </cell>
        </row>
        <row r="383">
          <cell r="D383">
            <v>256779415326</v>
          </cell>
          <cell r="E383">
            <v>45848</v>
          </cell>
          <cell r="F383" t="str">
            <v>USD</v>
          </cell>
          <cell r="G383" t="str">
            <v xml:space="preserve"> -   </v>
          </cell>
          <cell r="H383" t="str">
            <v xml:space="preserve"> -   </v>
          </cell>
          <cell r="I383">
            <v>-34.369999999999997</v>
          </cell>
          <cell r="J383" t="str">
            <v>C: ASCENDAS27 P: Matching</v>
          </cell>
          <cell r="K383">
            <v>45878</v>
          </cell>
        </row>
        <row r="384">
          <cell r="D384">
            <v>256779415306</v>
          </cell>
          <cell r="E384">
            <v>45848</v>
          </cell>
          <cell r="F384" t="str">
            <v>USD</v>
          </cell>
          <cell r="G384" t="str">
            <v xml:space="preserve"> -   </v>
          </cell>
          <cell r="H384" t="str">
            <v xml:space="preserve"> -   </v>
          </cell>
          <cell r="I384">
            <v>-5.57</v>
          </cell>
          <cell r="J384" t="str">
            <v>C: ASCENDAS27 P: Matching</v>
          </cell>
          <cell r="K384">
            <v>45878</v>
          </cell>
        </row>
        <row r="385">
          <cell r="D385">
            <v>256779415390</v>
          </cell>
          <cell r="E385">
            <v>45848</v>
          </cell>
          <cell r="F385" t="str">
            <v>USD</v>
          </cell>
          <cell r="G385" t="str">
            <v xml:space="preserve"> -   </v>
          </cell>
          <cell r="H385" t="str">
            <v xml:space="preserve"> -   </v>
          </cell>
          <cell r="I385">
            <v>-20.6</v>
          </cell>
          <cell r="J385" t="str">
            <v>C: ASCENDAS27 P: Matching</v>
          </cell>
          <cell r="K385">
            <v>45878</v>
          </cell>
        </row>
        <row r="386">
          <cell r="D386">
            <v>256779415340</v>
          </cell>
          <cell r="E386">
            <v>45848</v>
          </cell>
          <cell r="F386" t="str">
            <v>USD</v>
          </cell>
          <cell r="G386" t="str">
            <v xml:space="preserve"> -   </v>
          </cell>
          <cell r="H386" t="str">
            <v xml:space="preserve"> -   </v>
          </cell>
          <cell r="I386">
            <v>-4.8</v>
          </cell>
          <cell r="J386" t="str">
            <v>C: ASCENDAS27 P: Matching</v>
          </cell>
          <cell r="K386">
            <v>45878</v>
          </cell>
        </row>
        <row r="387">
          <cell r="D387">
            <v>256779415343</v>
          </cell>
          <cell r="E387">
            <v>45848</v>
          </cell>
          <cell r="F387" t="str">
            <v>USD</v>
          </cell>
          <cell r="G387" t="str">
            <v xml:space="preserve"> -   </v>
          </cell>
          <cell r="H387" t="str">
            <v xml:space="preserve"> -   </v>
          </cell>
          <cell r="I387">
            <v>-0.19</v>
          </cell>
          <cell r="J387" t="str">
            <v>C: ASCENDAS27 P: Matching</v>
          </cell>
          <cell r="K387">
            <v>45878</v>
          </cell>
        </row>
        <row r="388">
          <cell r="D388">
            <v>256779415395</v>
          </cell>
          <cell r="E388">
            <v>45848</v>
          </cell>
          <cell r="F388" t="str">
            <v>USD</v>
          </cell>
          <cell r="G388" t="str">
            <v xml:space="preserve"> -   </v>
          </cell>
          <cell r="H388" t="str">
            <v xml:space="preserve"> -   </v>
          </cell>
          <cell r="I388">
            <v>-38.200000000000003</v>
          </cell>
          <cell r="J388" t="str">
            <v>C: ASCENDAS27 P: Matching</v>
          </cell>
          <cell r="K388">
            <v>45878</v>
          </cell>
        </row>
        <row r="389">
          <cell r="D389">
            <v>256779415381</v>
          </cell>
          <cell r="E389">
            <v>45848</v>
          </cell>
          <cell r="F389" t="str">
            <v>USD</v>
          </cell>
          <cell r="G389" t="str">
            <v xml:space="preserve"> -   </v>
          </cell>
          <cell r="H389" t="str">
            <v xml:space="preserve"> -   </v>
          </cell>
          <cell r="I389">
            <v>-11.14</v>
          </cell>
          <cell r="J389" t="str">
            <v>C: ASCENDAS27 P: Matching</v>
          </cell>
          <cell r="K389">
            <v>45878</v>
          </cell>
        </row>
        <row r="390">
          <cell r="D390">
            <v>256779415392</v>
          </cell>
          <cell r="E390">
            <v>45848</v>
          </cell>
          <cell r="F390" t="str">
            <v>USD</v>
          </cell>
          <cell r="G390" t="str">
            <v xml:space="preserve"> -   </v>
          </cell>
          <cell r="H390" t="str">
            <v xml:space="preserve"> -   </v>
          </cell>
          <cell r="I390">
            <v>-37.14</v>
          </cell>
          <cell r="J390" t="str">
            <v>C: ASCENDAS27 P: Matching</v>
          </cell>
          <cell r="K390">
            <v>45878</v>
          </cell>
        </row>
        <row r="391">
          <cell r="D391">
            <v>256779415358</v>
          </cell>
          <cell r="E391">
            <v>45848</v>
          </cell>
          <cell r="F391" t="str">
            <v>USD</v>
          </cell>
          <cell r="G391" t="str">
            <v xml:space="preserve"> -   </v>
          </cell>
          <cell r="H391" t="str">
            <v xml:space="preserve"> -   </v>
          </cell>
          <cell r="I391">
            <v>-17.829999999999998</v>
          </cell>
          <cell r="J391" t="str">
            <v>C: ASCENDAS27 P: Matching</v>
          </cell>
          <cell r="K391">
            <v>45878</v>
          </cell>
        </row>
        <row r="392">
          <cell r="D392">
            <v>256779415337</v>
          </cell>
          <cell r="E392">
            <v>45848</v>
          </cell>
          <cell r="F392" t="str">
            <v>USD</v>
          </cell>
          <cell r="G392" t="str">
            <v xml:space="preserve"> -   </v>
          </cell>
          <cell r="H392" t="str">
            <v xml:space="preserve"> -   </v>
          </cell>
          <cell r="I392">
            <v>-3.24</v>
          </cell>
          <cell r="J392" t="str">
            <v>C: ASCENDAS27 P: Matching</v>
          </cell>
          <cell r="K392">
            <v>45878</v>
          </cell>
        </row>
        <row r="393">
          <cell r="D393">
            <v>256779415362</v>
          </cell>
          <cell r="E393">
            <v>45848</v>
          </cell>
          <cell r="F393" t="str">
            <v>USD</v>
          </cell>
          <cell r="G393" t="str">
            <v xml:space="preserve"> -   </v>
          </cell>
          <cell r="H393" t="str">
            <v xml:space="preserve"> -   </v>
          </cell>
          <cell r="I393">
            <v>-0.56000000000000005</v>
          </cell>
          <cell r="J393" t="str">
            <v>C: ASCENDAS27 P: Matching</v>
          </cell>
          <cell r="K393">
            <v>45878</v>
          </cell>
        </row>
        <row r="394">
          <cell r="D394">
            <v>256779415373</v>
          </cell>
          <cell r="E394">
            <v>45848</v>
          </cell>
          <cell r="F394" t="str">
            <v>USD</v>
          </cell>
          <cell r="G394" t="str">
            <v xml:space="preserve"> -   </v>
          </cell>
          <cell r="H394" t="str">
            <v xml:space="preserve"> -   </v>
          </cell>
          <cell r="I394">
            <v>-0.48</v>
          </cell>
          <cell r="J394" t="str">
            <v>C: ASCENDAS27 P: Matching</v>
          </cell>
          <cell r="K394">
            <v>45878</v>
          </cell>
        </row>
        <row r="395">
          <cell r="D395">
            <v>256779415386</v>
          </cell>
          <cell r="E395">
            <v>45848</v>
          </cell>
          <cell r="F395" t="str">
            <v>USD</v>
          </cell>
          <cell r="G395" t="str">
            <v xml:space="preserve"> -   </v>
          </cell>
          <cell r="H395" t="str">
            <v xml:space="preserve"> -   </v>
          </cell>
          <cell r="I395">
            <v>-1.39</v>
          </cell>
          <cell r="J395" t="str">
            <v>C: ASCENDAS27 P: Matching</v>
          </cell>
          <cell r="K395">
            <v>45878</v>
          </cell>
        </row>
        <row r="396">
          <cell r="D396">
            <v>256779415348</v>
          </cell>
          <cell r="E396">
            <v>45848</v>
          </cell>
          <cell r="F396" t="str">
            <v>USD</v>
          </cell>
          <cell r="G396" t="str">
            <v xml:space="preserve"> -   </v>
          </cell>
          <cell r="H396" t="str">
            <v xml:space="preserve"> -   </v>
          </cell>
          <cell r="I396">
            <v>-1.39</v>
          </cell>
          <cell r="J396" t="str">
            <v>C: ASCENDAS27 P: Matching</v>
          </cell>
          <cell r="K396">
            <v>45878</v>
          </cell>
        </row>
        <row r="397">
          <cell r="D397">
            <v>256779415369</v>
          </cell>
          <cell r="E397">
            <v>45848</v>
          </cell>
          <cell r="F397" t="str">
            <v>USD</v>
          </cell>
          <cell r="G397" t="str">
            <v xml:space="preserve"> -   </v>
          </cell>
          <cell r="H397" t="str">
            <v xml:space="preserve"> -   </v>
          </cell>
          <cell r="I397">
            <v>-0.56000000000000005</v>
          </cell>
          <cell r="J397" t="str">
            <v>C: ASCENDAS27 P: Matching</v>
          </cell>
          <cell r="K397">
            <v>45878</v>
          </cell>
        </row>
        <row r="398">
          <cell r="D398">
            <v>256779415364</v>
          </cell>
          <cell r="E398">
            <v>45848</v>
          </cell>
          <cell r="F398" t="str">
            <v>USD</v>
          </cell>
          <cell r="G398" t="str">
            <v xml:space="preserve"> -   </v>
          </cell>
          <cell r="H398" t="str">
            <v xml:space="preserve"> -   </v>
          </cell>
          <cell r="I398">
            <v>-37.14</v>
          </cell>
          <cell r="J398" t="str">
            <v>C: ASCENDAS27 P: Matching</v>
          </cell>
          <cell r="K398">
            <v>45878</v>
          </cell>
        </row>
        <row r="399">
          <cell r="D399">
            <v>256779415299</v>
          </cell>
          <cell r="E399">
            <v>45848</v>
          </cell>
          <cell r="F399" t="str">
            <v>USD</v>
          </cell>
          <cell r="G399" t="str">
            <v xml:space="preserve"> -   </v>
          </cell>
          <cell r="H399" t="str">
            <v xml:space="preserve"> -   </v>
          </cell>
          <cell r="I399">
            <v>-4.46</v>
          </cell>
          <cell r="J399" t="str">
            <v>C: ASCENDAS27 P: Matching</v>
          </cell>
          <cell r="K399">
            <v>45878</v>
          </cell>
        </row>
        <row r="400">
          <cell r="D400">
            <v>256779415335</v>
          </cell>
          <cell r="E400">
            <v>45848</v>
          </cell>
          <cell r="F400" t="str">
            <v>USD</v>
          </cell>
          <cell r="G400" t="str">
            <v xml:space="preserve"> -   </v>
          </cell>
          <cell r="H400" t="str">
            <v xml:space="preserve"> -   </v>
          </cell>
          <cell r="I400">
            <v>-4.6500000000000004</v>
          </cell>
          <cell r="J400" t="str">
            <v>C: ASCENDAS27 P: Matching</v>
          </cell>
          <cell r="K400">
            <v>45878</v>
          </cell>
        </row>
        <row r="401">
          <cell r="D401">
            <v>256779415292</v>
          </cell>
          <cell r="E401">
            <v>45848</v>
          </cell>
          <cell r="F401" t="str">
            <v>USD</v>
          </cell>
          <cell r="G401" t="str">
            <v xml:space="preserve"> -   </v>
          </cell>
          <cell r="H401" t="str">
            <v xml:space="preserve"> -   </v>
          </cell>
          <cell r="I401">
            <v>-4.46</v>
          </cell>
          <cell r="J401" t="str">
            <v>C: ASCENDAS27 P: Matching</v>
          </cell>
          <cell r="K401">
            <v>45878</v>
          </cell>
        </row>
        <row r="402">
          <cell r="D402">
            <v>256779415370</v>
          </cell>
          <cell r="E402">
            <v>45848</v>
          </cell>
          <cell r="F402" t="str">
            <v>USD</v>
          </cell>
          <cell r="G402" t="str">
            <v xml:space="preserve"> -   </v>
          </cell>
          <cell r="H402" t="str">
            <v xml:space="preserve"> -   </v>
          </cell>
          <cell r="I402">
            <v>-13.37</v>
          </cell>
          <cell r="J402" t="str">
            <v>C: ASCENDAS27 P: Matching</v>
          </cell>
          <cell r="K402">
            <v>45878</v>
          </cell>
        </row>
        <row r="403">
          <cell r="D403">
            <v>256779415294</v>
          </cell>
          <cell r="E403">
            <v>45848</v>
          </cell>
          <cell r="F403" t="str">
            <v>USD</v>
          </cell>
          <cell r="G403" t="str">
            <v xml:space="preserve"> -   </v>
          </cell>
          <cell r="H403" t="str">
            <v xml:space="preserve"> -   </v>
          </cell>
          <cell r="I403">
            <v>-4.46</v>
          </cell>
          <cell r="J403" t="str">
            <v>C: ASCENDAS27 P: Matching</v>
          </cell>
          <cell r="K403">
            <v>45878</v>
          </cell>
        </row>
        <row r="404">
          <cell r="D404">
            <v>256779415307</v>
          </cell>
          <cell r="E404">
            <v>45848</v>
          </cell>
          <cell r="F404" t="str">
            <v>USD</v>
          </cell>
          <cell r="G404" t="str">
            <v xml:space="preserve"> -   </v>
          </cell>
          <cell r="H404" t="str">
            <v xml:space="preserve"> -   </v>
          </cell>
          <cell r="I404">
            <v>-5.57</v>
          </cell>
          <cell r="J404" t="str">
            <v>C: ASCENDAS27 P: Matching</v>
          </cell>
          <cell r="K404">
            <v>45878</v>
          </cell>
        </row>
        <row r="405">
          <cell r="D405">
            <v>256779415347</v>
          </cell>
          <cell r="E405">
            <v>45848</v>
          </cell>
          <cell r="F405" t="str">
            <v>USD</v>
          </cell>
          <cell r="G405" t="str">
            <v xml:space="preserve"> -   </v>
          </cell>
          <cell r="H405" t="str">
            <v xml:space="preserve"> -   </v>
          </cell>
          <cell r="I405">
            <v>-3.72</v>
          </cell>
          <cell r="J405" t="str">
            <v>C: ASCENDAS27 P: Matching</v>
          </cell>
          <cell r="K405">
            <v>45878</v>
          </cell>
        </row>
        <row r="406">
          <cell r="D406">
            <v>256779415297</v>
          </cell>
          <cell r="E406">
            <v>45848</v>
          </cell>
          <cell r="F406" t="str">
            <v>USD</v>
          </cell>
          <cell r="G406" t="str">
            <v xml:space="preserve"> -   </v>
          </cell>
          <cell r="H406" t="str">
            <v xml:space="preserve"> -   </v>
          </cell>
          <cell r="I406">
            <v>-4.46</v>
          </cell>
          <cell r="J406" t="str">
            <v>C: ASCENDAS27 P: Matching</v>
          </cell>
          <cell r="K406">
            <v>45878</v>
          </cell>
        </row>
        <row r="407">
          <cell r="D407">
            <v>256779415312</v>
          </cell>
          <cell r="E407">
            <v>45848</v>
          </cell>
          <cell r="F407" t="str">
            <v>USD</v>
          </cell>
          <cell r="G407">
            <v>-200</v>
          </cell>
          <cell r="H407">
            <v>200</v>
          </cell>
          <cell r="I407">
            <v>-17694</v>
          </cell>
          <cell r="K407">
            <v>45878</v>
          </cell>
          <cell r="L407">
            <v>45991</v>
          </cell>
        </row>
        <row r="408">
          <cell r="D408">
            <v>256779411970</v>
          </cell>
          <cell r="E408">
            <v>45763</v>
          </cell>
          <cell r="F408" t="str">
            <v>USD</v>
          </cell>
          <cell r="G408">
            <v>-8.66</v>
          </cell>
          <cell r="H408">
            <v>8.66</v>
          </cell>
          <cell r="I408">
            <v>-742.4</v>
          </cell>
          <cell r="K408">
            <v>45793</v>
          </cell>
          <cell r="L408">
            <v>45991</v>
          </cell>
        </row>
        <row r="409">
          <cell r="D409">
            <v>256779415327</v>
          </cell>
          <cell r="E409">
            <v>45848</v>
          </cell>
          <cell r="F409" t="str">
            <v>USD</v>
          </cell>
          <cell r="G409">
            <v>-20</v>
          </cell>
          <cell r="H409">
            <v>20</v>
          </cell>
          <cell r="I409">
            <v>-1769.4</v>
          </cell>
          <cell r="K409">
            <v>45878</v>
          </cell>
          <cell r="L409">
            <v>45991</v>
          </cell>
        </row>
        <row r="410">
          <cell r="D410">
            <v>256779415351</v>
          </cell>
          <cell r="E410">
            <v>45848</v>
          </cell>
          <cell r="F410" t="str">
            <v>USD</v>
          </cell>
          <cell r="G410">
            <v>-17.03</v>
          </cell>
          <cell r="H410">
            <v>17.03</v>
          </cell>
          <cell r="I410">
            <v>-1464.4</v>
          </cell>
          <cell r="K410">
            <v>45878</v>
          </cell>
          <cell r="L410">
            <v>45991</v>
          </cell>
        </row>
        <row r="411">
          <cell r="D411">
            <v>256779415324</v>
          </cell>
          <cell r="E411">
            <v>45848</v>
          </cell>
          <cell r="F411" t="str">
            <v>USD</v>
          </cell>
          <cell r="G411">
            <v>-146.65</v>
          </cell>
          <cell r="H411">
            <v>146.65</v>
          </cell>
          <cell r="I411">
            <v>-12974.13</v>
          </cell>
          <cell r="K411">
            <v>45878</v>
          </cell>
          <cell r="L411">
            <v>45991</v>
          </cell>
        </row>
        <row r="412">
          <cell r="D412">
            <v>256779415322</v>
          </cell>
          <cell r="E412">
            <v>45848</v>
          </cell>
          <cell r="F412" t="str">
            <v>USD</v>
          </cell>
          <cell r="G412">
            <v>-192</v>
          </cell>
          <cell r="H412">
            <v>192</v>
          </cell>
          <cell r="I412">
            <v>-16986.240000000002</v>
          </cell>
          <cell r="K412">
            <v>45878</v>
          </cell>
          <cell r="L412">
            <v>45991</v>
          </cell>
        </row>
        <row r="413">
          <cell r="D413">
            <v>256779415366</v>
          </cell>
          <cell r="E413">
            <v>45848</v>
          </cell>
          <cell r="F413" t="str">
            <v>USD</v>
          </cell>
          <cell r="G413">
            <v>-192</v>
          </cell>
          <cell r="H413">
            <v>192</v>
          </cell>
          <cell r="I413">
            <v>-16986.240000000002</v>
          </cell>
          <cell r="K413">
            <v>45878</v>
          </cell>
          <cell r="L413">
            <v>45991</v>
          </cell>
        </row>
        <row r="414">
          <cell r="D414">
            <v>256779415365</v>
          </cell>
          <cell r="E414">
            <v>45848</v>
          </cell>
          <cell r="F414" t="str">
            <v>USD</v>
          </cell>
          <cell r="G414">
            <v>-313</v>
          </cell>
          <cell r="H414">
            <v>313</v>
          </cell>
          <cell r="I414">
            <v>-27691.11</v>
          </cell>
          <cell r="K414">
            <v>45878</v>
          </cell>
          <cell r="L414">
            <v>45991</v>
          </cell>
        </row>
        <row r="415">
          <cell r="D415">
            <v>256779415311</v>
          </cell>
          <cell r="E415">
            <v>45848</v>
          </cell>
          <cell r="F415" t="str">
            <v>USD</v>
          </cell>
          <cell r="G415">
            <v>-77.48</v>
          </cell>
          <cell r="H415">
            <v>77.48</v>
          </cell>
          <cell r="I415">
            <v>-6854.66</v>
          </cell>
          <cell r="K415">
            <v>45878</v>
          </cell>
          <cell r="L415">
            <v>45991</v>
          </cell>
        </row>
        <row r="416">
          <cell r="D416">
            <v>256779415368</v>
          </cell>
          <cell r="E416">
            <v>45848</v>
          </cell>
          <cell r="F416" t="str">
            <v>USD</v>
          </cell>
          <cell r="G416">
            <v>-60</v>
          </cell>
          <cell r="H416">
            <v>60</v>
          </cell>
          <cell r="I416">
            <v>-5308.2</v>
          </cell>
          <cell r="K416">
            <v>45878</v>
          </cell>
          <cell r="L416">
            <v>45991</v>
          </cell>
        </row>
        <row r="417">
          <cell r="D417">
            <v>256779415320</v>
          </cell>
          <cell r="E417">
            <v>45848</v>
          </cell>
          <cell r="F417" t="str">
            <v>USD</v>
          </cell>
          <cell r="G417">
            <v>-12.5</v>
          </cell>
          <cell r="H417">
            <v>12.5</v>
          </cell>
          <cell r="I417">
            <v>-1105.8800000000001</v>
          </cell>
          <cell r="K417">
            <v>45878</v>
          </cell>
          <cell r="L417">
            <v>45991</v>
          </cell>
        </row>
        <row r="418">
          <cell r="D418">
            <v>256779415301</v>
          </cell>
          <cell r="E418">
            <v>45848</v>
          </cell>
          <cell r="F418" t="str">
            <v>USD</v>
          </cell>
          <cell r="G418">
            <v>-30</v>
          </cell>
          <cell r="H418">
            <v>30</v>
          </cell>
          <cell r="I418">
            <v>-2654.1</v>
          </cell>
          <cell r="K418">
            <v>45878</v>
          </cell>
          <cell r="L418">
            <v>45991</v>
          </cell>
        </row>
        <row r="419">
          <cell r="D419">
            <v>256779415329</v>
          </cell>
          <cell r="E419">
            <v>45848</v>
          </cell>
          <cell r="F419" t="str">
            <v>USD</v>
          </cell>
          <cell r="G419">
            <v>-27.5</v>
          </cell>
          <cell r="H419">
            <v>27.5</v>
          </cell>
          <cell r="I419">
            <v>-2432.9299999999998</v>
          </cell>
          <cell r="K419">
            <v>45878</v>
          </cell>
          <cell r="L419">
            <v>45991</v>
          </cell>
        </row>
        <row r="420">
          <cell r="D420">
            <v>256779415367</v>
          </cell>
          <cell r="E420">
            <v>45848</v>
          </cell>
          <cell r="F420" t="str">
            <v>USD</v>
          </cell>
          <cell r="G420">
            <v>-200</v>
          </cell>
          <cell r="H420">
            <v>200</v>
          </cell>
          <cell r="I420">
            <v>-17694</v>
          </cell>
          <cell r="K420">
            <v>45878</v>
          </cell>
          <cell r="L420">
            <v>45991</v>
          </cell>
        </row>
        <row r="421">
          <cell r="D421">
            <v>256779415353</v>
          </cell>
          <cell r="E421">
            <v>45848</v>
          </cell>
          <cell r="F421" t="str">
            <v>USD</v>
          </cell>
          <cell r="G421">
            <v>-200</v>
          </cell>
          <cell r="H421">
            <v>200</v>
          </cell>
          <cell r="I421">
            <v>-17694</v>
          </cell>
          <cell r="K421">
            <v>45878</v>
          </cell>
          <cell r="L421">
            <v>45991</v>
          </cell>
        </row>
        <row r="422">
          <cell r="D422">
            <v>256779415330</v>
          </cell>
          <cell r="E422">
            <v>45848</v>
          </cell>
          <cell r="F422" t="str">
            <v>USD</v>
          </cell>
          <cell r="G422">
            <v>-22.5</v>
          </cell>
          <cell r="H422">
            <v>22.5</v>
          </cell>
          <cell r="I422">
            <v>-1990.58</v>
          </cell>
          <cell r="K422">
            <v>45878</v>
          </cell>
          <cell r="L422">
            <v>45991</v>
          </cell>
        </row>
        <row r="423">
          <cell r="D423">
            <v>256779415354</v>
          </cell>
          <cell r="E423">
            <v>45848</v>
          </cell>
          <cell r="F423" t="str">
            <v>USD</v>
          </cell>
          <cell r="G423">
            <v>-60</v>
          </cell>
          <cell r="H423">
            <v>60</v>
          </cell>
          <cell r="I423">
            <v>-5308.2</v>
          </cell>
          <cell r="K423">
            <v>45878</v>
          </cell>
          <cell r="L423">
            <v>45991</v>
          </cell>
        </row>
        <row r="424">
          <cell r="D424">
            <v>256779417134</v>
          </cell>
          <cell r="E424">
            <v>45904</v>
          </cell>
          <cell r="F424" t="str">
            <v>USD</v>
          </cell>
          <cell r="G424">
            <v>-536.44000000000005</v>
          </cell>
          <cell r="H424">
            <v>536.44000000000005</v>
          </cell>
          <cell r="I424">
            <v>-47020</v>
          </cell>
          <cell r="K424">
            <v>45934</v>
          </cell>
          <cell r="L424">
            <v>45991</v>
          </cell>
        </row>
        <row r="425">
          <cell r="D425">
            <v>256779417200</v>
          </cell>
          <cell r="E425">
            <v>45904</v>
          </cell>
          <cell r="F425" t="str">
            <v>USD</v>
          </cell>
          <cell r="G425">
            <v>-100.74</v>
          </cell>
          <cell r="H425">
            <v>100.74</v>
          </cell>
          <cell r="I425">
            <v>-8830.0499999999993</v>
          </cell>
          <cell r="K425">
            <v>45934</v>
          </cell>
          <cell r="L425">
            <v>45991</v>
          </cell>
        </row>
        <row r="426">
          <cell r="D426">
            <v>256779417238</v>
          </cell>
          <cell r="E426">
            <v>45904</v>
          </cell>
          <cell r="F426" t="str">
            <v>USD</v>
          </cell>
          <cell r="G426">
            <v>-608.78</v>
          </cell>
          <cell r="H426">
            <v>608.78</v>
          </cell>
          <cell r="I426">
            <v>-53360.74</v>
          </cell>
          <cell r="K426">
            <v>45934</v>
          </cell>
          <cell r="L426">
            <v>45991</v>
          </cell>
        </row>
        <row r="427">
          <cell r="D427">
            <v>256779415012</v>
          </cell>
          <cell r="E427">
            <v>45842</v>
          </cell>
          <cell r="F427" t="str">
            <v>USD</v>
          </cell>
          <cell r="G427">
            <v>-184</v>
          </cell>
          <cell r="H427">
            <v>3.68</v>
          </cell>
          <cell r="I427">
            <v>-15822.07</v>
          </cell>
          <cell r="K427">
            <v>45872</v>
          </cell>
          <cell r="L427">
            <v>46053</v>
          </cell>
        </row>
        <row r="428">
          <cell r="D428">
            <v>256779417137</v>
          </cell>
          <cell r="E428">
            <v>45904</v>
          </cell>
          <cell r="F428" t="str">
            <v>USD</v>
          </cell>
          <cell r="G428">
            <v>-409.79</v>
          </cell>
          <cell r="H428">
            <v>409.79</v>
          </cell>
          <cell r="I428">
            <v>-35918.879999999997</v>
          </cell>
          <cell r="K428">
            <v>45934</v>
          </cell>
          <cell r="L428">
            <v>45991</v>
          </cell>
        </row>
        <row r="429">
          <cell r="D429">
            <v>256779417801</v>
          </cell>
          <cell r="E429">
            <v>45922</v>
          </cell>
          <cell r="F429" t="str">
            <v>USD</v>
          </cell>
          <cell r="G429">
            <v>-4755.47</v>
          </cell>
          <cell r="H429">
            <v>4755.47</v>
          </cell>
          <cell r="I429">
            <v>-416826.08</v>
          </cell>
          <cell r="K429">
            <v>45952</v>
          </cell>
          <cell r="L429">
            <v>45991</v>
          </cell>
        </row>
        <row r="430">
          <cell r="D430">
            <v>256779415442</v>
          </cell>
          <cell r="E430">
            <v>45856</v>
          </cell>
          <cell r="F430" t="str">
            <v>USD</v>
          </cell>
          <cell r="G430">
            <v>-1.59</v>
          </cell>
          <cell r="H430">
            <v>1.59</v>
          </cell>
          <cell r="I430">
            <v>-136.72</v>
          </cell>
          <cell r="K430">
            <v>45886</v>
          </cell>
          <cell r="L430">
            <v>45991</v>
          </cell>
        </row>
        <row r="431">
          <cell r="D431">
            <v>256779417597</v>
          </cell>
          <cell r="E431">
            <v>45918</v>
          </cell>
          <cell r="F431" t="str">
            <v>USD</v>
          </cell>
          <cell r="G431">
            <v>-1055.04</v>
          </cell>
          <cell r="H431">
            <v>1055.04</v>
          </cell>
          <cell r="I431">
            <v>-92476.28</v>
          </cell>
          <cell r="K431">
            <v>45948</v>
          </cell>
          <cell r="L431">
            <v>45991</v>
          </cell>
        </row>
        <row r="432">
          <cell r="D432">
            <v>256779415426</v>
          </cell>
          <cell r="E432">
            <v>45856</v>
          </cell>
          <cell r="F432" t="str">
            <v>USD</v>
          </cell>
          <cell r="G432">
            <v>-464.73</v>
          </cell>
          <cell r="H432">
            <v>464.73</v>
          </cell>
          <cell r="I432">
            <v>-39961.910000000003</v>
          </cell>
          <cell r="K432">
            <v>45886</v>
          </cell>
          <cell r="L432">
            <v>45991</v>
          </cell>
        </row>
        <row r="433">
          <cell r="D433">
            <v>256779415517</v>
          </cell>
          <cell r="E433">
            <v>45856</v>
          </cell>
          <cell r="F433" t="str">
            <v>USD</v>
          </cell>
          <cell r="G433">
            <v>-116.74</v>
          </cell>
          <cell r="H433">
            <v>116.74</v>
          </cell>
          <cell r="I433">
            <v>-10038.42</v>
          </cell>
          <cell r="K433">
            <v>45886</v>
          </cell>
          <cell r="L433">
            <v>45991</v>
          </cell>
        </row>
        <row r="434">
          <cell r="D434">
            <v>256779415453</v>
          </cell>
          <cell r="E434">
            <v>45856</v>
          </cell>
          <cell r="F434" t="str">
            <v>USD</v>
          </cell>
          <cell r="G434">
            <v>-293.45999999999998</v>
          </cell>
          <cell r="H434">
            <v>293.45999999999998</v>
          </cell>
          <cell r="I434">
            <v>-25234.48</v>
          </cell>
          <cell r="K434">
            <v>45886</v>
          </cell>
          <cell r="L434">
            <v>45991</v>
          </cell>
        </row>
        <row r="435">
          <cell r="D435">
            <v>256779415474</v>
          </cell>
          <cell r="E435">
            <v>45856</v>
          </cell>
          <cell r="F435" t="str">
            <v>USD</v>
          </cell>
          <cell r="G435">
            <v>-608.41</v>
          </cell>
          <cell r="H435">
            <v>608.41</v>
          </cell>
          <cell r="I435">
            <v>-52316.88</v>
          </cell>
          <cell r="K435">
            <v>45886</v>
          </cell>
          <cell r="L435">
            <v>45991</v>
          </cell>
        </row>
        <row r="436">
          <cell r="D436">
            <v>256779415261</v>
          </cell>
          <cell r="E436">
            <v>45842</v>
          </cell>
          <cell r="F436" t="str">
            <v>USD</v>
          </cell>
          <cell r="G436">
            <v>-292.26</v>
          </cell>
          <cell r="H436">
            <v>5.85</v>
          </cell>
          <cell r="I436">
            <v>-25131.29</v>
          </cell>
          <cell r="K436">
            <v>45872</v>
          </cell>
          <cell r="L436">
            <v>46053</v>
          </cell>
        </row>
        <row r="437">
          <cell r="D437">
            <v>256779415387</v>
          </cell>
          <cell r="E437">
            <v>45848</v>
          </cell>
          <cell r="F437" t="str">
            <v>USD</v>
          </cell>
          <cell r="G437">
            <v>-70.900000000000006</v>
          </cell>
          <cell r="H437">
            <v>70.900000000000006</v>
          </cell>
          <cell r="I437">
            <v>-6096.66</v>
          </cell>
          <cell r="K437">
            <v>45878</v>
          </cell>
          <cell r="L437">
            <v>45991</v>
          </cell>
        </row>
        <row r="438">
          <cell r="D438">
            <v>256779415989</v>
          </cell>
          <cell r="E438">
            <v>45863</v>
          </cell>
          <cell r="F438" t="str">
            <v>USD</v>
          </cell>
          <cell r="G438">
            <v>-299.83999999999997</v>
          </cell>
          <cell r="H438">
            <v>299.83999999999997</v>
          </cell>
          <cell r="I438">
            <v>-25783.09</v>
          </cell>
          <cell r="K438">
            <v>45893</v>
          </cell>
          <cell r="L438">
            <v>45991</v>
          </cell>
        </row>
        <row r="439">
          <cell r="D439">
            <v>256779416007</v>
          </cell>
          <cell r="E439">
            <v>45863</v>
          </cell>
          <cell r="F439" t="str">
            <v>USD</v>
          </cell>
          <cell r="G439">
            <v>-421.15</v>
          </cell>
          <cell r="H439">
            <v>421.15</v>
          </cell>
          <cell r="I439">
            <v>-36214.480000000003</v>
          </cell>
          <cell r="K439">
            <v>45893</v>
          </cell>
          <cell r="L439">
            <v>45991</v>
          </cell>
        </row>
        <row r="440">
          <cell r="D440">
            <v>256779415313</v>
          </cell>
          <cell r="E440">
            <v>45848</v>
          </cell>
          <cell r="F440" t="str">
            <v>USD</v>
          </cell>
          <cell r="G440">
            <v>-60</v>
          </cell>
          <cell r="H440">
            <v>60</v>
          </cell>
          <cell r="I440">
            <v>-5308.2</v>
          </cell>
          <cell r="K440">
            <v>45878</v>
          </cell>
          <cell r="L440">
            <v>45991</v>
          </cell>
        </row>
        <row r="441">
          <cell r="D441">
            <v>256779415323</v>
          </cell>
          <cell r="E441">
            <v>45848</v>
          </cell>
          <cell r="F441" t="str">
            <v>USD</v>
          </cell>
          <cell r="G441">
            <v>-211.75</v>
          </cell>
          <cell r="H441">
            <v>211.75</v>
          </cell>
          <cell r="I441">
            <v>-18733.52</v>
          </cell>
          <cell r="K441">
            <v>45878</v>
          </cell>
          <cell r="L441">
            <v>45991</v>
          </cell>
        </row>
        <row r="442">
          <cell r="D442">
            <v>256779415309</v>
          </cell>
          <cell r="E442">
            <v>45848</v>
          </cell>
          <cell r="F442" t="str">
            <v>USD</v>
          </cell>
          <cell r="G442">
            <v>-30</v>
          </cell>
          <cell r="H442">
            <v>30</v>
          </cell>
          <cell r="I442">
            <v>-2654.1</v>
          </cell>
          <cell r="K442">
            <v>45878</v>
          </cell>
          <cell r="L442">
            <v>45991</v>
          </cell>
        </row>
        <row r="443">
          <cell r="D443">
            <v>256779415302</v>
          </cell>
          <cell r="E443">
            <v>45848</v>
          </cell>
          <cell r="F443" t="str">
            <v>USD</v>
          </cell>
          <cell r="G443">
            <v>-30</v>
          </cell>
          <cell r="H443">
            <v>30</v>
          </cell>
          <cell r="I443">
            <v>-2654.1</v>
          </cell>
          <cell r="K443">
            <v>45878</v>
          </cell>
          <cell r="L443">
            <v>45991</v>
          </cell>
        </row>
        <row r="444">
          <cell r="D444">
            <v>256779415289</v>
          </cell>
          <cell r="E444">
            <v>45848</v>
          </cell>
          <cell r="F444" t="str">
            <v>USD</v>
          </cell>
          <cell r="G444">
            <v>-250</v>
          </cell>
          <cell r="H444">
            <v>250</v>
          </cell>
          <cell r="I444">
            <v>-22117.5</v>
          </cell>
          <cell r="K444">
            <v>45878</v>
          </cell>
          <cell r="L444">
            <v>45991</v>
          </cell>
        </row>
        <row r="445">
          <cell r="D445">
            <v>256779415325</v>
          </cell>
          <cell r="E445">
            <v>45848</v>
          </cell>
          <cell r="F445" t="str">
            <v>USD</v>
          </cell>
          <cell r="G445">
            <v>-192</v>
          </cell>
          <cell r="H445">
            <v>192</v>
          </cell>
          <cell r="I445">
            <v>-16986.240000000002</v>
          </cell>
          <cell r="K445">
            <v>45878</v>
          </cell>
          <cell r="L445">
            <v>45991</v>
          </cell>
        </row>
        <row r="446">
          <cell r="D446">
            <v>256779415331</v>
          </cell>
          <cell r="E446">
            <v>45848</v>
          </cell>
          <cell r="F446" t="str">
            <v>USD</v>
          </cell>
          <cell r="G446">
            <v>-22.5</v>
          </cell>
          <cell r="H446">
            <v>22.5</v>
          </cell>
          <cell r="I446">
            <v>-1990.58</v>
          </cell>
          <cell r="K446">
            <v>45878</v>
          </cell>
          <cell r="L446">
            <v>45991</v>
          </cell>
        </row>
        <row r="447">
          <cell r="D447">
            <v>256779415290</v>
          </cell>
          <cell r="E447">
            <v>45848</v>
          </cell>
          <cell r="F447" t="str">
            <v>USD</v>
          </cell>
          <cell r="G447">
            <v>-24</v>
          </cell>
          <cell r="H447">
            <v>24</v>
          </cell>
          <cell r="I447">
            <v>-2123.2800000000002</v>
          </cell>
          <cell r="K447">
            <v>45878</v>
          </cell>
          <cell r="L447">
            <v>45991</v>
          </cell>
        </row>
        <row r="448">
          <cell r="D448">
            <v>256779416255</v>
          </cell>
          <cell r="E448">
            <v>45877</v>
          </cell>
          <cell r="F448" t="str">
            <v>USD</v>
          </cell>
          <cell r="G448">
            <v>-392</v>
          </cell>
          <cell r="H448">
            <v>7.84</v>
          </cell>
          <cell r="I448">
            <v>-33959.32</v>
          </cell>
          <cell r="K448">
            <v>45907</v>
          </cell>
          <cell r="L448">
            <v>46053</v>
          </cell>
        </row>
        <row r="449">
          <cell r="D449">
            <v>256779416169</v>
          </cell>
          <cell r="E449">
            <v>45877</v>
          </cell>
          <cell r="F449" t="str">
            <v>USD</v>
          </cell>
          <cell r="G449">
            <v>-257</v>
          </cell>
          <cell r="H449">
            <v>5.14</v>
          </cell>
          <cell r="I449">
            <v>-22264.14</v>
          </cell>
          <cell r="K449">
            <v>45907</v>
          </cell>
          <cell r="L449">
            <v>46053</v>
          </cell>
        </row>
        <row r="450">
          <cell r="D450">
            <v>256779416442</v>
          </cell>
          <cell r="E450">
            <v>45877</v>
          </cell>
          <cell r="F450" t="str">
            <v>USD</v>
          </cell>
          <cell r="G450">
            <v>-1053</v>
          </cell>
          <cell r="H450">
            <v>21.06</v>
          </cell>
          <cell r="I450">
            <v>-91222.35</v>
          </cell>
          <cell r="K450">
            <v>45907</v>
          </cell>
          <cell r="L450">
            <v>46053</v>
          </cell>
        </row>
        <row r="451">
          <cell r="D451">
            <v>256779416214</v>
          </cell>
          <cell r="E451">
            <v>45877</v>
          </cell>
          <cell r="F451" t="str">
            <v>USD</v>
          </cell>
          <cell r="G451">
            <v>-212</v>
          </cell>
          <cell r="H451">
            <v>4.24</v>
          </cell>
          <cell r="I451">
            <v>-18365.75</v>
          </cell>
          <cell r="K451">
            <v>45907</v>
          </cell>
          <cell r="L451">
            <v>46053</v>
          </cell>
        </row>
        <row r="452">
          <cell r="D452">
            <v>256779416454</v>
          </cell>
          <cell r="E452">
            <v>45877</v>
          </cell>
          <cell r="F452" t="str">
            <v>USD</v>
          </cell>
          <cell r="G452">
            <v>-411</v>
          </cell>
          <cell r="H452">
            <v>8.2200000000000006</v>
          </cell>
          <cell r="I452">
            <v>-35605.300000000003</v>
          </cell>
          <cell r="K452">
            <v>45907</v>
          </cell>
          <cell r="L452">
            <v>46053</v>
          </cell>
        </row>
        <row r="453">
          <cell r="D453">
            <v>256779416096</v>
          </cell>
          <cell r="E453">
            <v>45877</v>
          </cell>
          <cell r="F453" t="str">
            <v>USD</v>
          </cell>
          <cell r="G453">
            <v>-7386.34</v>
          </cell>
          <cell r="H453">
            <v>7386.34</v>
          </cell>
          <cell r="I453">
            <v>-639885.32999999996</v>
          </cell>
          <cell r="K453">
            <v>45907</v>
          </cell>
          <cell r="L453">
            <v>45991</v>
          </cell>
        </row>
        <row r="454">
          <cell r="D454">
            <v>2667796</v>
          </cell>
          <cell r="E454">
            <v>45954</v>
          </cell>
          <cell r="F454" t="str">
            <v>INR</v>
          </cell>
          <cell r="G454" t="str">
            <v xml:space="preserve"> -   </v>
          </cell>
          <cell r="H454" t="str">
            <v xml:space="preserve"> -   </v>
          </cell>
          <cell r="I454">
            <v>1721315.82</v>
          </cell>
          <cell r="J454" t="str">
            <v>Outwards remit C-A023951 USD19499.67@88.27</v>
          </cell>
          <cell r="K454">
            <v>45954</v>
          </cell>
          <cell r="L454">
            <v>46053</v>
          </cell>
        </row>
        <row r="455">
          <cell r="D455">
            <v>256779411867</v>
          </cell>
          <cell r="E455">
            <v>45763</v>
          </cell>
          <cell r="F455" t="str">
            <v>USD</v>
          </cell>
          <cell r="G455" t="str">
            <v xml:space="preserve"> -   </v>
          </cell>
          <cell r="H455" t="str">
            <v xml:space="preserve"> -   </v>
          </cell>
          <cell r="I455">
            <v>117.64</v>
          </cell>
          <cell r="J455" t="str">
            <v>C: ASCENDAS27 P: Matching</v>
          </cell>
          <cell r="K455">
            <v>45793</v>
          </cell>
        </row>
        <row r="456">
          <cell r="D456">
            <v>256779415303</v>
          </cell>
          <cell r="E456">
            <v>45848</v>
          </cell>
          <cell r="F456" t="str">
            <v>USD</v>
          </cell>
          <cell r="G456" t="str">
            <v xml:space="preserve"> -   </v>
          </cell>
          <cell r="H456" t="str">
            <v xml:space="preserve"> -   </v>
          </cell>
          <cell r="I456">
            <v>39.880000000000003</v>
          </cell>
          <cell r="J456" t="str">
            <v>C: ASCENDAS27 P: Matching</v>
          </cell>
          <cell r="K456">
            <v>45878</v>
          </cell>
        </row>
        <row r="457">
          <cell r="D457">
            <v>256779415304</v>
          </cell>
          <cell r="E457">
            <v>45848</v>
          </cell>
          <cell r="F457" t="str">
            <v>USD</v>
          </cell>
          <cell r="G457" t="str">
            <v xml:space="preserve"> -   </v>
          </cell>
          <cell r="H457" t="str">
            <v xml:space="preserve"> -   </v>
          </cell>
          <cell r="I457">
            <v>11.96</v>
          </cell>
          <cell r="J457" t="str">
            <v>C: ASCENDAS27 P: Matching</v>
          </cell>
          <cell r="K457">
            <v>45878</v>
          </cell>
        </row>
        <row r="458">
          <cell r="D458">
            <v>256779415339</v>
          </cell>
          <cell r="E458">
            <v>45848</v>
          </cell>
          <cell r="F458" t="str">
            <v>USD</v>
          </cell>
          <cell r="G458" t="str">
            <v xml:space="preserve"> -   </v>
          </cell>
          <cell r="H458" t="str">
            <v xml:space="preserve"> -   </v>
          </cell>
          <cell r="I458">
            <v>10.92</v>
          </cell>
          <cell r="J458" t="str">
            <v>C: ASCENDAS27 P: Matching</v>
          </cell>
          <cell r="K458">
            <v>45878</v>
          </cell>
        </row>
        <row r="459">
          <cell r="D459">
            <v>256779411467</v>
          </cell>
          <cell r="E459">
            <v>45762</v>
          </cell>
          <cell r="F459" t="str">
            <v>USD</v>
          </cell>
          <cell r="G459" t="str">
            <v xml:space="preserve"> -   </v>
          </cell>
          <cell r="H459" t="str">
            <v xml:space="preserve"> -   </v>
          </cell>
          <cell r="I459">
            <v>14.12</v>
          </cell>
          <cell r="J459" t="str">
            <v>C: ASCENDAS27 P: Matching</v>
          </cell>
          <cell r="K459">
            <v>45792</v>
          </cell>
        </row>
        <row r="460">
          <cell r="D460">
            <v>256779415308</v>
          </cell>
          <cell r="E460">
            <v>45848</v>
          </cell>
          <cell r="F460" t="str">
            <v>USD</v>
          </cell>
          <cell r="G460" t="str">
            <v xml:space="preserve"> -   </v>
          </cell>
          <cell r="H460" t="str">
            <v xml:space="preserve"> -   </v>
          </cell>
          <cell r="I460">
            <v>11.96</v>
          </cell>
          <cell r="J460" t="str">
            <v>C: ASCENDAS27 P: Matching</v>
          </cell>
          <cell r="K460">
            <v>45878</v>
          </cell>
        </row>
        <row r="461">
          <cell r="D461">
            <v>256779415305</v>
          </cell>
          <cell r="E461">
            <v>45848</v>
          </cell>
          <cell r="F461" t="str">
            <v>USD</v>
          </cell>
          <cell r="G461" t="str">
            <v xml:space="preserve"> -   </v>
          </cell>
          <cell r="H461" t="str">
            <v xml:space="preserve"> -   </v>
          </cell>
          <cell r="I461">
            <v>11.96</v>
          </cell>
          <cell r="J461" t="str">
            <v>C: ASCENDAS27 P: Matching</v>
          </cell>
          <cell r="K461">
            <v>45878</v>
          </cell>
        </row>
        <row r="462">
          <cell r="D462">
            <v>256779415306</v>
          </cell>
          <cell r="E462">
            <v>45848</v>
          </cell>
          <cell r="F462" t="str">
            <v>USD</v>
          </cell>
          <cell r="G462" t="str">
            <v xml:space="preserve"> -   </v>
          </cell>
          <cell r="H462" t="str">
            <v xml:space="preserve"> -   </v>
          </cell>
          <cell r="I462">
            <v>11.96</v>
          </cell>
          <cell r="J462" t="str">
            <v>C: ASCENDAS27 P: Matching</v>
          </cell>
          <cell r="K462">
            <v>45878</v>
          </cell>
        </row>
        <row r="463">
          <cell r="D463">
            <v>256779415307</v>
          </cell>
          <cell r="E463">
            <v>45848</v>
          </cell>
          <cell r="F463" t="str">
            <v>USD</v>
          </cell>
          <cell r="G463" t="str">
            <v xml:space="preserve"> -   </v>
          </cell>
          <cell r="H463" t="str">
            <v xml:space="preserve"> -   </v>
          </cell>
          <cell r="I463">
            <v>11.96</v>
          </cell>
          <cell r="J463" t="str">
            <v>C: ASCENDAS27 P: Matching</v>
          </cell>
          <cell r="K463">
            <v>45878</v>
          </cell>
        </row>
        <row r="464">
          <cell r="D464">
            <v>256779415312</v>
          </cell>
          <cell r="E464">
            <v>45848</v>
          </cell>
          <cell r="F464" t="str">
            <v>USD</v>
          </cell>
          <cell r="G464" t="str">
            <v xml:space="preserve"> -   </v>
          </cell>
          <cell r="H464" t="str">
            <v xml:space="preserve"> -   </v>
          </cell>
          <cell r="I464">
            <v>42.62</v>
          </cell>
          <cell r="J464" t="str">
            <v>C: ASCENDAS27 P: Matching</v>
          </cell>
          <cell r="K464">
            <v>45878</v>
          </cell>
        </row>
        <row r="465">
          <cell r="D465">
            <v>256779411970</v>
          </cell>
          <cell r="E465">
            <v>45763</v>
          </cell>
          <cell r="F465" t="str">
            <v>USD</v>
          </cell>
          <cell r="G465" t="str">
            <v xml:space="preserve"> -   </v>
          </cell>
          <cell r="H465" t="str">
            <v xml:space="preserve"> -   </v>
          </cell>
          <cell r="I465">
            <v>-21.43</v>
          </cell>
          <cell r="J465" t="str">
            <v>C: ASCENDAS27 P: Matching</v>
          </cell>
          <cell r="K465">
            <v>45793</v>
          </cell>
        </row>
        <row r="466">
          <cell r="D466">
            <v>256779415327</v>
          </cell>
          <cell r="E466">
            <v>45848</v>
          </cell>
          <cell r="F466" t="str">
            <v>USD</v>
          </cell>
          <cell r="G466" t="str">
            <v xml:space="preserve"> -   </v>
          </cell>
          <cell r="H466" t="str">
            <v xml:space="preserve"> -   </v>
          </cell>
          <cell r="I466">
            <v>4.26</v>
          </cell>
          <cell r="J466" t="str">
            <v>C: ASCENDAS27 P: Matching</v>
          </cell>
          <cell r="K466">
            <v>45878</v>
          </cell>
        </row>
        <row r="467">
          <cell r="D467">
            <v>256779415351</v>
          </cell>
          <cell r="E467">
            <v>45848</v>
          </cell>
          <cell r="F467" t="str">
            <v>USD</v>
          </cell>
          <cell r="G467" t="str">
            <v xml:space="preserve"> -   </v>
          </cell>
          <cell r="H467" t="str">
            <v xml:space="preserve"> -   </v>
          </cell>
          <cell r="I467">
            <v>-37.78</v>
          </cell>
          <cell r="J467" t="str">
            <v>C: ASCENDAS27 P: Matching</v>
          </cell>
          <cell r="K467">
            <v>45878</v>
          </cell>
        </row>
        <row r="468">
          <cell r="D468">
            <v>256779415324</v>
          </cell>
          <cell r="E468">
            <v>45848</v>
          </cell>
          <cell r="F468" t="str">
            <v>USD</v>
          </cell>
          <cell r="G468" t="str">
            <v xml:space="preserve"> -   </v>
          </cell>
          <cell r="H468" t="str">
            <v xml:space="preserve"> -   </v>
          </cell>
          <cell r="I468">
            <v>31.25</v>
          </cell>
          <cell r="J468" t="str">
            <v>C: ASCENDAS27 P: Matching</v>
          </cell>
          <cell r="K468">
            <v>45878</v>
          </cell>
        </row>
        <row r="469">
          <cell r="D469">
            <v>256779415322</v>
          </cell>
          <cell r="E469">
            <v>45848</v>
          </cell>
          <cell r="F469" t="str">
            <v>USD</v>
          </cell>
          <cell r="G469" t="str">
            <v xml:space="preserve"> -   </v>
          </cell>
          <cell r="H469" t="str">
            <v xml:space="preserve"> -   </v>
          </cell>
          <cell r="I469">
            <v>40.92</v>
          </cell>
          <cell r="J469" t="str">
            <v>C: ASCENDAS27 P: Matching</v>
          </cell>
          <cell r="K469">
            <v>45878</v>
          </cell>
        </row>
        <row r="470">
          <cell r="D470">
            <v>256779415366</v>
          </cell>
          <cell r="E470">
            <v>45848</v>
          </cell>
          <cell r="F470" t="str">
            <v>USD</v>
          </cell>
          <cell r="G470" t="str">
            <v xml:space="preserve"> -   </v>
          </cell>
          <cell r="H470" t="str">
            <v xml:space="preserve"> -   </v>
          </cell>
          <cell r="I470">
            <v>40.92</v>
          </cell>
          <cell r="J470" t="str">
            <v>C: ASCENDAS27 P: Matching</v>
          </cell>
          <cell r="K470">
            <v>45878</v>
          </cell>
        </row>
        <row r="471">
          <cell r="D471">
            <v>256779415365</v>
          </cell>
          <cell r="E471">
            <v>45848</v>
          </cell>
          <cell r="F471" t="str">
            <v>USD</v>
          </cell>
          <cell r="G471" t="str">
            <v xml:space="preserve"> -   </v>
          </cell>
          <cell r="H471" t="str">
            <v xml:space="preserve"> -   </v>
          </cell>
          <cell r="I471">
            <v>66.7</v>
          </cell>
          <cell r="J471" t="str">
            <v>C: ASCENDAS27 P: Matching</v>
          </cell>
          <cell r="K471">
            <v>45878</v>
          </cell>
        </row>
        <row r="472">
          <cell r="D472">
            <v>256779415311</v>
          </cell>
          <cell r="E472">
            <v>45848</v>
          </cell>
          <cell r="F472" t="str">
            <v>USD</v>
          </cell>
          <cell r="G472" t="str">
            <v xml:space="preserve"> -   </v>
          </cell>
          <cell r="H472" t="str">
            <v xml:space="preserve"> -   </v>
          </cell>
          <cell r="I472">
            <v>16.510000000000002</v>
          </cell>
          <cell r="J472" t="str">
            <v>C: ASCENDAS27 P: Matching</v>
          </cell>
          <cell r="K472">
            <v>45878</v>
          </cell>
        </row>
        <row r="473">
          <cell r="D473">
            <v>256779415368</v>
          </cell>
          <cell r="E473">
            <v>45848</v>
          </cell>
          <cell r="F473" t="str">
            <v>USD</v>
          </cell>
          <cell r="G473" t="str">
            <v xml:space="preserve"> -   </v>
          </cell>
          <cell r="H473" t="str">
            <v xml:space="preserve"> -   </v>
          </cell>
          <cell r="I473">
            <v>12.79</v>
          </cell>
          <cell r="J473" t="str">
            <v>C: ASCENDAS27 P: Matching</v>
          </cell>
          <cell r="K473">
            <v>45878</v>
          </cell>
        </row>
        <row r="474">
          <cell r="D474">
            <v>256779415320</v>
          </cell>
          <cell r="E474">
            <v>45848</v>
          </cell>
          <cell r="F474" t="str">
            <v>USD</v>
          </cell>
          <cell r="G474" t="str">
            <v xml:space="preserve"> -   </v>
          </cell>
          <cell r="H474" t="str">
            <v xml:space="preserve"> -   </v>
          </cell>
          <cell r="I474">
            <v>2.67</v>
          </cell>
          <cell r="J474" t="str">
            <v>C: ASCENDAS27 P: Matching</v>
          </cell>
          <cell r="K474">
            <v>45878</v>
          </cell>
        </row>
        <row r="475">
          <cell r="D475">
            <v>256779415301</v>
          </cell>
          <cell r="E475">
            <v>45848</v>
          </cell>
          <cell r="F475" t="str">
            <v>USD</v>
          </cell>
          <cell r="G475" t="str">
            <v xml:space="preserve"> -   </v>
          </cell>
          <cell r="H475" t="str">
            <v xml:space="preserve"> -   </v>
          </cell>
          <cell r="I475">
            <v>6.39</v>
          </cell>
          <cell r="J475" t="str">
            <v>C: ASCENDAS27 P: Matching</v>
          </cell>
          <cell r="K475">
            <v>45878</v>
          </cell>
        </row>
        <row r="476">
          <cell r="D476">
            <v>256779415329</v>
          </cell>
          <cell r="E476">
            <v>45848</v>
          </cell>
          <cell r="F476" t="str">
            <v>USD</v>
          </cell>
          <cell r="G476" t="str">
            <v xml:space="preserve"> -   </v>
          </cell>
          <cell r="H476" t="str">
            <v xml:space="preserve"> -   </v>
          </cell>
          <cell r="I476">
            <v>5.86</v>
          </cell>
          <cell r="J476" t="str">
            <v>C: ASCENDAS27 P: Matching</v>
          </cell>
          <cell r="K476">
            <v>45878</v>
          </cell>
        </row>
        <row r="477">
          <cell r="D477">
            <v>256779415367</v>
          </cell>
          <cell r="E477">
            <v>45848</v>
          </cell>
          <cell r="F477" t="str">
            <v>USD</v>
          </cell>
          <cell r="G477" t="str">
            <v xml:space="preserve"> -   </v>
          </cell>
          <cell r="H477" t="str">
            <v xml:space="preserve"> -   </v>
          </cell>
          <cell r="I477">
            <v>42.62</v>
          </cell>
          <cell r="J477" t="str">
            <v>C: ASCENDAS27 P: Matching</v>
          </cell>
          <cell r="K477">
            <v>45878</v>
          </cell>
        </row>
        <row r="478">
          <cell r="D478">
            <v>256779415353</v>
          </cell>
          <cell r="E478">
            <v>45848</v>
          </cell>
          <cell r="F478" t="str">
            <v>USD</v>
          </cell>
          <cell r="G478" t="str">
            <v xml:space="preserve"> -   </v>
          </cell>
          <cell r="H478" t="str">
            <v xml:space="preserve"> -   </v>
          </cell>
          <cell r="I478">
            <v>42.62</v>
          </cell>
          <cell r="J478" t="str">
            <v>C: ASCENDAS27 P: Matching</v>
          </cell>
          <cell r="K478">
            <v>45878</v>
          </cell>
        </row>
        <row r="479">
          <cell r="D479">
            <v>256779415330</v>
          </cell>
          <cell r="E479">
            <v>45848</v>
          </cell>
          <cell r="F479" t="str">
            <v>USD</v>
          </cell>
          <cell r="G479" t="str">
            <v xml:space="preserve"> -   </v>
          </cell>
          <cell r="H479" t="str">
            <v xml:space="preserve"> -   </v>
          </cell>
          <cell r="I479">
            <v>4.8</v>
          </cell>
          <cell r="J479" t="str">
            <v>C: ASCENDAS27 P: Matching</v>
          </cell>
          <cell r="K479">
            <v>45878</v>
          </cell>
        </row>
        <row r="480">
          <cell r="D480">
            <v>256779415354</v>
          </cell>
          <cell r="E480">
            <v>45848</v>
          </cell>
          <cell r="F480" t="str">
            <v>USD</v>
          </cell>
          <cell r="G480" t="str">
            <v xml:space="preserve"> -   </v>
          </cell>
          <cell r="H480" t="str">
            <v xml:space="preserve"> -   </v>
          </cell>
          <cell r="I480">
            <v>12.79</v>
          </cell>
          <cell r="J480" t="str">
            <v>C: ASCENDAS27 P: Matching</v>
          </cell>
          <cell r="K480">
            <v>45878</v>
          </cell>
        </row>
        <row r="481">
          <cell r="D481">
            <v>256779417134</v>
          </cell>
          <cell r="E481">
            <v>45904</v>
          </cell>
          <cell r="F481" t="str">
            <v>USD</v>
          </cell>
          <cell r="G481" t="str">
            <v xml:space="preserve"> -   </v>
          </cell>
          <cell r="H481" t="str">
            <v xml:space="preserve"> -   </v>
          </cell>
          <cell r="I481">
            <v>-315.77</v>
          </cell>
          <cell r="J481" t="str">
            <v>C: ASCENDAS27 P: Matching</v>
          </cell>
          <cell r="K481">
            <v>45934</v>
          </cell>
        </row>
        <row r="482">
          <cell r="D482">
            <v>256779417200</v>
          </cell>
          <cell r="E482">
            <v>45904</v>
          </cell>
          <cell r="F482" t="str">
            <v>USD</v>
          </cell>
          <cell r="G482" t="str">
            <v xml:space="preserve"> -   </v>
          </cell>
          <cell r="H482" t="str">
            <v xml:space="preserve"> -   </v>
          </cell>
          <cell r="I482">
            <v>-59.31</v>
          </cell>
          <cell r="J482" t="str">
            <v>C: ASCENDAS27 P: Matching</v>
          </cell>
          <cell r="K482">
            <v>45934</v>
          </cell>
        </row>
        <row r="483">
          <cell r="D483">
            <v>256779417238</v>
          </cell>
          <cell r="E483">
            <v>45904</v>
          </cell>
          <cell r="F483" t="str">
            <v>USD</v>
          </cell>
          <cell r="G483" t="str">
            <v xml:space="preserve"> -   </v>
          </cell>
          <cell r="H483" t="str">
            <v xml:space="preserve"> -   </v>
          </cell>
          <cell r="I483">
            <v>-358.34</v>
          </cell>
          <cell r="J483" t="str">
            <v>C: ASCENDAS27 P: Matching</v>
          </cell>
          <cell r="K483">
            <v>45934</v>
          </cell>
        </row>
        <row r="484">
          <cell r="D484">
            <v>256779415012</v>
          </cell>
          <cell r="E484">
            <v>45842</v>
          </cell>
          <cell r="F484" t="str">
            <v>USD</v>
          </cell>
          <cell r="G484" t="str">
            <v xml:space="preserve"> -   </v>
          </cell>
          <cell r="H484" t="str">
            <v xml:space="preserve"> -   </v>
          </cell>
          <cell r="I484">
            <v>-408.07</v>
          </cell>
          <cell r="J484" t="str">
            <v>C: ASCENDAS27 P: Matching</v>
          </cell>
          <cell r="K484">
            <v>45872</v>
          </cell>
        </row>
        <row r="485">
          <cell r="D485">
            <v>256779417137</v>
          </cell>
          <cell r="E485">
            <v>45904</v>
          </cell>
          <cell r="F485" t="str">
            <v>USD</v>
          </cell>
          <cell r="G485" t="str">
            <v xml:space="preserve"> -   </v>
          </cell>
          <cell r="H485" t="str">
            <v xml:space="preserve"> -   </v>
          </cell>
          <cell r="I485">
            <v>-241.22</v>
          </cell>
          <cell r="J485" t="str">
            <v>C: ASCENDAS27 P: Matching</v>
          </cell>
          <cell r="K485">
            <v>45934</v>
          </cell>
        </row>
        <row r="486">
          <cell r="D486">
            <v>256779417801</v>
          </cell>
          <cell r="E486">
            <v>45922</v>
          </cell>
          <cell r="F486" t="str">
            <v>USD</v>
          </cell>
          <cell r="G486" t="str">
            <v xml:space="preserve"> -   </v>
          </cell>
          <cell r="H486" t="str">
            <v xml:space="preserve"> -   </v>
          </cell>
          <cell r="I486">
            <v>-2799.24</v>
          </cell>
          <cell r="J486" t="str">
            <v>C: ASCENDAS27 P: Matching</v>
          </cell>
          <cell r="K486">
            <v>45952</v>
          </cell>
        </row>
        <row r="487">
          <cell r="D487">
            <v>256779415442</v>
          </cell>
          <cell r="E487">
            <v>45856</v>
          </cell>
          <cell r="F487" t="str">
            <v>USD</v>
          </cell>
          <cell r="G487" t="str">
            <v xml:space="preserve"> -   </v>
          </cell>
          <cell r="H487" t="str">
            <v xml:space="preserve"> -   </v>
          </cell>
          <cell r="I487">
            <v>-3.53</v>
          </cell>
          <cell r="J487" t="str">
            <v>C: ASCENDAS27 P: Matching</v>
          </cell>
          <cell r="K487">
            <v>45886</v>
          </cell>
        </row>
        <row r="488">
          <cell r="D488">
            <v>256779417597</v>
          </cell>
          <cell r="E488">
            <v>45918</v>
          </cell>
          <cell r="F488" t="str">
            <v>USD</v>
          </cell>
          <cell r="G488" t="str">
            <v xml:space="preserve"> -   </v>
          </cell>
          <cell r="H488" t="str">
            <v xml:space="preserve"> -   </v>
          </cell>
          <cell r="I488">
            <v>-621.04</v>
          </cell>
          <cell r="J488" t="str">
            <v>C: ASCENDAS27 P: Matching</v>
          </cell>
          <cell r="K488">
            <v>45948</v>
          </cell>
        </row>
        <row r="489">
          <cell r="D489">
            <v>256779415426</v>
          </cell>
          <cell r="E489">
            <v>45856</v>
          </cell>
          <cell r="F489" t="str">
            <v>USD</v>
          </cell>
          <cell r="G489" t="str">
            <v xml:space="preserve"> -   </v>
          </cell>
          <cell r="H489" t="str">
            <v xml:space="preserve"> -   </v>
          </cell>
          <cell r="I489">
            <v>-1030.68</v>
          </cell>
          <cell r="J489" t="str">
            <v>C: ASCENDAS27 P: Matching</v>
          </cell>
          <cell r="K489">
            <v>45886</v>
          </cell>
        </row>
        <row r="490">
          <cell r="D490">
            <v>256779415517</v>
          </cell>
          <cell r="E490">
            <v>45856</v>
          </cell>
          <cell r="F490" t="str">
            <v>USD</v>
          </cell>
          <cell r="G490" t="str">
            <v xml:space="preserve"> -   </v>
          </cell>
          <cell r="H490" t="str">
            <v xml:space="preserve"> -   </v>
          </cell>
          <cell r="I490">
            <v>-258.92</v>
          </cell>
          <cell r="J490" t="str">
            <v>C: ASCENDAS27 P: Matching</v>
          </cell>
          <cell r="K490">
            <v>45886</v>
          </cell>
        </row>
        <row r="491">
          <cell r="D491">
            <v>256779415453</v>
          </cell>
          <cell r="E491">
            <v>45856</v>
          </cell>
          <cell r="F491" t="str">
            <v>USD</v>
          </cell>
          <cell r="G491" t="str">
            <v xml:space="preserve"> -   </v>
          </cell>
          <cell r="H491" t="str">
            <v xml:space="preserve"> -   </v>
          </cell>
          <cell r="I491">
            <v>-650.84</v>
          </cell>
          <cell r="J491" t="str">
            <v>C: ASCENDAS27 P: Matching</v>
          </cell>
          <cell r="K491">
            <v>45886</v>
          </cell>
        </row>
        <row r="492">
          <cell r="D492">
            <v>256779415474</v>
          </cell>
          <cell r="E492">
            <v>45856</v>
          </cell>
          <cell r="F492" t="str">
            <v>USD</v>
          </cell>
          <cell r="G492" t="str">
            <v xml:space="preserve"> -   </v>
          </cell>
          <cell r="H492" t="str">
            <v xml:space="preserve"> -   </v>
          </cell>
          <cell r="I492">
            <v>-1349.32</v>
          </cell>
          <cell r="J492" t="str">
            <v>C: ASCENDAS27 P: Matching</v>
          </cell>
          <cell r="K492">
            <v>45886</v>
          </cell>
        </row>
        <row r="493">
          <cell r="D493">
            <v>256779415261</v>
          </cell>
          <cell r="E493">
            <v>45842</v>
          </cell>
          <cell r="F493" t="str">
            <v>USD</v>
          </cell>
          <cell r="G493" t="str">
            <v xml:space="preserve"> -   </v>
          </cell>
          <cell r="H493" t="str">
            <v xml:space="preserve"> -   </v>
          </cell>
          <cell r="I493">
            <v>-648.16999999999996</v>
          </cell>
          <cell r="J493" t="str">
            <v>C: ASCENDAS27 P: Matching</v>
          </cell>
          <cell r="K493">
            <v>45872</v>
          </cell>
        </row>
        <row r="494">
          <cell r="D494">
            <v>256779415387</v>
          </cell>
          <cell r="E494">
            <v>45848</v>
          </cell>
          <cell r="F494" t="str">
            <v>USD</v>
          </cell>
          <cell r="G494" t="str">
            <v xml:space="preserve"> -   </v>
          </cell>
          <cell r="H494" t="str">
            <v xml:space="preserve"> -   </v>
          </cell>
          <cell r="I494">
            <v>-157.24</v>
          </cell>
          <cell r="J494" t="str">
            <v>C: ASCENDAS27 P: Matching</v>
          </cell>
          <cell r="K494">
            <v>45878</v>
          </cell>
        </row>
        <row r="495">
          <cell r="D495">
            <v>256779415989</v>
          </cell>
          <cell r="E495">
            <v>45863</v>
          </cell>
          <cell r="F495" t="str">
            <v>USD</v>
          </cell>
          <cell r="G495" t="str">
            <v xml:space="preserve"> -   </v>
          </cell>
          <cell r="H495" t="str">
            <v xml:space="preserve"> -   </v>
          </cell>
          <cell r="I495">
            <v>-664.99</v>
          </cell>
          <cell r="J495" t="str">
            <v>C: ASCENDAS27 P: Matching</v>
          </cell>
          <cell r="K495">
            <v>45893</v>
          </cell>
        </row>
        <row r="496">
          <cell r="D496">
            <v>256779416007</v>
          </cell>
          <cell r="E496">
            <v>45863</v>
          </cell>
          <cell r="F496" t="str">
            <v>USD</v>
          </cell>
          <cell r="G496" t="str">
            <v xml:space="preserve"> -   </v>
          </cell>
          <cell r="H496" t="str">
            <v xml:space="preserve"> -   </v>
          </cell>
          <cell r="I496">
            <v>-934.03</v>
          </cell>
          <cell r="J496" t="str">
            <v>C: ASCENDAS27 P: Matching</v>
          </cell>
          <cell r="K496">
            <v>45893</v>
          </cell>
        </row>
        <row r="497">
          <cell r="D497">
            <v>256779415313</v>
          </cell>
          <cell r="E497">
            <v>45848</v>
          </cell>
          <cell r="F497" t="str">
            <v>USD</v>
          </cell>
          <cell r="G497" t="str">
            <v xml:space="preserve"> -   </v>
          </cell>
          <cell r="H497" t="str">
            <v xml:space="preserve"> -   </v>
          </cell>
          <cell r="I497">
            <v>12.79</v>
          </cell>
          <cell r="J497" t="str">
            <v>C: ASCENDAS27 P: Matching</v>
          </cell>
          <cell r="K497">
            <v>45878</v>
          </cell>
        </row>
        <row r="498">
          <cell r="D498">
            <v>256779415323</v>
          </cell>
          <cell r="E498">
            <v>45848</v>
          </cell>
          <cell r="F498" t="str">
            <v>USD</v>
          </cell>
          <cell r="G498" t="str">
            <v xml:space="preserve"> -   </v>
          </cell>
          <cell r="H498" t="str">
            <v xml:space="preserve"> -   </v>
          </cell>
          <cell r="I498">
            <v>45.12</v>
          </cell>
          <cell r="J498" t="str">
            <v>C: ASCENDAS27 P: Matching</v>
          </cell>
          <cell r="K498">
            <v>45878</v>
          </cell>
        </row>
        <row r="499">
          <cell r="D499">
            <v>256779415309</v>
          </cell>
          <cell r="E499">
            <v>45848</v>
          </cell>
          <cell r="F499" t="str">
            <v>USD</v>
          </cell>
          <cell r="G499" t="str">
            <v xml:space="preserve"> -   </v>
          </cell>
          <cell r="H499" t="str">
            <v xml:space="preserve"> -   </v>
          </cell>
          <cell r="I499">
            <v>6.39</v>
          </cell>
          <cell r="J499" t="str">
            <v>C: ASCENDAS27 P: Matching</v>
          </cell>
          <cell r="K499">
            <v>45878</v>
          </cell>
        </row>
        <row r="500">
          <cell r="D500">
            <v>256779415302</v>
          </cell>
          <cell r="E500">
            <v>45848</v>
          </cell>
          <cell r="F500" t="str">
            <v>USD</v>
          </cell>
          <cell r="G500" t="str">
            <v xml:space="preserve"> -   </v>
          </cell>
          <cell r="H500" t="str">
            <v xml:space="preserve"> -   </v>
          </cell>
          <cell r="I500">
            <v>6.39</v>
          </cell>
          <cell r="J500" t="str">
            <v>C: ASCENDAS27 P: Matching</v>
          </cell>
          <cell r="K500">
            <v>45878</v>
          </cell>
        </row>
        <row r="501">
          <cell r="D501">
            <v>256779415289</v>
          </cell>
          <cell r="E501">
            <v>45848</v>
          </cell>
          <cell r="F501" t="str">
            <v>USD</v>
          </cell>
          <cell r="G501" t="str">
            <v xml:space="preserve"> -   </v>
          </cell>
          <cell r="H501" t="str">
            <v xml:space="preserve"> -   </v>
          </cell>
          <cell r="I501">
            <v>53.27</v>
          </cell>
          <cell r="J501" t="str">
            <v>C: ASCENDAS27 P: Matching</v>
          </cell>
          <cell r="K501">
            <v>45878</v>
          </cell>
        </row>
        <row r="502">
          <cell r="D502">
            <v>256779415325</v>
          </cell>
          <cell r="E502">
            <v>45848</v>
          </cell>
          <cell r="F502" t="str">
            <v>USD</v>
          </cell>
          <cell r="G502" t="str">
            <v xml:space="preserve"> -   </v>
          </cell>
          <cell r="H502" t="str">
            <v xml:space="preserve"> -   </v>
          </cell>
          <cell r="I502">
            <v>40.92</v>
          </cell>
          <cell r="J502" t="str">
            <v>C: ASCENDAS27 P: Matching</v>
          </cell>
          <cell r="K502">
            <v>45878</v>
          </cell>
        </row>
        <row r="503">
          <cell r="D503">
            <v>256779415331</v>
          </cell>
          <cell r="E503">
            <v>45848</v>
          </cell>
          <cell r="F503" t="str">
            <v>USD</v>
          </cell>
          <cell r="G503" t="str">
            <v xml:space="preserve"> -   </v>
          </cell>
          <cell r="H503" t="str">
            <v xml:space="preserve"> -   </v>
          </cell>
          <cell r="I503">
            <v>4.8</v>
          </cell>
          <cell r="J503" t="str">
            <v>C: ASCENDAS27 P: Matching</v>
          </cell>
          <cell r="K503">
            <v>45878</v>
          </cell>
        </row>
        <row r="504">
          <cell r="D504">
            <v>256779415290</v>
          </cell>
          <cell r="E504">
            <v>45848</v>
          </cell>
          <cell r="F504" t="str">
            <v>USD</v>
          </cell>
          <cell r="G504" t="str">
            <v xml:space="preserve"> -   </v>
          </cell>
          <cell r="H504" t="str">
            <v xml:space="preserve"> -   </v>
          </cell>
          <cell r="I504">
            <v>5.1100000000000003</v>
          </cell>
          <cell r="J504" t="str">
            <v>C: ASCENDAS27 P: Matching</v>
          </cell>
          <cell r="K504">
            <v>45878</v>
          </cell>
        </row>
        <row r="505">
          <cell r="D505">
            <v>256779416255</v>
          </cell>
          <cell r="E505">
            <v>45877</v>
          </cell>
          <cell r="F505" t="str">
            <v>USD</v>
          </cell>
          <cell r="G505" t="str">
            <v xml:space="preserve"> -   </v>
          </cell>
          <cell r="H505" t="str">
            <v xml:space="preserve"> -   </v>
          </cell>
          <cell r="I505">
            <v>-622.98</v>
          </cell>
          <cell r="J505" t="str">
            <v>C: ASCENDAS27 P: Matching</v>
          </cell>
          <cell r="K505">
            <v>45907</v>
          </cell>
        </row>
        <row r="506">
          <cell r="D506">
            <v>256779416169</v>
          </cell>
          <cell r="E506">
            <v>45877</v>
          </cell>
          <cell r="F506" t="str">
            <v>USD</v>
          </cell>
          <cell r="G506" t="str">
            <v xml:space="preserve"> -   </v>
          </cell>
          <cell r="H506" t="str">
            <v xml:space="preserve"> -   </v>
          </cell>
          <cell r="I506">
            <v>-408.43</v>
          </cell>
          <cell r="J506" t="str">
            <v>C: ASCENDAS27 P: Matching</v>
          </cell>
          <cell r="K506">
            <v>45907</v>
          </cell>
        </row>
        <row r="507">
          <cell r="D507">
            <v>256779416442</v>
          </cell>
          <cell r="E507">
            <v>45877</v>
          </cell>
          <cell r="F507" t="str">
            <v>USD</v>
          </cell>
          <cell r="G507" t="str">
            <v xml:space="preserve"> -   </v>
          </cell>
          <cell r="H507" t="str">
            <v xml:space="preserve"> -   </v>
          </cell>
          <cell r="I507">
            <v>-1673.46</v>
          </cell>
          <cell r="J507" t="str">
            <v>C: ASCENDAS27 P: Matching</v>
          </cell>
          <cell r="K507">
            <v>45907</v>
          </cell>
        </row>
        <row r="508">
          <cell r="D508">
            <v>256779416214</v>
          </cell>
          <cell r="E508">
            <v>45877</v>
          </cell>
          <cell r="F508" t="str">
            <v>USD</v>
          </cell>
          <cell r="G508" t="str">
            <v xml:space="preserve"> -   </v>
          </cell>
          <cell r="H508" t="str">
            <v xml:space="preserve"> -   </v>
          </cell>
          <cell r="I508">
            <v>-336.91</v>
          </cell>
          <cell r="J508" t="str">
            <v>C: ASCENDAS27 P: Matching</v>
          </cell>
          <cell r="K508">
            <v>45907</v>
          </cell>
        </row>
        <row r="509">
          <cell r="D509">
            <v>256779416454</v>
          </cell>
          <cell r="E509">
            <v>45877</v>
          </cell>
          <cell r="F509" t="str">
            <v>USD</v>
          </cell>
          <cell r="G509" t="str">
            <v xml:space="preserve"> -   </v>
          </cell>
          <cell r="H509" t="str">
            <v xml:space="preserve"> -   </v>
          </cell>
          <cell r="I509">
            <v>-653.17999999999995</v>
          </cell>
          <cell r="J509" t="str">
            <v>C: ASCENDAS27 P: Matching</v>
          </cell>
          <cell r="K509">
            <v>45907</v>
          </cell>
        </row>
        <row r="510">
          <cell r="D510">
            <v>256779416096</v>
          </cell>
          <cell r="E510">
            <v>45877</v>
          </cell>
          <cell r="F510" t="str">
            <v>USD</v>
          </cell>
          <cell r="G510" t="str">
            <v xml:space="preserve"> -   </v>
          </cell>
          <cell r="H510" t="str">
            <v xml:space="preserve"> -   </v>
          </cell>
          <cell r="I510">
            <v>-11738.6</v>
          </cell>
          <cell r="J510" t="str">
            <v>C: ASCENDAS27 P: Matching</v>
          </cell>
          <cell r="K510">
            <v>45907</v>
          </cell>
        </row>
        <row r="511">
          <cell r="D511">
            <v>256779417349</v>
          </cell>
          <cell r="E511">
            <v>45904</v>
          </cell>
          <cell r="F511" t="str">
            <v>USD</v>
          </cell>
          <cell r="G511">
            <v>-91.41</v>
          </cell>
          <cell r="H511">
            <v>91.41</v>
          </cell>
          <cell r="I511">
            <v>-8012.26</v>
          </cell>
          <cell r="K511">
            <v>45934</v>
          </cell>
          <cell r="L511">
            <v>46053</v>
          </cell>
        </row>
        <row r="512">
          <cell r="D512">
            <v>256779417158</v>
          </cell>
          <cell r="E512">
            <v>45904</v>
          </cell>
          <cell r="F512" t="str">
            <v>USD</v>
          </cell>
          <cell r="G512">
            <v>-110</v>
          </cell>
          <cell r="H512">
            <v>110</v>
          </cell>
          <cell r="I512">
            <v>-9641.7099999999991</v>
          </cell>
          <cell r="K512">
            <v>45934</v>
          </cell>
          <cell r="L512">
            <v>45991</v>
          </cell>
        </row>
        <row r="513">
          <cell r="D513">
            <v>256779417350</v>
          </cell>
          <cell r="E513">
            <v>45904</v>
          </cell>
          <cell r="F513" t="str">
            <v>USD</v>
          </cell>
          <cell r="G513">
            <v>-50</v>
          </cell>
          <cell r="H513">
            <v>1</v>
          </cell>
          <cell r="I513">
            <v>-4382.6000000000004</v>
          </cell>
          <cell r="K513">
            <v>45934</v>
          </cell>
          <cell r="L513">
            <v>46053</v>
          </cell>
        </row>
        <row r="514">
          <cell r="D514">
            <v>256779417257</v>
          </cell>
          <cell r="E514">
            <v>45904</v>
          </cell>
          <cell r="F514" t="str">
            <v>USD</v>
          </cell>
          <cell r="G514">
            <v>-22.77</v>
          </cell>
          <cell r="H514">
            <v>22.77</v>
          </cell>
          <cell r="I514">
            <v>-1995.83</v>
          </cell>
          <cell r="K514">
            <v>45934</v>
          </cell>
          <cell r="L514">
            <v>45991</v>
          </cell>
        </row>
        <row r="515">
          <cell r="D515">
            <v>256779417744</v>
          </cell>
          <cell r="E515">
            <v>45922</v>
          </cell>
          <cell r="F515" t="str">
            <v>USD</v>
          </cell>
          <cell r="G515">
            <v>-870</v>
          </cell>
          <cell r="H515">
            <v>870</v>
          </cell>
          <cell r="I515">
            <v>-76257.17</v>
          </cell>
          <cell r="K515">
            <v>45952</v>
          </cell>
          <cell r="L515">
            <v>45991</v>
          </cell>
        </row>
        <row r="516">
          <cell r="D516">
            <v>256779417348</v>
          </cell>
          <cell r="E516">
            <v>45904</v>
          </cell>
          <cell r="F516" t="str">
            <v>USD</v>
          </cell>
          <cell r="G516">
            <v>-2285.34</v>
          </cell>
          <cell r="H516">
            <v>2285.34</v>
          </cell>
          <cell r="I516">
            <v>-200314.44</v>
          </cell>
          <cell r="K516">
            <v>45934</v>
          </cell>
          <cell r="L516">
            <v>46053</v>
          </cell>
        </row>
        <row r="517">
          <cell r="D517">
            <v>256779417557</v>
          </cell>
          <cell r="E517">
            <v>45918</v>
          </cell>
          <cell r="F517" t="str">
            <v>USD</v>
          </cell>
          <cell r="G517">
            <v>-725.96</v>
          </cell>
          <cell r="H517">
            <v>725.96</v>
          </cell>
          <cell r="I517">
            <v>-63631.79</v>
          </cell>
          <cell r="K517">
            <v>45948</v>
          </cell>
          <cell r="L517">
            <v>45991</v>
          </cell>
        </row>
        <row r="518">
          <cell r="D518">
            <v>256779417517</v>
          </cell>
          <cell r="E518">
            <v>45918</v>
          </cell>
          <cell r="F518" t="str">
            <v>USD</v>
          </cell>
          <cell r="G518">
            <v>-4.68</v>
          </cell>
          <cell r="H518">
            <v>4.68</v>
          </cell>
          <cell r="I518">
            <v>-410.21</v>
          </cell>
          <cell r="K518">
            <v>45948</v>
          </cell>
          <cell r="L518">
            <v>45991</v>
          </cell>
        </row>
        <row r="519">
          <cell r="D519">
            <v>256779414859</v>
          </cell>
          <cell r="E519">
            <v>45842</v>
          </cell>
          <cell r="F519" t="str">
            <v>USD</v>
          </cell>
          <cell r="G519">
            <v>-318.47000000000003</v>
          </cell>
          <cell r="H519">
            <v>318.47000000000003</v>
          </cell>
          <cell r="I519">
            <v>-27385.08</v>
          </cell>
          <cell r="K519">
            <v>45872</v>
          </cell>
          <cell r="L519">
            <v>45991</v>
          </cell>
        </row>
        <row r="520">
          <cell r="D520">
            <v>256779415319</v>
          </cell>
          <cell r="E520">
            <v>45848</v>
          </cell>
          <cell r="F520" t="str">
            <v>USD</v>
          </cell>
          <cell r="G520">
            <v>-140.16999999999999</v>
          </cell>
          <cell r="H520">
            <v>140.16999999999999</v>
          </cell>
          <cell r="I520">
            <v>-12400.84</v>
          </cell>
          <cell r="K520">
            <v>45878</v>
          </cell>
          <cell r="L520">
            <v>46022</v>
          </cell>
        </row>
        <row r="521">
          <cell r="D521">
            <v>256779416137</v>
          </cell>
          <cell r="E521">
            <v>45877</v>
          </cell>
          <cell r="F521" t="str">
            <v>USD</v>
          </cell>
          <cell r="G521">
            <v>-55</v>
          </cell>
          <cell r="H521">
            <v>1.1000000000000001</v>
          </cell>
          <cell r="I521">
            <v>-4764.7</v>
          </cell>
          <cell r="J521" t="str">
            <v>14 DAYS OLDER; NO EXCHANGE RATE PROVIDEDE</v>
          </cell>
          <cell r="K521">
            <v>45907</v>
          </cell>
          <cell r="L521">
            <v>46053</v>
          </cell>
        </row>
        <row r="522">
          <cell r="D522">
            <v>2717597</v>
          </cell>
          <cell r="E522">
            <v>45982</v>
          </cell>
          <cell r="F522" t="str">
            <v>INR</v>
          </cell>
          <cell r="G522" t="str">
            <v xml:space="preserve"> -   </v>
          </cell>
          <cell r="H522" t="str">
            <v xml:space="preserve"> -   </v>
          </cell>
          <cell r="I522">
            <v>1899719.56</v>
          </cell>
          <cell r="J522" t="str">
            <v>Outwards remit C-I001611 USD 21,525.94@88.25257138</v>
          </cell>
          <cell r="K522">
            <v>45982</v>
          </cell>
          <cell r="L522">
            <v>46053</v>
          </cell>
        </row>
        <row r="523">
          <cell r="D523">
            <v>246779411730</v>
          </cell>
          <cell r="E523">
            <v>45733</v>
          </cell>
          <cell r="F523" t="str">
            <v>USD</v>
          </cell>
          <cell r="G523">
            <v>-11.42</v>
          </cell>
          <cell r="H523">
            <v>11.42</v>
          </cell>
          <cell r="I523">
            <v>-994.02</v>
          </cell>
          <cell r="K523">
            <v>45763</v>
          </cell>
          <cell r="L523">
            <v>46022</v>
          </cell>
        </row>
        <row r="524">
          <cell r="D524">
            <v>246779411789</v>
          </cell>
          <cell r="E524">
            <v>45733</v>
          </cell>
          <cell r="F524" t="str">
            <v>USD</v>
          </cell>
          <cell r="G524">
            <v>-428.11</v>
          </cell>
          <cell r="H524">
            <v>428.11</v>
          </cell>
          <cell r="I524">
            <v>-37263.730000000003</v>
          </cell>
          <cell r="K524">
            <v>45763</v>
          </cell>
          <cell r="L524">
            <v>46022</v>
          </cell>
        </row>
        <row r="525">
          <cell r="D525">
            <v>256779413240</v>
          </cell>
          <cell r="E525">
            <v>45787</v>
          </cell>
          <cell r="F525" t="str">
            <v>USD</v>
          </cell>
          <cell r="G525">
            <v>-424.03</v>
          </cell>
          <cell r="H525">
            <v>424.03</v>
          </cell>
          <cell r="I525">
            <v>-36201.339999999997</v>
          </cell>
          <cell r="K525">
            <v>45817</v>
          </cell>
          <cell r="L525">
            <v>46022</v>
          </cell>
        </row>
        <row r="526">
          <cell r="D526">
            <v>256779412776</v>
          </cell>
          <cell r="E526">
            <v>45771</v>
          </cell>
          <cell r="F526" t="str">
            <v>USD</v>
          </cell>
          <cell r="G526">
            <v>-632.46</v>
          </cell>
          <cell r="H526">
            <v>632.46</v>
          </cell>
          <cell r="I526">
            <v>-54218.879999999997</v>
          </cell>
          <cell r="K526">
            <v>45801</v>
          </cell>
          <cell r="L526">
            <v>46022</v>
          </cell>
        </row>
        <row r="527">
          <cell r="D527">
            <v>256779414431</v>
          </cell>
          <cell r="E527">
            <v>45826</v>
          </cell>
          <cell r="F527" t="str">
            <v>USD</v>
          </cell>
          <cell r="G527">
            <v>-52.38</v>
          </cell>
          <cell r="H527">
            <v>52.38</v>
          </cell>
          <cell r="I527">
            <v>-4455.66</v>
          </cell>
          <cell r="K527">
            <v>45856</v>
          </cell>
          <cell r="L527">
            <v>46022</v>
          </cell>
        </row>
        <row r="528">
          <cell r="D528">
            <v>256779413146</v>
          </cell>
          <cell r="E528">
            <v>45787</v>
          </cell>
          <cell r="F528" t="str">
            <v>INR</v>
          </cell>
          <cell r="G528" t="str">
            <v xml:space="preserve"> -   </v>
          </cell>
          <cell r="H528" t="str">
            <v xml:space="preserve"> -   </v>
          </cell>
          <cell r="I528">
            <v>-200000</v>
          </cell>
          <cell r="K528">
            <v>45817</v>
          </cell>
          <cell r="L528">
            <v>45991</v>
          </cell>
        </row>
        <row r="529">
          <cell r="D529">
            <v>256779413148</v>
          </cell>
          <cell r="E529">
            <v>45787</v>
          </cell>
          <cell r="F529" t="str">
            <v>INR</v>
          </cell>
          <cell r="G529" t="str">
            <v xml:space="preserve"> -   </v>
          </cell>
          <cell r="H529" t="str">
            <v xml:space="preserve"> -   </v>
          </cell>
          <cell r="I529">
            <v>-4400</v>
          </cell>
          <cell r="K529">
            <v>45817</v>
          </cell>
          <cell r="L529">
            <v>45991</v>
          </cell>
        </row>
        <row r="530">
          <cell r="D530">
            <v>256779413147</v>
          </cell>
          <cell r="E530">
            <v>45787</v>
          </cell>
          <cell r="F530" t="str">
            <v>INR</v>
          </cell>
          <cell r="G530" t="str">
            <v xml:space="preserve"> -   </v>
          </cell>
          <cell r="H530" t="str">
            <v xml:space="preserve"> -   </v>
          </cell>
          <cell r="I530">
            <v>-8000</v>
          </cell>
          <cell r="K530">
            <v>45817</v>
          </cell>
          <cell r="L530">
            <v>45991</v>
          </cell>
        </row>
        <row r="531">
          <cell r="D531">
            <v>256779413931</v>
          </cell>
          <cell r="E531">
            <v>45810</v>
          </cell>
          <cell r="F531" t="str">
            <v>USD</v>
          </cell>
          <cell r="G531">
            <v>-395.23</v>
          </cell>
          <cell r="H531">
            <v>395.23</v>
          </cell>
          <cell r="I531">
            <v>-33619.879999999997</v>
          </cell>
          <cell r="K531">
            <v>45840</v>
          </cell>
          <cell r="L531">
            <v>46022</v>
          </cell>
        </row>
        <row r="532">
          <cell r="D532">
            <v>256779413250</v>
          </cell>
          <cell r="E532">
            <v>45787</v>
          </cell>
          <cell r="F532" t="str">
            <v>USD</v>
          </cell>
          <cell r="G532">
            <v>-423.28</v>
          </cell>
          <cell r="H532">
            <v>423.28</v>
          </cell>
          <cell r="I532">
            <v>-36137.300000000003</v>
          </cell>
          <cell r="K532">
            <v>45817</v>
          </cell>
          <cell r="L532">
            <v>46022</v>
          </cell>
        </row>
        <row r="533">
          <cell r="D533">
            <v>256779413972</v>
          </cell>
          <cell r="E533">
            <v>45810</v>
          </cell>
          <cell r="F533" t="str">
            <v>INR</v>
          </cell>
          <cell r="G533" t="str">
            <v xml:space="preserve"> -   </v>
          </cell>
          <cell r="H533" t="str">
            <v xml:space="preserve"> -   </v>
          </cell>
          <cell r="I533">
            <v>-262</v>
          </cell>
          <cell r="K533">
            <v>45840</v>
          </cell>
          <cell r="L533">
            <v>45991</v>
          </cell>
        </row>
        <row r="534">
          <cell r="D534">
            <v>256779413908</v>
          </cell>
          <cell r="E534">
            <v>45805</v>
          </cell>
          <cell r="F534" t="str">
            <v>USD</v>
          </cell>
          <cell r="G534">
            <v>-3200.83</v>
          </cell>
          <cell r="H534">
            <v>3200.83</v>
          </cell>
          <cell r="I534">
            <v>-273269.15999999997</v>
          </cell>
          <cell r="K534">
            <v>45835</v>
          </cell>
          <cell r="L534">
            <v>46022</v>
          </cell>
        </row>
        <row r="535">
          <cell r="D535">
            <v>256779411867</v>
          </cell>
          <cell r="E535">
            <v>45763</v>
          </cell>
          <cell r="F535" t="str">
            <v>USD</v>
          </cell>
          <cell r="G535" t="str">
            <v xml:space="preserve"> -   </v>
          </cell>
          <cell r="H535" t="str">
            <v xml:space="preserve"> -   </v>
          </cell>
          <cell r="I535">
            <v>-260.83</v>
          </cell>
          <cell r="J535" t="str">
            <v>C: ASCENDAS27 P: Matching</v>
          </cell>
          <cell r="K535">
            <v>45793</v>
          </cell>
        </row>
        <row r="536">
          <cell r="D536">
            <v>256779415303</v>
          </cell>
          <cell r="E536">
            <v>45848</v>
          </cell>
          <cell r="F536" t="str">
            <v>USD</v>
          </cell>
          <cell r="G536" t="str">
            <v xml:space="preserve"> -   </v>
          </cell>
          <cell r="H536" t="str">
            <v xml:space="preserve"> -   </v>
          </cell>
          <cell r="I536">
            <v>-88.42</v>
          </cell>
          <cell r="J536" t="str">
            <v>C: ASCENDAS27 P: Matching</v>
          </cell>
          <cell r="K536">
            <v>45878</v>
          </cell>
        </row>
        <row r="537">
          <cell r="D537">
            <v>256779415304</v>
          </cell>
          <cell r="E537">
            <v>45848</v>
          </cell>
          <cell r="F537" t="str">
            <v>USD</v>
          </cell>
          <cell r="G537" t="str">
            <v xml:space="preserve"> -   </v>
          </cell>
          <cell r="H537" t="str">
            <v xml:space="preserve"> -   </v>
          </cell>
          <cell r="I537">
            <v>-26.52</v>
          </cell>
          <cell r="J537" t="str">
            <v>C: ASCENDAS27 P: Matching</v>
          </cell>
          <cell r="K537">
            <v>45878</v>
          </cell>
        </row>
        <row r="538">
          <cell r="D538">
            <v>256779415385</v>
          </cell>
          <cell r="E538">
            <v>45848</v>
          </cell>
          <cell r="F538" t="str">
            <v>USD</v>
          </cell>
          <cell r="G538" t="str">
            <v xml:space="preserve"> -   </v>
          </cell>
          <cell r="H538" t="str">
            <v xml:space="preserve"> -   </v>
          </cell>
          <cell r="I538">
            <v>-0.32</v>
          </cell>
          <cell r="J538" t="str">
            <v>C: ASCENDAS27 P: Matching</v>
          </cell>
          <cell r="K538">
            <v>45878</v>
          </cell>
        </row>
        <row r="539">
          <cell r="D539">
            <v>256779415293</v>
          </cell>
          <cell r="E539">
            <v>45848</v>
          </cell>
          <cell r="F539" t="str">
            <v>USD</v>
          </cell>
          <cell r="G539" t="str">
            <v xml:space="preserve"> -   </v>
          </cell>
          <cell r="H539" t="str">
            <v xml:space="preserve"> -   </v>
          </cell>
          <cell r="I539">
            <v>-0.32</v>
          </cell>
          <cell r="J539" t="str">
            <v>C: ASCENDAS27 P: Matching</v>
          </cell>
          <cell r="K539">
            <v>45878</v>
          </cell>
        </row>
        <row r="540">
          <cell r="D540">
            <v>256779415374</v>
          </cell>
          <cell r="E540">
            <v>45848</v>
          </cell>
          <cell r="F540" t="str">
            <v>USD</v>
          </cell>
          <cell r="G540" t="str">
            <v xml:space="preserve"> -   </v>
          </cell>
          <cell r="H540" t="str">
            <v xml:space="preserve"> -   </v>
          </cell>
          <cell r="I540">
            <v>-6.43</v>
          </cell>
          <cell r="J540" t="str">
            <v>C: ASCENDAS27 P: Matching</v>
          </cell>
          <cell r="K540">
            <v>45878</v>
          </cell>
        </row>
        <row r="541">
          <cell r="D541">
            <v>256779415339</v>
          </cell>
          <cell r="E541">
            <v>45848</v>
          </cell>
          <cell r="F541" t="str">
            <v>USD</v>
          </cell>
          <cell r="G541" t="str">
            <v xml:space="preserve"> -   </v>
          </cell>
          <cell r="H541" t="str">
            <v xml:space="preserve"> -   </v>
          </cell>
          <cell r="I541">
            <v>-24.21</v>
          </cell>
          <cell r="J541" t="str">
            <v>C: ASCENDAS27 P: Matching</v>
          </cell>
          <cell r="K541">
            <v>45878</v>
          </cell>
        </row>
        <row r="542">
          <cell r="D542">
            <v>256779411467</v>
          </cell>
          <cell r="E542">
            <v>45762</v>
          </cell>
          <cell r="F542" t="str">
            <v>USD</v>
          </cell>
          <cell r="G542" t="str">
            <v xml:space="preserve"> -   </v>
          </cell>
          <cell r="H542" t="str">
            <v xml:space="preserve"> -   </v>
          </cell>
          <cell r="I542">
            <v>-31.3</v>
          </cell>
          <cell r="J542" t="str">
            <v>C: ASCENDAS27 P: Matching</v>
          </cell>
          <cell r="K542">
            <v>45792</v>
          </cell>
        </row>
        <row r="543">
          <cell r="D543">
            <v>256779415308</v>
          </cell>
          <cell r="E543">
            <v>45848</v>
          </cell>
          <cell r="F543" t="str">
            <v>USD</v>
          </cell>
          <cell r="G543" t="str">
            <v xml:space="preserve"> -   </v>
          </cell>
          <cell r="H543" t="str">
            <v xml:space="preserve"> -   </v>
          </cell>
          <cell r="I543">
            <v>-26.52</v>
          </cell>
          <cell r="J543" t="str">
            <v>C: ASCENDAS27 P: Matching</v>
          </cell>
          <cell r="K543">
            <v>45878</v>
          </cell>
        </row>
        <row r="544">
          <cell r="D544">
            <v>256779415305</v>
          </cell>
          <cell r="E544">
            <v>45848</v>
          </cell>
          <cell r="F544" t="str">
            <v>USD</v>
          </cell>
          <cell r="G544" t="str">
            <v xml:space="preserve"> -   </v>
          </cell>
          <cell r="H544" t="str">
            <v xml:space="preserve"> -   </v>
          </cell>
          <cell r="I544">
            <v>-26.52</v>
          </cell>
          <cell r="J544" t="str">
            <v>C: ASCENDAS27 P: Matching</v>
          </cell>
          <cell r="K544">
            <v>45878</v>
          </cell>
        </row>
        <row r="545">
          <cell r="D545">
            <v>256779415306</v>
          </cell>
          <cell r="E545">
            <v>45848</v>
          </cell>
          <cell r="F545" t="str">
            <v>USD</v>
          </cell>
          <cell r="G545" t="str">
            <v xml:space="preserve"> -   </v>
          </cell>
          <cell r="H545" t="str">
            <v xml:space="preserve"> -   </v>
          </cell>
          <cell r="I545">
            <v>-26.52</v>
          </cell>
          <cell r="J545" t="str">
            <v>C: ASCENDAS27 P: Matching</v>
          </cell>
          <cell r="K545">
            <v>45878</v>
          </cell>
        </row>
        <row r="546">
          <cell r="D546">
            <v>256779415307</v>
          </cell>
          <cell r="E546">
            <v>45848</v>
          </cell>
          <cell r="F546" t="str">
            <v>USD</v>
          </cell>
          <cell r="G546" t="str">
            <v xml:space="preserve"> -   </v>
          </cell>
          <cell r="H546" t="str">
            <v xml:space="preserve"> -   </v>
          </cell>
          <cell r="I546">
            <v>-26.52</v>
          </cell>
          <cell r="J546" t="str">
            <v>C: ASCENDAS27 P: Matching</v>
          </cell>
          <cell r="K546">
            <v>45878</v>
          </cell>
        </row>
        <row r="547">
          <cell r="D547">
            <v>256779415291</v>
          </cell>
          <cell r="E547">
            <v>45848</v>
          </cell>
          <cell r="F547" t="str">
            <v>USD</v>
          </cell>
          <cell r="G547" t="str">
            <v xml:space="preserve"> -   </v>
          </cell>
          <cell r="H547" t="str">
            <v xml:space="preserve"> -   </v>
          </cell>
          <cell r="I547">
            <v>-0.32</v>
          </cell>
          <cell r="J547" t="str">
            <v>C: ASCENDAS27 P: Matching</v>
          </cell>
          <cell r="K547">
            <v>45878</v>
          </cell>
        </row>
        <row r="548">
          <cell r="D548">
            <v>256779415012</v>
          </cell>
          <cell r="E548">
            <v>45842</v>
          </cell>
          <cell r="F548" t="str">
            <v>USD</v>
          </cell>
          <cell r="G548" t="str">
            <v xml:space="preserve"> -   </v>
          </cell>
          <cell r="H548" t="str">
            <v xml:space="preserve"> -   </v>
          </cell>
          <cell r="I548">
            <v>-162.69</v>
          </cell>
          <cell r="J548" t="str">
            <v>C: ASCENDAS27 P: Matching</v>
          </cell>
          <cell r="K548">
            <v>45872</v>
          </cell>
        </row>
        <row r="549">
          <cell r="D549">
            <v>256779415261</v>
          </cell>
          <cell r="E549">
            <v>45842</v>
          </cell>
          <cell r="F549" t="str">
            <v>USD</v>
          </cell>
          <cell r="G549" t="str">
            <v xml:space="preserve"> -   </v>
          </cell>
          <cell r="H549" t="str">
            <v xml:space="preserve"> -   </v>
          </cell>
          <cell r="I549">
            <v>-258.39999999999998</v>
          </cell>
          <cell r="J549" t="str">
            <v>C: ASCENDAS27 P: Matching</v>
          </cell>
          <cell r="K549">
            <v>45872</v>
          </cell>
        </row>
        <row r="550">
          <cell r="D550">
            <v>256779416255</v>
          </cell>
          <cell r="E550">
            <v>45877</v>
          </cell>
          <cell r="F550" t="str">
            <v>USD</v>
          </cell>
          <cell r="G550" t="str">
            <v xml:space="preserve"> -   </v>
          </cell>
          <cell r="H550" t="str">
            <v xml:space="preserve"> -   </v>
          </cell>
          <cell r="I550">
            <v>-346.59</v>
          </cell>
          <cell r="J550" t="str">
            <v>C: ASCENDAS27 P: Matching</v>
          </cell>
          <cell r="K550">
            <v>45907</v>
          </cell>
        </row>
        <row r="551">
          <cell r="D551">
            <v>256779416169</v>
          </cell>
          <cell r="E551">
            <v>45877</v>
          </cell>
          <cell r="F551" t="str">
            <v>USD</v>
          </cell>
          <cell r="G551" t="str">
            <v xml:space="preserve"> -   </v>
          </cell>
          <cell r="H551" t="str">
            <v xml:space="preserve"> -   </v>
          </cell>
          <cell r="I551">
            <v>-227.23</v>
          </cell>
          <cell r="J551" t="str">
            <v>C: ASCENDAS27 P: Matching</v>
          </cell>
          <cell r="K551">
            <v>45907</v>
          </cell>
        </row>
        <row r="552">
          <cell r="D552">
            <v>256779416442</v>
          </cell>
          <cell r="E552">
            <v>45877</v>
          </cell>
          <cell r="F552" t="str">
            <v>USD</v>
          </cell>
          <cell r="G552" t="str">
            <v xml:space="preserve"> -   </v>
          </cell>
          <cell r="H552" t="str">
            <v xml:space="preserve"> -   </v>
          </cell>
          <cell r="I552">
            <v>-931.02</v>
          </cell>
          <cell r="J552" t="str">
            <v>C: ASCENDAS27 P: Matching</v>
          </cell>
          <cell r="K552">
            <v>45907</v>
          </cell>
        </row>
        <row r="553">
          <cell r="D553">
            <v>256779416214</v>
          </cell>
          <cell r="E553">
            <v>45877</v>
          </cell>
          <cell r="F553" t="str">
            <v>USD</v>
          </cell>
          <cell r="G553" t="str">
            <v xml:space="preserve"> -   </v>
          </cell>
          <cell r="H553" t="str">
            <v xml:space="preserve"> -   </v>
          </cell>
          <cell r="I553">
            <v>-187.45</v>
          </cell>
          <cell r="J553" t="str">
            <v>C: ASCENDAS27 P: Matching</v>
          </cell>
          <cell r="K553">
            <v>45907</v>
          </cell>
        </row>
        <row r="554">
          <cell r="D554">
            <v>256779416454</v>
          </cell>
          <cell r="E554">
            <v>45877</v>
          </cell>
          <cell r="F554" t="str">
            <v>USD</v>
          </cell>
          <cell r="G554" t="str">
            <v xml:space="preserve"> -   </v>
          </cell>
          <cell r="H554" t="str">
            <v xml:space="preserve"> -   </v>
          </cell>
          <cell r="I554">
            <v>-363.39</v>
          </cell>
          <cell r="J554" t="str">
            <v>C: ASCENDAS27 P: Matching</v>
          </cell>
          <cell r="K554">
            <v>45907</v>
          </cell>
        </row>
        <row r="555">
          <cell r="D555">
            <v>256779417349</v>
          </cell>
          <cell r="E555">
            <v>45904</v>
          </cell>
          <cell r="F555" t="str">
            <v>USD</v>
          </cell>
          <cell r="G555" t="str">
            <v xml:space="preserve"> -   </v>
          </cell>
          <cell r="H555" t="str">
            <v xml:space="preserve"> -   </v>
          </cell>
          <cell r="I555">
            <v>-134.63</v>
          </cell>
          <cell r="J555" t="str">
            <v>C: ASCENDAS27 P: Matching</v>
          </cell>
          <cell r="K555">
            <v>45934</v>
          </cell>
        </row>
        <row r="556">
          <cell r="D556">
            <v>256779417350</v>
          </cell>
          <cell r="E556">
            <v>45904</v>
          </cell>
          <cell r="F556" t="str">
            <v>USD</v>
          </cell>
          <cell r="G556" t="str">
            <v xml:space="preserve"> -   </v>
          </cell>
          <cell r="H556" t="str">
            <v xml:space="preserve"> -   </v>
          </cell>
          <cell r="I556">
            <v>-73.63</v>
          </cell>
          <cell r="J556" t="str">
            <v>C: ASCENDAS27 P: Matching</v>
          </cell>
          <cell r="K556">
            <v>45934</v>
          </cell>
        </row>
        <row r="557">
          <cell r="D557">
            <v>256779417348</v>
          </cell>
          <cell r="E557">
            <v>45904</v>
          </cell>
          <cell r="F557" t="str">
            <v>USD</v>
          </cell>
          <cell r="G557" t="str">
            <v xml:space="preserve"> -   </v>
          </cell>
          <cell r="H557" t="str">
            <v xml:space="preserve"> -   </v>
          </cell>
          <cell r="I557">
            <v>-3365.85</v>
          </cell>
          <cell r="J557" t="str">
            <v>C: ASCENDAS27 P: Matching</v>
          </cell>
          <cell r="K557">
            <v>45934</v>
          </cell>
        </row>
        <row r="558">
          <cell r="D558">
            <v>256779415319</v>
          </cell>
          <cell r="E558">
            <v>45848</v>
          </cell>
          <cell r="F558" t="str">
            <v>USD</v>
          </cell>
          <cell r="G558" t="str">
            <v xml:space="preserve"> -   </v>
          </cell>
          <cell r="H558" t="str">
            <v xml:space="preserve"> -   </v>
          </cell>
          <cell r="I558">
            <v>-94.07</v>
          </cell>
          <cell r="J558" t="str">
            <v>C: ASCENDAS27 P: Matching</v>
          </cell>
          <cell r="K558">
            <v>45878</v>
          </cell>
        </row>
        <row r="559">
          <cell r="D559">
            <v>256779416137</v>
          </cell>
          <cell r="E559">
            <v>45877</v>
          </cell>
          <cell r="F559" t="str">
            <v>USD</v>
          </cell>
          <cell r="G559" t="str">
            <v xml:space="preserve"> -   </v>
          </cell>
          <cell r="H559" t="str">
            <v xml:space="preserve"> -   </v>
          </cell>
          <cell r="I559">
            <v>-136.03</v>
          </cell>
          <cell r="J559" t="str">
            <v>C: ASCENDAS27 P: Matching</v>
          </cell>
          <cell r="K559">
            <v>45907</v>
          </cell>
        </row>
        <row r="560">
          <cell r="D560">
            <v>246779411730</v>
          </cell>
          <cell r="E560">
            <v>45733</v>
          </cell>
          <cell r="F560" t="str">
            <v>USD</v>
          </cell>
          <cell r="G560" t="str">
            <v xml:space="preserve"> -   </v>
          </cell>
          <cell r="H560" t="str">
            <v xml:space="preserve"> -   </v>
          </cell>
          <cell r="I560">
            <v>-23.64</v>
          </cell>
          <cell r="J560" t="str">
            <v>C: ASCENDAS27 P: Matching</v>
          </cell>
          <cell r="K560">
            <v>45763</v>
          </cell>
        </row>
        <row r="561">
          <cell r="D561">
            <v>246779411789</v>
          </cell>
          <cell r="E561">
            <v>45733</v>
          </cell>
          <cell r="F561" t="str">
            <v>USD</v>
          </cell>
          <cell r="G561" t="str">
            <v xml:space="preserve"> -   </v>
          </cell>
          <cell r="H561" t="str">
            <v xml:space="preserve"> -   </v>
          </cell>
          <cell r="I561">
            <v>-886.24</v>
          </cell>
          <cell r="J561" t="str">
            <v>C: ASCENDAS27 P: Matching</v>
          </cell>
          <cell r="K561">
            <v>45763</v>
          </cell>
        </row>
        <row r="562">
          <cell r="D562">
            <v>256779413240</v>
          </cell>
          <cell r="E562">
            <v>45787</v>
          </cell>
          <cell r="F562" t="str">
            <v>USD</v>
          </cell>
          <cell r="G562" t="str">
            <v xml:space="preserve"> -   </v>
          </cell>
          <cell r="H562" t="str">
            <v xml:space="preserve"> -   </v>
          </cell>
          <cell r="I562">
            <v>-1570.91</v>
          </cell>
          <cell r="J562" t="str">
            <v>C: ASCENDAS27 P: Matching</v>
          </cell>
          <cell r="K562">
            <v>45817</v>
          </cell>
        </row>
        <row r="563">
          <cell r="D563">
            <v>256779412776</v>
          </cell>
          <cell r="E563">
            <v>45771</v>
          </cell>
          <cell r="F563" t="str">
            <v>USD</v>
          </cell>
          <cell r="G563" t="str">
            <v xml:space="preserve"> -   </v>
          </cell>
          <cell r="H563" t="str">
            <v xml:space="preserve"> -   </v>
          </cell>
          <cell r="I563">
            <v>-2124.59</v>
          </cell>
          <cell r="J563" t="str">
            <v>C: ASCENDAS27 P: Matching</v>
          </cell>
          <cell r="K563">
            <v>45801</v>
          </cell>
        </row>
        <row r="564">
          <cell r="D564">
            <v>256779414431</v>
          </cell>
          <cell r="E564">
            <v>45826</v>
          </cell>
          <cell r="F564" t="str">
            <v>USD</v>
          </cell>
          <cell r="G564" t="str">
            <v xml:space="preserve"> -   </v>
          </cell>
          <cell r="H564" t="str">
            <v xml:space="preserve"> -   </v>
          </cell>
          <cell r="I564">
            <v>-209.97</v>
          </cell>
          <cell r="J564" t="str">
            <v>C: ASCENDAS27 P: Matching</v>
          </cell>
          <cell r="K564">
            <v>45856</v>
          </cell>
        </row>
        <row r="565">
          <cell r="D565">
            <v>256779413931</v>
          </cell>
          <cell r="E565">
            <v>45810</v>
          </cell>
          <cell r="F565" t="str">
            <v>USD</v>
          </cell>
          <cell r="G565" t="str">
            <v xml:space="preserve"> -   </v>
          </cell>
          <cell r="H565" t="str">
            <v xml:space="preserve"> -   </v>
          </cell>
          <cell r="I565">
            <v>-1584.45</v>
          </cell>
          <cell r="J565" t="str">
            <v>C: ASCENDAS27 P: Matching</v>
          </cell>
          <cell r="K565">
            <v>45840</v>
          </cell>
        </row>
        <row r="566">
          <cell r="D566">
            <v>256779413250</v>
          </cell>
          <cell r="E566">
            <v>45787</v>
          </cell>
          <cell r="F566" t="str">
            <v>USD</v>
          </cell>
          <cell r="G566" t="str">
            <v xml:space="preserve"> -   </v>
          </cell>
          <cell r="H566" t="str">
            <v xml:space="preserve"> -   </v>
          </cell>
          <cell r="I566">
            <v>-1568.11</v>
          </cell>
          <cell r="J566" t="str">
            <v>C: ASCENDAS27 P: Matching</v>
          </cell>
          <cell r="K566">
            <v>45817</v>
          </cell>
        </row>
        <row r="567">
          <cell r="D567">
            <v>256779413908</v>
          </cell>
          <cell r="E567">
            <v>45805</v>
          </cell>
          <cell r="F567" t="str">
            <v>USD</v>
          </cell>
          <cell r="G567" t="str">
            <v xml:space="preserve"> -   </v>
          </cell>
          <cell r="H567" t="str">
            <v xml:space="preserve"> -   </v>
          </cell>
          <cell r="I567">
            <v>-11858.12</v>
          </cell>
          <cell r="J567" t="str">
            <v>C: ASCENDAS27 P: Matching</v>
          </cell>
          <cell r="K567">
            <v>45835</v>
          </cell>
        </row>
        <row r="568">
          <cell r="D568">
            <v>256779417971</v>
          </cell>
          <cell r="E568">
            <v>45935</v>
          </cell>
          <cell r="F568" t="str">
            <v>USD</v>
          </cell>
          <cell r="G568">
            <v>-94.81</v>
          </cell>
          <cell r="H568">
            <v>94.81</v>
          </cell>
          <cell r="I568">
            <v>-8405.81</v>
          </cell>
          <cell r="J568" t="str">
            <v>USD CURRENCY</v>
          </cell>
          <cell r="K568">
            <v>45965</v>
          </cell>
          <cell r="L568">
            <v>46022</v>
          </cell>
        </row>
        <row r="569">
          <cell r="D569">
            <v>256779411466</v>
          </cell>
          <cell r="E569">
            <v>45762</v>
          </cell>
          <cell r="F569" t="str">
            <v>USD</v>
          </cell>
          <cell r="G569">
            <v>-35.4</v>
          </cell>
          <cell r="H569">
            <v>0.71</v>
          </cell>
          <cell r="I569">
            <v>-3034.73</v>
          </cell>
          <cell r="K569">
            <v>45792</v>
          </cell>
          <cell r="L569">
            <v>46053</v>
          </cell>
        </row>
        <row r="570">
          <cell r="D570">
            <v>256779411465</v>
          </cell>
          <cell r="E570">
            <v>45762</v>
          </cell>
          <cell r="F570" t="str">
            <v>USD</v>
          </cell>
          <cell r="G570">
            <v>-32.450000000000003</v>
          </cell>
          <cell r="H570">
            <v>0.65</v>
          </cell>
          <cell r="I570">
            <v>-2781.84</v>
          </cell>
          <cell r="K570">
            <v>45792</v>
          </cell>
          <cell r="L570">
            <v>46053</v>
          </cell>
        </row>
        <row r="571">
          <cell r="D571">
            <v>256779417317</v>
          </cell>
          <cell r="E571">
            <v>45904</v>
          </cell>
          <cell r="F571" t="str">
            <v>USD</v>
          </cell>
          <cell r="G571">
            <v>-170.85</v>
          </cell>
          <cell r="H571">
            <v>170.85</v>
          </cell>
          <cell r="I571">
            <v>-14975.33</v>
          </cell>
          <cell r="K571">
            <v>45934</v>
          </cell>
          <cell r="L571">
            <v>46022</v>
          </cell>
        </row>
        <row r="572">
          <cell r="D572">
            <v>256779419542</v>
          </cell>
          <cell r="E572">
            <v>45981</v>
          </cell>
          <cell r="F572" t="str">
            <v>USD</v>
          </cell>
          <cell r="G572">
            <v>-409.4</v>
          </cell>
          <cell r="H572">
            <v>409.4</v>
          </cell>
          <cell r="I572">
            <v>-36130.6</v>
          </cell>
          <cell r="J572" t="str">
            <v>USD CURRENCY- NO EXCHANGE RATE PROVIDED</v>
          </cell>
          <cell r="K572">
            <v>46011</v>
          </cell>
          <cell r="L572">
            <v>46022</v>
          </cell>
        </row>
        <row r="573">
          <cell r="D573">
            <v>256779416028</v>
          </cell>
          <cell r="E573">
            <v>45870</v>
          </cell>
          <cell r="F573" t="str">
            <v>USD</v>
          </cell>
          <cell r="G573">
            <v>-2324.77</v>
          </cell>
          <cell r="H573">
            <v>2324.77</v>
          </cell>
          <cell r="I573">
            <v>-201396.93</v>
          </cell>
          <cell r="J573" t="str">
            <v>USD CURRENCY</v>
          </cell>
          <cell r="K573">
            <v>45900</v>
          </cell>
          <cell r="L573">
            <v>46053</v>
          </cell>
        </row>
        <row r="574">
          <cell r="D574">
            <v>256779416029</v>
          </cell>
          <cell r="E574">
            <v>45870</v>
          </cell>
          <cell r="F574" t="str">
            <v>USD</v>
          </cell>
          <cell r="G574">
            <v>-92.99</v>
          </cell>
          <cell r="H574">
            <v>92.99</v>
          </cell>
          <cell r="I574">
            <v>-8055.81</v>
          </cell>
          <cell r="J574" t="str">
            <v>USD CURRENCY</v>
          </cell>
          <cell r="K574">
            <v>45900</v>
          </cell>
          <cell r="L574">
            <v>46053</v>
          </cell>
        </row>
        <row r="575">
          <cell r="D575">
            <v>256779416030</v>
          </cell>
          <cell r="E575">
            <v>45870</v>
          </cell>
          <cell r="F575" t="str">
            <v>USD</v>
          </cell>
          <cell r="G575">
            <v>-51.14</v>
          </cell>
          <cell r="H575">
            <v>51.14</v>
          </cell>
          <cell r="I575">
            <v>-4430.3</v>
          </cell>
          <cell r="J575" t="str">
            <v>USD CURRENCY</v>
          </cell>
          <cell r="K575">
            <v>45900</v>
          </cell>
          <cell r="L575">
            <v>46053</v>
          </cell>
        </row>
        <row r="576">
          <cell r="D576">
            <v>256779417875</v>
          </cell>
          <cell r="E576">
            <v>45935</v>
          </cell>
          <cell r="F576" t="str">
            <v>USD</v>
          </cell>
          <cell r="G576">
            <v>-2267.81</v>
          </cell>
          <cell r="H576">
            <v>2267.81</v>
          </cell>
          <cell r="I576">
            <v>-201062.89</v>
          </cell>
          <cell r="J576" t="str">
            <v>USD CURRENCY</v>
          </cell>
          <cell r="K576">
            <v>45965</v>
          </cell>
          <cell r="L576">
            <v>46053</v>
          </cell>
        </row>
        <row r="577">
          <cell r="D577">
            <v>256779417876</v>
          </cell>
          <cell r="E577">
            <v>45935</v>
          </cell>
          <cell r="F577" t="str">
            <v>USD</v>
          </cell>
          <cell r="G577">
            <v>-90.71</v>
          </cell>
          <cell r="H577">
            <v>90.71</v>
          </cell>
          <cell r="I577">
            <v>-8042.3</v>
          </cell>
          <cell r="J577" t="str">
            <v>USD CURRENCY</v>
          </cell>
          <cell r="K577">
            <v>45965</v>
          </cell>
          <cell r="L577">
            <v>46053</v>
          </cell>
        </row>
        <row r="578">
          <cell r="D578">
            <v>256779417877</v>
          </cell>
          <cell r="E578">
            <v>45935</v>
          </cell>
          <cell r="F578" t="str">
            <v>USD</v>
          </cell>
          <cell r="G578">
            <v>-49.89</v>
          </cell>
          <cell r="H578">
            <v>49.89</v>
          </cell>
          <cell r="I578">
            <v>-4423.22</v>
          </cell>
          <cell r="J578" t="str">
            <v>USD CURRENCY</v>
          </cell>
          <cell r="K578">
            <v>45965</v>
          </cell>
          <cell r="L578">
            <v>46053</v>
          </cell>
        </row>
        <row r="579">
          <cell r="D579">
            <v>256779418391</v>
          </cell>
          <cell r="E579">
            <v>45935</v>
          </cell>
          <cell r="F579" t="str">
            <v>USD</v>
          </cell>
          <cell r="G579">
            <v>-38.51</v>
          </cell>
          <cell r="H579">
            <v>38.51</v>
          </cell>
          <cell r="I579">
            <v>-3414.28</v>
          </cell>
          <cell r="J579" t="str">
            <v>USD CURRENCY</v>
          </cell>
          <cell r="K579">
            <v>45965</v>
          </cell>
          <cell r="L579">
            <v>46022</v>
          </cell>
        </row>
        <row r="580">
          <cell r="D580">
            <v>256779418424</v>
          </cell>
          <cell r="E580">
            <v>45948</v>
          </cell>
          <cell r="F580" t="str">
            <v>USD</v>
          </cell>
          <cell r="G580">
            <v>-1334.62</v>
          </cell>
          <cell r="H580">
            <v>1334.62</v>
          </cell>
          <cell r="I580">
            <v>-118326.74</v>
          </cell>
          <cell r="J580" t="str">
            <v>USD CURRENCY</v>
          </cell>
          <cell r="K580">
            <v>45978</v>
          </cell>
          <cell r="L580">
            <v>46022</v>
          </cell>
        </row>
        <row r="581">
          <cell r="D581">
            <v>256779418433</v>
          </cell>
          <cell r="E581">
            <v>45948</v>
          </cell>
          <cell r="F581" t="str">
            <v>USD</v>
          </cell>
          <cell r="G581">
            <v>-351.43</v>
          </cell>
          <cell r="H581">
            <v>351.43</v>
          </cell>
          <cell r="I581">
            <v>-31157.61</v>
          </cell>
          <cell r="J581" t="str">
            <v>USD CURRENCY</v>
          </cell>
          <cell r="K581">
            <v>45978</v>
          </cell>
          <cell r="L581">
            <v>46022</v>
          </cell>
        </row>
        <row r="582">
          <cell r="D582">
            <v>256779417931</v>
          </cell>
          <cell r="E582">
            <v>45935</v>
          </cell>
          <cell r="F582" t="str">
            <v>USD</v>
          </cell>
          <cell r="G582">
            <v>-288.83999999999997</v>
          </cell>
          <cell r="H582">
            <v>288.83999999999997</v>
          </cell>
          <cell r="I582">
            <v>-25608.41</v>
          </cell>
          <cell r="J582" t="str">
            <v>USD CURRENCY</v>
          </cell>
          <cell r="K582">
            <v>45965</v>
          </cell>
          <cell r="L582">
            <v>46022</v>
          </cell>
        </row>
        <row r="583">
          <cell r="D583">
            <v>256779419211</v>
          </cell>
          <cell r="E583">
            <v>45966</v>
          </cell>
          <cell r="F583" t="str">
            <v>USD</v>
          </cell>
          <cell r="G583">
            <v>-28.18</v>
          </cell>
          <cell r="H583">
            <v>28.18</v>
          </cell>
          <cell r="I583">
            <v>-2486.96</v>
          </cell>
          <cell r="J583" t="str">
            <v>USD CURRENCY</v>
          </cell>
          <cell r="K583">
            <v>45996</v>
          </cell>
          <cell r="L583">
            <v>46022</v>
          </cell>
        </row>
        <row r="584">
          <cell r="D584">
            <v>256779417280</v>
          </cell>
          <cell r="E584">
            <v>45904</v>
          </cell>
          <cell r="F584" t="str">
            <v>USD</v>
          </cell>
          <cell r="G584">
            <v>-249.98</v>
          </cell>
          <cell r="H584">
            <v>249.98</v>
          </cell>
          <cell r="I584">
            <v>-21911.23</v>
          </cell>
          <cell r="K584">
            <v>45934</v>
          </cell>
          <cell r="L584">
            <v>46022</v>
          </cell>
        </row>
        <row r="585">
          <cell r="D585">
            <v>256779411463</v>
          </cell>
          <cell r="E585">
            <v>45762</v>
          </cell>
          <cell r="F585" t="str">
            <v>USD</v>
          </cell>
          <cell r="G585">
            <v>-23.6</v>
          </cell>
          <cell r="H585">
            <v>0.47</v>
          </cell>
          <cell r="I585">
            <v>-2023.16</v>
          </cell>
          <cell r="K585">
            <v>45792</v>
          </cell>
          <cell r="L585">
            <v>46053</v>
          </cell>
        </row>
        <row r="586">
          <cell r="D586">
            <v>256779417892</v>
          </cell>
          <cell r="E586">
            <v>45935</v>
          </cell>
          <cell r="F586" t="str">
            <v>USD</v>
          </cell>
          <cell r="G586">
            <v>-58.45</v>
          </cell>
          <cell r="H586">
            <v>58.45</v>
          </cell>
          <cell r="I586">
            <v>-5182.1499999999996</v>
          </cell>
          <cell r="J586" t="str">
            <v>USD CURRENCY</v>
          </cell>
          <cell r="K586">
            <v>45965</v>
          </cell>
          <cell r="L586">
            <v>46022</v>
          </cell>
        </row>
        <row r="587">
          <cell r="D587">
            <v>256779418480</v>
          </cell>
          <cell r="E587">
            <v>45951</v>
          </cell>
          <cell r="F587" t="str">
            <v>USD</v>
          </cell>
          <cell r="G587">
            <v>-13.59</v>
          </cell>
          <cell r="H587">
            <v>13.59</v>
          </cell>
          <cell r="I587">
            <v>-1204.8800000000001</v>
          </cell>
          <cell r="J587" t="str">
            <v>USD CURRENCY</v>
          </cell>
          <cell r="K587">
            <v>45981</v>
          </cell>
          <cell r="L587">
            <v>46022</v>
          </cell>
        </row>
        <row r="588">
          <cell r="D588">
            <v>256779419165</v>
          </cell>
          <cell r="E588">
            <v>45966</v>
          </cell>
          <cell r="F588" t="str">
            <v>USD</v>
          </cell>
          <cell r="G588">
            <v>-191.57</v>
          </cell>
          <cell r="H588">
            <v>191.57</v>
          </cell>
          <cell r="I588">
            <v>-16906.55</v>
          </cell>
          <cell r="J588" t="str">
            <v>USD CURRENCY</v>
          </cell>
          <cell r="K588">
            <v>45996</v>
          </cell>
          <cell r="L588">
            <v>46053</v>
          </cell>
        </row>
        <row r="589">
          <cell r="D589">
            <v>256779419192</v>
          </cell>
          <cell r="E589">
            <v>45966</v>
          </cell>
          <cell r="F589" t="str">
            <v>USD</v>
          </cell>
          <cell r="G589">
            <v>-171.87</v>
          </cell>
          <cell r="H589">
            <v>171.87</v>
          </cell>
          <cell r="I589">
            <v>-15167.97</v>
          </cell>
          <cell r="J589" t="str">
            <v>USD CURRENCY</v>
          </cell>
          <cell r="K589">
            <v>45996</v>
          </cell>
          <cell r="L589">
            <v>46053</v>
          </cell>
        </row>
        <row r="590">
          <cell r="D590">
            <v>256779418777</v>
          </cell>
          <cell r="E590">
            <v>45966</v>
          </cell>
          <cell r="F590" t="str">
            <v>USD</v>
          </cell>
          <cell r="G590">
            <v>-2272.64</v>
          </cell>
          <cell r="H590">
            <v>2272.64</v>
          </cell>
          <cell r="I590">
            <v>-200566.32</v>
          </cell>
          <cell r="J590" t="str">
            <v>USD CURRENCY</v>
          </cell>
          <cell r="K590">
            <v>45996</v>
          </cell>
          <cell r="L590">
            <v>46053</v>
          </cell>
        </row>
        <row r="591">
          <cell r="D591">
            <v>256779418779</v>
          </cell>
          <cell r="E591">
            <v>45966</v>
          </cell>
          <cell r="F591" t="str">
            <v>USD</v>
          </cell>
          <cell r="G591">
            <v>-50</v>
          </cell>
          <cell r="H591">
            <v>50</v>
          </cell>
          <cell r="I591">
            <v>-4412.63</v>
          </cell>
          <cell r="J591" t="str">
            <v>USD CURRENCY</v>
          </cell>
          <cell r="K591">
            <v>45996</v>
          </cell>
          <cell r="L591">
            <v>46053</v>
          </cell>
        </row>
        <row r="592">
          <cell r="D592">
            <v>256779419122</v>
          </cell>
          <cell r="E592">
            <v>45964</v>
          </cell>
          <cell r="F592" t="str">
            <v>USD</v>
          </cell>
          <cell r="G592">
            <v>-670.42</v>
          </cell>
          <cell r="H592">
            <v>670.42</v>
          </cell>
          <cell r="I592">
            <v>-59439.1</v>
          </cell>
          <cell r="J592" t="str">
            <v>USD CURRENCY</v>
          </cell>
          <cell r="K592">
            <v>45994</v>
          </cell>
          <cell r="L592">
            <v>46053</v>
          </cell>
        </row>
        <row r="593">
          <cell r="D593">
            <v>2771552</v>
          </cell>
          <cell r="E593">
            <v>46014</v>
          </cell>
          <cell r="F593" t="str">
            <v>INR</v>
          </cell>
          <cell r="G593" t="str">
            <v xml:space="preserve"> -   </v>
          </cell>
          <cell r="H593" t="str">
            <v xml:space="preserve"> -   </v>
          </cell>
          <cell r="I593">
            <v>715665.04</v>
          </cell>
          <cell r="J593" t="str">
            <v>Outwards remit C-A023951 USD 8,027.22@89.154780497</v>
          </cell>
          <cell r="K593">
            <v>46014</v>
          </cell>
          <cell r="L593">
            <v>46053</v>
          </cell>
        </row>
        <row r="594">
          <cell r="D594">
            <v>256779415332</v>
          </cell>
          <cell r="E594">
            <v>45848</v>
          </cell>
          <cell r="F594" t="str">
            <v>USD</v>
          </cell>
          <cell r="G594">
            <v>-2.5</v>
          </cell>
          <cell r="H594">
            <v>2.5</v>
          </cell>
          <cell r="I594">
            <v>-221.18</v>
          </cell>
          <cell r="K594">
            <v>45878</v>
          </cell>
          <cell r="L594">
            <v>46053</v>
          </cell>
        </row>
        <row r="595">
          <cell r="D595">
            <v>256779415328</v>
          </cell>
          <cell r="E595">
            <v>45848</v>
          </cell>
          <cell r="F595" t="str">
            <v>USD</v>
          </cell>
          <cell r="G595">
            <v>-22.5</v>
          </cell>
          <cell r="H595">
            <v>22.5</v>
          </cell>
          <cell r="I595">
            <v>-1990.58</v>
          </cell>
          <cell r="K595">
            <v>45878</v>
          </cell>
          <cell r="L595">
            <v>46053</v>
          </cell>
        </row>
        <row r="596">
          <cell r="D596">
            <v>246779410665</v>
          </cell>
          <cell r="E596">
            <v>45720</v>
          </cell>
          <cell r="F596" t="str">
            <v>USD</v>
          </cell>
          <cell r="G596">
            <v>-3.54</v>
          </cell>
          <cell r="H596">
            <v>7.0000000000000007E-2</v>
          </cell>
          <cell r="I596">
            <v>-308.13</v>
          </cell>
          <cell r="J596" t="str">
            <v>NO EXCHANGE RATE</v>
          </cell>
          <cell r="K596">
            <v>45750</v>
          </cell>
          <cell r="L596">
            <v>46053</v>
          </cell>
        </row>
        <row r="597">
          <cell r="D597">
            <v>256779416909</v>
          </cell>
          <cell r="E597">
            <v>45934</v>
          </cell>
          <cell r="F597" t="str">
            <v>USD</v>
          </cell>
          <cell r="G597">
            <v>-989.55</v>
          </cell>
          <cell r="H597">
            <v>989.55</v>
          </cell>
          <cell r="I597">
            <v>-87733</v>
          </cell>
          <cell r="K597">
            <v>45964</v>
          </cell>
          <cell r="L597">
            <v>46053</v>
          </cell>
        </row>
        <row r="598">
          <cell r="D598">
            <v>256779414741</v>
          </cell>
          <cell r="E598">
            <v>45827</v>
          </cell>
          <cell r="F598" t="str">
            <v>USD</v>
          </cell>
          <cell r="G598">
            <v>-579.79</v>
          </cell>
          <cell r="H598">
            <v>579.79</v>
          </cell>
          <cell r="I598">
            <v>-49319.31</v>
          </cell>
          <cell r="J598" t="str">
            <v>USD CURRENCY- NO EXHANGE RATE PROVIDED</v>
          </cell>
          <cell r="K598">
            <v>45857</v>
          </cell>
          <cell r="L598">
            <v>46053</v>
          </cell>
        </row>
        <row r="599">
          <cell r="D599">
            <v>256779411867</v>
          </cell>
          <cell r="E599">
            <v>45763</v>
          </cell>
          <cell r="F599" t="str">
            <v>USD</v>
          </cell>
          <cell r="G599" t="str">
            <v xml:space="preserve"> -   </v>
          </cell>
          <cell r="H599" t="str">
            <v xml:space="preserve"> -   </v>
          </cell>
          <cell r="I599">
            <v>-212.77</v>
          </cell>
          <cell r="J599" t="str">
            <v>C: ASCENDAS27 P: Matching</v>
          </cell>
          <cell r="K599">
            <v>45793</v>
          </cell>
        </row>
        <row r="600">
          <cell r="D600">
            <v>256779415303</v>
          </cell>
          <cell r="E600">
            <v>45848</v>
          </cell>
          <cell r="F600" t="str">
            <v>USD</v>
          </cell>
          <cell r="G600" t="str">
            <v xml:space="preserve"> -   </v>
          </cell>
          <cell r="H600" t="str">
            <v xml:space="preserve"> -   </v>
          </cell>
          <cell r="I600">
            <v>-72.12</v>
          </cell>
          <cell r="J600" t="str">
            <v>C: ASCENDAS27 P: Matching</v>
          </cell>
          <cell r="K600">
            <v>45878</v>
          </cell>
        </row>
        <row r="601">
          <cell r="D601">
            <v>256779415304</v>
          </cell>
          <cell r="E601">
            <v>45848</v>
          </cell>
          <cell r="F601" t="str">
            <v>USD</v>
          </cell>
          <cell r="G601" t="str">
            <v xml:space="preserve"> -   </v>
          </cell>
          <cell r="H601" t="str">
            <v xml:space="preserve"> -   </v>
          </cell>
          <cell r="I601">
            <v>-21.64</v>
          </cell>
          <cell r="J601" t="str">
            <v>C: ASCENDAS27 P: Matching</v>
          </cell>
          <cell r="K601">
            <v>45878</v>
          </cell>
        </row>
        <row r="602">
          <cell r="D602">
            <v>256779415385</v>
          </cell>
          <cell r="E602">
            <v>45848</v>
          </cell>
          <cell r="F602" t="str">
            <v>USD</v>
          </cell>
          <cell r="G602" t="str">
            <v xml:space="preserve"> -   </v>
          </cell>
          <cell r="H602" t="str">
            <v xml:space="preserve"> -   </v>
          </cell>
          <cell r="I602">
            <v>-0.36</v>
          </cell>
          <cell r="J602" t="str">
            <v>C: ASCENDAS27 P: Matching</v>
          </cell>
          <cell r="K602">
            <v>45878</v>
          </cell>
        </row>
        <row r="603">
          <cell r="D603">
            <v>256779415293</v>
          </cell>
          <cell r="E603">
            <v>45848</v>
          </cell>
          <cell r="F603" t="str">
            <v>USD</v>
          </cell>
          <cell r="G603" t="str">
            <v xml:space="preserve"> -   </v>
          </cell>
          <cell r="H603" t="str">
            <v xml:space="preserve"> -   </v>
          </cell>
          <cell r="I603">
            <v>-0.36</v>
          </cell>
          <cell r="J603" t="str">
            <v>C: ASCENDAS27 P: Matching</v>
          </cell>
          <cell r="K603">
            <v>45878</v>
          </cell>
        </row>
        <row r="604">
          <cell r="D604">
            <v>256779415374</v>
          </cell>
          <cell r="E604">
            <v>45848</v>
          </cell>
          <cell r="F604" t="str">
            <v>USD</v>
          </cell>
          <cell r="G604" t="str">
            <v xml:space="preserve"> -   </v>
          </cell>
          <cell r="H604" t="str">
            <v xml:space="preserve"> -   </v>
          </cell>
          <cell r="I604">
            <v>-6.91</v>
          </cell>
          <cell r="J604" t="str">
            <v>C: ASCENDAS27 P: Matching</v>
          </cell>
          <cell r="K604">
            <v>45878</v>
          </cell>
        </row>
        <row r="605">
          <cell r="D605">
            <v>256779415339</v>
          </cell>
          <cell r="E605">
            <v>45848</v>
          </cell>
          <cell r="F605" t="str">
            <v>USD</v>
          </cell>
          <cell r="G605" t="str">
            <v xml:space="preserve"> -   </v>
          </cell>
          <cell r="H605" t="str">
            <v xml:space="preserve"> -   </v>
          </cell>
          <cell r="I605">
            <v>-19.760000000000002</v>
          </cell>
          <cell r="J605" t="str">
            <v>C: ASCENDAS27 P: Matching</v>
          </cell>
          <cell r="K605">
            <v>45878</v>
          </cell>
        </row>
        <row r="606">
          <cell r="D606">
            <v>256779411467</v>
          </cell>
          <cell r="E606">
            <v>45762</v>
          </cell>
          <cell r="F606" t="str">
            <v>USD</v>
          </cell>
          <cell r="G606" t="str">
            <v xml:space="preserve"> -   </v>
          </cell>
          <cell r="H606" t="str">
            <v xml:space="preserve"> -   </v>
          </cell>
          <cell r="I606">
            <v>-25.53</v>
          </cell>
          <cell r="J606" t="str">
            <v>C: ASCENDAS27 P: Matching</v>
          </cell>
          <cell r="K606">
            <v>45792</v>
          </cell>
        </row>
        <row r="607">
          <cell r="D607">
            <v>256779415308</v>
          </cell>
          <cell r="E607">
            <v>45848</v>
          </cell>
          <cell r="F607" t="str">
            <v>USD</v>
          </cell>
          <cell r="G607" t="str">
            <v xml:space="preserve"> -   </v>
          </cell>
          <cell r="H607" t="str">
            <v xml:space="preserve"> -   </v>
          </cell>
          <cell r="I607">
            <v>-21.64</v>
          </cell>
          <cell r="J607" t="str">
            <v>C: ASCENDAS27 P: Matching</v>
          </cell>
          <cell r="K607">
            <v>45878</v>
          </cell>
        </row>
        <row r="608">
          <cell r="D608">
            <v>256779415305</v>
          </cell>
          <cell r="E608">
            <v>45848</v>
          </cell>
          <cell r="F608" t="str">
            <v>USD</v>
          </cell>
          <cell r="G608" t="str">
            <v xml:space="preserve"> -   </v>
          </cell>
          <cell r="H608" t="str">
            <v xml:space="preserve"> -   </v>
          </cell>
          <cell r="I608">
            <v>-21.64</v>
          </cell>
          <cell r="J608" t="str">
            <v>C: ASCENDAS27 P: Matching</v>
          </cell>
          <cell r="K608">
            <v>45878</v>
          </cell>
        </row>
        <row r="609">
          <cell r="D609">
            <v>256779415306</v>
          </cell>
          <cell r="E609">
            <v>45848</v>
          </cell>
          <cell r="F609" t="str">
            <v>USD</v>
          </cell>
          <cell r="G609" t="str">
            <v xml:space="preserve"> -   </v>
          </cell>
          <cell r="H609" t="str">
            <v xml:space="preserve"> -   </v>
          </cell>
          <cell r="I609">
            <v>-21.64</v>
          </cell>
          <cell r="J609" t="str">
            <v>C: ASCENDAS27 P: Matching</v>
          </cell>
          <cell r="K609">
            <v>45878</v>
          </cell>
        </row>
        <row r="610">
          <cell r="D610">
            <v>256779415307</v>
          </cell>
          <cell r="E610">
            <v>45848</v>
          </cell>
          <cell r="F610" t="str">
            <v>USD</v>
          </cell>
          <cell r="G610" t="str">
            <v xml:space="preserve"> -   </v>
          </cell>
          <cell r="H610" t="str">
            <v xml:space="preserve"> -   </v>
          </cell>
          <cell r="I610">
            <v>-21.64</v>
          </cell>
          <cell r="J610" t="str">
            <v>C: ASCENDAS27 P: Matching</v>
          </cell>
          <cell r="K610">
            <v>45878</v>
          </cell>
        </row>
        <row r="611">
          <cell r="D611">
            <v>256779415291</v>
          </cell>
          <cell r="E611">
            <v>45848</v>
          </cell>
          <cell r="F611" t="str">
            <v>USD</v>
          </cell>
          <cell r="G611" t="str">
            <v xml:space="preserve"> -   </v>
          </cell>
          <cell r="H611" t="str">
            <v xml:space="preserve"> -   </v>
          </cell>
          <cell r="I611">
            <v>-0.36</v>
          </cell>
          <cell r="J611" t="str">
            <v>C: ASCENDAS27 P: Matching</v>
          </cell>
          <cell r="K611">
            <v>45878</v>
          </cell>
        </row>
        <row r="612">
          <cell r="D612">
            <v>256779415012</v>
          </cell>
          <cell r="E612">
            <v>45842</v>
          </cell>
          <cell r="F612" t="str">
            <v>USD</v>
          </cell>
          <cell r="G612" t="str">
            <v xml:space="preserve"> -   </v>
          </cell>
          <cell r="H612" t="str">
            <v xml:space="preserve"> -   </v>
          </cell>
          <cell r="I612">
            <v>-132.71</v>
          </cell>
          <cell r="J612" t="str">
            <v>C: ASCENDAS27 P: Matching</v>
          </cell>
          <cell r="K612">
            <v>45872</v>
          </cell>
        </row>
        <row r="613">
          <cell r="D613">
            <v>256779415261</v>
          </cell>
          <cell r="E613">
            <v>45842</v>
          </cell>
          <cell r="F613" t="str">
            <v>USD</v>
          </cell>
          <cell r="G613" t="str">
            <v xml:space="preserve"> -   </v>
          </cell>
          <cell r="H613" t="str">
            <v xml:space="preserve"> -   </v>
          </cell>
          <cell r="I613">
            <v>-210.79</v>
          </cell>
          <cell r="J613" t="str">
            <v>C: ASCENDAS27 P: Matching</v>
          </cell>
          <cell r="K613">
            <v>45872</v>
          </cell>
        </row>
        <row r="614">
          <cell r="D614">
            <v>256779416255</v>
          </cell>
          <cell r="E614">
            <v>45877</v>
          </cell>
          <cell r="F614" t="str">
            <v>USD</v>
          </cell>
          <cell r="G614" t="str">
            <v xml:space="preserve"> -   </v>
          </cell>
          <cell r="H614" t="str">
            <v xml:space="preserve"> -   </v>
          </cell>
          <cell r="I614">
            <v>-282.73</v>
          </cell>
          <cell r="J614" t="str">
            <v>C: ASCENDAS27 P: Matching</v>
          </cell>
          <cell r="K614">
            <v>45907</v>
          </cell>
        </row>
        <row r="615">
          <cell r="D615">
            <v>256779416169</v>
          </cell>
          <cell r="E615">
            <v>45877</v>
          </cell>
          <cell r="F615" t="str">
            <v>USD</v>
          </cell>
          <cell r="G615" t="str">
            <v xml:space="preserve"> -   </v>
          </cell>
          <cell r="H615" t="str">
            <v xml:space="preserve"> -   </v>
          </cell>
          <cell r="I615">
            <v>-185.36</v>
          </cell>
          <cell r="J615" t="str">
            <v>C: ASCENDAS27 P: Matching</v>
          </cell>
          <cell r="K615">
            <v>45907</v>
          </cell>
        </row>
        <row r="616">
          <cell r="D616">
            <v>256779416442</v>
          </cell>
          <cell r="E616">
            <v>45877</v>
          </cell>
          <cell r="F616" t="str">
            <v>USD</v>
          </cell>
          <cell r="G616" t="str">
            <v xml:space="preserve"> -   </v>
          </cell>
          <cell r="H616" t="str">
            <v xml:space="preserve"> -   </v>
          </cell>
          <cell r="I616">
            <v>-759.48</v>
          </cell>
          <cell r="J616" t="str">
            <v>C: ASCENDAS27 P: Matching</v>
          </cell>
          <cell r="K616">
            <v>45907</v>
          </cell>
        </row>
        <row r="617">
          <cell r="D617">
            <v>256779416214</v>
          </cell>
          <cell r="E617">
            <v>45877</v>
          </cell>
          <cell r="F617" t="str">
            <v>USD</v>
          </cell>
          <cell r="G617" t="str">
            <v xml:space="preserve"> -   </v>
          </cell>
          <cell r="H617" t="str">
            <v xml:space="preserve"> -   </v>
          </cell>
          <cell r="I617">
            <v>-152.9</v>
          </cell>
          <cell r="J617" t="str">
            <v>C: ASCENDAS27 P: Matching</v>
          </cell>
          <cell r="K617">
            <v>45907</v>
          </cell>
        </row>
        <row r="618">
          <cell r="D618">
            <v>256779416454</v>
          </cell>
          <cell r="E618">
            <v>45877</v>
          </cell>
          <cell r="F618" t="str">
            <v>USD</v>
          </cell>
          <cell r="G618" t="str">
            <v xml:space="preserve"> -   </v>
          </cell>
          <cell r="H618" t="str">
            <v xml:space="preserve"> -   </v>
          </cell>
          <cell r="I618">
            <v>-296.44</v>
          </cell>
          <cell r="J618" t="str">
            <v>C: ASCENDAS27 P: Matching</v>
          </cell>
          <cell r="K618">
            <v>45907</v>
          </cell>
        </row>
        <row r="619">
          <cell r="D619">
            <v>256779417349</v>
          </cell>
          <cell r="E619">
            <v>45904</v>
          </cell>
          <cell r="F619" t="str">
            <v>USD</v>
          </cell>
          <cell r="G619" t="str">
            <v xml:space="preserve"> -   </v>
          </cell>
          <cell r="H619" t="str">
            <v xml:space="preserve"> -   </v>
          </cell>
          <cell r="I619">
            <v>-65.92</v>
          </cell>
          <cell r="J619" t="str">
            <v>C: ASCENDAS27 P: Matching</v>
          </cell>
          <cell r="K619">
            <v>45934</v>
          </cell>
        </row>
        <row r="620">
          <cell r="D620">
            <v>256779417350</v>
          </cell>
          <cell r="E620">
            <v>45904</v>
          </cell>
          <cell r="F620" t="str">
            <v>USD</v>
          </cell>
          <cell r="G620" t="str">
            <v xml:space="preserve"> -   </v>
          </cell>
          <cell r="H620" t="str">
            <v xml:space="preserve"> -   </v>
          </cell>
          <cell r="I620">
            <v>-36.07</v>
          </cell>
          <cell r="J620" t="str">
            <v>C: ASCENDAS27 P: Matching</v>
          </cell>
          <cell r="K620">
            <v>45934</v>
          </cell>
        </row>
        <row r="621">
          <cell r="D621">
            <v>256779417348</v>
          </cell>
          <cell r="E621">
            <v>45904</v>
          </cell>
          <cell r="F621" t="str">
            <v>USD</v>
          </cell>
          <cell r="G621" t="str">
            <v xml:space="preserve"> -   </v>
          </cell>
          <cell r="H621" t="str">
            <v xml:space="preserve"> -   </v>
          </cell>
          <cell r="I621">
            <v>-1648.3</v>
          </cell>
          <cell r="J621" t="str">
            <v>C: ASCENDAS27 P: Matching</v>
          </cell>
          <cell r="K621">
            <v>45934</v>
          </cell>
        </row>
        <row r="622">
          <cell r="D622">
            <v>256779416137</v>
          </cell>
          <cell r="E622">
            <v>45877</v>
          </cell>
          <cell r="F622" t="str">
            <v>USD</v>
          </cell>
          <cell r="G622" t="str">
            <v xml:space="preserve"> -   </v>
          </cell>
          <cell r="H622" t="str">
            <v xml:space="preserve"> -   </v>
          </cell>
          <cell r="I622">
            <v>-39.67</v>
          </cell>
          <cell r="J622" t="str">
            <v>C: ASCENDAS27 P: Matching</v>
          </cell>
          <cell r="K622">
            <v>45907</v>
          </cell>
        </row>
        <row r="623">
          <cell r="D623">
            <v>256779411466</v>
          </cell>
          <cell r="E623">
            <v>45762</v>
          </cell>
          <cell r="F623" t="str">
            <v>USD</v>
          </cell>
          <cell r="G623" t="str">
            <v xml:space="preserve"> -   </v>
          </cell>
          <cell r="H623" t="str">
            <v xml:space="preserve"> -   </v>
          </cell>
          <cell r="I623">
            <v>-144.44999999999999</v>
          </cell>
          <cell r="J623" t="str">
            <v>C: ASCENDAS27 P: Matching</v>
          </cell>
          <cell r="K623">
            <v>45792</v>
          </cell>
        </row>
        <row r="624">
          <cell r="D624">
            <v>256779411465</v>
          </cell>
          <cell r="E624">
            <v>45762</v>
          </cell>
          <cell r="F624" t="str">
            <v>USD</v>
          </cell>
          <cell r="G624" t="str">
            <v xml:space="preserve"> -   </v>
          </cell>
          <cell r="H624" t="str">
            <v xml:space="preserve"> -   </v>
          </cell>
          <cell r="I624">
            <v>-132.41</v>
          </cell>
          <cell r="J624" t="str">
            <v>C: ASCENDAS27 P: Matching</v>
          </cell>
          <cell r="K624">
            <v>45792</v>
          </cell>
        </row>
        <row r="625">
          <cell r="D625">
            <v>256779416028</v>
          </cell>
          <cell r="E625">
            <v>45870</v>
          </cell>
          <cell r="F625" t="str">
            <v>USD</v>
          </cell>
          <cell r="G625" t="str">
            <v xml:space="preserve"> -   </v>
          </cell>
          <cell r="H625" t="str">
            <v xml:space="preserve"> -   </v>
          </cell>
          <cell r="I625">
            <v>-7426.8</v>
          </cell>
          <cell r="J625" t="str">
            <v>C: ASCENDAS27 P: Matching</v>
          </cell>
          <cell r="K625">
            <v>45900</v>
          </cell>
        </row>
        <row r="626">
          <cell r="D626">
            <v>256779416029</v>
          </cell>
          <cell r="E626">
            <v>45870</v>
          </cell>
          <cell r="F626" t="str">
            <v>USD</v>
          </cell>
          <cell r="G626" t="str">
            <v xml:space="preserve"> -   </v>
          </cell>
          <cell r="H626" t="str">
            <v xml:space="preserve"> -   </v>
          </cell>
          <cell r="I626">
            <v>-297.06</v>
          </cell>
          <cell r="J626" t="str">
            <v>C: ASCENDAS27 P: Matching</v>
          </cell>
          <cell r="K626">
            <v>45900</v>
          </cell>
        </row>
        <row r="627">
          <cell r="D627">
            <v>256779416030</v>
          </cell>
          <cell r="E627">
            <v>45870</v>
          </cell>
          <cell r="F627" t="str">
            <v>USD</v>
          </cell>
          <cell r="G627" t="str">
            <v xml:space="preserve"> -   </v>
          </cell>
          <cell r="H627" t="str">
            <v xml:space="preserve"> -   </v>
          </cell>
          <cell r="I627">
            <v>-163.38</v>
          </cell>
          <cell r="J627" t="str">
            <v>C: ASCENDAS27 P: Matching</v>
          </cell>
          <cell r="K627">
            <v>45900</v>
          </cell>
        </row>
        <row r="628">
          <cell r="D628">
            <v>256779417875</v>
          </cell>
          <cell r="E628">
            <v>45935</v>
          </cell>
          <cell r="F628" t="str">
            <v>USD</v>
          </cell>
          <cell r="G628" t="str">
            <v xml:space="preserve"> -   </v>
          </cell>
          <cell r="H628" t="str">
            <v xml:space="preserve"> -   </v>
          </cell>
          <cell r="I628">
            <v>-2736.39</v>
          </cell>
          <cell r="J628" t="str">
            <v>C: ASCENDAS27 P: Matching</v>
          </cell>
          <cell r="K628">
            <v>45965</v>
          </cell>
        </row>
        <row r="629">
          <cell r="D629">
            <v>256779417876</v>
          </cell>
          <cell r="E629">
            <v>45935</v>
          </cell>
          <cell r="F629" t="str">
            <v>USD</v>
          </cell>
          <cell r="G629" t="str">
            <v xml:space="preserve"> -   </v>
          </cell>
          <cell r="H629" t="str">
            <v xml:space="preserve"> -   </v>
          </cell>
          <cell r="I629">
            <v>-109.46</v>
          </cell>
          <cell r="J629" t="str">
            <v>C: ASCENDAS27 P: Matching</v>
          </cell>
          <cell r="K629">
            <v>45965</v>
          </cell>
        </row>
        <row r="630">
          <cell r="D630">
            <v>256779417877</v>
          </cell>
          <cell r="E630">
            <v>45935</v>
          </cell>
          <cell r="F630" t="str">
            <v>USD</v>
          </cell>
          <cell r="G630" t="str">
            <v xml:space="preserve"> -   </v>
          </cell>
          <cell r="H630" t="str">
            <v xml:space="preserve"> -   </v>
          </cell>
          <cell r="I630">
            <v>-60.2</v>
          </cell>
          <cell r="J630" t="str">
            <v>C: ASCENDAS27 P: Matching</v>
          </cell>
          <cell r="K630">
            <v>45965</v>
          </cell>
        </row>
        <row r="631">
          <cell r="D631">
            <v>256779411463</v>
          </cell>
          <cell r="E631">
            <v>45762</v>
          </cell>
          <cell r="F631" t="str">
            <v>USD</v>
          </cell>
          <cell r="G631" t="str">
            <v xml:space="preserve"> -   </v>
          </cell>
          <cell r="H631" t="str">
            <v xml:space="preserve"> -   </v>
          </cell>
          <cell r="I631">
            <v>-96.3</v>
          </cell>
          <cell r="J631" t="str">
            <v>C: ASCENDAS27 P: Matching</v>
          </cell>
          <cell r="K631">
            <v>45792</v>
          </cell>
        </row>
        <row r="632">
          <cell r="D632">
            <v>256779419165</v>
          </cell>
          <cell r="E632">
            <v>45966</v>
          </cell>
          <cell r="F632" t="str">
            <v>USD</v>
          </cell>
          <cell r="G632" t="str">
            <v xml:space="preserve"> -   </v>
          </cell>
          <cell r="H632" t="str">
            <v xml:space="preserve"> -   </v>
          </cell>
          <cell r="I632">
            <v>-307.55</v>
          </cell>
          <cell r="J632" t="str">
            <v>C: ASCENDAS27 P: Matching</v>
          </cell>
          <cell r="K632">
            <v>45996</v>
          </cell>
        </row>
        <row r="633">
          <cell r="D633">
            <v>256779419192</v>
          </cell>
          <cell r="E633">
            <v>45966</v>
          </cell>
          <cell r="F633" t="str">
            <v>USD</v>
          </cell>
          <cell r="G633" t="str">
            <v xml:space="preserve"> -   </v>
          </cell>
          <cell r="H633" t="str">
            <v xml:space="preserve"> -   </v>
          </cell>
          <cell r="I633">
            <v>-275.92</v>
          </cell>
          <cell r="J633" t="str">
            <v>C: ASCENDAS27 P: Matching</v>
          </cell>
          <cell r="K633">
            <v>45996</v>
          </cell>
        </row>
        <row r="634">
          <cell r="D634">
            <v>256779418777</v>
          </cell>
          <cell r="E634">
            <v>45966</v>
          </cell>
          <cell r="F634" t="str">
            <v>USD</v>
          </cell>
          <cell r="G634" t="str">
            <v xml:space="preserve"> -   </v>
          </cell>
          <cell r="H634" t="str">
            <v xml:space="preserve"> -   </v>
          </cell>
          <cell r="I634">
            <v>-3648.54</v>
          </cell>
          <cell r="J634" t="str">
            <v>C: ASCENDAS27 P: Matching</v>
          </cell>
          <cell r="K634">
            <v>45996</v>
          </cell>
        </row>
        <row r="635">
          <cell r="D635">
            <v>256779418779</v>
          </cell>
          <cell r="E635">
            <v>45966</v>
          </cell>
          <cell r="F635" t="str">
            <v>USD</v>
          </cell>
          <cell r="G635" t="str">
            <v xml:space="preserve"> -   </v>
          </cell>
          <cell r="H635" t="str">
            <v xml:space="preserve"> -   </v>
          </cell>
          <cell r="I635">
            <v>-80.27</v>
          </cell>
          <cell r="J635" t="str">
            <v>C: ASCENDAS27 P: Matching</v>
          </cell>
          <cell r="K635">
            <v>45996</v>
          </cell>
        </row>
        <row r="636">
          <cell r="D636">
            <v>256779419122</v>
          </cell>
          <cell r="E636">
            <v>45964</v>
          </cell>
          <cell r="F636" t="str">
            <v>USD</v>
          </cell>
          <cell r="G636" t="str">
            <v xml:space="preserve"> -   </v>
          </cell>
          <cell r="H636" t="str">
            <v xml:space="preserve"> -   </v>
          </cell>
          <cell r="I636">
            <v>-808.94</v>
          </cell>
          <cell r="J636" t="str">
            <v>C: ASCENDAS27 P: Matching</v>
          </cell>
          <cell r="K636">
            <v>45994</v>
          </cell>
        </row>
        <row r="637">
          <cell r="D637">
            <v>256779415332</v>
          </cell>
          <cell r="E637">
            <v>45848</v>
          </cell>
          <cell r="F637" t="str">
            <v>USD</v>
          </cell>
          <cell r="G637" t="str">
            <v xml:space="preserve"> -   </v>
          </cell>
          <cell r="H637" t="str">
            <v xml:space="preserve"> -   </v>
          </cell>
          <cell r="I637">
            <v>-3.47</v>
          </cell>
          <cell r="J637" t="str">
            <v>C: ASCENDAS27 P: Matching</v>
          </cell>
          <cell r="K637">
            <v>45878</v>
          </cell>
        </row>
        <row r="638">
          <cell r="D638">
            <v>256779415328</v>
          </cell>
          <cell r="E638">
            <v>45848</v>
          </cell>
          <cell r="F638" t="str">
            <v>USD</v>
          </cell>
          <cell r="G638" t="str">
            <v xml:space="preserve"> -   </v>
          </cell>
          <cell r="H638" t="str">
            <v xml:space="preserve"> -   </v>
          </cell>
          <cell r="I638">
            <v>-31.32</v>
          </cell>
          <cell r="J638" t="str">
            <v>C: ASCENDAS27 P: Matching</v>
          </cell>
          <cell r="K638">
            <v>45878</v>
          </cell>
        </row>
        <row r="639">
          <cell r="D639">
            <v>246779410665</v>
          </cell>
          <cell r="E639">
            <v>45720</v>
          </cell>
          <cell r="F639" t="str">
            <v>USD</v>
          </cell>
          <cell r="G639" t="str">
            <v xml:space="preserve"> -   </v>
          </cell>
          <cell r="H639" t="str">
            <v xml:space="preserve"> -   </v>
          </cell>
          <cell r="I639">
            <v>-9.8800000000000008</v>
          </cell>
          <cell r="J639" t="str">
            <v>C: ASCENDAS27 P: Matching</v>
          </cell>
          <cell r="K639">
            <v>45750</v>
          </cell>
        </row>
        <row r="640">
          <cell r="D640">
            <v>256779416909</v>
          </cell>
          <cell r="E640">
            <v>45934</v>
          </cell>
          <cell r="F640" t="str">
            <v>USD</v>
          </cell>
          <cell r="G640" t="str">
            <v xml:space="preserve"> -   </v>
          </cell>
          <cell r="H640" t="str">
            <v xml:space="preserve"> -   </v>
          </cell>
          <cell r="I640">
            <v>-1194.02</v>
          </cell>
          <cell r="J640" t="str">
            <v>C: ASCENDAS27 P: Matching</v>
          </cell>
          <cell r="K640">
            <v>45964</v>
          </cell>
        </row>
        <row r="641">
          <cell r="D641">
            <v>256779414741</v>
          </cell>
          <cell r="E641">
            <v>45827</v>
          </cell>
          <cell r="F641" t="str">
            <v>USD</v>
          </cell>
          <cell r="G641" t="str">
            <v xml:space="preserve"> -   </v>
          </cell>
          <cell r="H641" t="str">
            <v xml:space="preserve"> -   </v>
          </cell>
          <cell r="I641">
            <v>-2742.45</v>
          </cell>
          <cell r="J641" t="str">
            <v>C: ASCENDAS27 P: Matching</v>
          </cell>
          <cell r="K641">
            <v>45857</v>
          </cell>
        </row>
        <row r="642">
          <cell r="D642">
            <v>256779415769</v>
          </cell>
          <cell r="E642">
            <v>45857</v>
          </cell>
          <cell r="F642" t="str">
            <v>USD</v>
          </cell>
          <cell r="G642">
            <v>-234.91</v>
          </cell>
          <cell r="H642">
            <v>234.91</v>
          </cell>
          <cell r="I642">
            <v>-20199.8</v>
          </cell>
          <cell r="J642" t="str">
            <v>USD CURRENCY</v>
          </cell>
          <cell r="K642">
            <v>45887</v>
          </cell>
          <cell r="L642">
            <v>46053</v>
          </cell>
        </row>
        <row r="643">
          <cell r="D643">
            <v>256779415321</v>
          </cell>
          <cell r="E643">
            <v>45848</v>
          </cell>
          <cell r="F643" t="str">
            <v>USD</v>
          </cell>
          <cell r="G643">
            <v>-212.5</v>
          </cell>
          <cell r="H643">
            <v>4.25</v>
          </cell>
          <cell r="I643">
            <v>-18799.88</v>
          </cell>
          <cell r="K643">
            <v>45878</v>
          </cell>
          <cell r="L643">
            <v>46053</v>
          </cell>
        </row>
        <row r="644">
          <cell r="D644">
            <v>256779418006</v>
          </cell>
          <cell r="E644">
            <v>45936</v>
          </cell>
          <cell r="F644" t="str">
            <v>USD</v>
          </cell>
          <cell r="G644">
            <v>-4667.07</v>
          </cell>
          <cell r="H644">
            <v>4667.07</v>
          </cell>
          <cell r="I644">
            <v>-413780.08</v>
          </cell>
          <cell r="J644" t="str">
            <v>USD CURRENCY</v>
          </cell>
          <cell r="K644">
            <v>45966</v>
          </cell>
          <cell r="L644">
            <v>46053</v>
          </cell>
        </row>
        <row r="645">
          <cell r="D645">
            <v>256779418176</v>
          </cell>
          <cell r="E645">
            <v>45937</v>
          </cell>
          <cell r="F645" t="str">
            <v>USD</v>
          </cell>
          <cell r="G645">
            <v>-639.04999999999995</v>
          </cell>
          <cell r="H645">
            <v>639.04999999999995</v>
          </cell>
          <cell r="I645">
            <v>-56657.85</v>
          </cell>
          <cell r="J645" t="str">
            <v>USD CURRENCY</v>
          </cell>
          <cell r="K645">
            <v>45967</v>
          </cell>
          <cell r="L645">
            <v>46053</v>
          </cell>
        </row>
        <row r="646">
          <cell r="D646">
            <v>256779418778</v>
          </cell>
          <cell r="E646">
            <v>45966</v>
          </cell>
          <cell r="F646" t="str">
            <v>USD</v>
          </cell>
          <cell r="G646">
            <v>-90.91</v>
          </cell>
          <cell r="H646">
            <v>1.82</v>
          </cell>
          <cell r="I646">
            <v>-8023.04</v>
          </cell>
          <cell r="J646" t="str">
            <v>USD CURRENCY</v>
          </cell>
          <cell r="K646">
            <v>45996</v>
          </cell>
          <cell r="L646">
            <v>46053</v>
          </cell>
        </row>
        <row r="647">
          <cell r="D647">
            <v>256779418892</v>
          </cell>
          <cell r="E647">
            <v>45966</v>
          </cell>
          <cell r="F647" t="str">
            <v>USD</v>
          </cell>
          <cell r="G647">
            <v>-1683.97</v>
          </cell>
          <cell r="H647">
            <v>1683.97</v>
          </cell>
          <cell r="I647">
            <v>-148614.68</v>
          </cell>
          <cell r="J647" t="str">
            <v>USD CURRENCY</v>
          </cell>
          <cell r="K647">
            <v>45996</v>
          </cell>
          <cell r="L647">
            <v>46053</v>
          </cell>
        </row>
        <row r="648">
          <cell r="D648">
            <v>256779419531</v>
          </cell>
          <cell r="E648">
            <v>45981</v>
          </cell>
          <cell r="F648" t="str">
            <v>USD</v>
          </cell>
          <cell r="G648">
            <v>-417.77</v>
          </cell>
          <cell r="H648">
            <v>417.77</v>
          </cell>
          <cell r="I648">
            <v>-36869.279999999999</v>
          </cell>
          <cell r="J648" t="str">
            <v>USD CURRENCY</v>
          </cell>
          <cell r="K648">
            <v>46011</v>
          </cell>
          <cell r="L648">
            <v>46053</v>
          </cell>
        </row>
        <row r="649">
          <cell r="D649">
            <v>256779419620</v>
          </cell>
          <cell r="E649">
            <v>45981</v>
          </cell>
          <cell r="F649" t="str">
            <v>USD</v>
          </cell>
          <cell r="G649">
            <v>-102.39</v>
          </cell>
          <cell r="H649">
            <v>102.39</v>
          </cell>
          <cell r="I649">
            <v>-9036.18</v>
          </cell>
          <cell r="J649" t="str">
            <v>USD CURRENCY</v>
          </cell>
          <cell r="K649">
            <v>46011</v>
          </cell>
          <cell r="L649">
            <v>46053</v>
          </cell>
        </row>
        <row r="650">
          <cell r="D650">
            <v>256779414358</v>
          </cell>
          <cell r="E650">
            <v>45818</v>
          </cell>
          <cell r="F650" t="str">
            <v>USD</v>
          </cell>
          <cell r="G650">
            <v>-2339.4299999999998</v>
          </cell>
          <cell r="H650">
            <v>46.79</v>
          </cell>
          <cell r="I650">
            <v>-199001.51</v>
          </cell>
          <cell r="J650" t="str">
            <v>SUPPLIER GSTIN NOT FOUND</v>
          </cell>
          <cell r="K650">
            <v>45848</v>
          </cell>
          <cell r="L650">
            <v>46053</v>
          </cell>
        </row>
        <row r="651">
          <cell r="D651">
            <v>256779414359</v>
          </cell>
          <cell r="E651">
            <v>45818</v>
          </cell>
          <cell r="F651" t="str">
            <v>USD</v>
          </cell>
          <cell r="G651">
            <v>-93.58</v>
          </cell>
          <cell r="H651">
            <v>1.87</v>
          </cell>
          <cell r="I651">
            <v>-7960.3</v>
          </cell>
          <cell r="K651">
            <v>45848</v>
          </cell>
          <cell r="L651">
            <v>46053</v>
          </cell>
        </row>
        <row r="652">
          <cell r="D652">
            <v>256779414918</v>
          </cell>
          <cell r="E652">
            <v>45842</v>
          </cell>
          <cell r="F652" t="str">
            <v>USD</v>
          </cell>
          <cell r="G652">
            <v>-51.16</v>
          </cell>
          <cell r="H652">
            <v>1.02</v>
          </cell>
          <cell r="I652">
            <v>-4399.22</v>
          </cell>
          <cell r="K652">
            <v>45872</v>
          </cell>
          <cell r="L652">
            <v>46053</v>
          </cell>
        </row>
        <row r="653">
          <cell r="D653">
            <v>256779414917</v>
          </cell>
          <cell r="E653">
            <v>45842</v>
          </cell>
          <cell r="F653" t="str">
            <v>USD</v>
          </cell>
          <cell r="G653">
            <v>-93.02</v>
          </cell>
          <cell r="H653">
            <v>1.86</v>
          </cell>
          <cell r="I653">
            <v>-7998.74</v>
          </cell>
          <cell r="J653" t="str">
            <v>GSTIN NOT FOUND</v>
          </cell>
          <cell r="K653">
            <v>45872</v>
          </cell>
          <cell r="L653">
            <v>46053</v>
          </cell>
        </row>
        <row r="654">
          <cell r="D654">
            <v>256779414360</v>
          </cell>
          <cell r="E654">
            <v>45818</v>
          </cell>
          <cell r="F654" t="str">
            <v>USD</v>
          </cell>
          <cell r="G654">
            <v>-51.47</v>
          </cell>
          <cell r="H654">
            <v>1.03</v>
          </cell>
          <cell r="I654">
            <v>-4378.25</v>
          </cell>
          <cell r="J654" t="str">
            <v>SUPPLIER GSTIN NOT FOUND</v>
          </cell>
          <cell r="K654">
            <v>45848</v>
          </cell>
          <cell r="L654">
            <v>46053</v>
          </cell>
        </row>
        <row r="655">
          <cell r="D655">
            <v>256779414916</v>
          </cell>
          <cell r="E655">
            <v>45842</v>
          </cell>
          <cell r="F655" t="str">
            <v>USD</v>
          </cell>
          <cell r="G655">
            <v>-2325.56</v>
          </cell>
          <cell r="H655">
            <v>46.51</v>
          </cell>
          <cell r="I655">
            <v>-199973.77</v>
          </cell>
          <cell r="J655" t="str">
            <v>GSTIN NOT FOUND</v>
          </cell>
          <cell r="K655">
            <v>45872</v>
          </cell>
          <cell r="L655">
            <v>46053</v>
          </cell>
        </row>
        <row r="656">
          <cell r="D656">
            <v>256779418904</v>
          </cell>
          <cell r="E656">
            <v>45966</v>
          </cell>
          <cell r="F656" t="str">
            <v>USD</v>
          </cell>
          <cell r="G656">
            <v>-1273.92</v>
          </cell>
          <cell r="H656">
            <v>1273.92</v>
          </cell>
          <cell r="I656">
            <v>-112426.72</v>
          </cell>
          <cell r="J656" t="str">
            <v>USD CURRENCY</v>
          </cell>
          <cell r="K656">
            <v>45996</v>
          </cell>
          <cell r="L656">
            <v>46053</v>
          </cell>
        </row>
        <row r="657">
          <cell r="D657">
            <v>256779419995</v>
          </cell>
          <cell r="E657">
            <v>46000</v>
          </cell>
          <cell r="F657" t="str">
            <v>USD</v>
          </cell>
          <cell r="G657">
            <v>-187.19</v>
          </cell>
          <cell r="H657">
            <v>3.74</v>
          </cell>
          <cell r="I657">
            <v>-16688.88</v>
          </cell>
          <cell r="K657">
            <v>46030</v>
          </cell>
          <cell r="L657">
            <v>46053</v>
          </cell>
        </row>
        <row r="658">
          <cell r="D658">
            <v>256779419858</v>
          </cell>
          <cell r="E658">
            <v>45999</v>
          </cell>
          <cell r="F658" t="str">
            <v>USD</v>
          </cell>
          <cell r="G658">
            <v>-147.37</v>
          </cell>
          <cell r="H658">
            <v>2.95</v>
          </cell>
          <cell r="I658">
            <v>-13138.74</v>
          </cell>
          <cell r="J658" t="str">
            <v>USD CURRENCY</v>
          </cell>
          <cell r="K658">
            <v>46029</v>
          </cell>
          <cell r="L658">
            <v>46053</v>
          </cell>
        </row>
        <row r="659">
          <cell r="D659">
            <v>256779419908</v>
          </cell>
          <cell r="E659">
            <v>45996</v>
          </cell>
          <cell r="F659" t="str">
            <v>USD</v>
          </cell>
          <cell r="G659">
            <v>-375.94</v>
          </cell>
          <cell r="H659">
            <v>7.52</v>
          </cell>
          <cell r="I659">
            <v>-33516.85</v>
          </cell>
          <cell r="J659" t="str">
            <v>USD CURRENCY</v>
          </cell>
          <cell r="K659">
            <v>46026</v>
          </cell>
          <cell r="L659">
            <v>46053</v>
          </cell>
        </row>
        <row r="660">
          <cell r="D660">
            <v>256779418474</v>
          </cell>
          <cell r="E660">
            <v>45951</v>
          </cell>
          <cell r="F660" t="str">
            <v>USD</v>
          </cell>
          <cell r="G660">
            <v>-562.38</v>
          </cell>
          <cell r="H660">
            <v>11.25</v>
          </cell>
          <cell r="I660">
            <v>-49860.33</v>
          </cell>
          <cell r="J660" t="str">
            <v>USD CURRENCY</v>
          </cell>
          <cell r="K660">
            <v>45981</v>
          </cell>
          <cell r="L660">
            <v>46053</v>
          </cell>
        </row>
        <row r="661">
          <cell r="D661">
            <v>256779416869</v>
          </cell>
          <cell r="E661">
            <v>45889</v>
          </cell>
          <cell r="F661" t="str">
            <v>USD</v>
          </cell>
          <cell r="G661">
            <v>-115.98</v>
          </cell>
          <cell r="H661">
            <v>2.3199999999999998</v>
          </cell>
          <cell r="I661">
            <v>-10047.450000000001</v>
          </cell>
          <cell r="J661" t="str">
            <v>USD CURRENCY</v>
          </cell>
          <cell r="K661">
            <v>45919</v>
          </cell>
          <cell r="L661">
            <v>46053</v>
          </cell>
        </row>
        <row r="662">
          <cell r="D662">
            <v>256779419971</v>
          </cell>
          <cell r="E662">
            <v>45995</v>
          </cell>
          <cell r="F662" t="str">
            <v>USD</v>
          </cell>
          <cell r="G662">
            <v>-90.19</v>
          </cell>
          <cell r="H662">
            <v>1.8</v>
          </cell>
          <cell r="I662">
            <v>-8040.87</v>
          </cell>
          <cell r="J662" t="str">
            <v>USD CUURENCY</v>
          </cell>
          <cell r="K662">
            <v>46025</v>
          </cell>
          <cell r="L662">
            <v>46053</v>
          </cell>
        </row>
        <row r="663">
          <cell r="D663">
            <v>256779416838</v>
          </cell>
          <cell r="E663">
            <v>45889</v>
          </cell>
          <cell r="F663" t="str">
            <v>USD</v>
          </cell>
          <cell r="G663">
            <v>-685.03</v>
          </cell>
          <cell r="H663">
            <v>13.7</v>
          </cell>
          <cell r="I663">
            <v>-59344.77</v>
          </cell>
          <cell r="J663" t="str">
            <v>USD CURRENCY</v>
          </cell>
          <cell r="K663">
            <v>45919</v>
          </cell>
          <cell r="L663">
            <v>46053</v>
          </cell>
        </row>
        <row r="664">
          <cell r="D664">
            <v>256779418653</v>
          </cell>
          <cell r="E664">
            <v>45950</v>
          </cell>
          <cell r="F664" t="str">
            <v>USD</v>
          </cell>
          <cell r="G664">
            <v>-170.68</v>
          </cell>
          <cell r="H664">
            <v>3.41</v>
          </cell>
          <cell r="I664">
            <v>-15132.4</v>
          </cell>
          <cell r="J664" t="str">
            <v>USD CURRENCY</v>
          </cell>
          <cell r="K664">
            <v>45980</v>
          </cell>
          <cell r="L664">
            <v>46053</v>
          </cell>
        </row>
        <row r="665">
          <cell r="D665">
            <v>256779419808</v>
          </cell>
          <cell r="E665">
            <v>45996</v>
          </cell>
          <cell r="F665" t="str">
            <v>USD</v>
          </cell>
          <cell r="G665">
            <v>-27.95</v>
          </cell>
          <cell r="H665">
            <v>0.56000000000000005</v>
          </cell>
          <cell r="I665">
            <v>-2491.88</v>
          </cell>
          <cell r="K665">
            <v>46026</v>
          </cell>
          <cell r="L665">
            <v>46053</v>
          </cell>
        </row>
        <row r="666">
          <cell r="D666">
            <v>256779419972</v>
          </cell>
          <cell r="E666">
            <v>45995</v>
          </cell>
          <cell r="F666" t="str">
            <v>USD</v>
          </cell>
          <cell r="G666">
            <v>-49.61</v>
          </cell>
          <cell r="H666">
            <v>0.99</v>
          </cell>
          <cell r="I666">
            <v>-4422.97</v>
          </cell>
          <cell r="K666">
            <v>46025</v>
          </cell>
          <cell r="L666">
            <v>46053</v>
          </cell>
        </row>
        <row r="667">
          <cell r="D667">
            <v>256779419983</v>
          </cell>
          <cell r="E667">
            <v>45997</v>
          </cell>
          <cell r="F667" t="str">
            <v>USD</v>
          </cell>
          <cell r="G667">
            <v>-55.63</v>
          </cell>
          <cell r="H667">
            <v>1.1100000000000001</v>
          </cell>
          <cell r="I667">
            <v>-4959.68</v>
          </cell>
          <cell r="J667" t="str">
            <v>USD CURRENCY</v>
          </cell>
          <cell r="K667">
            <v>46027</v>
          </cell>
          <cell r="L667">
            <v>46053</v>
          </cell>
        </row>
        <row r="668">
          <cell r="D668">
            <v>256779419970</v>
          </cell>
          <cell r="E668">
            <v>45995</v>
          </cell>
          <cell r="F668" t="str">
            <v>USD</v>
          </cell>
          <cell r="G668">
            <v>-2254.79</v>
          </cell>
          <cell r="H668">
            <v>45.1</v>
          </cell>
          <cell r="I668">
            <v>-201025.31</v>
          </cell>
          <cell r="J668" t="str">
            <v>USD CURRENCY</v>
          </cell>
          <cell r="K668">
            <v>46025</v>
          </cell>
          <cell r="L668">
            <v>46053</v>
          </cell>
        </row>
        <row r="669">
          <cell r="D669" t="str">
            <v>256779417580_D</v>
          </cell>
          <cell r="E669">
            <v>45918</v>
          </cell>
          <cell r="F669" t="str">
            <v>USD</v>
          </cell>
          <cell r="G669">
            <v>-184.38</v>
          </cell>
          <cell r="H669">
            <v>3.69</v>
          </cell>
          <cell r="I669">
            <v>-16161.26</v>
          </cell>
          <cell r="J669" t="str">
            <v>gst correction</v>
          </cell>
          <cell r="K669">
            <v>45948</v>
          </cell>
          <cell r="L669">
            <v>46053</v>
          </cell>
        </row>
        <row r="670">
          <cell r="D670">
            <v>2829968</v>
          </cell>
          <cell r="E670">
            <v>46052</v>
          </cell>
          <cell r="F670" t="str">
            <v>INR</v>
          </cell>
          <cell r="G670" t="str">
            <v xml:space="preserve"> -   </v>
          </cell>
          <cell r="H670" t="str">
            <v xml:space="preserve"> -   </v>
          </cell>
          <cell r="I670">
            <v>1869680.81</v>
          </cell>
          <cell r="J670" t="str">
            <v>Outwards remit C-A023951 USD 20,799.48@1</v>
          </cell>
          <cell r="K670">
            <v>46052</v>
          </cell>
          <cell r="L670">
            <v>46053</v>
          </cell>
        </row>
        <row r="671">
          <cell r="D671">
            <v>2830735</v>
          </cell>
          <cell r="E671">
            <v>46053</v>
          </cell>
          <cell r="F671" t="str">
            <v>INR</v>
          </cell>
          <cell r="G671" t="str">
            <v xml:space="preserve"> -   </v>
          </cell>
          <cell r="H671" t="str">
            <v xml:space="preserve"> -   </v>
          </cell>
          <cell r="I671">
            <v>-7756</v>
          </cell>
          <cell r="J671" t="str">
            <v>Exchange rate diference for JUN'25  USD 20175.95</v>
          </cell>
          <cell r="K671">
            <v>46083</v>
          </cell>
          <cell r="L671">
            <v>46053</v>
          </cell>
        </row>
        <row r="672">
          <cell r="D672">
            <v>2830736</v>
          </cell>
          <cell r="E672">
            <v>46053</v>
          </cell>
          <cell r="F672" t="str">
            <v>INR</v>
          </cell>
          <cell r="G672" t="str">
            <v xml:space="preserve"> -   </v>
          </cell>
          <cell r="H672" t="str">
            <v xml:space="preserve"> -   </v>
          </cell>
          <cell r="I672">
            <v>-15004</v>
          </cell>
          <cell r="J672" t="str">
            <v>Exchange rate diference for JUL'25  USD 27632.46</v>
          </cell>
          <cell r="K672">
            <v>46083</v>
          </cell>
          <cell r="L672">
            <v>46053</v>
          </cell>
        </row>
        <row r="673">
          <cell r="D673">
            <v>2830737</v>
          </cell>
          <cell r="E673">
            <v>46053</v>
          </cell>
          <cell r="F673" t="str">
            <v>INR</v>
          </cell>
          <cell r="G673" t="str">
            <v xml:space="preserve"> -   </v>
          </cell>
          <cell r="H673" t="str">
            <v xml:space="preserve"> -   </v>
          </cell>
          <cell r="I673">
            <v>8452</v>
          </cell>
          <cell r="J673" t="str">
            <v>Exchange rate diference for OCT'25  USD 19499.67</v>
          </cell>
          <cell r="K673">
            <v>46053</v>
          </cell>
          <cell r="L673">
            <v>46053</v>
          </cell>
        </row>
        <row r="674">
          <cell r="D674">
            <v>2830738</v>
          </cell>
          <cell r="E674">
            <v>46053</v>
          </cell>
          <cell r="F674" t="str">
            <v>INR</v>
          </cell>
          <cell r="G674" t="str">
            <v xml:space="preserve"> -   </v>
          </cell>
          <cell r="H674" t="str">
            <v xml:space="preserve"> -   </v>
          </cell>
          <cell r="I674">
            <v>-17437</v>
          </cell>
          <cell r="J674" t="str">
            <v>Exchange rate diference for NOV'25  USD 21525.94</v>
          </cell>
          <cell r="K674">
            <v>46083</v>
          </cell>
          <cell r="L674">
            <v>46053</v>
          </cell>
        </row>
        <row r="675">
          <cell r="D675">
            <v>2830739</v>
          </cell>
          <cell r="E675">
            <v>46053</v>
          </cell>
          <cell r="F675" t="str">
            <v>INR</v>
          </cell>
          <cell r="G675" t="str">
            <v xml:space="preserve"> -   </v>
          </cell>
          <cell r="H675" t="str">
            <v xml:space="preserve"> -   </v>
          </cell>
          <cell r="I675">
            <v>-5206</v>
          </cell>
          <cell r="J675" t="str">
            <v>Exchange rate diference for DEC'25  USD 8027.22</v>
          </cell>
          <cell r="K675">
            <v>46083</v>
          </cell>
          <cell r="L675">
            <v>46053</v>
          </cell>
        </row>
        <row r="676">
          <cell r="D676">
            <v>256779411867</v>
          </cell>
          <cell r="E676">
            <v>45763</v>
          </cell>
          <cell r="F676" t="str">
            <v>USD</v>
          </cell>
          <cell r="G676" t="str">
            <v xml:space="preserve"> -   </v>
          </cell>
          <cell r="H676" t="str">
            <v xml:space="preserve"> -   </v>
          </cell>
          <cell r="I676">
            <v>-503.02</v>
          </cell>
          <cell r="J676" t="str">
            <v>C: ASCENDAS27 P: Matching</v>
          </cell>
          <cell r="K676">
            <v>45793</v>
          </cell>
        </row>
        <row r="677">
          <cell r="D677">
            <v>256779415303</v>
          </cell>
          <cell r="E677">
            <v>45848</v>
          </cell>
          <cell r="F677" t="str">
            <v>USD</v>
          </cell>
          <cell r="G677" t="str">
            <v xml:space="preserve"> -   </v>
          </cell>
          <cell r="H677" t="str">
            <v xml:space="preserve"> -   </v>
          </cell>
          <cell r="I677">
            <v>-170.52</v>
          </cell>
          <cell r="J677" t="str">
            <v>C: ASCENDAS27 P: Matching</v>
          </cell>
          <cell r="K677">
            <v>45878</v>
          </cell>
        </row>
        <row r="678">
          <cell r="D678">
            <v>256779415304</v>
          </cell>
          <cell r="E678">
            <v>45848</v>
          </cell>
          <cell r="F678" t="str">
            <v>USD</v>
          </cell>
          <cell r="G678" t="str">
            <v xml:space="preserve"> -   </v>
          </cell>
          <cell r="H678" t="str">
            <v xml:space="preserve"> -   </v>
          </cell>
          <cell r="I678">
            <v>-51.15</v>
          </cell>
          <cell r="J678" t="str">
            <v>C: ASCENDAS27 P: Matching</v>
          </cell>
          <cell r="K678">
            <v>45878</v>
          </cell>
        </row>
        <row r="679">
          <cell r="D679">
            <v>256779415385</v>
          </cell>
          <cell r="E679">
            <v>45848</v>
          </cell>
          <cell r="F679" t="str">
            <v>USD</v>
          </cell>
          <cell r="G679" t="str">
            <v xml:space="preserve"> -   </v>
          </cell>
          <cell r="H679" t="str">
            <v xml:space="preserve"> -   </v>
          </cell>
          <cell r="I679">
            <v>-0.83</v>
          </cell>
          <cell r="J679" t="str">
            <v>C: ASCENDAS27 P: Matching</v>
          </cell>
          <cell r="K679">
            <v>45878</v>
          </cell>
        </row>
        <row r="680">
          <cell r="D680">
            <v>256779415293</v>
          </cell>
          <cell r="E680">
            <v>45848</v>
          </cell>
          <cell r="F680" t="str">
            <v>USD</v>
          </cell>
          <cell r="G680" t="str">
            <v xml:space="preserve"> -   </v>
          </cell>
          <cell r="H680" t="str">
            <v xml:space="preserve"> -   </v>
          </cell>
          <cell r="I680">
            <v>-0.83</v>
          </cell>
          <cell r="J680" t="str">
            <v>C: ASCENDAS27 P: Matching</v>
          </cell>
          <cell r="K680">
            <v>45878</v>
          </cell>
        </row>
        <row r="681">
          <cell r="D681">
            <v>256779415374</v>
          </cell>
          <cell r="E681">
            <v>45848</v>
          </cell>
          <cell r="F681" t="str">
            <v>USD</v>
          </cell>
          <cell r="G681" t="str">
            <v xml:space="preserve"> -   </v>
          </cell>
          <cell r="H681" t="str">
            <v xml:space="preserve"> -   </v>
          </cell>
          <cell r="I681">
            <v>-16.34</v>
          </cell>
          <cell r="J681" t="str">
            <v>C: ASCENDAS27 P: Matching</v>
          </cell>
          <cell r="K681">
            <v>45878</v>
          </cell>
        </row>
        <row r="682">
          <cell r="D682">
            <v>256779415339</v>
          </cell>
          <cell r="E682">
            <v>45848</v>
          </cell>
          <cell r="F682" t="str">
            <v>USD</v>
          </cell>
          <cell r="G682" t="str">
            <v xml:space="preserve"> -   </v>
          </cell>
          <cell r="H682" t="str">
            <v xml:space="preserve"> -   </v>
          </cell>
          <cell r="I682">
            <v>-46.7</v>
          </cell>
          <cell r="J682" t="str">
            <v>C: ASCENDAS27 P: Matching</v>
          </cell>
          <cell r="K682">
            <v>45878</v>
          </cell>
        </row>
        <row r="683">
          <cell r="D683">
            <v>256779411467</v>
          </cell>
          <cell r="E683">
            <v>45762</v>
          </cell>
          <cell r="F683" t="str">
            <v>USD</v>
          </cell>
          <cell r="G683" t="str">
            <v xml:space="preserve"> -   </v>
          </cell>
          <cell r="H683" t="str">
            <v xml:space="preserve"> -   </v>
          </cell>
          <cell r="I683">
            <v>-60.36</v>
          </cell>
          <cell r="J683" t="str">
            <v>C: ASCENDAS27 P: Matching</v>
          </cell>
          <cell r="K683">
            <v>45792</v>
          </cell>
        </row>
        <row r="684">
          <cell r="D684">
            <v>256779415308</v>
          </cell>
          <cell r="E684">
            <v>45848</v>
          </cell>
          <cell r="F684" t="str">
            <v>USD</v>
          </cell>
          <cell r="G684" t="str">
            <v xml:space="preserve"> -   </v>
          </cell>
          <cell r="H684" t="str">
            <v xml:space="preserve"> -   </v>
          </cell>
          <cell r="I684">
            <v>-51.15</v>
          </cell>
          <cell r="J684" t="str">
            <v>C: ASCENDAS27 P: Matching</v>
          </cell>
          <cell r="K684">
            <v>45878</v>
          </cell>
        </row>
        <row r="685">
          <cell r="D685">
            <v>256779415305</v>
          </cell>
          <cell r="E685">
            <v>45848</v>
          </cell>
          <cell r="F685" t="str">
            <v>USD</v>
          </cell>
          <cell r="G685" t="str">
            <v xml:space="preserve"> -   </v>
          </cell>
          <cell r="H685" t="str">
            <v xml:space="preserve"> -   </v>
          </cell>
          <cell r="I685">
            <v>-51.15</v>
          </cell>
          <cell r="J685" t="str">
            <v>C: ASCENDAS27 P: Matching</v>
          </cell>
          <cell r="K685">
            <v>45878</v>
          </cell>
        </row>
        <row r="686">
          <cell r="D686">
            <v>256779415306</v>
          </cell>
          <cell r="E686">
            <v>45848</v>
          </cell>
          <cell r="F686" t="str">
            <v>USD</v>
          </cell>
          <cell r="G686" t="str">
            <v xml:space="preserve"> -   </v>
          </cell>
          <cell r="H686" t="str">
            <v xml:space="preserve"> -   </v>
          </cell>
          <cell r="I686">
            <v>-51.15</v>
          </cell>
          <cell r="J686" t="str">
            <v>C: ASCENDAS27 P: Matching</v>
          </cell>
          <cell r="K686">
            <v>45878</v>
          </cell>
        </row>
        <row r="687">
          <cell r="D687">
            <v>256779415307</v>
          </cell>
          <cell r="E687">
            <v>45848</v>
          </cell>
          <cell r="F687" t="str">
            <v>USD</v>
          </cell>
          <cell r="G687" t="str">
            <v xml:space="preserve"> -   </v>
          </cell>
          <cell r="H687" t="str">
            <v xml:space="preserve"> -   </v>
          </cell>
          <cell r="I687">
            <v>-51.15</v>
          </cell>
          <cell r="J687" t="str">
            <v>C: ASCENDAS27 P: Matching</v>
          </cell>
          <cell r="K687">
            <v>45878</v>
          </cell>
        </row>
        <row r="688">
          <cell r="D688">
            <v>256779415291</v>
          </cell>
          <cell r="E688">
            <v>45848</v>
          </cell>
          <cell r="F688" t="str">
            <v>USD</v>
          </cell>
          <cell r="G688" t="str">
            <v xml:space="preserve"> -   </v>
          </cell>
          <cell r="H688" t="str">
            <v xml:space="preserve"> -   </v>
          </cell>
          <cell r="I688">
            <v>-0.83</v>
          </cell>
          <cell r="J688" t="str">
            <v>C: ASCENDAS27 P: Matching</v>
          </cell>
          <cell r="K688">
            <v>45878</v>
          </cell>
        </row>
        <row r="689">
          <cell r="D689">
            <v>256779415012</v>
          </cell>
          <cell r="E689">
            <v>45842</v>
          </cell>
          <cell r="F689" t="str">
            <v>USD</v>
          </cell>
          <cell r="G689" t="str">
            <v xml:space="preserve"> -   </v>
          </cell>
          <cell r="H689" t="str">
            <v xml:space="preserve"> -   </v>
          </cell>
          <cell r="I689">
            <v>-313.75</v>
          </cell>
          <cell r="J689" t="str">
            <v>C: ASCENDAS27 P: Matching</v>
          </cell>
          <cell r="K689">
            <v>45872</v>
          </cell>
        </row>
        <row r="690">
          <cell r="D690">
            <v>256779415261</v>
          </cell>
          <cell r="E690">
            <v>45842</v>
          </cell>
          <cell r="F690" t="str">
            <v>USD</v>
          </cell>
          <cell r="G690" t="str">
            <v xml:space="preserve"> -   </v>
          </cell>
          <cell r="H690" t="str">
            <v xml:space="preserve"> -   </v>
          </cell>
          <cell r="I690">
            <v>-498.35</v>
          </cell>
          <cell r="J690" t="str">
            <v>C: ASCENDAS27 P: Matching</v>
          </cell>
          <cell r="K690">
            <v>45872</v>
          </cell>
        </row>
        <row r="691">
          <cell r="D691">
            <v>256779416255</v>
          </cell>
          <cell r="E691">
            <v>45877</v>
          </cell>
          <cell r="F691" t="str">
            <v>USD</v>
          </cell>
          <cell r="G691" t="str">
            <v xml:space="preserve"> -   </v>
          </cell>
          <cell r="H691" t="str">
            <v xml:space="preserve"> -   </v>
          </cell>
          <cell r="I691">
            <v>-668.43</v>
          </cell>
          <cell r="J691" t="str">
            <v>C: ASCENDAS27 P: Matching</v>
          </cell>
          <cell r="K691">
            <v>45907</v>
          </cell>
        </row>
        <row r="692">
          <cell r="D692">
            <v>256779416169</v>
          </cell>
          <cell r="E692">
            <v>45877</v>
          </cell>
          <cell r="F692" t="str">
            <v>USD</v>
          </cell>
          <cell r="G692" t="str">
            <v xml:space="preserve"> -   </v>
          </cell>
          <cell r="H692" t="str">
            <v xml:space="preserve"> -   </v>
          </cell>
          <cell r="I692">
            <v>-438.24</v>
          </cell>
          <cell r="J692" t="str">
            <v>C: ASCENDAS27 P: Matching</v>
          </cell>
          <cell r="K692">
            <v>45907</v>
          </cell>
        </row>
        <row r="693">
          <cell r="D693">
            <v>256779416442</v>
          </cell>
          <cell r="E693">
            <v>45877</v>
          </cell>
          <cell r="F693" t="str">
            <v>USD</v>
          </cell>
          <cell r="G693" t="str">
            <v xml:space="preserve"> -   </v>
          </cell>
          <cell r="H693" t="str">
            <v xml:space="preserve"> -   </v>
          </cell>
          <cell r="I693">
            <v>-1795.56</v>
          </cell>
          <cell r="J693" t="str">
            <v>C: ASCENDAS27 P: Matching</v>
          </cell>
          <cell r="K693">
            <v>45907</v>
          </cell>
        </row>
        <row r="694">
          <cell r="D694">
            <v>256779416214</v>
          </cell>
          <cell r="E694">
            <v>45877</v>
          </cell>
          <cell r="F694" t="str">
            <v>USD</v>
          </cell>
          <cell r="G694" t="str">
            <v xml:space="preserve"> -   </v>
          </cell>
          <cell r="H694" t="str">
            <v xml:space="preserve"> -   </v>
          </cell>
          <cell r="I694">
            <v>-361.5</v>
          </cell>
          <cell r="J694" t="str">
            <v>C: ASCENDAS27 P: Matching</v>
          </cell>
          <cell r="K694">
            <v>45907</v>
          </cell>
        </row>
        <row r="695">
          <cell r="D695">
            <v>256779416454</v>
          </cell>
          <cell r="E695">
            <v>45877</v>
          </cell>
          <cell r="F695" t="str">
            <v>USD</v>
          </cell>
          <cell r="G695" t="str">
            <v xml:space="preserve"> -   </v>
          </cell>
          <cell r="H695" t="str">
            <v xml:space="preserve"> -   </v>
          </cell>
          <cell r="I695">
            <v>-700.83</v>
          </cell>
          <cell r="J695" t="str">
            <v>C: ASCENDAS27 P: Matching</v>
          </cell>
          <cell r="K695">
            <v>45907</v>
          </cell>
        </row>
        <row r="696">
          <cell r="D696">
            <v>256779417350</v>
          </cell>
          <cell r="E696">
            <v>45904</v>
          </cell>
          <cell r="F696" t="str">
            <v>USD</v>
          </cell>
          <cell r="G696" t="str">
            <v xml:space="preserve"> -   </v>
          </cell>
          <cell r="H696" t="str">
            <v xml:space="preserve"> -   </v>
          </cell>
          <cell r="I696">
            <v>-85.26</v>
          </cell>
          <cell r="J696" t="str">
            <v>C: ASCENDAS27 P: Matching</v>
          </cell>
          <cell r="K696">
            <v>45934</v>
          </cell>
        </row>
        <row r="697">
          <cell r="D697">
            <v>256779416137</v>
          </cell>
          <cell r="E697">
            <v>45877</v>
          </cell>
          <cell r="F697" t="str">
            <v>USD</v>
          </cell>
          <cell r="G697" t="str">
            <v xml:space="preserve"> -   </v>
          </cell>
          <cell r="H697" t="str">
            <v xml:space="preserve"> -   </v>
          </cell>
          <cell r="I697">
            <v>-93.79</v>
          </cell>
          <cell r="J697" t="str">
            <v>C: ASCENDAS27 P: Matching</v>
          </cell>
          <cell r="K697">
            <v>45907</v>
          </cell>
        </row>
        <row r="698">
          <cell r="D698">
            <v>256779411466</v>
          </cell>
          <cell r="E698">
            <v>45762</v>
          </cell>
          <cell r="F698" t="str">
            <v>USD</v>
          </cell>
          <cell r="G698" t="str">
            <v xml:space="preserve"> -   </v>
          </cell>
          <cell r="H698" t="str">
            <v xml:space="preserve"> -   </v>
          </cell>
          <cell r="I698">
            <v>-60.36</v>
          </cell>
          <cell r="J698" t="str">
            <v>C: ASCENDAS27 P: Matching</v>
          </cell>
          <cell r="K698">
            <v>45792</v>
          </cell>
        </row>
        <row r="699">
          <cell r="D699">
            <v>256779411465</v>
          </cell>
          <cell r="E699">
            <v>45762</v>
          </cell>
          <cell r="F699" t="str">
            <v>USD</v>
          </cell>
          <cell r="G699" t="str">
            <v xml:space="preserve"> -   </v>
          </cell>
          <cell r="H699" t="str">
            <v xml:space="preserve"> -   </v>
          </cell>
          <cell r="I699">
            <v>-55.33</v>
          </cell>
          <cell r="J699" t="str">
            <v>C: ASCENDAS27 P: Matching</v>
          </cell>
          <cell r="K699">
            <v>45792</v>
          </cell>
        </row>
        <row r="700">
          <cell r="D700">
            <v>256779411463</v>
          </cell>
          <cell r="E700">
            <v>45762</v>
          </cell>
          <cell r="F700" t="str">
            <v>USD</v>
          </cell>
          <cell r="G700" t="str">
            <v xml:space="preserve"> -   </v>
          </cell>
          <cell r="H700" t="str">
            <v xml:space="preserve"> -   </v>
          </cell>
          <cell r="I700">
            <v>-40.25</v>
          </cell>
          <cell r="J700" t="str">
            <v>C: ASCENDAS27 P: Matching</v>
          </cell>
          <cell r="K700">
            <v>45792</v>
          </cell>
        </row>
        <row r="701">
          <cell r="D701">
            <v>246779410665</v>
          </cell>
          <cell r="E701">
            <v>45720</v>
          </cell>
          <cell r="F701" t="str">
            <v>USD</v>
          </cell>
          <cell r="G701" t="str">
            <v xml:space="preserve"> -   </v>
          </cell>
          <cell r="H701" t="str">
            <v xml:space="preserve"> -   </v>
          </cell>
          <cell r="I701">
            <v>-6.04</v>
          </cell>
          <cell r="J701" t="str">
            <v>C: ASCENDAS27 P: Matching</v>
          </cell>
          <cell r="K701">
            <v>45750</v>
          </cell>
        </row>
        <row r="702">
          <cell r="D702">
            <v>256779415321</v>
          </cell>
          <cell r="E702">
            <v>45848</v>
          </cell>
          <cell r="F702" t="str">
            <v>USD</v>
          </cell>
          <cell r="G702" t="str">
            <v xml:space="preserve"> -   </v>
          </cell>
          <cell r="H702" t="str">
            <v xml:space="preserve"> -   </v>
          </cell>
          <cell r="I702">
            <v>-658.22</v>
          </cell>
          <cell r="J702" t="str">
            <v>C: ASCENDAS27 P: Matching</v>
          </cell>
          <cell r="K702">
            <v>45878</v>
          </cell>
        </row>
        <row r="703">
          <cell r="D703">
            <v>256779418778</v>
          </cell>
          <cell r="E703">
            <v>45966</v>
          </cell>
          <cell r="F703" t="str">
            <v>USD</v>
          </cell>
          <cell r="G703" t="str">
            <v xml:space="preserve"> -   </v>
          </cell>
          <cell r="H703" t="str">
            <v xml:space="preserve"> -   </v>
          </cell>
          <cell r="I703">
            <v>-300.95999999999998</v>
          </cell>
          <cell r="J703" t="str">
            <v>C: ASCENDAS27 P: Matching</v>
          </cell>
          <cell r="K703">
            <v>45996</v>
          </cell>
        </row>
        <row r="704">
          <cell r="D704">
            <v>256779414358</v>
          </cell>
          <cell r="E704">
            <v>45818</v>
          </cell>
          <cell r="F704" t="str">
            <v>USD</v>
          </cell>
          <cell r="G704" t="str">
            <v xml:space="preserve"> -   </v>
          </cell>
          <cell r="H704" t="str">
            <v xml:space="preserve"> -   </v>
          </cell>
          <cell r="I704">
            <v>-15054.92</v>
          </cell>
          <cell r="J704" t="str">
            <v>C: ASCENDAS27 P: Matching</v>
          </cell>
          <cell r="K704">
            <v>45848</v>
          </cell>
        </row>
        <row r="705">
          <cell r="D705">
            <v>256779414359</v>
          </cell>
          <cell r="E705">
            <v>45818</v>
          </cell>
          <cell r="F705" t="str">
            <v>USD</v>
          </cell>
          <cell r="G705" t="str">
            <v xml:space="preserve"> -   </v>
          </cell>
          <cell r="H705" t="str">
            <v xml:space="preserve"> -   </v>
          </cell>
          <cell r="I705">
            <v>-602.22</v>
          </cell>
          <cell r="J705" t="str">
            <v>C: ASCENDAS27 P: Matching</v>
          </cell>
          <cell r="K705">
            <v>45848</v>
          </cell>
        </row>
        <row r="706">
          <cell r="D706">
            <v>256779414918</v>
          </cell>
          <cell r="E706">
            <v>45842</v>
          </cell>
          <cell r="F706" t="str">
            <v>USD</v>
          </cell>
          <cell r="G706" t="str">
            <v xml:space="preserve"> -   </v>
          </cell>
          <cell r="H706" t="str">
            <v xml:space="preserve"> -   </v>
          </cell>
          <cell r="I706">
            <v>-282.85000000000002</v>
          </cell>
          <cell r="J706" t="str">
            <v>C: ASCENDAS27 P: Matching</v>
          </cell>
          <cell r="K706">
            <v>45872</v>
          </cell>
        </row>
        <row r="707">
          <cell r="D707">
            <v>256779414917</v>
          </cell>
          <cell r="E707">
            <v>45842</v>
          </cell>
          <cell r="F707" t="str">
            <v>USD</v>
          </cell>
          <cell r="G707" t="str">
            <v xml:space="preserve"> -   </v>
          </cell>
          <cell r="H707" t="str">
            <v xml:space="preserve"> -   </v>
          </cell>
          <cell r="I707">
            <v>-514.26</v>
          </cell>
          <cell r="J707" t="str">
            <v>C: ASCENDAS27 P: Matching</v>
          </cell>
          <cell r="K707">
            <v>45872</v>
          </cell>
        </row>
        <row r="708">
          <cell r="D708">
            <v>256779414360</v>
          </cell>
          <cell r="E708">
            <v>45818</v>
          </cell>
          <cell r="F708" t="str">
            <v>USD</v>
          </cell>
          <cell r="G708" t="str">
            <v xml:space="preserve"> -   </v>
          </cell>
          <cell r="H708" t="str">
            <v xml:space="preserve"> -   </v>
          </cell>
          <cell r="I708">
            <v>-331.22</v>
          </cell>
          <cell r="J708" t="str">
            <v>C: ASCENDAS27 P: Matching</v>
          </cell>
          <cell r="K708">
            <v>45848</v>
          </cell>
        </row>
        <row r="709">
          <cell r="D709">
            <v>256779414916</v>
          </cell>
          <cell r="E709">
            <v>45842</v>
          </cell>
          <cell r="F709" t="str">
            <v>USD</v>
          </cell>
          <cell r="G709" t="str">
            <v xml:space="preserve"> -   </v>
          </cell>
          <cell r="H709" t="str">
            <v xml:space="preserve"> -   </v>
          </cell>
          <cell r="I709">
            <v>-12856.62</v>
          </cell>
          <cell r="J709" t="str">
            <v>C: ASCENDAS27 P: Matching</v>
          </cell>
          <cell r="K709">
            <v>45872</v>
          </cell>
        </row>
        <row r="710">
          <cell r="D710">
            <v>256779419995</v>
          </cell>
          <cell r="E710">
            <v>46000</v>
          </cell>
          <cell r="F710" t="str">
            <v>USD</v>
          </cell>
          <cell r="G710" t="str">
            <v xml:space="preserve"> -   </v>
          </cell>
          <cell r="H710" t="str">
            <v xml:space="preserve"> -   </v>
          </cell>
          <cell r="I710">
            <v>-454.22</v>
          </cell>
          <cell r="J710" t="str">
            <v>C: ASCENDAS27 P: Matching</v>
          </cell>
          <cell r="K710">
            <v>46030</v>
          </cell>
        </row>
        <row r="711">
          <cell r="D711">
            <v>256779419858</v>
          </cell>
          <cell r="E711">
            <v>45999</v>
          </cell>
          <cell r="F711" t="str">
            <v>USD</v>
          </cell>
          <cell r="G711" t="str">
            <v xml:space="preserve"> -   </v>
          </cell>
          <cell r="H711" t="str">
            <v xml:space="preserve"> -   </v>
          </cell>
          <cell r="I711">
            <v>-290.25</v>
          </cell>
          <cell r="J711" t="str">
            <v>C: ASCENDAS27 P: Matching</v>
          </cell>
          <cell r="K711">
            <v>46029</v>
          </cell>
        </row>
        <row r="712">
          <cell r="D712">
            <v>256779419858</v>
          </cell>
          <cell r="E712">
            <v>45999</v>
          </cell>
          <cell r="F712" t="str">
            <v>USD</v>
          </cell>
          <cell r="G712" t="str">
            <v xml:space="preserve"> -   </v>
          </cell>
          <cell r="H712" t="str">
            <v xml:space="preserve"> -   </v>
          </cell>
          <cell r="I712">
            <v>-67.33</v>
          </cell>
          <cell r="J712" t="str">
            <v>C: ASCENDAS27 P: Matching</v>
          </cell>
          <cell r="K712">
            <v>46029</v>
          </cell>
        </row>
        <row r="713">
          <cell r="D713">
            <v>256779419908</v>
          </cell>
          <cell r="E713">
            <v>45996</v>
          </cell>
          <cell r="F713" t="str">
            <v>USD</v>
          </cell>
          <cell r="G713" t="str">
            <v xml:space="preserve"> -   </v>
          </cell>
          <cell r="H713" t="str">
            <v xml:space="preserve"> -   </v>
          </cell>
          <cell r="I713">
            <v>-912.18</v>
          </cell>
          <cell r="J713" t="str">
            <v>C: ASCENDAS27 P: Matching</v>
          </cell>
          <cell r="K713">
            <v>46026</v>
          </cell>
        </row>
        <row r="714">
          <cell r="D714">
            <v>256779418474</v>
          </cell>
          <cell r="E714">
            <v>45951</v>
          </cell>
          <cell r="F714" t="str">
            <v>USD</v>
          </cell>
          <cell r="G714" t="str">
            <v xml:space="preserve"> -   </v>
          </cell>
          <cell r="H714" t="str">
            <v xml:space="preserve"> -   </v>
          </cell>
          <cell r="I714">
            <v>-1591.62</v>
          </cell>
          <cell r="J714" t="str">
            <v>C: ASCENDAS27 P: Matching</v>
          </cell>
          <cell r="K714">
            <v>45981</v>
          </cell>
        </row>
        <row r="715">
          <cell r="D715">
            <v>256779418474</v>
          </cell>
          <cell r="E715">
            <v>45951</v>
          </cell>
          <cell r="F715" t="str">
            <v>USD</v>
          </cell>
          <cell r="G715" t="str">
            <v xml:space="preserve"> -   </v>
          </cell>
          <cell r="H715" t="str">
            <v xml:space="preserve"> -   </v>
          </cell>
          <cell r="I715">
            <v>-14.27</v>
          </cell>
          <cell r="J715" t="str">
            <v>C: ASCENDAS27 P: Matching</v>
          </cell>
          <cell r="K715">
            <v>45981</v>
          </cell>
        </row>
        <row r="716">
          <cell r="D716">
            <v>256779418474</v>
          </cell>
          <cell r="E716">
            <v>45951</v>
          </cell>
          <cell r="F716" t="str">
            <v>USD</v>
          </cell>
          <cell r="G716" t="str">
            <v xml:space="preserve"> -   </v>
          </cell>
          <cell r="H716" t="str">
            <v xml:space="preserve"> -   </v>
          </cell>
          <cell r="I716">
            <v>-31.65</v>
          </cell>
          <cell r="J716" t="str">
            <v>C: ASCENDAS27 P: Matching</v>
          </cell>
          <cell r="K716">
            <v>45981</v>
          </cell>
        </row>
        <row r="717">
          <cell r="D717">
            <v>256779416869</v>
          </cell>
          <cell r="E717">
            <v>45889</v>
          </cell>
          <cell r="F717" t="str">
            <v>USD</v>
          </cell>
          <cell r="G717" t="str">
            <v xml:space="preserve"> -   </v>
          </cell>
          <cell r="H717" t="str">
            <v xml:space="preserve"> -   </v>
          </cell>
          <cell r="I717">
            <v>-568.28</v>
          </cell>
          <cell r="J717" t="str">
            <v>C: ASCENDAS27 P: Matching</v>
          </cell>
          <cell r="K717">
            <v>45919</v>
          </cell>
        </row>
        <row r="718">
          <cell r="D718">
            <v>256779419971</v>
          </cell>
          <cell r="E718">
            <v>45995</v>
          </cell>
          <cell r="F718" t="str">
            <v>USD</v>
          </cell>
          <cell r="G718" t="str">
            <v xml:space="preserve"> -   </v>
          </cell>
          <cell r="H718" t="str">
            <v xml:space="preserve"> -   </v>
          </cell>
          <cell r="I718">
            <v>-218.85</v>
          </cell>
          <cell r="J718" t="str">
            <v>C: ASCENDAS27 P: Matching</v>
          </cell>
          <cell r="K718">
            <v>46025</v>
          </cell>
        </row>
        <row r="719">
          <cell r="D719">
            <v>256779416838</v>
          </cell>
          <cell r="E719">
            <v>45889</v>
          </cell>
          <cell r="F719" t="str">
            <v>USD</v>
          </cell>
          <cell r="G719" t="str">
            <v xml:space="preserve"> -   </v>
          </cell>
          <cell r="H719" t="str">
            <v xml:space="preserve"> -   </v>
          </cell>
          <cell r="I719">
            <v>-3356.53</v>
          </cell>
          <cell r="J719" t="str">
            <v>C: ASCENDAS27 P: Matching</v>
          </cell>
          <cell r="K719">
            <v>45919</v>
          </cell>
        </row>
        <row r="720">
          <cell r="D720">
            <v>256779418653</v>
          </cell>
          <cell r="E720">
            <v>45950</v>
          </cell>
          <cell r="F720" t="str">
            <v>USD</v>
          </cell>
          <cell r="G720" t="str">
            <v xml:space="preserve"> -   </v>
          </cell>
          <cell r="H720" t="str">
            <v xml:space="preserve"> -   </v>
          </cell>
          <cell r="I720">
            <v>-166.44</v>
          </cell>
          <cell r="J720" t="str">
            <v>C: ASCENDAS27 P: Matching</v>
          </cell>
          <cell r="K720">
            <v>45980</v>
          </cell>
        </row>
        <row r="721">
          <cell r="D721">
            <v>256779418653</v>
          </cell>
          <cell r="E721">
            <v>45950</v>
          </cell>
          <cell r="F721" t="str">
            <v>USD</v>
          </cell>
          <cell r="G721" t="str">
            <v xml:space="preserve"> -   </v>
          </cell>
          <cell r="H721" t="str">
            <v xml:space="preserve"> -   </v>
          </cell>
          <cell r="I721">
            <v>-330.56</v>
          </cell>
          <cell r="J721" t="str">
            <v>C: ASCENDAS27 P: Matching</v>
          </cell>
          <cell r="K721">
            <v>45980</v>
          </cell>
        </row>
        <row r="722">
          <cell r="D722">
            <v>256779419808</v>
          </cell>
          <cell r="E722">
            <v>45996</v>
          </cell>
          <cell r="F722" t="str">
            <v>USD</v>
          </cell>
          <cell r="G722" t="str">
            <v xml:space="preserve"> -   </v>
          </cell>
          <cell r="H722" t="str">
            <v xml:space="preserve"> -   </v>
          </cell>
          <cell r="I722">
            <v>-67.819999999999993</v>
          </cell>
          <cell r="J722" t="str">
            <v>C: ASCENDAS27 P: Matching</v>
          </cell>
          <cell r="K722">
            <v>46026</v>
          </cell>
        </row>
        <row r="723">
          <cell r="D723">
            <v>256779419972</v>
          </cell>
          <cell r="E723">
            <v>45995</v>
          </cell>
          <cell r="F723" t="str">
            <v>USD</v>
          </cell>
          <cell r="G723" t="str">
            <v xml:space="preserve"> -   </v>
          </cell>
          <cell r="H723" t="str">
            <v xml:space="preserve"> -   </v>
          </cell>
          <cell r="I723">
            <v>-120.38</v>
          </cell>
          <cell r="J723" t="str">
            <v>C: ASCENDAS27 P: Matching</v>
          </cell>
          <cell r="K723">
            <v>46025</v>
          </cell>
        </row>
        <row r="724">
          <cell r="D724">
            <v>256779419983</v>
          </cell>
          <cell r="E724">
            <v>45997</v>
          </cell>
          <cell r="F724" t="str">
            <v>USD</v>
          </cell>
          <cell r="G724" t="str">
            <v xml:space="preserve"> -   </v>
          </cell>
          <cell r="H724" t="str">
            <v xml:space="preserve"> -   </v>
          </cell>
          <cell r="I724">
            <v>-134.99</v>
          </cell>
          <cell r="J724" t="str">
            <v>C: ASCENDAS27 P: Matching</v>
          </cell>
          <cell r="K724">
            <v>46027</v>
          </cell>
        </row>
        <row r="725">
          <cell r="D725">
            <v>256779419970</v>
          </cell>
          <cell r="E725">
            <v>45995</v>
          </cell>
          <cell r="F725" t="str">
            <v>USD</v>
          </cell>
          <cell r="G725" t="str">
            <v xml:space="preserve"> -   </v>
          </cell>
          <cell r="H725" t="str">
            <v xml:space="preserve"> -   </v>
          </cell>
          <cell r="I725">
            <v>-5471.08</v>
          </cell>
          <cell r="J725" t="str">
            <v>C: ASCENDAS27 P: Matching</v>
          </cell>
          <cell r="K725">
            <v>46025</v>
          </cell>
        </row>
        <row r="726">
          <cell r="D726" t="str">
            <v>256779417580_R</v>
          </cell>
          <cell r="E726">
            <v>45918</v>
          </cell>
          <cell r="F726" t="str">
            <v>USD</v>
          </cell>
          <cell r="G726" t="str">
            <v xml:space="preserve"> -   </v>
          </cell>
          <cell r="H726" t="str">
            <v xml:space="preserve"> -   </v>
          </cell>
          <cell r="I726">
            <v>16376.07</v>
          </cell>
          <cell r="J726" t="str">
            <v>C: ASCENDAS27 P: Matching</v>
          </cell>
          <cell r="K726">
            <v>45948</v>
          </cell>
        </row>
        <row r="727">
          <cell r="D727" t="str">
            <v>256779417580_D</v>
          </cell>
          <cell r="E727">
            <v>45918</v>
          </cell>
          <cell r="F727" t="str">
            <v>USD</v>
          </cell>
          <cell r="G727" t="str">
            <v xml:space="preserve"> -   </v>
          </cell>
          <cell r="H727" t="str">
            <v xml:space="preserve"> -   </v>
          </cell>
          <cell r="I727">
            <v>-718.94</v>
          </cell>
          <cell r="J727" t="str">
            <v>C: ASCENDAS27 P: Matching</v>
          </cell>
          <cell r="K727">
            <v>45948</v>
          </cell>
        </row>
        <row r="728">
          <cell r="D728">
            <v>256779418357</v>
          </cell>
          <cell r="E728">
            <v>45935</v>
          </cell>
          <cell r="F728" t="str">
            <v>USD</v>
          </cell>
          <cell r="G728">
            <v>-394.19</v>
          </cell>
          <cell r="H728">
            <v>7.88</v>
          </cell>
          <cell r="I728">
            <v>-34948.69</v>
          </cell>
          <cell r="J728" t="str">
            <v>USD CURRENCY</v>
          </cell>
          <cell r="K728">
            <v>45965</v>
          </cell>
          <cell r="L728">
            <v>46066</v>
          </cell>
        </row>
        <row r="729">
          <cell r="D729">
            <v>256779419222</v>
          </cell>
          <cell r="E729">
            <v>45966</v>
          </cell>
          <cell r="F729" t="str">
            <v>USD</v>
          </cell>
          <cell r="G729">
            <v>-3537</v>
          </cell>
          <cell r="H729">
            <v>70.739999999999995</v>
          </cell>
          <cell r="I729">
            <v>-312149.34000000003</v>
          </cell>
          <cell r="J729" t="str">
            <v>USD CURRENCY</v>
          </cell>
          <cell r="K729">
            <v>45996</v>
          </cell>
          <cell r="L729">
            <v>46066</v>
          </cell>
        </row>
        <row r="730">
          <cell r="D730">
            <v>256779419581</v>
          </cell>
          <cell r="E730">
            <v>45981</v>
          </cell>
          <cell r="F730" t="str">
            <v>USD</v>
          </cell>
          <cell r="G730">
            <v>-156.19999999999999</v>
          </cell>
          <cell r="H730">
            <v>3.12</v>
          </cell>
          <cell r="I730">
            <v>-13785.05</v>
          </cell>
          <cell r="J730" t="str">
            <v>USD CURRENCY</v>
          </cell>
          <cell r="K730">
            <v>46011</v>
          </cell>
          <cell r="L730">
            <v>46066</v>
          </cell>
        </row>
        <row r="731">
          <cell r="D731">
            <v>256779418872</v>
          </cell>
          <cell r="E731">
            <v>45966</v>
          </cell>
          <cell r="F731" t="str">
            <v>USD</v>
          </cell>
          <cell r="G731">
            <v>-5939.04</v>
          </cell>
          <cell r="H731">
            <v>118.78</v>
          </cell>
          <cell r="I731">
            <v>-524135.55</v>
          </cell>
          <cell r="J731" t="str">
            <v>USD CURRENCY</v>
          </cell>
          <cell r="K731">
            <v>45996</v>
          </cell>
          <cell r="L731">
            <v>46066</v>
          </cell>
        </row>
        <row r="732">
          <cell r="D732">
            <v>256779416600</v>
          </cell>
          <cell r="E732">
            <v>45889</v>
          </cell>
          <cell r="F732" t="str">
            <v>USD</v>
          </cell>
          <cell r="G732">
            <v>-737.41</v>
          </cell>
          <cell r="H732">
            <v>14.75</v>
          </cell>
          <cell r="I732">
            <v>-63882.5</v>
          </cell>
          <cell r="J732" t="str">
            <v>USD CURRENCY</v>
          </cell>
          <cell r="K732">
            <v>45919</v>
          </cell>
          <cell r="L732">
            <v>46071</v>
          </cell>
        </row>
        <row r="733">
          <cell r="D733">
            <v>256779415296</v>
          </cell>
          <cell r="E733">
            <v>45848</v>
          </cell>
          <cell r="F733" t="str">
            <v>USD</v>
          </cell>
          <cell r="G733">
            <v>-24</v>
          </cell>
          <cell r="H733">
            <v>0.48</v>
          </cell>
          <cell r="I733">
            <v>-2123.2800000000002</v>
          </cell>
          <cell r="K733">
            <v>45878</v>
          </cell>
          <cell r="L733">
            <v>46071</v>
          </cell>
        </row>
        <row r="734">
          <cell r="D734">
            <v>256779418692</v>
          </cell>
          <cell r="E734">
            <v>45950</v>
          </cell>
          <cell r="F734" t="str">
            <v>USD</v>
          </cell>
          <cell r="G734">
            <v>-531.26</v>
          </cell>
          <cell r="H734">
            <v>10.63</v>
          </cell>
          <cell r="I734">
            <v>-47101.24</v>
          </cell>
          <cell r="J734" t="str">
            <v>USD CURRENCY</v>
          </cell>
          <cell r="K734">
            <v>45980</v>
          </cell>
          <cell r="L734">
            <v>46071</v>
          </cell>
        </row>
        <row r="735">
          <cell r="D735">
            <v>256779417250</v>
          </cell>
          <cell r="E735">
            <v>45904</v>
          </cell>
          <cell r="F735" t="str">
            <v>USD</v>
          </cell>
          <cell r="G735">
            <v>-50</v>
          </cell>
          <cell r="H735">
            <v>1</v>
          </cell>
          <cell r="I735">
            <v>-4382.6000000000004</v>
          </cell>
          <cell r="J735" t="str">
            <v>USD CURRENCY</v>
          </cell>
          <cell r="K735">
            <v>45934</v>
          </cell>
          <cell r="L735">
            <v>46075</v>
          </cell>
        </row>
        <row r="736">
          <cell r="D736">
            <v>256779440067</v>
          </cell>
          <cell r="E736">
            <v>46027</v>
          </cell>
          <cell r="F736" t="str">
            <v>USD</v>
          </cell>
          <cell r="G736">
            <v>-100.07</v>
          </cell>
          <cell r="H736">
            <v>2</v>
          </cell>
          <cell r="I736">
            <v>-8995.3700000000008</v>
          </cell>
          <cell r="K736">
            <v>46057</v>
          </cell>
          <cell r="L736">
            <v>46075</v>
          </cell>
        </row>
        <row r="737">
          <cell r="D737">
            <v>256779440116</v>
          </cell>
          <cell r="E737">
            <v>46027</v>
          </cell>
          <cell r="F737" t="str">
            <v>USD</v>
          </cell>
          <cell r="G737">
            <v>-498.28</v>
          </cell>
          <cell r="H737">
            <v>9.9700000000000006</v>
          </cell>
          <cell r="I737">
            <v>-44790.76</v>
          </cell>
          <cell r="K737">
            <v>46057</v>
          </cell>
          <cell r="L737">
            <v>46075</v>
          </cell>
        </row>
        <row r="738">
          <cell r="D738">
            <v>256779440126</v>
          </cell>
          <cell r="E738">
            <v>46031</v>
          </cell>
          <cell r="F738" t="str">
            <v>USD</v>
          </cell>
          <cell r="G738">
            <v>-122.48</v>
          </cell>
          <cell r="H738">
            <v>2.4500000000000002</v>
          </cell>
          <cell r="I738">
            <v>-11009.82</v>
          </cell>
          <cell r="K738">
            <v>46061</v>
          </cell>
          <cell r="L738">
            <v>46075</v>
          </cell>
        </row>
        <row r="739">
          <cell r="D739">
            <v>256779440007</v>
          </cell>
          <cell r="E739">
            <v>46024</v>
          </cell>
          <cell r="F739" t="str">
            <v>USD</v>
          </cell>
          <cell r="G739">
            <v>-1332.49</v>
          </cell>
          <cell r="H739">
            <v>26.65</v>
          </cell>
          <cell r="I739">
            <v>-119778.52</v>
          </cell>
          <cell r="J739" t="str">
            <v>USD CURRENCY</v>
          </cell>
          <cell r="K739">
            <v>46054</v>
          </cell>
          <cell r="L739">
            <v>46075</v>
          </cell>
        </row>
        <row r="740">
          <cell r="D740">
            <v>256779440208</v>
          </cell>
          <cell r="E740">
            <v>46028</v>
          </cell>
          <cell r="F740" t="str">
            <v>USD</v>
          </cell>
          <cell r="G740">
            <v>-650.12</v>
          </cell>
          <cell r="H740">
            <v>13</v>
          </cell>
          <cell r="I740">
            <v>-58439.77</v>
          </cell>
          <cell r="J740" t="str">
            <v>USD CURRENCY</v>
          </cell>
          <cell r="K740">
            <v>46058</v>
          </cell>
          <cell r="L740">
            <v>46075</v>
          </cell>
        </row>
        <row r="741">
          <cell r="D741">
            <v>256779440285</v>
          </cell>
          <cell r="E741">
            <v>46034</v>
          </cell>
          <cell r="F741" t="str">
            <v>USD</v>
          </cell>
          <cell r="G741">
            <v>-535.29</v>
          </cell>
          <cell r="H741">
            <v>10.71</v>
          </cell>
          <cell r="I741">
            <v>-48117.62</v>
          </cell>
          <cell r="J741" t="str">
            <v>USD CURRENCY</v>
          </cell>
          <cell r="K741">
            <v>46064</v>
          </cell>
          <cell r="L741">
            <v>46075</v>
          </cell>
        </row>
        <row r="742">
          <cell r="D742">
            <v>256779440159</v>
          </cell>
          <cell r="E742">
            <v>46028</v>
          </cell>
          <cell r="F742" t="str">
            <v>USD</v>
          </cell>
          <cell r="G742">
            <v>-160.22</v>
          </cell>
          <cell r="H742">
            <v>3.2</v>
          </cell>
          <cell r="I742">
            <v>-14402.3</v>
          </cell>
          <cell r="J742" t="str">
            <v>USD CURRENCY</v>
          </cell>
          <cell r="K742">
            <v>46058</v>
          </cell>
          <cell r="L742">
            <v>46075</v>
          </cell>
        </row>
        <row r="743">
          <cell r="D743">
            <v>256779440238</v>
          </cell>
          <cell r="E743">
            <v>46028</v>
          </cell>
          <cell r="F743" t="str">
            <v>USD</v>
          </cell>
          <cell r="G743">
            <v>-1083.58</v>
          </cell>
          <cell r="H743">
            <v>21.67</v>
          </cell>
          <cell r="I743">
            <v>-97403.82</v>
          </cell>
          <cell r="K743">
            <v>46058</v>
          </cell>
          <cell r="L743">
            <v>46075</v>
          </cell>
        </row>
        <row r="744">
          <cell r="D744">
            <v>256779440363</v>
          </cell>
          <cell r="E744">
            <v>46035</v>
          </cell>
          <cell r="F744" t="str">
            <v>USD</v>
          </cell>
          <cell r="G744">
            <v>-937.45</v>
          </cell>
          <cell r="H744">
            <v>18.75</v>
          </cell>
          <cell r="I744">
            <v>-84268.08</v>
          </cell>
          <cell r="K744">
            <v>46065</v>
          </cell>
          <cell r="L744">
            <v>46075</v>
          </cell>
        </row>
        <row r="745">
          <cell r="D745">
            <v>256779440309</v>
          </cell>
          <cell r="E745">
            <v>46028</v>
          </cell>
          <cell r="F745" t="str">
            <v>USD</v>
          </cell>
          <cell r="G745">
            <v>-2204.02</v>
          </cell>
          <cell r="H745">
            <v>44.08</v>
          </cell>
          <cell r="I745">
            <v>-198121.01</v>
          </cell>
          <cell r="J745" t="str">
            <v>USD CURRENCY</v>
          </cell>
          <cell r="K745">
            <v>46058</v>
          </cell>
          <cell r="L745">
            <v>46075</v>
          </cell>
        </row>
        <row r="746">
          <cell r="D746">
            <v>256779440060</v>
          </cell>
          <cell r="E746">
            <v>46027</v>
          </cell>
          <cell r="F746" t="str">
            <v>USD</v>
          </cell>
          <cell r="G746">
            <v>-198.57</v>
          </cell>
          <cell r="H746">
            <v>3.97</v>
          </cell>
          <cell r="I746">
            <v>-17849.61</v>
          </cell>
          <cell r="K746">
            <v>46057</v>
          </cell>
          <cell r="L746">
            <v>46075</v>
          </cell>
        </row>
        <row r="747">
          <cell r="D747">
            <v>256779440150</v>
          </cell>
          <cell r="E747">
            <v>46028</v>
          </cell>
          <cell r="F747" t="str">
            <v>USD</v>
          </cell>
          <cell r="G747">
            <v>-112.85</v>
          </cell>
          <cell r="H747">
            <v>2.2599999999999998</v>
          </cell>
          <cell r="I747">
            <v>-10144.17</v>
          </cell>
          <cell r="J747" t="str">
            <v>USD CURRENCY</v>
          </cell>
          <cell r="K747">
            <v>46058</v>
          </cell>
          <cell r="L747">
            <v>46075</v>
          </cell>
        </row>
        <row r="748">
          <cell r="D748">
            <v>256779440311</v>
          </cell>
          <cell r="E748">
            <v>46028</v>
          </cell>
          <cell r="F748" t="str">
            <v>USD</v>
          </cell>
          <cell r="G748">
            <v>-48.49</v>
          </cell>
          <cell r="H748">
            <v>0.97</v>
          </cell>
          <cell r="I748">
            <v>-4358.8</v>
          </cell>
          <cell r="J748" t="str">
            <v>USD CURRENCY</v>
          </cell>
          <cell r="K748">
            <v>46058</v>
          </cell>
          <cell r="L748">
            <v>46075</v>
          </cell>
        </row>
        <row r="749">
          <cell r="D749">
            <v>256779440227</v>
          </cell>
          <cell r="E749">
            <v>46034</v>
          </cell>
          <cell r="F749" t="str">
            <v>USD</v>
          </cell>
          <cell r="G749">
            <v>-304.07</v>
          </cell>
          <cell r="H749">
            <v>6.08</v>
          </cell>
          <cell r="I749">
            <v>-27333.08</v>
          </cell>
          <cell r="J749" t="str">
            <v>USD CURRENCY</v>
          </cell>
          <cell r="K749">
            <v>46064</v>
          </cell>
          <cell r="L749">
            <v>46075</v>
          </cell>
        </row>
        <row r="750">
          <cell r="D750">
            <v>256779440310</v>
          </cell>
          <cell r="E750">
            <v>46028</v>
          </cell>
          <cell r="F750" t="str">
            <v>USD</v>
          </cell>
          <cell r="G750">
            <v>-88.16</v>
          </cell>
          <cell r="H750">
            <v>1.76</v>
          </cell>
          <cell r="I750">
            <v>-7924.77</v>
          </cell>
          <cell r="J750" t="str">
            <v>USD CURRENCY</v>
          </cell>
          <cell r="K750">
            <v>46058</v>
          </cell>
          <cell r="L750">
            <v>46075</v>
          </cell>
        </row>
        <row r="751">
          <cell r="D751">
            <v>256779440136</v>
          </cell>
          <cell r="E751">
            <v>46031</v>
          </cell>
          <cell r="F751" t="str">
            <v>USD</v>
          </cell>
          <cell r="G751">
            <v>-27.81</v>
          </cell>
          <cell r="H751">
            <v>0.56000000000000005</v>
          </cell>
          <cell r="I751">
            <v>-2499.86</v>
          </cell>
          <cell r="K751">
            <v>46061</v>
          </cell>
          <cell r="L751">
            <v>46075</v>
          </cell>
        </row>
        <row r="753">
          <cell r="D753" t="str">
            <v>Closing Balance</v>
          </cell>
          <cell r="G753">
            <v>-32706</v>
          </cell>
          <cell r="H753">
            <v>120334</v>
          </cell>
          <cell r="I753">
            <v>-3109571</v>
          </cell>
        </row>
      </sheetData>
      <sheetData sheetId="1" refreshError="1"/>
      <sheetData sheetId="2">
        <row r="1">
          <cell r="I1">
            <v>268271.18000000028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s Not in Customer Books"/>
      <sheetName val="CN Not in Customer books"/>
    </sheetNames>
    <sheetDataSet>
      <sheetData sheetId="0">
        <row r="1">
          <cell r="E1" t="str">
            <v>Reference</v>
          </cell>
          <cell r="F1" t="str">
            <v>Document Currency Key</v>
          </cell>
          <cell r="G1" t="str">
            <v>Document Currency Value</v>
          </cell>
          <cell r="H1" t="str">
            <v>Company Code Currency Key</v>
          </cell>
          <cell r="I1" t="str">
            <v>Company Code Currency Value</v>
          </cell>
          <cell r="J1" t="str">
            <v>Text</v>
          </cell>
          <cell r="K1" t="str">
            <v>KN Remarks</v>
          </cell>
        </row>
        <row r="2">
          <cell r="E2">
            <v>246779410482</v>
          </cell>
          <cell r="F2" t="str">
            <v>USD</v>
          </cell>
          <cell r="G2">
            <v>3.54</v>
          </cell>
          <cell r="H2" t="str">
            <v>INR</v>
          </cell>
          <cell r="I2">
            <v>306.89</v>
          </cell>
          <cell r="J2" t="str">
            <v>Outbound Handling for Aug 2024</v>
          </cell>
          <cell r="K2" t="str">
            <v>Invoice &amp; CN both not received &amp; booked</v>
          </cell>
        </row>
        <row r="3">
          <cell r="E3">
            <v>246779410483</v>
          </cell>
          <cell r="F3" t="str">
            <v>USD</v>
          </cell>
          <cell r="G3">
            <v>3.54</v>
          </cell>
          <cell r="H3" t="str">
            <v>INR</v>
          </cell>
          <cell r="I3">
            <v>306.89</v>
          </cell>
          <cell r="J3" t="str">
            <v>Outbound Handling for Aug 2024</v>
          </cell>
          <cell r="K3" t="str">
            <v>Invoice &amp; CN both not received &amp; booked</v>
          </cell>
        </row>
        <row r="4">
          <cell r="E4">
            <v>246779412207</v>
          </cell>
          <cell r="F4" t="str">
            <v>USD</v>
          </cell>
          <cell r="G4">
            <v>312.5</v>
          </cell>
          <cell r="H4" t="str">
            <v>INR</v>
          </cell>
          <cell r="I4">
            <v>27091.02</v>
          </cell>
          <cell r="J4" t="str">
            <v>VAS Activity Charges for the month of August, 24</v>
          </cell>
          <cell r="K4" t="str">
            <v>Invoice &amp; CN both not received &amp; booked</v>
          </cell>
        </row>
        <row r="5">
          <cell r="E5">
            <v>246779412208</v>
          </cell>
          <cell r="F5" t="str">
            <v>USD</v>
          </cell>
          <cell r="G5">
            <v>23.35</v>
          </cell>
          <cell r="H5" t="str">
            <v>INR</v>
          </cell>
          <cell r="I5">
            <v>2024.24</v>
          </cell>
          <cell r="J5" t="str">
            <v>VAS Activity Charges for the month of August, 24</v>
          </cell>
          <cell r="K5" t="str">
            <v>Invoice &amp; CN both not received &amp; booked</v>
          </cell>
        </row>
        <row r="6">
          <cell r="E6">
            <v>246779412197</v>
          </cell>
          <cell r="F6" t="str">
            <v>USD</v>
          </cell>
          <cell r="G6">
            <v>40.06</v>
          </cell>
          <cell r="H6" t="str">
            <v>INR</v>
          </cell>
          <cell r="I6">
            <v>3472.85</v>
          </cell>
          <cell r="J6" t="str">
            <v>VAS Activity Charges for the month of August, 24</v>
          </cell>
          <cell r="K6" t="str">
            <v>Invoice &amp; CN both not received &amp; booked</v>
          </cell>
        </row>
        <row r="7">
          <cell r="E7">
            <v>246779412198</v>
          </cell>
          <cell r="F7" t="str">
            <v>USD</v>
          </cell>
          <cell r="G7">
            <v>249.55</v>
          </cell>
          <cell r="H7" t="str">
            <v>INR</v>
          </cell>
          <cell r="I7">
            <v>21633.8</v>
          </cell>
          <cell r="J7" t="str">
            <v>VAS Activity Charges for the month of August, 24</v>
          </cell>
          <cell r="K7" t="str">
            <v>Invoice &amp; CN both not received &amp; booked</v>
          </cell>
        </row>
        <row r="8">
          <cell r="E8">
            <v>246779412199</v>
          </cell>
          <cell r="F8" t="str">
            <v>USD</v>
          </cell>
          <cell r="G8">
            <v>40.06</v>
          </cell>
          <cell r="H8" t="str">
            <v>INR</v>
          </cell>
          <cell r="I8">
            <v>3472.85</v>
          </cell>
          <cell r="J8" t="str">
            <v>VAS Activity Charges for the month of August, 24</v>
          </cell>
          <cell r="K8" t="str">
            <v>Invoice &amp; CN both not received &amp; booked</v>
          </cell>
        </row>
        <row r="9">
          <cell r="E9">
            <v>246779412200</v>
          </cell>
          <cell r="F9" t="str">
            <v>USD</v>
          </cell>
          <cell r="G9">
            <v>45.79</v>
          </cell>
          <cell r="H9" t="str">
            <v>INR</v>
          </cell>
          <cell r="I9">
            <v>3969.59</v>
          </cell>
          <cell r="J9" t="str">
            <v>VAS Activity Charges for the month of August, 24</v>
          </cell>
          <cell r="K9" t="str">
            <v>Invoice &amp; CN both not received &amp; booked</v>
          </cell>
        </row>
        <row r="10">
          <cell r="E10">
            <v>246779412202</v>
          </cell>
          <cell r="F10" t="str">
            <v>USD</v>
          </cell>
          <cell r="G10">
            <v>40.06</v>
          </cell>
          <cell r="H10" t="str">
            <v>INR</v>
          </cell>
          <cell r="I10">
            <v>3472.85</v>
          </cell>
          <cell r="J10" t="str">
            <v>VAS Activity Charges for the month of August, 24</v>
          </cell>
          <cell r="K10" t="str">
            <v>Invoice &amp; CN both not received &amp; booked</v>
          </cell>
        </row>
        <row r="11">
          <cell r="E11">
            <v>246779412203</v>
          </cell>
          <cell r="F11" t="str">
            <v>USD</v>
          </cell>
          <cell r="G11">
            <v>28.62</v>
          </cell>
          <cell r="H11" t="str">
            <v>INR</v>
          </cell>
          <cell r="I11">
            <v>2481.1</v>
          </cell>
          <cell r="J11" t="str">
            <v>VAS Activity Charges for the month of August, 24</v>
          </cell>
          <cell r="K11" t="str">
            <v>Invoice &amp; CN both not received &amp; booked</v>
          </cell>
        </row>
        <row r="12">
          <cell r="E12">
            <v>246779412204</v>
          </cell>
          <cell r="F12" t="str">
            <v>USD</v>
          </cell>
          <cell r="G12">
            <v>22.89</v>
          </cell>
          <cell r="H12" t="str">
            <v>INR</v>
          </cell>
          <cell r="I12">
            <v>1984.36</v>
          </cell>
          <cell r="J12" t="str">
            <v>VAS Activity Charges for the month of August, 24</v>
          </cell>
          <cell r="K12" t="str">
            <v>Invoice &amp; CN both not received &amp; booked</v>
          </cell>
        </row>
        <row r="13">
          <cell r="E13">
            <v>246779412205</v>
          </cell>
          <cell r="F13" t="str">
            <v>USD</v>
          </cell>
          <cell r="G13">
            <v>114.46</v>
          </cell>
          <cell r="H13" t="str">
            <v>INR</v>
          </cell>
          <cell r="I13">
            <v>9922.68</v>
          </cell>
          <cell r="J13" t="str">
            <v>VAS Activity Charges for the month of August, 24</v>
          </cell>
          <cell r="K13" t="str">
            <v>Invoice &amp; CN both not received &amp; booked</v>
          </cell>
        </row>
        <row r="14">
          <cell r="E14">
            <v>246779412206</v>
          </cell>
          <cell r="F14" t="str">
            <v>USD</v>
          </cell>
          <cell r="G14">
            <v>68.680000000000007</v>
          </cell>
          <cell r="H14" t="str">
            <v>INR</v>
          </cell>
          <cell r="I14">
            <v>5953.96</v>
          </cell>
          <cell r="J14" t="str">
            <v>VAS Activity Charges for the month of August, 24</v>
          </cell>
          <cell r="K14" t="str">
            <v>Invoice &amp; CN both not received &amp; booked</v>
          </cell>
        </row>
        <row r="15">
          <cell r="E15">
            <v>246779412196</v>
          </cell>
          <cell r="F15" t="str">
            <v>USD</v>
          </cell>
          <cell r="G15">
            <v>57.23</v>
          </cell>
          <cell r="H15" t="str">
            <v>INR</v>
          </cell>
          <cell r="I15">
            <v>4961.34</v>
          </cell>
          <cell r="J15" t="str">
            <v>VAS Activity Charges for the month of August, 24</v>
          </cell>
          <cell r="K15" t="str">
            <v>Invoice &amp; CN both not received &amp; booked</v>
          </cell>
        </row>
        <row r="16">
          <cell r="E16">
            <v>246779412201</v>
          </cell>
          <cell r="F16" t="str">
            <v>USD</v>
          </cell>
          <cell r="G16">
            <v>20.03</v>
          </cell>
          <cell r="H16" t="str">
            <v>INR</v>
          </cell>
          <cell r="I16">
            <v>1736.43</v>
          </cell>
          <cell r="J16" t="str">
            <v>VAS Activity Charges for the month of August, 24</v>
          </cell>
          <cell r="K16" t="str">
            <v>Invoice &amp; CN both not received &amp; booked</v>
          </cell>
        </row>
        <row r="17">
          <cell r="E17">
            <v>246779413317</v>
          </cell>
          <cell r="F17" t="str">
            <v>USD</v>
          </cell>
          <cell r="G17">
            <v>20.100000000000001</v>
          </cell>
          <cell r="H17" t="str">
            <v>INR</v>
          </cell>
          <cell r="I17">
            <v>1742.49</v>
          </cell>
          <cell r="J17" t="str">
            <v>WHSU5159898-Port SSR Storage Feb 2025. Exch rate -</v>
          </cell>
          <cell r="K17" t="str">
            <v>Invoice &amp; CN both not received &amp; booked</v>
          </cell>
        </row>
        <row r="18">
          <cell r="E18">
            <v>246779413076</v>
          </cell>
          <cell r="F18" t="str">
            <v>USD</v>
          </cell>
          <cell r="G18">
            <v>466.37</v>
          </cell>
          <cell r="H18" t="str">
            <v>INR</v>
          </cell>
          <cell r="I18">
            <v>40430.199999999997</v>
          </cell>
          <cell r="J18" t="str">
            <v>Port SSR Charges - Shifting for Aug to Dec,24.</v>
          </cell>
          <cell r="K18" t="str">
            <v>Invoice &amp; CN both not received &amp; booked</v>
          </cell>
        </row>
        <row r="19">
          <cell r="E19">
            <v>246779414057</v>
          </cell>
          <cell r="F19" t="str">
            <v>USD</v>
          </cell>
          <cell r="G19">
            <v>43.07</v>
          </cell>
          <cell r="H19" t="str">
            <v>INR</v>
          </cell>
          <cell r="I19">
            <v>3733.79</v>
          </cell>
          <cell r="J19" t="str">
            <v>Inbound Handling charges for Jan 2025</v>
          </cell>
          <cell r="K19" t="str">
            <v>Invoice &amp; CN both not received &amp; booked</v>
          </cell>
        </row>
        <row r="20">
          <cell r="E20">
            <v>246779414058</v>
          </cell>
          <cell r="F20" t="str">
            <v>USD</v>
          </cell>
          <cell r="G20">
            <v>398.23</v>
          </cell>
          <cell r="H20" t="str">
            <v>INR</v>
          </cell>
          <cell r="I20">
            <v>34523.06</v>
          </cell>
          <cell r="J20" t="str">
            <v>Inbound Handling charges for Jan 2025</v>
          </cell>
          <cell r="K20" t="str">
            <v>Invoice &amp; CN both not received &amp; booked</v>
          </cell>
        </row>
        <row r="21">
          <cell r="E21">
            <v>246779414120</v>
          </cell>
          <cell r="F21" t="str">
            <v>USD</v>
          </cell>
          <cell r="G21">
            <v>250.75</v>
          </cell>
          <cell r="H21" t="str">
            <v>INR</v>
          </cell>
          <cell r="I21">
            <v>21737.83</v>
          </cell>
          <cell r="J21" t="str">
            <v>Inbound Handling charges for  Sep 2024</v>
          </cell>
          <cell r="K21" t="str">
            <v>Invoice &amp; CN both not received &amp; booked</v>
          </cell>
        </row>
        <row r="22">
          <cell r="E22">
            <v>246779414121</v>
          </cell>
          <cell r="F22" t="str">
            <v>USD</v>
          </cell>
          <cell r="G22">
            <v>226.56</v>
          </cell>
          <cell r="H22" t="str">
            <v>INR</v>
          </cell>
          <cell r="I22">
            <v>19640.77</v>
          </cell>
          <cell r="J22" t="str">
            <v>LCL charges for  Sep 2024</v>
          </cell>
          <cell r="K22" t="str">
            <v>Invoice &amp; CN both not received &amp; booked</v>
          </cell>
        </row>
        <row r="23">
          <cell r="E23">
            <v>246779414122</v>
          </cell>
          <cell r="F23" t="str">
            <v>USD</v>
          </cell>
          <cell r="G23">
            <v>35.4</v>
          </cell>
          <cell r="H23" t="str">
            <v>INR</v>
          </cell>
          <cell r="I23">
            <v>3068.87</v>
          </cell>
          <cell r="J23" t="str">
            <v>Cy-WH Destuff charges for Sep 2024</v>
          </cell>
          <cell r="K23" t="str">
            <v>Invoice &amp; CN both not received &amp; booked</v>
          </cell>
        </row>
        <row r="24">
          <cell r="E24">
            <v>246779414204</v>
          </cell>
          <cell r="F24" t="str">
            <v>USD</v>
          </cell>
          <cell r="G24">
            <v>249.87</v>
          </cell>
          <cell r="H24" t="str">
            <v>INR</v>
          </cell>
          <cell r="I24">
            <v>21661.55</v>
          </cell>
          <cell r="J24" t="str">
            <v>Outbound Handling charges for Sep 2024</v>
          </cell>
          <cell r="K24" t="str">
            <v>Invoice &amp; CN both not received &amp; booked</v>
          </cell>
        </row>
        <row r="25">
          <cell r="E25">
            <v>246779414460</v>
          </cell>
          <cell r="F25" t="str">
            <v>USD</v>
          </cell>
          <cell r="G25">
            <v>173.05</v>
          </cell>
          <cell r="H25" t="str">
            <v>INR</v>
          </cell>
          <cell r="I25">
            <v>15001.92</v>
          </cell>
          <cell r="J25" t="str">
            <v>Inbound Handling charges for Jan 2025</v>
          </cell>
          <cell r="K25" t="str">
            <v>Invoice &amp; CN both not received &amp; booked</v>
          </cell>
        </row>
        <row r="26">
          <cell r="E26">
            <v>246779414461</v>
          </cell>
          <cell r="F26" t="str">
            <v>USD</v>
          </cell>
          <cell r="G26">
            <v>226.56</v>
          </cell>
          <cell r="H26" t="str">
            <v>INR</v>
          </cell>
          <cell r="I26">
            <v>19640.77</v>
          </cell>
          <cell r="J26" t="str">
            <v>LCL charges for Jan 2025</v>
          </cell>
          <cell r="K26" t="str">
            <v>Invoice &amp; CN both not received &amp; booked</v>
          </cell>
        </row>
        <row r="27">
          <cell r="E27">
            <v>246779414525</v>
          </cell>
          <cell r="F27" t="str">
            <v>USD</v>
          </cell>
          <cell r="G27">
            <v>211.39</v>
          </cell>
          <cell r="H27" t="str">
            <v>INR</v>
          </cell>
          <cell r="I27">
            <v>18325.669999999998</v>
          </cell>
          <cell r="J27" t="str">
            <v>Inbound Handling charges for Feb 2025</v>
          </cell>
          <cell r="K27" t="str">
            <v>Invoice &amp; CN both not received &amp; booked</v>
          </cell>
        </row>
        <row r="28">
          <cell r="E28">
            <v>246779414526</v>
          </cell>
          <cell r="F28" t="str">
            <v>USD</v>
          </cell>
          <cell r="G28">
            <v>141.6</v>
          </cell>
          <cell r="H28" t="str">
            <v>INR</v>
          </cell>
          <cell r="I28">
            <v>12275.48</v>
          </cell>
          <cell r="J28" t="str">
            <v>LCL Movement Charges for Feb 2025</v>
          </cell>
          <cell r="K28" t="str">
            <v>Invoice &amp; CN both not received &amp; booked</v>
          </cell>
        </row>
        <row r="29">
          <cell r="E29">
            <v>246779414527</v>
          </cell>
          <cell r="F29" t="str">
            <v>USD</v>
          </cell>
          <cell r="G29">
            <v>70.8</v>
          </cell>
          <cell r="H29" t="str">
            <v>INR</v>
          </cell>
          <cell r="I29">
            <v>6137.74</v>
          </cell>
          <cell r="J29" t="str">
            <v>Empty transportation Charges for Feb 2025</v>
          </cell>
          <cell r="K29" t="str">
            <v>Invoice &amp; CN both not received &amp; booked</v>
          </cell>
        </row>
        <row r="30">
          <cell r="E30">
            <v>246779414528</v>
          </cell>
          <cell r="F30" t="str">
            <v>USD</v>
          </cell>
          <cell r="G30">
            <v>236</v>
          </cell>
          <cell r="H30" t="str">
            <v>INR</v>
          </cell>
          <cell r="I30">
            <v>20459.14</v>
          </cell>
          <cell r="J30" t="str">
            <v>Transportation Charges for Feb 2025</v>
          </cell>
          <cell r="K30" t="str">
            <v>Invoice &amp; CN both not received &amp; booked</v>
          </cell>
        </row>
        <row r="31">
          <cell r="E31">
            <v>246779414781</v>
          </cell>
          <cell r="F31" t="str">
            <v>USD</v>
          </cell>
          <cell r="G31">
            <v>218.36</v>
          </cell>
          <cell r="H31" t="str">
            <v>INR</v>
          </cell>
          <cell r="I31">
            <v>18929.900000000001</v>
          </cell>
          <cell r="J31" t="str">
            <v>Outbound Handling charges for Feb 2025</v>
          </cell>
          <cell r="K31" t="str">
            <v>Invoice &amp; CN both not received &amp; booked</v>
          </cell>
        </row>
        <row r="32">
          <cell r="E32">
            <v>246779414863</v>
          </cell>
          <cell r="F32" t="str">
            <v>USD</v>
          </cell>
          <cell r="G32">
            <v>23.6</v>
          </cell>
          <cell r="H32" t="str">
            <v>INR</v>
          </cell>
          <cell r="I32">
            <v>2045.91</v>
          </cell>
          <cell r="J32" t="str">
            <v>Outbound Handling charges for Jan 2025</v>
          </cell>
          <cell r="K32" t="str">
            <v>Invoice &amp; CN both not received &amp; booked</v>
          </cell>
        </row>
        <row r="33">
          <cell r="E33">
            <v>246779414864</v>
          </cell>
          <cell r="F33" t="str">
            <v>USD</v>
          </cell>
          <cell r="G33">
            <v>26.55</v>
          </cell>
          <cell r="H33" t="str">
            <v>INR</v>
          </cell>
          <cell r="I33">
            <v>2301.65</v>
          </cell>
          <cell r="J33" t="str">
            <v>Outbound Handling charges for Jan 2025</v>
          </cell>
          <cell r="K33" t="str">
            <v>Invoice &amp; CN both not received &amp; booked</v>
          </cell>
        </row>
        <row r="34">
          <cell r="E34">
            <v>246779414865</v>
          </cell>
          <cell r="F34" t="str">
            <v>USD</v>
          </cell>
          <cell r="G34">
            <v>32.450000000000003</v>
          </cell>
          <cell r="H34" t="str">
            <v>INR</v>
          </cell>
          <cell r="I34">
            <v>2813.13</v>
          </cell>
          <cell r="J34" t="str">
            <v>Outbound Handling charges for Jan 2025</v>
          </cell>
          <cell r="K34" t="str">
            <v>Invoice &amp; CN both not received &amp; booked</v>
          </cell>
        </row>
        <row r="35">
          <cell r="E35">
            <v>246779414866</v>
          </cell>
          <cell r="F35" t="str">
            <v>USD</v>
          </cell>
          <cell r="G35">
            <v>26.55</v>
          </cell>
          <cell r="H35" t="str">
            <v>INR</v>
          </cell>
          <cell r="I35">
            <v>2301.65</v>
          </cell>
          <cell r="J35" t="str">
            <v>Outbound Handling charges for Jan 2025</v>
          </cell>
          <cell r="K35" t="str">
            <v>Invoice &amp; CN both not received &amp; booked</v>
          </cell>
        </row>
        <row r="36">
          <cell r="E36">
            <v>246779414867</v>
          </cell>
          <cell r="F36" t="str">
            <v>USD</v>
          </cell>
          <cell r="G36">
            <v>26.55</v>
          </cell>
          <cell r="H36" t="str">
            <v>INR</v>
          </cell>
          <cell r="I36">
            <v>2301.65</v>
          </cell>
          <cell r="J36" t="str">
            <v>Outbound Handling charges for Jan 2025</v>
          </cell>
          <cell r="K36" t="str">
            <v>Invoice &amp; CN both not received &amp; booked</v>
          </cell>
        </row>
        <row r="37">
          <cell r="E37">
            <v>246779414868</v>
          </cell>
          <cell r="F37" t="str">
            <v>USD</v>
          </cell>
          <cell r="G37">
            <v>2.95</v>
          </cell>
          <cell r="H37" t="str">
            <v>INR</v>
          </cell>
          <cell r="I37">
            <v>255.74</v>
          </cell>
          <cell r="J37" t="str">
            <v>Outbound Handling charges for Jan 2025</v>
          </cell>
          <cell r="K37" t="str">
            <v>Invoice &amp; CN both not received &amp; booked</v>
          </cell>
        </row>
        <row r="38">
          <cell r="E38">
            <v>246779414869</v>
          </cell>
          <cell r="F38" t="str">
            <v>USD</v>
          </cell>
          <cell r="G38">
            <v>35.4</v>
          </cell>
          <cell r="H38" t="str">
            <v>INR</v>
          </cell>
          <cell r="I38">
            <v>3068.87</v>
          </cell>
          <cell r="J38" t="str">
            <v>Outbound Handling charges for Jan 2025</v>
          </cell>
          <cell r="K38" t="str">
            <v>Invoice &amp; CN both not received &amp; booked</v>
          </cell>
        </row>
        <row r="39">
          <cell r="E39">
            <v>246779414590</v>
          </cell>
          <cell r="F39" t="str">
            <v>USD</v>
          </cell>
          <cell r="G39">
            <v>300.49</v>
          </cell>
          <cell r="H39" t="str">
            <v>INR</v>
          </cell>
          <cell r="I39">
            <v>26049.86</v>
          </cell>
          <cell r="J39" t="str">
            <v>Outbound Handling charges for Oct 2024</v>
          </cell>
          <cell r="K39" t="str">
            <v>Invoice &amp; CN both not received &amp; booked</v>
          </cell>
        </row>
        <row r="40">
          <cell r="E40">
            <v>246779414726</v>
          </cell>
          <cell r="F40" t="str">
            <v>USD</v>
          </cell>
          <cell r="G40">
            <v>165.4</v>
          </cell>
          <cell r="H40" t="str">
            <v>INR</v>
          </cell>
          <cell r="I40">
            <v>14338.73</v>
          </cell>
          <cell r="J40" t="str">
            <v>Outbound Handling charges for Jan 2025</v>
          </cell>
          <cell r="K40" t="str">
            <v>Invoice &amp; CN both not received &amp; booked</v>
          </cell>
        </row>
        <row r="41">
          <cell r="E41">
            <v>246779414296</v>
          </cell>
          <cell r="F41" t="str">
            <v>USD</v>
          </cell>
          <cell r="G41">
            <v>553.87</v>
          </cell>
          <cell r="H41" t="str">
            <v>INR</v>
          </cell>
          <cell r="I41">
            <v>48015.69</v>
          </cell>
          <cell r="J41" t="str">
            <v>Inbound Handling charges for Oct 2024</v>
          </cell>
          <cell r="K41" t="str">
            <v>Invoice &amp; CN both not received &amp; booked</v>
          </cell>
        </row>
        <row r="42">
          <cell r="E42">
            <v>246779414297</v>
          </cell>
          <cell r="F42" t="str">
            <v>USD</v>
          </cell>
          <cell r="G42">
            <v>424.8</v>
          </cell>
          <cell r="H42" t="str">
            <v>INR</v>
          </cell>
          <cell r="I42">
            <v>36826.449999999997</v>
          </cell>
          <cell r="J42" t="str">
            <v>LCL Movement Charges for Oct 2024</v>
          </cell>
          <cell r="K42" t="str">
            <v>Invoice &amp; CN both not received &amp; booked</v>
          </cell>
        </row>
        <row r="43">
          <cell r="E43">
            <v>246779414298</v>
          </cell>
          <cell r="F43" t="str">
            <v>USD</v>
          </cell>
          <cell r="G43">
            <v>70.8</v>
          </cell>
          <cell r="H43" t="str">
            <v>INR</v>
          </cell>
          <cell r="I43">
            <v>6137.74</v>
          </cell>
          <cell r="J43" t="str">
            <v>CY-MOVEMENT CHARGES for Oct 2024</v>
          </cell>
          <cell r="K43" t="str">
            <v>Invoice &amp; CN both not received &amp; booked</v>
          </cell>
        </row>
        <row r="44">
          <cell r="E44">
            <v>256779410272</v>
          </cell>
          <cell r="F44" t="str">
            <v>USD</v>
          </cell>
          <cell r="G44">
            <v>2286.2399999999998</v>
          </cell>
          <cell r="H44" t="str">
            <v>INR</v>
          </cell>
          <cell r="I44">
            <v>198724.14</v>
          </cell>
          <cell r="J44" t="str">
            <v>Fixed Rental charges for Feb 2025</v>
          </cell>
          <cell r="K44" t="str">
            <v>Invoice &amp; CN both not received &amp; booked</v>
          </cell>
        </row>
        <row r="45">
          <cell r="E45">
            <v>256779410076</v>
          </cell>
          <cell r="F45" t="str">
            <v>USD</v>
          </cell>
          <cell r="G45">
            <v>25.22</v>
          </cell>
          <cell r="H45" t="str">
            <v>INR</v>
          </cell>
          <cell r="I45">
            <v>2192.17</v>
          </cell>
          <cell r="J45" t="str">
            <v>Inbound Handling charges for Mar 2025</v>
          </cell>
          <cell r="K45" t="str">
            <v>Invoice &amp; CN both not received &amp; booked</v>
          </cell>
        </row>
        <row r="46">
          <cell r="E46">
            <v>256779410077</v>
          </cell>
          <cell r="F46" t="str">
            <v>USD</v>
          </cell>
          <cell r="G46">
            <v>84.96</v>
          </cell>
          <cell r="H46" t="str">
            <v>INR</v>
          </cell>
          <cell r="I46">
            <v>7384.88</v>
          </cell>
          <cell r="J46" t="str">
            <v>LCL charges for Mar 2025</v>
          </cell>
          <cell r="K46" t="str">
            <v>Invoice &amp; CN both not received &amp; booked</v>
          </cell>
        </row>
        <row r="47">
          <cell r="E47">
            <v>256779410127</v>
          </cell>
          <cell r="F47" t="str">
            <v>USD</v>
          </cell>
          <cell r="G47">
            <v>183.99</v>
          </cell>
          <cell r="H47" t="str">
            <v>INR</v>
          </cell>
          <cell r="I47">
            <v>15992.75</v>
          </cell>
          <cell r="J47" t="str">
            <v>Outbound Handling charges for Mar 25</v>
          </cell>
          <cell r="K47" t="str">
            <v>Invoice &amp; CN both not received &amp; booked</v>
          </cell>
        </row>
        <row r="48">
          <cell r="E48">
            <v>256779410213</v>
          </cell>
          <cell r="F48" t="str">
            <v>USD</v>
          </cell>
          <cell r="G48">
            <v>236</v>
          </cell>
          <cell r="H48" t="str">
            <v>INR</v>
          </cell>
          <cell r="I48">
            <v>20513.55</v>
          </cell>
          <cell r="J48" t="str">
            <v>Transportation Inbound charges for Jan 2025</v>
          </cell>
          <cell r="K48" t="str">
            <v>Invoice &amp; CN both not received &amp; booked</v>
          </cell>
        </row>
        <row r="49">
          <cell r="E49">
            <v>256779410214</v>
          </cell>
          <cell r="F49" t="str">
            <v>USD</v>
          </cell>
          <cell r="G49">
            <v>70.8</v>
          </cell>
          <cell r="H49" t="str">
            <v>INR</v>
          </cell>
          <cell r="I49">
            <v>6154.06</v>
          </cell>
          <cell r="J49" t="str">
            <v>Empty Cont Out charges for Jan 2025</v>
          </cell>
          <cell r="K49" t="str">
            <v>Invoice &amp; CN both not received &amp; booked</v>
          </cell>
        </row>
        <row r="50">
          <cell r="E50">
            <v>256779410231</v>
          </cell>
          <cell r="F50" t="str">
            <v>USD</v>
          </cell>
          <cell r="G50">
            <v>2333.1799999999998</v>
          </cell>
          <cell r="H50" t="str">
            <v>INR</v>
          </cell>
          <cell r="I50">
            <v>202804.25</v>
          </cell>
          <cell r="J50" t="str">
            <v>Fixed Rental charges for Jan 2025</v>
          </cell>
          <cell r="K50" t="str">
            <v>Invoice &amp; CN both not received &amp; booked</v>
          </cell>
        </row>
        <row r="51">
          <cell r="E51">
            <v>256779410819</v>
          </cell>
          <cell r="F51" t="str">
            <v>USD</v>
          </cell>
          <cell r="G51">
            <v>1913.97</v>
          </cell>
          <cell r="H51" t="str">
            <v>INR</v>
          </cell>
          <cell r="I51">
            <v>166365.76000000001</v>
          </cell>
          <cell r="J51" t="str">
            <v>Storage Charges Jan, 25</v>
          </cell>
          <cell r="K51" t="str">
            <v>Invoice under booking</v>
          </cell>
        </row>
        <row r="52">
          <cell r="E52">
            <v>256779411091</v>
          </cell>
          <cell r="F52" t="str">
            <v>USD</v>
          </cell>
          <cell r="G52">
            <v>54.87</v>
          </cell>
          <cell r="H52" t="str">
            <v>INR</v>
          </cell>
          <cell r="I52">
            <v>4769.3999999999996</v>
          </cell>
          <cell r="J52" t="str">
            <v>LCL Charges August 2024</v>
          </cell>
          <cell r="K52" t="str">
            <v>Invoice &amp; CN both not received &amp; booked</v>
          </cell>
        </row>
        <row r="53">
          <cell r="E53">
            <v>256779411092</v>
          </cell>
          <cell r="F53" t="str">
            <v>USD</v>
          </cell>
          <cell r="G53">
            <v>54.87</v>
          </cell>
          <cell r="H53" t="str">
            <v>INR</v>
          </cell>
          <cell r="I53">
            <v>4769.3999999999996</v>
          </cell>
          <cell r="J53" t="str">
            <v>LCL Charges August 2024</v>
          </cell>
          <cell r="K53" t="str">
            <v>Invoice &amp; CN both not received &amp; booked</v>
          </cell>
        </row>
        <row r="54">
          <cell r="E54">
            <v>256779411093</v>
          </cell>
          <cell r="F54" t="str">
            <v>USD</v>
          </cell>
          <cell r="G54">
            <v>57.82</v>
          </cell>
          <cell r="H54" t="str">
            <v>INR</v>
          </cell>
          <cell r="I54">
            <v>5025.82</v>
          </cell>
          <cell r="J54" t="str">
            <v>LCL Charges August 2024</v>
          </cell>
          <cell r="K54" t="str">
            <v>Invoice &amp; CN both not received &amp; booked</v>
          </cell>
        </row>
        <row r="55">
          <cell r="E55">
            <v>256779411094</v>
          </cell>
          <cell r="F55" t="str">
            <v>USD</v>
          </cell>
          <cell r="G55">
            <v>34.22</v>
          </cell>
          <cell r="H55" t="str">
            <v>INR</v>
          </cell>
          <cell r="I55">
            <v>2974.46</v>
          </cell>
          <cell r="J55" t="str">
            <v>LCL Charges August 2024</v>
          </cell>
          <cell r="K55" t="str">
            <v>Invoice &amp; CN both not received &amp; booked</v>
          </cell>
        </row>
        <row r="56">
          <cell r="E56">
            <v>256779411095</v>
          </cell>
          <cell r="F56" t="str">
            <v>USD</v>
          </cell>
          <cell r="G56">
            <v>48.97</v>
          </cell>
          <cell r="H56" t="str">
            <v>INR</v>
          </cell>
          <cell r="I56">
            <v>4256.5600000000004</v>
          </cell>
          <cell r="J56" t="str">
            <v>LCL Charges August 2024</v>
          </cell>
          <cell r="K56" t="str">
            <v>Invoice &amp; CN both not received &amp; booked</v>
          </cell>
        </row>
        <row r="57">
          <cell r="E57">
            <v>256779411096</v>
          </cell>
          <cell r="F57" t="str">
            <v>USD</v>
          </cell>
          <cell r="G57">
            <v>43.07</v>
          </cell>
          <cell r="H57" t="str">
            <v>INR</v>
          </cell>
          <cell r="I57">
            <v>3743.72</v>
          </cell>
          <cell r="J57" t="str">
            <v>LCL Charges August 2024</v>
          </cell>
          <cell r="K57" t="str">
            <v>Invoice &amp; CN both not received &amp; booked</v>
          </cell>
        </row>
        <row r="58">
          <cell r="E58">
            <v>256779411098</v>
          </cell>
          <cell r="F58" t="str">
            <v>USD</v>
          </cell>
          <cell r="G58">
            <v>60.64</v>
          </cell>
          <cell r="H58" t="str">
            <v>INR</v>
          </cell>
          <cell r="I58">
            <v>5270.94</v>
          </cell>
          <cell r="J58" t="str">
            <v>LCL Charges August 2024</v>
          </cell>
          <cell r="K58" t="str">
            <v>Invoice &amp; CN both not received &amp; booked</v>
          </cell>
        </row>
        <row r="59">
          <cell r="E59">
            <v>256779411099</v>
          </cell>
          <cell r="F59" t="str">
            <v>USD</v>
          </cell>
          <cell r="G59">
            <v>58.81</v>
          </cell>
          <cell r="H59" t="str">
            <v>INR</v>
          </cell>
          <cell r="I59">
            <v>5111.87</v>
          </cell>
          <cell r="J59" t="str">
            <v>LCL Charges August 2024</v>
          </cell>
          <cell r="K59" t="str">
            <v>Invoice &amp; CN both not received &amp; booked</v>
          </cell>
        </row>
        <row r="60">
          <cell r="E60">
            <v>256779411100</v>
          </cell>
          <cell r="F60" t="str">
            <v>USD</v>
          </cell>
          <cell r="G60">
            <v>46.02</v>
          </cell>
          <cell r="H60" t="str">
            <v>INR</v>
          </cell>
          <cell r="I60">
            <v>4000.14</v>
          </cell>
          <cell r="J60" t="str">
            <v>LCL Charges August 2024</v>
          </cell>
          <cell r="K60" t="str">
            <v>Invoice &amp; CN both not received &amp; booked</v>
          </cell>
        </row>
        <row r="61">
          <cell r="E61">
            <v>256779411101</v>
          </cell>
          <cell r="F61" t="str">
            <v>USD</v>
          </cell>
          <cell r="G61">
            <v>32.450000000000003</v>
          </cell>
          <cell r="H61" t="str">
            <v>INR</v>
          </cell>
          <cell r="I61">
            <v>2820.61</v>
          </cell>
          <cell r="J61" t="str">
            <v>LCL Charges August 2024</v>
          </cell>
          <cell r="K61" t="str">
            <v>Invoice &amp; CN both not received &amp; booked</v>
          </cell>
        </row>
        <row r="62">
          <cell r="E62">
            <v>256779411458</v>
          </cell>
          <cell r="F62" t="str">
            <v>USD</v>
          </cell>
          <cell r="G62">
            <v>35.4</v>
          </cell>
          <cell r="H62" t="str">
            <v>INR</v>
          </cell>
          <cell r="I62">
            <v>3077.03</v>
          </cell>
          <cell r="J62" t="str">
            <v>Outbound Handling Charges Aug 2024</v>
          </cell>
          <cell r="K62" t="str">
            <v>Invoice &amp; CN both not received &amp; booked</v>
          </cell>
        </row>
        <row r="63">
          <cell r="E63">
            <v>256779411459</v>
          </cell>
          <cell r="F63" t="str">
            <v>USD</v>
          </cell>
          <cell r="G63">
            <v>29.5</v>
          </cell>
          <cell r="H63" t="str">
            <v>INR</v>
          </cell>
          <cell r="I63">
            <v>2564.19</v>
          </cell>
          <cell r="J63" t="str">
            <v>Outbound Handling Charges Aug 2024</v>
          </cell>
          <cell r="K63" t="str">
            <v>Invoice &amp; CN both not received &amp; booked</v>
          </cell>
        </row>
        <row r="64">
          <cell r="E64">
            <v>256779411460</v>
          </cell>
          <cell r="F64" t="str">
            <v>USD</v>
          </cell>
          <cell r="G64">
            <v>29.5</v>
          </cell>
          <cell r="H64" t="str">
            <v>INR</v>
          </cell>
          <cell r="I64">
            <v>2564.19</v>
          </cell>
          <cell r="J64" t="str">
            <v>Outbound Handling Charges Aug 2024</v>
          </cell>
          <cell r="K64" t="str">
            <v>Invoice &amp; CN both not received &amp; booked</v>
          </cell>
        </row>
        <row r="65">
          <cell r="E65">
            <v>256779411461</v>
          </cell>
          <cell r="F65" t="str">
            <v>USD</v>
          </cell>
          <cell r="G65">
            <v>35.4</v>
          </cell>
          <cell r="H65" t="str">
            <v>INR</v>
          </cell>
          <cell r="I65">
            <v>3077.03</v>
          </cell>
          <cell r="J65" t="str">
            <v>Outbound Handling Charges Aug 2024</v>
          </cell>
          <cell r="K65" t="str">
            <v>Invoice &amp; CN both not received &amp; booked</v>
          </cell>
        </row>
        <row r="66">
          <cell r="E66">
            <v>256779411462</v>
          </cell>
          <cell r="F66" t="str">
            <v>USD</v>
          </cell>
          <cell r="G66">
            <v>20.65</v>
          </cell>
          <cell r="H66" t="str">
            <v>INR</v>
          </cell>
          <cell r="I66">
            <v>1794.94</v>
          </cell>
          <cell r="J66" t="str">
            <v>Outbound Handling Charges Aug 2024</v>
          </cell>
          <cell r="K66" t="str">
            <v>Invoice &amp; CN both not received &amp; booked</v>
          </cell>
        </row>
        <row r="67">
          <cell r="E67">
            <v>256779411464</v>
          </cell>
          <cell r="F67" t="str">
            <v>USD</v>
          </cell>
          <cell r="G67">
            <v>8.85</v>
          </cell>
          <cell r="H67" t="str">
            <v>INR</v>
          </cell>
          <cell r="I67">
            <v>769.26</v>
          </cell>
          <cell r="J67" t="str">
            <v>Outbound Handling Charges Aug 2024</v>
          </cell>
          <cell r="K67" t="str">
            <v>Invoice &amp; CN both not received &amp; booked</v>
          </cell>
        </row>
        <row r="68">
          <cell r="E68">
            <v>256779411469</v>
          </cell>
          <cell r="F68" t="str">
            <v>USD</v>
          </cell>
          <cell r="G68">
            <v>35.4</v>
          </cell>
          <cell r="H68" t="str">
            <v>INR</v>
          </cell>
          <cell r="I68">
            <v>3077.03</v>
          </cell>
          <cell r="J68" t="str">
            <v>Outbound Handling Charges Aug 2024</v>
          </cell>
          <cell r="K68" t="str">
            <v>Invoice &amp; CN both not received &amp; booked</v>
          </cell>
        </row>
        <row r="69">
          <cell r="E69">
            <v>256779411097</v>
          </cell>
          <cell r="F69" t="str">
            <v>USD</v>
          </cell>
          <cell r="G69">
            <v>118</v>
          </cell>
          <cell r="H69" t="str">
            <v>INR</v>
          </cell>
          <cell r="I69">
            <v>10256.77</v>
          </cell>
          <cell r="J69" t="str">
            <v>Inbound Handling for August 24</v>
          </cell>
          <cell r="K69" t="str">
            <v>Invoice &amp; CN both not received &amp; booked</v>
          </cell>
        </row>
        <row r="70">
          <cell r="E70">
            <v>256779411722</v>
          </cell>
          <cell r="F70" t="str">
            <v>USD</v>
          </cell>
          <cell r="G70">
            <v>236</v>
          </cell>
          <cell r="H70" t="str">
            <v>INR</v>
          </cell>
          <cell r="I70">
            <v>20513.55</v>
          </cell>
          <cell r="J70" t="str">
            <v>CY Longstanding Transportation chgs for 31 MAR 202</v>
          </cell>
          <cell r="K70" t="str">
            <v>Invoice &amp; CN both not received &amp; booked</v>
          </cell>
        </row>
        <row r="71">
          <cell r="E71">
            <v>256779411795</v>
          </cell>
          <cell r="F71" t="str">
            <v>USD</v>
          </cell>
          <cell r="G71">
            <v>369.34</v>
          </cell>
          <cell r="H71" t="str">
            <v>INR</v>
          </cell>
          <cell r="I71">
            <v>32103.7</v>
          </cell>
          <cell r="J71" t="str">
            <v>Inbound Handling charges for Dec 2024</v>
          </cell>
          <cell r="K71" t="str">
            <v>Invoice &amp; CN both not received &amp; booked</v>
          </cell>
        </row>
        <row r="72">
          <cell r="E72">
            <v>256779411796</v>
          </cell>
          <cell r="F72" t="str">
            <v>USD</v>
          </cell>
          <cell r="G72">
            <v>226.56</v>
          </cell>
          <cell r="H72" t="str">
            <v>INR</v>
          </cell>
          <cell r="I72">
            <v>19693.009999999998</v>
          </cell>
          <cell r="J72" t="str">
            <v>LCL charges for Dec 2024</v>
          </cell>
          <cell r="K72" t="str">
            <v>Invoice &amp; CN both not received &amp; booked</v>
          </cell>
        </row>
        <row r="73">
          <cell r="E73">
            <v>256779411797</v>
          </cell>
          <cell r="F73" t="str">
            <v>USD</v>
          </cell>
          <cell r="G73">
            <v>35.4</v>
          </cell>
          <cell r="H73" t="str">
            <v>INR</v>
          </cell>
          <cell r="I73">
            <v>3077.03</v>
          </cell>
          <cell r="J73" t="str">
            <v>Cy-WH Destuff charges for Dec 2024</v>
          </cell>
          <cell r="K73" t="str">
            <v>Invoice &amp; CN both not received &amp; booked</v>
          </cell>
        </row>
        <row r="74">
          <cell r="E74">
            <v>256779411798</v>
          </cell>
          <cell r="F74" t="str">
            <v>USD</v>
          </cell>
          <cell r="G74">
            <v>236</v>
          </cell>
          <cell r="H74" t="str">
            <v>INR</v>
          </cell>
          <cell r="I74">
            <v>20513.55</v>
          </cell>
          <cell r="J74" t="str">
            <v>Transportation Inbound charges for Dec 2024</v>
          </cell>
          <cell r="K74" t="str">
            <v>Invoice &amp; CN both not received &amp; booked</v>
          </cell>
        </row>
        <row r="75">
          <cell r="E75">
            <v>256779411799</v>
          </cell>
          <cell r="F75" t="str">
            <v>USD</v>
          </cell>
          <cell r="G75">
            <v>70.8</v>
          </cell>
          <cell r="H75" t="str">
            <v>INR</v>
          </cell>
          <cell r="I75">
            <v>6154.06</v>
          </cell>
          <cell r="J75" t="str">
            <v>Empty Cont. Outbound charges for Dec 2024</v>
          </cell>
          <cell r="K75" t="str">
            <v>Invoice &amp; CN both not received &amp; booked</v>
          </cell>
        </row>
        <row r="76">
          <cell r="E76">
            <v>256779412140</v>
          </cell>
          <cell r="F76" t="str">
            <v>INR</v>
          </cell>
          <cell r="G76">
            <v>262.20999999999998</v>
          </cell>
          <cell r="H76" t="str">
            <v>INR</v>
          </cell>
          <cell r="I76">
            <v>262.20999999999998</v>
          </cell>
          <cell r="J76" t="str">
            <v>Fixed Storage Charges for April 2025</v>
          </cell>
          <cell r="K76" t="str">
            <v>Invoice &amp; CN both not received &amp; booked</v>
          </cell>
        </row>
        <row r="77">
          <cell r="E77">
            <v>256779412609</v>
          </cell>
          <cell r="F77" t="str">
            <v>USD</v>
          </cell>
          <cell r="G77">
            <v>700.06</v>
          </cell>
          <cell r="H77" t="str">
            <v>INR</v>
          </cell>
          <cell r="I77">
            <v>60850.49</v>
          </cell>
          <cell r="J77" t="str">
            <v>Inbound Handling charges for 31 Mar 2025</v>
          </cell>
          <cell r="K77" t="str">
            <v>Invoice &amp; CN both not received &amp; booked</v>
          </cell>
        </row>
        <row r="78">
          <cell r="E78">
            <v>256779412649</v>
          </cell>
          <cell r="F78" t="str">
            <v>USD</v>
          </cell>
          <cell r="G78">
            <v>79.650000000000006</v>
          </cell>
          <cell r="H78" t="str">
            <v>INR</v>
          </cell>
          <cell r="I78">
            <v>6923.32</v>
          </cell>
          <cell r="J78" t="str">
            <v>Outbound Handling charges for 31 Mar 25</v>
          </cell>
          <cell r="K78" t="str">
            <v>Invoice &amp; CN both not received &amp; booked</v>
          </cell>
        </row>
        <row r="79">
          <cell r="E79">
            <v>256779412884</v>
          </cell>
          <cell r="F79" t="str">
            <v>USD</v>
          </cell>
          <cell r="G79">
            <v>136.08000000000001</v>
          </cell>
          <cell r="H79" t="str">
            <v>INR</v>
          </cell>
          <cell r="I79">
            <v>11828.32</v>
          </cell>
          <cell r="J79" t="str">
            <v>LCL Chgs - 01 - 15 Apr 25</v>
          </cell>
          <cell r="K79" t="str">
            <v>Invoice &amp; CN both not received &amp; booked</v>
          </cell>
        </row>
        <row r="80">
          <cell r="E80">
            <v>256779412918</v>
          </cell>
          <cell r="F80" t="str">
            <v>USD</v>
          </cell>
          <cell r="G80">
            <v>183.35</v>
          </cell>
          <cell r="H80" t="str">
            <v>INR</v>
          </cell>
          <cell r="I80">
            <v>15937.12</v>
          </cell>
          <cell r="J80" t="str">
            <v>Outbound chgs - 01 - 15 Apr 25</v>
          </cell>
          <cell r="K80" t="str">
            <v>Invoice &amp; CN both not received &amp; booked</v>
          </cell>
        </row>
        <row r="81">
          <cell r="E81">
            <v>256779412948</v>
          </cell>
          <cell r="F81" t="str">
            <v>USD</v>
          </cell>
          <cell r="G81">
            <v>3.1</v>
          </cell>
          <cell r="H81" t="str">
            <v>INR</v>
          </cell>
          <cell r="I81">
            <v>269.45999999999998</v>
          </cell>
          <cell r="J81" t="str">
            <v>Outbound chgs - 01 - 15 Apr 25</v>
          </cell>
          <cell r="K81" t="str">
            <v>Invoice &amp; CN both not received &amp; booked</v>
          </cell>
        </row>
        <row r="82">
          <cell r="E82">
            <v>256779413161</v>
          </cell>
          <cell r="F82" t="str">
            <v>USD</v>
          </cell>
          <cell r="G82">
            <v>707.71</v>
          </cell>
          <cell r="H82" t="str">
            <v>INR</v>
          </cell>
          <cell r="I82">
            <v>60851.519999999997</v>
          </cell>
          <cell r="J82" t="str">
            <v>CODC Inbound chgs - 16 - 30 Apr 25</v>
          </cell>
          <cell r="K82" t="str">
            <v>Invoice &amp; CN both not received &amp; booked</v>
          </cell>
        </row>
        <row r="83">
          <cell r="E83">
            <v>256779413169</v>
          </cell>
          <cell r="F83" t="str">
            <v>USD</v>
          </cell>
          <cell r="G83">
            <v>3.78</v>
          </cell>
          <cell r="H83" t="str">
            <v>INR</v>
          </cell>
          <cell r="I83">
            <v>325.02</v>
          </cell>
          <cell r="J83" t="str">
            <v>CODC Out chgs - 16 - 30 Apr 25</v>
          </cell>
          <cell r="K83" t="str">
            <v>Invoice &amp; CN both not received &amp; booked</v>
          </cell>
        </row>
        <row r="84">
          <cell r="E84">
            <v>256779413280</v>
          </cell>
          <cell r="F84" t="str">
            <v>USD</v>
          </cell>
          <cell r="G84">
            <v>59</v>
          </cell>
          <cell r="H84" t="str">
            <v>INR</v>
          </cell>
          <cell r="I84">
            <v>5073.04</v>
          </cell>
          <cell r="J84" t="str">
            <v>Scanning  Chgs - 16 - 31 Apr 25</v>
          </cell>
          <cell r="K84" t="str">
            <v>Invoice &amp; CN both not received &amp; booked</v>
          </cell>
        </row>
        <row r="85">
          <cell r="E85">
            <v>256779413308</v>
          </cell>
          <cell r="F85" t="str">
            <v>USD</v>
          </cell>
          <cell r="G85">
            <v>723.47</v>
          </cell>
          <cell r="H85" t="str">
            <v>INR</v>
          </cell>
          <cell r="I85">
            <v>62206.63</v>
          </cell>
          <cell r="J85" t="str">
            <v>LCL Chgs - 16 - 30 Apr 25</v>
          </cell>
          <cell r="K85" t="str">
            <v>Invoice &amp; CN both not received &amp; booked</v>
          </cell>
        </row>
        <row r="86">
          <cell r="E86">
            <v>256779413348</v>
          </cell>
          <cell r="F86" t="str">
            <v>USD</v>
          </cell>
          <cell r="G86">
            <v>138.82</v>
          </cell>
          <cell r="H86" t="str">
            <v>INR</v>
          </cell>
          <cell r="I86">
            <v>11936.26</v>
          </cell>
          <cell r="J86" t="str">
            <v>Outbound chgs - 16 - 30 Apr 25</v>
          </cell>
          <cell r="K86" t="str">
            <v>Invoice &amp; CN both not received &amp; booked</v>
          </cell>
        </row>
        <row r="87">
          <cell r="E87">
            <v>256779413859</v>
          </cell>
          <cell r="F87" t="str">
            <v>USD</v>
          </cell>
          <cell r="G87">
            <v>413</v>
          </cell>
          <cell r="H87" t="str">
            <v>INR</v>
          </cell>
          <cell r="I87">
            <v>35511.269999999997</v>
          </cell>
          <cell r="J87" t="str">
            <v>Scanning  Chgs - 01 - 15 May 25</v>
          </cell>
          <cell r="K87" t="str">
            <v>Invoice &amp; CN both not received &amp; booked</v>
          </cell>
        </row>
        <row r="88">
          <cell r="E88">
            <v>256779413835</v>
          </cell>
          <cell r="F88" t="str">
            <v>USD</v>
          </cell>
          <cell r="G88">
            <v>206.02</v>
          </cell>
          <cell r="H88" t="str">
            <v>INR</v>
          </cell>
          <cell r="I88">
            <v>17714.36</v>
          </cell>
          <cell r="J88" t="str">
            <v>VAS -1-15 May 25, Ex.rate 85.43</v>
          </cell>
          <cell r="K88" t="str">
            <v>Invoice not received</v>
          </cell>
        </row>
        <row r="89">
          <cell r="E89">
            <v>256779413480</v>
          </cell>
          <cell r="F89" t="str">
            <v>USD</v>
          </cell>
          <cell r="G89">
            <v>183.84</v>
          </cell>
          <cell r="H89" t="str">
            <v>INR</v>
          </cell>
          <cell r="I89">
            <v>15807.24</v>
          </cell>
          <cell r="J89" t="str">
            <v>Outbound chgs - 01 - 15 MAY 25</v>
          </cell>
          <cell r="K89" t="str">
            <v>Invoice &amp; CN both not received &amp; booked</v>
          </cell>
        </row>
        <row r="90">
          <cell r="E90">
            <v>256779413879</v>
          </cell>
          <cell r="F90" t="str">
            <v>USD</v>
          </cell>
          <cell r="G90">
            <v>37.17</v>
          </cell>
          <cell r="H90" t="str">
            <v>INR</v>
          </cell>
          <cell r="I90">
            <v>3196.01</v>
          </cell>
          <cell r="J90" t="str">
            <v>LCL Chgs - 01-15 MAY 25</v>
          </cell>
          <cell r="K90" t="str">
            <v>Invoice &amp; CN both not received &amp; booked</v>
          </cell>
        </row>
        <row r="91">
          <cell r="E91">
            <v>256779414156</v>
          </cell>
          <cell r="F91" t="str">
            <v>USD</v>
          </cell>
          <cell r="G91">
            <v>83.66</v>
          </cell>
          <cell r="H91" t="str">
            <v>INR</v>
          </cell>
          <cell r="I91">
            <v>7152.16</v>
          </cell>
          <cell r="J91" t="str">
            <v>CODC Inbound chgs - 16 - 31 May 25</v>
          </cell>
          <cell r="K91" t="str">
            <v>Invoice &amp; CN both not received &amp; booked</v>
          </cell>
        </row>
        <row r="92">
          <cell r="E92">
            <v>256779414173</v>
          </cell>
          <cell r="F92" t="str">
            <v>USD</v>
          </cell>
          <cell r="G92">
            <v>2668.72</v>
          </cell>
          <cell r="H92" t="str">
            <v>INR</v>
          </cell>
          <cell r="I92">
            <v>228150.95</v>
          </cell>
          <cell r="J92" t="str">
            <v>PORT SSR Chgs - 16 - 31 May 25</v>
          </cell>
          <cell r="K92" t="str">
            <v>Invoice &amp; CN both not received &amp; booked</v>
          </cell>
        </row>
        <row r="93">
          <cell r="E93">
            <v>256779414206</v>
          </cell>
          <cell r="F93" t="str">
            <v>USD</v>
          </cell>
          <cell r="G93">
            <v>201.33</v>
          </cell>
          <cell r="H93" t="str">
            <v>INR</v>
          </cell>
          <cell r="I93">
            <v>17211.86</v>
          </cell>
          <cell r="J93" t="str">
            <v>Outbound chgs - 16 - 31 MAY 25</v>
          </cell>
          <cell r="K93" t="str">
            <v>Invoice &amp; CN both not received &amp; booked</v>
          </cell>
        </row>
        <row r="94">
          <cell r="E94">
            <v>256779414260</v>
          </cell>
          <cell r="F94" t="str">
            <v>USD</v>
          </cell>
          <cell r="G94">
            <v>130.93</v>
          </cell>
          <cell r="H94" t="str">
            <v>INR</v>
          </cell>
          <cell r="I94">
            <v>11193.31</v>
          </cell>
          <cell r="J94" t="str">
            <v>Detention Chgs - 01 - 15 MAY 25</v>
          </cell>
          <cell r="K94" t="str">
            <v>Invoice &amp; CN both not received &amp; booked</v>
          </cell>
        </row>
        <row r="95">
          <cell r="E95">
            <v>256779414271</v>
          </cell>
          <cell r="F95" t="str">
            <v>USD</v>
          </cell>
          <cell r="G95">
            <v>967.68</v>
          </cell>
          <cell r="H95" t="str">
            <v>INR</v>
          </cell>
          <cell r="I95">
            <v>82727.72</v>
          </cell>
          <cell r="J95" t="str">
            <v>Empty Lolo Chgs - 01 - 31 MAY 25</v>
          </cell>
          <cell r="K95" t="str">
            <v>Invoice &amp; CN both not received &amp; booked</v>
          </cell>
        </row>
        <row r="96">
          <cell r="E96">
            <v>256779414309</v>
          </cell>
          <cell r="F96" t="str">
            <v>USD</v>
          </cell>
          <cell r="G96">
            <v>662.83</v>
          </cell>
          <cell r="H96" t="str">
            <v>INR</v>
          </cell>
          <cell r="I96">
            <v>56665.85</v>
          </cell>
          <cell r="J96" t="str">
            <v>Transportation In Chgs - 16-31 MAY 25</v>
          </cell>
          <cell r="K96" t="str">
            <v>Invoice &amp; CN both not received &amp; booked</v>
          </cell>
        </row>
        <row r="97">
          <cell r="E97">
            <v>256779414253</v>
          </cell>
          <cell r="F97" t="str">
            <v>USD</v>
          </cell>
          <cell r="G97">
            <v>9947.26</v>
          </cell>
          <cell r="H97" t="str">
            <v>INR</v>
          </cell>
          <cell r="I97">
            <v>850399.02</v>
          </cell>
          <cell r="J97" t="str">
            <v>Unit storage -1-31 May 25</v>
          </cell>
          <cell r="K97" t="str">
            <v>Invoice under booking</v>
          </cell>
        </row>
        <row r="98">
          <cell r="E98">
            <v>256779414430</v>
          </cell>
          <cell r="F98" t="str">
            <v>USD</v>
          </cell>
          <cell r="G98">
            <v>95.24</v>
          </cell>
          <cell r="H98" t="str">
            <v>INR</v>
          </cell>
          <cell r="I98">
            <v>8142.14</v>
          </cell>
          <cell r="J98" t="str">
            <v>Office space charges for Nov 2024</v>
          </cell>
          <cell r="K98" t="str">
            <v>Invoice &amp; CN both not received &amp; booked</v>
          </cell>
        </row>
        <row r="99">
          <cell r="E99">
            <v>256779414445</v>
          </cell>
          <cell r="F99" t="str">
            <v>USD</v>
          </cell>
          <cell r="G99">
            <v>2333.1799999999998</v>
          </cell>
          <cell r="H99" t="str">
            <v>INR</v>
          </cell>
          <cell r="I99">
            <v>199465.38</v>
          </cell>
          <cell r="J99" t="str">
            <v>Fixed Rental charges for Jan 2025</v>
          </cell>
          <cell r="K99" t="str">
            <v>Invoice &amp; CN both not received &amp; booked</v>
          </cell>
        </row>
        <row r="100">
          <cell r="E100">
            <v>256779415296</v>
          </cell>
          <cell r="F100" t="str">
            <v>USD</v>
          </cell>
          <cell r="G100">
            <v>24</v>
          </cell>
          <cell r="H100" t="str">
            <v>INR</v>
          </cell>
          <cell r="I100">
            <v>2064.02</v>
          </cell>
          <cell r="J100" t="str">
            <v>LCL Charges August 2024</v>
          </cell>
          <cell r="K100" t="str">
            <v>Invoice under booking</v>
          </cell>
        </row>
        <row r="101">
          <cell r="E101">
            <v>256779415363</v>
          </cell>
          <cell r="F101" t="str">
            <v>USD</v>
          </cell>
          <cell r="G101">
            <v>3</v>
          </cell>
          <cell r="H101" t="str">
            <v>INR</v>
          </cell>
          <cell r="I101">
            <v>258</v>
          </cell>
          <cell r="J101" t="str">
            <v>Outbound Handling for Aug 2024</v>
          </cell>
          <cell r="K101" t="str">
            <v>Invoice under booking</v>
          </cell>
        </row>
        <row r="102">
          <cell r="E102">
            <v>256779415792</v>
          </cell>
          <cell r="F102" t="str">
            <v>USD</v>
          </cell>
          <cell r="G102">
            <v>608.41</v>
          </cell>
          <cell r="H102" t="str">
            <v>INR</v>
          </cell>
          <cell r="I102">
            <v>52323.67</v>
          </cell>
          <cell r="J102" t="str">
            <v>Transportation In Chgs - 01 - 15 JUL 25</v>
          </cell>
          <cell r="K102" t="str">
            <v>Invoice &amp; CN both not received &amp; booked</v>
          </cell>
        </row>
        <row r="103">
          <cell r="E103">
            <v>256779416593</v>
          </cell>
          <cell r="F103" t="str">
            <v>USD</v>
          </cell>
          <cell r="G103">
            <v>810</v>
          </cell>
          <cell r="H103" t="str">
            <v>INR</v>
          </cell>
          <cell r="I103">
            <v>69684.399999999994</v>
          </cell>
          <cell r="J103" t="str">
            <v>Empty Cont Out Chgs - 16 - 31 Jul 25</v>
          </cell>
          <cell r="K103" t="str">
            <v>Invoice under booking</v>
          </cell>
        </row>
        <row r="104">
          <cell r="E104">
            <v>256779416600</v>
          </cell>
          <cell r="F104" t="str">
            <v>USD</v>
          </cell>
          <cell r="G104">
            <v>737.41</v>
          </cell>
          <cell r="H104" t="str">
            <v>INR</v>
          </cell>
          <cell r="I104">
            <v>63439.47</v>
          </cell>
          <cell r="J104" t="str">
            <v>CODC Inbound chgs - 1 -15 Aug  25</v>
          </cell>
          <cell r="K104" t="str">
            <v>Invoice under booking</v>
          </cell>
        </row>
        <row r="105">
          <cell r="E105">
            <v>256779416801</v>
          </cell>
          <cell r="F105" t="str">
            <v>USD</v>
          </cell>
          <cell r="G105">
            <v>110</v>
          </cell>
          <cell r="H105" t="str">
            <v>INR</v>
          </cell>
          <cell r="I105">
            <v>9463.31</v>
          </cell>
          <cell r="J105" t="str">
            <v>INTRA-Aug 25- 1-15</v>
          </cell>
          <cell r="K105" t="str">
            <v>Invoice under booking</v>
          </cell>
        </row>
        <row r="106">
          <cell r="E106">
            <v>256779416807</v>
          </cell>
          <cell r="F106" t="str">
            <v>USD</v>
          </cell>
          <cell r="G106">
            <v>248.96</v>
          </cell>
          <cell r="H106" t="str">
            <v>INR</v>
          </cell>
          <cell r="I106">
            <v>21418.06</v>
          </cell>
          <cell r="J106" t="str">
            <v>VAS-Aug 25- 1-15</v>
          </cell>
          <cell r="K106" t="str">
            <v>Invoice under booking</v>
          </cell>
        </row>
        <row r="107">
          <cell r="E107">
            <v>256779416814</v>
          </cell>
          <cell r="F107" t="str">
            <v>USD</v>
          </cell>
          <cell r="G107">
            <v>230</v>
          </cell>
          <cell r="H107" t="str">
            <v>INR</v>
          </cell>
          <cell r="I107">
            <v>19786.93</v>
          </cell>
          <cell r="J107" t="str">
            <v>Transportation In Chgs - 01 - 15 Aug 25</v>
          </cell>
          <cell r="K107" t="str">
            <v>Invoice under booking</v>
          </cell>
        </row>
        <row r="108">
          <cell r="E108">
            <v>256779417250</v>
          </cell>
          <cell r="F108" t="str">
            <v>USD</v>
          </cell>
          <cell r="G108">
            <v>50</v>
          </cell>
          <cell r="H108" t="str">
            <v>INR</v>
          </cell>
          <cell r="I108">
            <v>4375.72</v>
          </cell>
          <cell r="J108" t="str">
            <v>Scanning  Chgs - 16 - 31 Aug 25</v>
          </cell>
          <cell r="K108" t="str">
            <v>Invoice under booking</v>
          </cell>
        </row>
        <row r="109">
          <cell r="E109">
            <v>256779417093</v>
          </cell>
          <cell r="F109" t="str">
            <v>USD</v>
          </cell>
          <cell r="G109">
            <v>4608.8</v>
          </cell>
          <cell r="H109" t="str">
            <v>INR</v>
          </cell>
          <cell r="I109">
            <v>403336.04</v>
          </cell>
          <cell r="J109" t="str">
            <v>Unit-Storage-1-31 Aug 25</v>
          </cell>
          <cell r="K109" t="str">
            <v>Invoice &amp; CN both not received &amp; booked</v>
          </cell>
        </row>
        <row r="110">
          <cell r="E110">
            <v>256779418357</v>
          </cell>
          <cell r="F110" t="str">
            <v>USD</v>
          </cell>
          <cell r="G110">
            <v>394.19</v>
          </cell>
          <cell r="H110" t="str">
            <v>INR</v>
          </cell>
          <cell r="I110">
            <v>34763.919999999998</v>
          </cell>
          <cell r="J110" t="str">
            <v>Internet Activity Chgs - Aug 24 to Sep 25</v>
          </cell>
          <cell r="K110" t="str">
            <v>Invoice under booking</v>
          </cell>
        </row>
        <row r="111">
          <cell r="E111">
            <v>256779418068</v>
          </cell>
          <cell r="F111" t="str">
            <v>USD</v>
          </cell>
          <cell r="G111">
            <v>94.81</v>
          </cell>
          <cell r="H111" t="str">
            <v>INR</v>
          </cell>
          <cell r="I111">
            <v>8361.3700000000008</v>
          </cell>
          <cell r="J111" t="str">
            <v>Outbound chgs - 16 - 30 Sep 25</v>
          </cell>
          <cell r="K111" t="str">
            <v>Invoice &amp; CN both not received &amp; booked</v>
          </cell>
        </row>
        <row r="112">
          <cell r="E112">
            <v>256779418185</v>
          </cell>
          <cell r="F112" t="str">
            <v>USD</v>
          </cell>
          <cell r="G112">
            <v>405.44</v>
          </cell>
          <cell r="H112" t="str">
            <v>INR</v>
          </cell>
          <cell r="I112">
            <v>35756.07</v>
          </cell>
          <cell r="J112" t="str">
            <v>Weighment-16-30 Sept 25</v>
          </cell>
          <cell r="K112" t="str">
            <v>Invoice under booking</v>
          </cell>
        </row>
        <row r="113">
          <cell r="E113">
            <v>256779418692</v>
          </cell>
          <cell r="F113" t="str">
            <v>USD</v>
          </cell>
          <cell r="G113">
            <v>531.26</v>
          </cell>
          <cell r="H113" t="str">
            <v>INR</v>
          </cell>
          <cell r="I113">
            <v>46852.23</v>
          </cell>
          <cell r="J113" t="str">
            <v>Outbound chgs - 01 - 15 Oct 25</v>
          </cell>
          <cell r="K113" t="str">
            <v>Invoice under booking</v>
          </cell>
        </row>
        <row r="114">
          <cell r="E114">
            <v>256779418489</v>
          </cell>
          <cell r="F114" t="str">
            <v>USD</v>
          </cell>
          <cell r="G114">
            <v>562.38</v>
          </cell>
          <cell r="H114" t="str">
            <v>INR</v>
          </cell>
          <cell r="I114">
            <v>49596.73</v>
          </cell>
          <cell r="J114" t="str">
            <v>VAS  -1-15 Oct 2025</v>
          </cell>
          <cell r="K114" t="str">
            <v>Invoice &amp; CN both not received &amp; booked</v>
          </cell>
        </row>
        <row r="115">
          <cell r="E115">
            <v>256779418495</v>
          </cell>
          <cell r="F115" t="str">
            <v>USD</v>
          </cell>
          <cell r="G115">
            <v>13.59</v>
          </cell>
          <cell r="H115" t="str">
            <v>INR</v>
          </cell>
          <cell r="I115">
            <v>1198.51</v>
          </cell>
          <cell r="J115" t="str">
            <v>Weighment  -1-15 Oct 2025</v>
          </cell>
          <cell r="K115" t="str">
            <v>Invoice &amp; CN both not received &amp; booked</v>
          </cell>
        </row>
        <row r="116">
          <cell r="E116">
            <v>256779418816</v>
          </cell>
          <cell r="F116" t="str">
            <v>USD</v>
          </cell>
          <cell r="G116">
            <v>891</v>
          </cell>
          <cell r="H116" t="str">
            <v>INR</v>
          </cell>
          <cell r="I116">
            <v>78411.02</v>
          </cell>
          <cell r="J116" t="str">
            <v>VAS-16 -31 Oct 25</v>
          </cell>
          <cell r="K116" t="str">
            <v>Invoice under booking</v>
          </cell>
        </row>
        <row r="117">
          <cell r="E117">
            <v>256779418872</v>
          </cell>
          <cell r="F117" t="str">
            <v>USD</v>
          </cell>
          <cell r="G117">
            <v>5939.04</v>
          </cell>
          <cell r="H117" t="str">
            <v>INR</v>
          </cell>
          <cell r="I117">
            <v>522655.65</v>
          </cell>
          <cell r="J117" t="str">
            <v>Unit Storage - 1-31 Oct 2025</v>
          </cell>
          <cell r="K117" t="str">
            <v>Invoice under booking</v>
          </cell>
        </row>
        <row r="118">
          <cell r="E118">
            <v>256779419222</v>
          </cell>
          <cell r="F118" t="str">
            <v>USD</v>
          </cell>
          <cell r="G118">
            <v>3537</v>
          </cell>
          <cell r="H118" t="str">
            <v>INR</v>
          </cell>
          <cell r="I118">
            <v>311267.99</v>
          </cell>
          <cell r="J118" t="str">
            <v>PORT SSR Chgs Oct 25</v>
          </cell>
          <cell r="K118" t="str">
            <v>Invoice under booking</v>
          </cell>
        </row>
        <row r="119">
          <cell r="E119">
            <v>256779419581</v>
          </cell>
          <cell r="F119" t="str">
            <v>USD</v>
          </cell>
          <cell r="G119">
            <v>156.19999999999999</v>
          </cell>
          <cell r="H119" t="str">
            <v>INR</v>
          </cell>
          <cell r="I119">
            <v>13746.13</v>
          </cell>
          <cell r="J119" t="str">
            <v>LCL Chgs - 01 - 15 NOV 25</v>
          </cell>
          <cell r="K119" t="str">
            <v>Invoice under booking</v>
          </cell>
        </row>
        <row r="120">
          <cell r="E120">
            <v>256779440007</v>
          </cell>
          <cell r="F120" t="str">
            <v>USD</v>
          </cell>
          <cell r="G120">
            <v>1332.49</v>
          </cell>
          <cell r="H120" t="str">
            <v>INR</v>
          </cell>
          <cell r="I120">
            <v>120914.33</v>
          </cell>
          <cell r="J120" t="str">
            <v>Unit Storage - 1-30 Nov 2025</v>
          </cell>
          <cell r="K120" t="str">
            <v>Invoice not received</v>
          </cell>
        </row>
        <row r="121">
          <cell r="E121">
            <v>256779440060</v>
          </cell>
          <cell r="F121" t="str">
            <v>USD</v>
          </cell>
          <cell r="G121">
            <v>198.57</v>
          </cell>
          <cell r="H121" t="str">
            <v>INR</v>
          </cell>
          <cell r="I121">
            <v>18018.87</v>
          </cell>
          <cell r="J121" t="str">
            <v>CODC LCL Chgs -01-15 Dec 25</v>
          </cell>
          <cell r="K121" t="str">
            <v>Invoice not received</v>
          </cell>
        </row>
        <row r="122">
          <cell r="E122">
            <v>256779440067</v>
          </cell>
          <cell r="F122" t="str">
            <v>USD</v>
          </cell>
          <cell r="G122">
            <v>100.07</v>
          </cell>
          <cell r="H122" t="str">
            <v>INR</v>
          </cell>
          <cell r="I122">
            <v>9080.67</v>
          </cell>
          <cell r="J122" t="str">
            <v>CODC Out chgs -1-15 Dec 25</v>
          </cell>
          <cell r="K122" t="str">
            <v>Invoice not received</v>
          </cell>
        </row>
        <row r="123">
          <cell r="E123">
            <v>256779440078</v>
          </cell>
          <cell r="F123" t="str">
            <v>USD</v>
          </cell>
          <cell r="G123">
            <v>78.75</v>
          </cell>
          <cell r="H123" t="str">
            <v>INR</v>
          </cell>
          <cell r="I123">
            <v>7146.02</v>
          </cell>
          <cell r="J123" t="str">
            <v>Outbound chgs - 01 - 15 Dec 25</v>
          </cell>
          <cell r="K123" t="str">
            <v>Invoice not received</v>
          </cell>
        </row>
        <row r="124">
          <cell r="E124">
            <v>256779440116</v>
          </cell>
          <cell r="F124" t="str">
            <v>USD</v>
          </cell>
          <cell r="G124">
            <v>498.28</v>
          </cell>
          <cell r="H124" t="str">
            <v>INR</v>
          </cell>
          <cell r="I124">
            <v>45215.49</v>
          </cell>
          <cell r="J124" t="str">
            <v>LCL Chgs - 01 - 15 DEC 25</v>
          </cell>
          <cell r="K124" t="str">
            <v>Invoice not received</v>
          </cell>
        </row>
        <row r="125">
          <cell r="E125">
            <v>256779440150</v>
          </cell>
          <cell r="F125" t="str">
            <v>USD</v>
          </cell>
          <cell r="G125">
            <v>112.85</v>
          </cell>
          <cell r="H125" t="str">
            <v>INR</v>
          </cell>
          <cell r="I125">
            <v>10240.36</v>
          </cell>
          <cell r="J125" t="str">
            <v>Empty Lolo Chgs - 01 - 31 DEC 25</v>
          </cell>
          <cell r="K125" t="str">
            <v>Invoice not received</v>
          </cell>
        </row>
        <row r="126">
          <cell r="E126">
            <v>256779440159</v>
          </cell>
          <cell r="F126" t="str">
            <v>USD</v>
          </cell>
          <cell r="G126">
            <v>160.22</v>
          </cell>
          <cell r="H126" t="str">
            <v>INR</v>
          </cell>
          <cell r="I126">
            <v>14538.87</v>
          </cell>
          <cell r="J126" t="str">
            <v>PORT SSR Chgs Dec 25</v>
          </cell>
          <cell r="K126" t="str">
            <v>Invoice not received</v>
          </cell>
        </row>
        <row r="127">
          <cell r="E127">
            <v>256779440208</v>
          </cell>
          <cell r="F127" t="str">
            <v>USD</v>
          </cell>
          <cell r="G127">
            <v>650.12</v>
          </cell>
          <cell r="H127" t="str">
            <v>INR</v>
          </cell>
          <cell r="I127">
            <v>58993.93</v>
          </cell>
          <cell r="J127" t="str">
            <v>LCL Chgs - 16 - 31 DEC 25</v>
          </cell>
          <cell r="K127" t="str">
            <v>Invoice not received</v>
          </cell>
        </row>
        <row r="128">
          <cell r="E128">
            <v>256779440238</v>
          </cell>
          <cell r="F128" t="str">
            <v>USD</v>
          </cell>
          <cell r="G128">
            <v>1083.58</v>
          </cell>
          <cell r="H128" t="str">
            <v>INR</v>
          </cell>
          <cell r="I128">
            <v>98327.45</v>
          </cell>
          <cell r="J128" t="str">
            <v>Unit Storage - 1-31 DEC 2025</v>
          </cell>
          <cell r="K128" t="str">
            <v>Invoice not received</v>
          </cell>
        </row>
        <row r="129">
          <cell r="E129">
            <v>256779440309</v>
          </cell>
          <cell r="F129" t="str">
            <v>INR</v>
          </cell>
          <cell r="G129">
            <v>200000</v>
          </cell>
          <cell r="H129" t="str">
            <v>INR</v>
          </cell>
          <cell r="I129">
            <v>200000</v>
          </cell>
          <cell r="J129" t="str">
            <v>Fixed Storage Charges for January 2026</v>
          </cell>
          <cell r="K129" t="str">
            <v>Invoice not received</v>
          </cell>
        </row>
        <row r="130">
          <cell r="E130">
            <v>256779440310</v>
          </cell>
          <cell r="F130" t="str">
            <v>INR</v>
          </cell>
          <cell r="G130">
            <v>8000</v>
          </cell>
          <cell r="H130" t="str">
            <v>INR</v>
          </cell>
          <cell r="I130">
            <v>8000</v>
          </cell>
          <cell r="J130" t="str">
            <v>Fixed Storage Charges for January 2026</v>
          </cell>
          <cell r="K130" t="str">
            <v>Invoice not received</v>
          </cell>
        </row>
        <row r="131">
          <cell r="E131">
            <v>256779440311</v>
          </cell>
          <cell r="F131" t="str">
            <v>INR</v>
          </cell>
          <cell r="G131">
            <v>4400</v>
          </cell>
          <cell r="H131" t="str">
            <v>INR</v>
          </cell>
          <cell r="I131">
            <v>4400</v>
          </cell>
          <cell r="J131" t="str">
            <v>Fixed Storage Charges for January 2026</v>
          </cell>
          <cell r="K131" t="str">
            <v>Invoice not received</v>
          </cell>
        </row>
        <row r="132">
          <cell r="E132">
            <v>256779440126</v>
          </cell>
          <cell r="F132" t="str">
            <v>USD</v>
          </cell>
          <cell r="G132">
            <v>122.48</v>
          </cell>
          <cell r="H132" t="str">
            <v>INR</v>
          </cell>
          <cell r="I132">
            <v>11114.22</v>
          </cell>
          <cell r="J132" t="str">
            <v>CODC Out chgs -1-15 Nov 25</v>
          </cell>
          <cell r="K132" t="str">
            <v>Invoice not received</v>
          </cell>
        </row>
        <row r="133">
          <cell r="E133">
            <v>256779440136</v>
          </cell>
          <cell r="F133" t="str">
            <v>USD</v>
          </cell>
          <cell r="G133">
            <v>27.81</v>
          </cell>
          <cell r="H133" t="str">
            <v>INR</v>
          </cell>
          <cell r="I133">
            <v>2523.5700000000002</v>
          </cell>
          <cell r="J133" t="str">
            <v>Internet Activity Chgs - Dec 25</v>
          </cell>
          <cell r="K133" t="str">
            <v>Invoice not received</v>
          </cell>
        </row>
        <row r="134">
          <cell r="E134">
            <v>256779440227</v>
          </cell>
          <cell r="F134" t="str">
            <v>USD</v>
          </cell>
          <cell r="G134">
            <v>304.07</v>
          </cell>
          <cell r="H134" t="str">
            <v>INR</v>
          </cell>
          <cell r="I134">
            <v>27592.27</v>
          </cell>
          <cell r="J134" t="str">
            <v>Outbound chgs - 16 - 31 Dec 25</v>
          </cell>
          <cell r="K134" t="str">
            <v>Invoice not received</v>
          </cell>
        </row>
        <row r="135">
          <cell r="E135">
            <v>256779440285</v>
          </cell>
          <cell r="F135" t="str">
            <v>USD</v>
          </cell>
          <cell r="G135">
            <v>535.29</v>
          </cell>
          <cell r="H135" t="str">
            <v>INR</v>
          </cell>
          <cell r="I135">
            <v>48573.9</v>
          </cell>
          <cell r="J135" t="str">
            <v>VAS-Dec 25 - 16-31</v>
          </cell>
          <cell r="K135" t="str">
            <v>Invoice not received</v>
          </cell>
        </row>
        <row r="136">
          <cell r="E136">
            <v>256779440363</v>
          </cell>
          <cell r="F136" t="str">
            <v>USD</v>
          </cell>
          <cell r="G136">
            <v>937.45</v>
          </cell>
          <cell r="H136" t="str">
            <v>INR</v>
          </cell>
          <cell r="I136">
            <v>85067.16</v>
          </cell>
          <cell r="J136" t="str">
            <v>VAS - NOV 25,16-30</v>
          </cell>
          <cell r="K136" t="str">
            <v>Invoice not received</v>
          </cell>
        </row>
        <row r="137">
          <cell r="E137">
            <v>256779440381</v>
          </cell>
          <cell r="F137" t="str">
            <v>USD</v>
          </cell>
          <cell r="G137">
            <v>6.79</v>
          </cell>
          <cell r="H137" t="str">
            <v>INR</v>
          </cell>
          <cell r="I137">
            <v>616.15</v>
          </cell>
          <cell r="J137" t="str">
            <v>CODC Out chgs -1-15 JAN 26</v>
          </cell>
          <cell r="K137" t="str">
            <v>Invoice not received</v>
          </cell>
        </row>
        <row r="138">
          <cell r="E138">
            <v>256779440388</v>
          </cell>
          <cell r="F138" t="str">
            <v>USD</v>
          </cell>
          <cell r="G138">
            <v>57.29</v>
          </cell>
          <cell r="H138" t="str">
            <v>INR</v>
          </cell>
          <cell r="I138">
            <v>5198.67</v>
          </cell>
          <cell r="J138" t="str">
            <v>CODC LCL Chgs -1-15 JAN 26</v>
          </cell>
          <cell r="K138" t="str">
            <v>Invoice not received</v>
          </cell>
        </row>
        <row r="139">
          <cell r="E139">
            <v>256779440411</v>
          </cell>
          <cell r="F139" t="str">
            <v>USD</v>
          </cell>
          <cell r="G139">
            <v>554.49</v>
          </cell>
          <cell r="H139" t="str">
            <v>INR</v>
          </cell>
          <cell r="I139">
            <v>50316.160000000003</v>
          </cell>
          <cell r="J139" t="str">
            <v>LCL Chgs - 01 - 15 JAN 26</v>
          </cell>
          <cell r="K139" t="str">
            <v>Invoice not received</v>
          </cell>
        </row>
        <row r="140">
          <cell r="E140">
            <v>256779440427</v>
          </cell>
          <cell r="F140" t="str">
            <v>USD</v>
          </cell>
          <cell r="G140">
            <v>44.06</v>
          </cell>
          <cell r="H140" t="str">
            <v>INR</v>
          </cell>
          <cell r="I140">
            <v>3998.14</v>
          </cell>
          <cell r="J140" t="str">
            <v>Outbound chgs - 01 - 15 JAN 26</v>
          </cell>
          <cell r="K140" t="str">
            <v>Invoice not received</v>
          </cell>
        </row>
        <row r="141">
          <cell r="E141">
            <v>256779440443</v>
          </cell>
          <cell r="F141" t="str">
            <v>USD</v>
          </cell>
          <cell r="G141">
            <v>18.41</v>
          </cell>
          <cell r="H141" t="str">
            <v>INR</v>
          </cell>
          <cell r="I141">
            <v>1670.58</v>
          </cell>
          <cell r="J141" t="str">
            <v>VAS-1-15 Jan 2026</v>
          </cell>
          <cell r="K141" t="str">
            <v>Invoice not received</v>
          </cell>
        </row>
        <row r="142">
          <cell r="I142">
            <v>5638773.6300000018</v>
          </cell>
        </row>
      </sheetData>
      <sheetData sheetId="1">
        <row r="1">
          <cell r="D1" t="str">
            <v>Reference</v>
          </cell>
          <cell r="E1" t="str">
            <v>Document Currency Key</v>
          </cell>
          <cell r="F1" t="str">
            <v>Document Currency Value</v>
          </cell>
          <cell r="G1" t="str">
            <v>Company Code Currency Key</v>
          </cell>
          <cell r="H1" t="str">
            <v>Company Code Currency Value</v>
          </cell>
          <cell r="I1" t="str">
            <v>Text</v>
          </cell>
          <cell r="J1" t="str">
            <v>KN Remarks</v>
          </cell>
        </row>
        <row r="2">
          <cell r="D2">
            <v>256779421295</v>
          </cell>
          <cell r="E2" t="str">
            <v>USD</v>
          </cell>
          <cell r="F2">
            <v>-3.54</v>
          </cell>
          <cell r="G2" t="str">
            <v>INR</v>
          </cell>
          <cell r="H2">
            <v>-304.44</v>
          </cell>
          <cell r="I2" t="str">
            <v>Credit note raised against INV 246779410482</v>
          </cell>
          <cell r="J2" t="str">
            <v>Invoice &amp; CN both not received &amp; booked</v>
          </cell>
        </row>
        <row r="3">
          <cell r="D3">
            <v>256779421296</v>
          </cell>
          <cell r="E3" t="str">
            <v>USD</v>
          </cell>
          <cell r="F3">
            <v>-3.54</v>
          </cell>
          <cell r="G3" t="str">
            <v>INR</v>
          </cell>
          <cell r="H3">
            <v>-304.44</v>
          </cell>
          <cell r="I3" t="str">
            <v>Credit note raised against INV 246779410483</v>
          </cell>
          <cell r="J3" t="str">
            <v>Invoice &amp; CN both not received &amp; booked</v>
          </cell>
        </row>
        <row r="4">
          <cell r="D4">
            <v>256779421302</v>
          </cell>
          <cell r="E4" t="str">
            <v>USD</v>
          </cell>
          <cell r="F4">
            <v>-3.54</v>
          </cell>
          <cell r="G4" t="str">
            <v>INR</v>
          </cell>
          <cell r="H4">
            <v>-304.44</v>
          </cell>
          <cell r="I4" t="str">
            <v>Credit note raised against INV 246779410665</v>
          </cell>
          <cell r="J4" t="str">
            <v>CN not received</v>
          </cell>
        </row>
        <row r="5">
          <cell r="D5">
            <v>256779420266</v>
          </cell>
          <cell r="E5" t="str">
            <v>USD</v>
          </cell>
          <cell r="F5">
            <v>-57.23</v>
          </cell>
          <cell r="G5" t="str">
            <v>INR</v>
          </cell>
          <cell r="H5">
            <v>-4961.34</v>
          </cell>
          <cell r="I5" t="str">
            <v>Credit note against 246779412196</v>
          </cell>
          <cell r="J5" t="str">
            <v>Invoice &amp; CN both not received &amp; booked</v>
          </cell>
        </row>
        <row r="6">
          <cell r="D6">
            <v>256779420267</v>
          </cell>
          <cell r="E6" t="str">
            <v>USD</v>
          </cell>
          <cell r="F6">
            <v>-40.06</v>
          </cell>
          <cell r="G6" t="str">
            <v>INR</v>
          </cell>
          <cell r="H6">
            <v>-3472.85</v>
          </cell>
          <cell r="I6" t="str">
            <v>Credit note against 246779412197</v>
          </cell>
          <cell r="J6" t="str">
            <v>Invoice &amp; CN both not received &amp; booked</v>
          </cell>
        </row>
        <row r="7">
          <cell r="D7">
            <v>256779420268</v>
          </cell>
          <cell r="E7" t="str">
            <v>USD</v>
          </cell>
          <cell r="F7">
            <v>-249.55</v>
          </cell>
          <cell r="G7" t="str">
            <v>INR</v>
          </cell>
          <cell r="H7">
            <v>-21633.8</v>
          </cell>
          <cell r="I7" t="str">
            <v>Credit note against 246779412198</v>
          </cell>
          <cell r="J7" t="str">
            <v>Invoice &amp; CN both not received &amp; booked</v>
          </cell>
        </row>
        <row r="8">
          <cell r="D8">
            <v>256779420269</v>
          </cell>
          <cell r="E8" t="str">
            <v>USD</v>
          </cell>
          <cell r="F8">
            <v>-40.06</v>
          </cell>
          <cell r="G8" t="str">
            <v>INR</v>
          </cell>
          <cell r="H8">
            <v>-3472.85</v>
          </cell>
          <cell r="I8" t="str">
            <v>Credit note against 246779412199</v>
          </cell>
          <cell r="J8" t="str">
            <v>Invoice &amp; CN both not received &amp; booked</v>
          </cell>
        </row>
        <row r="9">
          <cell r="D9">
            <v>256779420270</v>
          </cell>
          <cell r="E9" t="str">
            <v>USD</v>
          </cell>
          <cell r="F9">
            <v>-45.79</v>
          </cell>
          <cell r="G9" t="str">
            <v>INR</v>
          </cell>
          <cell r="H9">
            <v>-3969.59</v>
          </cell>
          <cell r="I9" t="str">
            <v>Credit note against 246779412200</v>
          </cell>
          <cell r="J9" t="str">
            <v>Invoice &amp; CN both not received &amp; booked</v>
          </cell>
        </row>
        <row r="10">
          <cell r="D10">
            <v>256779420271</v>
          </cell>
          <cell r="E10" t="str">
            <v>USD</v>
          </cell>
          <cell r="F10">
            <v>-20.03</v>
          </cell>
          <cell r="G10" t="str">
            <v>INR</v>
          </cell>
          <cell r="H10">
            <v>-1736.43</v>
          </cell>
          <cell r="I10" t="str">
            <v>Credit note against 246779412201</v>
          </cell>
          <cell r="J10" t="str">
            <v>Invoice &amp; CN both not received &amp; booked</v>
          </cell>
        </row>
        <row r="11">
          <cell r="D11">
            <v>256779420272</v>
          </cell>
          <cell r="E11" t="str">
            <v>USD</v>
          </cell>
          <cell r="F11">
            <v>-40.06</v>
          </cell>
          <cell r="G11" t="str">
            <v>INR</v>
          </cell>
          <cell r="H11">
            <v>-3472.85</v>
          </cell>
          <cell r="I11" t="str">
            <v>Credit note against 246779412202</v>
          </cell>
          <cell r="J11" t="str">
            <v>Invoice &amp; CN both not received &amp; booked</v>
          </cell>
        </row>
        <row r="12">
          <cell r="D12">
            <v>256779420273</v>
          </cell>
          <cell r="E12" t="str">
            <v>USD</v>
          </cell>
          <cell r="F12">
            <v>-28.62</v>
          </cell>
          <cell r="G12" t="str">
            <v>INR</v>
          </cell>
          <cell r="H12">
            <v>-2481.1</v>
          </cell>
          <cell r="I12" t="str">
            <v>Credit note against 246779412203</v>
          </cell>
          <cell r="J12" t="str">
            <v>Invoice &amp; CN both not received &amp; booked</v>
          </cell>
        </row>
        <row r="13">
          <cell r="D13">
            <v>256779420274</v>
          </cell>
          <cell r="E13" t="str">
            <v>USD</v>
          </cell>
          <cell r="F13">
            <v>-22.89</v>
          </cell>
          <cell r="G13" t="str">
            <v>INR</v>
          </cell>
          <cell r="H13">
            <v>-1984.36</v>
          </cell>
          <cell r="I13" t="str">
            <v>Credit note against 246779412204</v>
          </cell>
          <cell r="J13" t="str">
            <v>Invoice &amp; CN both not received &amp; booked</v>
          </cell>
        </row>
        <row r="14">
          <cell r="D14">
            <v>256779420275</v>
          </cell>
          <cell r="E14" t="str">
            <v>USD</v>
          </cell>
          <cell r="F14">
            <v>-114.46</v>
          </cell>
          <cell r="G14" t="str">
            <v>INR</v>
          </cell>
          <cell r="H14">
            <v>-9922.68</v>
          </cell>
          <cell r="I14" t="str">
            <v>Credit note against 246779412205</v>
          </cell>
          <cell r="J14" t="str">
            <v>Invoice &amp; CN both not received &amp; booked</v>
          </cell>
        </row>
        <row r="15">
          <cell r="D15">
            <v>256779420276</v>
          </cell>
          <cell r="E15" t="str">
            <v>USD</v>
          </cell>
          <cell r="F15">
            <v>-68.680000000000007</v>
          </cell>
          <cell r="G15" t="str">
            <v>INR</v>
          </cell>
          <cell r="H15">
            <v>-5953.96</v>
          </cell>
          <cell r="I15" t="str">
            <v>Credit note against 246779412206</v>
          </cell>
          <cell r="J15" t="str">
            <v>Invoice &amp; CN both not received &amp; booked</v>
          </cell>
        </row>
        <row r="16">
          <cell r="D16">
            <v>256779420277</v>
          </cell>
          <cell r="E16" t="str">
            <v>USD</v>
          </cell>
          <cell r="F16">
            <v>-312.5</v>
          </cell>
          <cell r="G16" t="str">
            <v>INR</v>
          </cell>
          <cell r="H16">
            <v>-27091.02</v>
          </cell>
          <cell r="I16" t="str">
            <v>Credit note against 246779412207</v>
          </cell>
          <cell r="J16" t="str">
            <v>Invoice &amp; CN both not received &amp; booked</v>
          </cell>
        </row>
        <row r="17">
          <cell r="D17">
            <v>256779420278</v>
          </cell>
          <cell r="E17" t="str">
            <v>USD</v>
          </cell>
          <cell r="F17">
            <v>-23.35</v>
          </cell>
          <cell r="G17" t="str">
            <v>INR</v>
          </cell>
          <cell r="H17">
            <v>-2024.24</v>
          </cell>
          <cell r="I17" t="str">
            <v>Credit note against 246779412208</v>
          </cell>
          <cell r="J17" t="str">
            <v>Invoice &amp; CN both not received &amp; booked</v>
          </cell>
        </row>
        <row r="18">
          <cell r="D18">
            <v>256779420845</v>
          </cell>
          <cell r="E18" t="str">
            <v>USD</v>
          </cell>
          <cell r="F18">
            <v>-466.37</v>
          </cell>
          <cell r="G18" t="str">
            <v>INR</v>
          </cell>
          <cell r="H18">
            <v>-40430.199999999997</v>
          </cell>
          <cell r="I18" t="str">
            <v>Credit Note against 246779413076</v>
          </cell>
          <cell r="J18" t="str">
            <v>Invoice &amp; CN both not received &amp; booked</v>
          </cell>
        </row>
        <row r="19">
          <cell r="D19">
            <v>256779421284</v>
          </cell>
          <cell r="E19" t="str">
            <v>USD</v>
          </cell>
          <cell r="F19">
            <v>-20.100000000000001</v>
          </cell>
          <cell r="G19" t="str">
            <v>INR</v>
          </cell>
          <cell r="H19">
            <v>-1728.61</v>
          </cell>
          <cell r="I19" t="str">
            <v>Credit note raised against INV 246779413317</v>
          </cell>
          <cell r="J19" t="str">
            <v>Invoice &amp; CN both not received &amp; booked</v>
          </cell>
        </row>
        <row r="20">
          <cell r="D20">
            <v>256779421223</v>
          </cell>
          <cell r="E20" t="str">
            <v>USD</v>
          </cell>
          <cell r="F20">
            <v>-28.32</v>
          </cell>
          <cell r="G20" t="str">
            <v>INR</v>
          </cell>
          <cell r="H20">
            <v>-2435.54</v>
          </cell>
          <cell r="I20" t="str">
            <v>Credit note raised against INV 246779414057</v>
          </cell>
          <cell r="J20" t="str">
            <v>Invoice &amp; CN both not received &amp; booked</v>
          </cell>
        </row>
        <row r="21">
          <cell r="D21">
            <v>256779421253</v>
          </cell>
          <cell r="E21" t="str">
            <v>USD</v>
          </cell>
          <cell r="F21">
            <v>-14.75</v>
          </cell>
          <cell r="G21" t="str">
            <v>INR</v>
          </cell>
          <cell r="H21">
            <v>-1268.51</v>
          </cell>
          <cell r="I21" t="str">
            <v>Credit note raised against INV 246779414057</v>
          </cell>
          <cell r="J21" t="str">
            <v>Invoice &amp; CN both not received &amp; booked</v>
          </cell>
        </row>
        <row r="22">
          <cell r="D22">
            <v>256779421244</v>
          </cell>
          <cell r="E22" t="str">
            <v>USD</v>
          </cell>
          <cell r="F22">
            <v>-91.43</v>
          </cell>
          <cell r="G22" t="str">
            <v>INR</v>
          </cell>
          <cell r="H22">
            <v>-7863.04</v>
          </cell>
          <cell r="I22" t="str">
            <v>Credit note raised against INV 246779414058</v>
          </cell>
          <cell r="J22" t="str">
            <v>Invoice &amp; CN both not received &amp; booked</v>
          </cell>
        </row>
        <row r="23">
          <cell r="D23">
            <v>256779421245</v>
          </cell>
          <cell r="E23" t="str">
            <v>USD</v>
          </cell>
          <cell r="F23">
            <v>-236</v>
          </cell>
          <cell r="G23" t="str">
            <v>INR</v>
          </cell>
          <cell r="H23">
            <v>-20296.16</v>
          </cell>
          <cell r="I23" t="str">
            <v>Credit note raised against INV 246779414058</v>
          </cell>
          <cell r="J23" t="str">
            <v>Invoice &amp; CN both not received &amp; booked</v>
          </cell>
        </row>
        <row r="24">
          <cell r="D24">
            <v>256779421246</v>
          </cell>
          <cell r="E24" t="str">
            <v>USD</v>
          </cell>
          <cell r="F24">
            <v>-70.8</v>
          </cell>
          <cell r="G24" t="str">
            <v>INR</v>
          </cell>
          <cell r="H24">
            <v>-6088.85</v>
          </cell>
          <cell r="I24" t="str">
            <v>Credit note raised against INV 246779414058</v>
          </cell>
          <cell r="J24" t="str">
            <v>Invoice &amp; CN both not received &amp; booked</v>
          </cell>
        </row>
        <row r="25">
          <cell r="D25">
            <v>256779421254</v>
          </cell>
          <cell r="E25" t="str">
            <v>USD</v>
          </cell>
          <cell r="F25">
            <v>-250.75</v>
          </cell>
          <cell r="G25" t="str">
            <v>INR</v>
          </cell>
          <cell r="H25">
            <v>-21564.67</v>
          </cell>
          <cell r="I25" t="str">
            <v>Credit note raised against INV 246779414120</v>
          </cell>
          <cell r="J25" t="str">
            <v>Invoice &amp; CN both not received &amp; booked</v>
          </cell>
        </row>
        <row r="26">
          <cell r="D26">
            <v>256779421255</v>
          </cell>
          <cell r="E26" t="str">
            <v>USD</v>
          </cell>
          <cell r="F26">
            <v>-226.56</v>
          </cell>
          <cell r="G26" t="str">
            <v>INR</v>
          </cell>
          <cell r="H26">
            <v>-19484.310000000001</v>
          </cell>
          <cell r="I26" t="str">
            <v>Credit note raised against INV 246779414121</v>
          </cell>
          <cell r="J26" t="str">
            <v>Invoice &amp; CN both not received &amp; booked</v>
          </cell>
        </row>
        <row r="27">
          <cell r="D27">
            <v>256779421234</v>
          </cell>
          <cell r="E27" t="str">
            <v>USD</v>
          </cell>
          <cell r="F27">
            <v>-35.4</v>
          </cell>
          <cell r="G27" t="str">
            <v>INR</v>
          </cell>
          <cell r="H27">
            <v>-3044.42</v>
          </cell>
          <cell r="I27" t="str">
            <v>Credit note raised against INV 246779414122</v>
          </cell>
          <cell r="J27" t="str">
            <v>Invoice &amp; CN both not received &amp; booked</v>
          </cell>
        </row>
        <row r="28">
          <cell r="D28">
            <v>256779421256</v>
          </cell>
          <cell r="E28" t="str">
            <v>USD</v>
          </cell>
          <cell r="F28">
            <v>-249.87</v>
          </cell>
          <cell r="G28" t="str">
            <v>INR</v>
          </cell>
          <cell r="H28">
            <v>-21488.99</v>
          </cell>
          <cell r="I28" t="str">
            <v>Credit note raised against INV 246779414204</v>
          </cell>
          <cell r="J28" t="str">
            <v>Invoice &amp; CN both not received &amp; booked</v>
          </cell>
        </row>
        <row r="29">
          <cell r="D29">
            <v>256779421307</v>
          </cell>
          <cell r="E29" t="str">
            <v>USD</v>
          </cell>
          <cell r="F29">
            <v>-553.87</v>
          </cell>
          <cell r="G29" t="str">
            <v>INR</v>
          </cell>
          <cell r="H29">
            <v>-47633.19</v>
          </cell>
          <cell r="I29" t="str">
            <v>Credit note raised against INV 246779414296</v>
          </cell>
          <cell r="J29" t="str">
            <v>Invoice &amp; CN both not received &amp; booked</v>
          </cell>
        </row>
        <row r="30">
          <cell r="D30">
            <v>256779421308</v>
          </cell>
          <cell r="E30" t="str">
            <v>USD</v>
          </cell>
          <cell r="F30">
            <v>-424.8</v>
          </cell>
          <cell r="G30" t="str">
            <v>INR</v>
          </cell>
          <cell r="H30">
            <v>-36533.08</v>
          </cell>
          <cell r="I30" t="str">
            <v>Credit note raised against INV 246779414297</v>
          </cell>
          <cell r="J30" t="str">
            <v>Invoice &amp; CN both not received &amp; booked</v>
          </cell>
        </row>
        <row r="31">
          <cell r="D31">
            <v>256779421309</v>
          </cell>
          <cell r="E31" t="str">
            <v>USD</v>
          </cell>
          <cell r="F31">
            <v>-70.8</v>
          </cell>
          <cell r="G31" t="str">
            <v>INR</v>
          </cell>
          <cell r="H31">
            <v>-6088.85</v>
          </cell>
          <cell r="I31" t="str">
            <v>Credit note raised against INV 246779414298</v>
          </cell>
          <cell r="J31" t="str">
            <v>Invoice &amp; CN both not received &amp; booked</v>
          </cell>
        </row>
        <row r="32">
          <cell r="D32">
            <v>256779421257</v>
          </cell>
          <cell r="E32" t="str">
            <v>USD</v>
          </cell>
          <cell r="F32">
            <v>-173.05</v>
          </cell>
          <cell r="G32" t="str">
            <v>INR</v>
          </cell>
          <cell r="H32">
            <v>-14882.42</v>
          </cell>
          <cell r="I32" t="str">
            <v>Credit note raised against INV 246779414460</v>
          </cell>
          <cell r="J32" t="str">
            <v>Invoice &amp; CN both not received &amp; booked</v>
          </cell>
        </row>
        <row r="33">
          <cell r="D33">
            <v>256779421258</v>
          </cell>
          <cell r="E33" t="str">
            <v>USD</v>
          </cell>
          <cell r="F33">
            <v>-226.56</v>
          </cell>
          <cell r="G33" t="str">
            <v>INR</v>
          </cell>
          <cell r="H33">
            <v>-19484.310000000001</v>
          </cell>
          <cell r="I33" t="str">
            <v>Credit note raised against INV 246779414461</v>
          </cell>
          <cell r="J33" t="str">
            <v>Invoice &amp; CN both not received &amp; booked</v>
          </cell>
        </row>
        <row r="34">
          <cell r="D34">
            <v>256779421247</v>
          </cell>
          <cell r="E34" t="str">
            <v>USD</v>
          </cell>
          <cell r="F34">
            <v>-211.39</v>
          </cell>
          <cell r="G34" t="str">
            <v>INR</v>
          </cell>
          <cell r="H34">
            <v>-18179.68</v>
          </cell>
          <cell r="I34" t="str">
            <v>Credit note raised against INV 246779414525</v>
          </cell>
          <cell r="J34" t="str">
            <v>Invoice &amp; CN both not received &amp; booked</v>
          </cell>
        </row>
        <row r="35">
          <cell r="D35">
            <v>256779421248</v>
          </cell>
          <cell r="E35" t="str">
            <v>USD</v>
          </cell>
          <cell r="F35">
            <v>-141.6</v>
          </cell>
          <cell r="G35" t="str">
            <v>INR</v>
          </cell>
          <cell r="H35">
            <v>-12177.69</v>
          </cell>
          <cell r="I35" t="str">
            <v>Credit note raised against INV 246779414526</v>
          </cell>
          <cell r="J35" t="str">
            <v>Invoice &amp; CN both not received &amp; booked</v>
          </cell>
        </row>
        <row r="36">
          <cell r="D36">
            <v>256779421249</v>
          </cell>
          <cell r="E36" t="str">
            <v>USD</v>
          </cell>
          <cell r="F36">
            <v>-70.8</v>
          </cell>
          <cell r="G36" t="str">
            <v>INR</v>
          </cell>
          <cell r="H36">
            <v>-6088.85</v>
          </cell>
          <cell r="I36" t="str">
            <v>Credit note raised against INV 246779414527</v>
          </cell>
          <cell r="J36" t="str">
            <v>Invoice &amp; CN both not received &amp; booked</v>
          </cell>
        </row>
        <row r="37">
          <cell r="D37">
            <v>256779421250</v>
          </cell>
          <cell r="E37" t="str">
            <v>USD</v>
          </cell>
          <cell r="F37">
            <v>-236</v>
          </cell>
          <cell r="G37" t="str">
            <v>INR</v>
          </cell>
          <cell r="H37">
            <v>-20296.16</v>
          </cell>
          <cell r="I37" t="str">
            <v>Credit note raised against INV 246779414528</v>
          </cell>
          <cell r="J37" t="str">
            <v>Invoice &amp; CN both not received &amp; booked</v>
          </cell>
        </row>
        <row r="38">
          <cell r="D38">
            <v>256779421251</v>
          </cell>
          <cell r="E38" t="str">
            <v>USD</v>
          </cell>
          <cell r="F38">
            <v>-300.49</v>
          </cell>
          <cell r="G38" t="str">
            <v>INR</v>
          </cell>
          <cell r="H38">
            <v>-25842.34</v>
          </cell>
          <cell r="I38" t="str">
            <v>Credit note raised against INV 246779414590</v>
          </cell>
          <cell r="J38" t="str">
            <v>Invoice &amp; CN both not received &amp; booked</v>
          </cell>
        </row>
        <row r="39">
          <cell r="D39">
            <v>256779421707</v>
          </cell>
          <cell r="E39" t="str">
            <v>USD</v>
          </cell>
          <cell r="F39">
            <v>-228.75</v>
          </cell>
          <cell r="G39" t="str">
            <v>INR</v>
          </cell>
          <cell r="H39">
            <v>-19679.39</v>
          </cell>
          <cell r="I39" t="str">
            <v>CN ISSUED TOWARDS BILL NO.246779414662</v>
          </cell>
          <cell r="J39" t="str">
            <v>CN under booking</v>
          </cell>
        </row>
        <row r="40">
          <cell r="D40">
            <v>256779421252</v>
          </cell>
          <cell r="E40" t="str">
            <v>USD</v>
          </cell>
          <cell r="F40">
            <v>-165.4</v>
          </cell>
          <cell r="G40" t="str">
            <v>INR</v>
          </cell>
          <cell r="H40">
            <v>-14224.51</v>
          </cell>
          <cell r="I40" t="str">
            <v>Credit note raised against INV 246779414726</v>
          </cell>
          <cell r="J40" t="str">
            <v>Invoice &amp; CN both not received &amp; booked</v>
          </cell>
        </row>
        <row r="41">
          <cell r="D41">
            <v>256779421259</v>
          </cell>
          <cell r="E41" t="str">
            <v>USD</v>
          </cell>
          <cell r="F41">
            <v>-218.36</v>
          </cell>
          <cell r="G41" t="str">
            <v>INR</v>
          </cell>
          <cell r="H41">
            <v>-18779.11</v>
          </cell>
          <cell r="I41" t="str">
            <v>Credit note raised against INV 246779414781</v>
          </cell>
          <cell r="J41" t="str">
            <v>Invoice &amp; CN both not received &amp; booked</v>
          </cell>
        </row>
        <row r="42">
          <cell r="D42">
            <v>256779421260</v>
          </cell>
          <cell r="E42" t="str">
            <v>USD</v>
          </cell>
          <cell r="F42">
            <v>-23.6</v>
          </cell>
          <cell r="G42" t="str">
            <v>INR</v>
          </cell>
          <cell r="H42">
            <v>-2029.62</v>
          </cell>
          <cell r="I42" t="str">
            <v>Credit note raised against INV 246779414863</v>
          </cell>
          <cell r="J42" t="str">
            <v>Invoice &amp; CN both not received &amp; booked</v>
          </cell>
        </row>
        <row r="43">
          <cell r="D43">
            <v>256779421261</v>
          </cell>
          <cell r="E43" t="str">
            <v>USD</v>
          </cell>
          <cell r="F43">
            <v>-26.55</v>
          </cell>
          <cell r="G43" t="str">
            <v>INR</v>
          </cell>
          <cell r="H43">
            <v>-2283.3200000000002</v>
          </cell>
          <cell r="I43" t="str">
            <v>Credit note raised against INV 246779414864</v>
          </cell>
          <cell r="J43" t="str">
            <v>Invoice &amp; CN both not received &amp; booked</v>
          </cell>
        </row>
        <row r="44">
          <cell r="D44">
            <v>256779421262</v>
          </cell>
          <cell r="E44" t="str">
            <v>USD</v>
          </cell>
          <cell r="F44">
            <v>-32.450000000000003</v>
          </cell>
          <cell r="G44" t="str">
            <v>INR</v>
          </cell>
          <cell r="H44">
            <v>-2790.72</v>
          </cell>
          <cell r="I44" t="str">
            <v>Credit note raised against INV 246779414865</v>
          </cell>
          <cell r="J44" t="str">
            <v>Invoice &amp; CN both not received &amp; booked</v>
          </cell>
        </row>
        <row r="45">
          <cell r="D45">
            <v>256779421263</v>
          </cell>
          <cell r="E45" t="str">
            <v>USD</v>
          </cell>
          <cell r="F45">
            <v>-26.55</v>
          </cell>
          <cell r="G45" t="str">
            <v>INR</v>
          </cell>
          <cell r="H45">
            <v>-2283.3200000000002</v>
          </cell>
          <cell r="I45" t="str">
            <v>Credit note raised against INV 246779414866</v>
          </cell>
          <cell r="J45" t="str">
            <v>Invoice &amp; CN both not received &amp; booked</v>
          </cell>
        </row>
        <row r="46">
          <cell r="D46">
            <v>256779421264</v>
          </cell>
          <cell r="E46" t="str">
            <v>USD</v>
          </cell>
          <cell r="F46">
            <v>-26.55</v>
          </cell>
          <cell r="G46" t="str">
            <v>INR</v>
          </cell>
          <cell r="H46">
            <v>-2283.3200000000002</v>
          </cell>
          <cell r="I46" t="str">
            <v>Credit note raised against INV 246779414867</v>
          </cell>
          <cell r="J46" t="str">
            <v>Invoice &amp; CN both not received &amp; booked</v>
          </cell>
        </row>
        <row r="47">
          <cell r="D47">
            <v>256779421265</v>
          </cell>
          <cell r="E47" t="str">
            <v>USD</v>
          </cell>
          <cell r="F47">
            <v>-2.95</v>
          </cell>
          <cell r="G47" t="str">
            <v>INR</v>
          </cell>
          <cell r="H47">
            <v>-253.7</v>
          </cell>
          <cell r="I47" t="str">
            <v>Credit note raised against INV 246779414868</v>
          </cell>
          <cell r="J47" t="str">
            <v>Invoice &amp; CN both not received &amp; booked</v>
          </cell>
        </row>
        <row r="48">
          <cell r="D48">
            <v>256779421235</v>
          </cell>
          <cell r="E48" t="str">
            <v>USD</v>
          </cell>
          <cell r="F48">
            <v>-35.4</v>
          </cell>
          <cell r="G48" t="str">
            <v>INR</v>
          </cell>
          <cell r="H48">
            <v>-3044.42</v>
          </cell>
          <cell r="I48" t="str">
            <v>Credit note raised against INV 246779414869</v>
          </cell>
          <cell r="J48" t="str">
            <v>Invoice &amp; CN both not received &amp; booked</v>
          </cell>
        </row>
        <row r="49">
          <cell r="D49">
            <v>256779421288</v>
          </cell>
          <cell r="E49" t="str">
            <v>USD</v>
          </cell>
          <cell r="F49">
            <v>-25.22</v>
          </cell>
          <cell r="G49" t="str">
            <v>INR</v>
          </cell>
          <cell r="H49">
            <v>-2168.94</v>
          </cell>
          <cell r="I49" t="str">
            <v>Credit note raised against INV 256779410076</v>
          </cell>
          <cell r="J49" t="str">
            <v>Invoice &amp; CN both not received &amp; booked</v>
          </cell>
        </row>
        <row r="50">
          <cell r="D50">
            <v>256779421289</v>
          </cell>
          <cell r="E50" t="str">
            <v>USD</v>
          </cell>
          <cell r="F50">
            <v>-84.96</v>
          </cell>
          <cell r="G50" t="str">
            <v>INR</v>
          </cell>
          <cell r="H50">
            <v>-7306.62</v>
          </cell>
          <cell r="I50" t="str">
            <v>Credit note raised against INV 256779410077</v>
          </cell>
          <cell r="J50" t="str">
            <v>Invoice &amp; CN both not received &amp; booked</v>
          </cell>
        </row>
        <row r="51">
          <cell r="D51">
            <v>256779421285</v>
          </cell>
          <cell r="E51" t="str">
            <v>USD</v>
          </cell>
          <cell r="F51">
            <v>-183.99</v>
          </cell>
          <cell r="G51" t="str">
            <v>INR</v>
          </cell>
          <cell r="H51">
            <v>-15823.26</v>
          </cell>
          <cell r="I51" t="str">
            <v>Credit note raised against INV 256779410127</v>
          </cell>
          <cell r="J51" t="str">
            <v>Invoice &amp; CN both not received &amp; booked</v>
          </cell>
        </row>
        <row r="52">
          <cell r="D52">
            <v>256779421286</v>
          </cell>
          <cell r="E52" t="str">
            <v>USD</v>
          </cell>
          <cell r="F52">
            <v>-236</v>
          </cell>
          <cell r="G52" t="str">
            <v>INR</v>
          </cell>
          <cell r="H52">
            <v>-20296.16</v>
          </cell>
          <cell r="I52" t="str">
            <v>Credit note raised against INV 256779410213</v>
          </cell>
          <cell r="J52" t="str">
            <v>Invoice &amp; CN both not received &amp; booked</v>
          </cell>
        </row>
        <row r="53">
          <cell r="D53">
            <v>256779421287</v>
          </cell>
          <cell r="E53" t="str">
            <v>USD</v>
          </cell>
          <cell r="F53">
            <v>-70.8</v>
          </cell>
          <cell r="G53" t="str">
            <v>INR</v>
          </cell>
          <cell r="H53">
            <v>-6088.85</v>
          </cell>
          <cell r="I53" t="str">
            <v>Credit note raised against INV 256779410214</v>
          </cell>
          <cell r="J53" t="str">
            <v>Invoice &amp; CN both not received &amp; booked</v>
          </cell>
        </row>
        <row r="54">
          <cell r="D54">
            <v>256779420492</v>
          </cell>
          <cell r="E54" t="str">
            <v>USD</v>
          </cell>
          <cell r="F54">
            <v>-2333.1799999999998</v>
          </cell>
          <cell r="G54" t="str">
            <v>INR</v>
          </cell>
          <cell r="H54">
            <v>-202804.25</v>
          </cell>
          <cell r="I54" t="str">
            <v>Credit note against 256779410231</v>
          </cell>
          <cell r="J54" t="str">
            <v>Invoice &amp; CN both not received &amp; booked</v>
          </cell>
        </row>
        <row r="55">
          <cell r="D55">
            <v>256779420526</v>
          </cell>
          <cell r="E55" t="str">
            <v>USD</v>
          </cell>
          <cell r="F55">
            <v>-2286.2399999999998</v>
          </cell>
          <cell r="G55" t="str">
            <v>INR</v>
          </cell>
          <cell r="H55">
            <v>-198724.14</v>
          </cell>
          <cell r="I55" t="str">
            <v>Credit note against 256779410272</v>
          </cell>
          <cell r="J55" t="str">
            <v>Invoice &amp; CN both not received &amp; booked</v>
          </cell>
        </row>
        <row r="56">
          <cell r="D56">
            <v>256779421224</v>
          </cell>
          <cell r="E56" t="str">
            <v>USD</v>
          </cell>
          <cell r="F56">
            <v>-28.32</v>
          </cell>
          <cell r="G56" t="str">
            <v>INR</v>
          </cell>
          <cell r="H56">
            <v>-2435.54</v>
          </cell>
          <cell r="I56" t="str">
            <v>Credit note raised against INV 256779411091</v>
          </cell>
          <cell r="J56" t="str">
            <v>Invoice &amp; CN both not received &amp; booked</v>
          </cell>
        </row>
        <row r="57">
          <cell r="D57">
            <v>256779421266</v>
          </cell>
          <cell r="E57" t="str">
            <v>USD</v>
          </cell>
          <cell r="F57">
            <v>-26.55</v>
          </cell>
          <cell r="G57" t="str">
            <v>INR</v>
          </cell>
          <cell r="H57">
            <v>-2283.3200000000002</v>
          </cell>
          <cell r="I57" t="str">
            <v>Credit note raised against INV 256779411091</v>
          </cell>
          <cell r="J57" t="str">
            <v>Invoice &amp; CN both not received &amp; booked</v>
          </cell>
        </row>
        <row r="58">
          <cell r="D58">
            <v>256779421225</v>
          </cell>
          <cell r="E58" t="str">
            <v>USD</v>
          </cell>
          <cell r="F58">
            <v>-28.32</v>
          </cell>
          <cell r="G58" t="str">
            <v>INR</v>
          </cell>
          <cell r="H58">
            <v>-2435.54</v>
          </cell>
          <cell r="I58" t="str">
            <v>Credit note raised against INV 256779411092</v>
          </cell>
          <cell r="J58" t="str">
            <v>Invoice &amp; CN both not received &amp; booked</v>
          </cell>
        </row>
        <row r="59">
          <cell r="D59">
            <v>256779421267</v>
          </cell>
          <cell r="E59" t="str">
            <v>USD</v>
          </cell>
          <cell r="F59">
            <v>-26.55</v>
          </cell>
          <cell r="G59" t="str">
            <v>INR</v>
          </cell>
          <cell r="H59">
            <v>-2283.3200000000002</v>
          </cell>
          <cell r="I59" t="str">
            <v>Credit note raised against INV 256779411092</v>
          </cell>
          <cell r="J59" t="str">
            <v>Invoice &amp; CN both not received &amp; booked</v>
          </cell>
        </row>
        <row r="60">
          <cell r="D60">
            <v>256779421226</v>
          </cell>
          <cell r="E60" t="str">
            <v>USD</v>
          </cell>
          <cell r="F60">
            <v>-28.32</v>
          </cell>
          <cell r="G60" t="str">
            <v>INR</v>
          </cell>
          <cell r="H60">
            <v>-2435.54</v>
          </cell>
          <cell r="I60" t="str">
            <v>Credit note raised against INV 256779411093</v>
          </cell>
          <cell r="J60" t="str">
            <v>Invoice &amp; CN both not received &amp; booked</v>
          </cell>
        </row>
        <row r="61">
          <cell r="D61">
            <v>256779421268</v>
          </cell>
          <cell r="E61" t="str">
            <v>USD</v>
          </cell>
          <cell r="F61">
            <v>-29.5</v>
          </cell>
          <cell r="G61" t="str">
            <v>INR</v>
          </cell>
          <cell r="H61">
            <v>-2537.02</v>
          </cell>
          <cell r="I61" t="str">
            <v>Credit note raised against INV 256779411093</v>
          </cell>
          <cell r="J61" t="str">
            <v>Invoice &amp; CN both not received &amp; booked</v>
          </cell>
        </row>
        <row r="62">
          <cell r="D62">
            <v>256779421227</v>
          </cell>
          <cell r="E62" t="str">
            <v>USD</v>
          </cell>
          <cell r="F62">
            <v>-28.32</v>
          </cell>
          <cell r="G62" t="str">
            <v>INR</v>
          </cell>
          <cell r="H62">
            <v>-2435.54</v>
          </cell>
          <cell r="I62" t="str">
            <v>Credit note raised against INV 256779411094</v>
          </cell>
          <cell r="J62" t="str">
            <v>Invoice &amp; CN both not received &amp; booked</v>
          </cell>
        </row>
        <row r="63">
          <cell r="D63">
            <v>256779421269</v>
          </cell>
          <cell r="E63" t="str">
            <v>USD</v>
          </cell>
          <cell r="F63">
            <v>-5.9</v>
          </cell>
          <cell r="G63" t="str">
            <v>INR</v>
          </cell>
          <cell r="H63">
            <v>-507.4</v>
          </cell>
          <cell r="I63" t="str">
            <v>Credit note raised against INV 256779411094</v>
          </cell>
          <cell r="J63" t="str">
            <v>Invoice &amp; CN both not received &amp; booked</v>
          </cell>
        </row>
        <row r="64">
          <cell r="D64">
            <v>256779421228</v>
          </cell>
          <cell r="E64" t="str">
            <v>USD</v>
          </cell>
          <cell r="F64">
            <v>-28.32</v>
          </cell>
          <cell r="G64" t="str">
            <v>INR</v>
          </cell>
          <cell r="H64">
            <v>-2435.54</v>
          </cell>
          <cell r="I64" t="str">
            <v>Credit note raised against INV 256779411095</v>
          </cell>
          <cell r="J64" t="str">
            <v>Invoice &amp; CN both not received &amp; booked</v>
          </cell>
        </row>
        <row r="65">
          <cell r="D65">
            <v>256779421270</v>
          </cell>
          <cell r="E65" t="str">
            <v>USD</v>
          </cell>
          <cell r="F65">
            <v>-20.65</v>
          </cell>
          <cell r="G65" t="str">
            <v>INR</v>
          </cell>
          <cell r="H65">
            <v>-1775.91</v>
          </cell>
          <cell r="I65" t="str">
            <v>Credit note raised against INV 256779411095</v>
          </cell>
          <cell r="J65" t="str">
            <v>Invoice &amp; CN both not received &amp; booked</v>
          </cell>
        </row>
        <row r="66">
          <cell r="D66">
            <v>256779421229</v>
          </cell>
          <cell r="E66" t="str">
            <v>USD</v>
          </cell>
          <cell r="F66">
            <v>-28.32</v>
          </cell>
          <cell r="G66" t="str">
            <v>INR</v>
          </cell>
          <cell r="H66">
            <v>-2435.54</v>
          </cell>
          <cell r="I66" t="str">
            <v>Credit note raised against INV 256779411096</v>
          </cell>
          <cell r="J66" t="str">
            <v>Invoice &amp; CN both not received &amp; booked</v>
          </cell>
        </row>
        <row r="67">
          <cell r="D67">
            <v>256779421271</v>
          </cell>
          <cell r="E67" t="str">
            <v>USD</v>
          </cell>
          <cell r="F67">
            <v>-14.75</v>
          </cell>
          <cell r="G67" t="str">
            <v>INR</v>
          </cell>
          <cell r="H67">
            <v>-1268.51</v>
          </cell>
          <cell r="I67" t="str">
            <v>Credit note raised against INV 256779411096</v>
          </cell>
          <cell r="J67" t="str">
            <v>Invoice &amp; CN both not received &amp; booked</v>
          </cell>
        </row>
        <row r="68">
          <cell r="D68">
            <v>256779421236</v>
          </cell>
          <cell r="E68" t="str">
            <v>USD</v>
          </cell>
          <cell r="F68">
            <v>-118</v>
          </cell>
          <cell r="G68" t="str">
            <v>INR</v>
          </cell>
          <cell r="H68">
            <v>-10148.08</v>
          </cell>
          <cell r="I68" t="str">
            <v>Credit note raised against INV 256779411097</v>
          </cell>
          <cell r="J68" t="str">
            <v>Invoice &amp; CN both not received &amp; booked</v>
          </cell>
        </row>
        <row r="69">
          <cell r="D69">
            <v>256779421230</v>
          </cell>
          <cell r="E69" t="str">
            <v>USD</v>
          </cell>
          <cell r="F69">
            <v>-28.32</v>
          </cell>
          <cell r="G69" t="str">
            <v>INR</v>
          </cell>
          <cell r="H69">
            <v>-2435.54</v>
          </cell>
          <cell r="I69" t="str">
            <v>Credit note raised against INV 256779411098</v>
          </cell>
          <cell r="J69" t="str">
            <v>Invoice &amp; CN both not received &amp; booked</v>
          </cell>
        </row>
        <row r="70">
          <cell r="D70">
            <v>256779421272</v>
          </cell>
          <cell r="E70" t="str">
            <v>USD</v>
          </cell>
          <cell r="F70">
            <v>-32.32</v>
          </cell>
          <cell r="G70" t="str">
            <v>INR</v>
          </cell>
          <cell r="H70">
            <v>-2779.54</v>
          </cell>
          <cell r="I70" t="str">
            <v>Credit note raised against INV 256779411098</v>
          </cell>
          <cell r="J70" t="str">
            <v>Invoice &amp; CN both not received &amp; booked</v>
          </cell>
        </row>
        <row r="71">
          <cell r="D71">
            <v>256779421231</v>
          </cell>
          <cell r="E71" t="str">
            <v>USD</v>
          </cell>
          <cell r="F71">
            <v>-28.32</v>
          </cell>
          <cell r="G71" t="str">
            <v>INR</v>
          </cell>
          <cell r="H71">
            <v>-2435.54</v>
          </cell>
          <cell r="I71" t="str">
            <v>Credit note raised against INV 256779411099</v>
          </cell>
          <cell r="J71" t="str">
            <v>Invoice &amp; CN both not received &amp; booked</v>
          </cell>
        </row>
        <row r="72">
          <cell r="D72">
            <v>256779421273</v>
          </cell>
          <cell r="E72" t="str">
            <v>USD</v>
          </cell>
          <cell r="F72">
            <v>-30.49</v>
          </cell>
          <cell r="G72" t="str">
            <v>INR</v>
          </cell>
          <cell r="H72">
            <v>-2622.16</v>
          </cell>
          <cell r="I72" t="str">
            <v>Credit note raised against INV 256779411099</v>
          </cell>
          <cell r="J72" t="str">
            <v>Invoice &amp; CN both not received &amp; booked</v>
          </cell>
        </row>
        <row r="73">
          <cell r="D73">
            <v>256779421232</v>
          </cell>
          <cell r="E73" t="str">
            <v>USD</v>
          </cell>
          <cell r="F73">
            <v>-28.32</v>
          </cell>
          <cell r="G73" t="str">
            <v>INR</v>
          </cell>
          <cell r="H73">
            <v>-2435.54</v>
          </cell>
          <cell r="I73" t="str">
            <v>Credit note raised against INV 256779411100</v>
          </cell>
          <cell r="J73" t="str">
            <v>Invoice &amp; CN both not received &amp; booked</v>
          </cell>
        </row>
        <row r="74">
          <cell r="D74">
            <v>256779421274</v>
          </cell>
          <cell r="E74" t="str">
            <v>USD</v>
          </cell>
          <cell r="F74">
            <v>-17.7</v>
          </cell>
          <cell r="G74" t="str">
            <v>INR</v>
          </cell>
          <cell r="H74">
            <v>-1522.21</v>
          </cell>
          <cell r="I74" t="str">
            <v>Credit note raised against INV 256779411100</v>
          </cell>
          <cell r="J74" t="str">
            <v>Invoice &amp; CN both not received &amp; booked</v>
          </cell>
        </row>
        <row r="75">
          <cell r="D75">
            <v>256779421233</v>
          </cell>
          <cell r="E75" t="str">
            <v>USD</v>
          </cell>
          <cell r="F75">
            <v>-28.32</v>
          </cell>
          <cell r="G75" t="str">
            <v>INR</v>
          </cell>
          <cell r="H75">
            <v>-2435.54</v>
          </cell>
          <cell r="I75" t="str">
            <v>Credit note raised against INV 256779411101</v>
          </cell>
          <cell r="J75" t="str">
            <v>Invoice &amp; CN both not received &amp; booked</v>
          </cell>
        </row>
        <row r="76">
          <cell r="D76">
            <v>256779421275</v>
          </cell>
          <cell r="E76" t="str">
            <v>USD</v>
          </cell>
          <cell r="F76">
            <v>-2.95</v>
          </cell>
          <cell r="G76" t="str">
            <v>INR</v>
          </cell>
          <cell r="H76">
            <v>-253.7</v>
          </cell>
          <cell r="I76" t="str">
            <v>Credit note raised against INV 256779411101</v>
          </cell>
          <cell r="J76" t="str">
            <v>Invoice &amp; CN both not received &amp; booked</v>
          </cell>
        </row>
        <row r="77">
          <cell r="D77">
            <v>256779421276</v>
          </cell>
          <cell r="E77" t="str">
            <v>USD</v>
          </cell>
          <cell r="F77">
            <v>-1.18</v>
          </cell>
          <cell r="G77" t="str">
            <v>INR</v>
          </cell>
          <cell r="H77">
            <v>-101.48</v>
          </cell>
          <cell r="I77" t="str">
            <v>Credit note raised against INV 256779411101</v>
          </cell>
          <cell r="J77" t="str">
            <v>Invoice &amp; CN both not received &amp; booked</v>
          </cell>
        </row>
        <row r="78">
          <cell r="D78">
            <v>256779421237</v>
          </cell>
          <cell r="E78" t="str">
            <v>USD</v>
          </cell>
          <cell r="F78">
            <v>-35.4</v>
          </cell>
          <cell r="G78" t="str">
            <v>INR</v>
          </cell>
          <cell r="H78">
            <v>-3044.42</v>
          </cell>
          <cell r="I78" t="str">
            <v>Credit note raised against INV 256779411458</v>
          </cell>
          <cell r="J78" t="str">
            <v>Invoice &amp; CN both not received &amp; booked</v>
          </cell>
        </row>
        <row r="79">
          <cell r="D79">
            <v>256779421277</v>
          </cell>
          <cell r="E79" t="str">
            <v>USD</v>
          </cell>
          <cell r="F79">
            <v>-29.5</v>
          </cell>
          <cell r="G79" t="str">
            <v>INR</v>
          </cell>
          <cell r="H79">
            <v>-2537.02</v>
          </cell>
          <cell r="I79" t="str">
            <v>Credit note raised against INV 256779411459</v>
          </cell>
          <cell r="J79" t="str">
            <v>Invoice &amp; CN both not received &amp; booked</v>
          </cell>
        </row>
        <row r="80">
          <cell r="D80">
            <v>256779421278</v>
          </cell>
          <cell r="E80" t="str">
            <v>USD</v>
          </cell>
          <cell r="F80">
            <v>-29.5</v>
          </cell>
          <cell r="G80" t="str">
            <v>INR</v>
          </cell>
          <cell r="H80">
            <v>-2537.02</v>
          </cell>
          <cell r="I80" t="str">
            <v>Credit note raised against INV 256779411460</v>
          </cell>
          <cell r="J80" t="str">
            <v>Invoice &amp; CN both not received &amp; booked</v>
          </cell>
        </row>
        <row r="81">
          <cell r="D81">
            <v>256779421238</v>
          </cell>
          <cell r="E81" t="str">
            <v>USD</v>
          </cell>
          <cell r="F81">
            <v>-35.4</v>
          </cell>
          <cell r="G81" t="str">
            <v>INR</v>
          </cell>
          <cell r="H81">
            <v>-3044.42</v>
          </cell>
          <cell r="I81" t="str">
            <v>Credit note raised against INV 256779411461</v>
          </cell>
          <cell r="J81" t="str">
            <v>Invoice &amp; CN both not received &amp; booked</v>
          </cell>
        </row>
        <row r="82">
          <cell r="D82">
            <v>256779421279</v>
          </cell>
          <cell r="E82" t="str">
            <v>USD</v>
          </cell>
          <cell r="F82">
            <v>-20.65</v>
          </cell>
          <cell r="G82" t="str">
            <v>INR</v>
          </cell>
          <cell r="H82">
            <v>-1775.91</v>
          </cell>
          <cell r="I82" t="str">
            <v>Credit note raised against INV 256779411462</v>
          </cell>
          <cell r="J82" t="str">
            <v>Invoice &amp; CN both not received &amp; booked</v>
          </cell>
        </row>
        <row r="83">
          <cell r="D83">
            <v>256779421280</v>
          </cell>
          <cell r="E83" t="str">
            <v>USD</v>
          </cell>
          <cell r="F83">
            <v>-23.6</v>
          </cell>
          <cell r="G83" t="str">
            <v>INR</v>
          </cell>
          <cell r="H83">
            <v>-2029.62</v>
          </cell>
          <cell r="I83" t="str">
            <v>Credit note raised against INV 256779411463</v>
          </cell>
          <cell r="J83" t="str">
            <v>CN not received</v>
          </cell>
        </row>
        <row r="84">
          <cell r="D84">
            <v>256779421281</v>
          </cell>
          <cell r="E84" t="str">
            <v>USD</v>
          </cell>
          <cell r="F84">
            <v>-8.85</v>
          </cell>
          <cell r="G84" t="str">
            <v>INR</v>
          </cell>
          <cell r="H84">
            <v>-761.11</v>
          </cell>
          <cell r="I84" t="str">
            <v>Credit note raised against INV 256779411464</v>
          </cell>
          <cell r="J84" t="str">
            <v>Invoice &amp; CN both not received &amp; booked</v>
          </cell>
        </row>
        <row r="85">
          <cell r="D85">
            <v>256779421282</v>
          </cell>
          <cell r="E85" t="str">
            <v>USD</v>
          </cell>
          <cell r="F85">
            <v>-32.450000000000003</v>
          </cell>
          <cell r="G85" t="str">
            <v>INR</v>
          </cell>
          <cell r="H85">
            <v>-2790.72</v>
          </cell>
          <cell r="I85" t="str">
            <v>Credit note raised against INV 256779411465</v>
          </cell>
          <cell r="J85" t="str">
            <v>CN not received</v>
          </cell>
        </row>
        <row r="86">
          <cell r="D86">
            <v>256779421239</v>
          </cell>
          <cell r="E86" t="str">
            <v>USD</v>
          </cell>
          <cell r="F86">
            <v>-35.4</v>
          </cell>
          <cell r="G86" t="str">
            <v>INR</v>
          </cell>
          <cell r="H86">
            <v>-3044.42</v>
          </cell>
          <cell r="I86" t="str">
            <v>Credit note raised against INV 256779411466</v>
          </cell>
          <cell r="J86" t="str">
            <v>CN not received</v>
          </cell>
        </row>
        <row r="87">
          <cell r="D87">
            <v>256779421240</v>
          </cell>
          <cell r="E87" t="str">
            <v>USD</v>
          </cell>
          <cell r="F87">
            <v>-35.4</v>
          </cell>
          <cell r="G87" t="str">
            <v>INR</v>
          </cell>
          <cell r="H87">
            <v>-3044.42</v>
          </cell>
          <cell r="I87" t="str">
            <v>Credit note raised against INV 256779411467</v>
          </cell>
          <cell r="J87" t="str">
            <v>CN not received</v>
          </cell>
        </row>
        <row r="88">
          <cell r="D88">
            <v>256779421283</v>
          </cell>
          <cell r="E88" t="str">
            <v>USD</v>
          </cell>
          <cell r="F88">
            <v>-26.55</v>
          </cell>
          <cell r="G88" t="str">
            <v>INR</v>
          </cell>
          <cell r="H88">
            <v>-2283.3200000000002</v>
          </cell>
          <cell r="I88" t="str">
            <v>Credit note raised against INV 256779411468</v>
          </cell>
          <cell r="J88" t="str">
            <v>CN not received</v>
          </cell>
        </row>
        <row r="89">
          <cell r="D89">
            <v>256779421241</v>
          </cell>
          <cell r="E89" t="str">
            <v>USD</v>
          </cell>
          <cell r="F89">
            <v>-35.4</v>
          </cell>
          <cell r="G89" t="str">
            <v>INR</v>
          </cell>
          <cell r="H89">
            <v>-3044.42</v>
          </cell>
          <cell r="I89" t="str">
            <v>Credit note raised against INV 256779411469</v>
          </cell>
          <cell r="J89" t="str">
            <v>Invoice &amp; CN both not received &amp; booked</v>
          </cell>
        </row>
        <row r="90">
          <cell r="D90">
            <v>256779421297</v>
          </cell>
          <cell r="E90" t="str">
            <v>USD</v>
          </cell>
          <cell r="F90">
            <v>-236</v>
          </cell>
          <cell r="G90" t="str">
            <v>INR</v>
          </cell>
          <cell r="H90">
            <v>-20296.16</v>
          </cell>
          <cell r="I90" t="str">
            <v>Credit note raised against INV 256779411722</v>
          </cell>
          <cell r="J90" t="str">
            <v>Invoice &amp; CN both not received &amp; booked</v>
          </cell>
        </row>
        <row r="91">
          <cell r="D91">
            <v>256779421298</v>
          </cell>
          <cell r="E91" t="str">
            <v>USD</v>
          </cell>
          <cell r="F91">
            <v>-369.34</v>
          </cell>
          <cell r="G91" t="str">
            <v>INR</v>
          </cell>
          <cell r="H91">
            <v>-31763.49</v>
          </cell>
          <cell r="I91" t="str">
            <v>Credit note raised against INV 256779411795</v>
          </cell>
          <cell r="J91" t="str">
            <v>Invoice &amp; CN both not received &amp; booked</v>
          </cell>
        </row>
        <row r="92">
          <cell r="D92">
            <v>256779421299</v>
          </cell>
          <cell r="E92" t="str">
            <v>USD</v>
          </cell>
          <cell r="F92">
            <v>-226.56</v>
          </cell>
          <cell r="G92" t="str">
            <v>INR</v>
          </cell>
          <cell r="H92">
            <v>-19484.310000000001</v>
          </cell>
          <cell r="I92" t="str">
            <v>Credit note raised against INV 256779411796</v>
          </cell>
          <cell r="J92" t="str">
            <v>Invoice &amp; CN both not received &amp; booked</v>
          </cell>
        </row>
        <row r="93">
          <cell r="D93">
            <v>256779421242</v>
          </cell>
          <cell r="E93" t="str">
            <v>USD</v>
          </cell>
          <cell r="F93">
            <v>-35.4</v>
          </cell>
          <cell r="G93" t="str">
            <v>INR</v>
          </cell>
          <cell r="H93">
            <v>-3044.42</v>
          </cell>
          <cell r="I93" t="str">
            <v>Credit note raised against INV 256779411797</v>
          </cell>
          <cell r="J93" t="str">
            <v>Invoice &amp; CN both not received &amp; booked</v>
          </cell>
        </row>
        <row r="94">
          <cell r="D94">
            <v>256779421300</v>
          </cell>
          <cell r="E94" t="str">
            <v>USD</v>
          </cell>
          <cell r="F94">
            <v>-236</v>
          </cell>
          <cell r="G94" t="str">
            <v>INR</v>
          </cell>
          <cell r="H94">
            <v>-20296.16</v>
          </cell>
          <cell r="I94" t="str">
            <v>Credit note raised against INV 256779411798</v>
          </cell>
          <cell r="J94" t="str">
            <v>Invoice &amp; CN both not received &amp; booked</v>
          </cell>
        </row>
        <row r="95">
          <cell r="D95">
            <v>256779421301</v>
          </cell>
          <cell r="E95" t="str">
            <v>USD</v>
          </cell>
          <cell r="F95">
            <v>-70.8</v>
          </cell>
          <cell r="G95" t="str">
            <v>INR</v>
          </cell>
          <cell r="H95">
            <v>-6088.85</v>
          </cell>
          <cell r="I95" t="str">
            <v>Credit note raised against INV 256779411799</v>
          </cell>
          <cell r="J95" t="str">
            <v>Invoice &amp; CN both not received &amp; booked</v>
          </cell>
        </row>
        <row r="96">
          <cell r="D96">
            <v>256779421222</v>
          </cell>
          <cell r="E96" t="str">
            <v>USD</v>
          </cell>
          <cell r="F96">
            <v>-295</v>
          </cell>
          <cell r="G96" t="str">
            <v>INR</v>
          </cell>
          <cell r="H96">
            <v>-25370.2</v>
          </cell>
          <cell r="I96" t="str">
            <v>Credit note raised against INV 256779411867</v>
          </cell>
          <cell r="J96" t="str">
            <v>CN not received</v>
          </cell>
        </row>
        <row r="97">
          <cell r="D97">
            <v>256779420844</v>
          </cell>
          <cell r="E97" t="str">
            <v>INR</v>
          </cell>
          <cell r="F97">
            <v>-262.20999999999998</v>
          </cell>
          <cell r="G97" t="str">
            <v>INR</v>
          </cell>
          <cell r="H97">
            <v>-262.20999999999998</v>
          </cell>
          <cell r="I97" t="str">
            <v>Credit Note against 256779412140</v>
          </cell>
          <cell r="J97" t="str">
            <v>Invoice &amp; CN both not received &amp; booked</v>
          </cell>
        </row>
        <row r="98">
          <cell r="D98">
            <v>256779421243</v>
          </cell>
          <cell r="E98" t="str">
            <v>USD</v>
          </cell>
          <cell r="F98">
            <v>-35.4</v>
          </cell>
          <cell r="G98" t="str">
            <v>INR</v>
          </cell>
          <cell r="H98">
            <v>-3044.42</v>
          </cell>
          <cell r="I98" t="str">
            <v>Credit note raised against INV 256779412609</v>
          </cell>
          <cell r="J98" t="str">
            <v>Invoice &amp; CN both not received &amp; booked</v>
          </cell>
        </row>
        <row r="99">
          <cell r="D99">
            <v>256779421290</v>
          </cell>
          <cell r="E99" t="str">
            <v>USD</v>
          </cell>
          <cell r="F99">
            <v>-244.58</v>
          </cell>
          <cell r="G99" t="str">
            <v>INR</v>
          </cell>
          <cell r="H99">
            <v>-21034.04</v>
          </cell>
          <cell r="I99" t="str">
            <v>Credit note raised against INV 256779412609</v>
          </cell>
          <cell r="J99" t="str">
            <v>Invoice &amp; CN both not received &amp; booked</v>
          </cell>
        </row>
        <row r="100">
          <cell r="D100">
            <v>256779421291</v>
          </cell>
          <cell r="E100" t="str">
            <v>USD</v>
          </cell>
          <cell r="F100">
            <v>-113.28</v>
          </cell>
          <cell r="G100" t="str">
            <v>INR</v>
          </cell>
          <cell r="H100">
            <v>-9742.16</v>
          </cell>
          <cell r="I100" t="str">
            <v>Credit note raised against INV 256779412609</v>
          </cell>
          <cell r="J100" t="str">
            <v>Invoice &amp; CN both not received &amp; booked</v>
          </cell>
        </row>
        <row r="101">
          <cell r="D101">
            <v>256779421292</v>
          </cell>
          <cell r="E101" t="str">
            <v>USD</v>
          </cell>
          <cell r="F101">
            <v>-236</v>
          </cell>
          <cell r="G101" t="str">
            <v>INR</v>
          </cell>
          <cell r="H101">
            <v>-20296.16</v>
          </cell>
          <cell r="I101" t="str">
            <v>Credit note raised against INV 256779412609</v>
          </cell>
          <cell r="J101" t="str">
            <v>Invoice &amp; CN both not received &amp; booked</v>
          </cell>
        </row>
        <row r="102">
          <cell r="D102">
            <v>256779421293</v>
          </cell>
          <cell r="E102" t="str">
            <v>USD</v>
          </cell>
          <cell r="F102">
            <v>-70.8</v>
          </cell>
          <cell r="G102" t="str">
            <v>INR</v>
          </cell>
          <cell r="H102">
            <v>-6088.85</v>
          </cell>
          <cell r="I102" t="str">
            <v>Credit note raised against INV 256779412609</v>
          </cell>
          <cell r="J102" t="str">
            <v>Invoice &amp; CN both not received &amp; booked</v>
          </cell>
        </row>
        <row r="103">
          <cell r="D103">
            <v>256779421294</v>
          </cell>
          <cell r="E103" t="str">
            <v>USD</v>
          </cell>
          <cell r="F103">
            <v>-79.650000000000006</v>
          </cell>
          <cell r="G103" t="str">
            <v>INR</v>
          </cell>
          <cell r="H103">
            <v>-6849.95</v>
          </cell>
          <cell r="I103" t="str">
            <v>Credit note raised against INV 256779412649</v>
          </cell>
          <cell r="J103" t="str">
            <v>Invoice &amp; CN both not received &amp; booked</v>
          </cell>
        </row>
        <row r="104">
          <cell r="D104">
            <v>256779421303</v>
          </cell>
          <cell r="E104" t="str">
            <v>USD</v>
          </cell>
          <cell r="F104">
            <v>-84.96</v>
          </cell>
          <cell r="G104" t="str">
            <v>INR</v>
          </cell>
          <cell r="H104">
            <v>-7306.62</v>
          </cell>
          <cell r="I104" t="str">
            <v>Credit note raised against INV 256779412884</v>
          </cell>
          <cell r="J104" t="str">
            <v>Invoice &amp; CN both not received &amp; booked</v>
          </cell>
        </row>
        <row r="105">
          <cell r="D105">
            <v>256779421304</v>
          </cell>
          <cell r="E105" t="str">
            <v>USD</v>
          </cell>
          <cell r="F105">
            <v>-51.12</v>
          </cell>
          <cell r="G105" t="str">
            <v>INR</v>
          </cell>
          <cell r="H105">
            <v>-4396.3500000000004</v>
          </cell>
          <cell r="I105" t="str">
            <v>Credit note raised against INV 256779412884</v>
          </cell>
          <cell r="J105" t="str">
            <v>Invoice &amp; CN both not received &amp; booked</v>
          </cell>
        </row>
        <row r="106">
          <cell r="D106">
            <v>256779421305</v>
          </cell>
          <cell r="E106" t="str">
            <v>USD</v>
          </cell>
          <cell r="F106">
            <v>-183.35</v>
          </cell>
          <cell r="G106" t="str">
            <v>INR</v>
          </cell>
          <cell r="H106">
            <v>-15768.22</v>
          </cell>
          <cell r="I106" t="str">
            <v>Credit note raised against INV 256779412918</v>
          </cell>
          <cell r="J106" t="str">
            <v>Invoice &amp; CN both not received &amp; booked</v>
          </cell>
        </row>
        <row r="107">
          <cell r="D107">
            <v>256779421306</v>
          </cell>
          <cell r="E107" t="str">
            <v>USD</v>
          </cell>
          <cell r="F107">
            <v>-3.1</v>
          </cell>
          <cell r="G107" t="str">
            <v>INR</v>
          </cell>
          <cell r="H107">
            <v>-266.60000000000002</v>
          </cell>
          <cell r="I107" t="str">
            <v>Credit note raised against INV 256779412948</v>
          </cell>
          <cell r="J107" t="str">
            <v>Invoice &amp; CN both not received &amp; booked</v>
          </cell>
        </row>
        <row r="108">
          <cell r="D108">
            <v>256779421106</v>
          </cell>
          <cell r="E108" t="str">
            <v>USD</v>
          </cell>
          <cell r="F108">
            <v>-707.71</v>
          </cell>
          <cell r="G108" t="str">
            <v>INR</v>
          </cell>
          <cell r="H108">
            <v>-60851.519999999997</v>
          </cell>
          <cell r="I108" t="str">
            <v>Credit Note against 256779413161</v>
          </cell>
          <cell r="J108" t="str">
            <v>Invoice &amp; CN both not received &amp; booked</v>
          </cell>
        </row>
        <row r="109">
          <cell r="D109">
            <v>256779421109</v>
          </cell>
          <cell r="E109" t="str">
            <v>USD</v>
          </cell>
          <cell r="F109">
            <v>-3.78</v>
          </cell>
          <cell r="G109" t="str">
            <v>INR</v>
          </cell>
          <cell r="H109">
            <v>-325.02</v>
          </cell>
          <cell r="I109" t="str">
            <v>Credit Note against 256779413169</v>
          </cell>
          <cell r="J109" t="str">
            <v>Invoice &amp; CN both not received &amp; booked</v>
          </cell>
        </row>
        <row r="110">
          <cell r="D110">
            <v>256779421310</v>
          </cell>
          <cell r="E110" t="str">
            <v>USD</v>
          </cell>
          <cell r="F110">
            <v>-59</v>
          </cell>
          <cell r="G110" t="str">
            <v>INR</v>
          </cell>
          <cell r="H110">
            <v>-5074.04</v>
          </cell>
          <cell r="I110" t="str">
            <v>Credit note raised against INV 256779413280</v>
          </cell>
          <cell r="J110" t="str">
            <v>Invoice &amp; CN both not received &amp; booked</v>
          </cell>
        </row>
        <row r="111">
          <cell r="D111">
            <v>256779421311</v>
          </cell>
          <cell r="E111" t="str">
            <v>USD</v>
          </cell>
          <cell r="F111">
            <v>-141.6</v>
          </cell>
          <cell r="G111" t="str">
            <v>INR</v>
          </cell>
          <cell r="H111">
            <v>-12177.69</v>
          </cell>
          <cell r="I111" t="str">
            <v>Credit note raised against INV 256779413308</v>
          </cell>
          <cell r="J111" t="str">
            <v>Invoice &amp; CN both not received &amp; booked</v>
          </cell>
        </row>
        <row r="112">
          <cell r="D112">
            <v>256779421312</v>
          </cell>
          <cell r="E112" t="str">
            <v>USD</v>
          </cell>
          <cell r="F112">
            <v>-275.07</v>
          </cell>
          <cell r="G112" t="str">
            <v>INR</v>
          </cell>
          <cell r="H112">
            <v>-23656.2</v>
          </cell>
          <cell r="I112" t="str">
            <v>Credit note raised against INV 256779413308</v>
          </cell>
          <cell r="J112" t="str">
            <v>Invoice &amp; CN both not received &amp; booked</v>
          </cell>
        </row>
        <row r="113">
          <cell r="D113">
            <v>256779421313</v>
          </cell>
          <cell r="E113" t="str">
            <v>USD</v>
          </cell>
          <cell r="F113">
            <v>-236</v>
          </cell>
          <cell r="G113" t="str">
            <v>INR</v>
          </cell>
          <cell r="H113">
            <v>-20296.16</v>
          </cell>
          <cell r="I113" t="str">
            <v>Credit note raised against INV 256779413308</v>
          </cell>
          <cell r="J113" t="str">
            <v>Invoice &amp; CN both not received &amp; booked</v>
          </cell>
        </row>
        <row r="114">
          <cell r="D114">
            <v>256779421314</v>
          </cell>
          <cell r="E114" t="str">
            <v>USD</v>
          </cell>
          <cell r="F114">
            <v>-70.8</v>
          </cell>
          <cell r="G114" t="str">
            <v>INR</v>
          </cell>
          <cell r="H114">
            <v>-6088.85</v>
          </cell>
          <cell r="I114" t="str">
            <v>Credit note raised against INV 256779413308</v>
          </cell>
          <cell r="J114" t="str">
            <v>Invoice &amp; CN both not received &amp; booked</v>
          </cell>
        </row>
        <row r="115">
          <cell r="D115">
            <v>256779421315</v>
          </cell>
          <cell r="E115" t="str">
            <v>USD</v>
          </cell>
          <cell r="F115">
            <v>-138.82</v>
          </cell>
          <cell r="G115" t="str">
            <v>INR</v>
          </cell>
          <cell r="H115">
            <v>-11938.61</v>
          </cell>
          <cell r="I115" t="str">
            <v>Credit note raised against INV 256779413348</v>
          </cell>
          <cell r="J115" t="str">
            <v>Invoice &amp; CN both not received &amp; booked</v>
          </cell>
        </row>
        <row r="116">
          <cell r="D116">
            <v>256779421316</v>
          </cell>
          <cell r="E116" t="str">
            <v>USD</v>
          </cell>
          <cell r="F116">
            <v>-183.84</v>
          </cell>
          <cell r="G116" t="str">
            <v>INR</v>
          </cell>
          <cell r="H116">
            <v>-15810.36</v>
          </cell>
          <cell r="I116" t="str">
            <v>Credit note raised against INV 256779413480</v>
          </cell>
          <cell r="J116" t="str">
            <v>Invoice &amp; CN both not received &amp; booked</v>
          </cell>
        </row>
        <row r="117">
          <cell r="D117">
            <v>256779421317</v>
          </cell>
          <cell r="E117" t="str">
            <v>USD</v>
          </cell>
          <cell r="F117">
            <v>-413</v>
          </cell>
          <cell r="G117" t="str">
            <v>INR</v>
          </cell>
          <cell r="H117">
            <v>-35518.28</v>
          </cell>
          <cell r="I117" t="str">
            <v>Credit note raised against INV 256779413859</v>
          </cell>
          <cell r="J117" t="str">
            <v>Invoice &amp; CN both not received &amp; booked</v>
          </cell>
        </row>
        <row r="118">
          <cell r="D118">
            <v>256779421318</v>
          </cell>
          <cell r="E118" t="str">
            <v>USD</v>
          </cell>
          <cell r="F118">
            <v>-28.32</v>
          </cell>
          <cell r="G118" t="str">
            <v>INR</v>
          </cell>
          <cell r="H118">
            <v>-2435.54</v>
          </cell>
          <cell r="I118" t="str">
            <v>Credit note raised against INV 256779413879</v>
          </cell>
          <cell r="J118" t="str">
            <v>Invoice &amp; CN both not received &amp; booked</v>
          </cell>
        </row>
        <row r="119">
          <cell r="D119">
            <v>256779421319</v>
          </cell>
          <cell r="E119" t="str">
            <v>USD</v>
          </cell>
          <cell r="F119">
            <v>-8.85</v>
          </cell>
          <cell r="G119" t="str">
            <v>INR</v>
          </cell>
          <cell r="H119">
            <v>-761.11</v>
          </cell>
          <cell r="I119" t="str">
            <v>Credit note raised against INV 256779413879</v>
          </cell>
          <cell r="J119" t="str">
            <v>Invoice &amp; CN both not received &amp; booked</v>
          </cell>
        </row>
        <row r="120">
          <cell r="D120">
            <v>256779421320</v>
          </cell>
          <cell r="E120" t="str">
            <v>USD</v>
          </cell>
          <cell r="F120">
            <v>-83.66</v>
          </cell>
          <cell r="G120" t="str">
            <v>INR</v>
          </cell>
          <cell r="H120">
            <v>-7194.82</v>
          </cell>
          <cell r="I120" t="str">
            <v>Credit note raised against INV 256779414156</v>
          </cell>
          <cell r="J120" t="str">
            <v>Invoice &amp; CN both not received &amp; booked</v>
          </cell>
        </row>
        <row r="121">
          <cell r="D121">
            <v>256779421321</v>
          </cell>
          <cell r="E121" t="str">
            <v>USD</v>
          </cell>
          <cell r="F121">
            <v>-2668.72</v>
          </cell>
          <cell r="G121" t="str">
            <v>INR</v>
          </cell>
          <cell r="H121">
            <v>-229511.71</v>
          </cell>
          <cell r="I121" t="str">
            <v>Credit note raised against INV 256779414173</v>
          </cell>
          <cell r="J121" t="str">
            <v>Invoice &amp; CN both not received &amp; booked</v>
          </cell>
        </row>
        <row r="122">
          <cell r="D122">
            <v>256779421322</v>
          </cell>
          <cell r="E122" t="str">
            <v>USD</v>
          </cell>
          <cell r="F122">
            <v>-201.33</v>
          </cell>
          <cell r="G122" t="str">
            <v>INR</v>
          </cell>
          <cell r="H122">
            <v>-17314.509999999998</v>
          </cell>
          <cell r="I122" t="str">
            <v>Credit note raised against INV 256779414206</v>
          </cell>
          <cell r="J122" t="str">
            <v>Invoice &amp; CN both not received &amp; booked</v>
          </cell>
        </row>
        <row r="123">
          <cell r="D123">
            <v>256779421323</v>
          </cell>
          <cell r="E123" t="str">
            <v>USD</v>
          </cell>
          <cell r="F123">
            <v>-130.93</v>
          </cell>
          <cell r="G123" t="str">
            <v>INR</v>
          </cell>
          <cell r="H123">
            <v>-11260.07</v>
          </cell>
          <cell r="I123" t="str">
            <v>Credit note raised against INV 256779414260</v>
          </cell>
          <cell r="J123" t="str">
            <v>Invoice &amp; CN both not received &amp; booked</v>
          </cell>
        </row>
        <row r="124">
          <cell r="D124">
            <v>256779421324</v>
          </cell>
          <cell r="E124" t="str">
            <v>USD</v>
          </cell>
          <cell r="F124">
            <v>-967.68</v>
          </cell>
          <cell r="G124" t="str">
            <v>INR</v>
          </cell>
          <cell r="H124">
            <v>-83221.13</v>
          </cell>
          <cell r="I124" t="str">
            <v>Credit note raised against INV 256779414271</v>
          </cell>
          <cell r="J124" t="str">
            <v>Invoice &amp; CN both not received &amp; booked</v>
          </cell>
        </row>
        <row r="125">
          <cell r="D125">
            <v>256779421326</v>
          </cell>
          <cell r="E125" t="str">
            <v>USD</v>
          </cell>
          <cell r="F125">
            <v>-70.8</v>
          </cell>
          <cell r="G125" t="str">
            <v>INR</v>
          </cell>
          <cell r="H125">
            <v>-6088.85</v>
          </cell>
          <cell r="I125" t="str">
            <v>Credit note raised against INV 256779414309</v>
          </cell>
          <cell r="J125" t="str">
            <v>Invoice &amp; CN both not received &amp; booked</v>
          </cell>
        </row>
        <row r="126">
          <cell r="D126">
            <v>256779421327</v>
          </cell>
          <cell r="E126" t="str">
            <v>USD</v>
          </cell>
          <cell r="F126">
            <v>-113.28</v>
          </cell>
          <cell r="G126" t="str">
            <v>INR</v>
          </cell>
          <cell r="H126">
            <v>-9742.16</v>
          </cell>
          <cell r="I126" t="str">
            <v>Credit note raised against INV 256779414309</v>
          </cell>
          <cell r="J126" t="str">
            <v>Invoice &amp; CN both not received &amp; booked</v>
          </cell>
        </row>
        <row r="127">
          <cell r="D127">
            <v>256779421328</v>
          </cell>
          <cell r="E127" t="str">
            <v>USD</v>
          </cell>
          <cell r="F127">
            <v>-242.75</v>
          </cell>
          <cell r="G127" t="str">
            <v>INR</v>
          </cell>
          <cell r="H127">
            <v>-20876.66</v>
          </cell>
          <cell r="I127" t="str">
            <v>Credit note raised against INV 256779414309</v>
          </cell>
          <cell r="J127" t="str">
            <v>Invoice &amp; CN both not received &amp; booked</v>
          </cell>
        </row>
        <row r="128">
          <cell r="D128">
            <v>256779421325</v>
          </cell>
          <cell r="E128" t="str">
            <v>USD</v>
          </cell>
          <cell r="F128">
            <v>-236</v>
          </cell>
          <cell r="G128" t="str">
            <v>INR</v>
          </cell>
          <cell r="H128">
            <v>-20296.16</v>
          </cell>
          <cell r="I128" t="str">
            <v>Credit note raised against INV 256779414309</v>
          </cell>
          <cell r="J128" t="str">
            <v>Invoice &amp; CN both not received &amp; booked</v>
          </cell>
        </row>
        <row r="129">
          <cell r="D129">
            <v>256779421498</v>
          </cell>
          <cell r="E129" t="str">
            <v>USD</v>
          </cell>
          <cell r="F129">
            <v>-95.24</v>
          </cell>
          <cell r="G129" t="str">
            <v>INR</v>
          </cell>
          <cell r="H129">
            <v>-8190.7</v>
          </cell>
          <cell r="I129" t="str">
            <v>Credit note raised against 256779414430</v>
          </cell>
          <cell r="J129" t="str">
            <v>Invoice &amp; CN both not received &amp; booked</v>
          </cell>
        </row>
        <row r="130">
          <cell r="D130">
            <v>256779421512</v>
          </cell>
          <cell r="E130" t="str">
            <v>USD</v>
          </cell>
          <cell r="F130">
            <v>-2333.1799999999998</v>
          </cell>
          <cell r="G130" t="str">
            <v>INR</v>
          </cell>
          <cell r="H130">
            <v>-200655.04</v>
          </cell>
          <cell r="I130" t="str">
            <v>Credit note raised against 256779414445</v>
          </cell>
          <cell r="J130" t="str">
            <v>Invoice &amp; CN both not received &amp; booked</v>
          </cell>
        </row>
        <row r="131">
          <cell r="D131">
            <v>256779421697</v>
          </cell>
          <cell r="E131" t="str">
            <v>USD</v>
          </cell>
          <cell r="F131">
            <v>-100</v>
          </cell>
          <cell r="G131" t="str">
            <v>INR</v>
          </cell>
          <cell r="H131">
            <v>-8603.01</v>
          </cell>
          <cell r="I131" t="str">
            <v>CN ISSUED TOWARDS BILL NO.256779415303</v>
          </cell>
          <cell r="J131" t="str">
            <v>CN under booking</v>
          </cell>
        </row>
        <row r="132">
          <cell r="D132">
            <v>256779421698</v>
          </cell>
          <cell r="E132" t="str">
            <v>USD</v>
          </cell>
          <cell r="F132">
            <v>-30</v>
          </cell>
          <cell r="G132" t="str">
            <v>INR</v>
          </cell>
          <cell r="H132">
            <v>-2580.9</v>
          </cell>
          <cell r="I132" t="str">
            <v>CN ISSUED TOWARDS BILL NO.256779415304</v>
          </cell>
          <cell r="J132" t="str">
            <v>CN under booking</v>
          </cell>
        </row>
        <row r="133">
          <cell r="D133">
            <v>256779421699</v>
          </cell>
          <cell r="E133" t="str">
            <v>USD</v>
          </cell>
          <cell r="F133">
            <v>-30</v>
          </cell>
          <cell r="G133" t="str">
            <v>INR</v>
          </cell>
          <cell r="H133">
            <v>-2580.9</v>
          </cell>
          <cell r="I133" t="str">
            <v>CN ISSUED TOWARDS BILL NO.256779415305</v>
          </cell>
          <cell r="J133" t="str">
            <v>CN under booking</v>
          </cell>
        </row>
        <row r="134">
          <cell r="D134">
            <v>256779421700</v>
          </cell>
          <cell r="E134" t="str">
            <v>USD</v>
          </cell>
          <cell r="F134">
            <v>-30</v>
          </cell>
          <cell r="G134" t="str">
            <v>INR</v>
          </cell>
          <cell r="H134">
            <v>-2580.9</v>
          </cell>
          <cell r="I134" t="str">
            <v>CN ISSUED TOWARDS BILL NO.256779415306</v>
          </cell>
          <cell r="J134" t="str">
            <v>CN under booking</v>
          </cell>
        </row>
        <row r="135">
          <cell r="D135">
            <v>256779421701</v>
          </cell>
          <cell r="E135" t="str">
            <v>USD</v>
          </cell>
          <cell r="F135">
            <v>-30</v>
          </cell>
          <cell r="G135" t="str">
            <v>INR</v>
          </cell>
          <cell r="H135">
            <v>-2580.9</v>
          </cell>
          <cell r="I135" t="str">
            <v>CN ISSUED TOWARDS BILL NO.256779415307</v>
          </cell>
          <cell r="J135" t="str">
            <v>CN under booking</v>
          </cell>
        </row>
        <row r="136">
          <cell r="D136">
            <v>256779421702</v>
          </cell>
          <cell r="E136" t="str">
            <v>USD</v>
          </cell>
          <cell r="F136">
            <v>-30</v>
          </cell>
          <cell r="G136" t="str">
            <v>INR</v>
          </cell>
          <cell r="H136">
            <v>-2580.9</v>
          </cell>
          <cell r="I136" t="str">
            <v>CN ISSUED TOWARDS BILL NO.256779415308</v>
          </cell>
          <cell r="J136" t="str">
            <v>CN under booking</v>
          </cell>
        </row>
        <row r="137">
          <cell r="D137">
            <v>256779421705</v>
          </cell>
          <cell r="E137" t="str">
            <v>USD</v>
          </cell>
          <cell r="F137">
            <v>-212.5</v>
          </cell>
          <cell r="G137" t="str">
            <v>INR</v>
          </cell>
          <cell r="H137">
            <v>-18281.400000000001</v>
          </cell>
          <cell r="I137" t="str">
            <v>CN ISSUED TOWARDS BILL NO.256779415321</v>
          </cell>
          <cell r="J137" t="str">
            <v>CN under booking</v>
          </cell>
        </row>
        <row r="138">
          <cell r="D138">
            <v>256779421703</v>
          </cell>
          <cell r="E138" t="str">
            <v>USD</v>
          </cell>
          <cell r="F138">
            <v>-27.39</v>
          </cell>
          <cell r="G138" t="str">
            <v>INR</v>
          </cell>
          <cell r="H138">
            <v>-2356.36</v>
          </cell>
          <cell r="I138" t="str">
            <v>CN ISSUED TOWARDS BILL NO.256779415339</v>
          </cell>
          <cell r="J138" t="str">
            <v>CN under booking</v>
          </cell>
        </row>
        <row r="139">
          <cell r="D139">
            <v>256779421704</v>
          </cell>
          <cell r="E139" t="str">
            <v>USD</v>
          </cell>
          <cell r="F139">
            <v>-8.48</v>
          </cell>
          <cell r="G139" t="str">
            <v>INR</v>
          </cell>
          <cell r="H139">
            <v>-729.54</v>
          </cell>
          <cell r="I139" t="str">
            <v>CN ISSUED TOWARDS BILL NO.256779415349</v>
          </cell>
          <cell r="J139" t="str">
            <v>CN under booking</v>
          </cell>
        </row>
        <row r="140">
          <cell r="D140">
            <v>256779421708</v>
          </cell>
          <cell r="E140" t="str">
            <v>USD</v>
          </cell>
          <cell r="F140">
            <v>-281.5</v>
          </cell>
          <cell r="G140" t="str">
            <v>INR</v>
          </cell>
          <cell r="H140">
            <v>-24217.48</v>
          </cell>
          <cell r="I140" t="str">
            <v>CN ISSUED TOWARDS BILL NO.256779415365</v>
          </cell>
          <cell r="J140" t="str">
            <v>CN under booking</v>
          </cell>
        </row>
        <row r="141">
          <cell r="D141">
            <v>256779421706</v>
          </cell>
          <cell r="E141" t="str">
            <v>USD</v>
          </cell>
          <cell r="F141">
            <v>-362.02</v>
          </cell>
          <cell r="G141" t="str">
            <v>INR</v>
          </cell>
          <cell r="H141">
            <v>-31144.62</v>
          </cell>
          <cell r="I141" t="str">
            <v>CN ISSUED TOWARDS BILL NO.256779415374</v>
          </cell>
          <cell r="J141" t="str">
            <v>CN under booking</v>
          </cell>
        </row>
        <row r="142">
          <cell r="D142">
            <v>256779421623</v>
          </cell>
          <cell r="E142" t="str">
            <v>USD</v>
          </cell>
          <cell r="F142">
            <v>-608.41</v>
          </cell>
          <cell r="G142" t="str">
            <v>INR</v>
          </cell>
          <cell r="H142">
            <v>-52323.67</v>
          </cell>
          <cell r="I142" t="str">
            <v>Credit note raised against 256779415792</v>
          </cell>
          <cell r="J142" t="str">
            <v>Invoice &amp; CN both not received &amp; booked</v>
          </cell>
        </row>
        <row r="143">
          <cell r="D143">
            <v>256779422067</v>
          </cell>
          <cell r="E143" t="str">
            <v>USD</v>
          </cell>
          <cell r="F143">
            <v>-4608.8</v>
          </cell>
          <cell r="G143" t="str">
            <v>INR</v>
          </cell>
          <cell r="H143">
            <v>-405590.02</v>
          </cell>
          <cell r="I143" t="str">
            <v>CN issued against 256779417093</v>
          </cell>
          <cell r="J143" t="str">
            <v>Invoice &amp; CN both not received &amp; booked</v>
          </cell>
        </row>
        <row r="144">
          <cell r="D144">
            <v>256779422006</v>
          </cell>
          <cell r="E144" t="str">
            <v>USD</v>
          </cell>
          <cell r="F144">
            <v>-94.81</v>
          </cell>
          <cell r="G144" t="str">
            <v>INR</v>
          </cell>
          <cell r="H144">
            <v>-8361.3700000000008</v>
          </cell>
          <cell r="I144" t="str">
            <v>Credit note raised against 256779418068</v>
          </cell>
          <cell r="J144" t="str">
            <v>Invoice &amp; CN both not received &amp; booked</v>
          </cell>
        </row>
        <row r="145">
          <cell r="D145">
            <v>256779422164</v>
          </cell>
          <cell r="E145" t="str">
            <v>USD</v>
          </cell>
          <cell r="F145">
            <v>-562.38</v>
          </cell>
          <cell r="G145" t="str">
            <v>INR</v>
          </cell>
          <cell r="H145">
            <v>-51032.13</v>
          </cell>
          <cell r="I145" t="str">
            <v>Credit note for Duplicate invoice -256779418489</v>
          </cell>
          <cell r="J145" t="str">
            <v>Invoice &amp; CN both not received &amp; booked</v>
          </cell>
        </row>
        <row r="146">
          <cell r="D146">
            <v>256779422170</v>
          </cell>
          <cell r="E146" t="str">
            <v>USD</v>
          </cell>
          <cell r="F146">
            <v>-13.59</v>
          </cell>
          <cell r="G146" t="str">
            <v>INR</v>
          </cell>
          <cell r="H146">
            <v>-1233.2</v>
          </cell>
          <cell r="I146" t="str">
            <v>Credit note for Duplicate invoice -256779418495</v>
          </cell>
          <cell r="J146" t="str">
            <v>Invoice &amp; CN both not received &amp; booked</v>
          </cell>
        </row>
        <row r="148">
          <cell r="H148">
            <v>-2696690.4400000004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728"/>
  <sheetViews>
    <sheetView tabSelected="1" topLeftCell="K1" workbookViewId="0">
      <selection activeCell="U629" sqref="U629"/>
    </sheetView>
  </sheetViews>
  <sheetFormatPr defaultRowHeight="13.2" outlineLevelRow="2" x14ac:dyDescent="0.25"/>
  <cols>
    <col min="1" max="1" width="13.44140625" hidden="1" customWidth="1"/>
    <col min="2" max="2" width="15.5546875" hidden="1" customWidth="1"/>
    <col min="3" max="3" width="10.77734375" hidden="1" customWidth="1"/>
    <col min="4" max="4" width="25.21875" hidden="1" customWidth="1"/>
    <col min="5" max="5" width="12.21875" hidden="1" customWidth="1"/>
    <col min="6" max="6" width="9" hidden="1" customWidth="1"/>
    <col min="7" max="7" width="13.5546875" bestFit="1" customWidth="1"/>
    <col min="8" max="8" width="17.88671875" bestFit="1" customWidth="1"/>
    <col min="9" max="9" width="11.109375" bestFit="1" customWidth="1"/>
    <col min="10" max="10" width="15.5546875" bestFit="1" customWidth="1"/>
    <col min="11" max="11" width="11.88671875" bestFit="1" customWidth="1"/>
    <col min="12" max="12" width="21.88671875" bestFit="1" customWidth="1"/>
    <col min="13" max="13" width="17.109375" customWidth="1"/>
    <col min="14" max="14" width="13" customWidth="1"/>
    <col min="15" max="15" width="22.5546875" customWidth="1"/>
    <col min="16" max="16" width="16.109375" customWidth="1"/>
    <col min="17" max="17" width="12.6640625" customWidth="1"/>
    <col min="18" max="18" width="13.88671875" bestFit="1" customWidth="1"/>
    <col min="19" max="19" width="15.33203125" bestFit="1" customWidth="1"/>
    <col min="20" max="20" width="15.5546875" bestFit="1" customWidth="1"/>
    <col min="21" max="21" width="15.21875" bestFit="1" customWidth="1"/>
    <col min="22" max="22" width="10.77734375" hidden="1" customWidth="1"/>
    <col min="23" max="23" width="13.21875" hidden="1" customWidth="1"/>
    <col min="24" max="24" width="18.88671875" hidden="1" customWidth="1"/>
    <col min="25" max="25" width="12.21875" bestFit="1" customWidth="1"/>
    <col min="26" max="26" width="6.6640625" bestFit="1" customWidth="1"/>
    <col min="27" max="27" width="47" bestFit="1" customWidth="1"/>
    <col min="28" max="30" width="16.6640625" hidden="1" customWidth="1"/>
    <col min="31" max="31" width="20.88671875" hidden="1" customWidth="1"/>
    <col min="32" max="32" width="14" hidden="1" customWidth="1"/>
    <col min="33" max="33" width="18.21875" bestFit="1" customWidth="1"/>
    <col min="34" max="34" width="15.6640625" bestFit="1" customWidth="1"/>
    <col min="36" max="36" width="10.109375" bestFit="1" customWidth="1"/>
  </cols>
  <sheetData>
    <row r="1" spans="1:36" ht="26.4" x14ac:dyDescent="0.25">
      <c r="A1" s="1" t="s">
        <v>1214</v>
      </c>
      <c r="B1" s="1" t="s">
        <v>1215</v>
      </c>
      <c r="C1" s="1" t="s">
        <v>1216</v>
      </c>
      <c r="D1" s="1" t="s">
        <v>1217</v>
      </c>
      <c r="E1" s="1" t="s">
        <v>1218</v>
      </c>
      <c r="F1" s="12" t="s">
        <v>1219</v>
      </c>
      <c r="G1" s="1" t="s">
        <v>1220</v>
      </c>
      <c r="H1" s="1" t="s">
        <v>1221</v>
      </c>
      <c r="I1" s="12" t="s">
        <v>1222</v>
      </c>
      <c r="J1" s="1" t="s">
        <v>1223</v>
      </c>
      <c r="K1" s="1" t="s">
        <v>1224</v>
      </c>
      <c r="L1" s="1" t="s">
        <v>1225</v>
      </c>
      <c r="M1" s="1" t="s">
        <v>1226</v>
      </c>
      <c r="N1" s="1" t="s">
        <v>1227</v>
      </c>
      <c r="O1" s="1" t="s">
        <v>1228</v>
      </c>
      <c r="P1" s="1" t="s">
        <v>1229</v>
      </c>
      <c r="Q1" s="1" t="s">
        <v>1230</v>
      </c>
      <c r="R1" s="12" t="s">
        <v>1231</v>
      </c>
      <c r="S1" s="12" t="s">
        <v>1232</v>
      </c>
      <c r="T1" s="12" t="s">
        <v>1233</v>
      </c>
      <c r="U1" s="12" t="s">
        <v>1234</v>
      </c>
      <c r="V1" s="1" t="s">
        <v>1235</v>
      </c>
      <c r="W1" s="1" t="s">
        <v>1236</v>
      </c>
      <c r="X1" s="1" t="s">
        <v>1237</v>
      </c>
      <c r="Y1" s="1" t="s">
        <v>106</v>
      </c>
      <c r="Z1" s="1" t="s">
        <v>1238</v>
      </c>
      <c r="AA1" s="1" t="s">
        <v>1239</v>
      </c>
      <c r="AB1" s="1" t="s">
        <v>1240</v>
      </c>
      <c r="AC1" s="1" t="s">
        <v>1241</v>
      </c>
      <c r="AD1" s="1" t="s">
        <v>1242</v>
      </c>
      <c r="AE1" s="1" t="s">
        <v>1243</v>
      </c>
      <c r="AF1" s="1" t="s">
        <v>1244</v>
      </c>
      <c r="AG1" s="1" t="s">
        <v>1245</v>
      </c>
    </row>
    <row r="2" spans="1:36" hidden="1" outlineLevel="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45826</v>
      </c>
      <c r="H2" t="s">
        <v>6</v>
      </c>
      <c r="I2" t="s">
        <v>7</v>
      </c>
      <c r="J2" s="2">
        <v>45826</v>
      </c>
      <c r="K2" s="2">
        <v>45827</v>
      </c>
      <c r="L2" t="s">
        <v>8</v>
      </c>
      <c r="M2" s="14">
        <v>256779414445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s="3">
        <v>2333.1799999999998</v>
      </c>
      <c r="T2" t="s">
        <v>14</v>
      </c>
      <c r="U2" s="3">
        <v>199465.38</v>
      </c>
      <c r="V2" t="s">
        <v>15</v>
      </c>
      <c r="W2" t="s">
        <v>16</v>
      </c>
      <c r="X2" t="s">
        <v>11</v>
      </c>
      <c r="Y2" t="s">
        <v>8</v>
      </c>
      <c r="Z2" t="s">
        <v>17</v>
      </c>
      <c r="AA2" t="s">
        <v>18</v>
      </c>
      <c r="AB2" t="s">
        <v>11</v>
      </c>
      <c r="AC2" t="s">
        <v>11</v>
      </c>
      <c r="AD2" t="s">
        <v>11</v>
      </c>
      <c r="AE2" s="2">
        <v>45826</v>
      </c>
      <c r="AF2" s="2">
        <v>45902</v>
      </c>
      <c r="AG2" t="s">
        <v>19</v>
      </c>
      <c r="AH2" t="e">
        <f>VLOOKUP(M2,'[1]INDIAN ENTERPRISES'!$D:$D,1,0)</f>
        <v>#N/A</v>
      </c>
      <c r="AI2" t="str">
        <f>VLOOKUP(M2,'[2]Invoices Not in Customer Books'!$E:$K,7,0)</f>
        <v>Invoice &amp; CN both not received &amp; booked</v>
      </c>
      <c r="AJ2" s="15" t="e">
        <f>VLOOKUP(M2,'[1]INDIAN ENTERPRISES'!$D:$L,9,0)</f>
        <v>#N/A</v>
      </c>
    </row>
    <row r="3" spans="1:36" hidden="1" outlineLevel="2" x14ac:dyDescent="0.25">
      <c r="A3" t="s">
        <v>20</v>
      </c>
      <c r="B3" t="s">
        <v>1</v>
      </c>
      <c r="C3" t="s">
        <v>2</v>
      </c>
      <c r="D3" t="s">
        <v>3</v>
      </c>
      <c r="E3" t="s">
        <v>4</v>
      </c>
      <c r="F3" t="s">
        <v>21</v>
      </c>
      <c r="G3" s="2">
        <v>45951</v>
      </c>
      <c r="H3" t="s">
        <v>22</v>
      </c>
      <c r="I3" t="s">
        <v>7</v>
      </c>
      <c r="J3" s="2">
        <v>45951</v>
      </c>
      <c r="K3" s="2">
        <v>45951</v>
      </c>
      <c r="L3" t="s">
        <v>8</v>
      </c>
      <c r="M3" s="14">
        <v>256779418474</v>
      </c>
      <c r="N3" t="s">
        <v>9</v>
      </c>
      <c r="O3" t="s">
        <v>10</v>
      </c>
      <c r="P3" t="s">
        <v>11</v>
      </c>
      <c r="Q3" t="s">
        <v>12</v>
      </c>
      <c r="R3" t="s">
        <v>13</v>
      </c>
      <c r="S3" s="3">
        <v>562.38</v>
      </c>
      <c r="T3" t="s">
        <v>14</v>
      </c>
      <c r="U3" s="3">
        <v>49596.73</v>
      </c>
      <c r="V3" t="s">
        <v>15</v>
      </c>
      <c r="W3" t="s">
        <v>16</v>
      </c>
      <c r="X3" t="s">
        <v>11</v>
      </c>
      <c r="Y3" t="s">
        <v>23</v>
      </c>
      <c r="Z3" t="s">
        <v>17</v>
      </c>
      <c r="AA3" t="s">
        <v>24</v>
      </c>
      <c r="AB3" t="s">
        <v>11</v>
      </c>
      <c r="AC3" t="s">
        <v>11</v>
      </c>
      <c r="AD3" t="s">
        <v>11</v>
      </c>
      <c r="AE3" s="2">
        <v>45951</v>
      </c>
      <c r="AF3" s="2"/>
      <c r="AG3" t="s">
        <v>11</v>
      </c>
      <c r="AH3" s="14">
        <f>VLOOKUP(M3,'[1]INDIAN ENTERPRISES'!$D:$D,1,0)</f>
        <v>256779418474</v>
      </c>
      <c r="AJ3" s="15">
        <f>VLOOKUP(M3,'[1]INDIAN ENTERPRISES'!$D:$L,9,0)</f>
        <v>46053</v>
      </c>
    </row>
    <row r="4" spans="1:36" hidden="1" outlineLevel="2" x14ac:dyDescent="0.25">
      <c r="A4" t="s">
        <v>20</v>
      </c>
      <c r="B4" t="s">
        <v>1</v>
      </c>
      <c r="C4" t="s">
        <v>2</v>
      </c>
      <c r="D4" t="s">
        <v>3</v>
      </c>
      <c r="E4" t="s">
        <v>4</v>
      </c>
      <c r="F4" t="s">
        <v>21</v>
      </c>
      <c r="G4" s="2">
        <v>45951</v>
      </c>
      <c r="H4" t="s">
        <v>25</v>
      </c>
      <c r="I4" t="s">
        <v>7</v>
      </c>
      <c r="J4" s="2">
        <v>45951</v>
      </c>
      <c r="K4" s="2">
        <v>45951</v>
      </c>
      <c r="L4" t="s">
        <v>8</v>
      </c>
      <c r="M4" s="14">
        <v>256779418480</v>
      </c>
      <c r="N4" t="s">
        <v>9</v>
      </c>
      <c r="O4" t="s">
        <v>10</v>
      </c>
      <c r="P4" t="s">
        <v>11</v>
      </c>
      <c r="Q4" t="s">
        <v>12</v>
      </c>
      <c r="R4" t="s">
        <v>13</v>
      </c>
      <c r="S4" s="3">
        <v>13.59</v>
      </c>
      <c r="T4" t="s">
        <v>14</v>
      </c>
      <c r="U4" s="3">
        <v>1198.51</v>
      </c>
      <c r="V4" t="s">
        <v>15</v>
      </c>
      <c r="W4" t="s">
        <v>16</v>
      </c>
      <c r="X4" t="s">
        <v>11</v>
      </c>
      <c r="Y4" t="s">
        <v>23</v>
      </c>
      <c r="Z4" t="s">
        <v>17</v>
      </c>
      <c r="AA4" t="s">
        <v>26</v>
      </c>
      <c r="AB4" t="s">
        <v>11</v>
      </c>
      <c r="AC4" t="s">
        <v>11</v>
      </c>
      <c r="AD4" t="s">
        <v>11</v>
      </c>
      <c r="AE4" s="2">
        <v>45951</v>
      </c>
      <c r="AF4" s="2"/>
      <c r="AG4" t="s">
        <v>11</v>
      </c>
      <c r="AH4" s="14">
        <f>VLOOKUP(M4,'[1]INDIAN ENTERPRISES'!$D:$D,1,0)</f>
        <v>256779418480</v>
      </c>
      <c r="AJ4" s="15">
        <f>VLOOKUP(M4,'[1]INDIAN ENTERPRISES'!$D:$L,9,0)</f>
        <v>46022</v>
      </c>
    </row>
    <row r="5" spans="1:36" hidden="1" outlineLevel="2" x14ac:dyDescent="0.25">
      <c r="A5" t="s">
        <v>20</v>
      </c>
      <c r="B5" t="s">
        <v>1</v>
      </c>
      <c r="C5" t="s">
        <v>2</v>
      </c>
      <c r="D5" t="s">
        <v>3</v>
      </c>
      <c r="E5" t="s">
        <v>4</v>
      </c>
      <c r="F5" t="s">
        <v>21</v>
      </c>
      <c r="G5" s="2">
        <v>45951</v>
      </c>
      <c r="H5" t="s">
        <v>27</v>
      </c>
      <c r="I5" t="s">
        <v>7</v>
      </c>
      <c r="J5" s="2">
        <v>45951</v>
      </c>
      <c r="K5" s="2">
        <v>45951</v>
      </c>
      <c r="L5" t="s">
        <v>8</v>
      </c>
      <c r="M5" s="14">
        <v>256779418489</v>
      </c>
      <c r="N5" t="s">
        <v>9</v>
      </c>
      <c r="O5" t="s">
        <v>10</v>
      </c>
      <c r="P5" t="s">
        <v>11</v>
      </c>
      <c r="Q5" t="s">
        <v>12</v>
      </c>
      <c r="R5" t="s">
        <v>13</v>
      </c>
      <c r="S5" s="3">
        <v>562.38</v>
      </c>
      <c r="T5" t="s">
        <v>14</v>
      </c>
      <c r="U5" s="3">
        <v>49596.73</v>
      </c>
      <c r="V5" t="s">
        <v>15</v>
      </c>
      <c r="W5" t="s">
        <v>16</v>
      </c>
      <c r="X5" t="s">
        <v>11</v>
      </c>
      <c r="Y5" t="s">
        <v>23</v>
      </c>
      <c r="Z5" t="s">
        <v>17</v>
      </c>
      <c r="AA5" t="s">
        <v>24</v>
      </c>
      <c r="AB5" t="s">
        <v>11</v>
      </c>
      <c r="AC5" t="s">
        <v>11</v>
      </c>
      <c r="AD5" t="s">
        <v>11</v>
      </c>
      <c r="AE5" s="2">
        <v>45951</v>
      </c>
      <c r="AF5" s="2"/>
      <c r="AG5" t="s">
        <v>11</v>
      </c>
      <c r="AH5" s="14" t="e">
        <f>VLOOKUP(M5,'[1]INDIAN ENTERPRISES'!$D:$D,1,0)</f>
        <v>#N/A</v>
      </c>
      <c r="AI5" t="str">
        <f>VLOOKUP(M5,'[2]Invoices Not in Customer Books'!$E:$K,7,0)</f>
        <v>Invoice &amp; CN both not received &amp; booked</v>
      </c>
      <c r="AJ5" s="15" t="e">
        <f>VLOOKUP(M5,'[1]INDIAN ENTERPRISES'!$D:$L,9,0)</f>
        <v>#N/A</v>
      </c>
    </row>
    <row r="6" spans="1:36" hidden="1" outlineLevel="2" x14ac:dyDescent="0.25">
      <c r="A6" t="s">
        <v>20</v>
      </c>
      <c r="B6" t="s">
        <v>1</v>
      </c>
      <c r="C6" t="s">
        <v>2</v>
      </c>
      <c r="D6" t="s">
        <v>3</v>
      </c>
      <c r="E6" t="s">
        <v>4</v>
      </c>
      <c r="F6" t="s">
        <v>21</v>
      </c>
      <c r="G6" s="2">
        <v>45951</v>
      </c>
      <c r="H6" t="s">
        <v>28</v>
      </c>
      <c r="I6" t="s">
        <v>7</v>
      </c>
      <c r="J6" s="2">
        <v>45951</v>
      </c>
      <c r="K6" s="2">
        <v>45951</v>
      </c>
      <c r="L6" t="s">
        <v>8</v>
      </c>
      <c r="M6" s="14">
        <v>256779418495</v>
      </c>
      <c r="N6" t="s">
        <v>9</v>
      </c>
      <c r="O6" t="s">
        <v>10</v>
      </c>
      <c r="P6" t="s">
        <v>11</v>
      </c>
      <c r="Q6" t="s">
        <v>12</v>
      </c>
      <c r="R6" t="s">
        <v>13</v>
      </c>
      <c r="S6" s="3">
        <v>13.59</v>
      </c>
      <c r="T6" t="s">
        <v>14</v>
      </c>
      <c r="U6" s="3">
        <v>1198.51</v>
      </c>
      <c r="V6" t="s">
        <v>15</v>
      </c>
      <c r="W6" t="s">
        <v>16</v>
      </c>
      <c r="X6" t="s">
        <v>11</v>
      </c>
      <c r="Y6" t="s">
        <v>23</v>
      </c>
      <c r="Z6" t="s">
        <v>17</v>
      </c>
      <c r="AA6" t="s">
        <v>26</v>
      </c>
      <c r="AB6" t="s">
        <v>11</v>
      </c>
      <c r="AC6" t="s">
        <v>11</v>
      </c>
      <c r="AD6" t="s">
        <v>11</v>
      </c>
      <c r="AE6" s="2">
        <v>45951</v>
      </c>
      <c r="AF6" s="2"/>
      <c r="AG6" t="s">
        <v>11</v>
      </c>
      <c r="AH6" s="14" t="e">
        <f>VLOOKUP(M6,'[1]INDIAN ENTERPRISES'!$D:$D,1,0)</f>
        <v>#N/A</v>
      </c>
      <c r="AI6" t="str">
        <f>VLOOKUP(M6,'[2]Invoices Not in Customer Books'!$E:$K,7,0)</f>
        <v>Invoice &amp; CN both not received &amp; booked</v>
      </c>
      <c r="AJ6" s="15" t="e">
        <f>VLOOKUP(M6,'[1]INDIAN ENTERPRISES'!$D:$L,9,0)</f>
        <v>#N/A</v>
      </c>
    </row>
    <row r="7" spans="1:36" hidden="1" outlineLevel="2" x14ac:dyDescent="0.25">
      <c r="A7" t="s">
        <v>20</v>
      </c>
      <c r="B7" t="s">
        <v>1</v>
      </c>
      <c r="C7" t="s">
        <v>2</v>
      </c>
      <c r="D7" t="s">
        <v>3</v>
      </c>
      <c r="E7" t="s">
        <v>4</v>
      </c>
      <c r="F7" t="s">
        <v>29</v>
      </c>
      <c r="G7" s="2">
        <v>45735</v>
      </c>
      <c r="H7" t="s">
        <v>30</v>
      </c>
      <c r="I7" t="s">
        <v>7</v>
      </c>
      <c r="J7" s="2">
        <v>45735</v>
      </c>
      <c r="K7" s="2">
        <v>45736</v>
      </c>
      <c r="L7" t="s">
        <v>8</v>
      </c>
      <c r="M7" s="14">
        <v>246779412994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 s="3">
        <v>2297.27</v>
      </c>
      <c r="T7" t="s">
        <v>14</v>
      </c>
      <c r="U7" s="3">
        <v>199153.23</v>
      </c>
      <c r="V7" t="s">
        <v>15</v>
      </c>
      <c r="W7" t="s">
        <v>16</v>
      </c>
      <c r="X7" t="s">
        <v>11</v>
      </c>
      <c r="Y7" t="s">
        <v>8</v>
      </c>
      <c r="Z7" t="s">
        <v>17</v>
      </c>
      <c r="AA7" t="s">
        <v>31</v>
      </c>
      <c r="AB7" t="s">
        <v>11</v>
      </c>
      <c r="AC7" t="s">
        <v>11</v>
      </c>
      <c r="AD7" t="s">
        <v>11</v>
      </c>
      <c r="AE7" s="2">
        <v>45735</v>
      </c>
      <c r="AF7" s="2"/>
      <c r="AG7" t="s">
        <v>11</v>
      </c>
      <c r="AH7" s="14">
        <f>VLOOKUP(M7,'[1]INDIAN ENTERPRISES'!$D:$D,1,0)</f>
        <v>246779412994</v>
      </c>
      <c r="AJ7" s="15">
        <f>VLOOKUP(M7,'[1]INDIAN ENTERPRISES'!$D:$L,9,0)</f>
        <v>45869</v>
      </c>
    </row>
    <row r="8" spans="1:36" hidden="1" outlineLevel="2" x14ac:dyDescent="0.25">
      <c r="A8" t="s">
        <v>20</v>
      </c>
      <c r="B8" t="s">
        <v>1</v>
      </c>
      <c r="C8" t="s">
        <v>2</v>
      </c>
      <c r="D8" t="s">
        <v>3</v>
      </c>
      <c r="E8" t="s">
        <v>4</v>
      </c>
      <c r="F8" t="s">
        <v>29</v>
      </c>
      <c r="G8" s="2">
        <v>45735</v>
      </c>
      <c r="H8" t="s">
        <v>32</v>
      </c>
      <c r="I8" t="s">
        <v>7</v>
      </c>
      <c r="J8" s="2">
        <v>45735</v>
      </c>
      <c r="K8" s="2">
        <v>45736</v>
      </c>
      <c r="L8" t="s">
        <v>8</v>
      </c>
      <c r="M8" s="14">
        <v>246779413023</v>
      </c>
      <c r="N8" t="s">
        <v>9</v>
      </c>
      <c r="O8" t="s">
        <v>10</v>
      </c>
      <c r="P8" t="s">
        <v>11</v>
      </c>
      <c r="Q8" t="s">
        <v>12</v>
      </c>
      <c r="R8" t="s">
        <v>13</v>
      </c>
      <c r="S8" s="3">
        <v>91.89</v>
      </c>
      <c r="T8" t="s">
        <v>14</v>
      </c>
      <c r="U8" s="3">
        <v>7966.06</v>
      </c>
      <c r="V8" t="s">
        <v>15</v>
      </c>
      <c r="W8" t="s">
        <v>16</v>
      </c>
      <c r="X8" t="s">
        <v>11</v>
      </c>
      <c r="Y8" t="s">
        <v>8</v>
      </c>
      <c r="Z8" t="s">
        <v>17</v>
      </c>
      <c r="AA8" t="s">
        <v>31</v>
      </c>
      <c r="AB8" t="s">
        <v>11</v>
      </c>
      <c r="AC8" t="s">
        <v>11</v>
      </c>
      <c r="AD8" t="s">
        <v>11</v>
      </c>
      <c r="AE8" s="2">
        <v>45735</v>
      </c>
      <c r="AF8" s="2"/>
      <c r="AG8" t="s">
        <v>11</v>
      </c>
      <c r="AH8" s="14">
        <f>VLOOKUP(M8,'[1]INDIAN ENTERPRISES'!$D:$D,1,0)</f>
        <v>246779413023</v>
      </c>
      <c r="AJ8" s="15">
        <f>VLOOKUP(M8,'[1]INDIAN ENTERPRISES'!$D:$L,9,0)</f>
        <v>45869</v>
      </c>
    </row>
    <row r="9" spans="1:36" hidden="1" outlineLevel="2" x14ac:dyDescent="0.25">
      <c r="A9" t="s">
        <v>20</v>
      </c>
      <c r="B9" t="s">
        <v>1</v>
      </c>
      <c r="C9" t="s">
        <v>2</v>
      </c>
      <c r="D9" t="s">
        <v>3</v>
      </c>
      <c r="E9" t="s">
        <v>4</v>
      </c>
      <c r="F9" t="s">
        <v>29</v>
      </c>
      <c r="G9" s="2">
        <v>45735</v>
      </c>
      <c r="H9" t="s">
        <v>33</v>
      </c>
      <c r="I9" t="s">
        <v>7</v>
      </c>
      <c r="J9" s="2">
        <v>45735</v>
      </c>
      <c r="K9" s="2">
        <v>45736</v>
      </c>
      <c r="L9" t="s">
        <v>8</v>
      </c>
      <c r="M9" s="14">
        <v>246779413024</v>
      </c>
      <c r="N9" t="s">
        <v>9</v>
      </c>
      <c r="O9" t="s">
        <v>10</v>
      </c>
      <c r="P9" t="s">
        <v>11</v>
      </c>
      <c r="Q9" t="s">
        <v>12</v>
      </c>
      <c r="R9" t="s">
        <v>13</v>
      </c>
      <c r="S9" s="3">
        <v>50.54</v>
      </c>
      <c r="T9" t="s">
        <v>14</v>
      </c>
      <c r="U9" s="3">
        <v>4381.38</v>
      </c>
      <c r="V9" t="s">
        <v>15</v>
      </c>
      <c r="W9" t="s">
        <v>16</v>
      </c>
      <c r="X9" t="s">
        <v>11</v>
      </c>
      <c r="Y9" t="s">
        <v>8</v>
      </c>
      <c r="Z9" t="s">
        <v>17</v>
      </c>
      <c r="AA9" t="s">
        <v>31</v>
      </c>
      <c r="AB9" t="s">
        <v>11</v>
      </c>
      <c r="AC9" t="s">
        <v>11</v>
      </c>
      <c r="AD9" t="s">
        <v>11</v>
      </c>
      <c r="AE9" s="2">
        <v>45735</v>
      </c>
      <c r="AF9" s="2"/>
      <c r="AG9" t="s">
        <v>11</v>
      </c>
      <c r="AH9" s="14">
        <f>VLOOKUP(M9,'[1]INDIAN ENTERPRISES'!$D:$D,1,0)</f>
        <v>246779413024</v>
      </c>
      <c r="AJ9" s="15">
        <f>VLOOKUP(M9,'[1]INDIAN ENTERPRISES'!$D:$L,9,0)</f>
        <v>45869</v>
      </c>
    </row>
    <row r="10" spans="1:36" hidden="1" outlineLevel="2" x14ac:dyDescent="0.25">
      <c r="A10" t="s">
        <v>20</v>
      </c>
      <c r="B10" t="s">
        <v>1</v>
      </c>
      <c r="C10" t="s">
        <v>2</v>
      </c>
      <c r="D10" t="s">
        <v>3</v>
      </c>
      <c r="E10" t="s">
        <v>4</v>
      </c>
      <c r="F10" t="s">
        <v>29</v>
      </c>
      <c r="G10" s="2">
        <v>45735</v>
      </c>
      <c r="H10" t="s">
        <v>34</v>
      </c>
      <c r="I10" t="s">
        <v>7</v>
      </c>
      <c r="J10" s="2">
        <v>45735</v>
      </c>
      <c r="K10" s="2">
        <v>45736</v>
      </c>
      <c r="L10" t="s">
        <v>8</v>
      </c>
      <c r="M10" s="14">
        <v>246779413202</v>
      </c>
      <c r="N10" t="s">
        <v>9</v>
      </c>
      <c r="O10" t="s">
        <v>10</v>
      </c>
      <c r="P10" t="s">
        <v>11</v>
      </c>
      <c r="Q10" t="s">
        <v>12</v>
      </c>
      <c r="R10" t="s">
        <v>13</v>
      </c>
      <c r="S10" s="3">
        <v>39.06</v>
      </c>
      <c r="T10" t="s">
        <v>14</v>
      </c>
      <c r="U10" s="3">
        <v>3386.16</v>
      </c>
      <c r="V10" t="s">
        <v>15</v>
      </c>
      <c r="W10" t="s">
        <v>16</v>
      </c>
      <c r="X10" t="s">
        <v>11</v>
      </c>
      <c r="Y10" t="s">
        <v>8</v>
      </c>
      <c r="Z10" t="s">
        <v>17</v>
      </c>
      <c r="AA10" t="s">
        <v>35</v>
      </c>
      <c r="AB10" t="s">
        <v>11</v>
      </c>
      <c r="AC10" t="s">
        <v>11</v>
      </c>
      <c r="AD10" t="s">
        <v>11</v>
      </c>
      <c r="AE10" s="2">
        <v>45735</v>
      </c>
      <c r="AF10" s="2"/>
      <c r="AG10" t="s">
        <v>11</v>
      </c>
      <c r="AH10" s="14">
        <f>VLOOKUP(M10,'[1]INDIAN ENTERPRISES'!$D:$D,1,0)</f>
        <v>246779413202</v>
      </c>
      <c r="AJ10" s="15">
        <f>VLOOKUP(M10,'[1]INDIAN ENTERPRISES'!$D:$L,9,0)</f>
        <v>45838</v>
      </c>
    </row>
    <row r="11" spans="1:36" hidden="1" outlineLevel="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29</v>
      </c>
      <c r="G11" s="2">
        <v>45735</v>
      </c>
      <c r="H11" t="s">
        <v>36</v>
      </c>
      <c r="I11" t="s">
        <v>7</v>
      </c>
      <c r="J11" s="2">
        <v>45735</v>
      </c>
      <c r="K11" s="2">
        <v>45736</v>
      </c>
      <c r="L11" t="s">
        <v>8</v>
      </c>
      <c r="M11" s="14">
        <v>246779413317</v>
      </c>
      <c r="N11" t="s">
        <v>9</v>
      </c>
      <c r="O11" t="s">
        <v>10</v>
      </c>
      <c r="P11" t="s">
        <v>11</v>
      </c>
      <c r="Q11" t="s">
        <v>12</v>
      </c>
      <c r="R11" t="s">
        <v>13</v>
      </c>
      <c r="S11" s="3">
        <v>20.100000000000001</v>
      </c>
      <c r="T11" t="s">
        <v>14</v>
      </c>
      <c r="U11" s="3">
        <v>1742.49</v>
      </c>
      <c r="V11" t="s">
        <v>37</v>
      </c>
      <c r="W11" t="s">
        <v>16</v>
      </c>
      <c r="X11" t="s">
        <v>11</v>
      </c>
      <c r="Y11" t="s">
        <v>8</v>
      </c>
      <c r="Z11" t="s">
        <v>17</v>
      </c>
      <c r="AA11" t="s">
        <v>38</v>
      </c>
      <c r="AB11" t="s">
        <v>11</v>
      </c>
      <c r="AC11" t="s">
        <v>11</v>
      </c>
      <c r="AD11" t="s">
        <v>11</v>
      </c>
      <c r="AE11" s="2">
        <v>45735</v>
      </c>
      <c r="AF11" s="2">
        <v>45974</v>
      </c>
      <c r="AG11" t="s">
        <v>39</v>
      </c>
      <c r="AH11" s="14" t="e">
        <f>VLOOKUP(M11,'[1]INDIAN ENTERPRISES'!$D:$D,1,0)</f>
        <v>#N/A</v>
      </c>
      <c r="AI11" t="str">
        <f>VLOOKUP(M11,'[2]Invoices Not in Customer Books'!$E:$K,7,0)</f>
        <v>Invoice &amp; CN both not received &amp; booked</v>
      </c>
      <c r="AJ11" s="15" t="e">
        <f>VLOOKUP(M11,'[1]INDIAN ENTERPRISES'!$D:$L,9,0)</f>
        <v>#N/A</v>
      </c>
    </row>
    <row r="12" spans="1:36" hidden="1" outlineLevel="2" x14ac:dyDescent="0.25">
      <c r="A12" t="s">
        <v>20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s="2">
        <v>45827</v>
      </c>
      <c r="H12" t="s">
        <v>40</v>
      </c>
      <c r="I12" t="s">
        <v>7</v>
      </c>
      <c r="J12" s="2">
        <v>45827</v>
      </c>
      <c r="K12" s="2">
        <v>45829</v>
      </c>
      <c r="L12" t="s">
        <v>8</v>
      </c>
      <c r="M12" s="14">
        <v>256779414741</v>
      </c>
      <c r="N12" t="s">
        <v>9</v>
      </c>
      <c r="O12" t="s">
        <v>10</v>
      </c>
      <c r="P12" t="s">
        <v>11</v>
      </c>
      <c r="Q12" t="s">
        <v>12</v>
      </c>
      <c r="R12" t="s">
        <v>13</v>
      </c>
      <c r="S12" s="3">
        <v>579.79</v>
      </c>
      <c r="T12" t="s">
        <v>14</v>
      </c>
      <c r="U12" s="3">
        <v>49566.7</v>
      </c>
      <c r="V12" t="s">
        <v>15</v>
      </c>
      <c r="W12" t="s">
        <v>16</v>
      </c>
      <c r="X12" t="s">
        <v>11</v>
      </c>
      <c r="Y12" t="s">
        <v>8</v>
      </c>
      <c r="Z12" t="s">
        <v>17</v>
      </c>
      <c r="AA12" t="s">
        <v>41</v>
      </c>
      <c r="AB12" t="s">
        <v>11</v>
      </c>
      <c r="AC12" t="s">
        <v>11</v>
      </c>
      <c r="AD12" t="s">
        <v>11</v>
      </c>
      <c r="AE12" s="2">
        <v>45827</v>
      </c>
      <c r="AF12" s="2"/>
      <c r="AG12" t="s">
        <v>11</v>
      </c>
      <c r="AH12" s="14">
        <f>VLOOKUP(M12,'[1]INDIAN ENTERPRISES'!$D:$D,1,0)</f>
        <v>256779414741</v>
      </c>
      <c r="AJ12" s="15">
        <f>VLOOKUP(M12,'[1]INDIAN ENTERPRISES'!$D:$L,9,0)</f>
        <v>46053</v>
      </c>
    </row>
    <row r="13" spans="1:36" hidden="1" outlineLevel="2" x14ac:dyDescent="0.25">
      <c r="A13" t="s">
        <v>20</v>
      </c>
      <c r="B13" t="s">
        <v>1</v>
      </c>
      <c r="C13" t="s">
        <v>2</v>
      </c>
      <c r="D13" t="s">
        <v>3</v>
      </c>
      <c r="E13" t="s">
        <v>4</v>
      </c>
      <c r="F13" t="s">
        <v>42</v>
      </c>
      <c r="G13" s="2">
        <v>45981</v>
      </c>
      <c r="H13" t="s">
        <v>43</v>
      </c>
      <c r="I13" t="s">
        <v>7</v>
      </c>
      <c r="J13" s="2">
        <v>45981</v>
      </c>
      <c r="K13" s="2">
        <v>45985</v>
      </c>
      <c r="L13" t="s">
        <v>8</v>
      </c>
      <c r="M13" s="14">
        <v>256779419620</v>
      </c>
      <c r="N13" t="s">
        <v>9</v>
      </c>
      <c r="O13" t="s">
        <v>10</v>
      </c>
      <c r="P13" t="s">
        <v>11</v>
      </c>
      <c r="Q13" t="s">
        <v>12</v>
      </c>
      <c r="R13" t="s">
        <v>13</v>
      </c>
      <c r="S13" s="3">
        <v>102.39</v>
      </c>
      <c r="T13" t="s">
        <v>14</v>
      </c>
      <c r="U13" s="3">
        <v>9010.67</v>
      </c>
      <c r="V13" t="s">
        <v>15</v>
      </c>
      <c r="W13" t="s">
        <v>16</v>
      </c>
      <c r="X13" t="s">
        <v>11</v>
      </c>
      <c r="Y13" t="s">
        <v>44</v>
      </c>
      <c r="Z13" t="s">
        <v>17</v>
      </c>
      <c r="AA13" t="s">
        <v>45</v>
      </c>
      <c r="AB13" t="s">
        <v>11</v>
      </c>
      <c r="AC13" t="s">
        <v>11</v>
      </c>
      <c r="AD13" t="s">
        <v>11</v>
      </c>
      <c r="AE13" s="2">
        <v>45981</v>
      </c>
      <c r="AF13" s="2"/>
      <c r="AG13" t="s">
        <v>11</v>
      </c>
      <c r="AH13" s="14">
        <f>VLOOKUP(M13,'[1]INDIAN ENTERPRISES'!$D:$D,1,0)</f>
        <v>256779419620</v>
      </c>
      <c r="AJ13" s="15">
        <f>VLOOKUP(M13,'[1]INDIAN ENTERPRISES'!$D:$L,9,0)</f>
        <v>46053</v>
      </c>
    </row>
    <row r="14" spans="1:36" hidden="1" outlineLevel="2" x14ac:dyDescent="0.25">
      <c r="A14" t="s">
        <v>20</v>
      </c>
      <c r="B14" t="s">
        <v>1</v>
      </c>
      <c r="C14" t="s">
        <v>2</v>
      </c>
      <c r="D14" t="s">
        <v>3</v>
      </c>
      <c r="E14" t="s">
        <v>4</v>
      </c>
      <c r="F14" t="s">
        <v>42</v>
      </c>
      <c r="G14" s="2">
        <v>45981</v>
      </c>
      <c r="H14" t="s">
        <v>46</v>
      </c>
      <c r="I14" t="s">
        <v>7</v>
      </c>
      <c r="J14" s="2">
        <v>45981</v>
      </c>
      <c r="K14" s="2">
        <v>45985</v>
      </c>
      <c r="L14" t="s">
        <v>8</v>
      </c>
      <c r="M14" s="14">
        <v>256779419531</v>
      </c>
      <c r="N14" t="s">
        <v>9</v>
      </c>
      <c r="O14" t="s">
        <v>10</v>
      </c>
      <c r="P14" t="s">
        <v>11</v>
      </c>
      <c r="Q14" t="s">
        <v>12</v>
      </c>
      <c r="R14" t="s">
        <v>13</v>
      </c>
      <c r="S14" s="3">
        <v>417.77</v>
      </c>
      <c r="T14" t="s">
        <v>14</v>
      </c>
      <c r="U14" s="3">
        <v>36765.18</v>
      </c>
      <c r="V14" t="s">
        <v>15</v>
      </c>
      <c r="W14" t="s">
        <v>16</v>
      </c>
      <c r="X14" t="s">
        <v>11</v>
      </c>
      <c r="Y14" t="s">
        <v>8</v>
      </c>
      <c r="Z14" t="s">
        <v>17</v>
      </c>
      <c r="AA14" t="s">
        <v>47</v>
      </c>
      <c r="AB14" t="s">
        <v>11</v>
      </c>
      <c r="AC14" t="s">
        <v>11</v>
      </c>
      <c r="AD14" t="s">
        <v>11</v>
      </c>
      <c r="AE14" s="2">
        <v>45981</v>
      </c>
      <c r="AF14" s="2"/>
      <c r="AG14" t="s">
        <v>11</v>
      </c>
      <c r="AH14" s="14">
        <f>VLOOKUP(M14,'[1]INDIAN ENTERPRISES'!$D:$D,1,0)</f>
        <v>256779419531</v>
      </c>
      <c r="AJ14" s="15">
        <f>VLOOKUP(M14,'[1]INDIAN ENTERPRISES'!$D:$L,9,0)</f>
        <v>46053</v>
      </c>
    </row>
    <row r="15" spans="1:36" hidden="1" outlineLevel="2" x14ac:dyDescent="0.25">
      <c r="A15" t="s">
        <v>20</v>
      </c>
      <c r="B15" t="s">
        <v>1</v>
      </c>
      <c r="C15" t="s">
        <v>2</v>
      </c>
      <c r="D15" t="s">
        <v>3</v>
      </c>
      <c r="E15" t="s">
        <v>4</v>
      </c>
      <c r="F15" t="s">
        <v>42</v>
      </c>
      <c r="G15" s="2">
        <v>45981</v>
      </c>
      <c r="H15" t="s">
        <v>48</v>
      </c>
      <c r="I15" t="s">
        <v>7</v>
      </c>
      <c r="J15" s="2">
        <v>45981</v>
      </c>
      <c r="K15" s="2">
        <v>45985</v>
      </c>
      <c r="L15" t="s">
        <v>8</v>
      </c>
      <c r="M15" s="14">
        <v>256779419542</v>
      </c>
      <c r="N15" t="s">
        <v>9</v>
      </c>
      <c r="O15" t="s">
        <v>10</v>
      </c>
      <c r="P15" t="s">
        <v>11</v>
      </c>
      <c r="Q15" t="s">
        <v>12</v>
      </c>
      <c r="R15" t="s">
        <v>13</v>
      </c>
      <c r="S15" s="3">
        <v>409.4</v>
      </c>
      <c r="T15" t="s">
        <v>14</v>
      </c>
      <c r="U15" s="3">
        <v>36028.589999999997</v>
      </c>
      <c r="V15" t="s">
        <v>15</v>
      </c>
      <c r="W15" t="s">
        <v>16</v>
      </c>
      <c r="X15" t="s">
        <v>11</v>
      </c>
      <c r="Y15" t="s">
        <v>49</v>
      </c>
      <c r="Z15" t="s">
        <v>17</v>
      </c>
      <c r="AA15" t="s">
        <v>50</v>
      </c>
      <c r="AB15" t="s">
        <v>11</v>
      </c>
      <c r="AC15" t="s">
        <v>11</v>
      </c>
      <c r="AD15" t="s">
        <v>11</v>
      </c>
      <c r="AE15" s="2">
        <v>45981</v>
      </c>
      <c r="AF15" s="2"/>
      <c r="AG15" t="s">
        <v>11</v>
      </c>
      <c r="AH15" s="14">
        <f>VLOOKUP(M15,'[1]INDIAN ENTERPRISES'!$D:$D,1,0)</f>
        <v>256779419542</v>
      </c>
      <c r="AJ15" s="15">
        <f>VLOOKUP(M15,'[1]INDIAN ENTERPRISES'!$D:$L,9,0)</f>
        <v>46022</v>
      </c>
    </row>
    <row r="16" spans="1:36" hidden="1" outlineLevel="2" x14ac:dyDescent="0.25">
      <c r="A16" t="s">
        <v>20</v>
      </c>
      <c r="B16" t="s">
        <v>1</v>
      </c>
      <c r="C16" t="s">
        <v>2</v>
      </c>
      <c r="D16" t="s">
        <v>3</v>
      </c>
      <c r="E16" t="s">
        <v>4</v>
      </c>
      <c r="F16" t="s">
        <v>42</v>
      </c>
      <c r="G16" s="2">
        <v>45981</v>
      </c>
      <c r="H16" t="s">
        <v>51</v>
      </c>
      <c r="I16" t="s">
        <v>7</v>
      </c>
      <c r="J16" s="2">
        <v>45981</v>
      </c>
      <c r="K16" s="2">
        <v>45985</v>
      </c>
      <c r="L16" t="s">
        <v>8</v>
      </c>
      <c r="M16" s="14">
        <v>256779419581</v>
      </c>
      <c r="N16" t="s">
        <v>9</v>
      </c>
      <c r="O16" t="s">
        <v>10</v>
      </c>
      <c r="P16" t="s">
        <v>11</v>
      </c>
      <c r="Q16" t="s">
        <v>12</v>
      </c>
      <c r="R16" t="s">
        <v>13</v>
      </c>
      <c r="S16" s="3">
        <v>156.19999999999999</v>
      </c>
      <c r="T16" t="s">
        <v>14</v>
      </c>
      <c r="U16" s="3">
        <v>13746.13</v>
      </c>
      <c r="V16" t="s">
        <v>15</v>
      </c>
      <c r="W16" t="s">
        <v>16</v>
      </c>
      <c r="X16" t="s">
        <v>11</v>
      </c>
      <c r="Y16" t="s">
        <v>52</v>
      </c>
      <c r="Z16" t="s">
        <v>17</v>
      </c>
      <c r="AA16" t="s">
        <v>53</v>
      </c>
      <c r="AB16" t="s">
        <v>11</v>
      </c>
      <c r="AC16" t="s">
        <v>11</v>
      </c>
      <c r="AD16" t="s">
        <v>11</v>
      </c>
      <c r="AE16" s="2">
        <v>45981</v>
      </c>
      <c r="AF16" s="2"/>
      <c r="AG16" t="s">
        <v>11</v>
      </c>
      <c r="AH16" s="14">
        <f>VLOOKUP(M16,'[1]INDIAN ENTERPRISES'!$D:$D,1,0)</f>
        <v>256779419581</v>
      </c>
      <c r="AJ16" s="15">
        <f>VLOOKUP(M16,'[1]INDIAN ENTERPRISES'!$D:$L,9,0)</f>
        <v>46066</v>
      </c>
    </row>
    <row r="17" spans="1:36" hidden="1" outlineLevel="2" x14ac:dyDescent="0.25">
      <c r="A17" t="s">
        <v>20</v>
      </c>
      <c r="B17" t="s">
        <v>1</v>
      </c>
      <c r="C17" t="s">
        <v>2</v>
      </c>
      <c r="D17" t="s">
        <v>3</v>
      </c>
      <c r="E17" t="s">
        <v>4</v>
      </c>
      <c r="F17" t="s">
        <v>54</v>
      </c>
      <c r="G17" s="2">
        <v>45769</v>
      </c>
      <c r="H17" t="s">
        <v>55</v>
      </c>
      <c r="I17" t="s">
        <v>7</v>
      </c>
      <c r="J17" s="2">
        <v>45769</v>
      </c>
      <c r="K17" s="2">
        <v>45770</v>
      </c>
      <c r="L17" t="s">
        <v>8</v>
      </c>
      <c r="M17" s="14">
        <v>256779412524</v>
      </c>
      <c r="N17" t="s">
        <v>9</v>
      </c>
      <c r="O17" t="s">
        <v>10</v>
      </c>
      <c r="P17" t="s">
        <v>11</v>
      </c>
      <c r="Q17" t="s">
        <v>12</v>
      </c>
      <c r="R17" t="s">
        <v>13</v>
      </c>
      <c r="S17" s="3">
        <v>36.5</v>
      </c>
      <c r="T17" t="s">
        <v>14</v>
      </c>
      <c r="U17" s="3">
        <v>3172.65</v>
      </c>
      <c r="V17" t="s">
        <v>15</v>
      </c>
      <c r="W17" t="s">
        <v>16</v>
      </c>
      <c r="X17" t="s">
        <v>11</v>
      </c>
      <c r="Y17" t="s">
        <v>8</v>
      </c>
      <c r="Z17" t="s">
        <v>17</v>
      </c>
      <c r="AA17" t="s">
        <v>56</v>
      </c>
      <c r="AB17" t="s">
        <v>11</v>
      </c>
      <c r="AC17" t="s">
        <v>11</v>
      </c>
      <c r="AD17" t="s">
        <v>11</v>
      </c>
      <c r="AE17" s="2">
        <v>45769</v>
      </c>
      <c r="AF17" s="2"/>
      <c r="AG17" t="s">
        <v>11</v>
      </c>
      <c r="AH17" s="14">
        <f>VLOOKUP(M17,'[1]INDIAN ENTERPRISES'!$D:$D,1,0)</f>
        <v>256779412524</v>
      </c>
      <c r="AJ17" s="15">
        <f>VLOOKUP(M17,'[1]INDIAN ENTERPRISES'!$D:$L,9,0)</f>
        <v>45869</v>
      </c>
    </row>
    <row r="18" spans="1:36" hidden="1" outlineLevel="2" x14ac:dyDescent="0.25">
      <c r="A18" t="s">
        <v>20</v>
      </c>
      <c r="B18" t="s">
        <v>1</v>
      </c>
      <c r="C18" t="s">
        <v>2</v>
      </c>
      <c r="D18" t="s">
        <v>3</v>
      </c>
      <c r="E18" t="s">
        <v>4</v>
      </c>
      <c r="F18" t="s">
        <v>54</v>
      </c>
      <c r="G18" s="2">
        <v>45769</v>
      </c>
      <c r="H18" t="s">
        <v>57</v>
      </c>
      <c r="I18" t="s">
        <v>7</v>
      </c>
      <c r="J18" s="2">
        <v>45769</v>
      </c>
      <c r="K18" s="2">
        <v>45770</v>
      </c>
      <c r="L18" t="s">
        <v>8</v>
      </c>
      <c r="M18" s="14">
        <v>256779412529</v>
      </c>
      <c r="N18" t="s">
        <v>9</v>
      </c>
      <c r="O18" t="s">
        <v>10</v>
      </c>
      <c r="P18" t="s">
        <v>11</v>
      </c>
      <c r="Q18" t="s">
        <v>12</v>
      </c>
      <c r="R18" t="s">
        <v>13</v>
      </c>
      <c r="S18" s="3">
        <v>29.57</v>
      </c>
      <c r="T18" t="s">
        <v>14</v>
      </c>
      <c r="U18" s="3">
        <v>2570.2800000000002</v>
      </c>
      <c r="V18" t="s">
        <v>15</v>
      </c>
      <c r="W18" t="s">
        <v>16</v>
      </c>
      <c r="X18" t="s">
        <v>11</v>
      </c>
      <c r="Y18" t="s">
        <v>8</v>
      </c>
      <c r="Z18" t="s">
        <v>17</v>
      </c>
      <c r="AA18" t="s">
        <v>56</v>
      </c>
      <c r="AB18" t="s">
        <v>11</v>
      </c>
      <c r="AC18" t="s">
        <v>11</v>
      </c>
      <c r="AD18" t="s">
        <v>11</v>
      </c>
      <c r="AE18" s="2">
        <v>45769</v>
      </c>
      <c r="AF18" s="2"/>
      <c r="AG18" t="s">
        <v>11</v>
      </c>
      <c r="AH18" s="14">
        <f>VLOOKUP(M18,'[1]INDIAN ENTERPRISES'!$D:$D,1,0)</f>
        <v>256779412529</v>
      </c>
      <c r="AJ18" s="15">
        <f>VLOOKUP(M18,'[1]INDIAN ENTERPRISES'!$D:$L,9,0)</f>
        <v>45869</v>
      </c>
    </row>
    <row r="19" spans="1:36" hidden="1" outlineLevel="2" x14ac:dyDescent="0.25">
      <c r="A19" t="s">
        <v>20</v>
      </c>
      <c r="B19" t="s">
        <v>1</v>
      </c>
      <c r="C19" t="s">
        <v>2</v>
      </c>
      <c r="D19" t="s">
        <v>3</v>
      </c>
      <c r="E19" t="s">
        <v>4</v>
      </c>
      <c r="F19" t="s">
        <v>54</v>
      </c>
      <c r="G19" s="2">
        <v>45769</v>
      </c>
      <c r="H19" t="s">
        <v>58</v>
      </c>
      <c r="I19" t="s">
        <v>7</v>
      </c>
      <c r="J19" s="2">
        <v>45769</v>
      </c>
      <c r="K19" s="2">
        <v>45770</v>
      </c>
      <c r="L19" t="s">
        <v>8</v>
      </c>
      <c r="M19" s="14">
        <v>256779412536</v>
      </c>
      <c r="N19" t="s">
        <v>9</v>
      </c>
      <c r="O19" t="s">
        <v>10</v>
      </c>
      <c r="P19" t="s">
        <v>11</v>
      </c>
      <c r="Q19" t="s">
        <v>12</v>
      </c>
      <c r="R19" t="s">
        <v>13</v>
      </c>
      <c r="S19" s="3">
        <v>37.020000000000003</v>
      </c>
      <c r="T19" t="s">
        <v>14</v>
      </c>
      <c r="U19" s="3">
        <v>3217.85</v>
      </c>
      <c r="V19" t="s">
        <v>15</v>
      </c>
      <c r="W19" t="s">
        <v>16</v>
      </c>
      <c r="X19" t="s">
        <v>11</v>
      </c>
      <c r="Y19" t="s">
        <v>8</v>
      </c>
      <c r="Z19" t="s">
        <v>17</v>
      </c>
      <c r="AA19" t="s">
        <v>56</v>
      </c>
      <c r="AB19" t="s">
        <v>11</v>
      </c>
      <c r="AC19" t="s">
        <v>11</v>
      </c>
      <c r="AD19" t="s">
        <v>11</v>
      </c>
      <c r="AE19" s="2">
        <v>45769</v>
      </c>
      <c r="AF19" s="2"/>
      <c r="AG19" t="s">
        <v>11</v>
      </c>
      <c r="AH19" s="14">
        <f>VLOOKUP(M19,'[1]INDIAN ENTERPRISES'!$D:$D,1,0)</f>
        <v>256779412536</v>
      </c>
      <c r="AJ19" s="15">
        <f>VLOOKUP(M19,'[1]INDIAN ENTERPRISES'!$D:$L,9,0)</f>
        <v>45869</v>
      </c>
    </row>
    <row r="20" spans="1:36" hidden="1" outlineLevel="2" x14ac:dyDescent="0.25">
      <c r="A20" t="s">
        <v>20</v>
      </c>
      <c r="B20" t="s">
        <v>1</v>
      </c>
      <c r="C20" t="s">
        <v>2</v>
      </c>
      <c r="D20" t="s">
        <v>3</v>
      </c>
      <c r="E20" t="s">
        <v>4</v>
      </c>
      <c r="F20" t="s">
        <v>54</v>
      </c>
      <c r="G20" s="2">
        <v>45769</v>
      </c>
      <c r="H20" t="s">
        <v>59</v>
      </c>
      <c r="I20" t="s">
        <v>7</v>
      </c>
      <c r="J20" s="2">
        <v>45769</v>
      </c>
      <c r="K20" s="2">
        <v>45770</v>
      </c>
      <c r="L20" t="s">
        <v>8</v>
      </c>
      <c r="M20" s="14">
        <v>256779412537</v>
      </c>
      <c r="N20" t="s">
        <v>9</v>
      </c>
      <c r="O20" t="s">
        <v>10</v>
      </c>
      <c r="P20" t="s">
        <v>11</v>
      </c>
      <c r="Q20" t="s">
        <v>12</v>
      </c>
      <c r="R20" t="s">
        <v>13</v>
      </c>
      <c r="S20" s="3">
        <v>407.58</v>
      </c>
      <c r="T20" t="s">
        <v>14</v>
      </c>
      <c r="U20" s="3">
        <v>35427.599999999999</v>
      </c>
      <c r="V20" t="s">
        <v>15</v>
      </c>
      <c r="W20" t="s">
        <v>16</v>
      </c>
      <c r="X20" t="s">
        <v>11</v>
      </c>
      <c r="Y20" t="s">
        <v>8</v>
      </c>
      <c r="Z20" t="s">
        <v>17</v>
      </c>
      <c r="AA20" t="s">
        <v>56</v>
      </c>
      <c r="AB20" t="s">
        <v>11</v>
      </c>
      <c r="AC20" t="s">
        <v>11</v>
      </c>
      <c r="AD20" t="s">
        <v>11</v>
      </c>
      <c r="AE20" s="2">
        <v>45769</v>
      </c>
      <c r="AF20" s="2"/>
      <c r="AG20" t="s">
        <v>11</v>
      </c>
      <c r="AH20" s="14">
        <f>VLOOKUP(M20,'[1]INDIAN ENTERPRISES'!$D:$D,1,0)</f>
        <v>256779412537</v>
      </c>
      <c r="AJ20" s="15">
        <f>VLOOKUP(M20,'[1]INDIAN ENTERPRISES'!$D:$L,9,0)</f>
        <v>45869</v>
      </c>
    </row>
    <row r="21" spans="1:36" hidden="1" outlineLevel="2" x14ac:dyDescent="0.25">
      <c r="A21" t="s">
        <v>20</v>
      </c>
      <c r="B21" t="s">
        <v>1</v>
      </c>
      <c r="C21" t="s">
        <v>2</v>
      </c>
      <c r="D21" t="s">
        <v>3</v>
      </c>
      <c r="E21" t="s">
        <v>4</v>
      </c>
      <c r="F21" t="s">
        <v>54</v>
      </c>
      <c r="G21" s="2">
        <v>45769</v>
      </c>
      <c r="H21" t="s">
        <v>60</v>
      </c>
      <c r="I21" t="s">
        <v>7</v>
      </c>
      <c r="J21" s="2">
        <v>45769</v>
      </c>
      <c r="K21" s="2">
        <v>45770</v>
      </c>
      <c r="L21" t="s">
        <v>8</v>
      </c>
      <c r="M21" s="14">
        <v>256779412562</v>
      </c>
      <c r="N21" t="s">
        <v>9</v>
      </c>
      <c r="O21" t="s">
        <v>10</v>
      </c>
      <c r="P21" t="s">
        <v>11</v>
      </c>
      <c r="Q21" t="s">
        <v>12</v>
      </c>
      <c r="R21" t="s">
        <v>13</v>
      </c>
      <c r="S21" s="3">
        <v>54.65</v>
      </c>
      <c r="T21" t="s">
        <v>14</v>
      </c>
      <c r="U21" s="3">
        <v>4750.28</v>
      </c>
      <c r="V21" t="s">
        <v>15</v>
      </c>
      <c r="W21" t="s">
        <v>16</v>
      </c>
      <c r="X21" t="s">
        <v>11</v>
      </c>
      <c r="Y21" t="s">
        <v>8</v>
      </c>
      <c r="Z21" t="s">
        <v>17</v>
      </c>
      <c r="AA21" t="s">
        <v>56</v>
      </c>
      <c r="AB21" t="s">
        <v>11</v>
      </c>
      <c r="AC21" t="s">
        <v>11</v>
      </c>
      <c r="AD21" t="s">
        <v>11</v>
      </c>
      <c r="AE21" s="2">
        <v>45769</v>
      </c>
      <c r="AF21" s="2"/>
      <c r="AG21" t="s">
        <v>11</v>
      </c>
      <c r="AH21" s="14">
        <f>VLOOKUP(M21,'[1]INDIAN ENTERPRISES'!$D:$D,1,0)</f>
        <v>256779412562</v>
      </c>
      <c r="AJ21" s="15">
        <f>VLOOKUP(M21,'[1]INDIAN ENTERPRISES'!$D:$L,9,0)</f>
        <v>45869</v>
      </c>
    </row>
    <row r="22" spans="1:36" hidden="1" outlineLevel="2" x14ac:dyDescent="0.25">
      <c r="A22" t="s">
        <v>20</v>
      </c>
      <c r="B22" t="s">
        <v>1</v>
      </c>
      <c r="C22" t="s">
        <v>2</v>
      </c>
      <c r="D22" t="s">
        <v>3</v>
      </c>
      <c r="E22" t="s">
        <v>4</v>
      </c>
      <c r="F22" t="s">
        <v>54</v>
      </c>
      <c r="G22" s="2">
        <v>45769</v>
      </c>
      <c r="H22" t="s">
        <v>61</v>
      </c>
      <c r="I22" t="s">
        <v>7</v>
      </c>
      <c r="J22" s="2">
        <v>45769</v>
      </c>
      <c r="K22" s="2">
        <v>45770</v>
      </c>
      <c r="L22" t="s">
        <v>8</v>
      </c>
      <c r="M22" s="14">
        <v>256779412563</v>
      </c>
      <c r="N22" t="s">
        <v>9</v>
      </c>
      <c r="O22" t="s">
        <v>10</v>
      </c>
      <c r="P22" t="s">
        <v>11</v>
      </c>
      <c r="Q22" t="s">
        <v>12</v>
      </c>
      <c r="R22" t="s">
        <v>13</v>
      </c>
      <c r="S22" s="3">
        <v>27</v>
      </c>
      <c r="T22" t="s">
        <v>14</v>
      </c>
      <c r="U22" s="3">
        <v>2346.89</v>
      </c>
      <c r="V22" t="s">
        <v>15</v>
      </c>
      <c r="W22" t="s">
        <v>16</v>
      </c>
      <c r="X22" t="s">
        <v>11</v>
      </c>
      <c r="Y22" t="s">
        <v>8</v>
      </c>
      <c r="Z22" t="s">
        <v>17</v>
      </c>
      <c r="AA22" t="s">
        <v>56</v>
      </c>
      <c r="AB22" t="s">
        <v>11</v>
      </c>
      <c r="AC22" t="s">
        <v>11</v>
      </c>
      <c r="AD22" t="s">
        <v>11</v>
      </c>
      <c r="AE22" s="2">
        <v>45769</v>
      </c>
      <c r="AF22" s="2"/>
      <c r="AG22" t="s">
        <v>11</v>
      </c>
      <c r="AH22" s="14">
        <f>VLOOKUP(M22,'[1]INDIAN ENTERPRISES'!$D:$D,1,0)</f>
        <v>256779412563</v>
      </c>
      <c r="AJ22" s="15">
        <f>VLOOKUP(M22,'[1]INDIAN ENTERPRISES'!$D:$L,9,0)</f>
        <v>45869</v>
      </c>
    </row>
    <row r="23" spans="1:36" hidden="1" outlineLevel="2" x14ac:dyDescent="0.25">
      <c r="A23" t="s">
        <v>20</v>
      </c>
      <c r="B23" t="s">
        <v>1</v>
      </c>
      <c r="C23" t="s">
        <v>2</v>
      </c>
      <c r="D23" t="s">
        <v>3</v>
      </c>
      <c r="E23" t="s">
        <v>4</v>
      </c>
      <c r="F23" t="s">
        <v>54</v>
      </c>
      <c r="G23" s="2">
        <v>45769</v>
      </c>
      <c r="H23" t="s">
        <v>62</v>
      </c>
      <c r="I23" t="s">
        <v>7</v>
      </c>
      <c r="J23" s="2">
        <v>45769</v>
      </c>
      <c r="K23" s="2">
        <v>45770</v>
      </c>
      <c r="L23" t="s">
        <v>8</v>
      </c>
      <c r="M23" s="14">
        <v>256779412564</v>
      </c>
      <c r="N23" t="s">
        <v>9</v>
      </c>
      <c r="O23" t="s">
        <v>10</v>
      </c>
      <c r="P23" t="s">
        <v>11</v>
      </c>
      <c r="Q23" t="s">
        <v>12</v>
      </c>
      <c r="R23" t="s">
        <v>13</v>
      </c>
      <c r="S23" s="3">
        <v>55.2</v>
      </c>
      <c r="T23" t="s">
        <v>14</v>
      </c>
      <c r="U23" s="3">
        <v>4798.08</v>
      </c>
      <c r="V23" t="s">
        <v>15</v>
      </c>
      <c r="W23" t="s">
        <v>16</v>
      </c>
      <c r="X23" t="s">
        <v>11</v>
      </c>
      <c r="Y23" t="s">
        <v>8</v>
      </c>
      <c r="Z23" t="s">
        <v>17</v>
      </c>
      <c r="AA23" t="s">
        <v>56</v>
      </c>
      <c r="AB23" t="s">
        <v>11</v>
      </c>
      <c r="AC23" t="s">
        <v>11</v>
      </c>
      <c r="AD23" t="s">
        <v>11</v>
      </c>
      <c r="AE23" s="2">
        <v>45769</v>
      </c>
      <c r="AF23" s="2"/>
      <c r="AG23" t="s">
        <v>11</v>
      </c>
      <c r="AH23" s="14">
        <f>VLOOKUP(M23,'[1]INDIAN ENTERPRISES'!$D:$D,1,0)</f>
        <v>256779412564</v>
      </c>
      <c r="AJ23" s="15">
        <f>VLOOKUP(M23,'[1]INDIAN ENTERPRISES'!$D:$L,9,0)</f>
        <v>45869</v>
      </c>
    </row>
    <row r="24" spans="1:36" hidden="1" outlineLevel="2" x14ac:dyDescent="0.25">
      <c r="A24" t="s">
        <v>20</v>
      </c>
      <c r="B24" t="s">
        <v>1</v>
      </c>
      <c r="C24" t="s">
        <v>2</v>
      </c>
      <c r="D24" t="s">
        <v>3</v>
      </c>
      <c r="E24" t="s">
        <v>4</v>
      </c>
      <c r="F24" t="s">
        <v>54</v>
      </c>
      <c r="G24" s="2">
        <v>45769</v>
      </c>
      <c r="H24" t="s">
        <v>63</v>
      </c>
      <c r="I24" t="s">
        <v>7</v>
      </c>
      <c r="J24" s="2">
        <v>45769</v>
      </c>
      <c r="K24" s="2">
        <v>45770</v>
      </c>
      <c r="L24" t="s">
        <v>8</v>
      </c>
      <c r="M24" s="14">
        <v>256779412570</v>
      </c>
      <c r="N24" t="s">
        <v>9</v>
      </c>
      <c r="O24" t="s">
        <v>10</v>
      </c>
      <c r="P24" t="s">
        <v>11</v>
      </c>
      <c r="Q24" t="s">
        <v>12</v>
      </c>
      <c r="R24" t="s">
        <v>13</v>
      </c>
      <c r="S24" s="3">
        <v>43.38</v>
      </c>
      <c r="T24" t="s">
        <v>14</v>
      </c>
      <c r="U24" s="3">
        <v>3770.67</v>
      </c>
      <c r="V24" t="s">
        <v>15</v>
      </c>
      <c r="W24" t="s">
        <v>16</v>
      </c>
      <c r="X24" t="s">
        <v>11</v>
      </c>
      <c r="Y24" t="s">
        <v>8</v>
      </c>
      <c r="Z24" t="s">
        <v>17</v>
      </c>
      <c r="AA24" t="s">
        <v>56</v>
      </c>
      <c r="AB24" t="s">
        <v>11</v>
      </c>
      <c r="AC24" t="s">
        <v>11</v>
      </c>
      <c r="AD24" t="s">
        <v>11</v>
      </c>
      <c r="AE24" s="2">
        <v>45769</v>
      </c>
      <c r="AF24" s="2"/>
      <c r="AG24" t="s">
        <v>11</v>
      </c>
      <c r="AH24" s="14">
        <f>VLOOKUP(M24,'[1]INDIAN ENTERPRISES'!$D:$D,1,0)</f>
        <v>256779412570</v>
      </c>
      <c r="AJ24" s="15">
        <f>VLOOKUP(M24,'[1]INDIAN ENTERPRISES'!$D:$L,9,0)</f>
        <v>45869</v>
      </c>
    </row>
    <row r="25" spans="1:36" hidden="1" outlineLevel="2" x14ac:dyDescent="0.25">
      <c r="A25" t="s">
        <v>20</v>
      </c>
      <c r="B25" t="s">
        <v>1</v>
      </c>
      <c r="C25" t="s">
        <v>2</v>
      </c>
      <c r="D25" t="s">
        <v>3</v>
      </c>
      <c r="E25" t="s">
        <v>4</v>
      </c>
      <c r="F25" t="s">
        <v>54</v>
      </c>
      <c r="G25" s="2">
        <v>45769</v>
      </c>
      <c r="H25" t="s">
        <v>64</v>
      </c>
      <c r="I25" t="s">
        <v>7</v>
      </c>
      <c r="J25" s="2">
        <v>45769</v>
      </c>
      <c r="K25" s="2">
        <v>45770</v>
      </c>
      <c r="L25" t="s">
        <v>8</v>
      </c>
      <c r="M25" s="14">
        <v>256779412576</v>
      </c>
      <c r="N25" t="s">
        <v>9</v>
      </c>
      <c r="O25" t="s">
        <v>10</v>
      </c>
      <c r="P25" t="s">
        <v>11</v>
      </c>
      <c r="Q25" t="s">
        <v>12</v>
      </c>
      <c r="R25" t="s">
        <v>13</v>
      </c>
      <c r="S25" s="3">
        <v>46</v>
      </c>
      <c r="T25" t="s">
        <v>14</v>
      </c>
      <c r="U25" s="3">
        <v>3998.4</v>
      </c>
      <c r="V25" t="s">
        <v>15</v>
      </c>
      <c r="W25" t="s">
        <v>16</v>
      </c>
      <c r="X25" t="s">
        <v>11</v>
      </c>
      <c r="Y25" t="s">
        <v>8</v>
      </c>
      <c r="Z25" t="s">
        <v>17</v>
      </c>
      <c r="AA25" t="s">
        <v>56</v>
      </c>
      <c r="AB25" t="s">
        <v>11</v>
      </c>
      <c r="AC25" t="s">
        <v>11</v>
      </c>
      <c r="AD25" t="s">
        <v>11</v>
      </c>
      <c r="AE25" s="2">
        <v>45769</v>
      </c>
      <c r="AF25" s="2"/>
      <c r="AG25" t="s">
        <v>11</v>
      </c>
      <c r="AH25" s="14">
        <f>VLOOKUP(M25,'[1]INDIAN ENTERPRISES'!$D:$D,1,0)</f>
        <v>256779412576</v>
      </c>
      <c r="AJ25" s="15">
        <f>VLOOKUP(M25,'[1]INDIAN ENTERPRISES'!$D:$L,9,0)</f>
        <v>45869</v>
      </c>
    </row>
    <row r="26" spans="1:36" hidden="1" outlineLevel="2" x14ac:dyDescent="0.25">
      <c r="A26" t="s">
        <v>20</v>
      </c>
      <c r="B26" t="s">
        <v>1</v>
      </c>
      <c r="C26" t="s">
        <v>2</v>
      </c>
      <c r="D26" t="s">
        <v>3</v>
      </c>
      <c r="E26" t="s">
        <v>4</v>
      </c>
      <c r="F26" t="s">
        <v>54</v>
      </c>
      <c r="G26" s="2">
        <v>45769</v>
      </c>
      <c r="H26" t="s">
        <v>65</v>
      </c>
      <c r="I26" t="s">
        <v>7</v>
      </c>
      <c r="J26" s="2">
        <v>45769</v>
      </c>
      <c r="K26" s="2">
        <v>45770</v>
      </c>
      <c r="L26" t="s">
        <v>8</v>
      </c>
      <c r="M26" s="14">
        <v>256779412577</v>
      </c>
      <c r="N26" t="s">
        <v>9</v>
      </c>
      <c r="O26" t="s">
        <v>10</v>
      </c>
      <c r="P26" t="s">
        <v>11</v>
      </c>
      <c r="Q26" t="s">
        <v>12</v>
      </c>
      <c r="R26" t="s">
        <v>13</v>
      </c>
      <c r="S26" s="3">
        <v>46</v>
      </c>
      <c r="T26" t="s">
        <v>14</v>
      </c>
      <c r="U26" s="3">
        <v>3998.4</v>
      </c>
      <c r="V26" t="s">
        <v>15</v>
      </c>
      <c r="W26" t="s">
        <v>16</v>
      </c>
      <c r="X26" t="s">
        <v>11</v>
      </c>
      <c r="Y26" t="s">
        <v>8</v>
      </c>
      <c r="Z26" t="s">
        <v>17</v>
      </c>
      <c r="AA26" t="s">
        <v>56</v>
      </c>
      <c r="AB26" t="s">
        <v>11</v>
      </c>
      <c r="AC26" t="s">
        <v>11</v>
      </c>
      <c r="AD26" t="s">
        <v>11</v>
      </c>
      <c r="AE26" s="2">
        <v>45769</v>
      </c>
      <c r="AF26" s="2"/>
      <c r="AG26" t="s">
        <v>11</v>
      </c>
      <c r="AH26" s="14">
        <f>VLOOKUP(M26,'[1]INDIAN ENTERPRISES'!$D:$D,1,0)</f>
        <v>256779412577</v>
      </c>
      <c r="AJ26" s="15">
        <f>VLOOKUP(M26,'[1]INDIAN ENTERPRISES'!$D:$L,9,0)</f>
        <v>45869</v>
      </c>
    </row>
    <row r="27" spans="1:36" hidden="1" outlineLevel="2" x14ac:dyDescent="0.25">
      <c r="A27" t="s">
        <v>20</v>
      </c>
      <c r="B27" t="s">
        <v>1</v>
      </c>
      <c r="C27" t="s">
        <v>2</v>
      </c>
      <c r="D27" t="s">
        <v>3</v>
      </c>
      <c r="E27" t="s">
        <v>4</v>
      </c>
      <c r="F27" t="s">
        <v>54</v>
      </c>
      <c r="G27" s="2">
        <v>45769</v>
      </c>
      <c r="H27" t="s">
        <v>66</v>
      </c>
      <c r="I27" t="s">
        <v>7</v>
      </c>
      <c r="J27" s="2">
        <v>45769</v>
      </c>
      <c r="K27" s="2">
        <v>45770</v>
      </c>
      <c r="L27" t="s">
        <v>8</v>
      </c>
      <c r="M27" s="14">
        <v>256779412579</v>
      </c>
      <c r="N27" t="s">
        <v>9</v>
      </c>
      <c r="O27" t="s">
        <v>10</v>
      </c>
      <c r="P27" t="s">
        <v>11</v>
      </c>
      <c r="Q27" t="s">
        <v>12</v>
      </c>
      <c r="R27" t="s">
        <v>13</v>
      </c>
      <c r="S27" s="3">
        <v>57.6</v>
      </c>
      <c r="T27" t="s">
        <v>14</v>
      </c>
      <c r="U27" s="3">
        <v>5006.7</v>
      </c>
      <c r="V27" t="s">
        <v>15</v>
      </c>
      <c r="W27" t="s">
        <v>16</v>
      </c>
      <c r="X27" t="s">
        <v>11</v>
      </c>
      <c r="Y27" t="s">
        <v>8</v>
      </c>
      <c r="Z27" t="s">
        <v>17</v>
      </c>
      <c r="AA27" t="s">
        <v>56</v>
      </c>
      <c r="AB27" t="s">
        <v>11</v>
      </c>
      <c r="AC27" t="s">
        <v>11</v>
      </c>
      <c r="AD27" t="s">
        <v>11</v>
      </c>
      <c r="AE27" s="2">
        <v>45769</v>
      </c>
      <c r="AF27" s="2"/>
      <c r="AG27" t="s">
        <v>11</v>
      </c>
      <c r="AH27" s="14">
        <f>VLOOKUP(M27,'[1]INDIAN ENTERPRISES'!$D:$D,1,0)</f>
        <v>256779412579</v>
      </c>
      <c r="AJ27" s="15">
        <f>VLOOKUP(M27,'[1]INDIAN ENTERPRISES'!$D:$L,9,0)</f>
        <v>45869</v>
      </c>
    </row>
    <row r="28" spans="1:36" hidden="1" outlineLevel="2" x14ac:dyDescent="0.25">
      <c r="A28" t="s">
        <v>20</v>
      </c>
      <c r="B28" t="s">
        <v>1</v>
      </c>
      <c r="C28" t="s">
        <v>2</v>
      </c>
      <c r="D28" t="s">
        <v>3</v>
      </c>
      <c r="E28" t="s">
        <v>4</v>
      </c>
      <c r="F28" t="s">
        <v>54</v>
      </c>
      <c r="G28" s="2">
        <v>45769</v>
      </c>
      <c r="H28" t="s">
        <v>67</v>
      </c>
      <c r="I28" t="s">
        <v>7</v>
      </c>
      <c r="J28" s="2">
        <v>45769</v>
      </c>
      <c r="K28" s="2">
        <v>45770</v>
      </c>
      <c r="L28" t="s">
        <v>8</v>
      </c>
      <c r="M28" s="14">
        <v>256779412580</v>
      </c>
      <c r="N28" t="s">
        <v>9</v>
      </c>
      <c r="O28" t="s">
        <v>10</v>
      </c>
      <c r="P28" t="s">
        <v>11</v>
      </c>
      <c r="Q28" t="s">
        <v>12</v>
      </c>
      <c r="R28" t="s">
        <v>13</v>
      </c>
      <c r="S28" s="3">
        <v>40.5</v>
      </c>
      <c r="T28" t="s">
        <v>14</v>
      </c>
      <c r="U28" s="3">
        <v>3520.33</v>
      </c>
      <c r="V28" t="s">
        <v>15</v>
      </c>
      <c r="W28" t="s">
        <v>16</v>
      </c>
      <c r="X28" t="s">
        <v>11</v>
      </c>
      <c r="Y28" t="s">
        <v>8</v>
      </c>
      <c r="Z28" t="s">
        <v>17</v>
      </c>
      <c r="AA28" t="s">
        <v>56</v>
      </c>
      <c r="AB28" t="s">
        <v>11</v>
      </c>
      <c r="AC28" t="s">
        <v>11</v>
      </c>
      <c r="AD28" t="s">
        <v>11</v>
      </c>
      <c r="AE28" s="2">
        <v>45769</v>
      </c>
      <c r="AF28" s="2"/>
      <c r="AG28" t="s">
        <v>11</v>
      </c>
      <c r="AH28" s="14">
        <f>VLOOKUP(M28,'[1]INDIAN ENTERPRISES'!$D:$D,1,0)</f>
        <v>256779412580</v>
      </c>
      <c r="AJ28" s="15">
        <f>VLOOKUP(M28,'[1]INDIAN ENTERPRISES'!$D:$L,9,0)</f>
        <v>45869</v>
      </c>
    </row>
    <row r="29" spans="1:36" hidden="1" outlineLevel="2" x14ac:dyDescent="0.25">
      <c r="A29" t="s">
        <v>20</v>
      </c>
      <c r="B29" t="s">
        <v>1</v>
      </c>
      <c r="C29" t="s">
        <v>2</v>
      </c>
      <c r="D29" t="s">
        <v>3</v>
      </c>
      <c r="E29" t="s">
        <v>4</v>
      </c>
      <c r="F29" t="s">
        <v>54</v>
      </c>
      <c r="G29" s="2">
        <v>45769</v>
      </c>
      <c r="H29" t="s">
        <v>68</v>
      </c>
      <c r="I29" t="s">
        <v>7</v>
      </c>
      <c r="J29" s="2">
        <v>45769</v>
      </c>
      <c r="K29" s="2">
        <v>45770</v>
      </c>
      <c r="L29" t="s">
        <v>8</v>
      </c>
      <c r="M29" s="14">
        <v>256779412581</v>
      </c>
      <c r="N29" t="s">
        <v>9</v>
      </c>
      <c r="O29" t="s">
        <v>10</v>
      </c>
      <c r="P29" t="s">
        <v>11</v>
      </c>
      <c r="Q29" t="s">
        <v>12</v>
      </c>
      <c r="R29" t="s">
        <v>13</v>
      </c>
      <c r="S29" s="3">
        <v>51.5</v>
      </c>
      <c r="T29" t="s">
        <v>14</v>
      </c>
      <c r="U29" s="3">
        <v>4476.47</v>
      </c>
      <c r="V29" t="s">
        <v>15</v>
      </c>
      <c r="W29" t="s">
        <v>16</v>
      </c>
      <c r="X29" t="s">
        <v>11</v>
      </c>
      <c r="Y29" t="s">
        <v>8</v>
      </c>
      <c r="Z29" t="s">
        <v>17</v>
      </c>
      <c r="AA29" t="s">
        <v>56</v>
      </c>
      <c r="AB29" t="s">
        <v>11</v>
      </c>
      <c r="AC29" t="s">
        <v>11</v>
      </c>
      <c r="AD29" t="s">
        <v>11</v>
      </c>
      <c r="AE29" s="2">
        <v>45769</v>
      </c>
      <c r="AF29" s="2"/>
      <c r="AG29" t="s">
        <v>11</v>
      </c>
      <c r="AH29" s="14">
        <f>VLOOKUP(M29,'[1]INDIAN ENTERPRISES'!$D:$D,1,0)</f>
        <v>256779412581</v>
      </c>
      <c r="AJ29" s="15">
        <f>VLOOKUP(M29,'[1]INDIAN ENTERPRISES'!$D:$L,9,0)</f>
        <v>45869</v>
      </c>
    </row>
    <row r="30" spans="1:36" hidden="1" outlineLevel="2" x14ac:dyDescent="0.25">
      <c r="A30" t="s">
        <v>20</v>
      </c>
      <c r="B30" t="s">
        <v>1</v>
      </c>
      <c r="C30" t="s">
        <v>2</v>
      </c>
      <c r="D30" t="s">
        <v>3</v>
      </c>
      <c r="E30" t="s">
        <v>4</v>
      </c>
      <c r="F30" t="s">
        <v>54</v>
      </c>
      <c r="G30" s="2">
        <v>45769</v>
      </c>
      <c r="H30" t="s">
        <v>69</v>
      </c>
      <c r="I30" t="s">
        <v>7</v>
      </c>
      <c r="J30" s="2">
        <v>45769</v>
      </c>
      <c r="K30" s="2">
        <v>45770</v>
      </c>
      <c r="L30" t="s">
        <v>8</v>
      </c>
      <c r="M30" s="14">
        <v>256779412583</v>
      </c>
      <c r="N30" t="s">
        <v>9</v>
      </c>
      <c r="O30" t="s">
        <v>10</v>
      </c>
      <c r="P30" t="s">
        <v>11</v>
      </c>
      <c r="Q30" t="s">
        <v>12</v>
      </c>
      <c r="R30" t="s">
        <v>13</v>
      </c>
      <c r="S30" s="3">
        <v>51.75</v>
      </c>
      <c r="T30" t="s">
        <v>14</v>
      </c>
      <c r="U30" s="3">
        <v>4498.2</v>
      </c>
      <c r="V30" t="s">
        <v>15</v>
      </c>
      <c r="W30" t="s">
        <v>16</v>
      </c>
      <c r="X30" t="s">
        <v>11</v>
      </c>
      <c r="Y30" t="s">
        <v>8</v>
      </c>
      <c r="Z30" t="s">
        <v>17</v>
      </c>
      <c r="AA30" t="s">
        <v>56</v>
      </c>
      <c r="AB30" t="s">
        <v>11</v>
      </c>
      <c r="AC30" t="s">
        <v>11</v>
      </c>
      <c r="AD30" t="s">
        <v>11</v>
      </c>
      <c r="AE30" s="2">
        <v>45769</v>
      </c>
      <c r="AF30" s="2"/>
      <c r="AG30" t="s">
        <v>11</v>
      </c>
      <c r="AH30" s="14">
        <f>VLOOKUP(M30,'[1]INDIAN ENTERPRISES'!$D:$D,1,0)</f>
        <v>256779412583</v>
      </c>
      <c r="AJ30" s="15">
        <f>VLOOKUP(M30,'[1]INDIAN ENTERPRISES'!$D:$L,9,0)</f>
        <v>45869</v>
      </c>
    </row>
    <row r="31" spans="1:36" hidden="1" outlineLevel="2" x14ac:dyDescent="0.25">
      <c r="A31" t="s">
        <v>20</v>
      </c>
      <c r="B31" t="s">
        <v>1</v>
      </c>
      <c r="C31" t="s">
        <v>2</v>
      </c>
      <c r="D31" t="s">
        <v>3</v>
      </c>
      <c r="E31" t="s">
        <v>4</v>
      </c>
      <c r="F31" t="s">
        <v>54</v>
      </c>
      <c r="G31" s="2">
        <v>45769</v>
      </c>
      <c r="H31" t="s">
        <v>70</v>
      </c>
      <c r="I31" t="s">
        <v>7</v>
      </c>
      <c r="J31" s="2">
        <v>45769</v>
      </c>
      <c r="K31" s="2">
        <v>45770</v>
      </c>
      <c r="L31" t="s">
        <v>8</v>
      </c>
      <c r="M31" s="14">
        <v>256779412585</v>
      </c>
      <c r="N31" t="s">
        <v>9</v>
      </c>
      <c r="O31" t="s">
        <v>10</v>
      </c>
      <c r="P31" t="s">
        <v>11</v>
      </c>
      <c r="Q31" t="s">
        <v>12</v>
      </c>
      <c r="R31" t="s">
        <v>13</v>
      </c>
      <c r="S31" s="3">
        <v>48.75</v>
      </c>
      <c r="T31" t="s">
        <v>14</v>
      </c>
      <c r="U31" s="3">
        <v>4237.4399999999996</v>
      </c>
      <c r="V31" t="s">
        <v>15</v>
      </c>
      <c r="W31" t="s">
        <v>16</v>
      </c>
      <c r="X31" t="s">
        <v>11</v>
      </c>
      <c r="Y31" t="s">
        <v>8</v>
      </c>
      <c r="Z31" t="s">
        <v>17</v>
      </c>
      <c r="AA31" t="s">
        <v>56</v>
      </c>
      <c r="AB31" t="s">
        <v>11</v>
      </c>
      <c r="AC31" t="s">
        <v>11</v>
      </c>
      <c r="AD31" t="s">
        <v>11</v>
      </c>
      <c r="AE31" s="2">
        <v>45769</v>
      </c>
      <c r="AF31" s="2"/>
      <c r="AG31" t="s">
        <v>11</v>
      </c>
      <c r="AH31" s="14">
        <f>VLOOKUP(M31,'[1]INDIAN ENTERPRISES'!$D:$D,1,0)</f>
        <v>256779412585</v>
      </c>
      <c r="AJ31" s="15">
        <f>VLOOKUP(M31,'[1]INDIAN ENTERPRISES'!$D:$L,9,0)</f>
        <v>45869</v>
      </c>
    </row>
    <row r="32" spans="1:36" hidden="1" outlineLevel="2" x14ac:dyDescent="0.25">
      <c r="A32" t="s">
        <v>20</v>
      </c>
      <c r="B32" t="s">
        <v>1</v>
      </c>
      <c r="C32" t="s">
        <v>2</v>
      </c>
      <c r="D32" t="s">
        <v>3</v>
      </c>
      <c r="E32" t="s">
        <v>4</v>
      </c>
      <c r="F32" t="s">
        <v>54</v>
      </c>
      <c r="G32" s="2">
        <v>45769</v>
      </c>
      <c r="H32" t="s">
        <v>71</v>
      </c>
      <c r="I32" t="s">
        <v>7</v>
      </c>
      <c r="J32" s="2">
        <v>45769</v>
      </c>
      <c r="K32" s="2">
        <v>45770</v>
      </c>
      <c r="L32" t="s">
        <v>8</v>
      </c>
      <c r="M32" s="14">
        <v>256779412586</v>
      </c>
      <c r="N32" t="s">
        <v>9</v>
      </c>
      <c r="O32" t="s">
        <v>10</v>
      </c>
      <c r="P32" t="s">
        <v>11</v>
      </c>
      <c r="Q32" t="s">
        <v>12</v>
      </c>
      <c r="R32" t="s">
        <v>13</v>
      </c>
      <c r="S32" s="3">
        <v>51.5</v>
      </c>
      <c r="T32" t="s">
        <v>14</v>
      </c>
      <c r="U32" s="3">
        <v>4476.47</v>
      </c>
      <c r="V32" t="s">
        <v>15</v>
      </c>
      <c r="W32" t="s">
        <v>16</v>
      </c>
      <c r="X32" t="s">
        <v>11</v>
      </c>
      <c r="Y32" t="s">
        <v>8</v>
      </c>
      <c r="Z32" t="s">
        <v>17</v>
      </c>
      <c r="AA32" t="s">
        <v>56</v>
      </c>
      <c r="AB32" t="s">
        <v>11</v>
      </c>
      <c r="AC32" t="s">
        <v>11</v>
      </c>
      <c r="AD32" t="s">
        <v>11</v>
      </c>
      <c r="AE32" s="2">
        <v>45769</v>
      </c>
      <c r="AF32" s="2"/>
      <c r="AG32" t="s">
        <v>11</v>
      </c>
      <c r="AH32" s="14">
        <f>VLOOKUP(M32,'[1]INDIAN ENTERPRISES'!$D:$D,1,0)</f>
        <v>256779412586</v>
      </c>
      <c r="AJ32" s="15">
        <f>VLOOKUP(M32,'[1]INDIAN ENTERPRISES'!$D:$L,9,0)</f>
        <v>45869</v>
      </c>
    </row>
    <row r="33" spans="1:36" hidden="1" outlineLevel="2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54</v>
      </c>
      <c r="G33" s="2">
        <v>45769</v>
      </c>
      <c r="H33" t="s">
        <v>72</v>
      </c>
      <c r="I33" t="s">
        <v>7</v>
      </c>
      <c r="J33" s="2">
        <v>45769</v>
      </c>
      <c r="K33" s="2">
        <v>45770</v>
      </c>
      <c r="L33" t="s">
        <v>8</v>
      </c>
      <c r="M33" s="14">
        <v>256779412609</v>
      </c>
      <c r="N33" t="s">
        <v>9</v>
      </c>
      <c r="O33" t="s">
        <v>10</v>
      </c>
      <c r="P33" t="s">
        <v>11</v>
      </c>
      <c r="Q33" t="s">
        <v>12</v>
      </c>
      <c r="R33" t="s">
        <v>13</v>
      </c>
      <c r="S33" s="3">
        <v>700.06</v>
      </c>
      <c r="T33" t="s">
        <v>14</v>
      </c>
      <c r="U33" s="3">
        <v>60850.49</v>
      </c>
      <c r="V33" t="s">
        <v>37</v>
      </c>
      <c r="W33" t="s">
        <v>16</v>
      </c>
      <c r="X33" t="s">
        <v>11</v>
      </c>
      <c r="Y33" t="s">
        <v>8</v>
      </c>
      <c r="Z33" t="s">
        <v>17</v>
      </c>
      <c r="AA33" t="s">
        <v>73</v>
      </c>
      <c r="AB33" t="s">
        <v>11</v>
      </c>
      <c r="AC33" t="s">
        <v>11</v>
      </c>
      <c r="AD33" t="s">
        <v>11</v>
      </c>
      <c r="AE33" s="2">
        <v>45769</v>
      </c>
      <c r="AF33" s="2">
        <v>45974</v>
      </c>
      <c r="AG33" t="s">
        <v>39</v>
      </c>
      <c r="AH33" s="14" t="e">
        <f>VLOOKUP(M33,'[1]INDIAN ENTERPRISES'!$D:$D,1,0)</f>
        <v>#N/A</v>
      </c>
      <c r="AI33" t="str">
        <f>VLOOKUP(M33,'[2]Invoices Not in Customer Books'!$E:$K,7,0)</f>
        <v>Invoice &amp; CN both not received &amp; booked</v>
      </c>
      <c r="AJ33" s="15" t="e">
        <f>VLOOKUP(M33,'[1]INDIAN ENTERPRISES'!$D:$L,9,0)</f>
        <v>#N/A</v>
      </c>
    </row>
    <row r="34" spans="1:36" hidden="1" outlineLevel="2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54</v>
      </c>
      <c r="G34" s="2">
        <v>45769</v>
      </c>
      <c r="H34" t="s">
        <v>74</v>
      </c>
      <c r="I34" t="s">
        <v>7</v>
      </c>
      <c r="J34" s="2">
        <v>45769</v>
      </c>
      <c r="K34" s="2">
        <v>45770</v>
      </c>
      <c r="L34" t="s">
        <v>8</v>
      </c>
      <c r="M34" s="14">
        <v>256779412649</v>
      </c>
      <c r="N34" t="s">
        <v>9</v>
      </c>
      <c r="O34" t="s">
        <v>10</v>
      </c>
      <c r="P34" t="s">
        <v>11</v>
      </c>
      <c r="Q34" t="s">
        <v>12</v>
      </c>
      <c r="R34" t="s">
        <v>13</v>
      </c>
      <c r="S34" s="3">
        <v>79.650000000000006</v>
      </c>
      <c r="T34" t="s">
        <v>14</v>
      </c>
      <c r="U34" s="3">
        <v>6923.32</v>
      </c>
      <c r="V34" t="s">
        <v>37</v>
      </c>
      <c r="W34" t="s">
        <v>16</v>
      </c>
      <c r="X34" t="s">
        <v>11</v>
      </c>
      <c r="Y34" t="s">
        <v>8</v>
      </c>
      <c r="Z34" t="s">
        <v>17</v>
      </c>
      <c r="AA34" t="s">
        <v>75</v>
      </c>
      <c r="AB34" t="s">
        <v>11</v>
      </c>
      <c r="AC34" t="s">
        <v>11</v>
      </c>
      <c r="AD34" t="s">
        <v>11</v>
      </c>
      <c r="AE34" s="2">
        <v>45769</v>
      </c>
      <c r="AF34" s="2">
        <v>45974</v>
      </c>
      <c r="AG34" t="s">
        <v>39</v>
      </c>
      <c r="AH34" s="14" t="e">
        <f>VLOOKUP(M34,'[1]INDIAN ENTERPRISES'!$D:$D,1,0)</f>
        <v>#N/A</v>
      </c>
      <c r="AI34" t="str">
        <f>VLOOKUP(M34,'[2]Invoices Not in Customer Books'!$E:$K,7,0)</f>
        <v>Invoice &amp; CN both not received &amp; booked</v>
      </c>
      <c r="AJ34" s="15" t="e">
        <f>VLOOKUP(M34,'[1]INDIAN ENTERPRISES'!$D:$L,9,0)</f>
        <v>#N/A</v>
      </c>
    </row>
    <row r="35" spans="1:36" hidden="1" outlineLevel="2" x14ac:dyDescent="0.25">
      <c r="A35" t="s">
        <v>20</v>
      </c>
      <c r="B35" t="s">
        <v>1</v>
      </c>
      <c r="C35" t="s">
        <v>2</v>
      </c>
      <c r="D35" t="s">
        <v>3</v>
      </c>
      <c r="E35" t="s">
        <v>4</v>
      </c>
      <c r="F35" t="s">
        <v>76</v>
      </c>
      <c r="G35" s="2">
        <v>45918</v>
      </c>
      <c r="H35" t="s">
        <v>77</v>
      </c>
      <c r="I35" t="s">
        <v>7</v>
      </c>
      <c r="J35" s="2">
        <v>45918</v>
      </c>
      <c r="K35" s="2">
        <v>45922</v>
      </c>
      <c r="L35" t="s">
        <v>8</v>
      </c>
      <c r="M35" s="14">
        <v>256779417517</v>
      </c>
      <c r="N35" t="s">
        <v>9</v>
      </c>
      <c r="O35" t="s">
        <v>10</v>
      </c>
      <c r="P35" t="s">
        <v>11</v>
      </c>
      <c r="Q35" t="s">
        <v>12</v>
      </c>
      <c r="R35" t="s">
        <v>13</v>
      </c>
      <c r="S35" s="3">
        <v>4.68</v>
      </c>
      <c r="T35" t="s">
        <v>14</v>
      </c>
      <c r="U35" s="3">
        <v>409.57</v>
      </c>
      <c r="V35" t="s">
        <v>15</v>
      </c>
      <c r="W35" t="s">
        <v>16</v>
      </c>
      <c r="X35" t="s">
        <v>11</v>
      </c>
      <c r="Y35" t="s">
        <v>78</v>
      </c>
      <c r="Z35" t="s">
        <v>17</v>
      </c>
      <c r="AA35" t="s">
        <v>79</v>
      </c>
      <c r="AB35" t="s">
        <v>11</v>
      </c>
      <c r="AC35" t="s">
        <v>11</v>
      </c>
      <c r="AD35" t="s">
        <v>11</v>
      </c>
      <c r="AE35" s="2">
        <v>45918</v>
      </c>
      <c r="AF35" s="2"/>
      <c r="AG35" t="s">
        <v>11</v>
      </c>
      <c r="AH35" s="14">
        <f>VLOOKUP(M35,'[1]INDIAN ENTERPRISES'!$D:$D,1,0)</f>
        <v>256779417517</v>
      </c>
      <c r="AJ35" s="15">
        <f>VLOOKUP(M35,'[1]INDIAN ENTERPRISES'!$D:$L,9,0)</f>
        <v>45991</v>
      </c>
    </row>
    <row r="36" spans="1:36" hidden="1" outlineLevel="2" x14ac:dyDescent="0.25">
      <c r="A36" t="s">
        <v>20</v>
      </c>
      <c r="B36" t="s">
        <v>1</v>
      </c>
      <c r="C36" t="s">
        <v>2</v>
      </c>
      <c r="D36" t="s">
        <v>3</v>
      </c>
      <c r="E36" t="s">
        <v>4</v>
      </c>
      <c r="F36" t="s">
        <v>76</v>
      </c>
      <c r="G36" s="2">
        <v>45918</v>
      </c>
      <c r="H36" t="s">
        <v>80</v>
      </c>
      <c r="I36" t="s">
        <v>7</v>
      </c>
      <c r="J36" s="2">
        <v>45918</v>
      </c>
      <c r="K36" s="2">
        <v>45922</v>
      </c>
      <c r="L36" t="s">
        <v>8</v>
      </c>
      <c r="M36" s="14">
        <v>256779417557</v>
      </c>
      <c r="N36" t="s">
        <v>9</v>
      </c>
      <c r="O36" t="s">
        <v>10</v>
      </c>
      <c r="P36" t="s">
        <v>11</v>
      </c>
      <c r="Q36" t="s">
        <v>12</v>
      </c>
      <c r="R36" t="s">
        <v>13</v>
      </c>
      <c r="S36" s="3">
        <v>725.96</v>
      </c>
      <c r="T36" t="s">
        <v>14</v>
      </c>
      <c r="U36" s="3">
        <v>63531.9</v>
      </c>
      <c r="V36" t="s">
        <v>15</v>
      </c>
      <c r="W36" t="s">
        <v>16</v>
      </c>
      <c r="X36" t="s">
        <v>11</v>
      </c>
      <c r="Y36" t="s">
        <v>81</v>
      </c>
      <c r="Z36" t="s">
        <v>17</v>
      </c>
      <c r="AA36" t="s">
        <v>82</v>
      </c>
      <c r="AB36" t="s">
        <v>11</v>
      </c>
      <c r="AC36" t="s">
        <v>11</v>
      </c>
      <c r="AD36" t="s">
        <v>11</v>
      </c>
      <c r="AE36" s="2">
        <v>45918</v>
      </c>
      <c r="AF36" s="2"/>
      <c r="AG36" t="s">
        <v>11</v>
      </c>
      <c r="AH36" s="14">
        <f>VLOOKUP(M36,'[1]INDIAN ENTERPRISES'!$D:$D,1,0)</f>
        <v>256779417557</v>
      </c>
      <c r="AJ36" s="15">
        <f>VLOOKUP(M36,'[1]INDIAN ENTERPRISES'!$D:$L,9,0)</f>
        <v>45991</v>
      </c>
    </row>
    <row r="37" spans="1:36" hidden="1" outlineLevel="2" x14ac:dyDescent="0.25">
      <c r="A37" t="s">
        <v>20</v>
      </c>
      <c r="B37" t="s">
        <v>1</v>
      </c>
      <c r="C37" t="s">
        <v>2</v>
      </c>
      <c r="D37" t="s">
        <v>3</v>
      </c>
      <c r="E37" t="s">
        <v>4</v>
      </c>
      <c r="F37" t="s">
        <v>76</v>
      </c>
      <c r="G37" s="2">
        <v>45918</v>
      </c>
      <c r="H37" t="s">
        <v>83</v>
      </c>
      <c r="I37" t="s">
        <v>7</v>
      </c>
      <c r="J37" s="2">
        <v>45918</v>
      </c>
      <c r="K37" s="2">
        <v>45922</v>
      </c>
      <c r="L37" t="s">
        <v>8</v>
      </c>
      <c r="M37" s="14">
        <v>256779417580</v>
      </c>
      <c r="N37" t="s">
        <v>9</v>
      </c>
      <c r="O37" t="s">
        <v>10</v>
      </c>
      <c r="P37" t="s">
        <v>11</v>
      </c>
      <c r="Q37" t="s">
        <v>12</v>
      </c>
      <c r="R37" t="s">
        <v>13</v>
      </c>
      <c r="S37" s="3">
        <v>184.38</v>
      </c>
      <c r="T37" t="s">
        <v>14</v>
      </c>
      <c r="U37" s="3">
        <v>16135.89</v>
      </c>
      <c r="V37" t="s">
        <v>15</v>
      </c>
      <c r="W37" t="s">
        <v>16</v>
      </c>
      <c r="X37" t="s">
        <v>11</v>
      </c>
      <c r="Y37" t="s">
        <v>84</v>
      </c>
      <c r="Z37" t="s">
        <v>17</v>
      </c>
      <c r="AA37" t="s">
        <v>85</v>
      </c>
      <c r="AB37" t="s">
        <v>11</v>
      </c>
      <c r="AC37" t="s">
        <v>11</v>
      </c>
      <c r="AD37" t="s">
        <v>11</v>
      </c>
      <c r="AE37" s="2">
        <v>45918</v>
      </c>
      <c r="AF37" s="2"/>
      <c r="AG37" t="s">
        <v>11</v>
      </c>
      <c r="AH37" s="14" t="e">
        <f>VLOOKUP(M37,'[1]INDIAN ENTERPRISES'!$D:$D,1,0)</f>
        <v>#N/A</v>
      </c>
      <c r="AI37" t="e">
        <f>VLOOKUP(M37,'[2]Invoices Not in Customer Books'!$E:$K,7,0)</f>
        <v>#N/A</v>
      </c>
      <c r="AJ37" s="15" t="e">
        <f>VLOOKUP(M37,'[1]INDIAN ENTERPRISES'!$D:$L,9,0)</f>
        <v>#N/A</v>
      </c>
    </row>
    <row r="38" spans="1:36" hidden="1" outlineLevel="2" x14ac:dyDescent="0.25">
      <c r="A38" t="s">
        <v>20</v>
      </c>
      <c r="B38" t="s">
        <v>1</v>
      </c>
      <c r="C38" t="s">
        <v>2</v>
      </c>
      <c r="D38" t="s">
        <v>3</v>
      </c>
      <c r="E38" t="s">
        <v>4</v>
      </c>
      <c r="F38" t="s">
        <v>76</v>
      </c>
      <c r="G38" s="2">
        <v>45918</v>
      </c>
      <c r="H38" t="s">
        <v>86</v>
      </c>
      <c r="I38" t="s">
        <v>7</v>
      </c>
      <c r="J38" s="2">
        <v>45918</v>
      </c>
      <c r="K38" s="2">
        <v>45922</v>
      </c>
      <c r="L38" t="s">
        <v>8</v>
      </c>
      <c r="M38" s="14">
        <v>256779417597</v>
      </c>
      <c r="N38" t="s">
        <v>9</v>
      </c>
      <c r="O38" t="s">
        <v>10</v>
      </c>
      <c r="P38" t="s">
        <v>11</v>
      </c>
      <c r="Q38" t="s">
        <v>12</v>
      </c>
      <c r="R38" t="s">
        <v>13</v>
      </c>
      <c r="S38" s="3">
        <v>1055.04</v>
      </c>
      <c r="T38" t="s">
        <v>14</v>
      </c>
      <c r="U38" s="3">
        <v>92331.12</v>
      </c>
      <c r="V38" t="s">
        <v>15</v>
      </c>
      <c r="W38" t="s">
        <v>16</v>
      </c>
      <c r="X38" t="s">
        <v>11</v>
      </c>
      <c r="Y38" t="s">
        <v>87</v>
      </c>
      <c r="Z38" t="s">
        <v>17</v>
      </c>
      <c r="AA38" t="s">
        <v>88</v>
      </c>
      <c r="AB38" t="s">
        <v>11</v>
      </c>
      <c r="AC38" t="s">
        <v>11</v>
      </c>
      <c r="AD38" t="s">
        <v>11</v>
      </c>
      <c r="AE38" s="2">
        <v>45918</v>
      </c>
      <c r="AF38" s="2"/>
      <c r="AG38" t="s">
        <v>11</v>
      </c>
      <c r="AH38" s="14">
        <f>VLOOKUP(M38,'[1]INDIAN ENTERPRISES'!$D:$D,1,0)</f>
        <v>256779417597</v>
      </c>
      <c r="AJ38" s="15">
        <f>VLOOKUP(M38,'[1]INDIAN ENTERPRISES'!$D:$L,9,0)</f>
        <v>45991</v>
      </c>
    </row>
    <row r="39" spans="1:36" hidden="1" outlineLevel="2" x14ac:dyDescent="0.25">
      <c r="A39" t="s">
        <v>20</v>
      </c>
      <c r="B39" t="s">
        <v>1</v>
      </c>
      <c r="C39" t="s">
        <v>2</v>
      </c>
      <c r="D39" t="s">
        <v>3</v>
      </c>
      <c r="E39" t="s">
        <v>4</v>
      </c>
      <c r="F39" t="s">
        <v>89</v>
      </c>
      <c r="G39" s="2">
        <v>45996</v>
      </c>
      <c r="H39" t="s">
        <v>90</v>
      </c>
      <c r="I39" t="s">
        <v>7</v>
      </c>
      <c r="J39" s="2">
        <v>45996</v>
      </c>
      <c r="K39" s="2">
        <v>46000</v>
      </c>
      <c r="L39" t="s">
        <v>8</v>
      </c>
      <c r="M39" s="14">
        <v>256779419808</v>
      </c>
      <c r="N39" t="s">
        <v>9</v>
      </c>
      <c r="O39" t="s">
        <v>10</v>
      </c>
      <c r="P39" t="s">
        <v>11</v>
      </c>
      <c r="Q39" t="s">
        <v>12</v>
      </c>
      <c r="R39" t="s">
        <v>13</v>
      </c>
      <c r="S39" s="3">
        <v>27.95</v>
      </c>
      <c r="T39" t="s">
        <v>14</v>
      </c>
      <c r="U39" s="3">
        <v>2479.17</v>
      </c>
      <c r="V39" t="s">
        <v>15</v>
      </c>
      <c r="W39" t="s">
        <v>16</v>
      </c>
      <c r="X39" t="s">
        <v>11</v>
      </c>
      <c r="Y39" t="s">
        <v>91</v>
      </c>
      <c r="Z39" t="s">
        <v>17</v>
      </c>
      <c r="AA39" t="s">
        <v>92</v>
      </c>
      <c r="AB39" t="s">
        <v>11</v>
      </c>
      <c r="AC39" t="s">
        <v>11</v>
      </c>
      <c r="AD39" t="s">
        <v>11</v>
      </c>
      <c r="AE39" s="2">
        <v>45996</v>
      </c>
      <c r="AF39" s="2"/>
      <c r="AG39" t="s">
        <v>11</v>
      </c>
      <c r="AH39" s="14">
        <f>VLOOKUP(M39,'[1]INDIAN ENTERPRISES'!$D:$D,1,0)</f>
        <v>256779419808</v>
      </c>
      <c r="AJ39" s="15">
        <f>VLOOKUP(M39,'[1]INDIAN ENTERPRISES'!$D:$L,9,0)</f>
        <v>46053</v>
      </c>
    </row>
    <row r="40" spans="1:36" hidden="1" outlineLevel="2" x14ac:dyDescent="0.25">
      <c r="A40" t="s">
        <v>20</v>
      </c>
      <c r="B40" t="s">
        <v>1</v>
      </c>
      <c r="C40" t="s">
        <v>2</v>
      </c>
      <c r="D40" t="s">
        <v>3</v>
      </c>
      <c r="E40" t="s">
        <v>4</v>
      </c>
      <c r="F40" t="s">
        <v>89</v>
      </c>
      <c r="G40" s="2">
        <v>45996</v>
      </c>
      <c r="H40" t="s">
        <v>93</v>
      </c>
      <c r="I40" t="s">
        <v>7</v>
      </c>
      <c r="J40" s="2">
        <v>45996</v>
      </c>
      <c r="K40" s="2">
        <v>46000</v>
      </c>
      <c r="L40" t="s">
        <v>8</v>
      </c>
      <c r="M40" s="14">
        <v>256779419908</v>
      </c>
      <c r="N40" t="s">
        <v>9</v>
      </c>
      <c r="O40" t="s">
        <v>10</v>
      </c>
      <c r="P40" t="s">
        <v>11</v>
      </c>
      <c r="Q40" t="s">
        <v>12</v>
      </c>
      <c r="R40" t="s">
        <v>13</v>
      </c>
      <c r="S40" s="3">
        <v>375.94</v>
      </c>
      <c r="T40" t="s">
        <v>14</v>
      </c>
      <c r="U40" s="3">
        <v>33345.93</v>
      </c>
      <c r="V40" t="s">
        <v>15</v>
      </c>
      <c r="W40" t="s">
        <v>16</v>
      </c>
      <c r="X40" t="s">
        <v>11</v>
      </c>
      <c r="Y40" t="s">
        <v>94</v>
      </c>
      <c r="Z40" t="s">
        <v>17</v>
      </c>
      <c r="AA40" t="s">
        <v>95</v>
      </c>
      <c r="AB40" t="s">
        <v>11</v>
      </c>
      <c r="AC40" t="s">
        <v>11</v>
      </c>
      <c r="AD40" t="s">
        <v>11</v>
      </c>
      <c r="AE40" s="2">
        <v>45996</v>
      </c>
      <c r="AF40" s="2"/>
      <c r="AG40" t="s">
        <v>11</v>
      </c>
      <c r="AH40" s="14">
        <f>VLOOKUP(M40,'[1]INDIAN ENTERPRISES'!$D:$D,1,0)</f>
        <v>256779419908</v>
      </c>
      <c r="AJ40" s="15">
        <f>VLOOKUP(M40,'[1]INDIAN ENTERPRISES'!$D:$L,9,0)</f>
        <v>46053</v>
      </c>
    </row>
    <row r="41" spans="1:36" hidden="1" outlineLevel="2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96</v>
      </c>
      <c r="G41" s="2">
        <v>45799</v>
      </c>
      <c r="H41" t="s">
        <v>97</v>
      </c>
      <c r="I41" t="s">
        <v>98</v>
      </c>
      <c r="J41" s="2">
        <v>45799</v>
      </c>
      <c r="K41" s="2">
        <v>45800</v>
      </c>
      <c r="L41" t="s">
        <v>8</v>
      </c>
      <c r="M41" s="14">
        <v>256779420844</v>
      </c>
      <c r="N41" t="s">
        <v>9</v>
      </c>
      <c r="O41" t="s">
        <v>10</v>
      </c>
      <c r="P41" t="s">
        <v>11</v>
      </c>
      <c r="Q41" t="s">
        <v>42</v>
      </c>
      <c r="R41" t="s">
        <v>14</v>
      </c>
      <c r="S41" s="3">
        <v>-262.20999999999998</v>
      </c>
      <c r="T41" t="s">
        <v>14</v>
      </c>
      <c r="U41" s="3">
        <v>-262.20999999999998</v>
      </c>
      <c r="V41" t="s">
        <v>15</v>
      </c>
      <c r="W41" t="s">
        <v>16</v>
      </c>
      <c r="X41" t="s">
        <v>11</v>
      </c>
      <c r="Y41" t="s">
        <v>8</v>
      </c>
      <c r="Z41" t="s">
        <v>17</v>
      </c>
      <c r="AA41" t="s">
        <v>99</v>
      </c>
      <c r="AB41" t="s">
        <v>11</v>
      </c>
      <c r="AC41" t="s">
        <v>11</v>
      </c>
      <c r="AD41" t="s">
        <v>11</v>
      </c>
      <c r="AE41" s="2">
        <v>45799</v>
      </c>
      <c r="AF41" s="2">
        <v>45974</v>
      </c>
      <c r="AG41" t="s">
        <v>39</v>
      </c>
      <c r="AH41" s="14" t="e">
        <f>VLOOKUP(M41,'[1]INDIAN ENTERPRISES'!$D:$D,1,0)</f>
        <v>#N/A</v>
      </c>
      <c r="AI41" t="str">
        <f>VLOOKUP(M41,'[2]CN Not in Customer books'!$D:$J,7,0)</f>
        <v>Invoice &amp; CN both not received &amp; booked</v>
      </c>
      <c r="AJ41" s="15" t="e">
        <f>VLOOKUP(M41,'[1]INDIAN ENTERPRISES'!$D:$L,9,0)</f>
        <v>#N/A</v>
      </c>
    </row>
    <row r="42" spans="1:36" hidden="1" outlineLevel="2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96</v>
      </c>
      <c r="G42" s="2">
        <v>45799</v>
      </c>
      <c r="H42" t="s">
        <v>100</v>
      </c>
      <c r="I42" t="s">
        <v>98</v>
      </c>
      <c r="J42" s="2">
        <v>45799</v>
      </c>
      <c r="K42" s="2">
        <v>45800</v>
      </c>
      <c r="L42" t="s">
        <v>8</v>
      </c>
      <c r="M42" s="14">
        <v>256779420845</v>
      </c>
      <c r="N42" t="s">
        <v>9</v>
      </c>
      <c r="O42" t="s">
        <v>10</v>
      </c>
      <c r="P42" t="s">
        <v>11</v>
      </c>
      <c r="Q42" t="s">
        <v>42</v>
      </c>
      <c r="R42" t="s">
        <v>13</v>
      </c>
      <c r="S42" s="3">
        <v>-466.37</v>
      </c>
      <c r="T42" t="s">
        <v>14</v>
      </c>
      <c r="U42" s="3">
        <v>-40430.199999999997</v>
      </c>
      <c r="V42" t="s">
        <v>37</v>
      </c>
      <c r="W42" t="s">
        <v>16</v>
      </c>
      <c r="X42" t="s">
        <v>11</v>
      </c>
      <c r="Y42" t="s">
        <v>8</v>
      </c>
      <c r="Z42" t="s">
        <v>17</v>
      </c>
      <c r="AA42" t="s">
        <v>101</v>
      </c>
      <c r="AB42" t="s">
        <v>11</v>
      </c>
      <c r="AC42" t="s">
        <v>11</v>
      </c>
      <c r="AD42" t="s">
        <v>11</v>
      </c>
      <c r="AE42" s="2">
        <v>45799</v>
      </c>
      <c r="AF42" s="2">
        <v>45974</v>
      </c>
      <c r="AG42" t="s">
        <v>39</v>
      </c>
      <c r="AH42" s="14" t="e">
        <f>VLOOKUP(M42,'[1]INDIAN ENTERPRISES'!$D:$D,1,0)</f>
        <v>#N/A</v>
      </c>
      <c r="AI42" t="str">
        <f>VLOOKUP(M42,'[2]CN Not in Customer books'!$D:$J,7,0)</f>
        <v>Invoice &amp; CN both not received &amp; booked</v>
      </c>
      <c r="AJ42" s="15" t="e">
        <f>VLOOKUP(M42,'[1]INDIAN ENTERPRISES'!$D:$L,9,0)</f>
        <v>#N/A</v>
      </c>
    </row>
    <row r="43" spans="1:36" hidden="1" outlineLevel="2" x14ac:dyDescent="0.25">
      <c r="A43" t="s">
        <v>20</v>
      </c>
      <c r="B43" t="s">
        <v>1</v>
      </c>
      <c r="C43" t="s">
        <v>2</v>
      </c>
      <c r="D43" t="s">
        <v>3</v>
      </c>
      <c r="E43" t="s">
        <v>4</v>
      </c>
      <c r="F43" t="s">
        <v>76</v>
      </c>
      <c r="G43" s="2">
        <v>45922</v>
      </c>
      <c r="H43" t="s">
        <v>102</v>
      </c>
      <c r="I43" t="s">
        <v>7</v>
      </c>
      <c r="J43" s="2">
        <v>45922</v>
      </c>
      <c r="K43" s="2">
        <v>45923</v>
      </c>
      <c r="L43" t="s">
        <v>8</v>
      </c>
      <c r="M43" s="14">
        <v>256779417744</v>
      </c>
      <c r="N43" t="s">
        <v>9</v>
      </c>
      <c r="O43" t="s">
        <v>10</v>
      </c>
      <c r="P43" t="s">
        <v>11</v>
      </c>
      <c r="Q43" t="s">
        <v>12</v>
      </c>
      <c r="R43" t="s">
        <v>13</v>
      </c>
      <c r="S43" s="3">
        <v>870</v>
      </c>
      <c r="T43" t="s">
        <v>14</v>
      </c>
      <c r="U43" s="3">
        <v>76137.47</v>
      </c>
      <c r="V43" t="s">
        <v>15</v>
      </c>
      <c r="W43" t="s">
        <v>16</v>
      </c>
      <c r="X43" t="s">
        <v>11</v>
      </c>
      <c r="Y43" t="s">
        <v>103</v>
      </c>
      <c r="Z43" t="s">
        <v>17</v>
      </c>
      <c r="AA43" t="s">
        <v>104</v>
      </c>
      <c r="AB43" t="s">
        <v>11</v>
      </c>
      <c r="AC43" t="s">
        <v>11</v>
      </c>
      <c r="AD43" t="s">
        <v>11</v>
      </c>
      <c r="AE43" s="2">
        <v>45922</v>
      </c>
      <c r="AF43" s="2"/>
      <c r="AG43" t="s">
        <v>11</v>
      </c>
      <c r="AH43" s="14">
        <f>VLOOKUP(M43,'[1]INDIAN ENTERPRISES'!$D:$D,1,0)</f>
        <v>256779417744</v>
      </c>
      <c r="AJ43" s="15">
        <f>VLOOKUP(M43,'[1]INDIAN ENTERPRISES'!$D:$L,9,0)</f>
        <v>45991</v>
      </c>
    </row>
    <row r="44" spans="1:36" hidden="1" outlineLevel="2" x14ac:dyDescent="0.25">
      <c r="A44" t="s">
        <v>20</v>
      </c>
      <c r="B44" t="s">
        <v>1</v>
      </c>
      <c r="C44" t="s">
        <v>2</v>
      </c>
      <c r="D44" t="s">
        <v>3</v>
      </c>
      <c r="E44" t="s">
        <v>4</v>
      </c>
      <c r="F44" t="s">
        <v>76</v>
      </c>
      <c r="G44" s="2">
        <v>45922</v>
      </c>
      <c r="H44" t="s">
        <v>105</v>
      </c>
      <c r="I44" t="s">
        <v>7</v>
      </c>
      <c r="J44" s="2">
        <v>45922</v>
      </c>
      <c r="K44" s="2">
        <v>45923</v>
      </c>
      <c r="L44" t="s">
        <v>8</v>
      </c>
      <c r="M44" s="14">
        <v>256779417801</v>
      </c>
      <c r="N44" t="s">
        <v>9</v>
      </c>
      <c r="O44" t="s">
        <v>10</v>
      </c>
      <c r="P44" t="s">
        <v>11</v>
      </c>
      <c r="Q44" t="s">
        <v>12</v>
      </c>
      <c r="R44" t="s">
        <v>13</v>
      </c>
      <c r="S44" s="3">
        <v>4755.47</v>
      </c>
      <c r="T44" t="s">
        <v>14</v>
      </c>
      <c r="U44" s="3">
        <v>416171.77</v>
      </c>
      <c r="V44" t="s">
        <v>15</v>
      </c>
      <c r="W44" t="s">
        <v>16</v>
      </c>
      <c r="X44" t="s">
        <v>11</v>
      </c>
      <c r="Y44" t="s">
        <v>106</v>
      </c>
      <c r="Z44" t="s">
        <v>17</v>
      </c>
      <c r="AA44" t="s">
        <v>107</v>
      </c>
      <c r="AB44" t="s">
        <v>11</v>
      </c>
      <c r="AC44" t="s">
        <v>11</v>
      </c>
      <c r="AD44" t="s">
        <v>11</v>
      </c>
      <c r="AE44" s="2">
        <v>45922</v>
      </c>
      <c r="AF44" s="2"/>
      <c r="AG44" t="s">
        <v>11</v>
      </c>
      <c r="AH44" s="14">
        <f>VLOOKUP(M44,'[1]INDIAN ENTERPRISES'!$D:$D,1,0)</f>
        <v>256779417801</v>
      </c>
      <c r="AJ44" s="15">
        <f>VLOOKUP(M44,'[1]INDIAN ENTERPRISES'!$D:$L,9,0)</f>
        <v>45991</v>
      </c>
    </row>
    <row r="45" spans="1:36" hidden="1" outlineLevel="2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54</v>
      </c>
      <c r="G45" s="2">
        <v>45770</v>
      </c>
      <c r="H45" t="s">
        <v>108</v>
      </c>
      <c r="I45" t="s">
        <v>7</v>
      </c>
      <c r="J45" s="2">
        <v>45770</v>
      </c>
      <c r="K45" s="2">
        <v>45776</v>
      </c>
      <c r="L45" t="s">
        <v>8</v>
      </c>
      <c r="M45" s="14">
        <v>256779412884</v>
      </c>
      <c r="N45" t="s">
        <v>9</v>
      </c>
      <c r="O45" t="s">
        <v>10</v>
      </c>
      <c r="P45" t="s">
        <v>11</v>
      </c>
      <c r="Q45" t="s">
        <v>12</v>
      </c>
      <c r="R45" t="s">
        <v>13</v>
      </c>
      <c r="S45" s="3">
        <v>136.08000000000001</v>
      </c>
      <c r="T45" t="s">
        <v>14</v>
      </c>
      <c r="U45" s="3">
        <v>11828.32</v>
      </c>
      <c r="V45" t="s">
        <v>37</v>
      </c>
      <c r="W45" t="s">
        <v>16</v>
      </c>
      <c r="X45" t="s">
        <v>11</v>
      </c>
      <c r="Y45" t="s">
        <v>8</v>
      </c>
      <c r="Z45" t="s">
        <v>17</v>
      </c>
      <c r="AA45" t="s">
        <v>109</v>
      </c>
      <c r="AB45" t="s">
        <v>11</v>
      </c>
      <c r="AC45" t="s">
        <v>11</v>
      </c>
      <c r="AD45" t="s">
        <v>11</v>
      </c>
      <c r="AE45" s="2">
        <v>45770</v>
      </c>
      <c r="AF45" s="2">
        <v>45974</v>
      </c>
      <c r="AG45" t="s">
        <v>39</v>
      </c>
      <c r="AH45" s="14" t="e">
        <f>VLOOKUP(M45,'[1]INDIAN ENTERPRISES'!$D:$D,1,0)</f>
        <v>#N/A</v>
      </c>
      <c r="AI45" t="str">
        <f>VLOOKUP(M45,'[2]Invoices Not in Customer Books'!$E:$K,7,0)</f>
        <v>Invoice &amp; CN both not received &amp; booked</v>
      </c>
      <c r="AJ45" s="15" t="e">
        <f>VLOOKUP(M45,'[1]INDIAN ENTERPRISES'!$D:$L,9,0)</f>
        <v>#N/A</v>
      </c>
    </row>
    <row r="46" spans="1:36" hidden="1" outlineLevel="2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54</v>
      </c>
      <c r="G46" s="2">
        <v>45770</v>
      </c>
      <c r="H46" t="s">
        <v>110</v>
      </c>
      <c r="I46" t="s">
        <v>7</v>
      </c>
      <c r="J46" s="2">
        <v>45770</v>
      </c>
      <c r="K46" s="2">
        <v>45776</v>
      </c>
      <c r="L46" t="s">
        <v>8</v>
      </c>
      <c r="M46" s="14">
        <v>256779412918</v>
      </c>
      <c r="N46" t="s">
        <v>9</v>
      </c>
      <c r="O46" t="s">
        <v>10</v>
      </c>
      <c r="P46" t="s">
        <v>11</v>
      </c>
      <c r="Q46" t="s">
        <v>12</v>
      </c>
      <c r="R46" t="s">
        <v>13</v>
      </c>
      <c r="S46" s="3">
        <v>183.35</v>
      </c>
      <c r="T46" t="s">
        <v>14</v>
      </c>
      <c r="U46" s="3">
        <v>15937.12</v>
      </c>
      <c r="V46" t="s">
        <v>37</v>
      </c>
      <c r="W46" t="s">
        <v>16</v>
      </c>
      <c r="X46" t="s">
        <v>11</v>
      </c>
      <c r="Y46" t="s">
        <v>8</v>
      </c>
      <c r="Z46" t="s">
        <v>17</v>
      </c>
      <c r="AA46" t="s">
        <v>111</v>
      </c>
      <c r="AB46" t="s">
        <v>11</v>
      </c>
      <c r="AC46" t="s">
        <v>11</v>
      </c>
      <c r="AD46" t="s">
        <v>11</v>
      </c>
      <c r="AE46" s="2">
        <v>45770</v>
      </c>
      <c r="AF46" s="2">
        <v>45974</v>
      </c>
      <c r="AG46" t="s">
        <v>39</v>
      </c>
      <c r="AH46" s="14" t="e">
        <f>VLOOKUP(M46,'[1]INDIAN ENTERPRISES'!$D:$D,1,0)</f>
        <v>#N/A</v>
      </c>
      <c r="AI46" t="str">
        <f>VLOOKUP(M46,'[2]Invoices Not in Customer Books'!$E:$K,7,0)</f>
        <v>Invoice &amp; CN both not received &amp; booked</v>
      </c>
      <c r="AJ46" s="15" t="e">
        <f>VLOOKUP(M46,'[1]INDIAN ENTERPRISES'!$D:$L,9,0)</f>
        <v>#N/A</v>
      </c>
    </row>
    <row r="47" spans="1:36" hidden="1" outlineLevel="2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54</v>
      </c>
      <c r="G47" s="2">
        <v>45770</v>
      </c>
      <c r="H47" t="s">
        <v>112</v>
      </c>
      <c r="I47" t="s">
        <v>7</v>
      </c>
      <c r="J47" s="2">
        <v>45770</v>
      </c>
      <c r="K47" s="2">
        <v>45776</v>
      </c>
      <c r="L47" t="s">
        <v>8</v>
      </c>
      <c r="M47" s="14">
        <v>256779412948</v>
      </c>
      <c r="N47" t="s">
        <v>9</v>
      </c>
      <c r="O47" t="s">
        <v>10</v>
      </c>
      <c r="P47" t="s">
        <v>11</v>
      </c>
      <c r="Q47" t="s">
        <v>12</v>
      </c>
      <c r="R47" t="s">
        <v>13</v>
      </c>
      <c r="S47" s="3">
        <v>3.1</v>
      </c>
      <c r="T47" t="s">
        <v>14</v>
      </c>
      <c r="U47" s="3">
        <v>269.45999999999998</v>
      </c>
      <c r="V47" t="s">
        <v>37</v>
      </c>
      <c r="W47" t="s">
        <v>16</v>
      </c>
      <c r="X47" t="s">
        <v>11</v>
      </c>
      <c r="Y47" t="s">
        <v>8</v>
      </c>
      <c r="Z47" t="s">
        <v>17</v>
      </c>
      <c r="AA47" t="s">
        <v>111</v>
      </c>
      <c r="AB47" t="s">
        <v>11</v>
      </c>
      <c r="AC47" t="s">
        <v>11</v>
      </c>
      <c r="AD47" t="s">
        <v>11</v>
      </c>
      <c r="AE47" s="2">
        <v>45770</v>
      </c>
      <c r="AF47" s="2">
        <v>45974</v>
      </c>
      <c r="AG47" t="s">
        <v>39</v>
      </c>
      <c r="AH47" s="14" t="e">
        <f>VLOOKUP(M47,'[1]INDIAN ENTERPRISES'!$D:$D,1,0)</f>
        <v>#N/A</v>
      </c>
      <c r="AI47" t="str">
        <f>VLOOKUP(M47,'[2]Invoices Not in Customer Books'!$E:$K,7,0)</f>
        <v>Invoice &amp; CN both not received &amp; booked</v>
      </c>
      <c r="AJ47" s="15" t="e">
        <f>VLOOKUP(M47,'[1]INDIAN ENTERPRISES'!$D:$L,9,0)</f>
        <v>#N/A</v>
      </c>
    </row>
    <row r="48" spans="1:36" hidden="1" outlineLevel="2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29</v>
      </c>
      <c r="G48" s="2">
        <v>45737</v>
      </c>
      <c r="H48" t="s">
        <v>113</v>
      </c>
      <c r="I48" t="s">
        <v>7</v>
      </c>
      <c r="J48" s="2">
        <v>45737</v>
      </c>
      <c r="K48" s="2">
        <v>45737</v>
      </c>
      <c r="L48" t="s">
        <v>8</v>
      </c>
      <c r="M48" s="14">
        <v>246779414296</v>
      </c>
      <c r="N48" t="s">
        <v>9</v>
      </c>
      <c r="O48" t="s">
        <v>10</v>
      </c>
      <c r="P48" t="s">
        <v>11</v>
      </c>
      <c r="Q48" t="s">
        <v>12</v>
      </c>
      <c r="R48" t="s">
        <v>13</v>
      </c>
      <c r="S48" s="3">
        <v>553.87</v>
      </c>
      <c r="T48" t="s">
        <v>14</v>
      </c>
      <c r="U48" s="3">
        <v>48015.69</v>
      </c>
      <c r="V48" t="s">
        <v>37</v>
      </c>
      <c r="W48" t="s">
        <v>16</v>
      </c>
      <c r="X48" t="s">
        <v>11</v>
      </c>
      <c r="Y48" t="s">
        <v>8</v>
      </c>
      <c r="Z48" t="s">
        <v>17</v>
      </c>
      <c r="AA48" t="s">
        <v>114</v>
      </c>
      <c r="AB48" t="s">
        <v>11</v>
      </c>
      <c r="AC48" t="s">
        <v>11</v>
      </c>
      <c r="AD48" t="s">
        <v>11</v>
      </c>
      <c r="AE48" s="2">
        <v>45737</v>
      </c>
      <c r="AF48" s="2">
        <v>45974</v>
      </c>
      <c r="AG48" t="s">
        <v>39</v>
      </c>
      <c r="AH48" s="14" t="e">
        <f>VLOOKUP(M48,'[1]INDIAN ENTERPRISES'!$D:$D,1,0)</f>
        <v>#N/A</v>
      </c>
      <c r="AI48" t="str">
        <f>VLOOKUP(M48,'[2]Invoices Not in Customer Books'!$E:$K,7,0)</f>
        <v>Invoice &amp; CN both not received &amp; booked</v>
      </c>
      <c r="AJ48" s="15" t="e">
        <f>VLOOKUP(M48,'[1]INDIAN ENTERPRISES'!$D:$L,9,0)</f>
        <v>#N/A</v>
      </c>
    </row>
    <row r="49" spans="1:36" hidden="1" outlineLevel="2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29</v>
      </c>
      <c r="G49" s="2">
        <v>45737</v>
      </c>
      <c r="H49" t="s">
        <v>115</v>
      </c>
      <c r="I49" t="s">
        <v>7</v>
      </c>
      <c r="J49" s="2">
        <v>45737</v>
      </c>
      <c r="K49" s="2">
        <v>45737</v>
      </c>
      <c r="L49" t="s">
        <v>8</v>
      </c>
      <c r="M49" s="14">
        <v>246779414297</v>
      </c>
      <c r="N49" t="s">
        <v>9</v>
      </c>
      <c r="O49" t="s">
        <v>10</v>
      </c>
      <c r="P49" t="s">
        <v>11</v>
      </c>
      <c r="Q49" t="s">
        <v>12</v>
      </c>
      <c r="R49" t="s">
        <v>13</v>
      </c>
      <c r="S49" s="3">
        <v>424.8</v>
      </c>
      <c r="T49" t="s">
        <v>14</v>
      </c>
      <c r="U49" s="3">
        <v>36826.449999999997</v>
      </c>
      <c r="V49" t="s">
        <v>37</v>
      </c>
      <c r="W49" t="s">
        <v>16</v>
      </c>
      <c r="X49" t="s">
        <v>11</v>
      </c>
      <c r="Y49" t="s">
        <v>8</v>
      </c>
      <c r="Z49" t="s">
        <v>17</v>
      </c>
      <c r="AA49" t="s">
        <v>116</v>
      </c>
      <c r="AB49" t="s">
        <v>11</v>
      </c>
      <c r="AC49" t="s">
        <v>11</v>
      </c>
      <c r="AD49" t="s">
        <v>11</v>
      </c>
      <c r="AE49" s="2">
        <v>45737</v>
      </c>
      <c r="AF49" s="2">
        <v>45974</v>
      </c>
      <c r="AG49" t="s">
        <v>39</v>
      </c>
      <c r="AH49" s="14" t="e">
        <f>VLOOKUP(M49,'[1]INDIAN ENTERPRISES'!$D:$D,1,0)</f>
        <v>#N/A</v>
      </c>
      <c r="AI49" t="str">
        <f>VLOOKUP(M49,'[2]Invoices Not in Customer Books'!$E:$K,7,0)</f>
        <v>Invoice &amp; CN both not received &amp; booked</v>
      </c>
      <c r="AJ49" s="15" t="e">
        <f>VLOOKUP(M49,'[1]INDIAN ENTERPRISES'!$D:$L,9,0)</f>
        <v>#N/A</v>
      </c>
    </row>
    <row r="50" spans="1:36" hidden="1" outlineLevel="2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29</v>
      </c>
      <c r="G50" s="2">
        <v>45737</v>
      </c>
      <c r="H50" t="s">
        <v>117</v>
      </c>
      <c r="I50" t="s">
        <v>7</v>
      </c>
      <c r="J50" s="2">
        <v>45737</v>
      </c>
      <c r="K50" s="2">
        <v>45737</v>
      </c>
      <c r="L50" t="s">
        <v>8</v>
      </c>
      <c r="M50" s="14">
        <v>246779414298</v>
      </c>
      <c r="N50" t="s">
        <v>9</v>
      </c>
      <c r="O50" t="s">
        <v>10</v>
      </c>
      <c r="P50" t="s">
        <v>11</v>
      </c>
      <c r="Q50" t="s">
        <v>12</v>
      </c>
      <c r="R50" t="s">
        <v>13</v>
      </c>
      <c r="S50" s="3">
        <v>70.8</v>
      </c>
      <c r="T50" t="s">
        <v>14</v>
      </c>
      <c r="U50" s="3">
        <v>6137.74</v>
      </c>
      <c r="V50" t="s">
        <v>37</v>
      </c>
      <c r="W50" t="s">
        <v>16</v>
      </c>
      <c r="X50" t="s">
        <v>11</v>
      </c>
      <c r="Y50" t="s">
        <v>8</v>
      </c>
      <c r="Z50" t="s">
        <v>17</v>
      </c>
      <c r="AA50" t="s">
        <v>118</v>
      </c>
      <c r="AB50" t="s">
        <v>11</v>
      </c>
      <c r="AC50" t="s">
        <v>11</v>
      </c>
      <c r="AD50" t="s">
        <v>11</v>
      </c>
      <c r="AE50" s="2">
        <v>45737</v>
      </c>
      <c r="AF50" s="2">
        <v>45974</v>
      </c>
      <c r="AG50" t="s">
        <v>39</v>
      </c>
      <c r="AH50" s="14" t="e">
        <f>VLOOKUP(M50,'[1]INDIAN ENTERPRISES'!$D:$D,1,0)</f>
        <v>#N/A</v>
      </c>
      <c r="AI50" t="str">
        <f>VLOOKUP(M50,'[2]Invoices Not in Customer Books'!$E:$K,7,0)</f>
        <v>Invoice &amp; CN both not received &amp; booked</v>
      </c>
      <c r="AJ50" s="15" t="e">
        <f>VLOOKUP(M50,'[1]INDIAN ENTERPRISES'!$D:$L,9,0)</f>
        <v>#N/A</v>
      </c>
    </row>
    <row r="51" spans="1:36" hidden="1" outlineLevel="2" x14ac:dyDescent="0.25">
      <c r="A51" t="s">
        <v>20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s="2">
        <v>45810</v>
      </c>
      <c r="H51" t="s">
        <v>119</v>
      </c>
      <c r="I51" t="s">
        <v>7</v>
      </c>
      <c r="J51" s="2">
        <v>45810</v>
      </c>
      <c r="K51" s="2">
        <v>45810</v>
      </c>
      <c r="L51" t="s">
        <v>8</v>
      </c>
      <c r="M51" s="14">
        <v>256779413931</v>
      </c>
      <c r="N51" t="s">
        <v>9</v>
      </c>
      <c r="O51" t="s">
        <v>10</v>
      </c>
      <c r="P51" t="s">
        <v>11</v>
      </c>
      <c r="Q51" t="s">
        <v>12</v>
      </c>
      <c r="R51" t="s">
        <v>13</v>
      </c>
      <c r="S51" s="3">
        <v>395.23</v>
      </c>
      <c r="T51" t="s">
        <v>14</v>
      </c>
      <c r="U51" s="3">
        <v>33788.519999999997</v>
      </c>
      <c r="V51" t="s">
        <v>15</v>
      </c>
      <c r="W51" t="s">
        <v>16</v>
      </c>
      <c r="X51" t="s">
        <v>11</v>
      </c>
      <c r="Y51" t="s">
        <v>8</v>
      </c>
      <c r="Z51" t="s">
        <v>17</v>
      </c>
      <c r="AA51" t="s">
        <v>120</v>
      </c>
      <c r="AB51" t="s">
        <v>11</v>
      </c>
      <c r="AC51" t="s">
        <v>11</v>
      </c>
      <c r="AD51" t="s">
        <v>11</v>
      </c>
      <c r="AE51" s="2">
        <v>45810</v>
      </c>
      <c r="AF51" s="2"/>
      <c r="AG51" t="s">
        <v>11</v>
      </c>
      <c r="AH51" s="14">
        <f>VLOOKUP(M51,'[1]INDIAN ENTERPRISES'!$D:$D,1,0)</f>
        <v>256779413931</v>
      </c>
      <c r="AJ51" s="15">
        <f>VLOOKUP(M51,'[1]INDIAN ENTERPRISES'!$D:$L,9,0)</f>
        <v>46022</v>
      </c>
    </row>
    <row r="52" spans="1:36" hidden="1" outlineLevel="2" x14ac:dyDescent="0.25">
      <c r="A52" t="s">
        <v>20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s="2">
        <v>45810</v>
      </c>
      <c r="H52" t="s">
        <v>121</v>
      </c>
      <c r="I52" t="s">
        <v>7</v>
      </c>
      <c r="J52" s="2">
        <v>45810</v>
      </c>
      <c r="K52" s="2">
        <v>45810</v>
      </c>
      <c r="L52" t="s">
        <v>8</v>
      </c>
      <c r="M52" s="14">
        <v>256779413972</v>
      </c>
      <c r="N52" t="s">
        <v>9</v>
      </c>
      <c r="O52" t="s">
        <v>10</v>
      </c>
      <c r="P52" t="s">
        <v>11</v>
      </c>
      <c r="Q52" t="s">
        <v>12</v>
      </c>
      <c r="R52" t="s">
        <v>14</v>
      </c>
      <c r="S52" s="3">
        <v>262.20999999999998</v>
      </c>
      <c r="T52" t="s">
        <v>14</v>
      </c>
      <c r="U52" s="3">
        <v>262.20999999999998</v>
      </c>
      <c r="V52" t="s">
        <v>15</v>
      </c>
      <c r="W52" t="s">
        <v>16</v>
      </c>
      <c r="X52" t="s">
        <v>11</v>
      </c>
      <c r="Y52" t="s">
        <v>8</v>
      </c>
      <c r="Z52" t="s">
        <v>17</v>
      </c>
      <c r="AA52" t="s">
        <v>122</v>
      </c>
      <c r="AB52" t="s">
        <v>11</v>
      </c>
      <c r="AC52" t="s">
        <v>11</v>
      </c>
      <c r="AD52" t="s">
        <v>11</v>
      </c>
      <c r="AE52" s="2">
        <v>45810</v>
      </c>
      <c r="AF52" s="2"/>
      <c r="AG52" t="s">
        <v>11</v>
      </c>
      <c r="AH52" s="14">
        <f>VLOOKUP(M52,'[1]INDIAN ENTERPRISES'!$D:$D,1,0)</f>
        <v>256779413972</v>
      </c>
      <c r="AJ52" s="15">
        <f>VLOOKUP(M52,'[1]INDIAN ENTERPRISES'!$D:$L,9,0)</f>
        <v>45991</v>
      </c>
    </row>
    <row r="53" spans="1:36" hidden="1" outlineLevel="2" x14ac:dyDescent="0.25">
      <c r="A53" t="s">
        <v>20</v>
      </c>
      <c r="B53" t="s">
        <v>1</v>
      </c>
      <c r="C53" t="s">
        <v>2</v>
      </c>
      <c r="D53" t="s">
        <v>3</v>
      </c>
      <c r="E53" t="s">
        <v>4</v>
      </c>
      <c r="F53" t="s">
        <v>21</v>
      </c>
      <c r="G53" s="2">
        <v>45937</v>
      </c>
      <c r="H53" t="s">
        <v>123</v>
      </c>
      <c r="I53" t="s">
        <v>7</v>
      </c>
      <c r="J53" s="2">
        <v>45937</v>
      </c>
      <c r="K53" s="2">
        <v>45939</v>
      </c>
      <c r="L53" t="s">
        <v>8</v>
      </c>
      <c r="M53" s="14">
        <v>256779418176</v>
      </c>
      <c r="N53" t="s">
        <v>9</v>
      </c>
      <c r="O53" t="s">
        <v>10</v>
      </c>
      <c r="P53" t="s">
        <v>11</v>
      </c>
      <c r="Q53" t="s">
        <v>12</v>
      </c>
      <c r="R53" t="s">
        <v>13</v>
      </c>
      <c r="S53" s="3">
        <v>639.04999999999995</v>
      </c>
      <c r="T53" t="s">
        <v>14</v>
      </c>
      <c r="U53" s="3">
        <v>56358.31</v>
      </c>
      <c r="V53" t="s">
        <v>15</v>
      </c>
      <c r="W53" t="s">
        <v>16</v>
      </c>
      <c r="X53" t="s">
        <v>11</v>
      </c>
      <c r="Y53" t="s">
        <v>124</v>
      </c>
      <c r="Z53" t="s">
        <v>17</v>
      </c>
      <c r="AA53" t="s">
        <v>125</v>
      </c>
      <c r="AB53" t="s">
        <v>11</v>
      </c>
      <c r="AC53" t="s">
        <v>11</v>
      </c>
      <c r="AD53" t="s">
        <v>11</v>
      </c>
      <c r="AE53" s="2">
        <v>45937</v>
      </c>
      <c r="AF53" s="2"/>
      <c r="AG53" t="s">
        <v>11</v>
      </c>
      <c r="AH53" s="14">
        <f>VLOOKUP(M53,'[1]INDIAN ENTERPRISES'!$D:$D,1,0)</f>
        <v>256779418176</v>
      </c>
      <c r="AJ53" s="15">
        <f>VLOOKUP(M53,'[1]INDIAN ENTERPRISES'!$D:$L,9,0)</f>
        <v>46053</v>
      </c>
    </row>
    <row r="54" spans="1:36" hidden="1" outlineLevel="2" x14ac:dyDescent="0.25">
      <c r="A54" t="s">
        <v>20</v>
      </c>
      <c r="B54" t="s">
        <v>1</v>
      </c>
      <c r="C54" t="s">
        <v>2</v>
      </c>
      <c r="D54" t="s">
        <v>3</v>
      </c>
      <c r="E54" t="s">
        <v>4</v>
      </c>
      <c r="F54" t="s">
        <v>21</v>
      </c>
      <c r="G54" s="2">
        <v>45937</v>
      </c>
      <c r="H54" t="s">
        <v>126</v>
      </c>
      <c r="I54" t="s">
        <v>7</v>
      </c>
      <c r="J54" s="2">
        <v>45937</v>
      </c>
      <c r="K54" s="2">
        <v>45939</v>
      </c>
      <c r="L54" t="s">
        <v>8</v>
      </c>
      <c r="M54" s="14">
        <v>256779418185</v>
      </c>
      <c r="N54" t="s">
        <v>9</v>
      </c>
      <c r="O54" t="s">
        <v>10</v>
      </c>
      <c r="P54" t="s">
        <v>11</v>
      </c>
      <c r="Q54" t="s">
        <v>12</v>
      </c>
      <c r="R54" t="s">
        <v>13</v>
      </c>
      <c r="S54" s="3">
        <v>405.44</v>
      </c>
      <c r="T54" t="s">
        <v>14</v>
      </c>
      <c r="U54" s="3">
        <v>35756.07</v>
      </c>
      <c r="V54" t="s">
        <v>15</v>
      </c>
      <c r="W54" t="s">
        <v>16</v>
      </c>
      <c r="X54" t="s">
        <v>11</v>
      </c>
      <c r="Y54" t="s">
        <v>124</v>
      </c>
      <c r="Z54" t="s">
        <v>17</v>
      </c>
      <c r="AA54" t="s">
        <v>127</v>
      </c>
      <c r="AB54" t="s">
        <v>11</v>
      </c>
      <c r="AC54" t="s">
        <v>11</v>
      </c>
      <c r="AD54" t="s">
        <v>11</v>
      </c>
      <c r="AE54" s="2">
        <v>45937</v>
      </c>
      <c r="AF54" s="2"/>
      <c r="AG54" t="s">
        <v>11</v>
      </c>
      <c r="AH54" s="14" t="e">
        <f>VLOOKUP(M54,'[1]INDIAN ENTERPRISES'!$D:$D,1,0)</f>
        <v>#N/A</v>
      </c>
      <c r="AI54" t="str">
        <f>VLOOKUP(M54,'[2]Invoices Not in Customer Books'!$E:$K,7,0)</f>
        <v>Invoice under booking</v>
      </c>
      <c r="AJ54" s="15" t="e">
        <f>VLOOKUP(M54,'[1]INDIAN ENTERPRISES'!$D:$L,9,0)</f>
        <v>#N/A</v>
      </c>
    </row>
    <row r="55" spans="1:36" hidden="1" outlineLevel="2" x14ac:dyDescent="0.25">
      <c r="A55" t="s">
        <v>20</v>
      </c>
      <c r="B55" t="s">
        <v>1</v>
      </c>
      <c r="C55" t="s">
        <v>2</v>
      </c>
      <c r="D55" t="s">
        <v>3</v>
      </c>
      <c r="E55" t="s">
        <v>4</v>
      </c>
      <c r="F55" t="s">
        <v>128</v>
      </c>
      <c r="G55" s="2">
        <v>45857</v>
      </c>
      <c r="H55" t="s">
        <v>129</v>
      </c>
      <c r="I55" t="s">
        <v>7</v>
      </c>
      <c r="J55" s="2">
        <v>45857</v>
      </c>
      <c r="K55" s="2">
        <v>45859</v>
      </c>
      <c r="L55" t="s">
        <v>8</v>
      </c>
      <c r="M55" s="14">
        <v>256779415769</v>
      </c>
      <c r="N55" t="s">
        <v>9</v>
      </c>
      <c r="O55" t="s">
        <v>10</v>
      </c>
      <c r="P55" t="s">
        <v>11</v>
      </c>
      <c r="Q55" t="s">
        <v>12</v>
      </c>
      <c r="R55" t="s">
        <v>13</v>
      </c>
      <c r="S55" s="3">
        <v>234.91</v>
      </c>
      <c r="T55" t="s">
        <v>14</v>
      </c>
      <c r="U55" s="3">
        <v>20202.419999999998</v>
      </c>
      <c r="V55" t="s">
        <v>15</v>
      </c>
      <c r="W55" t="s">
        <v>16</v>
      </c>
      <c r="X55" t="s">
        <v>11</v>
      </c>
      <c r="Y55" t="s">
        <v>8</v>
      </c>
      <c r="Z55" t="s">
        <v>17</v>
      </c>
      <c r="AA55" t="s">
        <v>130</v>
      </c>
      <c r="AB55" t="s">
        <v>11</v>
      </c>
      <c r="AC55" t="s">
        <v>11</v>
      </c>
      <c r="AD55" t="s">
        <v>11</v>
      </c>
      <c r="AE55" s="2">
        <v>45857</v>
      </c>
      <c r="AF55" s="2"/>
      <c r="AG55" t="s">
        <v>11</v>
      </c>
      <c r="AH55" s="14">
        <f>VLOOKUP(M55,'[1]INDIAN ENTERPRISES'!$D:$D,1,0)</f>
        <v>256779415769</v>
      </c>
      <c r="AJ55" s="15">
        <f>VLOOKUP(M55,'[1]INDIAN ENTERPRISES'!$D:$L,9,0)</f>
        <v>46053</v>
      </c>
    </row>
    <row r="56" spans="1:36" hidden="1" outlineLevel="2" x14ac:dyDescent="0.25">
      <c r="A56" t="s">
        <v>20</v>
      </c>
      <c r="B56" t="s">
        <v>1</v>
      </c>
      <c r="C56" t="s">
        <v>2</v>
      </c>
      <c r="D56" t="s">
        <v>3</v>
      </c>
      <c r="E56" t="s">
        <v>4</v>
      </c>
      <c r="F56" t="s">
        <v>96</v>
      </c>
      <c r="G56" s="2">
        <v>45787</v>
      </c>
      <c r="H56" t="s">
        <v>131</v>
      </c>
      <c r="I56" t="s">
        <v>7</v>
      </c>
      <c r="J56" s="2">
        <v>45787</v>
      </c>
      <c r="K56" s="2">
        <v>45792</v>
      </c>
      <c r="L56" t="s">
        <v>8</v>
      </c>
      <c r="M56" s="14">
        <v>256779413240</v>
      </c>
      <c r="N56" t="s">
        <v>9</v>
      </c>
      <c r="O56" t="s">
        <v>10</v>
      </c>
      <c r="P56" t="s">
        <v>11</v>
      </c>
      <c r="Q56" t="s">
        <v>12</v>
      </c>
      <c r="R56" t="s">
        <v>13</v>
      </c>
      <c r="S56" s="3">
        <v>424.03</v>
      </c>
      <c r="T56" t="s">
        <v>14</v>
      </c>
      <c r="U56" s="3">
        <v>36459.67</v>
      </c>
      <c r="V56" t="s">
        <v>15</v>
      </c>
      <c r="W56" t="s">
        <v>16</v>
      </c>
      <c r="X56" t="s">
        <v>11</v>
      </c>
      <c r="Y56" t="s">
        <v>8</v>
      </c>
      <c r="Z56" t="s">
        <v>17</v>
      </c>
      <c r="AA56" t="s">
        <v>132</v>
      </c>
      <c r="AB56" t="s">
        <v>11</v>
      </c>
      <c r="AC56" t="s">
        <v>11</v>
      </c>
      <c r="AD56" t="s">
        <v>11</v>
      </c>
      <c r="AE56" s="2">
        <v>45787</v>
      </c>
      <c r="AF56" s="2"/>
      <c r="AG56" t="s">
        <v>11</v>
      </c>
      <c r="AH56" s="14">
        <f>VLOOKUP(M56,'[1]INDIAN ENTERPRISES'!$D:$D,1,0)</f>
        <v>256779413240</v>
      </c>
      <c r="AJ56" s="15">
        <f>VLOOKUP(M56,'[1]INDIAN ENTERPRISES'!$D:$L,9,0)</f>
        <v>46022</v>
      </c>
    </row>
    <row r="57" spans="1:36" hidden="1" outlineLevel="2" x14ac:dyDescent="0.25">
      <c r="A57" t="s">
        <v>20</v>
      </c>
      <c r="B57" t="s">
        <v>1</v>
      </c>
      <c r="C57" t="s">
        <v>2</v>
      </c>
      <c r="D57" t="s">
        <v>3</v>
      </c>
      <c r="E57" t="s">
        <v>4</v>
      </c>
      <c r="F57" t="s">
        <v>96</v>
      </c>
      <c r="G57" s="2">
        <v>45787</v>
      </c>
      <c r="H57" t="s">
        <v>133</v>
      </c>
      <c r="I57" t="s">
        <v>7</v>
      </c>
      <c r="J57" s="2">
        <v>45787</v>
      </c>
      <c r="K57" s="2">
        <v>45792</v>
      </c>
      <c r="L57" t="s">
        <v>8</v>
      </c>
      <c r="M57" s="14">
        <v>256779413250</v>
      </c>
      <c r="N57" t="s">
        <v>9</v>
      </c>
      <c r="O57" t="s">
        <v>10</v>
      </c>
      <c r="P57" t="s">
        <v>11</v>
      </c>
      <c r="Q57" t="s">
        <v>12</v>
      </c>
      <c r="R57" t="s">
        <v>13</v>
      </c>
      <c r="S57" s="3">
        <v>423.28</v>
      </c>
      <c r="T57" t="s">
        <v>14</v>
      </c>
      <c r="U57" s="3">
        <v>36395.18</v>
      </c>
      <c r="V57" t="s">
        <v>15</v>
      </c>
      <c r="W57" t="s">
        <v>16</v>
      </c>
      <c r="X57" t="s">
        <v>11</v>
      </c>
      <c r="Y57" t="s">
        <v>8</v>
      </c>
      <c r="Z57" t="s">
        <v>17</v>
      </c>
      <c r="AA57" t="s">
        <v>134</v>
      </c>
      <c r="AB57" t="s">
        <v>11</v>
      </c>
      <c r="AC57" t="s">
        <v>11</v>
      </c>
      <c r="AD57" t="s">
        <v>11</v>
      </c>
      <c r="AE57" s="2">
        <v>45787</v>
      </c>
      <c r="AF57" s="2"/>
      <c r="AG57" t="s">
        <v>11</v>
      </c>
      <c r="AH57" s="14">
        <f>VLOOKUP(M57,'[1]INDIAN ENTERPRISES'!$D:$D,1,0)</f>
        <v>256779413250</v>
      </c>
      <c r="AJ57" s="15">
        <f>VLOOKUP(M57,'[1]INDIAN ENTERPRISES'!$D:$L,9,0)</f>
        <v>46022</v>
      </c>
    </row>
    <row r="58" spans="1:36" hidden="1" outlineLevel="2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96</v>
      </c>
      <c r="G58" s="2">
        <v>45787</v>
      </c>
      <c r="H58" t="s">
        <v>135</v>
      </c>
      <c r="I58" t="s">
        <v>7</v>
      </c>
      <c r="J58" s="2">
        <v>45787</v>
      </c>
      <c r="K58" s="2">
        <v>45792</v>
      </c>
      <c r="L58" t="s">
        <v>8</v>
      </c>
      <c r="M58" s="14">
        <v>256779413161</v>
      </c>
      <c r="N58" t="s">
        <v>9</v>
      </c>
      <c r="O58" t="s">
        <v>10</v>
      </c>
      <c r="P58" t="s">
        <v>11</v>
      </c>
      <c r="Q58" t="s">
        <v>12</v>
      </c>
      <c r="R58" t="s">
        <v>13</v>
      </c>
      <c r="S58" s="3">
        <v>707.71</v>
      </c>
      <c r="T58" t="s">
        <v>14</v>
      </c>
      <c r="U58" s="3">
        <v>60851.519999999997</v>
      </c>
      <c r="V58" t="s">
        <v>37</v>
      </c>
      <c r="W58" t="s">
        <v>136</v>
      </c>
      <c r="X58" t="s">
        <v>11</v>
      </c>
      <c r="Y58" t="s">
        <v>8</v>
      </c>
      <c r="Z58" t="s">
        <v>17</v>
      </c>
      <c r="AA58" t="s">
        <v>137</v>
      </c>
      <c r="AB58" t="s">
        <v>11</v>
      </c>
      <c r="AC58" t="s">
        <v>11</v>
      </c>
      <c r="AD58" t="s">
        <v>11</v>
      </c>
      <c r="AE58" s="2">
        <v>45787</v>
      </c>
      <c r="AF58" s="2">
        <v>45974</v>
      </c>
      <c r="AG58" t="s">
        <v>39</v>
      </c>
      <c r="AH58" s="14" t="e">
        <f>VLOOKUP(M58,'[1]INDIAN ENTERPRISES'!$D:$D,1,0)</f>
        <v>#N/A</v>
      </c>
      <c r="AI58" t="str">
        <f>VLOOKUP(M58,'[2]Invoices Not in Customer Books'!$E:$K,7,0)</f>
        <v>Invoice &amp; CN both not received &amp; booked</v>
      </c>
      <c r="AJ58" s="15" t="e">
        <f>VLOOKUP(M58,'[1]INDIAN ENTERPRISES'!$D:$L,9,0)</f>
        <v>#N/A</v>
      </c>
    </row>
    <row r="59" spans="1:36" hidden="1" outlineLevel="2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96</v>
      </c>
      <c r="G59" s="2">
        <v>45787</v>
      </c>
      <c r="H59" t="s">
        <v>138</v>
      </c>
      <c r="I59" t="s">
        <v>7</v>
      </c>
      <c r="J59" s="2">
        <v>45787</v>
      </c>
      <c r="K59" s="2">
        <v>45792</v>
      </c>
      <c r="L59" t="s">
        <v>8</v>
      </c>
      <c r="M59" s="14">
        <v>256779413169</v>
      </c>
      <c r="N59" t="s">
        <v>9</v>
      </c>
      <c r="O59" t="s">
        <v>10</v>
      </c>
      <c r="P59" t="s">
        <v>11</v>
      </c>
      <c r="Q59" t="s">
        <v>12</v>
      </c>
      <c r="R59" t="s">
        <v>13</v>
      </c>
      <c r="S59" s="3">
        <v>3.78</v>
      </c>
      <c r="T59" t="s">
        <v>14</v>
      </c>
      <c r="U59" s="3">
        <v>325.02</v>
      </c>
      <c r="V59" t="s">
        <v>37</v>
      </c>
      <c r="W59" t="s">
        <v>136</v>
      </c>
      <c r="X59" t="s">
        <v>11</v>
      </c>
      <c r="Y59" t="s">
        <v>8</v>
      </c>
      <c r="Z59" t="s">
        <v>17</v>
      </c>
      <c r="AA59" t="s">
        <v>139</v>
      </c>
      <c r="AB59" t="s">
        <v>11</v>
      </c>
      <c r="AC59" t="s">
        <v>11</v>
      </c>
      <c r="AD59" t="s">
        <v>11</v>
      </c>
      <c r="AE59" s="2">
        <v>45787</v>
      </c>
      <c r="AF59" s="2">
        <v>45974</v>
      </c>
      <c r="AG59" t="s">
        <v>39</v>
      </c>
      <c r="AH59" s="14" t="e">
        <f>VLOOKUP(M59,'[1]INDIAN ENTERPRISES'!$D:$D,1,0)</f>
        <v>#N/A</v>
      </c>
      <c r="AI59" t="str">
        <f>VLOOKUP(M59,'[2]Invoices Not in Customer Books'!$E:$K,7,0)</f>
        <v>Invoice &amp; CN both not received &amp; booked</v>
      </c>
      <c r="AJ59" s="15" t="e">
        <f>VLOOKUP(M59,'[1]INDIAN ENTERPRISES'!$D:$L,9,0)</f>
        <v>#N/A</v>
      </c>
    </row>
    <row r="60" spans="1:36" hidden="1" outlineLevel="2" x14ac:dyDescent="0.25">
      <c r="A60" t="s">
        <v>20</v>
      </c>
      <c r="B60" t="s">
        <v>1</v>
      </c>
      <c r="C60" t="s">
        <v>2</v>
      </c>
      <c r="D60" t="s">
        <v>3</v>
      </c>
      <c r="E60" t="s">
        <v>4</v>
      </c>
      <c r="F60" t="s">
        <v>89</v>
      </c>
      <c r="G60" s="2">
        <v>45997</v>
      </c>
      <c r="H60" t="s">
        <v>140</v>
      </c>
      <c r="I60" t="s">
        <v>7</v>
      </c>
      <c r="J60" s="2">
        <v>45997</v>
      </c>
      <c r="K60" s="2">
        <v>46000</v>
      </c>
      <c r="L60" t="s">
        <v>8</v>
      </c>
      <c r="M60" s="14">
        <v>256779419983</v>
      </c>
      <c r="N60" t="s">
        <v>9</v>
      </c>
      <c r="O60" t="s">
        <v>10</v>
      </c>
      <c r="P60" t="s">
        <v>11</v>
      </c>
      <c r="Q60" t="s">
        <v>12</v>
      </c>
      <c r="R60" t="s">
        <v>13</v>
      </c>
      <c r="S60" s="3">
        <v>55.63</v>
      </c>
      <c r="T60" t="s">
        <v>14</v>
      </c>
      <c r="U60" s="3">
        <v>4934.3900000000003</v>
      </c>
      <c r="V60" t="s">
        <v>15</v>
      </c>
      <c r="W60" t="s">
        <v>16</v>
      </c>
      <c r="X60" t="s">
        <v>11</v>
      </c>
      <c r="Y60" t="s">
        <v>141</v>
      </c>
      <c r="Z60" t="s">
        <v>17</v>
      </c>
      <c r="AA60" t="s">
        <v>142</v>
      </c>
      <c r="AB60" t="s">
        <v>11</v>
      </c>
      <c r="AC60" t="s">
        <v>11</v>
      </c>
      <c r="AD60" t="s">
        <v>11</v>
      </c>
      <c r="AE60" s="2">
        <v>45997</v>
      </c>
      <c r="AF60" s="2"/>
      <c r="AG60" t="s">
        <v>11</v>
      </c>
      <c r="AH60" s="14">
        <f>VLOOKUP(M60,'[1]INDIAN ENTERPRISES'!$D:$D,1,0)</f>
        <v>256779419983</v>
      </c>
      <c r="AJ60" s="15">
        <f>VLOOKUP(M60,'[1]INDIAN ENTERPRISES'!$D:$L,9,0)</f>
        <v>46053</v>
      </c>
    </row>
    <row r="61" spans="1:36" hidden="1" outlineLevel="2" x14ac:dyDescent="0.25">
      <c r="A61" t="s">
        <v>20</v>
      </c>
      <c r="B61" t="s">
        <v>1</v>
      </c>
      <c r="C61" t="s">
        <v>2</v>
      </c>
      <c r="D61" t="s">
        <v>3</v>
      </c>
      <c r="E61" t="s">
        <v>4</v>
      </c>
      <c r="F61" t="s">
        <v>21</v>
      </c>
      <c r="G61" s="2">
        <v>45948</v>
      </c>
      <c r="H61" t="s">
        <v>143</v>
      </c>
      <c r="I61" t="s">
        <v>7</v>
      </c>
      <c r="J61" s="2">
        <v>45948</v>
      </c>
      <c r="K61" s="2">
        <v>45951</v>
      </c>
      <c r="L61" t="s">
        <v>8</v>
      </c>
      <c r="M61" s="14">
        <v>256779418424</v>
      </c>
      <c r="N61" t="s">
        <v>9</v>
      </c>
      <c r="O61" t="s">
        <v>10</v>
      </c>
      <c r="P61" t="s">
        <v>11</v>
      </c>
      <c r="Q61" t="s">
        <v>12</v>
      </c>
      <c r="R61" t="s">
        <v>13</v>
      </c>
      <c r="S61" s="3">
        <v>1334.62</v>
      </c>
      <c r="T61" t="s">
        <v>14</v>
      </c>
      <c r="U61" s="3">
        <v>117701.17</v>
      </c>
      <c r="V61" t="s">
        <v>15</v>
      </c>
      <c r="W61" t="s">
        <v>16</v>
      </c>
      <c r="X61" t="s">
        <v>11</v>
      </c>
      <c r="Y61" t="s">
        <v>144</v>
      </c>
      <c r="Z61" t="s">
        <v>17</v>
      </c>
      <c r="AA61" t="s">
        <v>145</v>
      </c>
      <c r="AB61" t="s">
        <v>11</v>
      </c>
      <c r="AC61" t="s">
        <v>11</v>
      </c>
      <c r="AD61" t="s">
        <v>11</v>
      </c>
      <c r="AE61" s="2">
        <v>45948</v>
      </c>
      <c r="AF61" s="2"/>
      <c r="AG61" t="s">
        <v>11</v>
      </c>
      <c r="AH61" s="14">
        <f>VLOOKUP(M61,'[1]INDIAN ENTERPRISES'!$D:$D,1,0)</f>
        <v>256779418424</v>
      </c>
      <c r="AJ61" s="15">
        <f>VLOOKUP(M61,'[1]INDIAN ENTERPRISES'!$D:$L,9,0)</f>
        <v>46022</v>
      </c>
    </row>
    <row r="62" spans="1:36" hidden="1" outlineLevel="2" x14ac:dyDescent="0.25">
      <c r="A62" t="s">
        <v>20</v>
      </c>
      <c r="B62" t="s">
        <v>1</v>
      </c>
      <c r="C62" t="s">
        <v>2</v>
      </c>
      <c r="D62" t="s">
        <v>3</v>
      </c>
      <c r="E62" t="s">
        <v>4</v>
      </c>
      <c r="F62" t="s">
        <v>21</v>
      </c>
      <c r="G62" s="2">
        <v>45948</v>
      </c>
      <c r="H62" t="s">
        <v>146</v>
      </c>
      <c r="I62" t="s">
        <v>7</v>
      </c>
      <c r="J62" s="2">
        <v>45948</v>
      </c>
      <c r="K62" s="2">
        <v>45951</v>
      </c>
      <c r="L62" t="s">
        <v>8</v>
      </c>
      <c r="M62" s="14">
        <v>256779418433</v>
      </c>
      <c r="N62" t="s">
        <v>9</v>
      </c>
      <c r="O62" t="s">
        <v>10</v>
      </c>
      <c r="P62" t="s">
        <v>11</v>
      </c>
      <c r="Q62" t="s">
        <v>12</v>
      </c>
      <c r="R62" t="s">
        <v>13</v>
      </c>
      <c r="S62" s="3">
        <v>351.43</v>
      </c>
      <c r="T62" t="s">
        <v>14</v>
      </c>
      <c r="U62" s="3">
        <v>30992.880000000001</v>
      </c>
      <c r="V62" t="s">
        <v>15</v>
      </c>
      <c r="W62" t="s">
        <v>16</v>
      </c>
      <c r="X62" t="s">
        <v>11</v>
      </c>
      <c r="Y62" t="s">
        <v>147</v>
      </c>
      <c r="Z62" t="s">
        <v>17</v>
      </c>
      <c r="AA62" t="s">
        <v>148</v>
      </c>
      <c r="AB62" t="s">
        <v>11</v>
      </c>
      <c r="AC62" t="s">
        <v>11</v>
      </c>
      <c r="AD62" t="s">
        <v>11</v>
      </c>
      <c r="AE62" s="2">
        <v>45948</v>
      </c>
      <c r="AF62" s="2"/>
      <c r="AG62" t="s">
        <v>11</v>
      </c>
      <c r="AH62" s="14">
        <f>VLOOKUP(M62,'[1]INDIAN ENTERPRISES'!$D:$D,1,0)</f>
        <v>256779418433</v>
      </c>
      <c r="AJ62" s="15">
        <f>VLOOKUP(M62,'[1]INDIAN ENTERPRISES'!$D:$L,9,0)</f>
        <v>46022</v>
      </c>
    </row>
    <row r="63" spans="1:36" hidden="1" outlineLevel="2" x14ac:dyDescent="0.25">
      <c r="A63" t="s">
        <v>20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s="2">
        <v>45815</v>
      </c>
      <c r="H63" t="s">
        <v>149</v>
      </c>
      <c r="I63" t="s">
        <v>7</v>
      </c>
      <c r="J63" s="2">
        <v>45815</v>
      </c>
      <c r="K63" s="2">
        <v>45817</v>
      </c>
      <c r="L63" t="s">
        <v>8</v>
      </c>
      <c r="M63" s="14">
        <v>256779414253</v>
      </c>
      <c r="N63" t="s">
        <v>9</v>
      </c>
      <c r="O63" t="s">
        <v>10</v>
      </c>
      <c r="P63" t="s">
        <v>11</v>
      </c>
      <c r="Q63" t="s">
        <v>12</v>
      </c>
      <c r="R63" t="s">
        <v>13</v>
      </c>
      <c r="S63" s="3">
        <v>9947.26</v>
      </c>
      <c r="T63" t="s">
        <v>14</v>
      </c>
      <c r="U63" s="3">
        <v>850399.02</v>
      </c>
      <c r="V63" t="s">
        <v>15</v>
      </c>
      <c r="W63" t="s">
        <v>16</v>
      </c>
      <c r="X63" t="s">
        <v>11</v>
      </c>
      <c r="Y63" t="s">
        <v>8</v>
      </c>
      <c r="Z63" t="s">
        <v>17</v>
      </c>
      <c r="AA63" t="s">
        <v>150</v>
      </c>
      <c r="AB63" t="s">
        <v>11</v>
      </c>
      <c r="AC63" t="s">
        <v>11</v>
      </c>
      <c r="AD63" t="s">
        <v>11</v>
      </c>
      <c r="AE63" s="2">
        <v>45815</v>
      </c>
      <c r="AF63" s="2"/>
      <c r="AG63" t="s">
        <v>11</v>
      </c>
      <c r="AH63" s="14" t="e">
        <f>VLOOKUP(M63,'[1]INDIAN ENTERPRISES'!$D:$D,1,0)</f>
        <v>#N/A</v>
      </c>
      <c r="AI63" t="str">
        <f>VLOOKUP(M63,'[2]Invoices Not in Customer Books'!$E:$K,7,0)</f>
        <v>Invoice under booking</v>
      </c>
      <c r="AJ63" s="15" t="e">
        <f>VLOOKUP(M63,'[1]INDIAN ENTERPRISES'!$D:$L,9,0)</f>
        <v>#N/A</v>
      </c>
    </row>
    <row r="64" spans="1:36" hidden="1" outlineLevel="2" x14ac:dyDescent="0.25">
      <c r="A64" t="s">
        <v>20</v>
      </c>
      <c r="B64" t="s">
        <v>1</v>
      </c>
      <c r="C64" t="s">
        <v>2</v>
      </c>
      <c r="D64" t="s">
        <v>3</v>
      </c>
      <c r="E64" t="s">
        <v>4</v>
      </c>
      <c r="F64" t="s">
        <v>21</v>
      </c>
      <c r="G64" s="2">
        <v>45936</v>
      </c>
      <c r="H64" t="s">
        <v>151</v>
      </c>
      <c r="I64" t="s">
        <v>7</v>
      </c>
      <c r="J64" s="2">
        <v>45936</v>
      </c>
      <c r="K64" s="2">
        <v>45937</v>
      </c>
      <c r="L64" t="s">
        <v>8</v>
      </c>
      <c r="M64" s="14">
        <v>256779418006</v>
      </c>
      <c r="N64" t="s">
        <v>9</v>
      </c>
      <c r="O64" t="s">
        <v>10</v>
      </c>
      <c r="P64" t="s">
        <v>11</v>
      </c>
      <c r="Q64" t="s">
        <v>12</v>
      </c>
      <c r="R64" t="s">
        <v>13</v>
      </c>
      <c r="S64" s="3">
        <v>4667.07</v>
      </c>
      <c r="T64" t="s">
        <v>14</v>
      </c>
      <c r="U64" s="3">
        <v>411592.5</v>
      </c>
      <c r="V64" t="s">
        <v>15</v>
      </c>
      <c r="W64" t="s">
        <v>16</v>
      </c>
      <c r="X64" t="s">
        <v>11</v>
      </c>
      <c r="Y64" t="s">
        <v>152</v>
      </c>
      <c r="Z64" t="s">
        <v>17</v>
      </c>
      <c r="AA64" t="s">
        <v>153</v>
      </c>
      <c r="AB64" t="s">
        <v>11</v>
      </c>
      <c r="AC64" t="s">
        <v>11</v>
      </c>
      <c r="AD64" t="s">
        <v>11</v>
      </c>
      <c r="AE64" s="2">
        <v>45936</v>
      </c>
      <c r="AF64" s="2"/>
      <c r="AG64" t="s">
        <v>11</v>
      </c>
      <c r="AH64" s="14">
        <f>VLOOKUP(M64,'[1]INDIAN ENTERPRISES'!$D:$D,1,0)</f>
        <v>256779418006</v>
      </c>
      <c r="AJ64" s="15">
        <f>VLOOKUP(M64,'[1]INDIAN ENTERPRISES'!$D:$L,9,0)</f>
        <v>46053</v>
      </c>
    </row>
    <row r="65" spans="1:36" hidden="1" outlineLevel="2" x14ac:dyDescent="0.25">
      <c r="A65" t="s">
        <v>20</v>
      </c>
      <c r="B65" t="s">
        <v>1</v>
      </c>
      <c r="C65" t="s">
        <v>2</v>
      </c>
      <c r="D65" t="s">
        <v>3</v>
      </c>
      <c r="E65" t="s">
        <v>4</v>
      </c>
      <c r="F65" t="s">
        <v>21</v>
      </c>
      <c r="G65" s="2">
        <v>45935</v>
      </c>
      <c r="H65" t="s">
        <v>154</v>
      </c>
      <c r="I65" t="s">
        <v>7</v>
      </c>
      <c r="J65" s="2">
        <v>45935</v>
      </c>
      <c r="K65" s="2">
        <v>45937</v>
      </c>
      <c r="L65" t="s">
        <v>8</v>
      </c>
      <c r="M65" s="14">
        <v>256779417892</v>
      </c>
      <c r="N65" t="s">
        <v>9</v>
      </c>
      <c r="O65" t="s">
        <v>10</v>
      </c>
      <c r="P65" t="s">
        <v>11</v>
      </c>
      <c r="Q65" t="s">
        <v>12</v>
      </c>
      <c r="R65" t="s">
        <v>13</v>
      </c>
      <c r="S65" s="3">
        <v>58.45</v>
      </c>
      <c r="T65" t="s">
        <v>14</v>
      </c>
      <c r="U65" s="3">
        <v>5154.75</v>
      </c>
      <c r="V65" t="s">
        <v>15</v>
      </c>
      <c r="W65" t="s">
        <v>16</v>
      </c>
      <c r="X65" t="s">
        <v>11</v>
      </c>
      <c r="Y65" t="s">
        <v>155</v>
      </c>
      <c r="Z65" t="s">
        <v>17</v>
      </c>
      <c r="AA65" t="s">
        <v>156</v>
      </c>
      <c r="AB65" t="s">
        <v>11</v>
      </c>
      <c r="AC65" t="s">
        <v>11</v>
      </c>
      <c r="AD65" t="s">
        <v>11</v>
      </c>
      <c r="AE65" s="2">
        <v>45935</v>
      </c>
      <c r="AF65" s="2"/>
      <c r="AG65" t="s">
        <v>11</v>
      </c>
      <c r="AH65" s="14">
        <f>VLOOKUP(M65,'[1]INDIAN ENTERPRISES'!$D:$D,1,0)</f>
        <v>256779417892</v>
      </c>
      <c r="AJ65" s="15">
        <f>VLOOKUP(M65,'[1]INDIAN ENTERPRISES'!$D:$L,9,0)</f>
        <v>46022</v>
      </c>
    </row>
    <row r="66" spans="1:36" hidden="1" outlineLevel="2" x14ac:dyDescent="0.25">
      <c r="A66" t="s">
        <v>20</v>
      </c>
      <c r="B66" t="s">
        <v>1</v>
      </c>
      <c r="C66" t="s">
        <v>2</v>
      </c>
      <c r="D66" t="s">
        <v>3</v>
      </c>
      <c r="E66" t="s">
        <v>4</v>
      </c>
      <c r="F66" t="s">
        <v>21</v>
      </c>
      <c r="G66" s="2">
        <v>45935</v>
      </c>
      <c r="H66" t="s">
        <v>157</v>
      </c>
      <c r="I66" t="s">
        <v>7</v>
      </c>
      <c r="J66" s="2">
        <v>45935</v>
      </c>
      <c r="K66" s="2">
        <v>45937</v>
      </c>
      <c r="L66" t="s">
        <v>8</v>
      </c>
      <c r="M66" s="14">
        <v>256779417931</v>
      </c>
      <c r="N66" t="s">
        <v>9</v>
      </c>
      <c r="O66" t="s">
        <v>10</v>
      </c>
      <c r="P66" t="s">
        <v>11</v>
      </c>
      <c r="Q66" t="s">
        <v>12</v>
      </c>
      <c r="R66" t="s">
        <v>13</v>
      </c>
      <c r="S66" s="3">
        <v>288.83999999999997</v>
      </c>
      <c r="T66" t="s">
        <v>14</v>
      </c>
      <c r="U66" s="3">
        <v>25473.02</v>
      </c>
      <c r="V66" t="s">
        <v>15</v>
      </c>
      <c r="W66" t="s">
        <v>16</v>
      </c>
      <c r="X66" t="s">
        <v>11</v>
      </c>
      <c r="Y66" t="s">
        <v>8</v>
      </c>
      <c r="Z66" t="s">
        <v>17</v>
      </c>
      <c r="AA66" t="s">
        <v>158</v>
      </c>
      <c r="AB66" t="s">
        <v>11</v>
      </c>
      <c r="AC66" t="s">
        <v>11</v>
      </c>
      <c r="AD66" t="s">
        <v>11</v>
      </c>
      <c r="AE66" s="2">
        <v>45935</v>
      </c>
      <c r="AF66" s="2"/>
      <c r="AG66" t="s">
        <v>11</v>
      </c>
      <c r="AH66" s="14">
        <f>VLOOKUP(M66,'[1]INDIAN ENTERPRISES'!$D:$D,1,0)</f>
        <v>256779417931</v>
      </c>
      <c r="AJ66" s="15">
        <f>VLOOKUP(M66,'[1]INDIAN ENTERPRISES'!$D:$L,9,0)</f>
        <v>46022</v>
      </c>
    </row>
    <row r="67" spans="1:36" hidden="1" outlineLevel="2" x14ac:dyDescent="0.25">
      <c r="A67" t="s">
        <v>20</v>
      </c>
      <c r="B67" t="s">
        <v>1</v>
      </c>
      <c r="C67" t="s">
        <v>2</v>
      </c>
      <c r="D67" t="s">
        <v>3</v>
      </c>
      <c r="E67" t="s">
        <v>4</v>
      </c>
      <c r="F67" t="s">
        <v>21</v>
      </c>
      <c r="G67" s="2">
        <v>45935</v>
      </c>
      <c r="H67" t="s">
        <v>159</v>
      </c>
      <c r="I67" t="s">
        <v>7</v>
      </c>
      <c r="J67" s="2">
        <v>45935</v>
      </c>
      <c r="K67" s="2">
        <v>45937</v>
      </c>
      <c r="L67" t="s">
        <v>8</v>
      </c>
      <c r="M67" s="14">
        <v>256779417971</v>
      </c>
      <c r="N67" t="s">
        <v>9</v>
      </c>
      <c r="O67" t="s">
        <v>10</v>
      </c>
      <c r="P67" t="s">
        <v>11</v>
      </c>
      <c r="Q67" t="s">
        <v>12</v>
      </c>
      <c r="R67" t="s">
        <v>13</v>
      </c>
      <c r="S67" s="3">
        <v>94.81</v>
      </c>
      <c r="T67" t="s">
        <v>14</v>
      </c>
      <c r="U67" s="3">
        <v>8361.3700000000008</v>
      </c>
      <c r="V67" t="s">
        <v>15</v>
      </c>
      <c r="W67" t="s">
        <v>16</v>
      </c>
      <c r="X67" t="s">
        <v>11</v>
      </c>
      <c r="Y67" t="s">
        <v>160</v>
      </c>
      <c r="Z67" t="s">
        <v>17</v>
      </c>
      <c r="AA67" t="s">
        <v>161</v>
      </c>
      <c r="AB67" t="s">
        <v>11</v>
      </c>
      <c r="AC67" t="s">
        <v>11</v>
      </c>
      <c r="AD67" t="s">
        <v>11</v>
      </c>
      <c r="AE67" s="2">
        <v>45935</v>
      </c>
      <c r="AF67" s="2"/>
      <c r="AG67" t="s">
        <v>11</v>
      </c>
      <c r="AH67" s="14">
        <f>VLOOKUP(M67,'[1]INDIAN ENTERPRISES'!$D:$D,1,0)</f>
        <v>256779417971</v>
      </c>
      <c r="AJ67" s="15">
        <f>VLOOKUP(M67,'[1]INDIAN ENTERPRISES'!$D:$L,9,0)</f>
        <v>46022</v>
      </c>
    </row>
    <row r="68" spans="1:36" hidden="1" outlineLevel="2" x14ac:dyDescent="0.25">
      <c r="A68" t="s">
        <v>20</v>
      </c>
      <c r="B68" t="s">
        <v>1</v>
      </c>
      <c r="C68" t="s">
        <v>2</v>
      </c>
      <c r="D68" t="s">
        <v>3</v>
      </c>
      <c r="E68" t="s">
        <v>4</v>
      </c>
      <c r="F68" t="s">
        <v>21</v>
      </c>
      <c r="G68" s="2">
        <v>45935</v>
      </c>
      <c r="H68" t="s">
        <v>162</v>
      </c>
      <c r="I68" t="s">
        <v>7</v>
      </c>
      <c r="J68" s="2">
        <v>45935</v>
      </c>
      <c r="K68" s="2">
        <v>45940</v>
      </c>
      <c r="L68" t="s">
        <v>8</v>
      </c>
      <c r="M68" s="14">
        <v>256779418357</v>
      </c>
      <c r="N68" t="s">
        <v>9</v>
      </c>
      <c r="O68" t="s">
        <v>10</v>
      </c>
      <c r="P68" t="s">
        <v>11</v>
      </c>
      <c r="Q68" t="s">
        <v>12</v>
      </c>
      <c r="R68" t="s">
        <v>13</v>
      </c>
      <c r="S68" s="3">
        <v>394.19</v>
      </c>
      <c r="T68" t="s">
        <v>14</v>
      </c>
      <c r="U68" s="3">
        <v>34763.919999999998</v>
      </c>
      <c r="V68" t="s">
        <v>15</v>
      </c>
      <c r="W68" t="s">
        <v>16</v>
      </c>
      <c r="X68" t="s">
        <v>11</v>
      </c>
      <c r="Y68" t="s">
        <v>163</v>
      </c>
      <c r="Z68" t="s">
        <v>17</v>
      </c>
      <c r="AA68" t="s">
        <v>164</v>
      </c>
      <c r="AB68" t="s">
        <v>11</v>
      </c>
      <c r="AC68" t="s">
        <v>11</v>
      </c>
      <c r="AD68" t="s">
        <v>11</v>
      </c>
      <c r="AE68" s="2">
        <v>45935</v>
      </c>
      <c r="AF68" s="2"/>
      <c r="AG68" t="s">
        <v>11</v>
      </c>
      <c r="AH68" s="14">
        <f>VLOOKUP(M68,'[1]INDIAN ENTERPRISES'!$D:$D,1,0)</f>
        <v>256779418357</v>
      </c>
      <c r="AJ68" s="15">
        <f>VLOOKUP(M68,'[1]INDIAN ENTERPRISES'!$D:$L,9,0)</f>
        <v>46066</v>
      </c>
    </row>
    <row r="69" spans="1:36" hidden="1" outlineLevel="2" x14ac:dyDescent="0.25">
      <c r="A69" t="s">
        <v>20</v>
      </c>
      <c r="B69" t="s">
        <v>1</v>
      </c>
      <c r="C69" t="s">
        <v>2</v>
      </c>
      <c r="D69" t="s">
        <v>3</v>
      </c>
      <c r="E69" t="s">
        <v>4</v>
      </c>
      <c r="F69" t="s">
        <v>21</v>
      </c>
      <c r="G69" s="2">
        <v>45935</v>
      </c>
      <c r="H69" t="s">
        <v>165</v>
      </c>
      <c r="I69" t="s">
        <v>7</v>
      </c>
      <c r="J69" s="2">
        <v>45935</v>
      </c>
      <c r="K69" s="2">
        <v>45940</v>
      </c>
      <c r="L69" t="s">
        <v>8</v>
      </c>
      <c r="M69" s="14">
        <v>256779418391</v>
      </c>
      <c r="N69" t="s">
        <v>9</v>
      </c>
      <c r="O69" t="s">
        <v>10</v>
      </c>
      <c r="P69" t="s">
        <v>11</v>
      </c>
      <c r="Q69" t="s">
        <v>12</v>
      </c>
      <c r="R69" t="s">
        <v>13</v>
      </c>
      <c r="S69" s="3">
        <v>38.51</v>
      </c>
      <c r="T69" t="s">
        <v>14</v>
      </c>
      <c r="U69" s="3">
        <v>3396.23</v>
      </c>
      <c r="V69" t="s">
        <v>15</v>
      </c>
      <c r="W69" t="s">
        <v>16</v>
      </c>
      <c r="X69" t="s">
        <v>11</v>
      </c>
      <c r="Y69" t="s">
        <v>166</v>
      </c>
      <c r="Z69" t="s">
        <v>17</v>
      </c>
      <c r="AA69" t="s">
        <v>167</v>
      </c>
      <c r="AB69" t="s">
        <v>11</v>
      </c>
      <c r="AC69" t="s">
        <v>11</v>
      </c>
      <c r="AD69" t="s">
        <v>11</v>
      </c>
      <c r="AE69" s="2">
        <v>45935</v>
      </c>
      <c r="AF69" s="2"/>
      <c r="AG69" t="s">
        <v>11</v>
      </c>
      <c r="AH69" s="14">
        <f>VLOOKUP(M69,'[1]INDIAN ENTERPRISES'!$D:$D,1,0)</f>
        <v>256779418391</v>
      </c>
      <c r="AJ69" s="15">
        <f>VLOOKUP(M69,'[1]INDIAN ENTERPRISES'!$D:$L,9,0)</f>
        <v>46022</v>
      </c>
    </row>
    <row r="70" spans="1:36" hidden="1" outlineLevel="2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21</v>
      </c>
      <c r="G70" s="2">
        <v>45935</v>
      </c>
      <c r="H70" t="s">
        <v>168</v>
      </c>
      <c r="I70" t="s">
        <v>7</v>
      </c>
      <c r="J70" s="2">
        <v>45935</v>
      </c>
      <c r="K70" s="2">
        <v>45937</v>
      </c>
      <c r="L70" t="s">
        <v>8</v>
      </c>
      <c r="M70" s="14">
        <v>256779418068</v>
      </c>
      <c r="N70" t="s">
        <v>9</v>
      </c>
      <c r="O70" t="s">
        <v>10</v>
      </c>
      <c r="P70" t="s">
        <v>11</v>
      </c>
      <c r="Q70" t="s">
        <v>12</v>
      </c>
      <c r="R70" t="s">
        <v>13</v>
      </c>
      <c r="S70" s="3">
        <v>94.81</v>
      </c>
      <c r="T70" t="s">
        <v>14</v>
      </c>
      <c r="U70" s="3">
        <v>8361.3700000000008</v>
      </c>
      <c r="V70" t="s">
        <v>15</v>
      </c>
      <c r="W70" t="s">
        <v>16</v>
      </c>
      <c r="X70" t="s">
        <v>11</v>
      </c>
      <c r="Y70" t="s">
        <v>169</v>
      </c>
      <c r="Z70" t="s">
        <v>17</v>
      </c>
      <c r="AA70" t="s">
        <v>161</v>
      </c>
      <c r="AB70" t="s">
        <v>11</v>
      </c>
      <c r="AC70" t="s">
        <v>11</v>
      </c>
      <c r="AD70" t="s">
        <v>11</v>
      </c>
      <c r="AE70" s="2">
        <v>45935</v>
      </c>
      <c r="AF70" s="2">
        <v>45974</v>
      </c>
      <c r="AG70" t="s">
        <v>39</v>
      </c>
      <c r="AH70" s="14" t="e">
        <f>VLOOKUP(M70,'[1]INDIAN ENTERPRISES'!$D:$D,1,0)</f>
        <v>#N/A</v>
      </c>
      <c r="AI70" t="str">
        <f>VLOOKUP(M70,'[2]Invoices Not in Customer Books'!$E:$K,7,0)</f>
        <v>Invoice &amp; CN both not received &amp; booked</v>
      </c>
      <c r="AJ70" s="15" t="e">
        <f>VLOOKUP(M70,'[1]INDIAN ENTERPRISES'!$D:$L,9,0)</f>
        <v>#N/A</v>
      </c>
    </row>
    <row r="71" spans="1:36" hidden="1" outlineLevel="2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76</v>
      </c>
      <c r="G71" s="2">
        <v>45906</v>
      </c>
      <c r="H71" t="s">
        <v>170</v>
      </c>
      <c r="I71" t="s">
        <v>7</v>
      </c>
      <c r="J71" s="2">
        <v>45906</v>
      </c>
      <c r="K71" s="2">
        <v>45909</v>
      </c>
      <c r="L71" t="s">
        <v>8</v>
      </c>
      <c r="M71" s="14">
        <v>256779417093</v>
      </c>
      <c r="N71" t="s">
        <v>9</v>
      </c>
      <c r="O71" t="s">
        <v>10</v>
      </c>
      <c r="P71" t="s">
        <v>11</v>
      </c>
      <c r="Q71" t="s">
        <v>12</v>
      </c>
      <c r="R71" t="s">
        <v>13</v>
      </c>
      <c r="S71" s="3">
        <v>4608.8</v>
      </c>
      <c r="T71" t="s">
        <v>14</v>
      </c>
      <c r="U71" s="3">
        <v>403336.04</v>
      </c>
      <c r="V71" t="s">
        <v>15</v>
      </c>
      <c r="W71" t="s">
        <v>16</v>
      </c>
      <c r="X71" t="s">
        <v>11</v>
      </c>
      <c r="Y71" t="s">
        <v>8</v>
      </c>
      <c r="Z71" t="s">
        <v>17</v>
      </c>
      <c r="AA71" t="s">
        <v>171</v>
      </c>
      <c r="AB71" t="s">
        <v>11</v>
      </c>
      <c r="AC71" t="s">
        <v>11</v>
      </c>
      <c r="AD71" t="s">
        <v>11</v>
      </c>
      <c r="AE71" s="2">
        <v>45906</v>
      </c>
      <c r="AF71" s="2">
        <v>45974</v>
      </c>
      <c r="AG71" t="s">
        <v>39</v>
      </c>
      <c r="AH71" s="14" t="e">
        <f>VLOOKUP(M71,'[1]INDIAN ENTERPRISES'!$D:$D,1,0)</f>
        <v>#N/A</v>
      </c>
      <c r="AI71" t="str">
        <f>VLOOKUP(M71,'[2]Invoices Not in Customer Books'!$E:$K,7,0)</f>
        <v>Invoice &amp; CN both not received &amp; booked</v>
      </c>
      <c r="AJ71" s="15" t="e">
        <f>VLOOKUP(M71,'[1]INDIAN ENTERPRISES'!$D:$L,9,0)</f>
        <v>#N/A</v>
      </c>
    </row>
    <row r="72" spans="1:36" hidden="1" outlineLevel="2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96</v>
      </c>
      <c r="G72" s="2">
        <v>45795</v>
      </c>
      <c r="H72" t="s">
        <v>172</v>
      </c>
      <c r="I72" t="s">
        <v>7</v>
      </c>
      <c r="J72" s="2">
        <v>45795</v>
      </c>
      <c r="K72" s="2">
        <v>45805</v>
      </c>
      <c r="L72" t="s">
        <v>8</v>
      </c>
      <c r="M72" s="14">
        <v>256779413859</v>
      </c>
      <c r="N72" t="s">
        <v>9</v>
      </c>
      <c r="O72" t="s">
        <v>10</v>
      </c>
      <c r="P72" t="s">
        <v>11</v>
      </c>
      <c r="Q72" t="s">
        <v>12</v>
      </c>
      <c r="R72" t="s">
        <v>13</v>
      </c>
      <c r="S72" s="3">
        <v>413</v>
      </c>
      <c r="T72" t="s">
        <v>14</v>
      </c>
      <c r="U72" s="3">
        <v>35511.269999999997</v>
      </c>
      <c r="V72" t="s">
        <v>37</v>
      </c>
      <c r="W72" t="s">
        <v>136</v>
      </c>
      <c r="X72" t="s">
        <v>11</v>
      </c>
      <c r="Y72" t="s">
        <v>8</v>
      </c>
      <c r="Z72" t="s">
        <v>17</v>
      </c>
      <c r="AA72" t="s">
        <v>173</v>
      </c>
      <c r="AB72" t="s">
        <v>11</v>
      </c>
      <c r="AC72" t="s">
        <v>11</v>
      </c>
      <c r="AD72" t="s">
        <v>11</v>
      </c>
      <c r="AE72" s="2">
        <v>45795</v>
      </c>
      <c r="AF72" s="2">
        <v>45974</v>
      </c>
      <c r="AG72" t="s">
        <v>39</v>
      </c>
      <c r="AH72" s="14" t="e">
        <f>VLOOKUP(M72,'[1]INDIAN ENTERPRISES'!$D:$D,1,0)</f>
        <v>#N/A</v>
      </c>
      <c r="AI72" t="str">
        <f>VLOOKUP(M72,'[2]Invoices Not in Customer Books'!$E:$K,7,0)</f>
        <v>Invoice &amp; CN both not received &amp; booked</v>
      </c>
      <c r="AJ72" s="15" t="e">
        <f>VLOOKUP(M72,'[1]INDIAN ENTERPRISES'!$D:$L,9,0)</f>
        <v>#N/A</v>
      </c>
    </row>
    <row r="73" spans="1:36" hidden="1" outlineLevel="2" x14ac:dyDescent="0.25">
      <c r="A73" t="s">
        <v>20</v>
      </c>
      <c r="B73" t="s">
        <v>1</v>
      </c>
      <c r="C73" t="s">
        <v>2</v>
      </c>
      <c r="D73" t="s">
        <v>3</v>
      </c>
      <c r="E73" t="s">
        <v>174</v>
      </c>
      <c r="F73" t="s">
        <v>17</v>
      </c>
      <c r="G73" s="2">
        <v>46024</v>
      </c>
      <c r="H73" t="s">
        <v>175</v>
      </c>
      <c r="I73" t="s">
        <v>7</v>
      </c>
      <c r="J73" s="2">
        <v>46024</v>
      </c>
      <c r="K73" s="2">
        <v>46024</v>
      </c>
      <c r="L73" t="s">
        <v>8</v>
      </c>
      <c r="M73" s="14">
        <v>256779440007</v>
      </c>
      <c r="N73" t="s">
        <v>9</v>
      </c>
      <c r="O73" t="s">
        <v>10</v>
      </c>
      <c r="P73" t="s">
        <v>11</v>
      </c>
      <c r="Q73" t="s">
        <v>12</v>
      </c>
      <c r="R73" t="s">
        <v>13</v>
      </c>
      <c r="S73" s="3">
        <v>1332.49</v>
      </c>
      <c r="T73" t="s">
        <v>14</v>
      </c>
      <c r="U73" s="3">
        <v>120914.33</v>
      </c>
      <c r="V73" t="s">
        <v>15</v>
      </c>
      <c r="W73" t="s">
        <v>16</v>
      </c>
      <c r="X73" t="s">
        <v>11</v>
      </c>
      <c r="Y73" t="s">
        <v>176</v>
      </c>
      <c r="Z73" t="s">
        <v>17</v>
      </c>
      <c r="AA73" t="s">
        <v>177</v>
      </c>
      <c r="AB73" t="s">
        <v>11</v>
      </c>
      <c r="AC73" t="s">
        <v>11</v>
      </c>
      <c r="AD73" t="s">
        <v>11</v>
      </c>
      <c r="AE73" s="2">
        <v>46024</v>
      </c>
      <c r="AF73" s="2"/>
      <c r="AG73" t="s">
        <v>11</v>
      </c>
      <c r="AH73" s="14">
        <f>VLOOKUP(M73,'[1]INDIAN ENTERPRISES'!$D:$D,1,0)</f>
        <v>256779440007</v>
      </c>
      <c r="AJ73" s="15">
        <f>VLOOKUP(M73,'[1]INDIAN ENTERPRISES'!$D:$L,9,0)</f>
        <v>46075</v>
      </c>
    </row>
    <row r="74" spans="1:36" hidden="1" outlineLevel="2" x14ac:dyDescent="0.25">
      <c r="A74" t="s">
        <v>20</v>
      </c>
      <c r="B74" t="s">
        <v>1</v>
      </c>
      <c r="C74" t="s">
        <v>2</v>
      </c>
      <c r="D74" t="s">
        <v>3</v>
      </c>
      <c r="E74" t="s">
        <v>174</v>
      </c>
      <c r="F74" t="s">
        <v>17</v>
      </c>
      <c r="G74" s="2">
        <v>46027</v>
      </c>
      <c r="H74" t="s">
        <v>178</v>
      </c>
      <c r="I74" t="s">
        <v>98</v>
      </c>
      <c r="J74" s="2">
        <v>46027</v>
      </c>
      <c r="K74" s="2">
        <v>46027</v>
      </c>
      <c r="L74" t="s">
        <v>8</v>
      </c>
      <c r="M74" s="14">
        <v>256779422164</v>
      </c>
      <c r="N74" t="s">
        <v>9</v>
      </c>
      <c r="O74" t="s">
        <v>10</v>
      </c>
      <c r="P74" t="s">
        <v>11</v>
      </c>
      <c r="Q74" t="s">
        <v>42</v>
      </c>
      <c r="R74" t="s">
        <v>13</v>
      </c>
      <c r="S74" s="3">
        <v>-562.38</v>
      </c>
      <c r="T74" t="s">
        <v>14</v>
      </c>
      <c r="U74" s="3">
        <v>-51032.13</v>
      </c>
      <c r="V74" t="s">
        <v>15</v>
      </c>
      <c r="W74" t="s">
        <v>16</v>
      </c>
      <c r="X74" t="s">
        <v>11</v>
      </c>
      <c r="Y74" t="s">
        <v>179</v>
      </c>
      <c r="Z74" t="s">
        <v>17</v>
      </c>
      <c r="AA74" t="s">
        <v>180</v>
      </c>
      <c r="AB74" t="s">
        <v>11</v>
      </c>
      <c r="AC74" t="s">
        <v>11</v>
      </c>
      <c r="AD74" t="s">
        <v>11</v>
      </c>
      <c r="AE74" s="2">
        <v>46027</v>
      </c>
      <c r="AF74" s="2"/>
      <c r="AG74" t="s">
        <v>11</v>
      </c>
      <c r="AH74" s="14" t="e">
        <f>VLOOKUP(M74,'[1]INDIAN ENTERPRISES'!$D:$D,1,0)</f>
        <v>#N/A</v>
      </c>
      <c r="AI74" t="str">
        <f>VLOOKUP(M74,'[2]CN Not in Customer books'!$D:$J,7,0)</f>
        <v>Invoice &amp; CN both not received &amp; booked</v>
      </c>
      <c r="AJ74" s="15" t="e">
        <f>VLOOKUP(M74,'[1]INDIAN ENTERPRISES'!$D:$L,9,0)</f>
        <v>#N/A</v>
      </c>
    </row>
    <row r="75" spans="1:36" hidden="1" outlineLevel="2" x14ac:dyDescent="0.25">
      <c r="A75" t="s">
        <v>20</v>
      </c>
      <c r="B75" t="s">
        <v>1</v>
      </c>
      <c r="C75" t="s">
        <v>2</v>
      </c>
      <c r="D75" t="s">
        <v>3</v>
      </c>
      <c r="E75" t="s">
        <v>174</v>
      </c>
      <c r="F75" t="s">
        <v>17</v>
      </c>
      <c r="G75" s="2">
        <v>46027</v>
      </c>
      <c r="H75" t="s">
        <v>181</v>
      </c>
      <c r="I75" t="s">
        <v>98</v>
      </c>
      <c r="J75" s="2">
        <v>46027</v>
      </c>
      <c r="K75" s="2">
        <v>46027</v>
      </c>
      <c r="L75" t="s">
        <v>8</v>
      </c>
      <c r="M75" s="14">
        <v>256779422170</v>
      </c>
      <c r="N75" t="s">
        <v>9</v>
      </c>
      <c r="O75" t="s">
        <v>10</v>
      </c>
      <c r="P75" t="s">
        <v>11</v>
      </c>
      <c r="Q75" t="s">
        <v>42</v>
      </c>
      <c r="R75" t="s">
        <v>13</v>
      </c>
      <c r="S75" s="3">
        <v>-13.59</v>
      </c>
      <c r="T75" t="s">
        <v>14</v>
      </c>
      <c r="U75" s="3">
        <v>-1233.2</v>
      </c>
      <c r="V75" t="s">
        <v>15</v>
      </c>
      <c r="W75" t="s">
        <v>16</v>
      </c>
      <c r="X75" t="s">
        <v>11</v>
      </c>
      <c r="Y75" t="s">
        <v>179</v>
      </c>
      <c r="Z75" t="s">
        <v>17</v>
      </c>
      <c r="AA75" t="s">
        <v>182</v>
      </c>
      <c r="AB75" t="s">
        <v>11</v>
      </c>
      <c r="AC75" t="s">
        <v>11</v>
      </c>
      <c r="AD75" t="s">
        <v>11</v>
      </c>
      <c r="AE75" s="2">
        <v>46027</v>
      </c>
      <c r="AF75" s="2"/>
      <c r="AG75" t="s">
        <v>11</v>
      </c>
      <c r="AH75" s="14" t="e">
        <f>VLOOKUP(M75,'[1]INDIAN ENTERPRISES'!$D:$D,1,0)</f>
        <v>#N/A</v>
      </c>
      <c r="AI75" t="str">
        <f>VLOOKUP(M75,'[2]CN Not in Customer books'!$D:$J,7,0)</f>
        <v>Invoice &amp; CN both not received &amp; booked</v>
      </c>
      <c r="AJ75" s="15" t="e">
        <f>VLOOKUP(M75,'[1]INDIAN ENTERPRISES'!$D:$L,9,0)</f>
        <v>#N/A</v>
      </c>
    </row>
    <row r="76" spans="1:36" hidden="1" outlineLevel="2" x14ac:dyDescent="0.25">
      <c r="A76" t="s">
        <v>20</v>
      </c>
      <c r="B76" t="s">
        <v>1</v>
      </c>
      <c r="C76" t="s">
        <v>2</v>
      </c>
      <c r="D76" t="s">
        <v>3</v>
      </c>
      <c r="E76" t="s">
        <v>174</v>
      </c>
      <c r="F76" t="s">
        <v>17</v>
      </c>
      <c r="G76" s="2">
        <v>46027</v>
      </c>
      <c r="H76" t="s">
        <v>183</v>
      </c>
      <c r="I76" t="s">
        <v>7</v>
      </c>
      <c r="J76" s="2">
        <v>46027</v>
      </c>
      <c r="K76" s="2">
        <v>46027</v>
      </c>
      <c r="L76" t="s">
        <v>8</v>
      </c>
      <c r="M76" s="14">
        <v>256779440060</v>
      </c>
      <c r="N76" t="s">
        <v>9</v>
      </c>
      <c r="O76" t="s">
        <v>10</v>
      </c>
      <c r="P76" t="s">
        <v>11</v>
      </c>
      <c r="Q76" t="s">
        <v>12</v>
      </c>
      <c r="R76" t="s">
        <v>13</v>
      </c>
      <c r="S76" s="3">
        <v>198.57</v>
      </c>
      <c r="T76" t="s">
        <v>14</v>
      </c>
      <c r="U76" s="3">
        <v>18018.87</v>
      </c>
      <c r="V76" t="s">
        <v>15</v>
      </c>
      <c r="W76" t="s">
        <v>16</v>
      </c>
      <c r="X76" t="s">
        <v>11</v>
      </c>
      <c r="Y76" t="s">
        <v>184</v>
      </c>
      <c r="Z76" t="s">
        <v>17</v>
      </c>
      <c r="AA76" t="s">
        <v>185</v>
      </c>
      <c r="AB76" t="s">
        <v>11</v>
      </c>
      <c r="AC76" t="s">
        <v>11</v>
      </c>
      <c r="AD76" t="s">
        <v>11</v>
      </c>
      <c r="AE76" s="2">
        <v>46027</v>
      </c>
      <c r="AF76" s="2"/>
      <c r="AG76" t="s">
        <v>11</v>
      </c>
      <c r="AH76" s="14">
        <f>VLOOKUP(M76,'[1]INDIAN ENTERPRISES'!$D:$D,1,0)</f>
        <v>256779440060</v>
      </c>
      <c r="AJ76" s="15">
        <f>VLOOKUP(M76,'[1]INDIAN ENTERPRISES'!$D:$L,9,0)</f>
        <v>46075</v>
      </c>
    </row>
    <row r="77" spans="1:36" hidden="1" outlineLevel="2" x14ac:dyDescent="0.25">
      <c r="A77" t="s">
        <v>20</v>
      </c>
      <c r="B77" t="s">
        <v>1</v>
      </c>
      <c r="C77" t="s">
        <v>2</v>
      </c>
      <c r="D77" t="s">
        <v>3</v>
      </c>
      <c r="E77" t="s">
        <v>174</v>
      </c>
      <c r="F77" t="s">
        <v>17</v>
      </c>
      <c r="G77" s="2">
        <v>46027</v>
      </c>
      <c r="H77" t="s">
        <v>186</v>
      </c>
      <c r="I77" t="s">
        <v>7</v>
      </c>
      <c r="J77" s="2">
        <v>46027</v>
      </c>
      <c r="K77" s="2">
        <v>46027</v>
      </c>
      <c r="L77" t="s">
        <v>8</v>
      </c>
      <c r="M77" s="14">
        <v>256779440067</v>
      </c>
      <c r="N77" t="s">
        <v>9</v>
      </c>
      <c r="O77" t="s">
        <v>10</v>
      </c>
      <c r="P77" t="s">
        <v>11</v>
      </c>
      <c r="Q77" t="s">
        <v>12</v>
      </c>
      <c r="R77" t="s">
        <v>13</v>
      </c>
      <c r="S77" s="3">
        <v>100.07</v>
      </c>
      <c r="T77" t="s">
        <v>14</v>
      </c>
      <c r="U77" s="3">
        <v>9080.67</v>
      </c>
      <c r="V77" t="s">
        <v>15</v>
      </c>
      <c r="W77" t="s">
        <v>16</v>
      </c>
      <c r="X77" t="s">
        <v>11</v>
      </c>
      <c r="Y77" t="s">
        <v>187</v>
      </c>
      <c r="Z77" t="s">
        <v>17</v>
      </c>
      <c r="AA77" t="s">
        <v>188</v>
      </c>
      <c r="AB77" t="s">
        <v>11</v>
      </c>
      <c r="AC77" t="s">
        <v>11</v>
      </c>
      <c r="AD77" t="s">
        <v>11</v>
      </c>
      <c r="AE77" s="2">
        <v>46027</v>
      </c>
      <c r="AF77" s="2"/>
      <c r="AG77" t="s">
        <v>11</v>
      </c>
      <c r="AH77" s="14">
        <f>VLOOKUP(M77,'[1]INDIAN ENTERPRISES'!$D:$D,1,0)</f>
        <v>256779440067</v>
      </c>
      <c r="AJ77" s="15">
        <f>VLOOKUP(M77,'[1]INDIAN ENTERPRISES'!$D:$L,9,0)</f>
        <v>46075</v>
      </c>
    </row>
    <row r="78" spans="1:36" hidden="1" outlineLevel="2" x14ac:dyDescent="0.25">
      <c r="A78" t="s">
        <v>20</v>
      </c>
      <c r="B78" t="s">
        <v>1</v>
      </c>
      <c r="C78" t="s">
        <v>2</v>
      </c>
      <c r="D78" t="s">
        <v>3</v>
      </c>
      <c r="E78" t="s">
        <v>174</v>
      </c>
      <c r="F78" t="s">
        <v>17</v>
      </c>
      <c r="G78" s="2">
        <v>46027</v>
      </c>
      <c r="H78" t="s">
        <v>189</v>
      </c>
      <c r="I78" t="s">
        <v>7</v>
      </c>
      <c r="J78" s="2">
        <v>46027</v>
      </c>
      <c r="K78" s="2">
        <v>46027</v>
      </c>
      <c r="L78" t="s">
        <v>190</v>
      </c>
      <c r="M78" s="14">
        <v>256779440078</v>
      </c>
      <c r="N78" t="s">
        <v>9</v>
      </c>
      <c r="O78" t="s">
        <v>10</v>
      </c>
      <c r="P78" t="s">
        <v>11</v>
      </c>
      <c r="Q78" t="s">
        <v>12</v>
      </c>
      <c r="R78" t="s">
        <v>13</v>
      </c>
      <c r="S78" s="3">
        <v>78.75</v>
      </c>
      <c r="T78" t="s">
        <v>14</v>
      </c>
      <c r="U78" s="3">
        <v>7146.02</v>
      </c>
      <c r="V78" t="s">
        <v>15</v>
      </c>
      <c r="W78" t="s">
        <v>16</v>
      </c>
      <c r="X78" t="s">
        <v>11</v>
      </c>
      <c r="Y78" t="s">
        <v>8</v>
      </c>
      <c r="Z78" t="s">
        <v>17</v>
      </c>
      <c r="AA78" t="s">
        <v>191</v>
      </c>
      <c r="AB78" t="s">
        <v>11</v>
      </c>
      <c r="AC78" t="s">
        <v>11</v>
      </c>
      <c r="AD78" t="s">
        <v>11</v>
      </c>
      <c r="AE78" s="2">
        <v>46027</v>
      </c>
      <c r="AF78" s="2"/>
      <c r="AG78" t="s">
        <v>11</v>
      </c>
      <c r="AH78" s="14" t="e">
        <f>VLOOKUP(M78,'[1]INDIAN ENTERPRISES'!$D:$D,1,0)</f>
        <v>#N/A</v>
      </c>
      <c r="AI78" t="str">
        <f>VLOOKUP(M78,'[2]Invoices Not in Customer Books'!$E:$K,7,0)</f>
        <v>Invoice not received</v>
      </c>
      <c r="AJ78" s="15" t="e">
        <f>VLOOKUP(M78,'[1]INDIAN ENTERPRISES'!$D:$L,9,0)</f>
        <v>#N/A</v>
      </c>
    </row>
    <row r="79" spans="1:36" hidden="1" outlineLevel="2" x14ac:dyDescent="0.25">
      <c r="A79" t="s">
        <v>20</v>
      </c>
      <c r="B79" t="s">
        <v>1</v>
      </c>
      <c r="C79" t="s">
        <v>2</v>
      </c>
      <c r="D79" t="s">
        <v>3</v>
      </c>
      <c r="E79" t="s">
        <v>174</v>
      </c>
      <c r="F79" t="s">
        <v>17</v>
      </c>
      <c r="G79" s="2">
        <v>46027</v>
      </c>
      <c r="H79" t="s">
        <v>192</v>
      </c>
      <c r="I79" t="s">
        <v>7</v>
      </c>
      <c r="J79" s="2">
        <v>46027</v>
      </c>
      <c r="K79" s="2">
        <v>46027</v>
      </c>
      <c r="L79" t="s">
        <v>193</v>
      </c>
      <c r="M79" s="14">
        <v>256779440116</v>
      </c>
      <c r="N79" t="s">
        <v>9</v>
      </c>
      <c r="O79" t="s">
        <v>10</v>
      </c>
      <c r="P79" t="s">
        <v>11</v>
      </c>
      <c r="Q79" t="s">
        <v>12</v>
      </c>
      <c r="R79" t="s">
        <v>13</v>
      </c>
      <c r="S79" s="3">
        <v>498.28</v>
      </c>
      <c r="T79" t="s">
        <v>14</v>
      </c>
      <c r="U79" s="3">
        <v>45215.49</v>
      </c>
      <c r="V79" t="s">
        <v>15</v>
      </c>
      <c r="W79" t="s">
        <v>16</v>
      </c>
      <c r="X79" t="s">
        <v>11</v>
      </c>
      <c r="Y79" t="s">
        <v>8</v>
      </c>
      <c r="Z79" t="s">
        <v>17</v>
      </c>
      <c r="AA79" t="s">
        <v>194</v>
      </c>
      <c r="AB79" t="s">
        <v>11</v>
      </c>
      <c r="AC79" t="s">
        <v>11</v>
      </c>
      <c r="AD79" t="s">
        <v>11</v>
      </c>
      <c r="AE79" s="2">
        <v>46027</v>
      </c>
      <c r="AF79" s="2"/>
      <c r="AG79" t="s">
        <v>11</v>
      </c>
      <c r="AH79" s="14">
        <f>VLOOKUP(M79,'[1]INDIAN ENTERPRISES'!$D:$D,1,0)</f>
        <v>256779440116</v>
      </c>
      <c r="AJ79" s="15">
        <f>VLOOKUP(M79,'[1]INDIAN ENTERPRISES'!$D:$L,9,0)</f>
        <v>46075</v>
      </c>
    </row>
    <row r="80" spans="1:36" outlineLevel="2" x14ac:dyDescent="0.25">
      <c r="A80" t="s">
        <v>20</v>
      </c>
      <c r="B80" t="s">
        <v>1</v>
      </c>
      <c r="C80" t="s">
        <v>2</v>
      </c>
      <c r="D80" t="s">
        <v>3</v>
      </c>
      <c r="E80" t="s">
        <v>174</v>
      </c>
      <c r="F80" t="s">
        <v>17</v>
      </c>
      <c r="G80" s="2">
        <v>46030</v>
      </c>
      <c r="H80" t="s">
        <v>195</v>
      </c>
      <c r="I80" t="s">
        <v>196</v>
      </c>
      <c r="J80" s="2">
        <v>46030</v>
      </c>
      <c r="K80" s="2">
        <v>46030</v>
      </c>
      <c r="L80" t="s">
        <v>197</v>
      </c>
      <c r="M80" t="s">
        <v>11</v>
      </c>
      <c r="N80" t="s">
        <v>9</v>
      </c>
      <c r="O80" t="s">
        <v>10</v>
      </c>
      <c r="P80" t="s">
        <v>11</v>
      </c>
      <c r="Q80" t="s">
        <v>198</v>
      </c>
      <c r="R80" t="s">
        <v>14</v>
      </c>
      <c r="S80" s="3">
        <v>-719881.09</v>
      </c>
      <c r="T80" t="s">
        <v>14</v>
      </c>
      <c r="U80" s="3">
        <v>-719881.09</v>
      </c>
      <c r="V80" t="s">
        <v>11</v>
      </c>
      <c r="W80" t="s">
        <v>199</v>
      </c>
      <c r="X80" t="s">
        <v>11</v>
      </c>
      <c r="Y80" t="s">
        <v>11</v>
      </c>
      <c r="Z80" t="s">
        <v>200</v>
      </c>
      <c r="AA80" t="s">
        <v>11</v>
      </c>
      <c r="AB80" t="s">
        <v>11</v>
      </c>
      <c r="AC80" t="s">
        <v>11</v>
      </c>
      <c r="AD80" t="s">
        <v>11</v>
      </c>
      <c r="AE80" s="2">
        <v>46030</v>
      </c>
      <c r="AF80" s="2"/>
      <c r="AG80" t="s">
        <v>11</v>
      </c>
    </row>
    <row r="81" spans="1:36" hidden="1" outlineLevel="2" x14ac:dyDescent="0.25">
      <c r="A81" t="s">
        <v>20</v>
      </c>
      <c r="B81" t="s">
        <v>1</v>
      </c>
      <c r="C81" t="s">
        <v>2</v>
      </c>
      <c r="D81" t="s">
        <v>3</v>
      </c>
      <c r="E81" t="s">
        <v>174</v>
      </c>
      <c r="F81" t="s">
        <v>17</v>
      </c>
      <c r="G81" s="2">
        <v>46031</v>
      </c>
      <c r="H81" t="s">
        <v>201</v>
      </c>
      <c r="I81" t="s">
        <v>7</v>
      </c>
      <c r="J81" s="2">
        <v>46031</v>
      </c>
      <c r="K81" s="2">
        <v>46031</v>
      </c>
      <c r="L81" t="s">
        <v>8</v>
      </c>
      <c r="M81" s="14">
        <v>256779440126</v>
      </c>
      <c r="N81" t="s">
        <v>9</v>
      </c>
      <c r="O81" t="s">
        <v>10</v>
      </c>
      <c r="P81" t="s">
        <v>11</v>
      </c>
      <c r="Q81" t="s">
        <v>12</v>
      </c>
      <c r="R81" t="s">
        <v>13</v>
      </c>
      <c r="S81" s="3">
        <v>122.48</v>
      </c>
      <c r="T81" t="s">
        <v>14</v>
      </c>
      <c r="U81" s="3">
        <v>11114.22</v>
      </c>
      <c r="V81" t="s">
        <v>15</v>
      </c>
      <c r="W81" t="s">
        <v>16</v>
      </c>
      <c r="X81" t="s">
        <v>11</v>
      </c>
      <c r="Y81" t="s">
        <v>8</v>
      </c>
      <c r="Z81" t="s">
        <v>17</v>
      </c>
      <c r="AA81" t="s">
        <v>50</v>
      </c>
      <c r="AB81" t="s">
        <v>11</v>
      </c>
      <c r="AC81" t="s">
        <v>11</v>
      </c>
      <c r="AD81" t="s">
        <v>11</v>
      </c>
      <c r="AE81" s="2">
        <v>46031</v>
      </c>
      <c r="AF81" s="2"/>
      <c r="AG81" t="s">
        <v>11</v>
      </c>
      <c r="AH81" s="14">
        <f>VLOOKUP(M81,'[1]INDIAN ENTERPRISES'!$D:$D,1,0)</f>
        <v>256779440126</v>
      </c>
      <c r="AJ81" s="15">
        <f>VLOOKUP(M81,'[1]INDIAN ENTERPRISES'!$D:$L,9,0)</f>
        <v>46075</v>
      </c>
    </row>
    <row r="82" spans="1:36" hidden="1" outlineLevel="2" x14ac:dyDescent="0.25">
      <c r="A82" t="s">
        <v>20</v>
      </c>
      <c r="B82" t="s">
        <v>1</v>
      </c>
      <c r="C82" t="s">
        <v>2</v>
      </c>
      <c r="D82" t="s">
        <v>3</v>
      </c>
      <c r="E82" t="s">
        <v>174</v>
      </c>
      <c r="F82" t="s">
        <v>17</v>
      </c>
      <c r="G82" s="2">
        <v>46031</v>
      </c>
      <c r="H82" t="s">
        <v>202</v>
      </c>
      <c r="I82" t="s">
        <v>7</v>
      </c>
      <c r="J82" s="2">
        <v>46031</v>
      </c>
      <c r="K82" s="2">
        <v>46031</v>
      </c>
      <c r="L82" t="s">
        <v>8</v>
      </c>
      <c r="M82" s="14">
        <v>256779440136</v>
      </c>
      <c r="N82" t="s">
        <v>9</v>
      </c>
      <c r="O82" t="s">
        <v>10</v>
      </c>
      <c r="P82" t="s">
        <v>11</v>
      </c>
      <c r="Q82" t="s">
        <v>12</v>
      </c>
      <c r="R82" t="s">
        <v>13</v>
      </c>
      <c r="S82" s="3">
        <v>27.81</v>
      </c>
      <c r="T82" t="s">
        <v>14</v>
      </c>
      <c r="U82" s="3">
        <v>2523.5700000000002</v>
      </c>
      <c r="V82" t="s">
        <v>15</v>
      </c>
      <c r="W82" t="s">
        <v>16</v>
      </c>
      <c r="X82" t="s">
        <v>11</v>
      </c>
      <c r="Y82" t="s">
        <v>203</v>
      </c>
      <c r="Z82" t="s">
        <v>17</v>
      </c>
      <c r="AA82" t="s">
        <v>204</v>
      </c>
      <c r="AB82" t="s">
        <v>11</v>
      </c>
      <c r="AC82" t="s">
        <v>11</v>
      </c>
      <c r="AD82" t="s">
        <v>11</v>
      </c>
      <c r="AE82" s="2">
        <v>46031</v>
      </c>
      <c r="AF82" s="2"/>
      <c r="AG82" t="s">
        <v>11</v>
      </c>
      <c r="AH82" s="14">
        <f>VLOOKUP(M82,'[1]INDIAN ENTERPRISES'!$D:$D,1,0)</f>
        <v>256779440136</v>
      </c>
      <c r="AJ82" s="15">
        <f>VLOOKUP(M82,'[1]INDIAN ENTERPRISES'!$D:$L,9,0)</f>
        <v>46075</v>
      </c>
    </row>
    <row r="83" spans="1:36" hidden="1" outlineLevel="2" x14ac:dyDescent="0.25">
      <c r="A83" t="s">
        <v>20</v>
      </c>
      <c r="B83" t="s">
        <v>1</v>
      </c>
      <c r="C83" t="s">
        <v>2</v>
      </c>
      <c r="D83" t="s">
        <v>3</v>
      </c>
      <c r="E83" t="s">
        <v>174</v>
      </c>
      <c r="F83" t="s">
        <v>17</v>
      </c>
      <c r="G83" s="2">
        <v>46028</v>
      </c>
      <c r="H83" t="s">
        <v>205</v>
      </c>
      <c r="I83" t="s">
        <v>7</v>
      </c>
      <c r="J83" s="2">
        <v>46028</v>
      </c>
      <c r="K83" s="2">
        <v>46031</v>
      </c>
      <c r="L83" t="s">
        <v>206</v>
      </c>
      <c r="M83" s="14">
        <v>256779440150</v>
      </c>
      <c r="N83" t="s">
        <v>9</v>
      </c>
      <c r="O83" t="s">
        <v>10</v>
      </c>
      <c r="P83" t="s">
        <v>11</v>
      </c>
      <c r="Q83" t="s">
        <v>12</v>
      </c>
      <c r="R83" t="s">
        <v>13</v>
      </c>
      <c r="S83" s="3">
        <v>112.85</v>
      </c>
      <c r="T83" t="s">
        <v>14</v>
      </c>
      <c r="U83" s="3">
        <v>10240.36</v>
      </c>
      <c r="V83" t="s">
        <v>15</v>
      </c>
      <c r="W83" t="s">
        <v>16</v>
      </c>
      <c r="X83" t="s">
        <v>11</v>
      </c>
      <c r="Y83" t="s">
        <v>8</v>
      </c>
      <c r="Z83" t="s">
        <v>17</v>
      </c>
      <c r="AA83" t="s">
        <v>207</v>
      </c>
      <c r="AB83" t="s">
        <v>11</v>
      </c>
      <c r="AC83" t="s">
        <v>11</v>
      </c>
      <c r="AD83" t="s">
        <v>11</v>
      </c>
      <c r="AE83" s="2">
        <v>46028</v>
      </c>
      <c r="AF83" s="2"/>
      <c r="AG83" t="s">
        <v>11</v>
      </c>
      <c r="AH83" s="14">
        <f>VLOOKUP(M83,'[1]INDIAN ENTERPRISES'!$D:$D,1,0)</f>
        <v>256779440150</v>
      </c>
      <c r="AJ83" s="15">
        <f>VLOOKUP(M83,'[1]INDIAN ENTERPRISES'!$D:$L,9,0)</f>
        <v>46075</v>
      </c>
    </row>
    <row r="84" spans="1:36" hidden="1" outlineLevel="2" x14ac:dyDescent="0.25">
      <c r="A84" t="s">
        <v>20</v>
      </c>
      <c r="B84" t="s">
        <v>1</v>
      </c>
      <c r="C84" t="s">
        <v>2</v>
      </c>
      <c r="D84" t="s">
        <v>3</v>
      </c>
      <c r="E84" t="s">
        <v>174</v>
      </c>
      <c r="F84" t="s">
        <v>17</v>
      </c>
      <c r="G84" s="2">
        <v>46028</v>
      </c>
      <c r="H84" t="s">
        <v>208</v>
      </c>
      <c r="I84" t="s">
        <v>7</v>
      </c>
      <c r="J84" s="2">
        <v>46028</v>
      </c>
      <c r="K84" s="2">
        <v>46031</v>
      </c>
      <c r="L84" t="s">
        <v>209</v>
      </c>
      <c r="M84" s="14">
        <v>256779440159</v>
      </c>
      <c r="N84" t="s">
        <v>9</v>
      </c>
      <c r="O84" t="s">
        <v>10</v>
      </c>
      <c r="P84" t="s">
        <v>11</v>
      </c>
      <c r="Q84" t="s">
        <v>12</v>
      </c>
      <c r="R84" t="s">
        <v>13</v>
      </c>
      <c r="S84" s="3">
        <v>160.22</v>
      </c>
      <c r="T84" t="s">
        <v>14</v>
      </c>
      <c r="U84" s="3">
        <v>14538.87</v>
      </c>
      <c r="V84" t="s">
        <v>15</v>
      </c>
      <c r="W84" t="s">
        <v>16</v>
      </c>
      <c r="X84" t="s">
        <v>11</v>
      </c>
      <c r="Y84" t="s">
        <v>8</v>
      </c>
      <c r="Z84" t="s">
        <v>17</v>
      </c>
      <c r="AA84" t="s">
        <v>210</v>
      </c>
      <c r="AB84" t="s">
        <v>11</v>
      </c>
      <c r="AC84" t="s">
        <v>11</v>
      </c>
      <c r="AD84" t="s">
        <v>11</v>
      </c>
      <c r="AE84" s="2">
        <v>46028</v>
      </c>
      <c r="AF84" s="2"/>
      <c r="AG84" t="s">
        <v>11</v>
      </c>
      <c r="AH84" s="14">
        <f>VLOOKUP(M84,'[1]INDIAN ENTERPRISES'!$D:$D,1,0)</f>
        <v>256779440159</v>
      </c>
      <c r="AJ84" s="15">
        <f>VLOOKUP(M84,'[1]INDIAN ENTERPRISES'!$D:$L,9,0)</f>
        <v>46075</v>
      </c>
    </row>
    <row r="85" spans="1:36" hidden="1" outlineLevel="2" x14ac:dyDescent="0.25">
      <c r="A85" t="s">
        <v>20</v>
      </c>
      <c r="B85" t="s">
        <v>1</v>
      </c>
      <c r="C85" t="s">
        <v>2</v>
      </c>
      <c r="D85" t="s">
        <v>3</v>
      </c>
      <c r="E85" t="s">
        <v>174</v>
      </c>
      <c r="F85" t="s">
        <v>17</v>
      </c>
      <c r="G85" s="2">
        <v>46028</v>
      </c>
      <c r="H85" t="s">
        <v>211</v>
      </c>
      <c r="I85" t="s">
        <v>7</v>
      </c>
      <c r="J85" s="2">
        <v>46028</v>
      </c>
      <c r="K85" s="2">
        <v>46034</v>
      </c>
      <c r="L85" t="s">
        <v>212</v>
      </c>
      <c r="M85" s="14">
        <v>256779440208</v>
      </c>
      <c r="N85" t="s">
        <v>9</v>
      </c>
      <c r="O85" t="s">
        <v>10</v>
      </c>
      <c r="P85" t="s">
        <v>11</v>
      </c>
      <c r="Q85" t="s">
        <v>12</v>
      </c>
      <c r="R85" t="s">
        <v>13</v>
      </c>
      <c r="S85" s="3">
        <v>650.12</v>
      </c>
      <c r="T85" t="s">
        <v>14</v>
      </c>
      <c r="U85" s="3">
        <v>58993.93</v>
      </c>
      <c r="V85" t="s">
        <v>15</v>
      </c>
      <c r="W85" t="s">
        <v>16</v>
      </c>
      <c r="X85" t="s">
        <v>11</v>
      </c>
      <c r="Y85" t="s">
        <v>8</v>
      </c>
      <c r="Z85" t="s">
        <v>17</v>
      </c>
      <c r="AA85" t="s">
        <v>213</v>
      </c>
      <c r="AB85" t="s">
        <v>11</v>
      </c>
      <c r="AC85" t="s">
        <v>11</v>
      </c>
      <c r="AD85" t="s">
        <v>11</v>
      </c>
      <c r="AE85" s="2">
        <v>46028</v>
      </c>
      <c r="AF85" s="2"/>
      <c r="AG85" t="s">
        <v>11</v>
      </c>
      <c r="AH85" s="14">
        <f>VLOOKUP(M85,'[1]INDIAN ENTERPRISES'!$D:$D,1,0)</f>
        <v>256779440208</v>
      </c>
      <c r="AJ85" s="15">
        <f>VLOOKUP(M85,'[1]INDIAN ENTERPRISES'!$D:$L,9,0)</f>
        <v>46075</v>
      </c>
    </row>
    <row r="86" spans="1:36" hidden="1" outlineLevel="2" x14ac:dyDescent="0.25">
      <c r="A86" t="s">
        <v>20</v>
      </c>
      <c r="B86" t="s">
        <v>1</v>
      </c>
      <c r="C86" t="s">
        <v>2</v>
      </c>
      <c r="D86" t="s">
        <v>3</v>
      </c>
      <c r="E86" t="s">
        <v>174</v>
      </c>
      <c r="F86" t="s">
        <v>17</v>
      </c>
      <c r="G86" s="2">
        <v>46034</v>
      </c>
      <c r="H86" t="s">
        <v>214</v>
      </c>
      <c r="I86" t="s">
        <v>7</v>
      </c>
      <c r="J86" s="2">
        <v>46034</v>
      </c>
      <c r="K86" s="2">
        <v>46034</v>
      </c>
      <c r="L86" t="s">
        <v>215</v>
      </c>
      <c r="M86" s="14">
        <v>256779440227</v>
      </c>
      <c r="N86" t="s">
        <v>9</v>
      </c>
      <c r="O86" t="s">
        <v>10</v>
      </c>
      <c r="P86" t="s">
        <v>11</v>
      </c>
      <c r="Q86" t="s">
        <v>12</v>
      </c>
      <c r="R86" t="s">
        <v>13</v>
      </c>
      <c r="S86" s="3">
        <v>304.07</v>
      </c>
      <c r="T86" t="s">
        <v>14</v>
      </c>
      <c r="U86" s="3">
        <v>27592.27</v>
      </c>
      <c r="V86" t="s">
        <v>15</v>
      </c>
      <c r="W86" t="s">
        <v>16</v>
      </c>
      <c r="X86" t="s">
        <v>11</v>
      </c>
      <c r="Y86" t="s">
        <v>8</v>
      </c>
      <c r="Z86" t="s">
        <v>17</v>
      </c>
      <c r="AA86" t="s">
        <v>216</v>
      </c>
      <c r="AB86" t="s">
        <v>11</v>
      </c>
      <c r="AC86" t="s">
        <v>11</v>
      </c>
      <c r="AD86" t="s">
        <v>11</v>
      </c>
      <c r="AE86" s="2">
        <v>46034</v>
      </c>
      <c r="AF86" s="2"/>
      <c r="AG86" t="s">
        <v>11</v>
      </c>
      <c r="AH86" s="14">
        <f>VLOOKUP(M86,'[1]INDIAN ENTERPRISES'!$D:$D,1,0)</f>
        <v>256779440227</v>
      </c>
      <c r="AJ86" s="15">
        <f>VLOOKUP(M86,'[1]INDIAN ENTERPRISES'!$D:$L,9,0)</f>
        <v>46075</v>
      </c>
    </row>
    <row r="87" spans="1:36" hidden="1" outlineLevel="2" x14ac:dyDescent="0.25">
      <c r="A87" t="s">
        <v>20</v>
      </c>
      <c r="B87" t="s">
        <v>1</v>
      </c>
      <c r="C87" t="s">
        <v>2</v>
      </c>
      <c r="D87" t="s">
        <v>3</v>
      </c>
      <c r="E87" t="s">
        <v>174</v>
      </c>
      <c r="F87" t="s">
        <v>17</v>
      </c>
      <c r="G87" s="2">
        <v>46028</v>
      </c>
      <c r="H87" t="s">
        <v>217</v>
      </c>
      <c r="I87" t="s">
        <v>7</v>
      </c>
      <c r="J87" s="2">
        <v>46028</v>
      </c>
      <c r="K87" s="2">
        <v>46034</v>
      </c>
      <c r="L87" t="s">
        <v>218</v>
      </c>
      <c r="M87" s="14">
        <v>256779440238</v>
      </c>
      <c r="N87" t="s">
        <v>9</v>
      </c>
      <c r="O87" t="s">
        <v>10</v>
      </c>
      <c r="P87" t="s">
        <v>11</v>
      </c>
      <c r="Q87" t="s">
        <v>12</v>
      </c>
      <c r="R87" t="s">
        <v>13</v>
      </c>
      <c r="S87" s="3">
        <v>1083.58</v>
      </c>
      <c r="T87" t="s">
        <v>14</v>
      </c>
      <c r="U87" s="3">
        <v>98327.45</v>
      </c>
      <c r="V87" t="s">
        <v>15</v>
      </c>
      <c r="W87" t="s">
        <v>16</v>
      </c>
      <c r="X87" t="s">
        <v>11</v>
      </c>
      <c r="Y87" t="s">
        <v>8</v>
      </c>
      <c r="Z87" t="s">
        <v>17</v>
      </c>
      <c r="AA87" t="s">
        <v>219</v>
      </c>
      <c r="AB87" t="s">
        <v>11</v>
      </c>
      <c r="AC87" t="s">
        <v>11</v>
      </c>
      <c r="AD87" t="s">
        <v>11</v>
      </c>
      <c r="AE87" s="2">
        <v>46028</v>
      </c>
      <c r="AF87" s="2"/>
      <c r="AG87" t="s">
        <v>11</v>
      </c>
      <c r="AH87" s="14">
        <f>VLOOKUP(M87,'[1]INDIAN ENTERPRISES'!$D:$D,1,0)</f>
        <v>256779440238</v>
      </c>
      <c r="AJ87" s="15">
        <f>VLOOKUP(M87,'[1]INDIAN ENTERPRISES'!$D:$L,9,0)</f>
        <v>46075</v>
      </c>
    </row>
    <row r="88" spans="1:36" hidden="1" outlineLevel="2" x14ac:dyDescent="0.25">
      <c r="A88" t="s">
        <v>20</v>
      </c>
      <c r="B88" t="s">
        <v>1</v>
      </c>
      <c r="C88" t="s">
        <v>2</v>
      </c>
      <c r="D88" t="s">
        <v>3</v>
      </c>
      <c r="E88" t="s">
        <v>174</v>
      </c>
      <c r="F88" t="s">
        <v>17</v>
      </c>
      <c r="G88" s="2">
        <v>46034</v>
      </c>
      <c r="H88" t="s">
        <v>220</v>
      </c>
      <c r="I88" t="s">
        <v>7</v>
      </c>
      <c r="J88" s="2">
        <v>46034</v>
      </c>
      <c r="K88" s="2">
        <v>46035</v>
      </c>
      <c r="L88" t="s">
        <v>221</v>
      </c>
      <c r="M88" s="14">
        <v>256779440285</v>
      </c>
      <c r="N88" t="s">
        <v>9</v>
      </c>
      <c r="O88" t="s">
        <v>10</v>
      </c>
      <c r="P88" t="s">
        <v>11</v>
      </c>
      <c r="Q88" t="s">
        <v>12</v>
      </c>
      <c r="R88" t="s">
        <v>13</v>
      </c>
      <c r="S88" s="3">
        <v>535.29</v>
      </c>
      <c r="T88" t="s">
        <v>14</v>
      </c>
      <c r="U88" s="3">
        <v>48573.9</v>
      </c>
      <c r="V88" t="s">
        <v>15</v>
      </c>
      <c r="W88" t="s">
        <v>16</v>
      </c>
      <c r="X88" t="s">
        <v>11</v>
      </c>
      <c r="Y88" t="s">
        <v>8</v>
      </c>
      <c r="Z88" t="s">
        <v>17</v>
      </c>
      <c r="AA88" t="s">
        <v>222</v>
      </c>
      <c r="AB88" t="s">
        <v>11</v>
      </c>
      <c r="AC88" t="s">
        <v>11</v>
      </c>
      <c r="AD88" t="s">
        <v>11</v>
      </c>
      <c r="AE88" s="2">
        <v>46034</v>
      </c>
      <c r="AF88" s="2"/>
      <c r="AG88" t="s">
        <v>11</v>
      </c>
      <c r="AH88" s="14">
        <f>VLOOKUP(M88,'[1]INDIAN ENTERPRISES'!$D:$D,1,0)</f>
        <v>256779440285</v>
      </c>
      <c r="AJ88" s="15">
        <f>VLOOKUP(M88,'[1]INDIAN ENTERPRISES'!$D:$L,9,0)</f>
        <v>46075</v>
      </c>
    </row>
    <row r="89" spans="1:36" hidden="1" outlineLevel="2" x14ac:dyDescent="0.25">
      <c r="A89" t="s">
        <v>20</v>
      </c>
      <c r="B89" t="s">
        <v>1</v>
      </c>
      <c r="C89" t="s">
        <v>2</v>
      </c>
      <c r="D89" t="s">
        <v>3</v>
      </c>
      <c r="E89" t="s">
        <v>174</v>
      </c>
      <c r="F89" t="s">
        <v>17</v>
      </c>
      <c r="G89" s="2">
        <v>46028</v>
      </c>
      <c r="H89" t="s">
        <v>223</v>
      </c>
      <c r="I89" t="s">
        <v>7</v>
      </c>
      <c r="J89" s="2">
        <v>46028</v>
      </c>
      <c r="K89" s="2">
        <v>46035</v>
      </c>
      <c r="L89" t="s">
        <v>224</v>
      </c>
      <c r="M89" s="14">
        <v>256779440309</v>
      </c>
      <c r="N89" t="s">
        <v>9</v>
      </c>
      <c r="O89" t="s">
        <v>10</v>
      </c>
      <c r="P89" t="s">
        <v>11</v>
      </c>
      <c r="Q89" t="s">
        <v>12</v>
      </c>
      <c r="R89" t="s">
        <v>14</v>
      </c>
      <c r="S89" s="3">
        <v>200000</v>
      </c>
      <c r="T89" t="s">
        <v>14</v>
      </c>
      <c r="U89" s="3">
        <v>200000</v>
      </c>
      <c r="V89" t="s">
        <v>15</v>
      </c>
      <c r="W89" t="s">
        <v>16</v>
      </c>
      <c r="X89" t="s">
        <v>11</v>
      </c>
      <c r="Y89" t="s">
        <v>8</v>
      </c>
      <c r="Z89" t="s">
        <v>17</v>
      </c>
      <c r="AA89" t="s">
        <v>225</v>
      </c>
      <c r="AB89" t="s">
        <v>11</v>
      </c>
      <c r="AC89" t="s">
        <v>11</v>
      </c>
      <c r="AD89" t="s">
        <v>11</v>
      </c>
      <c r="AE89" s="2">
        <v>46028</v>
      </c>
      <c r="AF89" s="2"/>
      <c r="AG89" t="s">
        <v>11</v>
      </c>
      <c r="AH89" s="14">
        <f>VLOOKUP(M89,'[1]INDIAN ENTERPRISES'!$D:$D,1,0)</f>
        <v>256779440309</v>
      </c>
      <c r="AJ89" s="15">
        <f>VLOOKUP(M89,'[1]INDIAN ENTERPRISES'!$D:$L,9,0)</f>
        <v>46075</v>
      </c>
    </row>
    <row r="90" spans="1:36" hidden="1" outlineLevel="2" x14ac:dyDescent="0.25">
      <c r="A90" t="s">
        <v>20</v>
      </c>
      <c r="B90" t="s">
        <v>1</v>
      </c>
      <c r="C90" t="s">
        <v>2</v>
      </c>
      <c r="D90" t="s">
        <v>3</v>
      </c>
      <c r="E90" t="s">
        <v>174</v>
      </c>
      <c r="F90" t="s">
        <v>17</v>
      </c>
      <c r="G90" s="2">
        <v>46028</v>
      </c>
      <c r="H90" t="s">
        <v>226</v>
      </c>
      <c r="I90" t="s">
        <v>7</v>
      </c>
      <c r="J90" s="2">
        <v>46028</v>
      </c>
      <c r="K90" s="2">
        <v>46035</v>
      </c>
      <c r="L90" t="s">
        <v>224</v>
      </c>
      <c r="M90" s="14">
        <v>256779440310</v>
      </c>
      <c r="N90" t="s">
        <v>9</v>
      </c>
      <c r="O90" t="s">
        <v>10</v>
      </c>
      <c r="P90" t="s">
        <v>11</v>
      </c>
      <c r="Q90" t="s">
        <v>12</v>
      </c>
      <c r="R90" t="s">
        <v>14</v>
      </c>
      <c r="S90" s="3">
        <v>8000</v>
      </c>
      <c r="T90" t="s">
        <v>14</v>
      </c>
      <c r="U90" s="3">
        <v>8000</v>
      </c>
      <c r="V90" t="s">
        <v>15</v>
      </c>
      <c r="W90" t="s">
        <v>16</v>
      </c>
      <c r="X90" t="s">
        <v>11</v>
      </c>
      <c r="Y90" t="s">
        <v>8</v>
      </c>
      <c r="Z90" t="s">
        <v>17</v>
      </c>
      <c r="AA90" t="s">
        <v>225</v>
      </c>
      <c r="AB90" t="s">
        <v>11</v>
      </c>
      <c r="AC90" t="s">
        <v>11</v>
      </c>
      <c r="AD90" t="s">
        <v>11</v>
      </c>
      <c r="AE90" s="2">
        <v>46028</v>
      </c>
      <c r="AF90" s="2"/>
      <c r="AG90" t="s">
        <v>11</v>
      </c>
      <c r="AH90" s="14">
        <f>VLOOKUP(M90,'[1]INDIAN ENTERPRISES'!$D:$D,1,0)</f>
        <v>256779440310</v>
      </c>
      <c r="AJ90" s="15">
        <f>VLOOKUP(M90,'[1]INDIAN ENTERPRISES'!$D:$L,9,0)</f>
        <v>46075</v>
      </c>
    </row>
    <row r="91" spans="1:36" hidden="1" outlineLevel="2" x14ac:dyDescent="0.25">
      <c r="A91" t="s">
        <v>20</v>
      </c>
      <c r="B91" t="s">
        <v>1</v>
      </c>
      <c r="C91" t="s">
        <v>2</v>
      </c>
      <c r="D91" t="s">
        <v>3</v>
      </c>
      <c r="E91" t="s">
        <v>174</v>
      </c>
      <c r="F91" t="s">
        <v>17</v>
      </c>
      <c r="G91" s="2">
        <v>46028</v>
      </c>
      <c r="H91" t="s">
        <v>227</v>
      </c>
      <c r="I91" t="s">
        <v>7</v>
      </c>
      <c r="J91" s="2">
        <v>46028</v>
      </c>
      <c r="K91" s="2">
        <v>46035</v>
      </c>
      <c r="L91" t="s">
        <v>224</v>
      </c>
      <c r="M91" s="14">
        <v>256779440311</v>
      </c>
      <c r="N91" t="s">
        <v>9</v>
      </c>
      <c r="O91" t="s">
        <v>10</v>
      </c>
      <c r="P91" t="s">
        <v>11</v>
      </c>
      <c r="Q91" t="s">
        <v>12</v>
      </c>
      <c r="R91" t="s">
        <v>14</v>
      </c>
      <c r="S91" s="3">
        <v>4400</v>
      </c>
      <c r="T91" t="s">
        <v>14</v>
      </c>
      <c r="U91" s="3">
        <v>4400</v>
      </c>
      <c r="V91" t="s">
        <v>15</v>
      </c>
      <c r="W91" t="s">
        <v>16</v>
      </c>
      <c r="X91" t="s">
        <v>11</v>
      </c>
      <c r="Y91" t="s">
        <v>8</v>
      </c>
      <c r="Z91" t="s">
        <v>17</v>
      </c>
      <c r="AA91" t="s">
        <v>225</v>
      </c>
      <c r="AB91" t="s">
        <v>11</v>
      </c>
      <c r="AC91" t="s">
        <v>11</v>
      </c>
      <c r="AD91" t="s">
        <v>11</v>
      </c>
      <c r="AE91" s="2">
        <v>46028</v>
      </c>
      <c r="AF91" s="2"/>
      <c r="AG91" t="s">
        <v>11</v>
      </c>
      <c r="AH91" s="14">
        <f>VLOOKUP(M91,'[1]INDIAN ENTERPRISES'!$D:$D,1,0)</f>
        <v>256779440311</v>
      </c>
      <c r="AJ91" s="15">
        <f>VLOOKUP(M91,'[1]INDIAN ENTERPRISES'!$D:$L,9,0)</f>
        <v>46075</v>
      </c>
    </row>
    <row r="92" spans="1:36" hidden="1" outlineLevel="2" x14ac:dyDescent="0.25">
      <c r="A92" t="s">
        <v>20</v>
      </c>
      <c r="B92" t="s">
        <v>1</v>
      </c>
      <c r="C92" t="s">
        <v>2</v>
      </c>
      <c r="D92" t="s">
        <v>3</v>
      </c>
      <c r="E92" t="s">
        <v>174</v>
      </c>
      <c r="F92" t="s">
        <v>17</v>
      </c>
      <c r="G92" s="2">
        <v>46035</v>
      </c>
      <c r="H92" t="s">
        <v>228</v>
      </c>
      <c r="I92" t="s">
        <v>7</v>
      </c>
      <c r="J92" s="2">
        <v>46035</v>
      </c>
      <c r="K92" s="2">
        <v>46035</v>
      </c>
      <c r="L92" t="s">
        <v>8</v>
      </c>
      <c r="M92" s="14">
        <v>256779440363</v>
      </c>
      <c r="N92" t="s">
        <v>9</v>
      </c>
      <c r="O92" t="s">
        <v>10</v>
      </c>
      <c r="P92" t="s">
        <v>11</v>
      </c>
      <c r="Q92" t="s">
        <v>12</v>
      </c>
      <c r="R92" t="s">
        <v>13</v>
      </c>
      <c r="S92" s="3">
        <v>937.45</v>
      </c>
      <c r="T92" t="s">
        <v>14</v>
      </c>
      <c r="U92" s="3">
        <v>85067.16</v>
      </c>
      <c r="V92" t="s">
        <v>15</v>
      </c>
      <c r="W92" t="s">
        <v>16</v>
      </c>
      <c r="X92" t="s">
        <v>11</v>
      </c>
      <c r="Y92" t="s">
        <v>229</v>
      </c>
      <c r="Z92" t="s">
        <v>17</v>
      </c>
      <c r="AA92" t="s">
        <v>230</v>
      </c>
      <c r="AB92" t="s">
        <v>11</v>
      </c>
      <c r="AC92" t="s">
        <v>11</v>
      </c>
      <c r="AD92" t="s">
        <v>11</v>
      </c>
      <c r="AE92" s="2">
        <v>46035</v>
      </c>
      <c r="AF92" s="2"/>
      <c r="AG92" t="s">
        <v>11</v>
      </c>
      <c r="AH92" s="14">
        <f>VLOOKUP(M92,'[1]INDIAN ENTERPRISES'!$D:$D,1,0)</f>
        <v>256779440363</v>
      </c>
      <c r="AJ92" s="15">
        <f>VLOOKUP(M92,'[1]INDIAN ENTERPRISES'!$D:$L,9,0)</f>
        <v>46075</v>
      </c>
    </row>
    <row r="93" spans="1:36" hidden="1" outlineLevel="2" x14ac:dyDescent="0.25">
      <c r="A93" t="s">
        <v>20</v>
      </c>
      <c r="B93" t="s">
        <v>1</v>
      </c>
      <c r="C93" t="s">
        <v>2</v>
      </c>
      <c r="D93" t="s">
        <v>3</v>
      </c>
      <c r="E93" t="s">
        <v>174</v>
      </c>
      <c r="F93" t="s">
        <v>17</v>
      </c>
      <c r="G93" s="2">
        <v>46043</v>
      </c>
      <c r="H93" t="s">
        <v>231</v>
      </c>
      <c r="I93" t="s">
        <v>7</v>
      </c>
      <c r="J93" s="2">
        <v>46043</v>
      </c>
      <c r="K93" s="2">
        <v>46045</v>
      </c>
      <c r="L93" t="s">
        <v>232</v>
      </c>
      <c r="M93" s="14">
        <v>256779440381</v>
      </c>
      <c r="N93" t="s">
        <v>9</v>
      </c>
      <c r="O93" t="s">
        <v>10</v>
      </c>
      <c r="P93" t="s">
        <v>11</v>
      </c>
      <c r="Q93" t="s">
        <v>12</v>
      </c>
      <c r="R93" t="s">
        <v>13</v>
      </c>
      <c r="S93" s="3">
        <v>6.79</v>
      </c>
      <c r="T93" t="s">
        <v>14</v>
      </c>
      <c r="U93" s="3">
        <v>616.15</v>
      </c>
      <c r="V93" t="s">
        <v>15</v>
      </c>
      <c r="W93" t="s">
        <v>16</v>
      </c>
      <c r="X93" t="s">
        <v>11</v>
      </c>
      <c r="Y93" t="s">
        <v>8</v>
      </c>
      <c r="Z93" t="s">
        <v>17</v>
      </c>
      <c r="AA93" t="s">
        <v>233</v>
      </c>
      <c r="AB93" t="s">
        <v>11</v>
      </c>
      <c r="AC93" t="s">
        <v>11</v>
      </c>
      <c r="AD93" t="s">
        <v>11</v>
      </c>
      <c r="AE93" s="2">
        <v>46043</v>
      </c>
      <c r="AF93" s="2"/>
      <c r="AG93" t="s">
        <v>11</v>
      </c>
      <c r="AH93" s="14" t="e">
        <f>VLOOKUP(M93,'[1]INDIAN ENTERPRISES'!$D:$D,1,0)</f>
        <v>#N/A</v>
      </c>
      <c r="AI93" t="str">
        <f>VLOOKUP(M93,'[2]Invoices Not in Customer Books'!$E:$K,7,0)</f>
        <v>Invoice not received</v>
      </c>
      <c r="AJ93" s="15" t="e">
        <f>VLOOKUP(M93,'[1]INDIAN ENTERPRISES'!$D:$L,9,0)</f>
        <v>#N/A</v>
      </c>
    </row>
    <row r="94" spans="1:36" hidden="1" outlineLevel="2" x14ac:dyDescent="0.25">
      <c r="A94" t="s">
        <v>20</v>
      </c>
      <c r="B94" t="s">
        <v>1</v>
      </c>
      <c r="C94" t="s">
        <v>2</v>
      </c>
      <c r="D94" t="s">
        <v>3</v>
      </c>
      <c r="E94" t="s">
        <v>174</v>
      </c>
      <c r="F94" t="s">
        <v>17</v>
      </c>
      <c r="G94" s="2">
        <v>46043</v>
      </c>
      <c r="H94" t="s">
        <v>234</v>
      </c>
      <c r="I94" t="s">
        <v>7</v>
      </c>
      <c r="J94" s="2">
        <v>46043</v>
      </c>
      <c r="K94" s="2">
        <v>46045</v>
      </c>
      <c r="L94" t="s">
        <v>8</v>
      </c>
      <c r="M94" s="14">
        <v>256779440388</v>
      </c>
      <c r="N94" t="s">
        <v>9</v>
      </c>
      <c r="O94" t="s">
        <v>10</v>
      </c>
      <c r="P94" t="s">
        <v>11</v>
      </c>
      <c r="Q94" t="s">
        <v>12</v>
      </c>
      <c r="R94" t="s">
        <v>13</v>
      </c>
      <c r="S94" s="3">
        <v>57.29</v>
      </c>
      <c r="T94" t="s">
        <v>14</v>
      </c>
      <c r="U94" s="3">
        <v>5198.67</v>
      </c>
      <c r="V94" t="s">
        <v>15</v>
      </c>
      <c r="W94" t="s">
        <v>16</v>
      </c>
      <c r="X94" t="s">
        <v>11</v>
      </c>
      <c r="Y94" t="s">
        <v>235</v>
      </c>
      <c r="Z94" t="s">
        <v>17</v>
      </c>
      <c r="AA94" t="s">
        <v>236</v>
      </c>
      <c r="AB94" t="s">
        <v>11</v>
      </c>
      <c r="AC94" t="s">
        <v>11</v>
      </c>
      <c r="AD94" t="s">
        <v>11</v>
      </c>
      <c r="AE94" s="2">
        <v>46043</v>
      </c>
      <c r="AF94" s="2"/>
      <c r="AG94" t="s">
        <v>11</v>
      </c>
      <c r="AH94" s="14" t="e">
        <f>VLOOKUP(M94,'[1]INDIAN ENTERPRISES'!$D:$D,1,0)</f>
        <v>#N/A</v>
      </c>
      <c r="AI94" t="str">
        <f>VLOOKUP(M94,'[2]Invoices Not in Customer Books'!$E:$K,7,0)</f>
        <v>Invoice not received</v>
      </c>
      <c r="AJ94" s="15" t="e">
        <f>VLOOKUP(M94,'[1]INDIAN ENTERPRISES'!$D:$L,9,0)</f>
        <v>#N/A</v>
      </c>
    </row>
    <row r="95" spans="1:36" hidden="1" outlineLevel="2" x14ac:dyDescent="0.25">
      <c r="A95" t="s">
        <v>20</v>
      </c>
      <c r="B95" t="s">
        <v>1</v>
      </c>
      <c r="C95" t="s">
        <v>2</v>
      </c>
      <c r="D95" t="s">
        <v>3</v>
      </c>
      <c r="E95" t="s">
        <v>174</v>
      </c>
      <c r="F95" t="s">
        <v>17</v>
      </c>
      <c r="G95" s="2">
        <v>46045</v>
      </c>
      <c r="H95" t="s">
        <v>237</v>
      </c>
      <c r="I95" t="s">
        <v>7</v>
      </c>
      <c r="J95" s="2">
        <v>46045</v>
      </c>
      <c r="K95" s="2">
        <v>46049</v>
      </c>
      <c r="L95" t="s">
        <v>238</v>
      </c>
      <c r="M95" s="14">
        <v>256779440411</v>
      </c>
      <c r="N95" t="s">
        <v>9</v>
      </c>
      <c r="O95" t="s">
        <v>10</v>
      </c>
      <c r="P95" t="s">
        <v>11</v>
      </c>
      <c r="Q95" t="s">
        <v>12</v>
      </c>
      <c r="R95" t="s">
        <v>13</v>
      </c>
      <c r="S95" s="3">
        <v>554.49</v>
      </c>
      <c r="T95" t="s">
        <v>14</v>
      </c>
      <c r="U95" s="3">
        <v>50316.160000000003</v>
      </c>
      <c r="V95" t="s">
        <v>15</v>
      </c>
      <c r="W95" t="s">
        <v>16</v>
      </c>
      <c r="X95" t="s">
        <v>11</v>
      </c>
      <c r="Y95" t="s">
        <v>8</v>
      </c>
      <c r="Z95" t="s">
        <v>17</v>
      </c>
      <c r="AA95" t="s">
        <v>239</v>
      </c>
      <c r="AB95" t="s">
        <v>11</v>
      </c>
      <c r="AC95" t="s">
        <v>11</v>
      </c>
      <c r="AD95" t="s">
        <v>11</v>
      </c>
      <c r="AE95" s="2">
        <v>46045</v>
      </c>
      <c r="AF95" s="2"/>
      <c r="AG95" t="s">
        <v>11</v>
      </c>
      <c r="AH95" s="14" t="e">
        <f>VLOOKUP(M95,'[1]INDIAN ENTERPRISES'!$D:$D,1,0)</f>
        <v>#N/A</v>
      </c>
      <c r="AI95" t="str">
        <f>VLOOKUP(M95,'[2]Invoices Not in Customer Books'!$E:$K,7,0)</f>
        <v>Invoice not received</v>
      </c>
      <c r="AJ95" s="15" t="e">
        <f>VLOOKUP(M95,'[1]INDIAN ENTERPRISES'!$D:$L,9,0)</f>
        <v>#N/A</v>
      </c>
    </row>
    <row r="96" spans="1:36" hidden="1" outlineLevel="2" x14ac:dyDescent="0.25">
      <c r="A96" t="s">
        <v>20</v>
      </c>
      <c r="B96" t="s">
        <v>1</v>
      </c>
      <c r="C96" t="s">
        <v>2</v>
      </c>
      <c r="D96" t="s">
        <v>3</v>
      </c>
      <c r="E96" t="s">
        <v>174</v>
      </c>
      <c r="F96" t="s">
        <v>17</v>
      </c>
      <c r="G96" s="2">
        <v>46045</v>
      </c>
      <c r="H96" t="s">
        <v>240</v>
      </c>
      <c r="I96" t="s">
        <v>7</v>
      </c>
      <c r="J96" s="2">
        <v>46045</v>
      </c>
      <c r="K96" s="2">
        <v>46049</v>
      </c>
      <c r="L96" t="s">
        <v>241</v>
      </c>
      <c r="M96" s="14">
        <v>256779440427</v>
      </c>
      <c r="N96" t="s">
        <v>9</v>
      </c>
      <c r="O96" t="s">
        <v>10</v>
      </c>
      <c r="P96" t="s">
        <v>11</v>
      </c>
      <c r="Q96" t="s">
        <v>12</v>
      </c>
      <c r="R96" t="s">
        <v>13</v>
      </c>
      <c r="S96" s="3">
        <v>44.06</v>
      </c>
      <c r="T96" t="s">
        <v>14</v>
      </c>
      <c r="U96" s="3">
        <v>3998.14</v>
      </c>
      <c r="V96" t="s">
        <v>15</v>
      </c>
      <c r="W96" t="s">
        <v>16</v>
      </c>
      <c r="X96" t="s">
        <v>11</v>
      </c>
      <c r="Y96" t="s">
        <v>8</v>
      </c>
      <c r="Z96" t="s">
        <v>17</v>
      </c>
      <c r="AA96" t="s">
        <v>242</v>
      </c>
      <c r="AB96" t="s">
        <v>11</v>
      </c>
      <c r="AC96" t="s">
        <v>11</v>
      </c>
      <c r="AD96" t="s">
        <v>11</v>
      </c>
      <c r="AE96" s="2">
        <v>46045</v>
      </c>
      <c r="AF96" s="2"/>
      <c r="AG96" t="s">
        <v>11</v>
      </c>
      <c r="AH96" s="14" t="e">
        <f>VLOOKUP(M96,'[1]INDIAN ENTERPRISES'!$D:$D,1,0)</f>
        <v>#N/A</v>
      </c>
      <c r="AI96" t="str">
        <f>VLOOKUP(M96,'[2]Invoices Not in Customer Books'!$E:$K,7,0)</f>
        <v>Invoice not received</v>
      </c>
      <c r="AJ96" s="15" t="e">
        <f>VLOOKUP(M96,'[1]INDIAN ENTERPRISES'!$D:$L,9,0)</f>
        <v>#N/A</v>
      </c>
    </row>
    <row r="97" spans="1:36" hidden="1" outlineLevel="2" x14ac:dyDescent="0.25">
      <c r="A97" t="s">
        <v>20</v>
      </c>
      <c r="B97" t="s">
        <v>1</v>
      </c>
      <c r="C97" t="s">
        <v>2</v>
      </c>
      <c r="D97" t="s">
        <v>3</v>
      </c>
      <c r="E97" t="s">
        <v>174</v>
      </c>
      <c r="F97" t="s">
        <v>17</v>
      </c>
      <c r="G97" s="2">
        <v>46049</v>
      </c>
      <c r="H97" t="s">
        <v>243</v>
      </c>
      <c r="I97" t="s">
        <v>7</v>
      </c>
      <c r="J97" s="2">
        <v>46049</v>
      </c>
      <c r="K97" s="2">
        <v>46049</v>
      </c>
      <c r="L97" t="s">
        <v>244</v>
      </c>
      <c r="M97" s="14">
        <v>256779440443</v>
      </c>
      <c r="N97" t="s">
        <v>9</v>
      </c>
      <c r="O97" t="s">
        <v>10</v>
      </c>
      <c r="P97" t="s">
        <v>11</v>
      </c>
      <c r="Q97" t="s">
        <v>12</v>
      </c>
      <c r="R97" t="s">
        <v>13</v>
      </c>
      <c r="S97" s="3">
        <v>18.41</v>
      </c>
      <c r="T97" t="s">
        <v>14</v>
      </c>
      <c r="U97" s="3">
        <v>1670.58</v>
      </c>
      <c r="V97" t="s">
        <v>15</v>
      </c>
      <c r="W97" t="s">
        <v>16</v>
      </c>
      <c r="X97" t="s">
        <v>11</v>
      </c>
      <c r="Y97" t="s">
        <v>8</v>
      </c>
      <c r="Z97" t="s">
        <v>17</v>
      </c>
      <c r="AA97" t="s">
        <v>245</v>
      </c>
      <c r="AB97" t="s">
        <v>11</v>
      </c>
      <c r="AC97" t="s">
        <v>11</v>
      </c>
      <c r="AD97" t="s">
        <v>11</v>
      </c>
      <c r="AE97" s="2">
        <v>46049</v>
      </c>
      <c r="AF97" s="2"/>
      <c r="AG97" t="s">
        <v>11</v>
      </c>
      <c r="AH97" s="14" t="e">
        <f>VLOOKUP(M97,'[1]INDIAN ENTERPRISES'!$D:$D,1,0)</f>
        <v>#N/A</v>
      </c>
      <c r="AI97" t="str">
        <f>VLOOKUP(M97,'[2]Invoices Not in Customer Books'!$E:$K,7,0)</f>
        <v>Invoice not received</v>
      </c>
      <c r="AJ97" s="15" t="e">
        <f>VLOOKUP(M97,'[1]INDIAN ENTERPRISES'!$D:$L,9,0)</f>
        <v>#N/A</v>
      </c>
    </row>
    <row r="98" spans="1:36" outlineLevel="2" x14ac:dyDescent="0.25">
      <c r="A98" t="s">
        <v>20</v>
      </c>
      <c r="B98" t="s">
        <v>1</v>
      </c>
      <c r="C98" t="s">
        <v>2</v>
      </c>
      <c r="D98" t="s">
        <v>3</v>
      </c>
      <c r="E98" t="s">
        <v>174</v>
      </c>
      <c r="F98" t="s">
        <v>200</v>
      </c>
      <c r="G98" s="2">
        <v>46057</v>
      </c>
      <c r="H98" t="s">
        <v>246</v>
      </c>
      <c r="I98" t="s">
        <v>196</v>
      </c>
      <c r="J98" s="2">
        <v>46057</v>
      </c>
      <c r="K98" s="2">
        <v>46057</v>
      </c>
      <c r="L98" t="s">
        <v>247</v>
      </c>
      <c r="M98" s="13">
        <v>2169921</v>
      </c>
      <c r="N98" t="s">
        <v>9</v>
      </c>
      <c r="O98" t="s">
        <v>10</v>
      </c>
      <c r="P98" t="s">
        <v>11</v>
      </c>
      <c r="Q98" t="s">
        <v>198</v>
      </c>
      <c r="R98" t="s">
        <v>14</v>
      </c>
      <c r="S98" s="3">
        <v>-1900032.5</v>
      </c>
      <c r="T98" t="s">
        <v>14</v>
      </c>
      <c r="U98" s="3">
        <v>-1900032.5</v>
      </c>
      <c r="V98" t="s">
        <v>11</v>
      </c>
      <c r="W98" t="s">
        <v>199</v>
      </c>
      <c r="X98" t="s">
        <v>11</v>
      </c>
      <c r="Y98" t="s">
        <v>11</v>
      </c>
      <c r="Z98" t="s">
        <v>200</v>
      </c>
      <c r="AA98" t="s">
        <v>11</v>
      </c>
      <c r="AB98" t="s">
        <v>11</v>
      </c>
      <c r="AC98" t="s">
        <v>11</v>
      </c>
      <c r="AD98" t="s">
        <v>11</v>
      </c>
      <c r="AE98" s="2">
        <v>46057</v>
      </c>
      <c r="AF98" s="2"/>
      <c r="AG98" t="s">
        <v>11</v>
      </c>
    </row>
    <row r="99" spans="1:36" hidden="1" outlineLevel="2" x14ac:dyDescent="0.25">
      <c r="A99" t="s">
        <v>20</v>
      </c>
      <c r="B99" t="s">
        <v>1</v>
      </c>
      <c r="C99" t="s">
        <v>2</v>
      </c>
      <c r="D99" t="s">
        <v>3</v>
      </c>
      <c r="E99" t="s">
        <v>174</v>
      </c>
      <c r="F99" t="s">
        <v>200</v>
      </c>
      <c r="G99" s="2">
        <v>46064</v>
      </c>
      <c r="H99" t="s">
        <v>248</v>
      </c>
      <c r="I99" t="s">
        <v>7</v>
      </c>
      <c r="J99" s="2">
        <v>46064</v>
      </c>
      <c r="K99" s="2">
        <v>46066</v>
      </c>
      <c r="L99" t="s">
        <v>8</v>
      </c>
      <c r="M99" s="14">
        <v>256779440492</v>
      </c>
      <c r="N99" t="s">
        <v>9</v>
      </c>
      <c r="O99" t="s">
        <v>10</v>
      </c>
      <c r="P99" t="s">
        <v>11</v>
      </c>
      <c r="Q99" t="s">
        <v>12</v>
      </c>
      <c r="R99" t="s">
        <v>14</v>
      </c>
      <c r="S99" s="3">
        <v>200000</v>
      </c>
      <c r="T99" t="s">
        <v>14</v>
      </c>
      <c r="U99" s="3">
        <v>200000</v>
      </c>
      <c r="V99" t="s">
        <v>15</v>
      </c>
      <c r="W99" t="s">
        <v>16</v>
      </c>
      <c r="X99" t="s">
        <v>11</v>
      </c>
      <c r="Y99" t="s">
        <v>249</v>
      </c>
      <c r="Z99" t="s">
        <v>17</v>
      </c>
      <c r="AA99" t="s">
        <v>250</v>
      </c>
      <c r="AB99" t="s">
        <v>11</v>
      </c>
      <c r="AC99" t="s">
        <v>11</v>
      </c>
      <c r="AD99" t="s">
        <v>11</v>
      </c>
      <c r="AE99" s="2">
        <v>46064</v>
      </c>
      <c r="AF99" s="2"/>
      <c r="AG99" t="s">
        <v>11</v>
      </c>
      <c r="AH99" s="14" t="e">
        <f>VLOOKUP(M99,'[1]INDIAN ENTERPRISES'!$D:$D,1,0)</f>
        <v>#N/A</v>
      </c>
      <c r="AI99" t="e">
        <f>VLOOKUP(M99,'[2]Invoices Not in Customer Books'!$E:$K,7,0)</f>
        <v>#N/A</v>
      </c>
      <c r="AJ99" s="15" t="e">
        <f>VLOOKUP(M99,'[1]INDIAN ENTERPRISES'!$D:$L,9,0)</f>
        <v>#N/A</v>
      </c>
    </row>
    <row r="100" spans="1:36" hidden="1" outlineLevel="2" x14ac:dyDescent="0.25">
      <c r="A100" t="s">
        <v>20</v>
      </c>
      <c r="B100" t="s">
        <v>1</v>
      </c>
      <c r="C100" t="s">
        <v>2</v>
      </c>
      <c r="D100" t="s">
        <v>3</v>
      </c>
      <c r="E100" t="s">
        <v>174</v>
      </c>
      <c r="F100" t="s">
        <v>200</v>
      </c>
      <c r="G100" s="2">
        <v>46064</v>
      </c>
      <c r="H100" t="s">
        <v>251</v>
      </c>
      <c r="I100" t="s">
        <v>7</v>
      </c>
      <c r="J100" s="2">
        <v>46064</v>
      </c>
      <c r="K100" s="2">
        <v>46066</v>
      </c>
      <c r="L100" t="s">
        <v>8</v>
      </c>
      <c r="M100" s="14">
        <v>256779440493</v>
      </c>
      <c r="N100" t="s">
        <v>9</v>
      </c>
      <c r="O100" t="s">
        <v>10</v>
      </c>
      <c r="P100" t="s">
        <v>11</v>
      </c>
      <c r="Q100" t="s">
        <v>12</v>
      </c>
      <c r="R100" t="s">
        <v>14</v>
      </c>
      <c r="S100" s="3">
        <v>8000</v>
      </c>
      <c r="T100" t="s">
        <v>14</v>
      </c>
      <c r="U100" s="3">
        <v>8000</v>
      </c>
      <c r="V100" t="s">
        <v>15</v>
      </c>
      <c r="W100" t="s">
        <v>16</v>
      </c>
      <c r="X100" t="s">
        <v>11</v>
      </c>
      <c r="Y100" t="s">
        <v>249</v>
      </c>
      <c r="Z100" t="s">
        <v>17</v>
      </c>
      <c r="AA100" t="s">
        <v>250</v>
      </c>
      <c r="AB100" t="s">
        <v>11</v>
      </c>
      <c r="AC100" t="s">
        <v>11</v>
      </c>
      <c r="AD100" t="s">
        <v>11</v>
      </c>
      <c r="AE100" s="2">
        <v>46064</v>
      </c>
      <c r="AF100" s="2"/>
      <c r="AG100" t="s">
        <v>11</v>
      </c>
      <c r="AH100" s="14" t="e">
        <f>VLOOKUP(M100,'[1]INDIAN ENTERPRISES'!$D:$D,1,0)</f>
        <v>#N/A</v>
      </c>
      <c r="AI100" t="e">
        <f>VLOOKUP(M100,'[2]Invoices Not in Customer Books'!$E:$K,7,0)</f>
        <v>#N/A</v>
      </c>
      <c r="AJ100" s="15" t="e">
        <f>VLOOKUP(M100,'[1]INDIAN ENTERPRISES'!$D:$L,9,0)</f>
        <v>#N/A</v>
      </c>
    </row>
    <row r="101" spans="1:36" hidden="1" outlineLevel="2" x14ac:dyDescent="0.25">
      <c r="A101" t="s">
        <v>20</v>
      </c>
      <c r="B101" t="s">
        <v>1</v>
      </c>
      <c r="C101" t="s">
        <v>2</v>
      </c>
      <c r="D101" t="s">
        <v>3</v>
      </c>
      <c r="E101" t="s">
        <v>174</v>
      </c>
      <c r="F101" t="s">
        <v>200</v>
      </c>
      <c r="G101" s="2">
        <v>46064</v>
      </c>
      <c r="H101" t="s">
        <v>252</v>
      </c>
      <c r="I101" t="s">
        <v>7</v>
      </c>
      <c r="J101" s="2">
        <v>46064</v>
      </c>
      <c r="K101" s="2">
        <v>46066</v>
      </c>
      <c r="L101" t="s">
        <v>8</v>
      </c>
      <c r="M101" s="14">
        <v>256779440494</v>
      </c>
      <c r="N101" t="s">
        <v>9</v>
      </c>
      <c r="O101" t="s">
        <v>10</v>
      </c>
      <c r="P101" t="s">
        <v>11</v>
      </c>
      <c r="Q101" t="s">
        <v>12</v>
      </c>
      <c r="R101" t="s">
        <v>14</v>
      </c>
      <c r="S101" s="3">
        <v>4400</v>
      </c>
      <c r="T101" t="s">
        <v>14</v>
      </c>
      <c r="U101" s="3">
        <v>4400</v>
      </c>
      <c r="V101" t="s">
        <v>15</v>
      </c>
      <c r="W101" t="s">
        <v>16</v>
      </c>
      <c r="X101" t="s">
        <v>11</v>
      </c>
      <c r="Y101" t="s">
        <v>249</v>
      </c>
      <c r="Z101" t="s">
        <v>17</v>
      </c>
      <c r="AA101" t="s">
        <v>250</v>
      </c>
      <c r="AB101" t="s">
        <v>11</v>
      </c>
      <c r="AC101" t="s">
        <v>11</v>
      </c>
      <c r="AD101" t="s">
        <v>11</v>
      </c>
      <c r="AE101" s="2">
        <v>46064</v>
      </c>
      <c r="AF101" s="2"/>
      <c r="AG101" t="s">
        <v>11</v>
      </c>
      <c r="AH101" s="14" t="e">
        <f>VLOOKUP(M101,'[1]INDIAN ENTERPRISES'!$D:$D,1,0)</f>
        <v>#N/A</v>
      </c>
      <c r="AI101" t="e">
        <f>VLOOKUP(M101,'[2]Invoices Not in Customer Books'!$E:$K,7,0)</f>
        <v>#N/A</v>
      </c>
      <c r="AJ101" s="15" t="e">
        <f>VLOOKUP(M101,'[1]INDIAN ENTERPRISES'!$D:$L,9,0)</f>
        <v>#N/A</v>
      </c>
    </row>
    <row r="102" spans="1:36" hidden="1" outlineLevel="2" x14ac:dyDescent="0.25">
      <c r="A102" t="s">
        <v>20</v>
      </c>
      <c r="B102" t="s">
        <v>1</v>
      </c>
      <c r="C102" t="s">
        <v>2</v>
      </c>
      <c r="D102" t="s">
        <v>3</v>
      </c>
      <c r="E102" t="s">
        <v>174</v>
      </c>
      <c r="F102" t="s">
        <v>200</v>
      </c>
      <c r="G102" s="2">
        <v>46065</v>
      </c>
      <c r="H102" t="s">
        <v>253</v>
      </c>
      <c r="I102" t="s">
        <v>7</v>
      </c>
      <c r="J102" s="2">
        <v>46065</v>
      </c>
      <c r="K102" s="2">
        <v>46069</v>
      </c>
      <c r="L102" t="s">
        <v>254</v>
      </c>
      <c r="M102" s="14">
        <v>256779451305</v>
      </c>
      <c r="N102" t="s">
        <v>9</v>
      </c>
      <c r="O102" t="s">
        <v>10</v>
      </c>
      <c r="P102" t="s">
        <v>11</v>
      </c>
      <c r="Q102" t="s">
        <v>12</v>
      </c>
      <c r="R102" t="s">
        <v>13</v>
      </c>
      <c r="S102" s="3">
        <v>491.82</v>
      </c>
      <c r="T102" t="s">
        <v>14</v>
      </c>
      <c r="U102" s="3">
        <v>44428.66</v>
      </c>
      <c r="V102" t="s">
        <v>15</v>
      </c>
      <c r="W102" t="s">
        <v>136</v>
      </c>
      <c r="X102" t="s">
        <v>11</v>
      </c>
      <c r="Y102" t="s">
        <v>8</v>
      </c>
      <c r="Z102" t="s">
        <v>17</v>
      </c>
      <c r="AA102" t="s">
        <v>255</v>
      </c>
      <c r="AB102" t="s">
        <v>11</v>
      </c>
      <c r="AC102" t="s">
        <v>11</v>
      </c>
      <c r="AD102" t="s">
        <v>11</v>
      </c>
      <c r="AE102" s="2">
        <v>46065</v>
      </c>
      <c r="AF102" s="2"/>
      <c r="AG102" t="s">
        <v>11</v>
      </c>
      <c r="AH102" s="14" t="e">
        <f>VLOOKUP(M102,'[1]INDIAN ENTERPRISES'!$D:$D,1,0)</f>
        <v>#N/A</v>
      </c>
      <c r="AI102" t="e">
        <f>VLOOKUP(M102,'[2]Invoices Not in Customer Books'!$E:$K,7,0)</f>
        <v>#N/A</v>
      </c>
      <c r="AJ102" s="15" t="e">
        <f>VLOOKUP(M102,'[1]INDIAN ENTERPRISES'!$D:$L,9,0)</f>
        <v>#N/A</v>
      </c>
    </row>
    <row r="103" spans="1:36" hidden="1" outlineLevel="2" x14ac:dyDescent="0.25">
      <c r="A103" t="s">
        <v>20</v>
      </c>
      <c r="B103" t="s">
        <v>1</v>
      </c>
      <c r="C103" t="s">
        <v>2</v>
      </c>
      <c r="D103" t="s">
        <v>3</v>
      </c>
      <c r="E103" t="s">
        <v>174</v>
      </c>
      <c r="F103" t="s">
        <v>200</v>
      </c>
      <c r="G103" s="2">
        <v>46065</v>
      </c>
      <c r="H103" t="s">
        <v>256</v>
      </c>
      <c r="I103" t="s">
        <v>7</v>
      </c>
      <c r="J103" s="2">
        <v>46065</v>
      </c>
      <c r="K103" s="2">
        <v>46069</v>
      </c>
      <c r="L103" t="s">
        <v>8</v>
      </c>
      <c r="M103" s="14">
        <v>256779451320</v>
      </c>
      <c r="N103" t="s">
        <v>9</v>
      </c>
      <c r="O103" t="s">
        <v>10</v>
      </c>
      <c r="P103" t="s">
        <v>11</v>
      </c>
      <c r="Q103" t="s">
        <v>12</v>
      </c>
      <c r="R103" t="s">
        <v>13</v>
      </c>
      <c r="S103" s="3">
        <v>1314.24</v>
      </c>
      <c r="T103" t="s">
        <v>14</v>
      </c>
      <c r="U103" s="3">
        <v>118722.13</v>
      </c>
      <c r="V103" t="s">
        <v>15</v>
      </c>
      <c r="W103" t="s">
        <v>136</v>
      </c>
      <c r="X103" t="s">
        <v>11</v>
      </c>
      <c r="Y103" t="s">
        <v>257</v>
      </c>
      <c r="Z103" t="s">
        <v>17</v>
      </c>
      <c r="AA103" t="s">
        <v>258</v>
      </c>
      <c r="AB103" t="s">
        <v>11</v>
      </c>
      <c r="AC103" t="s">
        <v>11</v>
      </c>
      <c r="AD103" t="s">
        <v>11</v>
      </c>
      <c r="AE103" s="2">
        <v>46065</v>
      </c>
      <c r="AF103" s="2"/>
      <c r="AG103" t="s">
        <v>11</v>
      </c>
      <c r="AH103" s="14" t="e">
        <f>VLOOKUP(M103,'[1]INDIAN ENTERPRISES'!$D:$D,1,0)</f>
        <v>#N/A</v>
      </c>
      <c r="AI103" t="e">
        <f>VLOOKUP(M103,'[2]Invoices Not in Customer Books'!$E:$K,7,0)</f>
        <v>#N/A</v>
      </c>
      <c r="AJ103" s="15" t="e">
        <f>VLOOKUP(M103,'[1]INDIAN ENTERPRISES'!$D:$L,9,0)</f>
        <v>#N/A</v>
      </c>
    </row>
    <row r="104" spans="1:36" hidden="1" outlineLevel="2" x14ac:dyDescent="0.25">
      <c r="A104" t="s">
        <v>20</v>
      </c>
      <c r="B104" t="s">
        <v>1</v>
      </c>
      <c r="C104" t="s">
        <v>2</v>
      </c>
      <c r="D104" t="s">
        <v>3</v>
      </c>
      <c r="E104" t="s">
        <v>174</v>
      </c>
      <c r="F104" t="s">
        <v>200</v>
      </c>
      <c r="G104" s="2">
        <v>46064</v>
      </c>
      <c r="H104" t="s">
        <v>259</v>
      </c>
      <c r="I104" t="s">
        <v>7</v>
      </c>
      <c r="J104" s="2">
        <v>46064</v>
      </c>
      <c r="K104" s="2">
        <v>46069</v>
      </c>
      <c r="L104" t="s">
        <v>8</v>
      </c>
      <c r="M104" s="14">
        <v>256779451374</v>
      </c>
      <c r="N104" t="s">
        <v>9</v>
      </c>
      <c r="O104" t="s">
        <v>10</v>
      </c>
      <c r="P104" t="s">
        <v>11</v>
      </c>
      <c r="Q104" t="s">
        <v>12</v>
      </c>
      <c r="R104" t="s">
        <v>13</v>
      </c>
      <c r="S104" s="3">
        <v>179.14</v>
      </c>
      <c r="T104" t="s">
        <v>14</v>
      </c>
      <c r="U104" s="3">
        <v>16182.65</v>
      </c>
      <c r="V104" t="s">
        <v>15</v>
      </c>
      <c r="W104" t="s">
        <v>136</v>
      </c>
      <c r="X104" t="s">
        <v>11</v>
      </c>
      <c r="Y104" t="s">
        <v>260</v>
      </c>
      <c r="Z104" t="s">
        <v>17</v>
      </c>
      <c r="AA104" t="s">
        <v>261</v>
      </c>
      <c r="AB104" t="s">
        <v>11</v>
      </c>
      <c r="AC104" t="s">
        <v>11</v>
      </c>
      <c r="AD104" t="s">
        <v>11</v>
      </c>
      <c r="AE104" s="2">
        <v>46064</v>
      </c>
      <c r="AF104" s="2"/>
      <c r="AG104" t="s">
        <v>11</v>
      </c>
      <c r="AH104" s="14" t="e">
        <f>VLOOKUP(M104,'[1]INDIAN ENTERPRISES'!$D:$D,1,0)</f>
        <v>#N/A</v>
      </c>
      <c r="AI104" t="e">
        <f>VLOOKUP(M104,'[2]Invoices Not in Customer Books'!$E:$K,7,0)</f>
        <v>#N/A</v>
      </c>
      <c r="AJ104" s="15" t="e">
        <f>VLOOKUP(M104,'[1]INDIAN ENTERPRISES'!$D:$L,9,0)</f>
        <v>#N/A</v>
      </c>
    </row>
    <row r="105" spans="1:36" hidden="1" outlineLevel="2" x14ac:dyDescent="0.25">
      <c r="A105" t="s">
        <v>20</v>
      </c>
      <c r="B105" t="s">
        <v>1</v>
      </c>
      <c r="C105" t="s">
        <v>2</v>
      </c>
      <c r="D105" t="s">
        <v>3</v>
      </c>
      <c r="E105" t="s">
        <v>174</v>
      </c>
      <c r="F105" t="s">
        <v>200</v>
      </c>
      <c r="G105" s="2">
        <v>46064</v>
      </c>
      <c r="H105" t="s">
        <v>262</v>
      </c>
      <c r="I105" t="s">
        <v>7</v>
      </c>
      <c r="J105" s="2">
        <v>46064</v>
      </c>
      <c r="K105" s="2">
        <v>46069</v>
      </c>
      <c r="L105" t="s">
        <v>263</v>
      </c>
      <c r="M105" s="14">
        <v>256779451416</v>
      </c>
      <c r="N105" t="s">
        <v>9</v>
      </c>
      <c r="O105" t="s">
        <v>10</v>
      </c>
      <c r="P105" t="s">
        <v>11</v>
      </c>
      <c r="Q105" t="s">
        <v>12</v>
      </c>
      <c r="R105" t="s">
        <v>13</v>
      </c>
      <c r="S105" s="3">
        <v>265.16000000000003</v>
      </c>
      <c r="T105" t="s">
        <v>14</v>
      </c>
      <c r="U105" s="3">
        <v>23953.279999999999</v>
      </c>
      <c r="V105" t="s">
        <v>15</v>
      </c>
      <c r="W105" t="s">
        <v>136</v>
      </c>
      <c r="X105" t="s">
        <v>11</v>
      </c>
      <c r="Y105" t="s">
        <v>8</v>
      </c>
      <c r="Z105" t="s">
        <v>17</v>
      </c>
      <c r="AA105" t="s">
        <v>264</v>
      </c>
      <c r="AB105" t="s">
        <v>11</v>
      </c>
      <c r="AC105" t="s">
        <v>11</v>
      </c>
      <c r="AD105" t="s">
        <v>11</v>
      </c>
      <c r="AE105" s="2">
        <v>46064</v>
      </c>
      <c r="AF105" s="2"/>
      <c r="AG105" t="s">
        <v>11</v>
      </c>
      <c r="AH105" s="14" t="e">
        <f>VLOOKUP(M105,'[1]INDIAN ENTERPRISES'!$D:$D,1,0)</f>
        <v>#N/A</v>
      </c>
      <c r="AI105" t="e">
        <f>VLOOKUP(M105,'[2]Invoices Not in Customer Books'!$E:$K,7,0)</f>
        <v>#N/A</v>
      </c>
      <c r="AJ105" s="15" t="e">
        <f>VLOOKUP(M105,'[1]INDIAN ENTERPRISES'!$D:$L,9,0)</f>
        <v>#N/A</v>
      </c>
    </row>
    <row r="106" spans="1:36" hidden="1" outlineLevel="2" x14ac:dyDescent="0.25">
      <c r="A106" t="s">
        <v>20</v>
      </c>
      <c r="B106" t="s">
        <v>1</v>
      </c>
      <c r="C106" t="s">
        <v>2</v>
      </c>
      <c r="D106" t="s">
        <v>3</v>
      </c>
      <c r="E106" t="s">
        <v>174</v>
      </c>
      <c r="F106" t="s">
        <v>200</v>
      </c>
      <c r="G106" s="2">
        <v>46064</v>
      </c>
      <c r="H106" t="s">
        <v>265</v>
      </c>
      <c r="I106" t="s">
        <v>7</v>
      </c>
      <c r="J106" s="2">
        <v>46064</v>
      </c>
      <c r="K106" s="2">
        <v>46069</v>
      </c>
      <c r="L106" t="s">
        <v>266</v>
      </c>
      <c r="M106" s="14">
        <v>256779451453</v>
      </c>
      <c r="N106" t="s">
        <v>9</v>
      </c>
      <c r="O106" t="s">
        <v>10</v>
      </c>
      <c r="P106" t="s">
        <v>11</v>
      </c>
      <c r="Q106" t="s">
        <v>12</v>
      </c>
      <c r="R106" t="s">
        <v>13</v>
      </c>
      <c r="S106" s="3">
        <v>11.07</v>
      </c>
      <c r="T106" t="s">
        <v>14</v>
      </c>
      <c r="U106" s="3">
        <v>1000.01</v>
      </c>
      <c r="V106" t="s">
        <v>15</v>
      </c>
      <c r="W106" t="s">
        <v>136</v>
      </c>
      <c r="X106" t="s">
        <v>11</v>
      </c>
      <c r="Y106" t="s">
        <v>8</v>
      </c>
      <c r="Z106" t="s">
        <v>17</v>
      </c>
      <c r="AA106" t="s">
        <v>267</v>
      </c>
      <c r="AB106" t="s">
        <v>11</v>
      </c>
      <c r="AC106" t="s">
        <v>11</v>
      </c>
      <c r="AD106" t="s">
        <v>11</v>
      </c>
      <c r="AE106" s="2">
        <v>46064</v>
      </c>
      <c r="AF106" s="2"/>
      <c r="AG106" t="s">
        <v>11</v>
      </c>
      <c r="AH106" s="14" t="e">
        <f>VLOOKUP(M106,'[1]INDIAN ENTERPRISES'!$D:$D,1,0)</f>
        <v>#N/A</v>
      </c>
      <c r="AI106" t="e">
        <f>VLOOKUP(M106,'[2]Invoices Not in Customer Books'!$E:$K,7,0)</f>
        <v>#N/A</v>
      </c>
      <c r="AJ106" s="15" t="e">
        <f>VLOOKUP(M106,'[1]INDIAN ENTERPRISES'!$D:$L,9,0)</f>
        <v>#N/A</v>
      </c>
    </row>
    <row r="107" spans="1:36" hidden="1" outlineLevel="2" x14ac:dyDescent="0.25">
      <c r="A107" t="s">
        <v>20</v>
      </c>
      <c r="B107" t="s">
        <v>1</v>
      </c>
      <c r="C107" t="s">
        <v>2</v>
      </c>
      <c r="D107" t="s">
        <v>3</v>
      </c>
      <c r="E107" t="s">
        <v>174</v>
      </c>
      <c r="F107" t="s">
        <v>200</v>
      </c>
      <c r="G107" s="2">
        <v>46064</v>
      </c>
      <c r="H107" t="s">
        <v>268</v>
      </c>
      <c r="I107" t="s">
        <v>7</v>
      </c>
      <c r="J107" s="2">
        <v>46064</v>
      </c>
      <c r="K107" s="2">
        <v>46069</v>
      </c>
      <c r="L107" t="s">
        <v>269</v>
      </c>
      <c r="M107" s="14">
        <v>256779451458</v>
      </c>
      <c r="N107" t="s">
        <v>9</v>
      </c>
      <c r="O107" t="s">
        <v>10</v>
      </c>
      <c r="P107" t="s">
        <v>11</v>
      </c>
      <c r="Q107" t="s">
        <v>12</v>
      </c>
      <c r="R107" t="s">
        <v>13</v>
      </c>
      <c r="S107" s="3">
        <v>27.67</v>
      </c>
      <c r="T107" t="s">
        <v>14</v>
      </c>
      <c r="U107" s="3">
        <v>2499.5700000000002</v>
      </c>
      <c r="V107" t="s">
        <v>15</v>
      </c>
      <c r="W107" t="s">
        <v>136</v>
      </c>
      <c r="X107" t="s">
        <v>11</v>
      </c>
      <c r="Y107" t="s">
        <v>8</v>
      </c>
      <c r="Z107" t="s">
        <v>17</v>
      </c>
      <c r="AA107" t="s">
        <v>270</v>
      </c>
      <c r="AB107" t="s">
        <v>11</v>
      </c>
      <c r="AC107" t="s">
        <v>11</v>
      </c>
      <c r="AD107" t="s">
        <v>11</v>
      </c>
      <c r="AE107" s="2">
        <v>46064</v>
      </c>
      <c r="AF107" s="2"/>
      <c r="AG107" t="s">
        <v>11</v>
      </c>
      <c r="AH107" s="14" t="e">
        <f>VLOOKUP(M107,'[1]INDIAN ENTERPRISES'!$D:$D,1,0)</f>
        <v>#N/A</v>
      </c>
      <c r="AI107" t="e">
        <f>VLOOKUP(M107,'[2]Invoices Not in Customer Books'!$E:$K,7,0)</f>
        <v>#N/A</v>
      </c>
      <c r="AJ107" s="15" t="e">
        <f>VLOOKUP(M107,'[1]INDIAN ENTERPRISES'!$D:$L,9,0)</f>
        <v>#N/A</v>
      </c>
    </row>
    <row r="108" spans="1:36" hidden="1" outlineLevel="2" x14ac:dyDescent="0.25">
      <c r="A108" t="s">
        <v>20</v>
      </c>
      <c r="B108" t="s">
        <v>1</v>
      </c>
      <c r="C108" t="s">
        <v>2</v>
      </c>
      <c r="D108" t="s">
        <v>3</v>
      </c>
      <c r="E108" t="s">
        <v>174</v>
      </c>
      <c r="F108" t="s">
        <v>200</v>
      </c>
      <c r="G108" s="2">
        <v>46064</v>
      </c>
      <c r="H108" t="s">
        <v>271</v>
      </c>
      <c r="I108" t="s">
        <v>7</v>
      </c>
      <c r="J108" s="2">
        <v>46064</v>
      </c>
      <c r="K108" s="2">
        <v>46069</v>
      </c>
      <c r="L108" t="s">
        <v>272</v>
      </c>
      <c r="M108" s="14">
        <v>256779451502</v>
      </c>
      <c r="N108" t="s">
        <v>9</v>
      </c>
      <c r="O108" t="s">
        <v>10</v>
      </c>
      <c r="P108" t="s">
        <v>11</v>
      </c>
      <c r="Q108" t="s">
        <v>12</v>
      </c>
      <c r="R108" t="s">
        <v>13</v>
      </c>
      <c r="S108" s="3">
        <v>57.45</v>
      </c>
      <c r="T108" t="s">
        <v>14</v>
      </c>
      <c r="U108" s="3">
        <v>5189.76</v>
      </c>
      <c r="V108" t="s">
        <v>15</v>
      </c>
      <c r="W108" t="s">
        <v>136</v>
      </c>
      <c r="X108" t="s">
        <v>11</v>
      </c>
      <c r="Y108" t="s">
        <v>8</v>
      </c>
      <c r="Z108" t="s">
        <v>17</v>
      </c>
      <c r="AA108" t="s">
        <v>273</v>
      </c>
      <c r="AB108" t="s">
        <v>11</v>
      </c>
      <c r="AC108" t="s">
        <v>11</v>
      </c>
      <c r="AD108" t="s">
        <v>11</v>
      </c>
      <c r="AE108" s="2">
        <v>46064</v>
      </c>
      <c r="AF108" s="2"/>
      <c r="AG108" t="s">
        <v>11</v>
      </c>
      <c r="AH108" s="14" t="e">
        <f>VLOOKUP(M108,'[1]INDIAN ENTERPRISES'!$D:$D,1,0)</f>
        <v>#N/A</v>
      </c>
      <c r="AI108" t="e">
        <f>VLOOKUP(M108,'[2]Invoices Not in Customer Books'!$E:$K,7,0)</f>
        <v>#N/A</v>
      </c>
      <c r="AJ108" s="15" t="e">
        <f>VLOOKUP(M108,'[1]INDIAN ENTERPRISES'!$D:$L,9,0)</f>
        <v>#N/A</v>
      </c>
    </row>
    <row r="109" spans="1:36" hidden="1" outlineLevel="2" x14ac:dyDescent="0.25">
      <c r="A109" t="s">
        <v>20</v>
      </c>
      <c r="B109" t="s">
        <v>1</v>
      </c>
      <c r="C109" t="s">
        <v>2</v>
      </c>
      <c r="D109" t="s">
        <v>3</v>
      </c>
      <c r="E109" t="s">
        <v>174</v>
      </c>
      <c r="F109" t="s">
        <v>200</v>
      </c>
      <c r="G109" s="2">
        <v>46064</v>
      </c>
      <c r="H109" t="s">
        <v>274</v>
      </c>
      <c r="I109" t="s">
        <v>7</v>
      </c>
      <c r="J109" s="2">
        <v>46064</v>
      </c>
      <c r="K109" s="2">
        <v>46069</v>
      </c>
      <c r="L109" t="s">
        <v>275</v>
      </c>
      <c r="M109" s="14">
        <v>256779451534</v>
      </c>
      <c r="N109" t="s">
        <v>9</v>
      </c>
      <c r="O109" t="s">
        <v>10</v>
      </c>
      <c r="P109" t="s">
        <v>11</v>
      </c>
      <c r="Q109" t="s">
        <v>12</v>
      </c>
      <c r="R109" t="s">
        <v>13</v>
      </c>
      <c r="S109" s="3">
        <v>201.82</v>
      </c>
      <c r="T109" t="s">
        <v>14</v>
      </c>
      <c r="U109" s="3">
        <v>18231.45</v>
      </c>
      <c r="V109" t="s">
        <v>15</v>
      </c>
      <c r="W109" t="s">
        <v>136</v>
      </c>
      <c r="X109" t="s">
        <v>11</v>
      </c>
      <c r="Y109" t="s">
        <v>8</v>
      </c>
      <c r="Z109" t="s">
        <v>17</v>
      </c>
      <c r="AA109" t="s">
        <v>276</v>
      </c>
      <c r="AB109" t="s">
        <v>11</v>
      </c>
      <c r="AC109" t="s">
        <v>11</v>
      </c>
      <c r="AD109" t="s">
        <v>11</v>
      </c>
      <c r="AE109" s="2">
        <v>46064</v>
      </c>
      <c r="AF109" s="2"/>
      <c r="AG109" t="s">
        <v>11</v>
      </c>
      <c r="AH109" s="14" t="e">
        <f>VLOOKUP(M109,'[1]INDIAN ENTERPRISES'!$D:$D,1,0)</f>
        <v>#N/A</v>
      </c>
      <c r="AI109" t="e">
        <f>VLOOKUP(M109,'[2]Invoices Not in Customer Books'!$E:$K,7,0)</f>
        <v>#N/A</v>
      </c>
      <c r="AJ109" s="15" t="e">
        <f>VLOOKUP(M109,'[1]INDIAN ENTERPRISES'!$D:$L,9,0)</f>
        <v>#N/A</v>
      </c>
    </row>
    <row r="110" spans="1:36" hidden="1" outlineLevel="2" x14ac:dyDescent="0.25">
      <c r="A110" t="s">
        <v>20</v>
      </c>
      <c r="B110" t="s">
        <v>1</v>
      </c>
      <c r="C110" t="s">
        <v>2</v>
      </c>
      <c r="D110" t="s">
        <v>3</v>
      </c>
      <c r="E110" t="s">
        <v>174</v>
      </c>
      <c r="F110" t="s">
        <v>200</v>
      </c>
      <c r="G110" s="2">
        <v>46071</v>
      </c>
      <c r="H110" t="s">
        <v>277</v>
      </c>
      <c r="I110" t="s">
        <v>7</v>
      </c>
      <c r="J110" s="2">
        <v>46071</v>
      </c>
      <c r="K110" s="2">
        <v>46071</v>
      </c>
      <c r="L110" t="s">
        <v>278</v>
      </c>
      <c r="M110" s="14">
        <v>256779451584</v>
      </c>
      <c r="N110" t="s">
        <v>9</v>
      </c>
      <c r="O110" t="s">
        <v>10</v>
      </c>
      <c r="P110" t="s">
        <v>11</v>
      </c>
      <c r="Q110" t="s">
        <v>12</v>
      </c>
      <c r="R110" t="s">
        <v>13</v>
      </c>
      <c r="S110" s="3">
        <v>5</v>
      </c>
      <c r="T110" t="s">
        <v>14</v>
      </c>
      <c r="U110" s="3">
        <v>451.68</v>
      </c>
      <c r="V110" t="s">
        <v>15</v>
      </c>
      <c r="W110" t="s">
        <v>136</v>
      </c>
      <c r="X110" t="s">
        <v>11</v>
      </c>
      <c r="Y110" t="s">
        <v>278</v>
      </c>
      <c r="Z110" t="s">
        <v>17</v>
      </c>
      <c r="AA110" t="s">
        <v>279</v>
      </c>
      <c r="AB110" t="s">
        <v>11</v>
      </c>
      <c r="AC110" t="s">
        <v>11</v>
      </c>
      <c r="AD110" t="s">
        <v>11</v>
      </c>
      <c r="AE110" s="2">
        <v>46071</v>
      </c>
      <c r="AF110" s="2"/>
      <c r="AG110" t="s">
        <v>11</v>
      </c>
      <c r="AH110" s="14" t="e">
        <f>VLOOKUP(M110,'[1]INDIAN ENTERPRISES'!$D:$D,1,0)</f>
        <v>#N/A</v>
      </c>
      <c r="AI110" t="e">
        <f>VLOOKUP(M110,'[2]Invoices Not in Customer Books'!$E:$K,7,0)</f>
        <v>#N/A</v>
      </c>
      <c r="AJ110" s="15" t="e">
        <f>VLOOKUP(M110,'[1]INDIAN ENTERPRISES'!$D:$L,9,0)</f>
        <v>#N/A</v>
      </c>
    </row>
    <row r="111" spans="1:36" hidden="1" outlineLevel="2" x14ac:dyDescent="0.25">
      <c r="A111" t="s">
        <v>20</v>
      </c>
      <c r="B111" t="s">
        <v>1</v>
      </c>
      <c r="C111" t="s">
        <v>2</v>
      </c>
      <c r="D111" t="s">
        <v>3</v>
      </c>
      <c r="E111" t="s">
        <v>174</v>
      </c>
      <c r="F111" t="s">
        <v>200</v>
      </c>
      <c r="G111" s="2">
        <v>46068</v>
      </c>
      <c r="H111" t="s">
        <v>280</v>
      </c>
      <c r="I111" t="s">
        <v>7</v>
      </c>
      <c r="J111" s="2">
        <v>46068</v>
      </c>
      <c r="K111" s="2">
        <v>46072</v>
      </c>
      <c r="L111" t="s">
        <v>281</v>
      </c>
      <c r="M111" s="14">
        <v>256779451600</v>
      </c>
      <c r="N111" t="s">
        <v>9</v>
      </c>
      <c r="O111" t="s">
        <v>10</v>
      </c>
      <c r="P111" t="s">
        <v>11</v>
      </c>
      <c r="Q111" t="s">
        <v>12</v>
      </c>
      <c r="R111" t="s">
        <v>13</v>
      </c>
      <c r="S111" s="3">
        <v>34.81</v>
      </c>
      <c r="T111" t="s">
        <v>14</v>
      </c>
      <c r="U111" s="3">
        <v>3144.57</v>
      </c>
      <c r="V111" t="s">
        <v>15</v>
      </c>
      <c r="W111" t="s">
        <v>136</v>
      </c>
      <c r="X111" t="s">
        <v>11</v>
      </c>
      <c r="Y111" t="s">
        <v>8</v>
      </c>
      <c r="Z111" t="s">
        <v>17</v>
      </c>
      <c r="AA111" t="s">
        <v>282</v>
      </c>
      <c r="AB111" t="s">
        <v>11</v>
      </c>
      <c r="AC111" t="s">
        <v>11</v>
      </c>
      <c r="AD111" t="s">
        <v>11</v>
      </c>
      <c r="AE111" s="2">
        <v>46068</v>
      </c>
      <c r="AF111" s="2"/>
      <c r="AG111" t="s">
        <v>11</v>
      </c>
      <c r="AH111" s="14" t="e">
        <f>VLOOKUP(M111,'[1]INDIAN ENTERPRISES'!$D:$D,1,0)</f>
        <v>#N/A</v>
      </c>
      <c r="AI111" t="e">
        <f>VLOOKUP(M111,'[2]Invoices Not in Customer Books'!$E:$K,7,0)</f>
        <v>#N/A</v>
      </c>
      <c r="AJ111" s="15" t="e">
        <f>VLOOKUP(M111,'[1]INDIAN ENTERPRISES'!$D:$L,9,0)</f>
        <v>#N/A</v>
      </c>
    </row>
    <row r="112" spans="1:36" outlineLevel="2" x14ac:dyDescent="0.25">
      <c r="A112" t="s">
        <v>20</v>
      </c>
      <c r="B112" t="s">
        <v>1</v>
      </c>
      <c r="C112" t="s">
        <v>2</v>
      </c>
      <c r="D112" t="s">
        <v>3</v>
      </c>
      <c r="E112" t="s">
        <v>174</v>
      </c>
      <c r="F112" t="s">
        <v>200</v>
      </c>
      <c r="G112" s="2">
        <v>46077</v>
      </c>
      <c r="H112" t="s">
        <v>283</v>
      </c>
      <c r="I112" t="s">
        <v>196</v>
      </c>
      <c r="J112" s="2">
        <v>46077</v>
      </c>
      <c r="K112" s="2">
        <v>46077</v>
      </c>
      <c r="L112" t="s">
        <v>284</v>
      </c>
      <c r="M112" s="13">
        <v>2176101</v>
      </c>
      <c r="N112" t="s">
        <v>9</v>
      </c>
      <c r="O112" t="s">
        <v>10</v>
      </c>
      <c r="P112" t="s">
        <v>11</v>
      </c>
      <c r="Q112" t="s">
        <v>198</v>
      </c>
      <c r="R112" t="s">
        <v>14</v>
      </c>
      <c r="S112" s="3">
        <v>-1980457.18</v>
      </c>
      <c r="T112" t="s">
        <v>14</v>
      </c>
      <c r="U112" s="3">
        <v>-1980457.18</v>
      </c>
      <c r="V112" t="s">
        <v>11</v>
      </c>
      <c r="W112" t="s">
        <v>199</v>
      </c>
      <c r="X112" t="s">
        <v>11</v>
      </c>
      <c r="Y112" t="s">
        <v>11</v>
      </c>
      <c r="Z112" t="s">
        <v>200</v>
      </c>
      <c r="AA112" t="s">
        <v>11</v>
      </c>
      <c r="AB112" t="s">
        <v>11</v>
      </c>
      <c r="AC112" t="s">
        <v>11</v>
      </c>
      <c r="AD112" t="s">
        <v>11</v>
      </c>
      <c r="AE112" s="2">
        <v>46077</v>
      </c>
      <c r="AF112" s="2"/>
      <c r="AG112" t="s">
        <v>11</v>
      </c>
    </row>
    <row r="113" spans="1:36" hidden="1" outlineLevel="2" x14ac:dyDescent="0.25">
      <c r="A113" t="s">
        <v>20</v>
      </c>
      <c r="B113" t="s">
        <v>1</v>
      </c>
      <c r="C113" t="s">
        <v>2</v>
      </c>
      <c r="D113" t="s">
        <v>3</v>
      </c>
      <c r="E113" t="s">
        <v>174</v>
      </c>
      <c r="F113" t="s">
        <v>200</v>
      </c>
      <c r="G113" s="2">
        <v>46076</v>
      </c>
      <c r="H113" t="s">
        <v>285</v>
      </c>
      <c r="I113" t="s">
        <v>7</v>
      </c>
      <c r="J113" s="2">
        <v>46076</v>
      </c>
      <c r="K113" s="2">
        <v>46077</v>
      </c>
      <c r="L113" t="s">
        <v>8</v>
      </c>
      <c r="M113" s="14">
        <v>256779451836</v>
      </c>
      <c r="N113" t="s">
        <v>9</v>
      </c>
      <c r="O113" t="s">
        <v>10</v>
      </c>
      <c r="P113" t="s">
        <v>11</v>
      </c>
      <c r="Q113" t="s">
        <v>12</v>
      </c>
      <c r="R113" t="s">
        <v>13</v>
      </c>
      <c r="S113" s="3">
        <v>81.03</v>
      </c>
      <c r="T113" t="s">
        <v>14</v>
      </c>
      <c r="U113" s="3">
        <v>7319.86</v>
      </c>
      <c r="V113" t="s">
        <v>15</v>
      </c>
      <c r="W113" t="s">
        <v>136</v>
      </c>
      <c r="X113" t="s">
        <v>11</v>
      </c>
      <c r="Y113" t="s">
        <v>286</v>
      </c>
      <c r="Z113" t="s">
        <v>17</v>
      </c>
      <c r="AA113" t="s">
        <v>287</v>
      </c>
      <c r="AB113" t="s">
        <v>11</v>
      </c>
      <c r="AC113" t="s">
        <v>11</v>
      </c>
      <c r="AD113" t="s">
        <v>11</v>
      </c>
      <c r="AE113" s="2">
        <v>46076</v>
      </c>
      <c r="AF113" s="2"/>
      <c r="AG113" t="s">
        <v>11</v>
      </c>
      <c r="AH113" s="14" t="e">
        <f>VLOOKUP(M113,'[1]INDIAN ENTERPRISES'!$D:$D,1,0)</f>
        <v>#N/A</v>
      </c>
      <c r="AI113" t="e">
        <f>VLOOKUP(M113,'[2]Invoices Not in Customer Books'!$E:$K,7,0)</f>
        <v>#N/A</v>
      </c>
      <c r="AJ113" s="15" t="e">
        <f>VLOOKUP(M113,'[1]INDIAN ENTERPRISES'!$D:$L,9,0)</f>
        <v>#N/A</v>
      </c>
    </row>
    <row r="114" spans="1:36" hidden="1" outlineLevel="2" x14ac:dyDescent="0.25">
      <c r="A114" t="s">
        <v>20</v>
      </c>
      <c r="B114" t="s">
        <v>1</v>
      </c>
      <c r="C114" t="s">
        <v>2</v>
      </c>
      <c r="D114" t="s">
        <v>3</v>
      </c>
      <c r="E114" t="s">
        <v>174</v>
      </c>
      <c r="F114" t="s">
        <v>200</v>
      </c>
      <c r="G114" s="2">
        <v>46076</v>
      </c>
      <c r="H114" t="s">
        <v>288</v>
      </c>
      <c r="I114" t="s">
        <v>7</v>
      </c>
      <c r="J114" s="2">
        <v>46076</v>
      </c>
      <c r="K114" s="2">
        <v>46077</v>
      </c>
      <c r="L114" t="s">
        <v>8</v>
      </c>
      <c r="M114" s="14">
        <v>256779451861</v>
      </c>
      <c r="N114" t="s">
        <v>9</v>
      </c>
      <c r="O114" t="s">
        <v>10</v>
      </c>
      <c r="P114" t="s">
        <v>11</v>
      </c>
      <c r="Q114" t="s">
        <v>12</v>
      </c>
      <c r="R114" t="s">
        <v>13</v>
      </c>
      <c r="S114" s="3">
        <v>13.28</v>
      </c>
      <c r="T114" t="s">
        <v>14</v>
      </c>
      <c r="U114" s="3">
        <v>1199.6500000000001</v>
      </c>
      <c r="V114" t="s">
        <v>15</v>
      </c>
      <c r="W114" t="s">
        <v>136</v>
      </c>
      <c r="X114" t="s">
        <v>11</v>
      </c>
      <c r="Y114" t="s">
        <v>286</v>
      </c>
      <c r="Z114" t="s">
        <v>17</v>
      </c>
      <c r="AA114" t="s">
        <v>289</v>
      </c>
      <c r="AB114" t="s">
        <v>11</v>
      </c>
      <c r="AC114" t="s">
        <v>11</v>
      </c>
      <c r="AD114" t="s">
        <v>11</v>
      </c>
      <c r="AE114" s="2">
        <v>46076</v>
      </c>
      <c r="AF114" s="2"/>
      <c r="AG114" t="s">
        <v>11</v>
      </c>
      <c r="AH114" s="14" t="e">
        <f>VLOOKUP(M114,'[1]INDIAN ENTERPRISES'!$D:$D,1,0)</f>
        <v>#N/A</v>
      </c>
      <c r="AI114" t="e">
        <f>VLOOKUP(M114,'[2]Invoices Not in Customer Books'!$E:$K,7,0)</f>
        <v>#N/A</v>
      </c>
      <c r="AJ114" s="15" t="e">
        <f>VLOOKUP(M114,'[1]INDIAN ENTERPRISES'!$D:$L,9,0)</f>
        <v>#N/A</v>
      </c>
    </row>
    <row r="115" spans="1:36" hidden="1" outlineLevel="2" x14ac:dyDescent="0.25">
      <c r="A115" t="s">
        <v>20</v>
      </c>
      <c r="B115" t="s">
        <v>1</v>
      </c>
      <c r="C115" t="s">
        <v>2</v>
      </c>
      <c r="D115" t="s">
        <v>3</v>
      </c>
      <c r="E115" t="s">
        <v>174</v>
      </c>
      <c r="F115" t="s">
        <v>200</v>
      </c>
      <c r="G115" s="2">
        <v>46077</v>
      </c>
      <c r="H115" t="s">
        <v>290</v>
      </c>
      <c r="I115" t="s">
        <v>7</v>
      </c>
      <c r="J115" s="2">
        <v>46077</v>
      </c>
      <c r="K115" s="2">
        <v>46077</v>
      </c>
      <c r="L115" t="s">
        <v>291</v>
      </c>
      <c r="M115" s="14">
        <v>256779451882</v>
      </c>
      <c r="N115" t="s">
        <v>9</v>
      </c>
      <c r="O115" t="s">
        <v>10</v>
      </c>
      <c r="P115" t="s">
        <v>11</v>
      </c>
      <c r="Q115" t="s">
        <v>12</v>
      </c>
      <c r="R115" t="s">
        <v>13</v>
      </c>
      <c r="S115" s="3">
        <v>249.08</v>
      </c>
      <c r="T115" t="s">
        <v>14</v>
      </c>
      <c r="U115" s="3">
        <v>22500.69</v>
      </c>
      <c r="V115" t="s">
        <v>15</v>
      </c>
      <c r="W115" t="s">
        <v>136</v>
      </c>
      <c r="X115" t="s">
        <v>11</v>
      </c>
      <c r="Y115" t="s">
        <v>8</v>
      </c>
      <c r="Z115" t="s">
        <v>17</v>
      </c>
      <c r="AA115" t="s">
        <v>292</v>
      </c>
      <c r="AB115" t="s">
        <v>11</v>
      </c>
      <c r="AC115" t="s">
        <v>11</v>
      </c>
      <c r="AD115" t="s">
        <v>11</v>
      </c>
      <c r="AE115" s="2">
        <v>46077</v>
      </c>
      <c r="AF115" s="2"/>
      <c r="AG115" t="s">
        <v>11</v>
      </c>
      <c r="AH115" s="14" t="e">
        <f>VLOOKUP(M115,'[1]INDIAN ENTERPRISES'!$D:$D,1,0)</f>
        <v>#N/A</v>
      </c>
      <c r="AI115" t="e">
        <f>VLOOKUP(M115,'[2]Invoices Not in Customer Books'!$E:$K,7,0)</f>
        <v>#N/A</v>
      </c>
      <c r="AJ115" s="15" t="e">
        <f>VLOOKUP(M115,'[1]INDIAN ENTERPRISES'!$D:$L,9,0)</f>
        <v>#N/A</v>
      </c>
    </row>
    <row r="116" spans="1:36" hidden="1" outlineLevel="2" x14ac:dyDescent="0.25">
      <c r="A116" t="s">
        <v>20</v>
      </c>
      <c r="B116" t="s">
        <v>1</v>
      </c>
      <c r="C116" t="s">
        <v>2</v>
      </c>
      <c r="D116" t="s">
        <v>3</v>
      </c>
      <c r="E116" t="s">
        <v>174</v>
      </c>
      <c r="F116" t="s">
        <v>200</v>
      </c>
      <c r="G116" s="2">
        <v>46077</v>
      </c>
      <c r="H116" t="s">
        <v>293</v>
      </c>
      <c r="I116" t="s">
        <v>7</v>
      </c>
      <c r="J116" s="2">
        <v>46077</v>
      </c>
      <c r="K116" s="2">
        <v>46077</v>
      </c>
      <c r="L116" t="s">
        <v>294</v>
      </c>
      <c r="M116" s="14">
        <v>256779451929</v>
      </c>
      <c r="N116" t="s">
        <v>9</v>
      </c>
      <c r="O116" t="s">
        <v>10</v>
      </c>
      <c r="P116" t="s">
        <v>11</v>
      </c>
      <c r="Q116" t="s">
        <v>12</v>
      </c>
      <c r="R116" t="s">
        <v>13</v>
      </c>
      <c r="S116" s="3">
        <v>570.26</v>
      </c>
      <c r="T116" t="s">
        <v>14</v>
      </c>
      <c r="U116" s="3">
        <v>51514.55</v>
      </c>
      <c r="V116" t="s">
        <v>15</v>
      </c>
      <c r="W116" t="s">
        <v>136</v>
      </c>
      <c r="X116" t="s">
        <v>11</v>
      </c>
      <c r="Y116" t="s">
        <v>8</v>
      </c>
      <c r="Z116" t="s">
        <v>17</v>
      </c>
      <c r="AA116" t="s">
        <v>295</v>
      </c>
      <c r="AB116" t="s">
        <v>11</v>
      </c>
      <c r="AC116" t="s">
        <v>11</v>
      </c>
      <c r="AD116" t="s">
        <v>11</v>
      </c>
      <c r="AE116" s="2">
        <v>46077</v>
      </c>
      <c r="AF116" s="2"/>
      <c r="AG116" t="s">
        <v>11</v>
      </c>
      <c r="AH116" s="14" t="e">
        <f>VLOOKUP(M116,'[1]INDIAN ENTERPRISES'!$D:$D,1,0)</f>
        <v>#N/A</v>
      </c>
      <c r="AI116" t="e">
        <f>VLOOKUP(M116,'[2]Invoices Not in Customer Books'!$E:$K,7,0)</f>
        <v>#N/A</v>
      </c>
      <c r="AJ116" s="15" t="e">
        <f>VLOOKUP(M116,'[1]INDIAN ENTERPRISES'!$D:$L,9,0)</f>
        <v>#N/A</v>
      </c>
    </row>
    <row r="117" spans="1:36" hidden="1" outlineLevel="2" x14ac:dyDescent="0.25">
      <c r="A117" t="s">
        <v>20</v>
      </c>
      <c r="B117" t="s">
        <v>1</v>
      </c>
      <c r="C117" t="s">
        <v>2</v>
      </c>
      <c r="D117" t="s">
        <v>3</v>
      </c>
      <c r="E117" t="s">
        <v>174</v>
      </c>
      <c r="F117" t="s">
        <v>200</v>
      </c>
      <c r="G117" s="2">
        <v>46077</v>
      </c>
      <c r="H117" t="s">
        <v>296</v>
      </c>
      <c r="I117" t="s">
        <v>7</v>
      </c>
      <c r="J117" s="2">
        <v>46077</v>
      </c>
      <c r="K117" s="2">
        <v>46077</v>
      </c>
      <c r="L117" t="s">
        <v>297</v>
      </c>
      <c r="M117" s="14">
        <v>256779451962</v>
      </c>
      <c r="N117" t="s">
        <v>9</v>
      </c>
      <c r="O117" t="s">
        <v>10</v>
      </c>
      <c r="P117" t="s">
        <v>11</v>
      </c>
      <c r="Q117" t="s">
        <v>12</v>
      </c>
      <c r="R117" t="s">
        <v>13</v>
      </c>
      <c r="S117" s="3">
        <v>289.94</v>
      </c>
      <c r="T117" t="s">
        <v>14</v>
      </c>
      <c r="U117" s="3">
        <v>26191.79</v>
      </c>
      <c r="V117" t="s">
        <v>15</v>
      </c>
      <c r="W117" t="s">
        <v>136</v>
      </c>
      <c r="X117" t="s">
        <v>11</v>
      </c>
      <c r="Y117" t="s">
        <v>8</v>
      </c>
      <c r="Z117" t="s">
        <v>17</v>
      </c>
      <c r="AA117" t="s">
        <v>298</v>
      </c>
      <c r="AB117" t="s">
        <v>11</v>
      </c>
      <c r="AC117" t="s">
        <v>11</v>
      </c>
      <c r="AD117" t="s">
        <v>11</v>
      </c>
      <c r="AE117" s="2">
        <v>46077</v>
      </c>
      <c r="AF117" s="2"/>
      <c r="AG117" t="s">
        <v>11</v>
      </c>
      <c r="AH117" s="14" t="e">
        <f>VLOOKUP(M117,'[1]INDIAN ENTERPRISES'!$D:$D,1,0)</f>
        <v>#N/A</v>
      </c>
      <c r="AI117" t="e">
        <f>VLOOKUP(M117,'[2]Invoices Not in Customer Books'!$E:$K,7,0)</f>
        <v>#N/A</v>
      </c>
      <c r="AJ117" s="15" t="e">
        <f>VLOOKUP(M117,'[1]INDIAN ENTERPRISES'!$D:$L,9,0)</f>
        <v>#N/A</v>
      </c>
    </row>
    <row r="118" spans="1:36" hidden="1" outlineLevel="2" x14ac:dyDescent="0.25">
      <c r="A118" t="s">
        <v>20</v>
      </c>
      <c r="B118" t="s">
        <v>1</v>
      </c>
      <c r="C118" t="s">
        <v>2</v>
      </c>
      <c r="D118" t="s">
        <v>3</v>
      </c>
      <c r="E118" t="s">
        <v>174</v>
      </c>
      <c r="F118" t="s">
        <v>200</v>
      </c>
      <c r="G118" s="2">
        <v>46077</v>
      </c>
      <c r="H118" t="s">
        <v>299</v>
      </c>
      <c r="I118" t="s">
        <v>7</v>
      </c>
      <c r="J118" s="2">
        <v>46077</v>
      </c>
      <c r="K118" s="2">
        <v>46077</v>
      </c>
      <c r="L118" t="s">
        <v>300</v>
      </c>
      <c r="M118" s="14">
        <v>256779451975</v>
      </c>
      <c r="N118" t="s">
        <v>9</v>
      </c>
      <c r="O118" t="s">
        <v>10</v>
      </c>
      <c r="P118" t="s">
        <v>11</v>
      </c>
      <c r="Q118" t="s">
        <v>12</v>
      </c>
      <c r="R118" t="s">
        <v>13</v>
      </c>
      <c r="S118" s="3">
        <v>590.01</v>
      </c>
      <c r="T118" t="s">
        <v>14</v>
      </c>
      <c r="U118" s="3">
        <v>53298.67</v>
      </c>
      <c r="V118" t="s">
        <v>15</v>
      </c>
      <c r="W118" t="s">
        <v>136</v>
      </c>
      <c r="X118" t="s">
        <v>11</v>
      </c>
      <c r="Y118" t="s">
        <v>8</v>
      </c>
      <c r="Z118" t="s">
        <v>17</v>
      </c>
      <c r="AA118" t="s">
        <v>301</v>
      </c>
      <c r="AB118" t="s">
        <v>11</v>
      </c>
      <c r="AC118" t="s">
        <v>11</v>
      </c>
      <c r="AD118" t="s">
        <v>11</v>
      </c>
      <c r="AE118" s="2">
        <v>46077</v>
      </c>
      <c r="AF118" s="2"/>
      <c r="AG118" t="s">
        <v>11</v>
      </c>
      <c r="AH118" s="14" t="e">
        <f>VLOOKUP(M118,'[1]INDIAN ENTERPRISES'!$D:$D,1,0)</f>
        <v>#N/A</v>
      </c>
      <c r="AI118" t="e">
        <f>VLOOKUP(M118,'[2]Invoices Not in Customer Books'!$E:$K,7,0)</f>
        <v>#N/A</v>
      </c>
      <c r="AJ118" s="15" t="e">
        <f>VLOOKUP(M118,'[1]INDIAN ENTERPRISES'!$D:$L,9,0)</f>
        <v>#N/A</v>
      </c>
    </row>
    <row r="119" spans="1:36" hidden="1" outlineLevel="2" x14ac:dyDescent="0.25">
      <c r="A119" t="s">
        <v>20</v>
      </c>
      <c r="B119" t="s">
        <v>1</v>
      </c>
      <c r="C119" t="s">
        <v>2</v>
      </c>
      <c r="D119" t="s">
        <v>3</v>
      </c>
      <c r="E119" t="s">
        <v>4</v>
      </c>
      <c r="F119" t="s">
        <v>29</v>
      </c>
      <c r="G119" s="2">
        <v>45733</v>
      </c>
      <c r="H119" t="s">
        <v>302</v>
      </c>
      <c r="I119" t="s">
        <v>7</v>
      </c>
      <c r="J119" s="2">
        <v>45733</v>
      </c>
      <c r="K119" s="2">
        <v>45734</v>
      </c>
      <c r="L119" t="s">
        <v>8</v>
      </c>
      <c r="M119" s="14">
        <v>246779412039</v>
      </c>
      <c r="N119" t="s">
        <v>9</v>
      </c>
      <c r="O119" t="s">
        <v>10</v>
      </c>
      <c r="P119" t="s">
        <v>11</v>
      </c>
      <c r="Q119" t="s">
        <v>12</v>
      </c>
      <c r="R119" t="s">
        <v>13</v>
      </c>
      <c r="S119" s="3">
        <v>56.06</v>
      </c>
      <c r="T119" t="s">
        <v>14</v>
      </c>
      <c r="U119" s="3">
        <v>4859.91</v>
      </c>
      <c r="V119" t="s">
        <v>15</v>
      </c>
      <c r="W119" t="s">
        <v>16</v>
      </c>
      <c r="X119" t="s">
        <v>11</v>
      </c>
      <c r="Y119" t="s">
        <v>8</v>
      </c>
      <c r="Z119" t="s">
        <v>17</v>
      </c>
      <c r="AA119" t="s">
        <v>303</v>
      </c>
      <c r="AB119" t="s">
        <v>11</v>
      </c>
      <c r="AC119" t="s">
        <v>11</v>
      </c>
      <c r="AD119" t="s">
        <v>11</v>
      </c>
      <c r="AE119" s="2">
        <v>45733</v>
      </c>
      <c r="AF119" s="2"/>
      <c r="AG119" t="s">
        <v>11</v>
      </c>
      <c r="AH119" s="14">
        <f>VLOOKUP(M119,'[1]INDIAN ENTERPRISES'!$D:$D,1,0)</f>
        <v>246779412039</v>
      </c>
      <c r="AJ119" s="15">
        <f>VLOOKUP(M119,'[1]INDIAN ENTERPRISES'!$D:$L,9,0)</f>
        <v>45838</v>
      </c>
    </row>
    <row r="120" spans="1:36" hidden="1" outlineLevel="2" x14ac:dyDescent="0.25">
      <c r="A120" t="s">
        <v>20</v>
      </c>
      <c r="B120" t="s">
        <v>1</v>
      </c>
      <c r="C120" t="s">
        <v>2</v>
      </c>
      <c r="D120" t="s">
        <v>3</v>
      </c>
      <c r="E120" t="s">
        <v>4</v>
      </c>
      <c r="F120" t="s">
        <v>29</v>
      </c>
      <c r="G120" s="2">
        <v>45733</v>
      </c>
      <c r="H120" t="s">
        <v>304</v>
      </c>
      <c r="I120" t="s">
        <v>7</v>
      </c>
      <c r="J120" s="2">
        <v>45733</v>
      </c>
      <c r="K120" s="2">
        <v>45734</v>
      </c>
      <c r="L120" t="s">
        <v>8</v>
      </c>
      <c r="M120" s="14">
        <v>246779412040</v>
      </c>
      <c r="N120" t="s">
        <v>9</v>
      </c>
      <c r="O120" t="s">
        <v>10</v>
      </c>
      <c r="P120" t="s">
        <v>11</v>
      </c>
      <c r="Q120" t="s">
        <v>12</v>
      </c>
      <c r="R120" t="s">
        <v>13</v>
      </c>
      <c r="S120" s="3">
        <v>16.82</v>
      </c>
      <c r="T120" t="s">
        <v>14</v>
      </c>
      <c r="U120" s="3">
        <v>1458.15</v>
      </c>
      <c r="V120" t="s">
        <v>15</v>
      </c>
      <c r="W120" t="s">
        <v>16</v>
      </c>
      <c r="X120" t="s">
        <v>11</v>
      </c>
      <c r="Y120" t="s">
        <v>8</v>
      </c>
      <c r="Z120" t="s">
        <v>17</v>
      </c>
      <c r="AA120" t="s">
        <v>303</v>
      </c>
      <c r="AB120" t="s">
        <v>11</v>
      </c>
      <c r="AC120" t="s">
        <v>11</v>
      </c>
      <c r="AD120" t="s">
        <v>11</v>
      </c>
      <c r="AE120" s="2">
        <v>45733</v>
      </c>
      <c r="AF120" s="2"/>
      <c r="AG120" t="s">
        <v>11</v>
      </c>
      <c r="AH120" s="14">
        <f>VLOOKUP(M120,'[1]INDIAN ENTERPRISES'!$D:$D,1,0)</f>
        <v>246779412040</v>
      </c>
      <c r="AJ120" s="15">
        <f>VLOOKUP(M120,'[1]INDIAN ENTERPRISES'!$D:$L,9,0)</f>
        <v>45838</v>
      </c>
    </row>
    <row r="121" spans="1:36" hidden="1" outlineLevel="2" x14ac:dyDescent="0.25">
      <c r="A121" t="s">
        <v>20</v>
      </c>
      <c r="B121" t="s">
        <v>1</v>
      </c>
      <c r="C121" t="s">
        <v>2</v>
      </c>
      <c r="D121" t="s">
        <v>3</v>
      </c>
      <c r="E121" t="s">
        <v>4</v>
      </c>
      <c r="F121" t="s">
        <v>29</v>
      </c>
      <c r="G121" s="2">
        <v>45733</v>
      </c>
      <c r="H121" t="s">
        <v>305</v>
      </c>
      <c r="I121" t="s">
        <v>7</v>
      </c>
      <c r="J121" s="2">
        <v>45733</v>
      </c>
      <c r="K121" s="2">
        <v>45734</v>
      </c>
      <c r="L121" t="s">
        <v>8</v>
      </c>
      <c r="M121" s="14">
        <v>246779412041</v>
      </c>
      <c r="N121" t="s">
        <v>9</v>
      </c>
      <c r="O121" t="s">
        <v>10</v>
      </c>
      <c r="P121" t="s">
        <v>11</v>
      </c>
      <c r="Q121" t="s">
        <v>12</v>
      </c>
      <c r="R121" t="s">
        <v>13</v>
      </c>
      <c r="S121" s="3">
        <v>33.64</v>
      </c>
      <c r="T121" t="s">
        <v>14</v>
      </c>
      <c r="U121" s="3">
        <v>2916.29</v>
      </c>
      <c r="V121" t="s">
        <v>15</v>
      </c>
      <c r="W121" t="s">
        <v>16</v>
      </c>
      <c r="X121" t="s">
        <v>11</v>
      </c>
      <c r="Y121" t="s">
        <v>8</v>
      </c>
      <c r="Z121" t="s">
        <v>17</v>
      </c>
      <c r="AA121" t="s">
        <v>303</v>
      </c>
      <c r="AB121" t="s">
        <v>11</v>
      </c>
      <c r="AC121" t="s">
        <v>11</v>
      </c>
      <c r="AD121" t="s">
        <v>11</v>
      </c>
      <c r="AE121" s="2">
        <v>45733</v>
      </c>
      <c r="AF121" s="2"/>
      <c r="AG121" t="s">
        <v>11</v>
      </c>
      <c r="AH121" s="14">
        <f>VLOOKUP(M121,'[1]INDIAN ENTERPRISES'!$D:$D,1,0)</f>
        <v>246779412041</v>
      </c>
      <c r="AJ121" s="15">
        <f>VLOOKUP(M121,'[1]INDIAN ENTERPRISES'!$D:$L,9,0)</f>
        <v>45838</v>
      </c>
    </row>
    <row r="122" spans="1:36" hidden="1" outlineLevel="2" x14ac:dyDescent="0.25">
      <c r="A122" t="s">
        <v>20</v>
      </c>
      <c r="B122" t="s">
        <v>1</v>
      </c>
      <c r="C122" t="s">
        <v>2</v>
      </c>
      <c r="D122" t="s">
        <v>3</v>
      </c>
      <c r="E122" t="s">
        <v>4</v>
      </c>
      <c r="F122" t="s">
        <v>29</v>
      </c>
      <c r="G122" s="2">
        <v>45733</v>
      </c>
      <c r="H122" t="s">
        <v>306</v>
      </c>
      <c r="I122" t="s">
        <v>7</v>
      </c>
      <c r="J122" s="2">
        <v>45733</v>
      </c>
      <c r="K122" s="2">
        <v>45734</v>
      </c>
      <c r="L122" t="s">
        <v>8</v>
      </c>
      <c r="M122" s="14">
        <v>246779412042</v>
      </c>
      <c r="N122" t="s">
        <v>9</v>
      </c>
      <c r="O122" t="s">
        <v>10</v>
      </c>
      <c r="P122" t="s">
        <v>11</v>
      </c>
      <c r="Q122" t="s">
        <v>12</v>
      </c>
      <c r="R122" t="s">
        <v>13</v>
      </c>
      <c r="S122" s="3">
        <v>16.82</v>
      </c>
      <c r="T122" t="s">
        <v>14</v>
      </c>
      <c r="U122" s="3">
        <v>1458.15</v>
      </c>
      <c r="V122" t="s">
        <v>15</v>
      </c>
      <c r="W122" t="s">
        <v>16</v>
      </c>
      <c r="X122" t="s">
        <v>11</v>
      </c>
      <c r="Y122" t="s">
        <v>8</v>
      </c>
      <c r="Z122" t="s">
        <v>17</v>
      </c>
      <c r="AA122" t="s">
        <v>303</v>
      </c>
      <c r="AB122" t="s">
        <v>11</v>
      </c>
      <c r="AC122" t="s">
        <v>11</v>
      </c>
      <c r="AD122" t="s">
        <v>11</v>
      </c>
      <c r="AE122" s="2">
        <v>45733</v>
      </c>
      <c r="AF122" s="2"/>
      <c r="AG122" t="s">
        <v>11</v>
      </c>
      <c r="AH122" s="14">
        <f>VLOOKUP(M122,'[1]INDIAN ENTERPRISES'!$D:$D,1,0)</f>
        <v>246779412042</v>
      </c>
      <c r="AJ122" s="15">
        <f>VLOOKUP(M122,'[1]INDIAN ENTERPRISES'!$D:$L,9,0)</f>
        <v>45838</v>
      </c>
    </row>
    <row r="123" spans="1:36" hidden="1" outlineLevel="2" x14ac:dyDescent="0.25">
      <c r="A123" t="s">
        <v>20</v>
      </c>
      <c r="B123" t="s">
        <v>1</v>
      </c>
      <c r="C123" t="s">
        <v>2</v>
      </c>
      <c r="D123" t="s">
        <v>3</v>
      </c>
      <c r="E123" t="s">
        <v>4</v>
      </c>
      <c r="F123" t="s">
        <v>29</v>
      </c>
      <c r="G123" s="2">
        <v>45733</v>
      </c>
      <c r="H123" t="s">
        <v>307</v>
      </c>
      <c r="I123" t="s">
        <v>7</v>
      </c>
      <c r="J123" s="2">
        <v>45733</v>
      </c>
      <c r="K123" s="2">
        <v>45734</v>
      </c>
      <c r="L123" t="s">
        <v>8</v>
      </c>
      <c r="M123" s="14">
        <v>246779412043</v>
      </c>
      <c r="N123" t="s">
        <v>9</v>
      </c>
      <c r="O123" t="s">
        <v>10</v>
      </c>
      <c r="P123" t="s">
        <v>11</v>
      </c>
      <c r="Q123" t="s">
        <v>12</v>
      </c>
      <c r="R123" t="s">
        <v>13</v>
      </c>
      <c r="S123" s="3">
        <v>16.82</v>
      </c>
      <c r="T123" t="s">
        <v>14</v>
      </c>
      <c r="U123" s="3">
        <v>1458.15</v>
      </c>
      <c r="V123" t="s">
        <v>15</v>
      </c>
      <c r="W123" t="s">
        <v>16</v>
      </c>
      <c r="X123" t="s">
        <v>11</v>
      </c>
      <c r="Y123" t="s">
        <v>8</v>
      </c>
      <c r="Z123" t="s">
        <v>17</v>
      </c>
      <c r="AA123" t="s">
        <v>303</v>
      </c>
      <c r="AB123" t="s">
        <v>11</v>
      </c>
      <c r="AC123" t="s">
        <v>11</v>
      </c>
      <c r="AD123" t="s">
        <v>11</v>
      </c>
      <c r="AE123" s="2">
        <v>45733</v>
      </c>
      <c r="AF123" s="2"/>
      <c r="AG123" t="s">
        <v>11</v>
      </c>
      <c r="AH123" s="14">
        <f>VLOOKUP(M123,'[1]INDIAN ENTERPRISES'!$D:$D,1,0)</f>
        <v>246779412043</v>
      </c>
      <c r="AJ123" s="15">
        <f>VLOOKUP(M123,'[1]INDIAN ENTERPRISES'!$D:$L,9,0)</f>
        <v>45838</v>
      </c>
    </row>
    <row r="124" spans="1:36" hidden="1" outlineLevel="2" x14ac:dyDescent="0.25">
      <c r="A124" t="s">
        <v>20</v>
      </c>
      <c r="B124" t="s">
        <v>1</v>
      </c>
      <c r="C124" t="s">
        <v>2</v>
      </c>
      <c r="D124" t="s">
        <v>3</v>
      </c>
      <c r="E124" t="s">
        <v>4</v>
      </c>
      <c r="F124" t="s">
        <v>29</v>
      </c>
      <c r="G124" s="2">
        <v>45733</v>
      </c>
      <c r="H124" t="s">
        <v>308</v>
      </c>
      <c r="I124" t="s">
        <v>7</v>
      </c>
      <c r="J124" s="2">
        <v>45733</v>
      </c>
      <c r="K124" s="2">
        <v>45734</v>
      </c>
      <c r="L124" t="s">
        <v>8</v>
      </c>
      <c r="M124" s="14">
        <v>246779412045</v>
      </c>
      <c r="N124" t="s">
        <v>9</v>
      </c>
      <c r="O124" t="s">
        <v>10</v>
      </c>
      <c r="P124" t="s">
        <v>11</v>
      </c>
      <c r="Q124" t="s">
        <v>12</v>
      </c>
      <c r="R124" t="s">
        <v>13</v>
      </c>
      <c r="S124" s="3">
        <v>230</v>
      </c>
      <c r="T124" t="s">
        <v>14</v>
      </c>
      <c r="U124" s="3">
        <v>19938.990000000002</v>
      </c>
      <c r="V124" t="s">
        <v>15</v>
      </c>
      <c r="W124" t="s">
        <v>16</v>
      </c>
      <c r="X124" t="s">
        <v>11</v>
      </c>
      <c r="Y124" t="s">
        <v>8</v>
      </c>
      <c r="Z124" t="s">
        <v>17</v>
      </c>
      <c r="AA124" t="s">
        <v>303</v>
      </c>
      <c r="AB124" t="s">
        <v>11</v>
      </c>
      <c r="AC124" t="s">
        <v>11</v>
      </c>
      <c r="AD124" t="s">
        <v>11</v>
      </c>
      <c r="AE124" s="2">
        <v>45733</v>
      </c>
      <c r="AF124" s="2"/>
      <c r="AG124" t="s">
        <v>11</v>
      </c>
      <c r="AH124" s="14">
        <f>VLOOKUP(M124,'[1]INDIAN ENTERPRISES'!$D:$D,1,0)</f>
        <v>246779412045</v>
      </c>
      <c r="AJ124" s="15">
        <f>VLOOKUP(M124,'[1]INDIAN ENTERPRISES'!$D:$L,9,0)</f>
        <v>45838</v>
      </c>
    </row>
    <row r="125" spans="1:36" hidden="1" outlineLevel="2" x14ac:dyDescent="0.25">
      <c r="A125" t="s">
        <v>20</v>
      </c>
      <c r="B125" t="s">
        <v>1</v>
      </c>
      <c r="C125" t="s">
        <v>2</v>
      </c>
      <c r="D125" t="s">
        <v>3</v>
      </c>
      <c r="E125" t="s">
        <v>4</v>
      </c>
      <c r="F125" t="s">
        <v>29</v>
      </c>
      <c r="G125" s="2">
        <v>45733</v>
      </c>
      <c r="H125" t="s">
        <v>309</v>
      </c>
      <c r="I125" t="s">
        <v>7</v>
      </c>
      <c r="J125" s="2">
        <v>45733</v>
      </c>
      <c r="K125" s="2">
        <v>45734</v>
      </c>
      <c r="L125" t="s">
        <v>8</v>
      </c>
      <c r="M125" s="14">
        <v>246779412047</v>
      </c>
      <c r="N125" t="s">
        <v>9</v>
      </c>
      <c r="O125" t="s">
        <v>10</v>
      </c>
      <c r="P125" t="s">
        <v>11</v>
      </c>
      <c r="Q125" t="s">
        <v>12</v>
      </c>
      <c r="R125" t="s">
        <v>13</v>
      </c>
      <c r="S125" s="3">
        <v>28.03</v>
      </c>
      <c r="T125" t="s">
        <v>14</v>
      </c>
      <c r="U125" s="3">
        <v>2429.96</v>
      </c>
      <c r="V125" t="s">
        <v>15</v>
      </c>
      <c r="W125" t="s">
        <v>16</v>
      </c>
      <c r="X125" t="s">
        <v>11</v>
      </c>
      <c r="Y125" t="s">
        <v>8</v>
      </c>
      <c r="Z125" t="s">
        <v>17</v>
      </c>
      <c r="AA125" t="s">
        <v>303</v>
      </c>
      <c r="AB125" t="s">
        <v>11</v>
      </c>
      <c r="AC125" t="s">
        <v>11</v>
      </c>
      <c r="AD125" t="s">
        <v>11</v>
      </c>
      <c r="AE125" s="2">
        <v>45733</v>
      </c>
      <c r="AF125" s="2"/>
      <c r="AG125" t="s">
        <v>11</v>
      </c>
      <c r="AH125" s="14">
        <f>VLOOKUP(M125,'[1]INDIAN ENTERPRISES'!$D:$D,1,0)</f>
        <v>246779412047</v>
      </c>
      <c r="AJ125" s="15">
        <f>VLOOKUP(M125,'[1]INDIAN ENTERPRISES'!$D:$L,9,0)</f>
        <v>45869</v>
      </c>
    </row>
    <row r="126" spans="1:36" hidden="1" outlineLevel="2" x14ac:dyDescent="0.25">
      <c r="A126" t="s">
        <v>20</v>
      </c>
      <c r="B126" t="s">
        <v>1</v>
      </c>
      <c r="C126" t="s">
        <v>2</v>
      </c>
      <c r="D126" t="s">
        <v>3</v>
      </c>
      <c r="E126" t="s">
        <v>4</v>
      </c>
      <c r="F126" t="s">
        <v>29</v>
      </c>
      <c r="G126" s="2">
        <v>45733</v>
      </c>
      <c r="H126" t="s">
        <v>310</v>
      </c>
      <c r="I126" t="s">
        <v>7</v>
      </c>
      <c r="J126" s="2">
        <v>45733</v>
      </c>
      <c r="K126" s="2">
        <v>45734</v>
      </c>
      <c r="L126" t="s">
        <v>8</v>
      </c>
      <c r="M126" s="14">
        <v>246779412048</v>
      </c>
      <c r="N126" t="s">
        <v>9</v>
      </c>
      <c r="O126" t="s">
        <v>10</v>
      </c>
      <c r="P126" t="s">
        <v>11</v>
      </c>
      <c r="Q126" t="s">
        <v>12</v>
      </c>
      <c r="R126" t="s">
        <v>13</v>
      </c>
      <c r="S126" s="3">
        <v>22.78</v>
      </c>
      <c r="T126" t="s">
        <v>14</v>
      </c>
      <c r="U126" s="3">
        <v>1974.83</v>
      </c>
      <c r="V126" t="s">
        <v>15</v>
      </c>
      <c r="W126" t="s">
        <v>16</v>
      </c>
      <c r="X126" t="s">
        <v>11</v>
      </c>
      <c r="Y126" t="s">
        <v>8</v>
      </c>
      <c r="Z126" t="s">
        <v>17</v>
      </c>
      <c r="AA126" t="s">
        <v>303</v>
      </c>
      <c r="AB126" t="s">
        <v>11</v>
      </c>
      <c r="AC126" t="s">
        <v>11</v>
      </c>
      <c r="AD126" t="s">
        <v>11</v>
      </c>
      <c r="AE126" s="2">
        <v>45733</v>
      </c>
      <c r="AF126" s="2"/>
      <c r="AG126" t="s">
        <v>11</v>
      </c>
      <c r="AH126" s="14">
        <f>VLOOKUP(M126,'[1]INDIAN ENTERPRISES'!$D:$D,1,0)</f>
        <v>246779412048</v>
      </c>
      <c r="AJ126" s="15">
        <f>VLOOKUP(M126,'[1]INDIAN ENTERPRISES'!$D:$L,9,0)</f>
        <v>45838</v>
      </c>
    </row>
    <row r="127" spans="1:36" hidden="1" outlineLevel="2" x14ac:dyDescent="0.25">
      <c r="A127" t="s">
        <v>20</v>
      </c>
      <c r="B127" t="s">
        <v>1</v>
      </c>
      <c r="C127" t="s">
        <v>2</v>
      </c>
      <c r="D127" t="s">
        <v>3</v>
      </c>
      <c r="E127" t="s">
        <v>4</v>
      </c>
      <c r="F127" t="s">
        <v>29</v>
      </c>
      <c r="G127" s="2">
        <v>45733</v>
      </c>
      <c r="H127" t="s">
        <v>311</v>
      </c>
      <c r="I127" t="s">
        <v>7</v>
      </c>
      <c r="J127" s="2">
        <v>45733</v>
      </c>
      <c r="K127" s="2">
        <v>45734</v>
      </c>
      <c r="L127" t="s">
        <v>8</v>
      </c>
      <c r="M127" s="14">
        <v>246779412111</v>
      </c>
      <c r="N127" t="s">
        <v>9</v>
      </c>
      <c r="O127" t="s">
        <v>10</v>
      </c>
      <c r="P127" t="s">
        <v>11</v>
      </c>
      <c r="Q127" t="s">
        <v>12</v>
      </c>
      <c r="R127" t="s">
        <v>13</v>
      </c>
      <c r="S127" s="3">
        <v>420.46</v>
      </c>
      <c r="T127" t="s">
        <v>14</v>
      </c>
      <c r="U127" s="3">
        <v>36450.21</v>
      </c>
      <c r="V127" t="s">
        <v>15</v>
      </c>
      <c r="W127" t="s">
        <v>16</v>
      </c>
      <c r="X127" t="s">
        <v>11</v>
      </c>
      <c r="Y127" t="s">
        <v>8</v>
      </c>
      <c r="Z127" t="s">
        <v>17</v>
      </c>
      <c r="AA127" t="s">
        <v>303</v>
      </c>
      <c r="AB127" t="s">
        <v>11</v>
      </c>
      <c r="AC127" t="s">
        <v>11</v>
      </c>
      <c r="AD127" t="s">
        <v>11</v>
      </c>
      <c r="AE127" s="2">
        <v>45733</v>
      </c>
      <c r="AF127" s="2"/>
      <c r="AG127" t="s">
        <v>11</v>
      </c>
      <c r="AH127" s="14">
        <f>VLOOKUP(M127,'[1]INDIAN ENTERPRISES'!$D:$D,1,0)</f>
        <v>246779412111</v>
      </c>
      <c r="AJ127" s="15">
        <f>VLOOKUP(M127,'[1]INDIAN ENTERPRISES'!$D:$L,9,0)</f>
        <v>45838</v>
      </c>
    </row>
    <row r="128" spans="1:36" hidden="1" outlineLevel="2" x14ac:dyDescent="0.25">
      <c r="A128" t="s">
        <v>20</v>
      </c>
      <c r="B128" t="s">
        <v>1</v>
      </c>
      <c r="C128" t="s">
        <v>2</v>
      </c>
      <c r="D128" t="s">
        <v>3</v>
      </c>
      <c r="E128" t="s">
        <v>4</v>
      </c>
      <c r="F128" t="s">
        <v>29</v>
      </c>
      <c r="G128" s="2">
        <v>45733</v>
      </c>
      <c r="H128" t="s">
        <v>312</v>
      </c>
      <c r="I128" t="s">
        <v>7</v>
      </c>
      <c r="J128" s="2">
        <v>45733</v>
      </c>
      <c r="K128" s="2">
        <v>45734</v>
      </c>
      <c r="L128" t="s">
        <v>8</v>
      </c>
      <c r="M128" s="14">
        <v>246779411718</v>
      </c>
      <c r="N128" t="s">
        <v>9</v>
      </c>
      <c r="O128" t="s">
        <v>10</v>
      </c>
      <c r="P128" t="s">
        <v>11</v>
      </c>
      <c r="Q128" t="s">
        <v>12</v>
      </c>
      <c r="R128" t="s">
        <v>13</v>
      </c>
      <c r="S128" s="3">
        <v>22.95</v>
      </c>
      <c r="T128" t="s">
        <v>14</v>
      </c>
      <c r="U128" s="3">
        <v>1989.56</v>
      </c>
      <c r="V128" t="s">
        <v>15</v>
      </c>
      <c r="W128" t="s">
        <v>16</v>
      </c>
      <c r="X128" t="s">
        <v>11</v>
      </c>
      <c r="Y128" t="s">
        <v>8</v>
      </c>
      <c r="Z128" t="s">
        <v>17</v>
      </c>
      <c r="AA128" t="s">
        <v>313</v>
      </c>
      <c r="AB128" t="s">
        <v>11</v>
      </c>
      <c r="AC128" t="s">
        <v>11</v>
      </c>
      <c r="AD128" t="s">
        <v>11</v>
      </c>
      <c r="AE128" s="2">
        <v>45733</v>
      </c>
      <c r="AF128" s="2"/>
      <c r="AG128" t="s">
        <v>11</v>
      </c>
      <c r="AH128" s="14">
        <f>VLOOKUP(M128,'[1]INDIAN ENTERPRISES'!$D:$D,1,0)</f>
        <v>246779411718</v>
      </c>
      <c r="AJ128" s="15">
        <f>VLOOKUP(M128,'[1]INDIAN ENTERPRISES'!$D:$L,9,0)</f>
        <v>45838</v>
      </c>
    </row>
    <row r="129" spans="1:36" hidden="1" outlineLevel="2" x14ac:dyDescent="0.25">
      <c r="A129" t="s">
        <v>20</v>
      </c>
      <c r="B129" t="s">
        <v>1</v>
      </c>
      <c r="C129" t="s">
        <v>2</v>
      </c>
      <c r="D129" t="s">
        <v>3</v>
      </c>
      <c r="E129" t="s">
        <v>4</v>
      </c>
      <c r="F129" t="s">
        <v>29</v>
      </c>
      <c r="G129" s="2">
        <v>45733</v>
      </c>
      <c r="H129" t="s">
        <v>314</v>
      </c>
      <c r="I129" t="s">
        <v>7</v>
      </c>
      <c r="J129" s="2">
        <v>45733</v>
      </c>
      <c r="K129" s="2">
        <v>45734</v>
      </c>
      <c r="L129" t="s">
        <v>8</v>
      </c>
      <c r="M129" s="14">
        <v>246779411719</v>
      </c>
      <c r="N129" t="s">
        <v>9</v>
      </c>
      <c r="O129" t="s">
        <v>10</v>
      </c>
      <c r="P129" t="s">
        <v>11</v>
      </c>
      <c r="Q129" t="s">
        <v>12</v>
      </c>
      <c r="R129" t="s">
        <v>13</v>
      </c>
      <c r="S129" s="3">
        <v>28.54</v>
      </c>
      <c r="T129" t="s">
        <v>14</v>
      </c>
      <c r="U129" s="3">
        <v>2474.17</v>
      </c>
      <c r="V129" t="s">
        <v>15</v>
      </c>
      <c r="W129" t="s">
        <v>16</v>
      </c>
      <c r="X129" t="s">
        <v>11</v>
      </c>
      <c r="Y129" t="s">
        <v>8</v>
      </c>
      <c r="Z129" t="s">
        <v>17</v>
      </c>
      <c r="AA129" t="s">
        <v>313</v>
      </c>
      <c r="AB129" t="s">
        <v>11</v>
      </c>
      <c r="AC129" t="s">
        <v>11</v>
      </c>
      <c r="AD129" t="s">
        <v>11</v>
      </c>
      <c r="AE129" s="2">
        <v>45733</v>
      </c>
      <c r="AF129" s="2"/>
      <c r="AG129" t="s">
        <v>11</v>
      </c>
      <c r="AH129" s="14">
        <f>VLOOKUP(M129,'[1]INDIAN ENTERPRISES'!$D:$D,1,0)</f>
        <v>246779411719</v>
      </c>
      <c r="AJ129" s="15">
        <f>VLOOKUP(M129,'[1]INDIAN ENTERPRISES'!$D:$L,9,0)</f>
        <v>45838</v>
      </c>
    </row>
    <row r="130" spans="1:36" hidden="1" outlineLevel="2" x14ac:dyDescent="0.25">
      <c r="A130" t="s">
        <v>20</v>
      </c>
      <c r="B130" t="s">
        <v>1</v>
      </c>
      <c r="C130" t="s">
        <v>2</v>
      </c>
      <c r="D130" t="s">
        <v>3</v>
      </c>
      <c r="E130" t="s">
        <v>4</v>
      </c>
      <c r="F130" t="s">
        <v>29</v>
      </c>
      <c r="G130" s="2">
        <v>45733</v>
      </c>
      <c r="H130" t="s">
        <v>315</v>
      </c>
      <c r="I130" t="s">
        <v>7</v>
      </c>
      <c r="J130" s="2">
        <v>45733</v>
      </c>
      <c r="K130" s="2">
        <v>45734</v>
      </c>
      <c r="L130" t="s">
        <v>8</v>
      </c>
      <c r="M130" s="14">
        <v>246779411720</v>
      </c>
      <c r="N130" t="s">
        <v>9</v>
      </c>
      <c r="O130" t="s">
        <v>10</v>
      </c>
      <c r="P130" t="s">
        <v>11</v>
      </c>
      <c r="Q130" t="s">
        <v>12</v>
      </c>
      <c r="R130" t="s">
        <v>13</v>
      </c>
      <c r="S130" s="3">
        <v>17.12</v>
      </c>
      <c r="T130" t="s">
        <v>14</v>
      </c>
      <c r="U130" s="3">
        <v>1484.15</v>
      </c>
      <c r="V130" t="s">
        <v>15</v>
      </c>
      <c r="W130" t="s">
        <v>16</v>
      </c>
      <c r="X130" t="s">
        <v>11</v>
      </c>
      <c r="Y130" t="s">
        <v>8</v>
      </c>
      <c r="Z130" t="s">
        <v>17</v>
      </c>
      <c r="AA130" t="s">
        <v>313</v>
      </c>
      <c r="AB130" t="s">
        <v>11</v>
      </c>
      <c r="AC130" t="s">
        <v>11</v>
      </c>
      <c r="AD130" t="s">
        <v>11</v>
      </c>
      <c r="AE130" s="2">
        <v>45733</v>
      </c>
      <c r="AF130" s="2"/>
      <c r="AG130" t="s">
        <v>11</v>
      </c>
      <c r="AH130" s="14">
        <f>VLOOKUP(M130,'[1]INDIAN ENTERPRISES'!$D:$D,1,0)</f>
        <v>246779411720</v>
      </c>
      <c r="AJ130" s="15">
        <f>VLOOKUP(M130,'[1]INDIAN ENTERPRISES'!$D:$L,9,0)</f>
        <v>45838</v>
      </c>
    </row>
    <row r="131" spans="1:36" hidden="1" outlineLevel="2" x14ac:dyDescent="0.25">
      <c r="A131" t="s">
        <v>20</v>
      </c>
      <c r="B131" t="s">
        <v>1</v>
      </c>
      <c r="C131" t="s">
        <v>2</v>
      </c>
      <c r="D131" t="s">
        <v>3</v>
      </c>
      <c r="E131" t="s">
        <v>4</v>
      </c>
      <c r="F131" t="s">
        <v>29</v>
      </c>
      <c r="G131" s="2">
        <v>45733</v>
      </c>
      <c r="H131" t="s">
        <v>316</v>
      </c>
      <c r="I131" t="s">
        <v>7</v>
      </c>
      <c r="J131" s="2">
        <v>45733</v>
      </c>
      <c r="K131" s="2">
        <v>45734</v>
      </c>
      <c r="L131" t="s">
        <v>8</v>
      </c>
      <c r="M131" s="14">
        <v>246779411721</v>
      </c>
      <c r="N131" t="s">
        <v>9</v>
      </c>
      <c r="O131" t="s">
        <v>10</v>
      </c>
      <c r="P131" t="s">
        <v>11</v>
      </c>
      <c r="Q131" t="s">
        <v>12</v>
      </c>
      <c r="R131" t="s">
        <v>13</v>
      </c>
      <c r="S131" s="3">
        <v>525.63</v>
      </c>
      <c r="T131" t="s">
        <v>14</v>
      </c>
      <c r="U131" s="3">
        <v>45567.53</v>
      </c>
      <c r="V131" t="s">
        <v>15</v>
      </c>
      <c r="W131" t="s">
        <v>16</v>
      </c>
      <c r="X131" t="s">
        <v>11</v>
      </c>
      <c r="Y131" t="s">
        <v>8</v>
      </c>
      <c r="Z131" t="s">
        <v>17</v>
      </c>
      <c r="AA131" t="s">
        <v>313</v>
      </c>
      <c r="AB131" t="s">
        <v>11</v>
      </c>
      <c r="AC131" t="s">
        <v>11</v>
      </c>
      <c r="AD131" t="s">
        <v>11</v>
      </c>
      <c r="AE131" s="2">
        <v>45733</v>
      </c>
      <c r="AF131" s="2"/>
      <c r="AG131" t="s">
        <v>11</v>
      </c>
      <c r="AH131" s="14">
        <f>VLOOKUP(M131,'[1]INDIAN ENTERPRISES'!$D:$D,1,0)</f>
        <v>246779411721</v>
      </c>
      <c r="AJ131" s="15">
        <f>VLOOKUP(M131,'[1]INDIAN ENTERPRISES'!$D:$L,9,0)</f>
        <v>45838</v>
      </c>
    </row>
    <row r="132" spans="1:36" hidden="1" outlineLevel="2" x14ac:dyDescent="0.25">
      <c r="A132" t="s">
        <v>20</v>
      </c>
      <c r="B132" t="s">
        <v>1</v>
      </c>
      <c r="C132" t="s">
        <v>2</v>
      </c>
      <c r="D132" t="s">
        <v>3</v>
      </c>
      <c r="E132" t="s">
        <v>4</v>
      </c>
      <c r="F132" t="s">
        <v>29</v>
      </c>
      <c r="G132" s="2">
        <v>45733</v>
      </c>
      <c r="H132" t="s">
        <v>317</v>
      </c>
      <c r="I132" t="s">
        <v>7</v>
      </c>
      <c r="J132" s="2">
        <v>45733</v>
      </c>
      <c r="K132" s="2">
        <v>45734</v>
      </c>
      <c r="L132" t="s">
        <v>8</v>
      </c>
      <c r="M132" s="14">
        <v>246779411722</v>
      </c>
      <c r="N132" t="s">
        <v>9</v>
      </c>
      <c r="O132" t="s">
        <v>10</v>
      </c>
      <c r="P132" t="s">
        <v>11</v>
      </c>
      <c r="Q132" t="s">
        <v>12</v>
      </c>
      <c r="R132" t="s">
        <v>13</v>
      </c>
      <c r="S132" s="3">
        <v>39.96</v>
      </c>
      <c r="T132" t="s">
        <v>14</v>
      </c>
      <c r="U132" s="3">
        <v>3464.18</v>
      </c>
      <c r="V132" t="s">
        <v>15</v>
      </c>
      <c r="W132" t="s">
        <v>16</v>
      </c>
      <c r="X132" t="s">
        <v>11</v>
      </c>
      <c r="Y132" t="s">
        <v>8</v>
      </c>
      <c r="Z132" t="s">
        <v>17</v>
      </c>
      <c r="AA132" t="s">
        <v>313</v>
      </c>
      <c r="AB132" t="s">
        <v>11</v>
      </c>
      <c r="AC132" t="s">
        <v>11</v>
      </c>
      <c r="AD132" t="s">
        <v>11</v>
      </c>
      <c r="AE132" s="2">
        <v>45733</v>
      </c>
      <c r="AF132" s="2"/>
      <c r="AG132" t="s">
        <v>11</v>
      </c>
      <c r="AH132" s="14">
        <f>VLOOKUP(M132,'[1]INDIAN ENTERPRISES'!$D:$D,1,0)</f>
        <v>246779411722</v>
      </c>
      <c r="AJ132" s="15">
        <f>VLOOKUP(M132,'[1]INDIAN ENTERPRISES'!$D:$L,9,0)</f>
        <v>45838</v>
      </c>
    </row>
    <row r="133" spans="1:36" hidden="1" outlineLevel="2" x14ac:dyDescent="0.25">
      <c r="A133" t="s">
        <v>20</v>
      </c>
      <c r="B133" t="s">
        <v>1</v>
      </c>
      <c r="C133" t="s">
        <v>2</v>
      </c>
      <c r="D133" t="s">
        <v>3</v>
      </c>
      <c r="E133" t="s">
        <v>4</v>
      </c>
      <c r="F133" t="s">
        <v>29</v>
      </c>
      <c r="G133" s="2">
        <v>45733</v>
      </c>
      <c r="H133" t="s">
        <v>318</v>
      </c>
      <c r="I133" t="s">
        <v>7</v>
      </c>
      <c r="J133" s="2">
        <v>45733</v>
      </c>
      <c r="K133" s="2">
        <v>45734</v>
      </c>
      <c r="L133" t="s">
        <v>8</v>
      </c>
      <c r="M133" s="14">
        <v>246779411733</v>
      </c>
      <c r="N133" t="s">
        <v>9</v>
      </c>
      <c r="O133" t="s">
        <v>10</v>
      </c>
      <c r="P133" t="s">
        <v>11</v>
      </c>
      <c r="Q133" t="s">
        <v>12</v>
      </c>
      <c r="R133" t="s">
        <v>13</v>
      </c>
      <c r="S133" s="3">
        <v>17.12</v>
      </c>
      <c r="T133" t="s">
        <v>14</v>
      </c>
      <c r="U133" s="3">
        <v>1484.15</v>
      </c>
      <c r="V133" t="s">
        <v>15</v>
      </c>
      <c r="W133" t="s">
        <v>16</v>
      </c>
      <c r="X133" t="s">
        <v>11</v>
      </c>
      <c r="Y133" t="s">
        <v>8</v>
      </c>
      <c r="Z133" t="s">
        <v>17</v>
      </c>
      <c r="AA133" t="s">
        <v>313</v>
      </c>
      <c r="AB133" t="s">
        <v>11</v>
      </c>
      <c r="AC133" t="s">
        <v>11</v>
      </c>
      <c r="AD133" t="s">
        <v>11</v>
      </c>
      <c r="AE133" s="2">
        <v>45733</v>
      </c>
      <c r="AF133" s="2"/>
      <c r="AG133" t="s">
        <v>11</v>
      </c>
      <c r="AH133" s="14">
        <f>VLOOKUP(M133,'[1]INDIAN ENTERPRISES'!$D:$D,1,0)</f>
        <v>246779411733</v>
      </c>
      <c r="AJ133" s="15">
        <f>VLOOKUP(M133,'[1]INDIAN ENTERPRISES'!$D:$L,9,0)</f>
        <v>45838</v>
      </c>
    </row>
    <row r="134" spans="1:36" hidden="1" outlineLevel="2" x14ac:dyDescent="0.25">
      <c r="A134" t="s">
        <v>20</v>
      </c>
      <c r="B134" t="s">
        <v>1</v>
      </c>
      <c r="C134" t="s">
        <v>2</v>
      </c>
      <c r="D134" t="s">
        <v>3</v>
      </c>
      <c r="E134" t="s">
        <v>4</v>
      </c>
      <c r="F134" t="s">
        <v>29</v>
      </c>
      <c r="G134" s="2">
        <v>45733</v>
      </c>
      <c r="H134" t="s">
        <v>319</v>
      </c>
      <c r="I134" t="s">
        <v>7</v>
      </c>
      <c r="J134" s="2">
        <v>45733</v>
      </c>
      <c r="K134" s="2">
        <v>45734</v>
      </c>
      <c r="L134" t="s">
        <v>8</v>
      </c>
      <c r="M134" s="14">
        <v>246779411734</v>
      </c>
      <c r="N134" t="s">
        <v>9</v>
      </c>
      <c r="O134" t="s">
        <v>10</v>
      </c>
      <c r="P134" t="s">
        <v>11</v>
      </c>
      <c r="Q134" t="s">
        <v>12</v>
      </c>
      <c r="R134" t="s">
        <v>13</v>
      </c>
      <c r="S134" s="3">
        <v>22.83</v>
      </c>
      <c r="T134" t="s">
        <v>14</v>
      </c>
      <c r="U134" s="3">
        <v>1979.16</v>
      </c>
      <c r="V134" t="s">
        <v>15</v>
      </c>
      <c r="W134" t="s">
        <v>16</v>
      </c>
      <c r="X134" t="s">
        <v>11</v>
      </c>
      <c r="Y134" t="s">
        <v>8</v>
      </c>
      <c r="Z134" t="s">
        <v>17</v>
      </c>
      <c r="AA134" t="s">
        <v>313</v>
      </c>
      <c r="AB134" t="s">
        <v>11</v>
      </c>
      <c r="AC134" t="s">
        <v>11</v>
      </c>
      <c r="AD134" t="s">
        <v>11</v>
      </c>
      <c r="AE134" s="2">
        <v>45733</v>
      </c>
      <c r="AF134" s="2"/>
      <c r="AG134" t="s">
        <v>11</v>
      </c>
      <c r="AH134" s="14">
        <f>VLOOKUP(M134,'[1]INDIAN ENTERPRISES'!$D:$D,1,0)</f>
        <v>246779411734</v>
      </c>
      <c r="AJ134" s="15">
        <f>VLOOKUP(M134,'[1]INDIAN ENTERPRISES'!$D:$L,9,0)</f>
        <v>45838</v>
      </c>
    </row>
    <row r="135" spans="1:36" hidden="1" outlineLevel="2" x14ac:dyDescent="0.25">
      <c r="A135" t="s">
        <v>20</v>
      </c>
      <c r="B135" t="s">
        <v>1</v>
      </c>
      <c r="C135" t="s">
        <v>2</v>
      </c>
      <c r="D135" t="s">
        <v>3</v>
      </c>
      <c r="E135" t="s">
        <v>4</v>
      </c>
      <c r="F135" t="s">
        <v>29</v>
      </c>
      <c r="G135" s="2">
        <v>45733</v>
      </c>
      <c r="H135" t="s">
        <v>320</v>
      </c>
      <c r="I135" t="s">
        <v>7</v>
      </c>
      <c r="J135" s="2">
        <v>45733</v>
      </c>
      <c r="K135" s="2">
        <v>45734</v>
      </c>
      <c r="L135" t="s">
        <v>8</v>
      </c>
      <c r="M135" s="14">
        <v>246779411735</v>
      </c>
      <c r="N135" t="s">
        <v>9</v>
      </c>
      <c r="O135" t="s">
        <v>10</v>
      </c>
      <c r="P135" t="s">
        <v>11</v>
      </c>
      <c r="Q135" t="s">
        <v>12</v>
      </c>
      <c r="R135" t="s">
        <v>13</v>
      </c>
      <c r="S135" s="3">
        <v>479.25</v>
      </c>
      <c r="T135" t="s">
        <v>14</v>
      </c>
      <c r="U135" s="3">
        <v>41546.79</v>
      </c>
      <c r="V135" t="s">
        <v>15</v>
      </c>
      <c r="W135" t="s">
        <v>16</v>
      </c>
      <c r="X135" t="s">
        <v>11</v>
      </c>
      <c r="Y135" t="s">
        <v>8</v>
      </c>
      <c r="Z135" t="s">
        <v>17</v>
      </c>
      <c r="AA135" t="s">
        <v>313</v>
      </c>
      <c r="AB135" t="s">
        <v>11</v>
      </c>
      <c r="AC135" t="s">
        <v>11</v>
      </c>
      <c r="AD135" t="s">
        <v>11</v>
      </c>
      <c r="AE135" s="2">
        <v>45733</v>
      </c>
      <c r="AF135" s="2"/>
      <c r="AG135" t="s">
        <v>11</v>
      </c>
      <c r="AH135" s="14">
        <f>VLOOKUP(M135,'[1]INDIAN ENTERPRISES'!$D:$D,1,0)</f>
        <v>246779411735</v>
      </c>
      <c r="AJ135" s="15">
        <f>VLOOKUP(M135,'[1]INDIAN ENTERPRISES'!$D:$L,9,0)</f>
        <v>45838</v>
      </c>
    </row>
    <row r="136" spans="1:36" hidden="1" outlineLevel="2" x14ac:dyDescent="0.25">
      <c r="A136" t="s">
        <v>20</v>
      </c>
      <c r="B136" t="s">
        <v>1</v>
      </c>
      <c r="C136" t="s">
        <v>2</v>
      </c>
      <c r="D136" t="s">
        <v>3</v>
      </c>
      <c r="E136" t="s">
        <v>4</v>
      </c>
      <c r="F136" t="s">
        <v>29</v>
      </c>
      <c r="G136" s="2">
        <v>45733</v>
      </c>
      <c r="H136" t="s">
        <v>321</v>
      </c>
      <c r="I136" t="s">
        <v>7</v>
      </c>
      <c r="J136" s="2">
        <v>45733</v>
      </c>
      <c r="K136" s="2">
        <v>45734</v>
      </c>
      <c r="L136" t="s">
        <v>8</v>
      </c>
      <c r="M136" s="14">
        <v>246779411736</v>
      </c>
      <c r="N136" t="s">
        <v>9</v>
      </c>
      <c r="O136" t="s">
        <v>10</v>
      </c>
      <c r="P136" t="s">
        <v>11</v>
      </c>
      <c r="Q136" t="s">
        <v>12</v>
      </c>
      <c r="R136" t="s">
        <v>13</v>
      </c>
      <c r="S136" s="3">
        <v>22.83</v>
      </c>
      <c r="T136" t="s">
        <v>14</v>
      </c>
      <c r="U136" s="3">
        <v>1979.16</v>
      </c>
      <c r="V136" t="s">
        <v>15</v>
      </c>
      <c r="W136" t="s">
        <v>16</v>
      </c>
      <c r="X136" t="s">
        <v>11</v>
      </c>
      <c r="Y136" t="s">
        <v>8</v>
      </c>
      <c r="Z136" t="s">
        <v>17</v>
      </c>
      <c r="AA136" t="s">
        <v>313</v>
      </c>
      <c r="AB136" t="s">
        <v>11</v>
      </c>
      <c r="AC136" t="s">
        <v>11</v>
      </c>
      <c r="AD136" t="s">
        <v>11</v>
      </c>
      <c r="AE136" s="2">
        <v>45733</v>
      </c>
      <c r="AF136" s="2"/>
      <c r="AG136" t="s">
        <v>11</v>
      </c>
      <c r="AH136" s="14">
        <f>VLOOKUP(M136,'[1]INDIAN ENTERPRISES'!$D:$D,1,0)</f>
        <v>246779411736</v>
      </c>
      <c r="AJ136" s="15">
        <f>VLOOKUP(M136,'[1]INDIAN ENTERPRISES'!$D:$L,9,0)</f>
        <v>45838</v>
      </c>
    </row>
    <row r="137" spans="1:36" hidden="1" outlineLevel="2" x14ac:dyDescent="0.25">
      <c r="A137" t="s">
        <v>20</v>
      </c>
      <c r="B137" t="s">
        <v>1</v>
      </c>
      <c r="C137" t="s">
        <v>2</v>
      </c>
      <c r="D137" t="s">
        <v>3</v>
      </c>
      <c r="E137" t="s">
        <v>4</v>
      </c>
      <c r="F137" t="s">
        <v>29</v>
      </c>
      <c r="G137" s="2">
        <v>45733</v>
      </c>
      <c r="H137" t="s">
        <v>322</v>
      </c>
      <c r="I137" t="s">
        <v>7</v>
      </c>
      <c r="J137" s="2">
        <v>45733</v>
      </c>
      <c r="K137" s="2">
        <v>45734</v>
      </c>
      <c r="L137" t="s">
        <v>8</v>
      </c>
      <c r="M137" s="14">
        <v>246779411737</v>
      </c>
      <c r="N137" t="s">
        <v>9</v>
      </c>
      <c r="O137" t="s">
        <v>10</v>
      </c>
      <c r="P137" t="s">
        <v>11</v>
      </c>
      <c r="Q137" t="s">
        <v>12</v>
      </c>
      <c r="R137" t="s">
        <v>13</v>
      </c>
      <c r="S137" s="3">
        <v>28.54</v>
      </c>
      <c r="T137" t="s">
        <v>14</v>
      </c>
      <c r="U137" s="3">
        <v>2474.17</v>
      </c>
      <c r="V137" t="s">
        <v>15</v>
      </c>
      <c r="W137" t="s">
        <v>16</v>
      </c>
      <c r="X137" t="s">
        <v>11</v>
      </c>
      <c r="Y137" t="s">
        <v>8</v>
      </c>
      <c r="Z137" t="s">
        <v>17</v>
      </c>
      <c r="AA137" t="s">
        <v>313</v>
      </c>
      <c r="AB137" t="s">
        <v>11</v>
      </c>
      <c r="AC137" t="s">
        <v>11</v>
      </c>
      <c r="AD137" t="s">
        <v>11</v>
      </c>
      <c r="AE137" s="2">
        <v>45733</v>
      </c>
      <c r="AF137" s="2"/>
      <c r="AG137" t="s">
        <v>11</v>
      </c>
      <c r="AH137" s="14">
        <f>VLOOKUP(M137,'[1]INDIAN ENTERPRISES'!$D:$D,1,0)</f>
        <v>246779411737</v>
      </c>
      <c r="AJ137" s="15">
        <f>VLOOKUP(M137,'[1]INDIAN ENTERPRISES'!$D:$L,9,0)</f>
        <v>45838</v>
      </c>
    </row>
    <row r="138" spans="1:36" hidden="1" outlineLevel="2" x14ac:dyDescent="0.25">
      <c r="A138" t="s">
        <v>20</v>
      </c>
      <c r="B138" t="s">
        <v>1</v>
      </c>
      <c r="C138" t="s">
        <v>2</v>
      </c>
      <c r="D138" t="s">
        <v>3</v>
      </c>
      <c r="E138" t="s">
        <v>4</v>
      </c>
      <c r="F138" t="s">
        <v>29</v>
      </c>
      <c r="G138" s="2">
        <v>45733</v>
      </c>
      <c r="H138" t="s">
        <v>323</v>
      </c>
      <c r="I138" t="s">
        <v>7</v>
      </c>
      <c r="J138" s="2">
        <v>45733</v>
      </c>
      <c r="K138" s="2">
        <v>45734</v>
      </c>
      <c r="L138" t="s">
        <v>8</v>
      </c>
      <c r="M138" s="14">
        <v>246779411738</v>
      </c>
      <c r="N138" t="s">
        <v>9</v>
      </c>
      <c r="O138" t="s">
        <v>10</v>
      </c>
      <c r="P138" t="s">
        <v>11</v>
      </c>
      <c r="Q138" t="s">
        <v>12</v>
      </c>
      <c r="R138" t="s">
        <v>13</v>
      </c>
      <c r="S138" s="3">
        <v>28.54</v>
      </c>
      <c r="T138" t="s">
        <v>14</v>
      </c>
      <c r="U138" s="3">
        <v>2474.17</v>
      </c>
      <c r="V138" t="s">
        <v>15</v>
      </c>
      <c r="W138" t="s">
        <v>16</v>
      </c>
      <c r="X138" t="s">
        <v>11</v>
      </c>
      <c r="Y138" t="s">
        <v>8</v>
      </c>
      <c r="Z138" t="s">
        <v>17</v>
      </c>
      <c r="AA138" t="s">
        <v>313</v>
      </c>
      <c r="AB138" t="s">
        <v>11</v>
      </c>
      <c r="AC138" t="s">
        <v>11</v>
      </c>
      <c r="AD138" t="s">
        <v>11</v>
      </c>
      <c r="AE138" s="2">
        <v>45733</v>
      </c>
      <c r="AF138" s="2"/>
      <c r="AG138" t="s">
        <v>11</v>
      </c>
      <c r="AH138" s="14">
        <f>VLOOKUP(M138,'[1]INDIAN ENTERPRISES'!$D:$D,1,0)</f>
        <v>246779411738</v>
      </c>
      <c r="AJ138" s="15">
        <f>VLOOKUP(M138,'[1]INDIAN ENTERPRISES'!$D:$L,9,0)</f>
        <v>45838</v>
      </c>
    </row>
    <row r="139" spans="1:36" hidden="1" outlineLevel="2" x14ac:dyDescent="0.25">
      <c r="A139" t="s">
        <v>20</v>
      </c>
      <c r="B139" t="s">
        <v>1</v>
      </c>
      <c r="C139" t="s">
        <v>2</v>
      </c>
      <c r="D139" t="s">
        <v>3</v>
      </c>
      <c r="E139" t="s">
        <v>4</v>
      </c>
      <c r="F139" t="s">
        <v>29</v>
      </c>
      <c r="G139" s="2">
        <v>45733</v>
      </c>
      <c r="H139" t="s">
        <v>324</v>
      </c>
      <c r="I139" t="s">
        <v>7</v>
      </c>
      <c r="J139" s="2">
        <v>45733</v>
      </c>
      <c r="K139" s="2">
        <v>45734</v>
      </c>
      <c r="L139" t="s">
        <v>8</v>
      </c>
      <c r="M139" s="14">
        <v>246779411739</v>
      </c>
      <c r="N139" t="s">
        <v>9</v>
      </c>
      <c r="O139" t="s">
        <v>10</v>
      </c>
      <c r="P139" t="s">
        <v>11</v>
      </c>
      <c r="Q139" t="s">
        <v>12</v>
      </c>
      <c r="R139" t="s">
        <v>13</v>
      </c>
      <c r="S139" s="3">
        <v>34.25</v>
      </c>
      <c r="T139" t="s">
        <v>14</v>
      </c>
      <c r="U139" s="3">
        <v>2969.18</v>
      </c>
      <c r="V139" t="s">
        <v>15</v>
      </c>
      <c r="W139" t="s">
        <v>16</v>
      </c>
      <c r="X139" t="s">
        <v>11</v>
      </c>
      <c r="Y139" t="s">
        <v>8</v>
      </c>
      <c r="Z139" t="s">
        <v>17</v>
      </c>
      <c r="AA139" t="s">
        <v>313</v>
      </c>
      <c r="AB139" t="s">
        <v>11</v>
      </c>
      <c r="AC139" t="s">
        <v>11</v>
      </c>
      <c r="AD139" t="s">
        <v>11</v>
      </c>
      <c r="AE139" s="2">
        <v>45733</v>
      </c>
      <c r="AF139" s="2"/>
      <c r="AG139" t="s">
        <v>11</v>
      </c>
      <c r="AH139" s="14">
        <f>VLOOKUP(M139,'[1]INDIAN ENTERPRISES'!$D:$D,1,0)</f>
        <v>246779411739</v>
      </c>
      <c r="AJ139" s="15">
        <f>VLOOKUP(M139,'[1]INDIAN ENTERPRISES'!$D:$L,9,0)</f>
        <v>45838</v>
      </c>
    </row>
    <row r="140" spans="1:36" hidden="1" outlineLevel="2" x14ac:dyDescent="0.25">
      <c r="A140" t="s">
        <v>20</v>
      </c>
      <c r="B140" t="s">
        <v>1</v>
      </c>
      <c r="C140" t="s">
        <v>2</v>
      </c>
      <c r="D140" t="s">
        <v>3</v>
      </c>
      <c r="E140" t="s">
        <v>4</v>
      </c>
      <c r="F140" t="s">
        <v>29</v>
      </c>
      <c r="G140" s="2">
        <v>45733</v>
      </c>
      <c r="H140" t="s">
        <v>325</v>
      </c>
      <c r="I140" t="s">
        <v>7</v>
      </c>
      <c r="J140" s="2">
        <v>45733</v>
      </c>
      <c r="K140" s="2">
        <v>45734</v>
      </c>
      <c r="L140" t="s">
        <v>8</v>
      </c>
      <c r="M140" s="14">
        <v>246779411740</v>
      </c>
      <c r="N140" t="s">
        <v>9</v>
      </c>
      <c r="O140" t="s">
        <v>10</v>
      </c>
      <c r="P140" t="s">
        <v>11</v>
      </c>
      <c r="Q140" t="s">
        <v>12</v>
      </c>
      <c r="R140" t="s">
        <v>13</v>
      </c>
      <c r="S140" s="3">
        <v>22.83</v>
      </c>
      <c r="T140" t="s">
        <v>14</v>
      </c>
      <c r="U140" s="3">
        <v>1979.16</v>
      </c>
      <c r="V140" t="s">
        <v>15</v>
      </c>
      <c r="W140" t="s">
        <v>16</v>
      </c>
      <c r="X140" t="s">
        <v>11</v>
      </c>
      <c r="Y140" t="s">
        <v>8</v>
      </c>
      <c r="Z140" t="s">
        <v>17</v>
      </c>
      <c r="AA140" t="s">
        <v>313</v>
      </c>
      <c r="AB140" t="s">
        <v>11</v>
      </c>
      <c r="AC140" t="s">
        <v>11</v>
      </c>
      <c r="AD140" t="s">
        <v>11</v>
      </c>
      <c r="AE140" s="2">
        <v>45733</v>
      </c>
      <c r="AF140" s="2"/>
      <c r="AG140" t="s">
        <v>11</v>
      </c>
      <c r="AH140" s="14">
        <f>VLOOKUP(M140,'[1]INDIAN ENTERPRISES'!$D:$D,1,0)</f>
        <v>246779411740</v>
      </c>
      <c r="AJ140" s="15">
        <f>VLOOKUP(M140,'[1]INDIAN ENTERPRISES'!$D:$L,9,0)</f>
        <v>45838</v>
      </c>
    </row>
    <row r="141" spans="1:36" hidden="1" outlineLevel="2" x14ac:dyDescent="0.25">
      <c r="A141" t="s">
        <v>20</v>
      </c>
      <c r="B141" t="s">
        <v>1</v>
      </c>
      <c r="C141" t="s">
        <v>2</v>
      </c>
      <c r="D141" t="s">
        <v>3</v>
      </c>
      <c r="E141" t="s">
        <v>4</v>
      </c>
      <c r="F141" t="s">
        <v>29</v>
      </c>
      <c r="G141" s="2">
        <v>45733</v>
      </c>
      <c r="H141" t="s">
        <v>326</v>
      </c>
      <c r="I141" t="s">
        <v>7</v>
      </c>
      <c r="J141" s="2">
        <v>45733</v>
      </c>
      <c r="K141" s="2">
        <v>45734</v>
      </c>
      <c r="L141" t="s">
        <v>8</v>
      </c>
      <c r="M141" s="14">
        <v>246779411741</v>
      </c>
      <c r="N141" t="s">
        <v>9</v>
      </c>
      <c r="O141" t="s">
        <v>10</v>
      </c>
      <c r="P141" t="s">
        <v>11</v>
      </c>
      <c r="Q141" t="s">
        <v>12</v>
      </c>
      <c r="R141" t="s">
        <v>13</v>
      </c>
      <c r="S141" s="3">
        <v>240</v>
      </c>
      <c r="T141" t="s">
        <v>14</v>
      </c>
      <c r="U141" s="3">
        <v>20805.900000000001</v>
      </c>
      <c r="V141" t="s">
        <v>15</v>
      </c>
      <c r="W141" t="s">
        <v>16</v>
      </c>
      <c r="X141" t="s">
        <v>11</v>
      </c>
      <c r="Y141" t="s">
        <v>8</v>
      </c>
      <c r="Z141" t="s">
        <v>17</v>
      </c>
      <c r="AA141" t="s">
        <v>313</v>
      </c>
      <c r="AB141" t="s">
        <v>11</v>
      </c>
      <c r="AC141" t="s">
        <v>11</v>
      </c>
      <c r="AD141" t="s">
        <v>11</v>
      </c>
      <c r="AE141" s="2">
        <v>45733</v>
      </c>
      <c r="AF141" s="2"/>
      <c r="AG141" t="s">
        <v>11</v>
      </c>
      <c r="AH141" s="14">
        <f>VLOOKUP(M141,'[1]INDIAN ENTERPRISES'!$D:$D,1,0)</f>
        <v>246779411741</v>
      </c>
      <c r="AJ141" s="15">
        <f>VLOOKUP(M141,'[1]INDIAN ENTERPRISES'!$D:$L,9,0)</f>
        <v>45838</v>
      </c>
    </row>
    <row r="142" spans="1:36" hidden="1" outlineLevel="2" x14ac:dyDescent="0.25">
      <c r="A142" t="s">
        <v>20</v>
      </c>
      <c r="B142" t="s">
        <v>1</v>
      </c>
      <c r="C142" t="s">
        <v>2</v>
      </c>
      <c r="D142" t="s">
        <v>3</v>
      </c>
      <c r="E142" t="s">
        <v>4</v>
      </c>
      <c r="F142" t="s">
        <v>29</v>
      </c>
      <c r="G142" s="2">
        <v>45733</v>
      </c>
      <c r="H142" t="s">
        <v>327</v>
      </c>
      <c r="I142" t="s">
        <v>7</v>
      </c>
      <c r="J142" s="2">
        <v>45733</v>
      </c>
      <c r="K142" s="2">
        <v>45734</v>
      </c>
      <c r="L142" t="s">
        <v>8</v>
      </c>
      <c r="M142" s="14">
        <v>246779411742</v>
      </c>
      <c r="N142" t="s">
        <v>9</v>
      </c>
      <c r="O142" t="s">
        <v>10</v>
      </c>
      <c r="P142" t="s">
        <v>11</v>
      </c>
      <c r="Q142" t="s">
        <v>12</v>
      </c>
      <c r="R142" t="s">
        <v>13</v>
      </c>
      <c r="S142" s="3">
        <v>23.27</v>
      </c>
      <c r="T142" t="s">
        <v>14</v>
      </c>
      <c r="U142" s="3">
        <v>2017.31</v>
      </c>
      <c r="V142" t="s">
        <v>15</v>
      </c>
      <c r="W142" t="s">
        <v>16</v>
      </c>
      <c r="X142" t="s">
        <v>11</v>
      </c>
      <c r="Y142" t="s">
        <v>8</v>
      </c>
      <c r="Z142" t="s">
        <v>17</v>
      </c>
      <c r="AA142" t="s">
        <v>313</v>
      </c>
      <c r="AB142" t="s">
        <v>11</v>
      </c>
      <c r="AC142" t="s">
        <v>11</v>
      </c>
      <c r="AD142" t="s">
        <v>11</v>
      </c>
      <c r="AE142" s="2">
        <v>45733</v>
      </c>
      <c r="AF142" s="2"/>
      <c r="AG142" t="s">
        <v>11</v>
      </c>
      <c r="AH142" s="14">
        <f>VLOOKUP(M142,'[1]INDIAN ENTERPRISES'!$D:$D,1,0)</f>
        <v>246779411742</v>
      </c>
      <c r="AJ142" s="15">
        <f>VLOOKUP(M142,'[1]INDIAN ENTERPRISES'!$D:$L,9,0)</f>
        <v>45838</v>
      </c>
    </row>
    <row r="143" spans="1:36" hidden="1" outlineLevel="2" x14ac:dyDescent="0.25">
      <c r="A143" t="s">
        <v>20</v>
      </c>
      <c r="B143" t="s">
        <v>1</v>
      </c>
      <c r="C143" t="s">
        <v>2</v>
      </c>
      <c r="D143" t="s">
        <v>3</v>
      </c>
      <c r="E143" t="s">
        <v>4</v>
      </c>
      <c r="F143" t="s">
        <v>29</v>
      </c>
      <c r="G143" s="2">
        <v>45733</v>
      </c>
      <c r="H143" t="s">
        <v>328</v>
      </c>
      <c r="I143" t="s">
        <v>7</v>
      </c>
      <c r="J143" s="2">
        <v>45733</v>
      </c>
      <c r="K143" s="2">
        <v>45734</v>
      </c>
      <c r="L143" t="s">
        <v>8</v>
      </c>
      <c r="M143" s="14">
        <v>246779411789</v>
      </c>
      <c r="N143" t="s">
        <v>9</v>
      </c>
      <c r="O143" t="s">
        <v>10</v>
      </c>
      <c r="P143" t="s">
        <v>11</v>
      </c>
      <c r="Q143" t="s">
        <v>12</v>
      </c>
      <c r="R143" t="s">
        <v>13</v>
      </c>
      <c r="S143" s="3">
        <v>428.11</v>
      </c>
      <c r="T143" t="s">
        <v>14</v>
      </c>
      <c r="U143" s="3">
        <v>37113.4</v>
      </c>
      <c r="V143" t="s">
        <v>15</v>
      </c>
      <c r="W143" t="s">
        <v>16</v>
      </c>
      <c r="X143" t="s">
        <v>11</v>
      </c>
      <c r="Y143" t="s">
        <v>8</v>
      </c>
      <c r="Z143" t="s">
        <v>17</v>
      </c>
      <c r="AA143" t="s">
        <v>313</v>
      </c>
      <c r="AB143" t="s">
        <v>11</v>
      </c>
      <c r="AC143" t="s">
        <v>11</v>
      </c>
      <c r="AD143" t="s">
        <v>11</v>
      </c>
      <c r="AE143" s="2">
        <v>45733</v>
      </c>
      <c r="AF143" s="2"/>
      <c r="AG143" t="s">
        <v>11</v>
      </c>
      <c r="AH143" s="14">
        <f>VLOOKUP(M143,'[1]INDIAN ENTERPRISES'!$D:$D,1,0)</f>
        <v>246779411789</v>
      </c>
      <c r="AJ143" s="15">
        <f>VLOOKUP(M143,'[1]INDIAN ENTERPRISES'!$D:$L,9,0)</f>
        <v>46022</v>
      </c>
    </row>
    <row r="144" spans="1:36" hidden="1" outlineLevel="2" x14ac:dyDescent="0.25">
      <c r="A144" t="s">
        <v>20</v>
      </c>
      <c r="B144" t="s">
        <v>1</v>
      </c>
      <c r="C144" t="s">
        <v>2</v>
      </c>
      <c r="D144" t="s">
        <v>3</v>
      </c>
      <c r="E144" t="s">
        <v>4</v>
      </c>
      <c r="F144" t="s">
        <v>29</v>
      </c>
      <c r="G144" s="2">
        <v>45733</v>
      </c>
      <c r="H144" t="s">
        <v>329</v>
      </c>
      <c r="I144" t="s">
        <v>7</v>
      </c>
      <c r="J144" s="2">
        <v>45733</v>
      </c>
      <c r="K144" s="2">
        <v>45734</v>
      </c>
      <c r="L144" t="s">
        <v>8</v>
      </c>
      <c r="M144" s="14">
        <v>246779411895</v>
      </c>
      <c r="N144" t="s">
        <v>9</v>
      </c>
      <c r="O144" t="s">
        <v>10</v>
      </c>
      <c r="P144" t="s">
        <v>11</v>
      </c>
      <c r="Q144" t="s">
        <v>12</v>
      </c>
      <c r="R144" t="s">
        <v>13</v>
      </c>
      <c r="S144" s="3">
        <v>4.26</v>
      </c>
      <c r="T144" t="s">
        <v>14</v>
      </c>
      <c r="U144" s="3">
        <v>369.3</v>
      </c>
      <c r="V144" t="s">
        <v>15</v>
      </c>
      <c r="W144" t="s">
        <v>16</v>
      </c>
      <c r="X144" t="s">
        <v>11</v>
      </c>
      <c r="Y144" t="s">
        <v>8</v>
      </c>
      <c r="Z144" t="s">
        <v>17</v>
      </c>
      <c r="AA144" t="s">
        <v>330</v>
      </c>
      <c r="AB144" t="s">
        <v>11</v>
      </c>
      <c r="AC144" t="s">
        <v>11</v>
      </c>
      <c r="AD144" t="s">
        <v>11</v>
      </c>
      <c r="AE144" s="2">
        <v>45733</v>
      </c>
      <c r="AF144" s="2"/>
      <c r="AG144" t="s">
        <v>11</v>
      </c>
      <c r="AH144" s="14">
        <f>VLOOKUP(M144,'[1]INDIAN ENTERPRISES'!$D:$D,1,0)</f>
        <v>246779411895</v>
      </c>
      <c r="AJ144" s="15">
        <f>VLOOKUP(M144,'[1]INDIAN ENTERPRISES'!$D:$L,9,0)</f>
        <v>45838</v>
      </c>
    </row>
    <row r="145" spans="1:36" hidden="1" outlineLevel="2" x14ac:dyDescent="0.25">
      <c r="A145" t="s">
        <v>20</v>
      </c>
      <c r="B145" t="s">
        <v>1</v>
      </c>
      <c r="C145" t="s">
        <v>2</v>
      </c>
      <c r="D145" t="s">
        <v>3</v>
      </c>
      <c r="E145" t="s">
        <v>4</v>
      </c>
      <c r="F145" t="s">
        <v>29</v>
      </c>
      <c r="G145" s="2">
        <v>45733</v>
      </c>
      <c r="H145" t="s">
        <v>331</v>
      </c>
      <c r="I145" t="s">
        <v>7</v>
      </c>
      <c r="J145" s="2">
        <v>45733</v>
      </c>
      <c r="K145" s="2">
        <v>45734</v>
      </c>
      <c r="L145" t="s">
        <v>8</v>
      </c>
      <c r="M145" s="14">
        <v>246779411896</v>
      </c>
      <c r="N145" t="s">
        <v>9</v>
      </c>
      <c r="O145" t="s">
        <v>10</v>
      </c>
      <c r="P145" t="s">
        <v>11</v>
      </c>
      <c r="Q145" t="s">
        <v>12</v>
      </c>
      <c r="R145" t="s">
        <v>13</v>
      </c>
      <c r="S145" s="3">
        <v>39.770000000000003</v>
      </c>
      <c r="T145" t="s">
        <v>14</v>
      </c>
      <c r="U145" s="3">
        <v>3447.71</v>
      </c>
      <c r="V145" t="s">
        <v>15</v>
      </c>
      <c r="W145" t="s">
        <v>16</v>
      </c>
      <c r="X145" t="s">
        <v>11</v>
      </c>
      <c r="Y145" t="s">
        <v>8</v>
      </c>
      <c r="Z145" t="s">
        <v>17</v>
      </c>
      <c r="AA145" t="s">
        <v>330</v>
      </c>
      <c r="AB145" t="s">
        <v>11</v>
      </c>
      <c r="AC145" t="s">
        <v>11</v>
      </c>
      <c r="AD145" t="s">
        <v>11</v>
      </c>
      <c r="AE145" s="2">
        <v>45733</v>
      </c>
      <c r="AF145" s="2"/>
      <c r="AG145" t="s">
        <v>11</v>
      </c>
      <c r="AH145" s="14">
        <f>VLOOKUP(M145,'[1]INDIAN ENTERPRISES'!$D:$D,1,0)</f>
        <v>246779411896</v>
      </c>
      <c r="AJ145" s="15">
        <f>VLOOKUP(M145,'[1]INDIAN ENTERPRISES'!$D:$L,9,0)</f>
        <v>45838</v>
      </c>
    </row>
    <row r="146" spans="1:36" hidden="1" outlineLevel="2" x14ac:dyDescent="0.25">
      <c r="A146" t="s">
        <v>20</v>
      </c>
      <c r="B146" t="s">
        <v>1</v>
      </c>
      <c r="C146" t="s">
        <v>2</v>
      </c>
      <c r="D146" t="s">
        <v>3</v>
      </c>
      <c r="E146" t="s">
        <v>4</v>
      </c>
      <c r="F146" t="s">
        <v>29</v>
      </c>
      <c r="G146" s="2">
        <v>45733</v>
      </c>
      <c r="H146" t="s">
        <v>332</v>
      </c>
      <c r="I146" t="s">
        <v>7</v>
      </c>
      <c r="J146" s="2">
        <v>45733</v>
      </c>
      <c r="K146" s="2">
        <v>45734</v>
      </c>
      <c r="L146" t="s">
        <v>8</v>
      </c>
      <c r="M146" s="14">
        <v>246779411915</v>
      </c>
      <c r="N146" t="s">
        <v>9</v>
      </c>
      <c r="O146" t="s">
        <v>10</v>
      </c>
      <c r="P146" t="s">
        <v>11</v>
      </c>
      <c r="Q146" t="s">
        <v>12</v>
      </c>
      <c r="R146" t="s">
        <v>13</v>
      </c>
      <c r="S146" s="3">
        <v>23.17</v>
      </c>
      <c r="T146" t="s">
        <v>14</v>
      </c>
      <c r="U146" s="3">
        <v>2008.64</v>
      </c>
      <c r="V146" t="s">
        <v>15</v>
      </c>
      <c r="W146" t="s">
        <v>16</v>
      </c>
      <c r="X146" t="s">
        <v>11</v>
      </c>
      <c r="Y146" t="s">
        <v>8</v>
      </c>
      <c r="Z146" t="s">
        <v>17</v>
      </c>
      <c r="AA146" t="s">
        <v>330</v>
      </c>
      <c r="AB146" t="s">
        <v>11</v>
      </c>
      <c r="AC146" t="s">
        <v>11</v>
      </c>
      <c r="AD146" t="s">
        <v>11</v>
      </c>
      <c r="AE146" s="2">
        <v>45733</v>
      </c>
      <c r="AF146" s="2"/>
      <c r="AG146" t="s">
        <v>11</v>
      </c>
      <c r="AH146" s="14">
        <f>VLOOKUP(M146,'[1]INDIAN ENTERPRISES'!$D:$D,1,0)</f>
        <v>246779411915</v>
      </c>
      <c r="AJ146" s="15">
        <f>VLOOKUP(M146,'[1]INDIAN ENTERPRISES'!$D:$L,9,0)</f>
        <v>45838</v>
      </c>
    </row>
    <row r="147" spans="1:36" hidden="1" outlineLevel="2" x14ac:dyDescent="0.25">
      <c r="A147" t="s">
        <v>20</v>
      </c>
      <c r="B147" t="s">
        <v>1</v>
      </c>
      <c r="C147" t="s">
        <v>2</v>
      </c>
      <c r="D147" t="s">
        <v>3</v>
      </c>
      <c r="E147" t="s">
        <v>4</v>
      </c>
      <c r="F147" t="s">
        <v>29</v>
      </c>
      <c r="G147" s="2">
        <v>45733</v>
      </c>
      <c r="H147" t="s">
        <v>333</v>
      </c>
      <c r="I147" t="s">
        <v>7</v>
      </c>
      <c r="J147" s="2">
        <v>45733</v>
      </c>
      <c r="K147" s="2">
        <v>45734</v>
      </c>
      <c r="L147" t="s">
        <v>8</v>
      </c>
      <c r="M147" s="14">
        <v>246779411973</v>
      </c>
      <c r="N147" t="s">
        <v>9</v>
      </c>
      <c r="O147" t="s">
        <v>10</v>
      </c>
      <c r="P147" t="s">
        <v>11</v>
      </c>
      <c r="Q147" t="s">
        <v>12</v>
      </c>
      <c r="R147" t="s">
        <v>13</v>
      </c>
      <c r="S147" s="3">
        <v>426.09</v>
      </c>
      <c r="T147" t="s">
        <v>14</v>
      </c>
      <c r="U147" s="3">
        <v>36938.28</v>
      </c>
      <c r="V147" t="s">
        <v>15</v>
      </c>
      <c r="W147" t="s">
        <v>16</v>
      </c>
      <c r="X147" t="s">
        <v>11</v>
      </c>
      <c r="Y147" t="s">
        <v>8</v>
      </c>
      <c r="Z147" t="s">
        <v>17</v>
      </c>
      <c r="AA147" t="s">
        <v>330</v>
      </c>
      <c r="AB147" t="s">
        <v>11</v>
      </c>
      <c r="AC147" t="s">
        <v>11</v>
      </c>
      <c r="AD147" t="s">
        <v>11</v>
      </c>
      <c r="AE147" s="2">
        <v>45733</v>
      </c>
      <c r="AF147" s="2"/>
      <c r="AG147" t="s">
        <v>11</v>
      </c>
      <c r="AH147" s="14">
        <f>VLOOKUP(M147,'[1]INDIAN ENTERPRISES'!$D:$D,1,0)</f>
        <v>246779411973</v>
      </c>
      <c r="AJ147" s="15">
        <f>VLOOKUP(M147,'[1]INDIAN ENTERPRISES'!$D:$L,9,0)</f>
        <v>45869</v>
      </c>
    </row>
    <row r="148" spans="1:36" hidden="1" outlineLevel="2" x14ac:dyDescent="0.25">
      <c r="A148" t="s">
        <v>20</v>
      </c>
      <c r="B148" t="s">
        <v>1</v>
      </c>
      <c r="C148" t="s">
        <v>2</v>
      </c>
      <c r="D148" t="s">
        <v>3</v>
      </c>
      <c r="E148" t="s">
        <v>4</v>
      </c>
      <c r="F148" t="s">
        <v>29</v>
      </c>
      <c r="G148" s="2">
        <v>45733</v>
      </c>
      <c r="H148" t="s">
        <v>334</v>
      </c>
      <c r="I148" t="s">
        <v>7</v>
      </c>
      <c r="J148" s="2">
        <v>45733</v>
      </c>
      <c r="K148" s="2">
        <v>45734</v>
      </c>
      <c r="L148" t="s">
        <v>8</v>
      </c>
      <c r="M148" s="14">
        <v>246779412044</v>
      </c>
      <c r="N148" t="s">
        <v>9</v>
      </c>
      <c r="O148" t="s">
        <v>10</v>
      </c>
      <c r="P148" t="s">
        <v>11</v>
      </c>
      <c r="Q148" t="s">
        <v>12</v>
      </c>
      <c r="R148" t="s">
        <v>13</v>
      </c>
      <c r="S148" s="3">
        <v>30.37</v>
      </c>
      <c r="T148" t="s">
        <v>14</v>
      </c>
      <c r="U148" s="3">
        <v>2632.81</v>
      </c>
      <c r="V148" t="s">
        <v>15</v>
      </c>
      <c r="W148" t="s">
        <v>16</v>
      </c>
      <c r="X148" t="s">
        <v>11</v>
      </c>
      <c r="Y148" t="s">
        <v>8</v>
      </c>
      <c r="Z148" t="s">
        <v>17</v>
      </c>
      <c r="AA148" t="s">
        <v>303</v>
      </c>
      <c r="AB148" t="s">
        <v>11</v>
      </c>
      <c r="AC148" t="s">
        <v>11</v>
      </c>
      <c r="AD148" t="s">
        <v>11</v>
      </c>
      <c r="AE148" s="2">
        <v>45733</v>
      </c>
      <c r="AF148" s="2"/>
      <c r="AG148" t="s">
        <v>11</v>
      </c>
      <c r="AH148" s="14">
        <f>VLOOKUP(M148,'[1]INDIAN ENTERPRISES'!$D:$D,1,0)</f>
        <v>246779412044</v>
      </c>
      <c r="AJ148" s="15">
        <f>VLOOKUP(M148,'[1]INDIAN ENTERPRISES'!$D:$L,9,0)</f>
        <v>45838</v>
      </c>
    </row>
    <row r="149" spans="1:36" hidden="1" outlineLevel="2" x14ac:dyDescent="0.25">
      <c r="A149" t="s">
        <v>20</v>
      </c>
      <c r="B149" t="s">
        <v>1</v>
      </c>
      <c r="C149" t="s">
        <v>2</v>
      </c>
      <c r="D149" t="s">
        <v>3</v>
      </c>
      <c r="E149" t="s">
        <v>4</v>
      </c>
      <c r="F149" t="s">
        <v>29</v>
      </c>
      <c r="G149" s="2">
        <v>45733</v>
      </c>
      <c r="H149" t="s">
        <v>335</v>
      </c>
      <c r="I149" t="s">
        <v>7</v>
      </c>
      <c r="J149" s="2">
        <v>45733</v>
      </c>
      <c r="K149" s="2">
        <v>45734</v>
      </c>
      <c r="L149" t="s">
        <v>8</v>
      </c>
      <c r="M149" s="14">
        <v>246779412046</v>
      </c>
      <c r="N149" t="s">
        <v>9</v>
      </c>
      <c r="O149" t="s">
        <v>10</v>
      </c>
      <c r="P149" t="s">
        <v>11</v>
      </c>
      <c r="Q149" t="s">
        <v>12</v>
      </c>
      <c r="R149" t="s">
        <v>13</v>
      </c>
      <c r="S149" s="3">
        <v>16.82</v>
      </c>
      <c r="T149" t="s">
        <v>14</v>
      </c>
      <c r="U149" s="3">
        <v>1458.15</v>
      </c>
      <c r="V149" t="s">
        <v>15</v>
      </c>
      <c r="W149" t="s">
        <v>16</v>
      </c>
      <c r="X149" t="s">
        <v>11</v>
      </c>
      <c r="Y149" t="s">
        <v>8</v>
      </c>
      <c r="Z149" t="s">
        <v>17</v>
      </c>
      <c r="AA149" t="s">
        <v>303</v>
      </c>
      <c r="AB149" t="s">
        <v>11</v>
      </c>
      <c r="AC149" t="s">
        <v>11</v>
      </c>
      <c r="AD149" t="s">
        <v>11</v>
      </c>
      <c r="AE149" s="2">
        <v>45733</v>
      </c>
      <c r="AF149" s="2"/>
      <c r="AG149" t="s">
        <v>11</v>
      </c>
      <c r="AH149" s="14">
        <f>VLOOKUP(M149,'[1]INDIAN ENTERPRISES'!$D:$D,1,0)</f>
        <v>246779412046</v>
      </c>
      <c r="AJ149" s="15">
        <f>VLOOKUP(M149,'[1]INDIAN ENTERPRISES'!$D:$L,9,0)</f>
        <v>45838</v>
      </c>
    </row>
    <row r="150" spans="1:36" hidden="1" outlineLevel="2" x14ac:dyDescent="0.25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54</v>
      </c>
      <c r="G150" s="2">
        <v>45762</v>
      </c>
      <c r="H150" t="s">
        <v>336</v>
      </c>
      <c r="I150" t="s">
        <v>7</v>
      </c>
      <c r="J150" s="2">
        <v>45762</v>
      </c>
      <c r="K150" s="2">
        <v>45763</v>
      </c>
      <c r="L150" t="s">
        <v>8</v>
      </c>
      <c r="M150" s="14">
        <v>256779411091</v>
      </c>
      <c r="N150" t="s">
        <v>9</v>
      </c>
      <c r="O150" t="s">
        <v>10</v>
      </c>
      <c r="P150" t="s">
        <v>11</v>
      </c>
      <c r="Q150" t="s">
        <v>12</v>
      </c>
      <c r="R150" t="s">
        <v>13</v>
      </c>
      <c r="S150" s="3">
        <v>54.87</v>
      </c>
      <c r="T150" t="s">
        <v>14</v>
      </c>
      <c r="U150" s="3">
        <v>4769.3999999999996</v>
      </c>
      <c r="V150" t="s">
        <v>37</v>
      </c>
      <c r="W150" t="s">
        <v>11</v>
      </c>
      <c r="X150" t="s">
        <v>11</v>
      </c>
      <c r="Y150" t="s">
        <v>8</v>
      </c>
      <c r="Z150" t="s">
        <v>17</v>
      </c>
      <c r="AA150" t="s">
        <v>337</v>
      </c>
      <c r="AB150" t="s">
        <v>11</v>
      </c>
      <c r="AC150" t="s">
        <v>11</v>
      </c>
      <c r="AD150" t="s">
        <v>11</v>
      </c>
      <c r="AE150" s="2">
        <v>45762</v>
      </c>
      <c r="AF150" s="2">
        <v>45974</v>
      </c>
      <c r="AG150" t="s">
        <v>39</v>
      </c>
      <c r="AH150" s="14" t="e">
        <f>VLOOKUP(M150,'[1]INDIAN ENTERPRISES'!$D:$D,1,0)</f>
        <v>#N/A</v>
      </c>
      <c r="AI150" t="str">
        <f>VLOOKUP(M150,'[2]Invoices Not in Customer Books'!$E:$K,7,0)</f>
        <v>Invoice &amp; CN both not received &amp; booked</v>
      </c>
      <c r="AJ150" s="15" t="e">
        <f>VLOOKUP(M150,'[1]INDIAN ENTERPRISES'!$D:$L,9,0)</f>
        <v>#N/A</v>
      </c>
    </row>
    <row r="151" spans="1:36" hidden="1" outlineLevel="2" x14ac:dyDescent="0.2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54</v>
      </c>
      <c r="G151" s="2">
        <v>45762</v>
      </c>
      <c r="H151" t="s">
        <v>338</v>
      </c>
      <c r="I151" t="s">
        <v>7</v>
      </c>
      <c r="J151" s="2">
        <v>45762</v>
      </c>
      <c r="K151" s="2">
        <v>45763</v>
      </c>
      <c r="L151" t="s">
        <v>8</v>
      </c>
      <c r="M151" s="14">
        <v>256779411092</v>
      </c>
      <c r="N151" t="s">
        <v>9</v>
      </c>
      <c r="O151" t="s">
        <v>10</v>
      </c>
      <c r="P151" t="s">
        <v>11</v>
      </c>
      <c r="Q151" t="s">
        <v>12</v>
      </c>
      <c r="R151" t="s">
        <v>13</v>
      </c>
      <c r="S151" s="3">
        <v>54.87</v>
      </c>
      <c r="T151" t="s">
        <v>14</v>
      </c>
      <c r="U151" s="3">
        <v>4769.3999999999996</v>
      </c>
      <c r="V151" t="s">
        <v>37</v>
      </c>
      <c r="W151" t="s">
        <v>11</v>
      </c>
      <c r="X151" t="s">
        <v>11</v>
      </c>
      <c r="Y151" t="s">
        <v>8</v>
      </c>
      <c r="Z151" t="s">
        <v>17</v>
      </c>
      <c r="AA151" t="s">
        <v>337</v>
      </c>
      <c r="AB151" t="s">
        <v>11</v>
      </c>
      <c r="AC151" t="s">
        <v>11</v>
      </c>
      <c r="AD151" t="s">
        <v>11</v>
      </c>
      <c r="AE151" s="2">
        <v>45762</v>
      </c>
      <c r="AF151" s="2">
        <v>45974</v>
      </c>
      <c r="AG151" t="s">
        <v>39</v>
      </c>
      <c r="AH151" s="14" t="e">
        <f>VLOOKUP(M151,'[1]INDIAN ENTERPRISES'!$D:$D,1,0)</f>
        <v>#N/A</v>
      </c>
      <c r="AI151" t="str">
        <f>VLOOKUP(M151,'[2]Invoices Not in Customer Books'!$E:$K,7,0)</f>
        <v>Invoice &amp; CN both not received &amp; booked</v>
      </c>
      <c r="AJ151" s="15" t="e">
        <f>VLOOKUP(M151,'[1]INDIAN ENTERPRISES'!$D:$L,9,0)</f>
        <v>#N/A</v>
      </c>
    </row>
    <row r="152" spans="1:36" hidden="1" outlineLevel="2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54</v>
      </c>
      <c r="G152" s="2">
        <v>45762</v>
      </c>
      <c r="H152" t="s">
        <v>339</v>
      </c>
      <c r="I152" t="s">
        <v>7</v>
      </c>
      <c r="J152" s="2">
        <v>45762</v>
      </c>
      <c r="K152" s="2">
        <v>45763</v>
      </c>
      <c r="L152" t="s">
        <v>8</v>
      </c>
      <c r="M152" s="14">
        <v>256779411093</v>
      </c>
      <c r="N152" t="s">
        <v>9</v>
      </c>
      <c r="O152" t="s">
        <v>10</v>
      </c>
      <c r="P152" t="s">
        <v>11</v>
      </c>
      <c r="Q152" t="s">
        <v>12</v>
      </c>
      <c r="R152" t="s">
        <v>13</v>
      </c>
      <c r="S152" s="3">
        <v>57.82</v>
      </c>
      <c r="T152" t="s">
        <v>14</v>
      </c>
      <c r="U152" s="3">
        <v>5025.82</v>
      </c>
      <c r="V152" t="s">
        <v>37</v>
      </c>
      <c r="W152" t="s">
        <v>11</v>
      </c>
      <c r="X152" t="s">
        <v>11</v>
      </c>
      <c r="Y152" t="s">
        <v>8</v>
      </c>
      <c r="Z152" t="s">
        <v>17</v>
      </c>
      <c r="AA152" t="s">
        <v>337</v>
      </c>
      <c r="AB152" t="s">
        <v>11</v>
      </c>
      <c r="AC152" t="s">
        <v>11</v>
      </c>
      <c r="AD152" t="s">
        <v>11</v>
      </c>
      <c r="AE152" s="2">
        <v>45762</v>
      </c>
      <c r="AF152" s="2">
        <v>45974</v>
      </c>
      <c r="AG152" t="s">
        <v>39</v>
      </c>
      <c r="AH152" s="14" t="e">
        <f>VLOOKUP(M152,'[1]INDIAN ENTERPRISES'!$D:$D,1,0)</f>
        <v>#N/A</v>
      </c>
      <c r="AI152" t="str">
        <f>VLOOKUP(M152,'[2]Invoices Not in Customer Books'!$E:$K,7,0)</f>
        <v>Invoice &amp; CN both not received &amp; booked</v>
      </c>
      <c r="AJ152" s="15" t="e">
        <f>VLOOKUP(M152,'[1]INDIAN ENTERPRISES'!$D:$L,9,0)</f>
        <v>#N/A</v>
      </c>
    </row>
    <row r="153" spans="1:36" hidden="1" outlineLevel="2" x14ac:dyDescent="0.25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54</v>
      </c>
      <c r="G153" s="2">
        <v>45762</v>
      </c>
      <c r="H153" t="s">
        <v>340</v>
      </c>
      <c r="I153" t="s">
        <v>7</v>
      </c>
      <c r="J153" s="2">
        <v>45762</v>
      </c>
      <c r="K153" s="2">
        <v>45763</v>
      </c>
      <c r="L153" t="s">
        <v>8</v>
      </c>
      <c r="M153" s="14">
        <v>256779411094</v>
      </c>
      <c r="N153" t="s">
        <v>9</v>
      </c>
      <c r="O153" t="s">
        <v>10</v>
      </c>
      <c r="P153" t="s">
        <v>11</v>
      </c>
      <c r="Q153" t="s">
        <v>12</v>
      </c>
      <c r="R153" t="s">
        <v>13</v>
      </c>
      <c r="S153" s="3">
        <v>34.22</v>
      </c>
      <c r="T153" t="s">
        <v>14</v>
      </c>
      <c r="U153" s="3">
        <v>2974.46</v>
      </c>
      <c r="V153" t="s">
        <v>37</v>
      </c>
      <c r="W153" t="s">
        <v>11</v>
      </c>
      <c r="X153" t="s">
        <v>11</v>
      </c>
      <c r="Y153" t="s">
        <v>8</v>
      </c>
      <c r="Z153" t="s">
        <v>17</v>
      </c>
      <c r="AA153" t="s">
        <v>337</v>
      </c>
      <c r="AB153" t="s">
        <v>11</v>
      </c>
      <c r="AC153" t="s">
        <v>11</v>
      </c>
      <c r="AD153" t="s">
        <v>11</v>
      </c>
      <c r="AE153" s="2">
        <v>45762</v>
      </c>
      <c r="AF153" s="2">
        <v>45974</v>
      </c>
      <c r="AG153" t="s">
        <v>39</v>
      </c>
      <c r="AH153" s="14" t="e">
        <f>VLOOKUP(M153,'[1]INDIAN ENTERPRISES'!$D:$D,1,0)</f>
        <v>#N/A</v>
      </c>
      <c r="AI153" t="str">
        <f>VLOOKUP(M153,'[2]Invoices Not in Customer Books'!$E:$K,7,0)</f>
        <v>Invoice &amp; CN both not received &amp; booked</v>
      </c>
      <c r="AJ153" s="15" t="e">
        <f>VLOOKUP(M153,'[1]INDIAN ENTERPRISES'!$D:$L,9,0)</f>
        <v>#N/A</v>
      </c>
    </row>
    <row r="154" spans="1:36" hidden="1" outlineLevel="2" x14ac:dyDescent="0.25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54</v>
      </c>
      <c r="G154" s="2">
        <v>45762</v>
      </c>
      <c r="H154" t="s">
        <v>341</v>
      </c>
      <c r="I154" t="s">
        <v>7</v>
      </c>
      <c r="J154" s="2">
        <v>45762</v>
      </c>
      <c r="K154" s="2">
        <v>45763</v>
      </c>
      <c r="L154" t="s">
        <v>8</v>
      </c>
      <c r="M154" s="14">
        <v>256779411095</v>
      </c>
      <c r="N154" t="s">
        <v>9</v>
      </c>
      <c r="O154" t="s">
        <v>10</v>
      </c>
      <c r="P154" t="s">
        <v>11</v>
      </c>
      <c r="Q154" t="s">
        <v>12</v>
      </c>
      <c r="R154" t="s">
        <v>13</v>
      </c>
      <c r="S154" s="3">
        <v>48.97</v>
      </c>
      <c r="T154" t="s">
        <v>14</v>
      </c>
      <c r="U154" s="3">
        <v>4256.5600000000004</v>
      </c>
      <c r="V154" t="s">
        <v>37</v>
      </c>
      <c r="W154" t="s">
        <v>11</v>
      </c>
      <c r="X154" t="s">
        <v>11</v>
      </c>
      <c r="Y154" t="s">
        <v>8</v>
      </c>
      <c r="Z154" t="s">
        <v>17</v>
      </c>
      <c r="AA154" t="s">
        <v>337</v>
      </c>
      <c r="AB154" t="s">
        <v>11</v>
      </c>
      <c r="AC154" t="s">
        <v>11</v>
      </c>
      <c r="AD154" t="s">
        <v>11</v>
      </c>
      <c r="AE154" s="2">
        <v>45762</v>
      </c>
      <c r="AF154" s="2">
        <v>45974</v>
      </c>
      <c r="AG154" t="s">
        <v>39</v>
      </c>
      <c r="AH154" s="14" t="e">
        <f>VLOOKUP(M154,'[1]INDIAN ENTERPRISES'!$D:$D,1,0)</f>
        <v>#N/A</v>
      </c>
      <c r="AI154" t="str">
        <f>VLOOKUP(M154,'[2]Invoices Not in Customer Books'!$E:$K,7,0)</f>
        <v>Invoice &amp; CN both not received &amp; booked</v>
      </c>
      <c r="AJ154" s="15" t="e">
        <f>VLOOKUP(M154,'[1]INDIAN ENTERPRISES'!$D:$L,9,0)</f>
        <v>#N/A</v>
      </c>
    </row>
    <row r="155" spans="1:36" hidden="1" outlineLevel="2" x14ac:dyDescent="0.25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54</v>
      </c>
      <c r="G155" s="2">
        <v>45762</v>
      </c>
      <c r="H155" t="s">
        <v>342</v>
      </c>
      <c r="I155" t="s">
        <v>7</v>
      </c>
      <c r="J155" s="2">
        <v>45762</v>
      </c>
      <c r="K155" s="2">
        <v>45763</v>
      </c>
      <c r="L155" t="s">
        <v>8</v>
      </c>
      <c r="M155" s="14">
        <v>256779411096</v>
      </c>
      <c r="N155" t="s">
        <v>9</v>
      </c>
      <c r="O155" t="s">
        <v>10</v>
      </c>
      <c r="P155" t="s">
        <v>11</v>
      </c>
      <c r="Q155" t="s">
        <v>12</v>
      </c>
      <c r="R155" t="s">
        <v>13</v>
      </c>
      <c r="S155" s="3">
        <v>43.07</v>
      </c>
      <c r="T155" t="s">
        <v>14</v>
      </c>
      <c r="U155" s="3">
        <v>3743.72</v>
      </c>
      <c r="V155" t="s">
        <v>37</v>
      </c>
      <c r="W155" t="s">
        <v>11</v>
      </c>
      <c r="X155" t="s">
        <v>11</v>
      </c>
      <c r="Y155" t="s">
        <v>8</v>
      </c>
      <c r="Z155" t="s">
        <v>17</v>
      </c>
      <c r="AA155" t="s">
        <v>337</v>
      </c>
      <c r="AB155" t="s">
        <v>11</v>
      </c>
      <c r="AC155" t="s">
        <v>11</v>
      </c>
      <c r="AD155" t="s">
        <v>11</v>
      </c>
      <c r="AE155" s="2">
        <v>45762</v>
      </c>
      <c r="AF155" s="2">
        <v>45974</v>
      </c>
      <c r="AG155" t="s">
        <v>39</v>
      </c>
      <c r="AH155" s="14" t="e">
        <f>VLOOKUP(M155,'[1]INDIAN ENTERPRISES'!$D:$D,1,0)</f>
        <v>#N/A</v>
      </c>
      <c r="AI155" t="str">
        <f>VLOOKUP(M155,'[2]Invoices Not in Customer Books'!$E:$K,7,0)</f>
        <v>Invoice &amp; CN both not received &amp; booked</v>
      </c>
      <c r="AJ155" s="15" t="e">
        <f>VLOOKUP(M155,'[1]INDIAN ENTERPRISES'!$D:$L,9,0)</f>
        <v>#N/A</v>
      </c>
    </row>
    <row r="156" spans="1:36" hidden="1" outlineLevel="2" x14ac:dyDescent="0.25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54</v>
      </c>
      <c r="G156" s="2">
        <v>45762</v>
      </c>
      <c r="H156" t="s">
        <v>343</v>
      </c>
      <c r="I156" t="s">
        <v>7</v>
      </c>
      <c r="J156" s="2">
        <v>45762</v>
      </c>
      <c r="K156" s="2">
        <v>45763</v>
      </c>
      <c r="L156" t="s">
        <v>8</v>
      </c>
      <c r="M156" s="14">
        <v>256779411098</v>
      </c>
      <c r="N156" t="s">
        <v>9</v>
      </c>
      <c r="O156" t="s">
        <v>10</v>
      </c>
      <c r="P156" t="s">
        <v>11</v>
      </c>
      <c r="Q156" t="s">
        <v>12</v>
      </c>
      <c r="R156" t="s">
        <v>13</v>
      </c>
      <c r="S156" s="3">
        <v>60.64</v>
      </c>
      <c r="T156" t="s">
        <v>14</v>
      </c>
      <c r="U156" s="3">
        <v>5270.94</v>
      </c>
      <c r="V156" t="s">
        <v>37</v>
      </c>
      <c r="W156" t="s">
        <v>11</v>
      </c>
      <c r="X156" t="s">
        <v>11</v>
      </c>
      <c r="Y156" t="s">
        <v>8</v>
      </c>
      <c r="Z156" t="s">
        <v>17</v>
      </c>
      <c r="AA156" t="s">
        <v>337</v>
      </c>
      <c r="AB156" t="s">
        <v>11</v>
      </c>
      <c r="AC156" t="s">
        <v>11</v>
      </c>
      <c r="AD156" t="s">
        <v>11</v>
      </c>
      <c r="AE156" s="2">
        <v>45762</v>
      </c>
      <c r="AF156" s="2">
        <v>45974</v>
      </c>
      <c r="AG156" t="s">
        <v>39</v>
      </c>
      <c r="AH156" s="14" t="e">
        <f>VLOOKUP(M156,'[1]INDIAN ENTERPRISES'!$D:$D,1,0)</f>
        <v>#N/A</v>
      </c>
      <c r="AI156" t="str">
        <f>VLOOKUP(M156,'[2]Invoices Not in Customer Books'!$E:$K,7,0)</f>
        <v>Invoice &amp; CN both not received &amp; booked</v>
      </c>
      <c r="AJ156" s="15" t="e">
        <f>VLOOKUP(M156,'[1]INDIAN ENTERPRISES'!$D:$L,9,0)</f>
        <v>#N/A</v>
      </c>
    </row>
    <row r="157" spans="1:36" hidden="1" outlineLevel="2" x14ac:dyDescent="0.2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54</v>
      </c>
      <c r="G157" s="2">
        <v>45762</v>
      </c>
      <c r="H157" t="s">
        <v>344</v>
      </c>
      <c r="I157" t="s">
        <v>7</v>
      </c>
      <c r="J157" s="2">
        <v>45762</v>
      </c>
      <c r="K157" s="2">
        <v>45763</v>
      </c>
      <c r="L157" t="s">
        <v>8</v>
      </c>
      <c r="M157" s="14">
        <v>256779411099</v>
      </c>
      <c r="N157" t="s">
        <v>9</v>
      </c>
      <c r="O157" t="s">
        <v>10</v>
      </c>
      <c r="P157" t="s">
        <v>11</v>
      </c>
      <c r="Q157" t="s">
        <v>12</v>
      </c>
      <c r="R157" t="s">
        <v>13</v>
      </c>
      <c r="S157" s="3">
        <v>58.81</v>
      </c>
      <c r="T157" t="s">
        <v>14</v>
      </c>
      <c r="U157" s="3">
        <v>5111.87</v>
      </c>
      <c r="V157" t="s">
        <v>37</v>
      </c>
      <c r="W157" t="s">
        <v>11</v>
      </c>
      <c r="X157" t="s">
        <v>11</v>
      </c>
      <c r="Y157" t="s">
        <v>8</v>
      </c>
      <c r="Z157" t="s">
        <v>17</v>
      </c>
      <c r="AA157" t="s">
        <v>337</v>
      </c>
      <c r="AB157" t="s">
        <v>11</v>
      </c>
      <c r="AC157" t="s">
        <v>11</v>
      </c>
      <c r="AD157" t="s">
        <v>11</v>
      </c>
      <c r="AE157" s="2">
        <v>45762</v>
      </c>
      <c r="AF157" s="2">
        <v>45974</v>
      </c>
      <c r="AG157" t="s">
        <v>39</v>
      </c>
      <c r="AH157" s="14" t="e">
        <f>VLOOKUP(M157,'[1]INDIAN ENTERPRISES'!$D:$D,1,0)</f>
        <v>#N/A</v>
      </c>
      <c r="AI157" t="str">
        <f>VLOOKUP(M157,'[2]Invoices Not in Customer Books'!$E:$K,7,0)</f>
        <v>Invoice &amp; CN both not received &amp; booked</v>
      </c>
      <c r="AJ157" s="15" t="e">
        <f>VLOOKUP(M157,'[1]INDIAN ENTERPRISES'!$D:$L,9,0)</f>
        <v>#N/A</v>
      </c>
    </row>
    <row r="158" spans="1:36" hidden="1" outlineLevel="2" x14ac:dyDescent="0.25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54</v>
      </c>
      <c r="G158" s="2">
        <v>45762</v>
      </c>
      <c r="H158" t="s">
        <v>345</v>
      </c>
      <c r="I158" t="s">
        <v>7</v>
      </c>
      <c r="J158" s="2">
        <v>45762</v>
      </c>
      <c r="K158" s="2">
        <v>45763</v>
      </c>
      <c r="L158" t="s">
        <v>8</v>
      </c>
      <c r="M158" s="14">
        <v>256779411100</v>
      </c>
      <c r="N158" t="s">
        <v>9</v>
      </c>
      <c r="O158" t="s">
        <v>10</v>
      </c>
      <c r="P158" t="s">
        <v>11</v>
      </c>
      <c r="Q158" t="s">
        <v>12</v>
      </c>
      <c r="R158" t="s">
        <v>13</v>
      </c>
      <c r="S158" s="3">
        <v>46.02</v>
      </c>
      <c r="T158" t="s">
        <v>14</v>
      </c>
      <c r="U158" s="3">
        <v>4000.14</v>
      </c>
      <c r="V158" t="s">
        <v>37</v>
      </c>
      <c r="W158" t="s">
        <v>11</v>
      </c>
      <c r="X158" t="s">
        <v>11</v>
      </c>
      <c r="Y158" t="s">
        <v>8</v>
      </c>
      <c r="Z158" t="s">
        <v>17</v>
      </c>
      <c r="AA158" t="s">
        <v>337</v>
      </c>
      <c r="AB158" t="s">
        <v>11</v>
      </c>
      <c r="AC158" t="s">
        <v>11</v>
      </c>
      <c r="AD158" t="s">
        <v>11</v>
      </c>
      <c r="AE158" s="2">
        <v>45762</v>
      </c>
      <c r="AF158" s="2">
        <v>45974</v>
      </c>
      <c r="AG158" t="s">
        <v>39</v>
      </c>
      <c r="AH158" s="14" t="e">
        <f>VLOOKUP(M158,'[1]INDIAN ENTERPRISES'!$D:$D,1,0)</f>
        <v>#N/A</v>
      </c>
      <c r="AI158" t="str">
        <f>VLOOKUP(M158,'[2]Invoices Not in Customer Books'!$E:$K,7,0)</f>
        <v>Invoice &amp; CN both not received &amp; booked</v>
      </c>
      <c r="AJ158" s="15" t="e">
        <f>VLOOKUP(M158,'[1]INDIAN ENTERPRISES'!$D:$L,9,0)</f>
        <v>#N/A</v>
      </c>
    </row>
    <row r="159" spans="1:36" hidden="1" outlineLevel="2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54</v>
      </c>
      <c r="G159" s="2">
        <v>45762</v>
      </c>
      <c r="H159" t="s">
        <v>346</v>
      </c>
      <c r="I159" t="s">
        <v>7</v>
      </c>
      <c r="J159" s="2">
        <v>45762</v>
      </c>
      <c r="K159" s="2">
        <v>45763</v>
      </c>
      <c r="L159" t="s">
        <v>8</v>
      </c>
      <c r="M159" s="14">
        <v>256779411101</v>
      </c>
      <c r="N159" t="s">
        <v>9</v>
      </c>
      <c r="O159" t="s">
        <v>10</v>
      </c>
      <c r="P159" t="s">
        <v>11</v>
      </c>
      <c r="Q159" t="s">
        <v>12</v>
      </c>
      <c r="R159" t="s">
        <v>13</v>
      </c>
      <c r="S159" s="3">
        <v>32.450000000000003</v>
      </c>
      <c r="T159" t="s">
        <v>14</v>
      </c>
      <c r="U159" s="3">
        <v>2820.61</v>
      </c>
      <c r="V159" t="s">
        <v>37</v>
      </c>
      <c r="W159" t="s">
        <v>11</v>
      </c>
      <c r="X159" t="s">
        <v>11</v>
      </c>
      <c r="Y159" t="s">
        <v>8</v>
      </c>
      <c r="Z159" t="s">
        <v>17</v>
      </c>
      <c r="AA159" t="s">
        <v>337</v>
      </c>
      <c r="AB159" t="s">
        <v>11</v>
      </c>
      <c r="AC159" t="s">
        <v>11</v>
      </c>
      <c r="AD159" t="s">
        <v>11</v>
      </c>
      <c r="AE159" s="2">
        <v>45762</v>
      </c>
      <c r="AF159" s="2">
        <v>45974</v>
      </c>
      <c r="AG159" t="s">
        <v>39</v>
      </c>
      <c r="AH159" s="14" t="e">
        <f>VLOOKUP(M159,'[1]INDIAN ENTERPRISES'!$D:$D,1,0)</f>
        <v>#N/A</v>
      </c>
      <c r="AI159" t="str">
        <f>VLOOKUP(M159,'[2]Invoices Not in Customer Books'!$E:$K,7,0)</f>
        <v>Invoice &amp; CN both not received &amp; booked</v>
      </c>
      <c r="AJ159" s="15" t="e">
        <f>VLOOKUP(M159,'[1]INDIAN ENTERPRISES'!$D:$L,9,0)</f>
        <v>#N/A</v>
      </c>
    </row>
    <row r="160" spans="1:36" hidden="1" outlineLevel="2" x14ac:dyDescent="0.2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54</v>
      </c>
      <c r="G160" s="2">
        <v>45762</v>
      </c>
      <c r="H160" t="s">
        <v>347</v>
      </c>
      <c r="I160" t="s">
        <v>7</v>
      </c>
      <c r="J160" s="2">
        <v>45762</v>
      </c>
      <c r="K160" s="2">
        <v>45763</v>
      </c>
      <c r="L160" t="s">
        <v>8</v>
      </c>
      <c r="M160" s="14">
        <v>256779411458</v>
      </c>
      <c r="N160" t="s">
        <v>9</v>
      </c>
      <c r="O160" t="s">
        <v>10</v>
      </c>
      <c r="P160" t="s">
        <v>11</v>
      </c>
      <c r="Q160" t="s">
        <v>12</v>
      </c>
      <c r="R160" t="s">
        <v>13</v>
      </c>
      <c r="S160" s="3">
        <v>35.4</v>
      </c>
      <c r="T160" t="s">
        <v>14</v>
      </c>
      <c r="U160" s="3">
        <v>3077.03</v>
      </c>
      <c r="V160" t="s">
        <v>37</v>
      </c>
      <c r="W160" t="s">
        <v>11</v>
      </c>
      <c r="X160" t="s">
        <v>11</v>
      </c>
      <c r="Y160" t="s">
        <v>8</v>
      </c>
      <c r="Z160" t="s">
        <v>17</v>
      </c>
      <c r="AA160" t="s">
        <v>348</v>
      </c>
      <c r="AB160" t="s">
        <v>11</v>
      </c>
      <c r="AC160" t="s">
        <v>11</v>
      </c>
      <c r="AD160" t="s">
        <v>11</v>
      </c>
      <c r="AE160" s="2">
        <v>45762</v>
      </c>
      <c r="AF160" s="2">
        <v>45974</v>
      </c>
      <c r="AG160" t="s">
        <v>39</v>
      </c>
      <c r="AH160" s="14" t="e">
        <f>VLOOKUP(M160,'[1]INDIAN ENTERPRISES'!$D:$D,1,0)</f>
        <v>#N/A</v>
      </c>
      <c r="AI160" t="str">
        <f>VLOOKUP(M160,'[2]Invoices Not in Customer Books'!$E:$K,7,0)</f>
        <v>Invoice &amp; CN both not received &amp; booked</v>
      </c>
      <c r="AJ160" s="15" t="e">
        <f>VLOOKUP(M160,'[1]INDIAN ENTERPRISES'!$D:$L,9,0)</f>
        <v>#N/A</v>
      </c>
    </row>
    <row r="161" spans="1:36" hidden="1" outlineLevel="2" x14ac:dyDescent="0.25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54</v>
      </c>
      <c r="G161" s="2">
        <v>45762</v>
      </c>
      <c r="H161" t="s">
        <v>349</v>
      </c>
      <c r="I161" t="s">
        <v>7</v>
      </c>
      <c r="J161" s="2">
        <v>45762</v>
      </c>
      <c r="K161" s="2">
        <v>45763</v>
      </c>
      <c r="L161" t="s">
        <v>8</v>
      </c>
      <c r="M161" s="14">
        <v>256779411459</v>
      </c>
      <c r="N161" t="s">
        <v>9</v>
      </c>
      <c r="O161" t="s">
        <v>10</v>
      </c>
      <c r="P161" t="s">
        <v>11</v>
      </c>
      <c r="Q161" t="s">
        <v>12</v>
      </c>
      <c r="R161" t="s">
        <v>13</v>
      </c>
      <c r="S161" s="3">
        <v>29.5</v>
      </c>
      <c r="T161" t="s">
        <v>14</v>
      </c>
      <c r="U161" s="3">
        <v>2564.19</v>
      </c>
      <c r="V161" t="s">
        <v>37</v>
      </c>
      <c r="W161" t="s">
        <v>11</v>
      </c>
      <c r="X161" t="s">
        <v>11</v>
      </c>
      <c r="Y161" t="s">
        <v>8</v>
      </c>
      <c r="Z161" t="s">
        <v>17</v>
      </c>
      <c r="AA161" t="s">
        <v>348</v>
      </c>
      <c r="AB161" t="s">
        <v>11</v>
      </c>
      <c r="AC161" t="s">
        <v>11</v>
      </c>
      <c r="AD161" t="s">
        <v>11</v>
      </c>
      <c r="AE161" s="2">
        <v>45762</v>
      </c>
      <c r="AF161" s="2">
        <v>45974</v>
      </c>
      <c r="AG161" t="s">
        <v>39</v>
      </c>
      <c r="AH161" s="14" t="e">
        <f>VLOOKUP(M161,'[1]INDIAN ENTERPRISES'!$D:$D,1,0)</f>
        <v>#N/A</v>
      </c>
      <c r="AI161" t="str">
        <f>VLOOKUP(M161,'[2]Invoices Not in Customer Books'!$E:$K,7,0)</f>
        <v>Invoice &amp; CN both not received &amp; booked</v>
      </c>
      <c r="AJ161" s="15" t="e">
        <f>VLOOKUP(M161,'[1]INDIAN ENTERPRISES'!$D:$L,9,0)</f>
        <v>#N/A</v>
      </c>
    </row>
    <row r="162" spans="1:36" hidden="1" outlineLevel="2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54</v>
      </c>
      <c r="G162" s="2">
        <v>45762</v>
      </c>
      <c r="H162" t="s">
        <v>350</v>
      </c>
      <c r="I162" t="s">
        <v>7</v>
      </c>
      <c r="J162" s="2">
        <v>45762</v>
      </c>
      <c r="K162" s="2">
        <v>45763</v>
      </c>
      <c r="L162" t="s">
        <v>8</v>
      </c>
      <c r="M162" s="14">
        <v>256779411460</v>
      </c>
      <c r="N162" t="s">
        <v>9</v>
      </c>
      <c r="O162" t="s">
        <v>10</v>
      </c>
      <c r="P162" t="s">
        <v>11</v>
      </c>
      <c r="Q162" t="s">
        <v>12</v>
      </c>
      <c r="R162" t="s">
        <v>13</v>
      </c>
      <c r="S162" s="3">
        <v>29.5</v>
      </c>
      <c r="T162" t="s">
        <v>14</v>
      </c>
      <c r="U162" s="3">
        <v>2564.19</v>
      </c>
      <c r="V162" t="s">
        <v>37</v>
      </c>
      <c r="W162" t="s">
        <v>11</v>
      </c>
      <c r="X162" t="s">
        <v>11</v>
      </c>
      <c r="Y162" t="s">
        <v>8</v>
      </c>
      <c r="Z162" t="s">
        <v>17</v>
      </c>
      <c r="AA162" t="s">
        <v>348</v>
      </c>
      <c r="AB162" t="s">
        <v>11</v>
      </c>
      <c r="AC162" t="s">
        <v>11</v>
      </c>
      <c r="AD162" t="s">
        <v>11</v>
      </c>
      <c r="AE162" s="2">
        <v>45762</v>
      </c>
      <c r="AF162" s="2">
        <v>45974</v>
      </c>
      <c r="AG162" t="s">
        <v>39</v>
      </c>
      <c r="AH162" s="14" t="e">
        <f>VLOOKUP(M162,'[1]INDIAN ENTERPRISES'!$D:$D,1,0)</f>
        <v>#N/A</v>
      </c>
      <c r="AI162" t="str">
        <f>VLOOKUP(M162,'[2]Invoices Not in Customer Books'!$E:$K,7,0)</f>
        <v>Invoice &amp; CN both not received &amp; booked</v>
      </c>
      <c r="AJ162" s="15" t="e">
        <f>VLOOKUP(M162,'[1]INDIAN ENTERPRISES'!$D:$L,9,0)</f>
        <v>#N/A</v>
      </c>
    </row>
    <row r="163" spans="1:36" hidden="1" outlineLevel="2" x14ac:dyDescent="0.25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54</v>
      </c>
      <c r="G163" s="2">
        <v>45762</v>
      </c>
      <c r="H163" t="s">
        <v>351</v>
      </c>
      <c r="I163" t="s">
        <v>7</v>
      </c>
      <c r="J163" s="2">
        <v>45762</v>
      </c>
      <c r="K163" s="2">
        <v>45763</v>
      </c>
      <c r="L163" t="s">
        <v>8</v>
      </c>
      <c r="M163" s="14">
        <v>256779411461</v>
      </c>
      <c r="N163" t="s">
        <v>9</v>
      </c>
      <c r="O163" t="s">
        <v>10</v>
      </c>
      <c r="P163" t="s">
        <v>11</v>
      </c>
      <c r="Q163" t="s">
        <v>12</v>
      </c>
      <c r="R163" t="s">
        <v>13</v>
      </c>
      <c r="S163" s="3">
        <v>35.4</v>
      </c>
      <c r="T163" t="s">
        <v>14</v>
      </c>
      <c r="U163" s="3">
        <v>3077.03</v>
      </c>
      <c r="V163" t="s">
        <v>37</v>
      </c>
      <c r="W163" t="s">
        <v>11</v>
      </c>
      <c r="X163" t="s">
        <v>11</v>
      </c>
      <c r="Y163" t="s">
        <v>8</v>
      </c>
      <c r="Z163" t="s">
        <v>17</v>
      </c>
      <c r="AA163" t="s">
        <v>348</v>
      </c>
      <c r="AB163" t="s">
        <v>11</v>
      </c>
      <c r="AC163" t="s">
        <v>11</v>
      </c>
      <c r="AD163" t="s">
        <v>11</v>
      </c>
      <c r="AE163" s="2">
        <v>45762</v>
      </c>
      <c r="AF163" s="2">
        <v>45974</v>
      </c>
      <c r="AG163" t="s">
        <v>39</v>
      </c>
      <c r="AH163" s="14" t="e">
        <f>VLOOKUP(M163,'[1]INDIAN ENTERPRISES'!$D:$D,1,0)</f>
        <v>#N/A</v>
      </c>
      <c r="AI163" t="str">
        <f>VLOOKUP(M163,'[2]Invoices Not in Customer Books'!$E:$K,7,0)</f>
        <v>Invoice &amp; CN both not received &amp; booked</v>
      </c>
      <c r="AJ163" s="15" t="e">
        <f>VLOOKUP(M163,'[1]INDIAN ENTERPRISES'!$D:$L,9,0)</f>
        <v>#N/A</v>
      </c>
    </row>
    <row r="164" spans="1:36" hidden="1" outlineLevel="2" x14ac:dyDescent="0.25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54</v>
      </c>
      <c r="G164" s="2">
        <v>45762</v>
      </c>
      <c r="H164" t="s">
        <v>352</v>
      </c>
      <c r="I164" t="s">
        <v>7</v>
      </c>
      <c r="J164" s="2">
        <v>45762</v>
      </c>
      <c r="K164" s="2">
        <v>45763</v>
      </c>
      <c r="L164" t="s">
        <v>8</v>
      </c>
      <c r="M164" s="14">
        <v>256779411462</v>
      </c>
      <c r="N164" t="s">
        <v>9</v>
      </c>
      <c r="O164" t="s">
        <v>10</v>
      </c>
      <c r="P164" t="s">
        <v>11</v>
      </c>
      <c r="Q164" t="s">
        <v>12</v>
      </c>
      <c r="R164" t="s">
        <v>13</v>
      </c>
      <c r="S164" s="3">
        <v>20.65</v>
      </c>
      <c r="T164" t="s">
        <v>14</v>
      </c>
      <c r="U164" s="3">
        <v>1794.94</v>
      </c>
      <c r="V164" t="s">
        <v>37</v>
      </c>
      <c r="W164" t="s">
        <v>11</v>
      </c>
      <c r="X164" t="s">
        <v>11</v>
      </c>
      <c r="Y164" t="s">
        <v>8</v>
      </c>
      <c r="Z164" t="s">
        <v>17</v>
      </c>
      <c r="AA164" t="s">
        <v>348</v>
      </c>
      <c r="AB164" t="s">
        <v>11</v>
      </c>
      <c r="AC164" t="s">
        <v>11</v>
      </c>
      <c r="AD164" t="s">
        <v>11</v>
      </c>
      <c r="AE164" s="2">
        <v>45762</v>
      </c>
      <c r="AF164" s="2">
        <v>45974</v>
      </c>
      <c r="AG164" t="s">
        <v>39</v>
      </c>
      <c r="AH164" s="14" t="e">
        <f>VLOOKUP(M164,'[1]INDIAN ENTERPRISES'!$D:$D,1,0)</f>
        <v>#N/A</v>
      </c>
      <c r="AI164" t="str">
        <f>VLOOKUP(M164,'[2]Invoices Not in Customer Books'!$E:$K,7,0)</f>
        <v>Invoice &amp; CN both not received &amp; booked</v>
      </c>
      <c r="AJ164" s="15" t="e">
        <f>VLOOKUP(M164,'[1]INDIAN ENTERPRISES'!$D:$L,9,0)</f>
        <v>#N/A</v>
      </c>
    </row>
    <row r="165" spans="1:36" hidden="1" outlineLevel="2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54</v>
      </c>
      <c r="G165" s="2">
        <v>45762</v>
      </c>
      <c r="H165" t="s">
        <v>353</v>
      </c>
      <c r="I165" t="s">
        <v>7</v>
      </c>
      <c r="J165" s="2">
        <v>45762</v>
      </c>
      <c r="K165" s="2">
        <v>45763</v>
      </c>
      <c r="L165" t="s">
        <v>8</v>
      </c>
      <c r="M165" s="14">
        <v>256779411463</v>
      </c>
      <c r="N165" t="s">
        <v>9</v>
      </c>
      <c r="O165" t="s">
        <v>10</v>
      </c>
      <c r="P165" t="s">
        <v>11</v>
      </c>
      <c r="Q165" t="s">
        <v>12</v>
      </c>
      <c r="R165" t="s">
        <v>13</v>
      </c>
      <c r="S165" s="3">
        <v>23.6</v>
      </c>
      <c r="T165" t="s">
        <v>14</v>
      </c>
      <c r="U165" s="3">
        <v>2051.35</v>
      </c>
      <c r="V165" t="s">
        <v>37</v>
      </c>
      <c r="W165" t="s">
        <v>11</v>
      </c>
      <c r="X165" t="s">
        <v>11</v>
      </c>
      <c r="Y165" t="s">
        <v>8</v>
      </c>
      <c r="Z165" t="s">
        <v>17</v>
      </c>
      <c r="AA165" t="s">
        <v>348</v>
      </c>
      <c r="AB165" t="s">
        <v>11</v>
      </c>
      <c r="AC165" t="s">
        <v>11</v>
      </c>
      <c r="AD165" t="s">
        <v>11</v>
      </c>
      <c r="AE165" s="2">
        <v>45762</v>
      </c>
      <c r="AF165" s="2">
        <v>45974</v>
      </c>
      <c r="AG165" t="s">
        <v>39</v>
      </c>
      <c r="AH165" s="14">
        <f>VLOOKUP(M165,'[1]INDIAN ENTERPRISES'!$D:$D,1,0)</f>
        <v>256779411463</v>
      </c>
      <c r="AJ165" s="15">
        <f>VLOOKUP(M165,'[1]INDIAN ENTERPRISES'!$D:$L,9,0)</f>
        <v>46053</v>
      </c>
    </row>
    <row r="166" spans="1:36" hidden="1" outlineLevel="2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54</v>
      </c>
      <c r="G166" s="2">
        <v>45762</v>
      </c>
      <c r="H166" t="s">
        <v>354</v>
      </c>
      <c r="I166" t="s">
        <v>7</v>
      </c>
      <c r="J166" s="2">
        <v>45762</v>
      </c>
      <c r="K166" s="2">
        <v>45763</v>
      </c>
      <c r="L166" t="s">
        <v>8</v>
      </c>
      <c r="M166" s="14">
        <v>256779411464</v>
      </c>
      <c r="N166" t="s">
        <v>9</v>
      </c>
      <c r="O166" t="s">
        <v>10</v>
      </c>
      <c r="P166" t="s">
        <v>11</v>
      </c>
      <c r="Q166" t="s">
        <v>12</v>
      </c>
      <c r="R166" t="s">
        <v>13</v>
      </c>
      <c r="S166" s="3">
        <v>8.85</v>
      </c>
      <c r="T166" t="s">
        <v>14</v>
      </c>
      <c r="U166" s="3">
        <v>769.26</v>
      </c>
      <c r="V166" t="s">
        <v>37</v>
      </c>
      <c r="W166" t="s">
        <v>11</v>
      </c>
      <c r="X166" t="s">
        <v>11</v>
      </c>
      <c r="Y166" t="s">
        <v>8</v>
      </c>
      <c r="Z166" t="s">
        <v>17</v>
      </c>
      <c r="AA166" t="s">
        <v>348</v>
      </c>
      <c r="AB166" t="s">
        <v>11</v>
      </c>
      <c r="AC166" t="s">
        <v>11</v>
      </c>
      <c r="AD166" t="s">
        <v>11</v>
      </c>
      <c r="AE166" s="2">
        <v>45762</v>
      </c>
      <c r="AF166" s="2">
        <v>45974</v>
      </c>
      <c r="AG166" t="s">
        <v>39</v>
      </c>
      <c r="AH166" s="14" t="e">
        <f>VLOOKUP(M166,'[1]INDIAN ENTERPRISES'!$D:$D,1,0)</f>
        <v>#N/A</v>
      </c>
      <c r="AI166" t="str">
        <f>VLOOKUP(M166,'[2]Invoices Not in Customer Books'!$E:$K,7,0)</f>
        <v>Invoice &amp; CN both not received &amp; booked</v>
      </c>
      <c r="AJ166" s="15" t="e">
        <f>VLOOKUP(M166,'[1]INDIAN ENTERPRISES'!$D:$L,9,0)</f>
        <v>#N/A</v>
      </c>
    </row>
    <row r="167" spans="1:36" hidden="1" outlineLevel="2" x14ac:dyDescent="0.25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54</v>
      </c>
      <c r="G167" s="2">
        <v>45762</v>
      </c>
      <c r="H167" t="s">
        <v>355</v>
      </c>
      <c r="I167" t="s">
        <v>7</v>
      </c>
      <c r="J167" s="2">
        <v>45762</v>
      </c>
      <c r="K167" s="2">
        <v>45763</v>
      </c>
      <c r="L167" t="s">
        <v>8</v>
      </c>
      <c r="M167" s="14">
        <v>256779411465</v>
      </c>
      <c r="N167" t="s">
        <v>9</v>
      </c>
      <c r="O167" t="s">
        <v>10</v>
      </c>
      <c r="P167" t="s">
        <v>11</v>
      </c>
      <c r="Q167" t="s">
        <v>12</v>
      </c>
      <c r="R167" t="s">
        <v>13</v>
      </c>
      <c r="S167" s="3">
        <v>32.450000000000003</v>
      </c>
      <c r="T167" t="s">
        <v>14</v>
      </c>
      <c r="U167" s="3">
        <v>2820.61</v>
      </c>
      <c r="V167" t="s">
        <v>37</v>
      </c>
      <c r="W167" t="s">
        <v>11</v>
      </c>
      <c r="X167" t="s">
        <v>11</v>
      </c>
      <c r="Y167" t="s">
        <v>8</v>
      </c>
      <c r="Z167" t="s">
        <v>17</v>
      </c>
      <c r="AA167" t="s">
        <v>348</v>
      </c>
      <c r="AB167" t="s">
        <v>11</v>
      </c>
      <c r="AC167" t="s">
        <v>11</v>
      </c>
      <c r="AD167" t="s">
        <v>11</v>
      </c>
      <c r="AE167" s="2">
        <v>45762</v>
      </c>
      <c r="AF167" s="2">
        <v>45974</v>
      </c>
      <c r="AG167" t="s">
        <v>39</v>
      </c>
      <c r="AH167" s="14">
        <f>VLOOKUP(M167,'[1]INDIAN ENTERPRISES'!$D:$D,1,0)</f>
        <v>256779411465</v>
      </c>
      <c r="AJ167" s="15">
        <f>VLOOKUP(M167,'[1]INDIAN ENTERPRISES'!$D:$L,9,0)</f>
        <v>46053</v>
      </c>
    </row>
    <row r="168" spans="1:36" hidden="1" outlineLevel="2" x14ac:dyDescent="0.25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54</v>
      </c>
      <c r="G168" s="2">
        <v>45762</v>
      </c>
      <c r="H168" t="s">
        <v>356</v>
      </c>
      <c r="I168" t="s">
        <v>7</v>
      </c>
      <c r="J168" s="2">
        <v>45762</v>
      </c>
      <c r="K168" s="2">
        <v>45763</v>
      </c>
      <c r="L168" t="s">
        <v>8</v>
      </c>
      <c r="M168" s="14">
        <v>256779411466</v>
      </c>
      <c r="N168" t="s">
        <v>9</v>
      </c>
      <c r="O168" t="s">
        <v>10</v>
      </c>
      <c r="P168" t="s">
        <v>11</v>
      </c>
      <c r="Q168" t="s">
        <v>12</v>
      </c>
      <c r="R168" t="s">
        <v>13</v>
      </c>
      <c r="S168" s="3">
        <v>35.4</v>
      </c>
      <c r="T168" t="s">
        <v>14</v>
      </c>
      <c r="U168" s="3">
        <v>3077.03</v>
      </c>
      <c r="V168" t="s">
        <v>37</v>
      </c>
      <c r="W168" t="s">
        <v>11</v>
      </c>
      <c r="X168" t="s">
        <v>11</v>
      </c>
      <c r="Y168" t="s">
        <v>8</v>
      </c>
      <c r="Z168" t="s">
        <v>17</v>
      </c>
      <c r="AA168" t="s">
        <v>348</v>
      </c>
      <c r="AB168" t="s">
        <v>11</v>
      </c>
      <c r="AC168" t="s">
        <v>11</v>
      </c>
      <c r="AD168" t="s">
        <v>11</v>
      </c>
      <c r="AE168" s="2">
        <v>45762</v>
      </c>
      <c r="AF168" s="2">
        <v>45974</v>
      </c>
      <c r="AG168" t="s">
        <v>39</v>
      </c>
      <c r="AH168" s="14">
        <f>VLOOKUP(M168,'[1]INDIAN ENTERPRISES'!$D:$D,1,0)</f>
        <v>256779411466</v>
      </c>
      <c r="AJ168" s="15">
        <f>VLOOKUP(M168,'[1]INDIAN ENTERPRISES'!$D:$L,9,0)</f>
        <v>46053</v>
      </c>
    </row>
    <row r="169" spans="1:36" hidden="1" outlineLevel="2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54</v>
      </c>
      <c r="G169" s="2">
        <v>45762</v>
      </c>
      <c r="H169" t="s">
        <v>357</v>
      </c>
      <c r="I169" t="s">
        <v>7</v>
      </c>
      <c r="J169" s="2">
        <v>45762</v>
      </c>
      <c r="K169" s="2">
        <v>45763</v>
      </c>
      <c r="L169" t="s">
        <v>8</v>
      </c>
      <c r="M169" s="14">
        <v>256779411467</v>
      </c>
      <c r="N169" t="s">
        <v>9</v>
      </c>
      <c r="O169" t="s">
        <v>10</v>
      </c>
      <c r="P169" t="s">
        <v>11</v>
      </c>
      <c r="Q169" t="s">
        <v>12</v>
      </c>
      <c r="R169" t="s">
        <v>13</v>
      </c>
      <c r="S169" s="3">
        <v>35.4</v>
      </c>
      <c r="T169" t="s">
        <v>14</v>
      </c>
      <c r="U169" s="3">
        <v>3077.03</v>
      </c>
      <c r="V169" t="s">
        <v>37</v>
      </c>
      <c r="W169" t="s">
        <v>11</v>
      </c>
      <c r="X169" t="s">
        <v>11</v>
      </c>
      <c r="Y169" t="s">
        <v>8</v>
      </c>
      <c r="Z169" t="s">
        <v>17</v>
      </c>
      <c r="AA169" t="s">
        <v>348</v>
      </c>
      <c r="AB169" t="s">
        <v>11</v>
      </c>
      <c r="AC169" t="s">
        <v>11</v>
      </c>
      <c r="AD169" t="s">
        <v>11</v>
      </c>
      <c r="AE169" s="2">
        <v>45762</v>
      </c>
      <c r="AF169" s="2">
        <v>45974</v>
      </c>
      <c r="AG169" t="s">
        <v>39</v>
      </c>
      <c r="AH169" s="14">
        <f>VLOOKUP(M169,'[1]INDIAN ENTERPRISES'!$D:$D,1,0)</f>
        <v>256779411467</v>
      </c>
      <c r="AJ169" s="15">
        <f>VLOOKUP(M169,'[1]INDIAN ENTERPRISES'!$D:$L,9,0)</f>
        <v>46053</v>
      </c>
    </row>
    <row r="170" spans="1:36" hidden="1" outlineLevel="2" x14ac:dyDescent="0.2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54</v>
      </c>
      <c r="G170" s="2">
        <v>45762</v>
      </c>
      <c r="H170" t="s">
        <v>358</v>
      </c>
      <c r="I170" t="s">
        <v>7</v>
      </c>
      <c r="J170" s="2">
        <v>45762</v>
      </c>
      <c r="K170" s="2">
        <v>45763</v>
      </c>
      <c r="L170" t="s">
        <v>8</v>
      </c>
      <c r="M170" s="14">
        <v>256779411468</v>
      </c>
      <c r="N170" t="s">
        <v>9</v>
      </c>
      <c r="O170" t="s">
        <v>10</v>
      </c>
      <c r="P170" t="s">
        <v>11</v>
      </c>
      <c r="Q170" t="s">
        <v>12</v>
      </c>
      <c r="R170" t="s">
        <v>13</v>
      </c>
      <c r="S170" s="3">
        <v>26.55</v>
      </c>
      <c r="T170" t="s">
        <v>14</v>
      </c>
      <c r="U170" s="3">
        <v>2307.77</v>
      </c>
      <c r="V170" t="s">
        <v>37</v>
      </c>
      <c r="W170" t="s">
        <v>11</v>
      </c>
      <c r="X170" t="s">
        <v>11</v>
      </c>
      <c r="Y170" t="s">
        <v>8</v>
      </c>
      <c r="Z170" t="s">
        <v>17</v>
      </c>
      <c r="AA170" t="s">
        <v>348</v>
      </c>
      <c r="AB170" t="s">
        <v>11</v>
      </c>
      <c r="AC170" t="s">
        <v>11</v>
      </c>
      <c r="AD170" t="s">
        <v>11</v>
      </c>
      <c r="AE170" s="2">
        <v>45762</v>
      </c>
      <c r="AF170" s="2">
        <v>45974</v>
      </c>
      <c r="AG170" t="s">
        <v>39</v>
      </c>
      <c r="AH170" s="14">
        <f>VLOOKUP(M170,'[1]INDIAN ENTERPRISES'!$D:$D,1,0)</f>
        <v>256779411468</v>
      </c>
      <c r="AJ170" s="15">
        <f>VLOOKUP(M170,'[1]INDIAN ENTERPRISES'!$D:$L,9,0)</f>
        <v>45838</v>
      </c>
    </row>
    <row r="171" spans="1:36" hidden="1" outlineLevel="2" x14ac:dyDescent="0.25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54</v>
      </c>
      <c r="G171" s="2">
        <v>45762</v>
      </c>
      <c r="H171" t="s">
        <v>359</v>
      </c>
      <c r="I171" t="s">
        <v>7</v>
      </c>
      <c r="J171" s="2">
        <v>45762</v>
      </c>
      <c r="K171" s="2">
        <v>45763</v>
      </c>
      <c r="L171" t="s">
        <v>8</v>
      </c>
      <c r="M171" s="14">
        <v>256779411469</v>
      </c>
      <c r="N171" t="s">
        <v>9</v>
      </c>
      <c r="O171" t="s">
        <v>10</v>
      </c>
      <c r="P171" t="s">
        <v>11</v>
      </c>
      <c r="Q171" t="s">
        <v>12</v>
      </c>
      <c r="R171" t="s">
        <v>13</v>
      </c>
      <c r="S171" s="3">
        <v>35.4</v>
      </c>
      <c r="T171" t="s">
        <v>14</v>
      </c>
      <c r="U171" s="3">
        <v>3077.03</v>
      </c>
      <c r="V171" t="s">
        <v>37</v>
      </c>
      <c r="W171" t="s">
        <v>11</v>
      </c>
      <c r="X171" t="s">
        <v>11</v>
      </c>
      <c r="Y171" t="s">
        <v>8</v>
      </c>
      <c r="Z171" t="s">
        <v>17</v>
      </c>
      <c r="AA171" t="s">
        <v>348</v>
      </c>
      <c r="AB171" t="s">
        <v>11</v>
      </c>
      <c r="AC171" t="s">
        <v>11</v>
      </c>
      <c r="AD171" t="s">
        <v>11</v>
      </c>
      <c r="AE171" s="2">
        <v>45762</v>
      </c>
      <c r="AF171" s="2">
        <v>45974</v>
      </c>
      <c r="AG171" t="s">
        <v>39</v>
      </c>
      <c r="AH171" s="14" t="e">
        <f>VLOOKUP(M171,'[1]INDIAN ENTERPRISES'!$D:$D,1,0)</f>
        <v>#N/A</v>
      </c>
      <c r="AI171" t="str">
        <f>VLOOKUP(M171,'[2]Invoices Not in Customer Books'!$E:$K,7,0)</f>
        <v>Invoice &amp; CN both not received &amp; booked</v>
      </c>
      <c r="AJ171" s="15" t="e">
        <f>VLOOKUP(M171,'[1]INDIAN ENTERPRISES'!$D:$L,9,0)</f>
        <v>#N/A</v>
      </c>
    </row>
    <row r="172" spans="1:36" hidden="1" outlineLevel="2" x14ac:dyDescent="0.25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21</v>
      </c>
      <c r="G172" s="2">
        <v>45947</v>
      </c>
      <c r="H172" t="s">
        <v>360</v>
      </c>
      <c r="I172" t="s">
        <v>98</v>
      </c>
      <c r="J172" s="2">
        <v>45947</v>
      </c>
      <c r="K172" s="2">
        <v>45953</v>
      </c>
      <c r="L172" t="s">
        <v>8</v>
      </c>
      <c r="M172" s="14">
        <v>256779422006</v>
      </c>
      <c r="N172" t="s">
        <v>9</v>
      </c>
      <c r="O172" t="s">
        <v>10</v>
      </c>
      <c r="P172" t="s">
        <v>11</v>
      </c>
      <c r="Q172" t="s">
        <v>42</v>
      </c>
      <c r="R172" t="s">
        <v>13</v>
      </c>
      <c r="S172" s="3">
        <v>-94.81</v>
      </c>
      <c r="T172" t="s">
        <v>14</v>
      </c>
      <c r="U172" s="3">
        <v>-8361.3700000000008</v>
      </c>
      <c r="V172" t="s">
        <v>15</v>
      </c>
      <c r="W172" t="s">
        <v>16</v>
      </c>
      <c r="X172" t="s">
        <v>11</v>
      </c>
      <c r="Y172" t="s">
        <v>361</v>
      </c>
      <c r="Z172" t="s">
        <v>17</v>
      </c>
      <c r="AA172" t="s">
        <v>362</v>
      </c>
      <c r="AB172" t="s">
        <v>11</v>
      </c>
      <c r="AC172" t="s">
        <v>11</v>
      </c>
      <c r="AD172" t="s">
        <v>11</v>
      </c>
      <c r="AE172" s="2">
        <v>45947</v>
      </c>
      <c r="AF172" s="2">
        <v>45974</v>
      </c>
      <c r="AG172" t="s">
        <v>39</v>
      </c>
      <c r="AH172" s="14" t="e">
        <f>VLOOKUP(M172,'[1]INDIAN ENTERPRISES'!$D:$D,1,0)</f>
        <v>#N/A</v>
      </c>
      <c r="AI172" t="str">
        <f>VLOOKUP(M172,'[2]CN Not in Customer books'!$D:$J,7,0)</f>
        <v>Invoice &amp; CN both not received &amp; booked</v>
      </c>
      <c r="AJ172" s="15" t="e">
        <f>VLOOKUP(M172,'[1]INDIAN ENTERPRISES'!$D:$L,9,0)</f>
        <v>#N/A</v>
      </c>
    </row>
    <row r="173" spans="1:36" hidden="1" outlineLevel="2" x14ac:dyDescent="0.25">
      <c r="A173" t="s">
        <v>20</v>
      </c>
      <c r="B173" t="s">
        <v>1</v>
      </c>
      <c r="C173" t="s">
        <v>2</v>
      </c>
      <c r="D173" t="s">
        <v>3</v>
      </c>
      <c r="E173" t="s">
        <v>4</v>
      </c>
      <c r="F173" t="s">
        <v>54</v>
      </c>
      <c r="G173" s="2">
        <v>45763</v>
      </c>
      <c r="H173" t="s">
        <v>363</v>
      </c>
      <c r="I173" t="s">
        <v>7</v>
      </c>
      <c r="J173" s="2">
        <v>45763</v>
      </c>
      <c r="K173" s="2">
        <v>45764</v>
      </c>
      <c r="L173" t="s">
        <v>8</v>
      </c>
      <c r="M173" s="14">
        <v>256779411969</v>
      </c>
      <c r="N173" t="s">
        <v>9</v>
      </c>
      <c r="O173" t="s">
        <v>10</v>
      </c>
      <c r="P173" t="s">
        <v>11</v>
      </c>
      <c r="Q173" t="s">
        <v>12</v>
      </c>
      <c r="R173" t="s">
        <v>13</v>
      </c>
      <c r="S173" s="3">
        <v>79.08</v>
      </c>
      <c r="T173" t="s">
        <v>14</v>
      </c>
      <c r="U173" s="3">
        <v>6873.78</v>
      </c>
      <c r="V173" t="s">
        <v>15</v>
      </c>
      <c r="W173" t="s">
        <v>16</v>
      </c>
      <c r="X173" t="s">
        <v>11</v>
      </c>
      <c r="Y173" t="s">
        <v>8</v>
      </c>
      <c r="Z173" t="s">
        <v>17</v>
      </c>
      <c r="AA173" t="s">
        <v>364</v>
      </c>
      <c r="AB173" t="s">
        <v>11</v>
      </c>
      <c r="AC173" t="s">
        <v>11</v>
      </c>
      <c r="AD173" t="s">
        <v>11</v>
      </c>
      <c r="AE173" s="2">
        <v>45763</v>
      </c>
      <c r="AF173" s="2"/>
      <c r="AG173" t="s">
        <v>11</v>
      </c>
      <c r="AH173" s="14">
        <f>VLOOKUP(M173,'[1]INDIAN ENTERPRISES'!$D:$D,1,0)</f>
        <v>256779411969</v>
      </c>
      <c r="AJ173" s="15">
        <f>VLOOKUP(M173,'[1]INDIAN ENTERPRISES'!$D:$L,9,0)</f>
        <v>45869</v>
      </c>
    </row>
    <row r="174" spans="1:36" hidden="1" outlineLevel="2" x14ac:dyDescent="0.25">
      <c r="A174" t="s">
        <v>20</v>
      </c>
      <c r="B174" t="s">
        <v>1</v>
      </c>
      <c r="C174" t="s">
        <v>2</v>
      </c>
      <c r="D174" t="s">
        <v>3</v>
      </c>
      <c r="E174" t="s">
        <v>4</v>
      </c>
      <c r="F174" t="s">
        <v>54</v>
      </c>
      <c r="G174" s="2">
        <v>45763</v>
      </c>
      <c r="H174" t="s">
        <v>365</v>
      </c>
      <c r="I174" t="s">
        <v>7</v>
      </c>
      <c r="J174" s="2">
        <v>45763</v>
      </c>
      <c r="K174" s="2">
        <v>45764</v>
      </c>
      <c r="L174" t="s">
        <v>8</v>
      </c>
      <c r="M174" s="14">
        <v>256779411970</v>
      </c>
      <c r="N174" t="s">
        <v>9</v>
      </c>
      <c r="O174" t="s">
        <v>10</v>
      </c>
      <c r="P174" t="s">
        <v>11</v>
      </c>
      <c r="Q174" t="s">
        <v>12</v>
      </c>
      <c r="R174" t="s">
        <v>13</v>
      </c>
      <c r="S174" s="3">
        <v>8.66</v>
      </c>
      <c r="T174" t="s">
        <v>14</v>
      </c>
      <c r="U174" s="3">
        <v>752.74</v>
      </c>
      <c r="V174" t="s">
        <v>15</v>
      </c>
      <c r="W174" t="s">
        <v>16</v>
      </c>
      <c r="X174" t="s">
        <v>11</v>
      </c>
      <c r="Y174" t="s">
        <v>8</v>
      </c>
      <c r="Z174" t="s">
        <v>17</v>
      </c>
      <c r="AA174" t="s">
        <v>364</v>
      </c>
      <c r="AB174" t="s">
        <v>11</v>
      </c>
      <c r="AC174" t="s">
        <v>11</v>
      </c>
      <c r="AD174" t="s">
        <v>11</v>
      </c>
      <c r="AE174" s="2">
        <v>45763</v>
      </c>
      <c r="AF174" s="2"/>
      <c r="AG174" t="s">
        <v>11</v>
      </c>
      <c r="AH174" s="14">
        <f>VLOOKUP(M174,'[1]INDIAN ENTERPRISES'!$D:$D,1,0)</f>
        <v>256779411970</v>
      </c>
      <c r="AJ174" s="15">
        <f>VLOOKUP(M174,'[1]INDIAN ENTERPRISES'!$D:$L,9,0)</f>
        <v>45991</v>
      </c>
    </row>
    <row r="175" spans="1:36" hidden="1" outlineLevel="2" x14ac:dyDescent="0.25">
      <c r="A175" t="s">
        <v>20</v>
      </c>
      <c r="B175" t="s">
        <v>1</v>
      </c>
      <c r="C175" t="s">
        <v>2</v>
      </c>
      <c r="D175" t="s">
        <v>3</v>
      </c>
      <c r="E175" t="s">
        <v>4</v>
      </c>
      <c r="F175" t="s">
        <v>54</v>
      </c>
      <c r="G175" s="2">
        <v>45763</v>
      </c>
      <c r="H175" t="s">
        <v>366</v>
      </c>
      <c r="I175" t="s">
        <v>7</v>
      </c>
      <c r="J175" s="2">
        <v>45763</v>
      </c>
      <c r="K175" s="2">
        <v>45764</v>
      </c>
      <c r="L175" t="s">
        <v>8</v>
      </c>
      <c r="M175" s="14">
        <v>256779412012</v>
      </c>
      <c r="N175" t="s">
        <v>9</v>
      </c>
      <c r="O175" t="s">
        <v>10</v>
      </c>
      <c r="P175" t="s">
        <v>11</v>
      </c>
      <c r="Q175" t="s">
        <v>12</v>
      </c>
      <c r="R175" t="s">
        <v>13</v>
      </c>
      <c r="S175" s="3">
        <v>1051.22</v>
      </c>
      <c r="T175" t="s">
        <v>14</v>
      </c>
      <c r="U175" s="3">
        <v>91373.96</v>
      </c>
      <c r="V175" t="s">
        <v>15</v>
      </c>
      <c r="W175" t="s">
        <v>16</v>
      </c>
      <c r="X175" t="s">
        <v>11</v>
      </c>
      <c r="Y175" t="s">
        <v>8</v>
      </c>
      <c r="Z175" t="s">
        <v>17</v>
      </c>
      <c r="AA175" t="s">
        <v>367</v>
      </c>
      <c r="AB175" t="s">
        <v>11</v>
      </c>
      <c r="AC175" t="s">
        <v>11</v>
      </c>
      <c r="AD175" t="s">
        <v>11</v>
      </c>
      <c r="AE175" s="2">
        <v>45763</v>
      </c>
      <c r="AF175" s="2"/>
      <c r="AG175" t="s">
        <v>11</v>
      </c>
      <c r="AH175" s="14">
        <f>VLOOKUP(M175,'[1]INDIAN ENTERPRISES'!$D:$D,1,0)</f>
        <v>256779412012</v>
      </c>
      <c r="AJ175" s="15">
        <f>VLOOKUP(M175,'[1]INDIAN ENTERPRISES'!$D:$L,9,0)</f>
        <v>45820</v>
      </c>
    </row>
    <row r="176" spans="1:36" hidden="1" outlineLevel="2" x14ac:dyDescent="0.25">
      <c r="A176" t="s">
        <v>20</v>
      </c>
      <c r="B176" t="s">
        <v>1</v>
      </c>
      <c r="C176" t="s">
        <v>2</v>
      </c>
      <c r="D176" t="s">
        <v>3</v>
      </c>
      <c r="E176" t="s">
        <v>4</v>
      </c>
      <c r="F176" t="s">
        <v>54</v>
      </c>
      <c r="G176" s="2">
        <v>45763</v>
      </c>
      <c r="H176" t="s">
        <v>368</v>
      </c>
      <c r="I176" t="s">
        <v>7</v>
      </c>
      <c r="J176" s="2">
        <v>45763</v>
      </c>
      <c r="K176" s="2">
        <v>45764</v>
      </c>
      <c r="L176" t="s">
        <v>8</v>
      </c>
      <c r="M176" s="14">
        <v>256779412053</v>
      </c>
      <c r="N176" t="s">
        <v>9</v>
      </c>
      <c r="O176" t="s">
        <v>10</v>
      </c>
      <c r="P176" t="s">
        <v>11</v>
      </c>
      <c r="Q176" t="s">
        <v>12</v>
      </c>
      <c r="R176" t="s">
        <v>13</v>
      </c>
      <c r="S176" s="3">
        <v>985.93</v>
      </c>
      <c r="T176" t="s">
        <v>14</v>
      </c>
      <c r="U176" s="3">
        <v>85698.83</v>
      </c>
      <c r="V176" t="s">
        <v>15</v>
      </c>
      <c r="W176" t="s">
        <v>16</v>
      </c>
      <c r="X176" t="s">
        <v>11</v>
      </c>
      <c r="Y176" t="s">
        <v>8</v>
      </c>
      <c r="Z176" t="s">
        <v>17</v>
      </c>
      <c r="AA176" t="s">
        <v>369</v>
      </c>
      <c r="AB176" t="s">
        <v>11</v>
      </c>
      <c r="AC176" t="s">
        <v>11</v>
      </c>
      <c r="AD176" t="s">
        <v>11</v>
      </c>
      <c r="AE176" s="2">
        <v>45763</v>
      </c>
      <c r="AF176" s="2"/>
      <c r="AG176" t="s">
        <v>11</v>
      </c>
      <c r="AH176" s="14">
        <f>VLOOKUP(M176,'[1]INDIAN ENTERPRISES'!$D:$D,1,0)</f>
        <v>256779412053</v>
      </c>
      <c r="AJ176" s="15">
        <f>VLOOKUP(M176,'[1]INDIAN ENTERPRISES'!$D:$L,9,0)</f>
        <v>45869</v>
      </c>
    </row>
    <row r="177" spans="1:36" hidden="1" outlineLevel="2" x14ac:dyDescent="0.25">
      <c r="A177" t="s">
        <v>20</v>
      </c>
      <c r="B177" t="s">
        <v>1</v>
      </c>
      <c r="C177" t="s">
        <v>2</v>
      </c>
      <c r="D177" t="s">
        <v>3</v>
      </c>
      <c r="E177" t="s">
        <v>4</v>
      </c>
      <c r="F177" t="s">
        <v>54</v>
      </c>
      <c r="G177" s="2">
        <v>45763</v>
      </c>
      <c r="H177" t="s">
        <v>370</v>
      </c>
      <c r="I177" t="s">
        <v>7</v>
      </c>
      <c r="J177" s="2">
        <v>45763</v>
      </c>
      <c r="K177" s="2">
        <v>45764</v>
      </c>
      <c r="L177" t="s">
        <v>8</v>
      </c>
      <c r="M177" s="14">
        <v>256779412091</v>
      </c>
      <c r="N177" t="s">
        <v>9</v>
      </c>
      <c r="O177" t="s">
        <v>10</v>
      </c>
      <c r="P177" t="s">
        <v>11</v>
      </c>
      <c r="Q177" t="s">
        <v>12</v>
      </c>
      <c r="R177" t="s">
        <v>13</v>
      </c>
      <c r="S177" s="3">
        <v>96.4</v>
      </c>
      <c r="T177" t="s">
        <v>14</v>
      </c>
      <c r="U177" s="3">
        <v>8379.26</v>
      </c>
      <c r="V177" t="s">
        <v>15</v>
      </c>
      <c r="W177" t="s">
        <v>16</v>
      </c>
      <c r="X177" t="s">
        <v>11</v>
      </c>
      <c r="Y177" t="s">
        <v>8</v>
      </c>
      <c r="Z177" t="s">
        <v>17</v>
      </c>
      <c r="AA177" t="s">
        <v>371</v>
      </c>
      <c r="AB177" t="s">
        <v>11</v>
      </c>
      <c r="AC177" t="s">
        <v>11</v>
      </c>
      <c r="AD177" t="s">
        <v>11</v>
      </c>
      <c r="AE177" s="2">
        <v>45763</v>
      </c>
      <c r="AF177" s="2"/>
      <c r="AG177" t="s">
        <v>11</v>
      </c>
      <c r="AH177" s="14">
        <f>VLOOKUP(M177,'[1]INDIAN ENTERPRISES'!$D:$D,1,0)</f>
        <v>256779412091</v>
      </c>
      <c r="AJ177" s="15">
        <f>VLOOKUP(M177,'[1]INDIAN ENTERPRISES'!$D:$L,9,0)</f>
        <v>45869</v>
      </c>
    </row>
    <row r="178" spans="1:36" hidden="1" outlineLevel="2" x14ac:dyDescent="0.25">
      <c r="A178" t="s">
        <v>20</v>
      </c>
      <c r="B178" t="s">
        <v>1</v>
      </c>
      <c r="C178" t="s">
        <v>2</v>
      </c>
      <c r="D178" t="s">
        <v>3</v>
      </c>
      <c r="E178" t="s">
        <v>4</v>
      </c>
      <c r="F178" t="s">
        <v>54</v>
      </c>
      <c r="G178" s="2">
        <v>45763</v>
      </c>
      <c r="H178" t="s">
        <v>372</v>
      </c>
      <c r="I178" t="s">
        <v>7</v>
      </c>
      <c r="J178" s="2">
        <v>45763</v>
      </c>
      <c r="K178" s="2">
        <v>45764</v>
      </c>
      <c r="L178" t="s">
        <v>8</v>
      </c>
      <c r="M178" s="14">
        <v>256779412092</v>
      </c>
      <c r="N178" t="s">
        <v>9</v>
      </c>
      <c r="O178" t="s">
        <v>10</v>
      </c>
      <c r="P178" t="s">
        <v>11</v>
      </c>
      <c r="Q178" t="s">
        <v>12</v>
      </c>
      <c r="R178" t="s">
        <v>13</v>
      </c>
      <c r="S178" s="3">
        <v>289.17</v>
      </c>
      <c r="T178" t="s">
        <v>14</v>
      </c>
      <c r="U178" s="3">
        <v>25135.18</v>
      </c>
      <c r="V178" t="s">
        <v>15</v>
      </c>
      <c r="W178" t="s">
        <v>16</v>
      </c>
      <c r="X178" t="s">
        <v>11</v>
      </c>
      <c r="Y178" t="s">
        <v>8</v>
      </c>
      <c r="Z178" t="s">
        <v>17</v>
      </c>
      <c r="AA178" t="s">
        <v>371</v>
      </c>
      <c r="AB178" t="s">
        <v>11</v>
      </c>
      <c r="AC178" t="s">
        <v>11</v>
      </c>
      <c r="AD178" t="s">
        <v>11</v>
      </c>
      <c r="AE178" s="2">
        <v>45763</v>
      </c>
      <c r="AF178" s="2"/>
      <c r="AG178" t="s">
        <v>11</v>
      </c>
      <c r="AH178" s="14">
        <f>VLOOKUP(M178,'[1]INDIAN ENTERPRISES'!$D:$D,1,0)</f>
        <v>256779412092</v>
      </c>
      <c r="AJ178" s="15">
        <f>VLOOKUP(M178,'[1]INDIAN ENTERPRISES'!$D:$L,9,0)</f>
        <v>45869</v>
      </c>
    </row>
    <row r="179" spans="1:36" hidden="1" outlineLevel="2" x14ac:dyDescent="0.25">
      <c r="A179" t="s">
        <v>20</v>
      </c>
      <c r="B179" t="s">
        <v>1</v>
      </c>
      <c r="C179" t="s">
        <v>2</v>
      </c>
      <c r="D179" t="s">
        <v>3</v>
      </c>
      <c r="E179" t="s">
        <v>4</v>
      </c>
      <c r="F179" t="s">
        <v>54</v>
      </c>
      <c r="G179" s="2">
        <v>45763</v>
      </c>
      <c r="H179" t="s">
        <v>373</v>
      </c>
      <c r="I179" t="s">
        <v>7</v>
      </c>
      <c r="J179" s="2">
        <v>45763</v>
      </c>
      <c r="K179" s="2">
        <v>45764</v>
      </c>
      <c r="L179" t="s">
        <v>8</v>
      </c>
      <c r="M179" s="14">
        <v>256779412123</v>
      </c>
      <c r="N179" t="s">
        <v>9</v>
      </c>
      <c r="O179" t="s">
        <v>10</v>
      </c>
      <c r="P179" t="s">
        <v>11</v>
      </c>
      <c r="Q179" t="s">
        <v>12</v>
      </c>
      <c r="R179" t="s">
        <v>13</v>
      </c>
      <c r="S179" s="3">
        <v>3318.21</v>
      </c>
      <c r="T179" t="s">
        <v>14</v>
      </c>
      <c r="U179" s="3">
        <v>288424.84999999998</v>
      </c>
      <c r="V179" t="s">
        <v>15</v>
      </c>
      <c r="W179" t="s">
        <v>16</v>
      </c>
      <c r="X179" t="s">
        <v>11</v>
      </c>
      <c r="Y179" t="s">
        <v>8</v>
      </c>
      <c r="Z179" t="s">
        <v>17</v>
      </c>
      <c r="AA179" t="s">
        <v>374</v>
      </c>
      <c r="AB179" t="s">
        <v>11</v>
      </c>
      <c r="AC179" t="s">
        <v>11</v>
      </c>
      <c r="AD179" t="s">
        <v>11</v>
      </c>
      <c r="AE179" s="2">
        <v>45763</v>
      </c>
      <c r="AF179" s="2"/>
      <c r="AG179" t="s">
        <v>11</v>
      </c>
      <c r="AH179" s="14">
        <f>VLOOKUP(M179,'[1]INDIAN ENTERPRISES'!$D:$D,1,0)</f>
        <v>256779412123</v>
      </c>
      <c r="AJ179" s="15">
        <f>VLOOKUP(M179,'[1]INDIAN ENTERPRISES'!$D:$L,9,0)</f>
        <v>45869</v>
      </c>
    </row>
    <row r="180" spans="1:36" hidden="1" outlineLevel="2" x14ac:dyDescent="0.25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54</v>
      </c>
      <c r="G180" s="2">
        <v>45763</v>
      </c>
      <c r="H180" t="s">
        <v>375</v>
      </c>
      <c r="I180" t="s">
        <v>7</v>
      </c>
      <c r="J180" s="2">
        <v>45763</v>
      </c>
      <c r="K180" s="2">
        <v>45764</v>
      </c>
      <c r="L180" t="s">
        <v>8</v>
      </c>
      <c r="M180" s="14">
        <v>256779411722</v>
      </c>
      <c r="N180" t="s">
        <v>9</v>
      </c>
      <c r="O180" t="s">
        <v>10</v>
      </c>
      <c r="P180" t="s">
        <v>11</v>
      </c>
      <c r="Q180" t="s">
        <v>12</v>
      </c>
      <c r="R180" t="s">
        <v>13</v>
      </c>
      <c r="S180" s="3">
        <v>236</v>
      </c>
      <c r="T180" t="s">
        <v>14</v>
      </c>
      <c r="U180" s="3">
        <v>20513.55</v>
      </c>
      <c r="V180" t="s">
        <v>37</v>
      </c>
      <c r="W180" t="s">
        <v>16</v>
      </c>
      <c r="X180" t="s">
        <v>11</v>
      </c>
      <c r="Y180" t="s">
        <v>8</v>
      </c>
      <c r="Z180" t="s">
        <v>17</v>
      </c>
      <c r="AA180" t="s">
        <v>376</v>
      </c>
      <c r="AB180" t="s">
        <v>11</v>
      </c>
      <c r="AC180" t="s">
        <v>11</v>
      </c>
      <c r="AD180" t="s">
        <v>11</v>
      </c>
      <c r="AE180" s="2">
        <v>45763</v>
      </c>
      <c r="AF180" s="2">
        <v>45974</v>
      </c>
      <c r="AG180" t="s">
        <v>39</v>
      </c>
      <c r="AH180" s="14" t="e">
        <f>VLOOKUP(M180,'[1]INDIAN ENTERPRISES'!$D:$D,1,0)</f>
        <v>#N/A</v>
      </c>
      <c r="AI180" t="str">
        <f>VLOOKUP(M180,'[2]Invoices Not in Customer Books'!$E:$K,7,0)</f>
        <v>Invoice &amp; CN both not received &amp; booked</v>
      </c>
      <c r="AJ180" s="15" t="e">
        <f>VLOOKUP(M180,'[1]INDIAN ENTERPRISES'!$D:$L,9,0)</f>
        <v>#N/A</v>
      </c>
    </row>
    <row r="181" spans="1:36" hidden="1" outlineLevel="2" x14ac:dyDescent="0.2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54</v>
      </c>
      <c r="G181" s="2">
        <v>45763</v>
      </c>
      <c r="H181" t="s">
        <v>377</v>
      </c>
      <c r="I181" t="s">
        <v>7</v>
      </c>
      <c r="J181" s="2">
        <v>45763</v>
      </c>
      <c r="K181" s="2">
        <v>45764</v>
      </c>
      <c r="L181" t="s">
        <v>8</v>
      </c>
      <c r="M181" s="14">
        <v>256779411795</v>
      </c>
      <c r="N181" t="s">
        <v>9</v>
      </c>
      <c r="O181" t="s">
        <v>10</v>
      </c>
      <c r="P181" t="s">
        <v>11</v>
      </c>
      <c r="Q181" t="s">
        <v>12</v>
      </c>
      <c r="R181" t="s">
        <v>13</v>
      </c>
      <c r="S181" s="3">
        <v>369.34</v>
      </c>
      <c r="T181" t="s">
        <v>14</v>
      </c>
      <c r="U181" s="3">
        <v>32103.7</v>
      </c>
      <c r="V181" t="s">
        <v>37</v>
      </c>
      <c r="W181" t="s">
        <v>16</v>
      </c>
      <c r="X181" t="s">
        <v>11</v>
      </c>
      <c r="Y181" t="s">
        <v>8</v>
      </c>
      <c r="Z181" t="s">
        <v>17</v>
      </c>
      <c r="AA181" t="s">
        <v>378</v>
      </c>
      <c r="AB181" t="s">
        <v>11</v>
      </c>
      <c r="AC181" t="s">
        <v>11</v>
      </c>
      <c r="AD181" t="s">
        <v>11</v>
      </c>
      <c r="AE181" s="2">
        <v>45763</v>
      </c>
      <c r="AF181" s="2">
        <v>45974</v>
      </c>
      <c r="AG181" t="s">
        <v>39</v>
      </c>
      <c r="AH181" s="14" t="e">
        <f>VLOOKUP(M181,'[1]INDIAN ENTERPRISES'!$D:$D,1,0)</f>
        <v>#N/A</v>
      </c>
      <c r="AI181" t="str">
        <f>VLOOKUP(M181,'[2]Invoices Not in Customer Books'!$E:$K,7,0)</f>
        <v>Invoice &amp; CN both not received &amp; booked</v>
      </c>
      <c r="AJ181" s="15" t="e">
        <f>VLOOKUP(M181,'[1]INDIAN ENTERPRISES'!$D:$L,9,0)</f>
        <v>#N/A</v>
      </c>
    </row>
    <row r="182" spans="1:36" hidden="1" outlineLevel="2" x14ac:dyDescent="0.25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54</v>
      </c>
      <c r="G182" s="2">
        <v>45763</v>
      </c>
      <c r="H182" t="s">
        <v>379</v>
      </c>
      <c r="I182" t="s">
        <v>7</v>
      </c>
      <c r="J182" s="2">
        <v>45763</v>
      </c>
      <c r="K182" s="2">
        <v>45764</v>
      </c>
      <c r="L182" t="s">
        <v>8</v>
      </c>
      <c r="M182" s="14">
        <v>256779411796</v>
      </c>
      <c r="N182" t="s">
        <v>9</v>
      </c>
      <c r="O182" t="s">
        <v>10</v>
      </c>
      <c r="P182" t="s">
        <v>11</v>
      </c>
      <c r="Q182" t="s">
        <v>12</v>
      </c>
      <c r="R182" t="s">
        <v>13</v>
      </c>
      <c r="S182" s="3">
        <v>226.56</v>
      </c>
      <c r="T182" t="s">
        <v>14</v>
      </c>
      <c r="U182" s="3">
        <v>19693.009999999998</v>
      </c>
      <c r="V182" t="s">
        <v>37</v>
      </c>
      <c r="W182" t="s">
        <v>16</v>
      </c>
      <c r="X182" t="s">
        <v>11</v>
      </c>
      <c r="Y182" t="s">
        <v>8</v>
      </c>
      <c r="Z182" t="s">
        <v>17</v>
      </c>
      <c r="AA182" t="s">
        <v>380</v>
      </c>
      <c r="AB182" t="s">
        <v>11</v>
      </c>
      <c r="AC182" t="s">
        <v>11</v>
      </c>
      <c r="AD182" t="s">
        <v>11</v>
      </c>
      <c r="AE182" s="2">
        <v>45763</v>
      </c>
      <c r="AF182" s="2">
        <v>45974</v>
      </c>
      <c r="AG182" t="s">
        <v>39</v>
      </c>
      <c r="AH182" s="14" t="e">
        <f>VLOOKUP(M182,'[1]INDIAN ENTERPRISES'!$D:$D,1,0)</f>
        <v>#N/A</v>
      </c>
      <c r="AI182" t="str">
        <f>VLOOKUP(M182,'[2]Invoices Not in Customer Books'!$E:$K,7,0)</f>
        <v>Invoice &amp; CN both not received &amp; booked</v>
      </c>
      <c r="AJ182" s="15" t="e">
        <f>VLOOKUP(M182,'[1]INDIAN ENTERPRISES'!$D:$L,9,0)</f>
        <v>#N/A</v>
      </c>
    </row>
    <row r="183" spans="1:36" hidden="1" outlineLevel="2" x14ac:dyDescent="0.25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54</v>
      </c>
      <c r="G183" s="2">
        <v>45763</v>
      </c>
      <c r="H183" t="s">
        <v>381</v>
      </c>
      <c r="I183" t="s">
        <v>7</v>
      </c>
      <c r="J183" s="2">
        <v>45763</v>
      </c>
      <c r="K183" s="2">
        <v>45764</v>
      </c>
      <c r="L183" t="s">
        <v>8</v>
      </c>
      <c r="M183" s="14">
        <v>256779411797</v>
      </c>
      <c r="N183" t="s">
        <v>9</v>
      </c>
      <c r="O183" t="s">
        <v>10</v>
      </c>
      <c r="P183" t="s">
        <v>11</v>
      </c>
      <c r="Q183" t="s">
        <v>12</v>
      </c>
      <c r="R183" t="s">
        <v>13</v>
      </c>
      <c r="S183" s="3">
        <v>35.4</v>
      </c>
      <c r="T183" t="s">
        <v>14</v>
      </c>
      <c r="U183" s="3">
        <v>3077.03</v>
      </c>
      <c r="V183" t="s">
        <v>37</v>
      </c>
      <c r="W183" t="s">
        <v>16</v>
      </c>
      <c r="X183" t="s">
        <v>11</v>
      </c>
      <c r="Y183" t="s">
        <v>8</v>
      </c>
      <c r="Z183" t="s">
        <v>17</v>
      </c>
      <c r="AA183" t="s">
        <v>382</v>
      </c>
      <c r="AB183" t="s">
        <v>11</v>
      </c>
      <c r="AC183" t="s">
        <v>11</v>
      </c>
      <c r="AD183" t="s">
        <v>11</v>
      </c>
      <c r="AE183" s="2">
        <v>45763</v>
      </c>
      <c r="AF183" s="2">
        <v>45974</v>
      </c>
      <c r="AG183" t="s">
        <v>39</v>
      </c>
      <c r="AH183" s="14" t="e">
        <f>VLOOKUP(M183,'[1]INDIAN ENTERPRISES'!$D:$D,1,0)</f>
        <v>#N/A</v>
      </c>
      <c r="AI183" t="str">
        <f>VLOOKUP(M183,'[2]Invoices Not in Customer Books'!$E:$K,7,0)</f>
        <v>Invoice &amp; CN both not received &amp; booked</v>
      </c>
      <c r="AJ183" s="15" t="e">
        <f>VLOOKUP(M183,'[1]INDIAN ENTERPRISES'!$D:$L,9,0)</f>
        <v>#N/A</v>
      </c>
    </row>
    <row r="184" spans="1:36" hidden="1" outlineLevel="2" x14ac:dyDescent="0.25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54</v>
      </c>
      <c r="G184" s="2">
        <v>45763</v>
      </c>
      <c r="H184" t="s">
        <v>383</v>
      </c>
      <c r="I184" t="s">
        <v>7</v>
      </c>
      <c r="J184" s="2">
        <v>45763</v>
      </c>
      <c r="K184" s="2">
        <v>45764</v>
      </c>
      <c r="L184" t="s">
        <v>8</v>
      </c>
      <c r="M184" s="14">
        <v>256779411798</v>
      </c>
      <c r="N184" t="s">
        <v>9</v>
      </c>
      <c r="O184" t="s">
        <v>10</v>
      </c>
      <c r="P184" t="s">
        <v>11</v>
      </c>
      <c r="Q184" t="s">
        <v>12</v>
      </c>
      <c r="R184" t="s">
        <v>13</v>
      </c>
      <c r="S184" s="3">
        <v>236</v>
      </c>
      <c r="T184" t="s">
        <v>14</v>
      </c>
      <c r="U184" s="3">
        <v>20513.55</v>
      </c>
      <c r="V184" t="s">
        <v>37</v>
      </c>
      <c r="W184" t="s">
        <v>16</v>
      </c>
      <c r="X184" t="s">
        <v>11</v>
      </c>
      <c r="Y184" t="s">
        <v>8</v>
      </c>
      <c r="Z184" t="s">
        <v>17</v>
      </c>
      <c r="AA184" t="s">
        <v>384</v>
      </c>
      <c r="AB184" t="s">
        <v>11</v>
      </c>
      <c r="AC184" t="s">
        <v>11</v>
      </c>
      <c r="AD184" t="s">
        <v>11</v>
      </c>
      <c r="AE184" s="2">
        <v>45763</v>
      </c>
      <c r="AF184" s="2">
        <v>45974</v>
      </c>
      <c r="AG184" t="s">
        <v>39</v>
      </c>
      <c r="AH184" s="14" t="e">
        <f>VLOOKUP(M184,'[1]INDIAN ENTERPRISES'!$D:$D,1,0)</f>
        <v>#N/A</v>
      </c>
      <c r="AI184" t="str">
        <f>VLOOKUP(M184,'[2]Invoices Not in Customer Books'!$E:$K,7,0)</f>
        <v>Invoice &amp; CN both not received &amp; booked</v>
      </c>
      <c r="AJ184" s="15" t="e">
        <f>VLOOKUP(M184,'[1]INDIAN ENTERPRISES'!$D:$L,9,0)</f>
        <v>#N/A</v>
      </c>
    </row>
    <row r="185" spans="1:36" hidden="1" outlineLevel="2" x14ac:dyDescent="0.2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54</v>
      </c>
      <c r="G185" s="2">
        <v>45763</v>
      </c>
      <c r="H185" t="s">
        <v>385</v>
      </c>
      <c r="I185" t="s">
        <v>7</v>
      </c>
      <c r="J185" s="2">
        <v>45763</v>
      </c>
      <c r="K185" s="2">
        <v>45764</v>
      </c>
      <c r="L185" t="s">
        <v>8</v>
      </c>
      <c r="M185" s="14">
        <v>256779411799</v>
      </c>
      <c r="N185" t="s">
        <v>9</v>
      </c>
      <c r="O185" t="s">
        <v>10</v>
      </c>
      <c r="P185" t="s">
        <v>11</v>
      </c>
      <c r="Q185" t="s">
        <v>12</v>
      </c>
      <c r="R185" t="s">
        <v>13</v>
      </c>
      <c r="S185" s="3">
        <v>70.8</v>
      </c>
      <c r="T185" t="s">
        <v>14</v>
      </c>
      <c r="U185" s="3">
        <v>6154.06</v>
      </c>
      <c r="V185" t="s">
        <v>37</v>
      </c>
      <c r="W185" t="s">
        <v>16</v>
      </c>
      <c r="X185" t="s">
        <v>11</v>
      </c>
      <c r="Y185" t="s">
        <v>8</v>
      </c>
      <c r="Z185" t="s">
        <v>17</v>
      </c>
      <c r="AA185" t="s">
        <v>386</v>
      </c>
      <c r="AB185" t="s">
        <v>11</v>
      </c>
      <c r="AC185" t="s">
        <v>11</v>
      </c>
      <c r="AD185" t="s">
        <v>11</v>
      </c>
      <c r="AE185" s="2">
        <v>45763</v>
      </c>
      <c r="AF185" s="2">
        <v>45974</v>
      </c>
      <c r="AG185" t="s">
        <v>39</v>
      </c>
      <c r="AH185" s="14" t="e">
        <f>VLOOKUP(M185,'[1]INDIAN ENTERPRISES'!$D:$D,1,0)</f>
        <v>#N/A</v>
      </c>
      <c r="AI185" t="str">
        <f>VLOOKUP(M185,'[2]Invoices Not in Customer Books'!$E:$K,7,0)</f>
        <v>Invoice &amp; CN both not received &amp; booked</v>
      </c>
      <c r="AJ185" s="15" t="e">
        <f>VLOOKUP(M185,'[1]INDIAN ENTERPRISES'!$D:$L,9,0)</f>
        <v>#N/A</v>
      </c>
    </row>
    <row r="186" spans="1:36" hidden="1" outlineLevel="2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54</v>
      </c>
      <c r="G186" s="2">
        <v>45763</v>
      </c>
      <c r="H186" t="s">
        <v>387</v>
      </c>
      <c r="I186" t="s">
        <v>7</v>
      </c>
      <c r="J186" s="2">
        <v>45763</v>
      </c>
      <c r="K186" s="2">
        <v>45764</v>
      </c>
      <c r="L186" t="s">
        <v>8</v>
      </c>
      <c r="M186" s="14">
        <v>256779411867</v>
      </c>
      <c r="N186" t="s">
        <v>9</v>
      </c>
      <c r="O186" t="s">
        <v>10</v>
      </c>
      <c r="P186" t="s">
        <v>11</v>
      </c>
      <c r="Q186" t="s">
        <v>12</v>
      </c>
      <c r="R186" t="s">
        <v>13</v>
      </c>
      <c r="S186" s="3">
        <v>295</v>
      </c>
      <c r="T186" t="s">
        <v>14</v>
      </c>
      <c r="U186" s="3">
        <v>25641.94</v>
      </c>
      <c r="V186" t="s">
        <v>37</v>
      </c>
      <c r="W186" t="s">
        <v>16</v>
      </c>
      <c r="X186" t="s">
        <v>11</v>
      </c>
      <c r="Y186" t="s">
        <v>8</v>
      </c>
      <c r="Z186" t="s">
        <v>17</v>
      </c>
      <c r="AA186" t="s">
        <v>388</v>
      </c>
      <c r="AB186" t="s">
        <v>11</v>
      </c>
      <c r="AC186" t="s">
        <v>11</v>
      </c>
      <c r="AD186" t="s">
        <v>11</v>
      </c>
      <c r="AE186" s="2">
        <v>45763</v>
      </c>
      <c r="AF186" s="2">
        <v>45974</v>
      </c>
      <c r="AG186" t="s">
        <v>39</v>
      </c>
      <c r="AH186" s="14">
        <f>VLOOKUP(M186,'[1]INDIAN ENTERPRISES'!$D:$D,1,0)</f>
        <v>256779411867</v>
      </c>
      <c r="AJ186" s="15">
        <f>VLOOKUP(M186,'[1]INDIAN ENTERPRISES'!$D:$L,9,0)</f>
        <v>46053</v>
      </c>
    </row>
    <row r="187" spans="1:36" hidden="1" outlineLevel="2" x14ac:dyDescent="0.25">
      <c r="A187" t="s">
        <v>20</v>
      </c>
      <c r="B187" t="s">
        <v>1</v>
      </c>
      <c r="C187" t="s">
        <v>2</v>
      </c>
      <c r="D187" t="s">
        <v>3</v>
      </c>
      <c r="E187" t="s">
        <v>4</v>
      </c>
      <c r="F187" t="s">
        <v>128</v>
      </c>
      <c r="G187" s="2">
        <v>45863</v>
      </c>
      <c r="H187" t="s">
        <v>389</v>
      </c>
      <c r="I187" t="s">
        <v>7</v>
      </c>
      <c r="J187" s="2">
        <v>45863</v>
      </c>
      <c r="K187" s="2">
        <v>45863</v>
      </c>
      <c r="L187" t="s">
        <v>8</v>
      </c>
      <c r="M187" s="14">
        <v>256779415989</v>
      </c>
      <c r="N187" t="s">
        <v>9</v>
      </c>
      <c r="O187" t="s">
        <v>10</v>
      </c>
      <c r="P187" t="s">
        <v>11</v>
      </c>
      <c r="Q187" t="s">
        <v>12</v>
      </c>
      <c r="R187" t="s">
        <v>13</v>
      </c>
      <c r="S187" s="3">
        <v>299.83999999999997</v>
      </c>
      <c r="T187" t="s">
        <v>14</v>
      </c>
      <c r="U187" s="3">
        <v>25786.44</v>
      </c>
      <c r="V187" t="s">
        <v>15</v>
      </c>
      <c r="W187" t="s">
        <v>16</v>
      </c>
      <c r="X187" t="s">
        <v>11</v>
      </c>
      <c r="Y187" t="s">
        <v>8</v>
      </c>
      <c r="Z187" t="s">
        <v>17</v>
      </c>
      <c r="AA187" t="s">
        <v>390</v>
      </c>
      <c r="AB187" t="s">
        <v>11</v>
      </c>
      <c r="AC187" t="s">
        <v>11</v>
      </c>
      <c r="AD187" t="s">
        <v>11</v>
      </c>
      <c r="AE187" s="2">
        <v>45863</v>
      </c>
      <c r="AF187" s="2"/>
      <c r="AG187" t="s">
        <v>11</v>
      </c>
      <c r="AH187" s="14">
        <f>VLOOKUP(M187,'[1]INDIAN ENTERPRISES'!$D:$D,1,0)</f>
        <v>256779415989</v>
      </c>
      <c r="AJ187" s="15">
        <f>VLOOKUP(M187,'[1]INDIAN ENTERPRISES'!$D:$L,9,0)</f>
        <v>45991</v>
      </c>
    </row>
    <row r="188" spans="1:36" hidden="1" outlineLevel="2" x14ac:dyDescent="0.25">
      <c r="A188" t="s">
        <v>20</v>
      </c>
      <c r="B188" t="s">
        <v>1</v>
      </c>
      <c r="C188" t="s">
        <v>2</v>
      </c>
      <c r="D188" t="s">
        <v>3</v>
      </c>
      <c r="E188" t="s">
        <v>4</v>
      </c>
      <c r="F188" t="s">
        <v>128</v>
      </c>
      <c r="G188" s="2">
        <v>45863</v>
      </c>
      <c r="H188" t="s">
        <v>391</v>
      </c>
      <c r="I188" t="s">
        <v>7</v>
      </c>
      <c r="J188" s="2">
        <v>45863</v>
      </c>
      <c r="K188" s="2">
        <v>45863</v>
      </c>
      <c r="L188" t="s">
        <v>8</v>
      </c>
      <c r="M188" s="14">
        <v>256779416007</v>
      </c>
      <c r="N188" t="s">
        <v>9</v>
      </c>
      <c r="O188" t="s">
        <v>10</v>
      </c>
      <c r="P188" t="s">
        <v>11</v>
      </c>
      <c r="Q188" t="s">
        <v>12</v>
      </c>
      <c r="R188" t="s">
        <v>13</v>
      </c>
      <c r="S188" s="3">
        <v>421.15</v>
      </c>
      <c r="T188" t="s">
        <v>14</v>
      </c>
      <c r="U188" s="3">
        <v>36219.18</v>
      </c>
      <c r="V188" t="s">
        <v>15</v>
      </c>
      <c r="W188" t="s">
        <v>16</v>
      </c>
      <c r="X188" t="s">
        <v>11</v>
      </c>
      <c r="Y188" t="s">
        <v>11</v>
      </c>
      <c r="Z188" t="s">
        <v>17</v>
      </c>
      <c r="AA188" t="s">
        <v>392</v>
      </c>
      <c r="AB188" t="s">
        <v>11</v>
      </c>
      <c r="AC188" t="s">
        <v>11</v>
      </c>
      <c r="AD188" t="s">
        <v>11</v>
      </c>
      <c r="AE188" s="2">
        <v>45863</v>
      </c>
      <c r="AF188" s="2"/>
      <c r="AG188" t="s">
        <v>11</v>
      </c>
      <c r="AH188" s="14">
        <f>VLOOKUP(M188,'[1]INDIAN ENTERPRISES'!$D:$D,1,0)</f>
        <v>256779416007</v>
      </c>
      <c r="AJ188" s="15">
        <f>VLOOKUP(M188,'[1]INDIAN ENTERPRISES'!$D:$L,9,0)</f>
        <v>45991</v>
      </c>
    </row>
    <row r="189" spans="1:36" hidden="1" outlineLevel="2" x14ac:dyDescent="0.25">
      <c r="A189" t="s">
        <v>20</v>
      </c>
      <c r="B189" t="s">
        <v>1</v>
      </c>
      <c r="C189" t="s">
        <v>2</v>
      </c>
      <c r="D189" t="s">
        <v>3</v>
      </c>
      <c r="E189" t="s">
        <v>4</v>
      </c>
      <c r="F189" t="s">
        <v>29</v>
      </c>
      <c r="G189" s="2">
        <v>45730</v>
      </c>
      <c r="H189" t="s">
        <v>393</v>
      </c>
      <c r="I189" t="s">
        <v>7</v>
      </c>
      <c r="J189" s="2">
        <v>45730</v>
      </c>
      <c r="K189" s="2">
        <v>45733</v>
      </c>
      <c r="L189" t="s">
        <v>8</v>
      </c>
      <c r="M189" s="14">
        <v>246779411407</v>
      </c>
      <c r="N189" t="s">
        <v>9</v>
      </c>
      <c r="O189" t="s">
        <v>10</v>
      </c>
      <c r="P189" t="s">
        <v>11</v>
      </c>
      <c r="Q189" t="s">
        <v>12</v>
      </c>
      <c r="R189" t="s">
        <v>13</v>
      </c>
      <c r="S189" s="3">
        <v>57.23</v>
      </c>
      <c r="T189" t="s">
        <v>14</v>
      </c>
      <c r="U189" s="3">
        <v>4961.34</v>
      </c>
      <c r="V189" t="s">
        <v>15</v>
      </c>
      <c r="W189" t="s">
        <v>16</v>
      </c>
      <c r="X189" t="s">
        <v>11</v>
      </c>
      <c r="Y189" t="s">
        <v>8</v>
      </c>
      <c r="Z189" t="s">
        <v>17</v>
      </c>
      <c r="AA189" t="s">
        <v>394</v>
      </c>
      <c r="AB189" t="s">
        <v>11</v>
      </c>
      <c r="AC189" t="s">
        <v>11</v>
      </c>
      <c r="AD189" t="s">
        <v>11</v>
      </c>
      <c r="AE189" s="2">
        <v>45730</v>
      </c>
      <c r="AF189" s="2"/>
      <c r="AG189" t="s">
        <v>11</v>
      </c>
      <c r="AH189" s="14">
        <f>VLOOKUP(M189,'[1]INDIAN ENTERPRISES'!$D:$D,1,0)</f>
        <v>246779411407</v>
      </c>
      <c r="AJ189" s="15">
        <f>VLOOKUP(M189,'[1]INDIAN ENTERPRISES'!$D:$L,9,0)</f>
        <v>45838</v>
      </c>
    </row>
    <row r="190" spans="1:36" hidden="1" outlineLevel="2" x14ac:dyDescent="0.25">
      <c r="A190" t="s">
        <v>20</v>
      </c>
      <c r="B190" t="s">
        <v>1</v>
      </c>
      <c r="C190" t="s">
        <v>2</v>
      </c>
      <c r="D190" t="s">
        <v>3</v>
      </c>
      <c r="E190" t="s">
        <v>4</v>
      </c>
      <c r="F190" t="s">
        <v>29</v>
      </c>
      <c r="G190" s="2">
        <v>45730</v>
      </c>
      <c r="H190" t="s">
        <v>395</v>
      </c>
      <c r="I190" t="s">
        <v>7</v>
      </c>
      <c r="J190" s="2">
        <v>45730</v>
      </c>
      <c r="K190" s="2">
        <v>45733</v>
      </c>
      <c r="L190" t="s">
        <v>8</v>
      </c>
      <c r="M190" s="14">
        <v>246779411411</v>
      </c>
      <c r="N190" t="s">
        <v>9</v>
      </c>
      <c r="O190" t="s">
        <v>10</v>
      </c>
      <c r="P190" t="s">
        <v>11</v>
      </c>
      <c r="Q190" t="s">
        <v>12</v>
      </c>
      <c r="R190" t="s">
        <v>13</v>
      </c>
      <c r="S190" s="3">
        <v>45.79</v>
      </c>
      <c r="T190" t="s">
        <v>14</v>
      </c>
      <c r="U190" s="3">
        <v>3969.59</v>
      </c>
      <c r="V190" t="s">
        <v>15</v>
      </c>
      <c r="W190" t="s">
        <v>16</v>
      </c>
      <c r="X190" t="s">
        <v>11</v>
      </c>
      <c r="Y190" t="s">
        <v>8</v>
      </c>
      <c r="Z190" t="s">
        <v>17</v>
      </c>
      <c r="AA190" t="s">
        <v>394</v>
      </c>
      <c r="AB190" t="s">
        <v>11</v>
      </c>
      <c r="AC190" t="s">
        <v>11</v>
      </c>
      <c r="AD190" t="s">
        <v>11</v>
      </c>
      <c r="AE190" s="2">
        <v>45730</v>
      </c>
      <c r="AF190" s="2"/>
      <c r="AG190" t="s">
        <v>11</v>
      </c>
      <c r="AH190" s="14">
        <f>VLOOKUP(M190,'[1]INDIAN ENTERPRISES'!$D:$D,1,0)</f>
        <v>246779411411</v>
      </c>
      <c r="AJ190" s="15">
        <f>VLOOKUP(M190,'[1]INDIAN ENTERPRISES'!$D:$L,9,0)</f>
        <v>45838</v>
      </c>
    </row>
    <row r="191" spans="1:36" hidden="1" outlineLevel="2" x14ac:dyDescent="0.25">
      <c r="A191" t="s">
        <v>20</v>
      </c>
      <c r="B191" t="s">
        <v>1</v>
      </c>
      <c r="C191" t="s">
        <v>2</v>
      </c>
      <c r="D191" t="s">
        <v>3</v>
      </c>
      <c r="E191" t="s">
        <v>4</v>
      </c>
      <c r="F191" t="s">
        <v>29</v>
      </c>
      <c r="G191" s="2">
        <v>45730</v>
      </c>
      <c r="H191" t="s">
        <v>396</v>
      </c>
      <c r="I191" t="s">
        <v>7</v>
      </c>
      <c r="J191" s="2">
        <v>45730</v>
      </c>
      <c r="K191" s="2">
        <v>45733</v>
      </c>
      <c r="L191" t="s">
        <v>8</v>
      </c>
      <c r="M191" s="14">
        <v>246779411412</v>
      </c>
      <c r="N191" t="s">
        <v>9</v>
      </c>
      <c r="O191" t="s">
        <v>10</v>
      </c>
      <c r="P191" t="s">
        <v>11</v>
      </c>
      <c r="Q191" t="s">
        <v>12</v>
      </c>
      <c r="R191" t="s">
        <v>13</v>
      </c>
      <c r="S191" s="3">
        <v>20.03</v>
      </c>
      <c r="T191" t="s">
        <v>14</v>
      </c>
      <c r="U191" s="3">
        <v>1736.43</v>
      </c>
      <c r="V191" t="s">
        <v>15</v>
      </c>
      <c r="W191" t="s">
        <v>16</v>
      </c>
      <c r="X191" t="s">
        <v>11</v>
      </c>
      <c r="Y191" t="s">
        <v>8</v>
      </c>
      <c r="Z191" t="s">
        <v>17</v>
      </c>
      <c r="AA191" t="s">
        <v>394</v>
      </c>
      <c r="AB191" t="s">
        <v>11</v>
      </c>
      <c r="AC191" t="s">
        <v>11</v>
      </c>
      <c r="AD191" t="s">
        <v>11</v>
      </c>
      <c r="AE191" s="2">
        <v>45730</v>
      </c>
      <c r="AF191" s="2"/>
      <c r="AG191" t="s">
        <v>11</v>
      </c>
      <c r="AH191" s="14">
        <f>VLOOKUP(M191,'[1]INDIAN ENTERPRISES'!$D:$D,1,0)</f>
        <v>246779411412</v>
      </c>
      <c r="AJ191" s="15">
        <f>VLOOKUP(M191,'[1]INDIAN ENTERPRISES'!$D:$L,9,0)</f>
        <v>45838</v>
      </c>
    </row>
    <row r="192" spans="1:36" hidden="1" outlineLevel="2" x14ac:dyDescent="0.25">
      <c r="A192" t="s">
        <v>20</v>
      </c>
      <c r="B192" t="s">
        <v>1</v>
      </c>
      <c r="C192" t="s">
        <v>2</v>
      </c>
      <c r="D192" t="s">
        <v>3</v>
      </c>
      <c r="E192" t="s">
        <v>4</v>
      </c>
      <c r="F192" t="s">
        <v>29</v>
      </c>
      <c r="G192" s="2">
        <v>45730</v>
      </c>
      <c r="H192" t="s">
        <v>397</v>
      </c>
      <c r="I192" t="s">
        <v>7</v>
      </c>
      <c r="J192" s="2">
        <v>45730</v>
      </c>
      <c r="K192" s="2">
        <v>45733</v>
      </c>
      <c r="L192" t="s">
        <v>8</v>
      </c>
      <c r="M192" s="14">
        <v>246779411413</v>
      </c>
      <c r="N192" t="s">
        <v>9</v>
      </c>
      <c r="O192" t="s">
        <v>10</v>
      </c>
      <c r="P192" t="s">
        <v>11</v>
      </c>
      <c r="Q192" t="s">
        <v>12</v>
      </c>
      <c r="R192" t="s">
        <v>13</v>
      </c>
      <c r="S192" s="3">
        <v>40.06</v>
      </c>
      <c r="T192" t="s">
        <v>14</v>
      </c>
      <c r="U192" s="3">
        <v>3472.85</v>
      </c>
      <c r="V192" t="s">
        <v>15</v>
      </c>
      <c r="W192" t="s">
        <v>16</v>
      </c>
      <c r="X192" t="s">
        <v>11</v>
      </c>
      <c r="Y192" t="s">
        <v>8</v>
      </c>
      <c r="Z192" t="s">
        <v>17</v>
      </c>
      <c r="AA192" t="s">
        <v>394</v>
      </c>
      <c r="AB192" t="s">
        <v>11</v>
      </c>
      <c r="AC192" t="s">
        <v>11</v>
      </c>
      <c r="AD192" t="s">
        <v>11</v>
      </c>
      <c r="AE192" s="2">
        <v>45730</v>
      </c>
      <c r="AF192" s="2"/>
      <c r="AG192" t="s">
        <v>11</v>
      </c>
      <c r="AH192" s="14">
        <f>VLOOKUP(M192,'[1]INDIAN ENTERPRISES'!$D:$D,1,0)</f>
        <v>246779411413</v>
      </c>
      <c r="AJ192" s="15">
        <f>VLOOKUP(M192,'[1]INDIAN ENTERPRISES'!$D:$L,9,0)</f>
        <v>45838</v>
      </c>
    </row>
    <row r="193" spans="1:36" hidden="1" outlineLevel="2" x14ac:dyDescent="0.25">
      <c r="A193" t="s">
        <v>20</v>
      </c>
      <c r="B193" t="s">
        <v>1</v>
      </c>
      <c r="C193" t="s">
        <v>2</v>
      </c>
      <c r="D193" t="s">
        <v>3</v>
      </c>
      <c r="E193" t="s">
        <v>4</v>
      </c>
      <c r="F193" t="s">
        <v>29</v>
      </c>
      <c r="G193" s="2">
        <v>45730</v>
      </c>
      <c r="H193" t="s">
        <v>398</v>
      </c>
      <c r="I193" t="s">
        <v>7</v>
      </c>
      <c r="J193" s="2">
        <v>45730</v>
      </c>
      <c r="K193" s="2">
        <v>45733</v>
      </c>
      <c r="L193" t="s">
        <v>8</v>
      </c>
      <c r="M193" s="14">
        <v>246779411415</v>
      </c>
      <c r="N193" t="s">
        <v>9</v>
      </c>
      <c r="O193" t="s">
        <v>10</v>
      </c>
      <c r="P193" t="s">
        <v>11</v>
      </c>
      <c r="Q193" t="s">
        <v>12</v>
      </c>
      <c r="R193" t="s">
        <v>13</v>
      </c>
      <c r="S193" s="3">
        <v>22.89</v>
      </c>
      <c r="T193" t="s">
        <v>14</v>
      </c>
      <c r="U193" s="3">
        <v>1984.36</v>
      </c>
      <c r="V193" t="s">
        <v>15</v>
      </c>
      <c r="W193" t="s">
        <v>16</v>
      </c>
      <c r="X193" t="s">
        <v>11</v>
      </c>
      <c r="Y193" t="s">
        <v>8</v>
      </c>
      <c r="Z193" t="s">
        <v>17</v>
      </c>
      <c r="AA193" t="s">
        <v>394</v>
      </c>
      <c r="AB193" t="s">
        <v>11</v>
      </c>
      <c r="AC193" t="s">
        <v>11</v>
      </c>
      <c r="AD193" t="s">
        <v>11</v>
      </c>
      <c r="AE193" s="2">
        <v>45730</v>
      </c>
      <c r="AF193" s="2"/>
      <c r="AG193" t="s">
        <v>11</v>
      </c>
      <c r="AH193" s="14">
        <f>VLOOKUP(M193,'[1]INDIAN ENTERPRISES'!$D:$D,1,0)</f>
        <v>246779411415</v>
      </c>
      <c r="AJ193" s="15">
        <f>VLOOKUP(M193,'[1]INDIAN ENTERPRISES'!$D:$L,9,0)</f>
        <v>45838</v>
      </c>
    </row>
    <row r="194" spans="1:36" hidden="1" outlineLevel="2" x14ac:dyDescent="0.25">
      <c r="A194" t="s">
        <v>20</v>
      </c>
      <c r="B194" t="s">
        <v>1</v>
      </c>
      <c r="C194" t="s">
        <v>2</v>
      </c>
      <c r="D194" t="s">
        <v>3</v>
      </c>
      <c r="E194" t="s">
        <v>4</v>
      </c>
      <c r="F194" t="s">
        <v>29</v>
      </c>
      <c r="G194" s="2">
        <v>45730</v>
      </c>
      <c r="H194" t="s">
        <v>399</v>
      </c>
      <c r="I194" t="s">
        <v>7</v>
      </c>
      <c r="J194" s="2">
        <v>45730</v>
      </c>
      <c r="K194" s="2">
        <v>45733</v>
      </c>
      <c r="L194" t="s">
        <v>8</v>
      </c>
      <c r="M194" s="14">
        <v>246779411419</v>
      </c>
      <c r="N194" t="s">
        <v>9</v>
      </c>
      <c r="O194" t="s">
        <v>10</v>
      </c>
      <c r="P194" t="s">
        <v>11</v>
      </c>
      <c r="Q194" t="s">
        <v>12</v>
      </c>
      <c r="R194" t="s">
        <v>13</v>
      </c>
      <c r="S194" s="3">
        <v>23.35</v>
      </c>
      <c r="T194" t="s">
        <v>14</v>
      </c>
      <c r="U194" s="3">
        <v>2024.24</v>
      </c>
      <c r="V194" t="s">
        <v>15</v>
      </c>
      <c r="W194" t="s">
        <v>16</v>
      </c>
      <c r="X194" t="s">
        <v>11</v>
      </c>
      <c r="Y194" t="s">
        <v>8</v>
      </c>
      <c r="Z194" t="s">
        <v>17</v>
      </c>
      <c r="AA194" t="s">
        <v>394</v>
      </c>
      <c r="AB194" t="s">
        <v>11</v>
      </c>
      <c r="AC194" t="s">
        <v>11</v>
      </c>
      <c r="AD194" t="s">
        <v>11</v>
      </c>
      <c r="AE194" s="2">
        <v>45730</v>
      </c>
      <c r="AF194" s="2"/>
      <c r="AG194" t="s">
        <v>11</v>
      </c>
      <c r="AH194" s="14">
        <f>VLOOKUP(M194,'[1]INDIAN ENTERPRISES'!$D:$D,1,0)</f>
        <v>246779411419</v>
      </c>
      <c r="AJ194" s="15">
        <f>VLOOKUP(M194,'[1]INDIAN ENTERPRISES'!$D:$L,9,0)</f>
        <v>45838</v>
      </c>
    </row>
    <row r="195" spans="1:36" hidden="1" outlineLevel="2" x14ac:dyDescent="0.25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29</v>
      </c>
      <c r="G195" s="2">
        <v>45730</v>
      </c>
      <c r="H195" t="s">
        <v>400</v>
      </c>
      <c r="I195" t="s">
        <v>7</v>
      </c>
      <c r="J195" s="2">
        <v>45730</v>
      </c>
      <c r="K195" s="2">
        <v>45735</v>
      </c>
      <c r="L195" t="s">
        <v>8</v>
      </c>
      <c r="M195" s="14">
        <v>246779412207</v>
      </c>
      <c r="N195" t="s">
        <v>9</v>
      </c>
      <c r="O195" t="s">
        <v>10</v>
      </c>
      <c r="P195" t="s">
        <v>11</v>
      </c>
      <c r="Q195" t="s">
        <v>12</v>
      </c>
      <c r="R195" t="s">
        <v>13</v>
      </c>
      <c r="S195" s="3">
        <v>312.5</v>
      </c>
      <c r="T195" t="s">
        <v>14</v>
      </c>
      <c r="U195" s="3">
        <v>27091.02</v>
      </c>
      <c r="V195" t="s">
        <v>15</v>
      </c>
      <c r="W195" t="s">
        <v>16</v>
      </c>
      <c r="X195" t="s">
        <v>11</v>
      </c>
      <c r="Y195" t="s">
        <v>8</v>
      </c>
      <c r="Z195" t="s">
        <v>17</v>
      </c>
      <c r="AA195" t="s">
        <v>394</v>
      </c>
      <c r="AB195" t="s">
        <v>11</v>
      </c>
      <c r="AC195" t="s">
        <v>11</v>
      </c>
      <c r="AD195" t="s">
        <v>11</v>
      </c>
      <c r="AE195" s="2">
        <v>45730</v>
      </c>
      <c r="AF195" s="2">
        <v>45861</v>
      </c>
      <c r="AG195" t="s">
        <v>401</v>
      </c>
      <c r="AH195" s="14" t="e">
        <f>VLOOKUP(M195,'[1]INDIAN ENTERPRISES'!$D:$D,1,0)</f>
        <v>#N/A</v>
      </c>
      <c r="AI195" t="str">
        <f>VLOOKUP(M195,'[2]Invoices Not in Customer Books'!$E:$K,7,0)</f>
        <v>Invoice &amp; CN both not received &amp; booked</v>
      </c>
      <c r="AJ195" s="15" t="e">
        <f>VLOOKUP(M195,'[1]INDIAN ENTERPRISES'!$D:$L,9,0)</f>
        <v>#N/A</v>
      </c>
    </row>
    <row r="196" spans="1:36" hidden="1" outlineLevel="2" x14ac:dyDescent="0.25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29</v>
      </c>
      <c r="G196" s="2">
        <v>45730</v>
      </c>
      <c r="H196" t="s">
        <v>402</v>
      </c>
      <c r="I196" t="s">
        <v>7</v>
      </c>
      <c r="J196" s="2">
        <v>45730</v>
      </c>
      <c r="K196" s="2">
        <v>45735</v>
      </c>
      <c r="L196" t="s">
        <v>8</v>
      </c>
      <c r="M196" s="14">
        <v>246779412208</v>
      </c>
      <c r="N196" t="s">
        <v>9</v>
      </c>
      <c r="O196" t="s">
        <v>10</v>
      </c>
      <c r="P196" t="s">
        <v>11</v>
      </c>
      <c r="Q196" t="s">
        <v>12</v>
      </c>
      <c r="R196" t="s">
        <v>13</v>
      </c>
      <c r="S196" s="3">
        <v>23.35</v>
      </c>
      <c r="T196" t="s">
        <v>14</v>
      </c>
      <c r="U196" s="3">
        <v>2024.24</v>
      </c>
      <c r="V196" t="s">
        <v>15</v>
      </c>
      <c r="W196" t="s">
        <v>16</v>
      </c>
      <c r="X196" t="s">
        <v>11</v>
      </c>
      <c r="Y196" t="s">
        <v>8</v>
      </c>
      <c r="Z196" t="s">
        <v>17</v>
      </c>
      <c r="AA196" t="s">
        <v>394</v>
      </c>
      <c r="AB196" t="s">
        <v>11</v>
      </c>
      <c r="AC196" t="s">
        <v>11</v>
      </c>
      <c r="AD196" t="s">
        <v>11</v>
      </c>
      <c r="AE196" s="2">
        <v>45730</v>
      </c>
      <c r="AF196" s="2">
        <v>45861</v>
      </c>
      <c r="AG196" t="s">
        <v>403</v>
      </c>
      <c r="AH196" s="14" t="e">
        <f>VLOOKUP(M196,'[1]INDIAN ENTERPRISES'!$D:$D,1,0)</f>
        <v>#N/A</v>
      </c>
      <c r="AI196" t="str">
        <f>VLOOKUP(M196,'[2]Invoices Not in Customer Books'!$E:$K,7,0)</f>
        <v>Invoice &amp; CN both not received &amp; booked</v>
      </c>
      <c r="AJ196" s="15" t="e">
        <f>VLOOKUP(M196,'[1]INDIAN ENTERPRISES'!$D:$L,9,0)</f>
        <v>#N/A</v>
      </c>
    </row>
    <row r="197" spans="1:36" hidden="1" outlineLevel="2" x14ac:dyDescent="0.25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29</v>
      </c>
      <c r="G197" s="2">
        <v>45730</v>
      </c>
      <c r="H197" t="s">
        <v>404</v>
      </c>
      <c r="I197" t="s">
        <v>7</v>
      </c>
      <c r="J197" s="2">
        <v>45730</v>
      </c>
      <c r="K197" s="2">
        <v>45735</v>
      </c>
      <c r="L197" t="s">
        <v>8</v>
      </c>
      <c r="M197" s="14">
        <v>246779412197</v>
      </c>
      <c r="N197" t="s">
        <v>9</v>
      </c>
      <c r="O197" t="s">
        <v>10</v>
      </c>
      <c r="P197" t="s">
        <v>11</v>
      </c>
      <c r="Q197" t="s">
        <v>12</v>
      </c>
      <c r="R197" t="s">
        <v>13</v>
      </c>
      <c r="S197" s="3">
        <v>40.06</v>
      </c>
      <c r="T197" t="s">
        <v>14</v>
      </c>
      <c r="U197" s="3">
        <v>3472.85</v>
      </c>
      <c r="V197" t="s">
        <v>15</v>
      </c>
      <c r="W197" t="s">
        <v>16</v>
      </c>
      <c r="X197" t="s">
        <v>11</v>
      </c>
      <c r="Y197" t="s">
        <v>8</v>
      </c>
      <c r="Z197" t="s">
        <v>17</v>
      </c>
      <c r="AA197" t="s">
        <v>394</v>
      </c>
      <c r="AB197" t="s">
        <v>11</v>
      </c>
      <c r="AC197" t="s">
        <v>11</v>
      </c>
      <c r="AD197" t="s">
        <v>11</v>
      </c>
      <c r="AE197" s="2">
        <v>45730</v>
      </c>
      <c r="AF197" s="2">
        <v>45974</v>
      </c>
      <c r="AG197" t="s">
        <v>39</v>
      </c>
      <c r="AH197" s="14" t="e">
        <f>VLOOKUP(M197,'[1]INDIAN ENTERPRISES'!$D:$D,1,0)</f>
        <v>#N/A</v>
      </c>
      <c r="AI197" t="str">
        <f>VLOOKUP(M197,'[2]Invoices Not in Customer Books'!$E:$K,7,0)</f>
        <v>Invoice &amp; CN both not received &amp; booked</v>
      </c>
      <c r="AJ197" s="15" t="e">
        <f>VLOOKUP(M197,'[1]INDIAN ENTERPRISES'!$D:$L,9,0)</f>
        <v>#N/A</v>
      </c>
    </row>
    <row r="198" spans="1:36" hidden="1" outlineLevel="2" x14ac:dyDescent="0.2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29</v>
      </c>
      <c r="G198" s="2">
        <v>45730</v>
      </c>
      <c r="H198" t="s">
        <v>405</v>
      </c>
      <c r="I198" t="s">
        <v>7</v>
      </c>
      <c r="J198" s="2">
        <v>45730</v>
      </c>
      <c r="K198" s="2">
        <v>45735</v>
      </c>
      <c r="L198" t="s">
        <v>8</v>
      </c>
      <c r="M198" s="14">
        <v>246779412198</v>
      </c>
      <c r="N198" t="s">
        <v>9</v>
      </c>
      <c r="O198" t="s">
        <v>10</v>
      </c>
      <c r="P198" t="s">
        <v>11</v>
      </c>
      <c r="Q198" t="s">
        <v>12</v>
      </c>
      <c r="R198" t="s">
        <v>13</v>
      </c>
      <c r="S198" s="3">
        <v>249.55</v>
      </c>
      <c r="T198" t="s">
        <v>14</v>
      </c>
      <c r="U198" s="3">
        <v>21633.8</v>
      </c>
      <c r="V198" t="s">
        <v>15</v>
      </c>
      <c r="W198" t="s">
        <v>16</v>
      </c>
      <c r="X198" t="s">
        <v>11</v>
      </c>
      <c r="Y198" t="s">
        <v>8</v>
      </c>
      <c r="Z198" t="s">
        <v>17</v>
      </c>
      <c r="AA198" t="s">
        <v>394</v>
      </c>
      <c r="AB198" t="s">
        <v>11</v>
      </c>
      <c r="AC198" t="s">
        <v>11</v>
      </c>
      <c r="AD198" t="s">
        <v>11</v>
      </c>
      <c r="AE198" s="2">
        <v>45730</v>
      </c>
      <c r="AF198" s="2">
        <v>45974</v>
      </c>
      <c r="AG198" t="s">
        <v>39</v>
      </c>
      <c r="AH198" s="14" t="e">
        <f>VLOOKUP(M198,'[1]INDIAN ENTERPRISES'!$D:$D,1,0)</f>
        <v>#N/A</v>
      </c>
      <c r="AI198" t="str">
        <f>VLOOKUP(M198,'[2]Invoices Not in Customer Books'!$E:$K,7,0)</f>
        <v>Invoice &amp; CN both not received &amp; booked</v>
      </c>
      <c r="AJ198" s="15" t="e">
        <f>VLOOKUP(M198,'[1]INDIAN ENTERPRISES'!$D:$L,9,0)</f>
        <v>#N/A</v>
      </c>
    </row>
    <row r="199" spans="1:36" hidden="1" outlineLevel="2" x14ac:dyDescent="0.25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29</v>
      </c>
      <c r="G199" s="2">
        <v>45730</v>
      </c>
      <c r="H199" t="s">
        <v>406</v>
      </c>
      <c r="I199" t="s">
        <v>7</v>
      </c>
      <c r="J199" s="2">
        <v>45730</v>
      </c>
      <c r="K199" s="2">
        <v>45735</v>
      </c>
      <c r="L199" t="s">
        <v>8</v>
      </c>
      <c r="M199" s="14">
        <v>246779412199</v>
      </c>
      <c r="N199" t="s">
        <v>9</v>
      </c>
      <c r="O199" t="s">
        <v>10</v>
      </c>
      <c r="P199" t="s">
        <v>11</v>
      </c>
      <c r="Q199" t="s">
        <v>12</v>
      </c>
      <c r="R199" t="s">
        <v>13</v>
      </c>
      <c r="S199" s="3">
        <v>40.06</v>
      </c>
      <c r="T199" t="s">
        <v>14</v>
      </c>
      <c r="U199" s="3">
        <v>3472.85</v>
      </c>
      <c r="V199" t="s">
        <v>15</v>
      </c>
      <c r="W199" t="s">
        <v>16</v>
      </c>
      <c r="X199" t="s">
        <v>11</v>
      </c>
      <c r="Y199" t="s">
        <v>8</v>
      </c>
      <c r="Z199" t="s">
        <v>17</v>
      </c>
      <c r="AA199" t="s">
        <v>394</v>
      </c>
      <c r="AB199" t="s">
        <v>11</v>
      </c>
      <c r="AC199" t="s">
        <v>11</v>
      </c>
      <c r="AD199" t="s">
        <v>11</v>
      </c>
      <c r="AE199" s="2">
        <v>45730</v>
      </c>
      <c r="AF199" s="2">
        <v>45974</v>
      </c>
      <c r="AG199" t="s">
        <v>39</v>
      </c>
      <c r="AH199" s="14" t="e">
        <f>VLOOKUP(M199,'[1]INDIAN ENTERPRISES'!$D:$D,1,0)</f>
        <v>#N/A</v>
      </c>
      <c r="AI199" t="str">
        <f>VLOOKUP(M199,'[2]Invoices Not in Customer Books'!$E:$K,7,0)</f>
        <v>Invoice &amp; CN both not received &amp; booked</v>
      </c>
      <c r="AJ199" s="15" t="e">
        <f>VLOOKUP(M199,'[1]INDIAN ENTERPRISES'!$D:$L,9,0)</f>
        <v>#N/A</v>
      </c>
    </row>
    <row r="200" spans="1:36" hidden="1" outlineLevel="2" x14ac:dyDescent="0.25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29</v>
      </c>
      <c r="G200" s="2">
        <v>45730</v>
      </c>
      <c r="H200" t="s">
        <v>407</v>
      </c>
      <c r="I200" t="s">
        <v>7</v>
      </c>
      <c r="J200" s="2">
        <v>45730</v>
      </c>
      <c r="K200" s="2">
        <v>45735</v>
      </c>
      <c r="L200" t="s">
        <v>8</v>
      </c>
      <c r="M200" s="14">
        <v>246779412200</v>
      </c>
      <c r="N200" t="s">
        <v>9</v>
      </c>
      <c r="O200" t="s">
        <v>10</v>
      </c>
      <c r="P200" t="s">
        <v>11</v>
      </c>
      <c r="Q200" t="s">
        <v>12</v>
      </c>
      <c r="R200" t="s">
        <v>13</v>
      </c>
      <c r="S200" s="3">
        <v>45.79</v>
      </c>
      <c r="T200" t="s">
        <v>14</v>
      </c>
      <c r="U200" s="3">
        <v>3969.59</v>
      </c>
      <c r="V200" t="s">
        <v>15</v>
      </c>
      <c r="W200" t="s">
        <v>16</v>
      </c>
      <c r="X200" t="s">
        <v>11</v>
      </c>
      <c r="Y200" t="s">
        <v>8</v>
      </c>
      <c r="Z200" t="s">
        <v>17</v>
      </c>
      <c r="AA200" t="s">
        <v>394</v>
      </c>
      <c r="AB200" t="s">
        <v>11</v>
      </c>
      <c r="AC200" t="s">
        <v>11</v>
      </c>
      <c r="AD200" t="s">
        <v>11</v>
      </c>
      <c r="AE200" s="2">
        <v>45730</v>
      </c>
      <c r="AF200" s="2">
        <v>45974</v>
      </c>
      <c r="AG200" t="s">
        <v>39</v>
      </c>
      <c r="AH200" s="14" t="e">
        <f>VLOOKUP(M200,'[1]INDIAN ENTERPRISES'!$D:$D,1,0)</f>
        <v>#N/A</v>
      </c>
      <c r="AI200" t="str">
        <f>VLOOKUP(M200,'[2]Invoices Not in Customer Books'!$E:$K,7,0)</f>
        <v>Invoice &amp; CN both not received &amp; booked</v>
      </c>
      <c r="AJ200" s="15" t="e">
        <f>VLOOKUP(M200,'[1]INDIAN ENTERPRISES'!$D:$L,9,0)</f>
        <v>#N/A</v>
      </c>
    </row>
    <row r="201" spans="1:36" hidden="1" outlineLevel="2" x14ac:dyDescent="0.25">
      <c r="A201" t="s">
        <v>20</v>
      </c>
      <c r="B201" t="s">
        <v>1</v>
      </c>
      <c r="C201" t="s">
        <v>2</v>
      </c>
      <c r="D201" t="s">
        <v>3</v>
      </c>
      <c r="E201" t="s">
        <v>4</v>
      </c>
      <c r="F201" t="s">
        <v>29</v>
      </c>
      <c r="G201" s="2">
        <v>45730</v>
      </c>
      <c r="H201" t="s">
        <v>408</v>
      </c>
      <c r="I201" t="s">
        <v>7</v>
      </c>
      <c r="J201" s="2">
        <v>45730</v>
      </c>
      <c r="K201" s="2">
        <v>45733</v>
      </c>
      <c r="L201" t="s">
        <v>8</v>
      </c>
      <c r="M201" s="14">
        <v>246779411408</v>
      </c>
      <c r="N201" t="s">
        <v>9</v>
      </c>
      <c r="O201" t="s">
        <v>10</v>
      </c>
      <c r="P201" t="s">
        <v>11</v>
      </c>
      <c r="Q201" t="s">
        <v>12</v>
      </c>
      <c r="R201" t="s">
        <v>13</v>
      </c>
      <c r="S201" s="3">
        <v>40.06</v>
      </c>
      <c r="T201" t="s">
        <v>14</v>
      </c>
      <c r="U201" s="3">
        <v>3472.85</v>
      </c>
      <c r="V201" t="s">
        <v>15</v>
      </c>
      <c r="W201" t="s">
        <v>16</v>
      </c>
      <c r="X201" t="s">
        <v>11</v>
      </c>
      <c r="Y201" t="s">
        <v>8</v>
      </c>
      <c r="Z201" t="s">
        <v>17</v>
      </c>
      <c r="AA201" t="s">
        <v>394</v>
      </c>
      <c r="AB201" t="s">
        <v>11</v>
      </c>
      <c r="AC201" t="s">
        <v>11</v>
      </c>
      <c r="AD201" t="s">
        <v>11</v>
      </c>
      <c r="AE201" s="2">
        <v>45730</v>
      </c>
      <c r="AF201" s="2"/>
      <c r="AG201" t="s">
        <v>11</v>
      </c>
      <c r="AH201" s="14">
        <f>VLOOKUP(M201,'[1]INDIAN ENTERPRISES'!$D:$D,1,0)</f>
        <v>246779411408</v>
      </c>
      <c r="AJ201" s="15">
        <f>VLOOKUP(M201,'[1]INDIAN ENTERPRISES'!$D:$L,9,0)</f>
        <v>45838</v>
      </c>
    </row>
    <row r="202" spans="1:36" hidden="1" outlineLevel="2" x14ac:dyDescent="0.25">
      <c r="A202" t="s">
        <v>20</v>
      </c>
      <c r="B202" t="s">
        <v>1</v>
      </c>
      <c r="C202" t="s">
        <v>2</v>
      </c>
      <c r="D202" t="s">
        <v>3</v>
      </c>
      <c r="E202" t="s">
        <v>4</v>
      </c>
      <c r="F202" t="s">
        <v>29</v>
      </c>
      <c r="G202" s="2">
        <v>45730</v>
      </c>
      <c r="H202" t="s">
        <v>409</v>
      </c>
      <c r="I202" t="s">
        <v>7</v>
      </c>
      <c r="J202" s="2">
        <v>45730</v>
      </c>
      <c r="K202" s="2">
        <v>45733</v>
      </c>
      <c r="L202" t="s">
        <v>8</v>
      </c>
      <c r="M202" s="14">
        <v>246779411409</v>
      </c>
      <c r="N202" t="s">
        <v>9</v>
      </c>
      <c r="O202" t="s">
        <v>10</v>
      </c>
      <c r="P202" t="s">
        <v>11</v>
      </c>
      <c r="Q202" t="s">
        <v>12</v>
      </c>
      <c r="R202" t="s">
        <v>13</v>
      </c>
      <c r="S202" s="3">
        <v>249.55</v>
      </c>
      <c r="T202" t="s">
        <v>14</v>
      </c>
      <c r="U202" s="3">
        <v>21633.8</v>
      </c>
      <c r="V202" t="s">
        <v>15</v>
      </c>
      <c r="W202" t="s">
        <v>16</v>
      </c>
      <c r="X202" t="s">
        <v>11</v>
      </c>
      <c r="Y202" t="s">
        <v>8</v>
      </c>
      <c r="Z202" t="s">
        <v>17</v>
      </c>
      <c r="AA202" t="s">
        <v>394</v>
      </c>
      <c r="AB202" t="s">
        <v>11</v>
      </c>
      <c r="AC202" t="s">
        <v>11</v>
      </c>
      <c r="AD202" t="s">
        <v>11</v>
      </c>
      <c r="AE202" s="2">
        <v>45730</v>
      </c>
      <c r="AF202" s="2"/>
      <c r="AG202" t="s">
        <v>11</v>
      </c>
      <c r="AH202" s="14">
        <f>VLOOKUP(M202,'[1]INDIAN ENTERPRISES'!$D:$D,1,0)</f>
        <v>246779411409</v>
      </c>
      <c r="AJ202" s="15">
        <f>VLOOKUP(M202,'[1]INDIAN ENTERPRISES'!$D:$L,9,0)</f>
        <v>45838</v>
      </c>
    </row>
    <row r="203" spans="1:36" hidden="1" outlineLevel="2" x14ac:dyDescent="0.25">
      <c r="A203" t="s">
        <v>20</v>
      </c>
      <c r="B203" t="s">
        <v>1</v>
      </c>
      <c r="C203" t="s">
        <v>2</v>
      </c>
      <c r="D203" t="s">
        <v>3</v>
      </c>
      <c r="E203" t="s">
        <v>4</v>
      </c>
      <c r="F203" t="s">
        <v>29</v>
      </c>
      <c r="G203" s="2">
        <v>45730</v>
      </c>
      <c r="H203" t="s">
        <v>410</v>
      </c>
      <c r="I203" t="s">
        <v>7</v>
      </c>
      <c r="J203" s="2">
        <v>45730</v>
      </c>
      <c r="K203" s="2">
        <v>45733</v>
      </c>
      <c r="L203" t="s">
        <v>8</v>
      </c>
      <c r="M203" s="14">
        <v>246779411410</v>
      </c>
      <c r="N203" t="s">
        <v>9</v>
      </c>
      <c r="O203" t="s">
        <v>10</v>
      </c>
      <c r="P203" t="s">
        <v>11</v>
      </c>
      <c r="Q203" t="s">
        <v>12</v>
      </c>
      <c r="R203" t="s">
        <v>13</v>
      </c>
      <c r="S203" s="3">
        <v>40.06</v>
      </c>
      <c r="T203" t="s">
        <v>14</v>
      </c>
      <c r="U203" s="3">
        <v>3472.85</v>
      </c>
      <c r="V203" t="s">
        <v>15</v>
      </c>
      <c r="W203" t="s">
        <v>16</v>
      </c>
      <c r="X203" t="s">
        <v>11</v>
      </c>
      <c r="Y203" t="s">
        <v>8</v>
      </c>
      <c r="Z203" t="s">
        <v>17</v>
      </c>
      <c r="AA203" t="s">
        <v>394</v>
      </c>
      <c r="AB203" t="s">
        <v>11</v>
      </c>
      <c r="AC203" t="s">
        <v>11</v>
      </c>
      <c r="AD203" t="s">
        <v>11</v>
      </c>
      <c r="AE203" s="2">
        <v>45730</v>
      </c>
      <c r="AF203" s="2"/>
      <c r="AG203" t="s">
        <v>11</v>
      </c>
      <c r="AH203" s="14">
        <f>VLOOKUP(M203,'[1]INDIAN ENTERPRISES'!$D:$D,1,0)</f>
        <v>246779411410</v>
      </c>
      <c r="AJ203" s="15">
        <f>VLOOKUP(M203,'[1]INDIAN ENTERPRISES'!$D:$L,9,0)</f>
        <v>45838</v>
      </c>
    </row>
    <row r="204" spans="1:36" hidden="1" outlineLevel="2" x14ac:dyDescent="0.25">
      <c r="A204" t="s">
        <v>20</v>
      </c>
      <c r="B204" t="s">
        <v>1</v>
      </c>
      <c r="C204" t="s">
        <v>2</v>
      </c>
      <c r="D204" t="s">
        <v>3</v>
      </c>
      <c r="E204" t="s">
        <v>4</v>
      </c>
      <c r="F204" t="s">
        <v>29</v>
      </c>
      <c r="G204" s="2">
        <v>45730</v>
      </c>
      <c r="H204" t="s">
        <v>411</v>
      </c>
      <c r="I204" t="s">
        <v>7</v>
      </c>
      <c r="J204" s="2">
        <v>45730</v>
      </c>
      <c r="K204" s="2">
        <v>45733</v>
      </c>
      <c r="L204" t="s">
        <v>8</v>
      </c>
      <c r="M204" s="14">
        <v>246779411414</v>
      </c>
      <c r="N204" t="s">
        <v>9</v>
      </c>
      <c r="O204" t="s">
        <v>10</v>
      </c>
      <c r="P204" t="s">
        <v>11</v>
      </c>
      <c r="Q204" t="s">
        <v>12</v>
      </c>
      <c r="R204" t="s">
        <v>13</v>
      </c>
      <c r="S204" s="3">
        <v>28.62</v>
      </c>
      <c r="T204" t="s">
        <v>14</v>
      </c>
      <c r="U204" s="3">
        <v>2481.1</v>
      </c>
      <c r="V204" t="s">
        <v>15</v>
      </c>
      <c r="W204" t="s">
        <v>16</v>
      </c>
      <c r="X204" t="s">
        <v>11</v>
      </c>
      <c r="Y204" t="s">
        <v>8</v>
      </c>
      <c r="Z204" t="s">
        <v>17</v>
      </c>
      <c r="AA204" t="s">
        <v>394</v>
      </c>
      <c r="AB204" t="s">
        <v>11</v>
      </c>
      <c r="AC204" t="s">
        <v>11</v>
      </c>
      <c r="AD204" t="s">
        <v>11</v>
      </c>
      <c r="AE204" s="2">
        <v>45730</v>
      </c>
      <c r="AF204" s="2"/>
      <c r="AG204" t="s">
        <v>11</v>
      </c>
      <c r="AH204" s="14">
        <f>VLOOKUP(M204,'[1]INDIAN ENTERPRISES'!$D:$D,1,0)</f>
        <v>246779411414</v>
      </c>
      <c r="AJ204" s="15">
        <f>VLOOKUP(M204,'[1]INDIAN ENTERPRISES'!$D:$L,9,0)</f>
        <v>45838</v>
      </c>
    </row>
    <row r="205" spans="1:36" hidden="1" outlineLevel="2" x14ac:dyDescent="0.25">
      <c r="A205" t="s">
        <v>20</v>
      </c>
      <c r="B205" t="s">
        <v>1</v>
      </c>
      <c r="C205" t="s">
        <v>2</v>
      </c>
      <c r="D205" t="s">
        <v>3</v>
      </c>
      <c r="E205" t="s">
        <v>4</v>
      </c>
      <c r="F205" t="s">
        <v>29</v>
      </c>
      <c r="G205" s="2">
        <v>45730</v>
      </c>
      <c r="H205" t="s">
        <v>412</v>
      </c>
      <c r="I205" t="s">
        <v>7</v>
      </c>
      <c r="J205" s="2">
        <v>45730</v>
      </c>
      <c r="K205" s="2">
        <v>45733</v>
      </c>
      <c r="L205" t="s">
        <v>8</v>
      </c>
      <c r="M205" s="14">
        <v>246779411416</v>
      </c>
      <c r="N205" t="s">
        <v>9</v>
      </c>
      <c r="O205" t="s">
        <v>10</v>
      </c>
      <c r="P205" t="s">
        <v>11</v>
      </c>
      <c r="Q205" t="s">
        <v>12</v>
      </c>
      <c r="R205" t="s">
        <v>13</v>
      </c>
      <c r="S205" s="3">
        <v>114.46</v>
      </c>
      <c r="T205" t="s">
        <v>14</v>
      </c>
      <c r="U205" s="3">
        <v>9922.68</v>
      </c>
      <c r="V205" t="s">
        <v>15</v>
      </c>
      <c r="W205" t="s">
        <v>16</v>
      </c>
      <c r="X205" t="s">
        <v>11</v>
      </c>
      <c r="Y205" t="s">
        <v>8</v>
      </c>
      <c r="Z205" t="s">
        <v>17</v>
      </c>
      <c r="AA205" t="s">
        <v>394</v>
      </c>
      <c r="AB205" t="s">
        <v>11</v>
      </c>
      <c r="AC205" t="s">
        <v>11</v>
      </c>
      <c r="AD205" t="s">
        <v>11</v>
      </c>
      <c r="AE205" s="2">
        <v>45730</v>
      </c>
      <c r="AF205" s="2"/>
      <c r="AG205" t="s">
        <v>11</v>
      </c>
      <c r="AH205" s="14">
        <f>VLOOKUP(M205,'[1]INDIAN ENTERPRISES'!$D:$D,1,0)</f>
        <v>246779411416</v>
      </c>
      <c r="AJ205" s="15">
        <f>VLOOKUP(M205,'[1]INDIAN ENTERPRISES'!$D:$L,9,0)</f>
        <v>45838</v>
      </c>
    </row>
    <row r="206" spans="1:36" hidden="1" outlineLevel="2" x14ac:dyDescent="0.25">
      <c r="A206" t="s">
        <v>20</v>
      </c>
      <c r="B206" t="s">
        <v>1</v>
      </c>
      <c r="C206" t="s">
        <v>2</v>
      </c>
      <c r="D206" t="s">
        <v>3</v>
      </c>
      <c r="E206" t="s">
        <v>4</v>
      </c>
      <c r="F206" t="s">
        <v>29</v>
      </c>
      <c r="G206" s="2">
        <v>45730</v>
      </c>
      <c r="H206" t="s">
        <v>413</v>
      </c>
      <c r="I206" t="s">
        <v>7</v>
      </c>
      <c r="J206" s="2">
        <v>45730</v>
      </c>
      <c r="K206" s="2">
        <v>45733</v>
      </c>
      <c r="L206" t="s">
        <v>8</v>
      </c>
      <c r="M206" s="14">
        <v>246779411417</v>
      </c>
      <c r="N206" t="s">
        <v>9</v>
      </c>
      <c r="O206" t="s">
        <v>10</v>
      </c>
      <c r="P206" t="s">
        <v>11</v>
      </c>
      <c r="Q206" t="s">
        <v>12</v>
      </c>
      <c r="R206" t="s">
        <v>13</v>
      </c>
      <c r="S206" s="3">
        <v>68.680000000000007</v>
      </c>
      <c r="T206" t="s">
        <v>14</v>
      </c>
      <c r="U206" s="3">
        <v>5953.96</v>
      </c>
      <c r="V206" t="s">
        <v>15</v>
      </c>
      <c r="W206" t="s">
        <v>16</v>
      </c>
      <c r="X206" t="s">
        <v>11</v>
      </c>
      <c r="Y206" t="s">
        <v>8</v>
      </c>
      <c r="Z206" t="s">
        <v>17</v>
      </c>
      <c r="AA206" t="s">
        <v>394</v>
      </c>
      <c r="AB206" t="s">
        <v>11</v>
      </c>
      <c r="AC206" t="s">
        <v>11</v>
      </c>
      <c r="AD206" t="s">
        <v>11</v>
      </c>
      <c r="AE206" s="2">
        <v>45730</v>
      </c>
      <c r="AF206" s="2"/>
      <c r="AG206" t="s">
        <v>11</v>
      </c>
      <c r="AH206" s="14">
        <f>VLOOKUP(M206,'[1]INDIAN ENTERPRISES'!$D:$D,1,0)</f>
        <v>246779411417</v>
      </c>
      <c r="AJ206" s="15">
        <f>VLOOKUP(M206,'[1]INDIAN ENTERPRISES'!$D:$L,9,0)</f>
        <v>45838</v>
      </c>
    </row>
    <row r="207" spans="1:36" hidden="1" outlineLevel="2" x14ac:dyDescent="0.25">
      <c r="A207" t="s">
        <v>20</v>
      </c>
      <c r="B207" t="s">
        <v>1</v>
      </c>
      <c r="C207" t="s">
        <v>2</v>
      </c>
      <c r="D207" t="s">
        <v>3</v>
      </c>
      <c r="E207" t="s">
        <v>4</v>
      </c>
      <c r="F207" t="s">
        <v>29</v>
      </c>
      <c r="G207" s="2">
        <v>45730</v>
      </c>
      <c r="H207" t="s">
        <v>414</v>
      </c>
      <c r="I207" t="s">
        <v>7</v>
      </c>
      <c r="J207" s="2">
        <v>45730</v>
      </c>
      <c r="K207" s="2">
        <v>45733</v>
      </c>
      <c r="L207" t="s">
        <v>8</v>
      </c>
      <c r="M207" s="14">
        <v>246779411418</v>
      </c>
      <c r="N207" t="s">
        <v>9</v>
      </c>
      <c r="O207" t="s">
        <v>10</v>
      </c>
      <c r="P207" t="s">
        <v>11</v>
      </c>
      <c r="Q207" t="s">
        <v>12</v>
      </c>
      <c r="R207" t="s">
        <v>13</v>
      </c>
      <c r="S207" s="3">
        <v>312.5</v>
      </c>
      <c r="T207" t="s">
        <v>14</v>
      </c>
      <c r="U207" s="3">
        <v>27091.02</v>
      </c>
      <c r="V207" t="s">
        <v>15</v>
      </c>
      <c r="W207" t="s">
        <v>16</v>
      </c>
      <c r="X207" t="s">
        <v>11</v>
      </c>
      <c r="Y207" t="s">
        <v>8</v>
      </c>
      <c r="Z207" t="s">
        <v>17</v>
      </c>
      <c r="AA207" t="s">
        <v>394</v>
      </c>
      <c r="AB207" t="s">
        <v>11</v>
      </c>
      <c r="AC207" t="s">
        <v>11</v>
      </c>
      <c r="AD207" t="s">
        <v>11</v>
      </c>
      <c r="AE207" s="2">
        <v>45730</v>
      </c>
      <c r="AF207" s="2"/>
      <c r="AG207" t="s">
        <v>11</v>
      </c>
      <c r="AH207" s="14">
        <f>VLOOKUP(M207,'[1]INDIAN ENTERPRISES'!$D:$D,1,0)</f>
        <v>246779411418</v>
      </c>
      <c r="AJ207" s="15">
        <f>VLOOKUP(M207,'[1]INDIAN ENTERPRISES'!$D:$L,9,0)</f>
        <v>45838</v>
      </c>
    </row>
    <row r="208" spans="1:36" hidden="1" outlineLevel="2" x14ac:dyDescent="0.25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29</v>
      </c>
      <c r="G208" s="2">
        <v>45730</v>
      </c>
      <c r="H208" t="s">
        <v>415</v>
      </c>
      <c r="I208" t="s">
        <v>7</v>
      </c>
      <c r="J208" s="2">
        <v>45730</v>
      </c>
      <c r="K208" s="2">
        <v>45735</v>
      </c>
      <c r="L208" t="s">
        <v>8</v>
      </c>
      <c r="M208" s="14">
        <v>246779412202</v>
      </c>
      <c r="N208" t="s">
        <v>9</v>
      </c>
      <c r="O208" t="s">
        <v>10</v>
      </c>
      <c r="P208" t="s">
        <v>11</v>
      </c>
      <c r="Q208" t="s">
        <v>12</v>
      </c>
      <c r="R208" t="s">
        <v>13</v>
      </c>
      <c r="S208" s="3">
        <v>40.06</v>
      </c>
      <c r="T208" t="s">
        <v>14</v>
      </c>
      <c r="U208" s="3">
        <v>3472.85</v>
      </c>
      <c r="V208" t="s">
        <v>15</v>
      </c>
      <c r="W208" t="s">
        <v>16</v>
      </c>
      <c r="X208" t="s">
        <v>11</v>
      </c>
      <c r="Y208" t="s">
        <v>8</v>
      </c>
      <c r="Z208" t="s">
        <v>17</v>
      </c>
      <c r="AA208" t="s">
        <v>394</v>
      </c>
      <c r="AB208" t="s">
        <v>11</v>
      </c>
      <c r="AC208" t="s">
        <v>11</v>
      </c>
      <c r="AD208" t="s">
        <v>11</v>
      </c>
      <c r="AE208" s="2">
        <v>45730</v>
      </c>
      <c r="AF208" s="2">
        <v>45861</v>
      </c>
      <c r="AG208" t="s">
        <v>416</v>
      </c>
      <c r="AH208" s="14" t="e">
        <f>VLOOKUP(M208,'[1]INDIAN ENTERPRISES'!$D:$D,1,0)</f>
        <v>#N/A</v>
      </c>
      <c r="AI208" t="str">
        <f>VLOOKUP(M208,'[2]Invoices Not in Customer Books'!$E:$K,7,0)</f>
        <v>Invoice &amp; CN both not received &amp; booked</v>
      </c>
      <c r="AJ208" s="15" t="e">
        <f>VLOOKUP(M208,'[1]INDIAN ENTERPRISES'!$D:$L,9,0)</f>
        <v>#N/A</v>
      </c>
    </row>
    <row r="209" spans="1:36" hidden="1" outlineLevel="2" x14ac:dyDescent="0.2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29</v>
      </c>
      <c r="G209" s="2">
        <v>45730</v>
      </c>
      <c r="H209" t="s">
        <v>417</v>
      </c>
      <c r="I209" t="s">
        <v>7</v>
      </c>
      <c r="J209" s="2">
        <v>45730</v>
      </c>
      <c r="K209" s="2">
        <v>45735</v>
      </c>
      <c r="L209" t="s">
        <v>8</v>
      </c>
      <c r="M209" s="14">
        <v>246779412203</v>
      </c>
      <c r="N209" t="s">
        <v>9</v>
      </c>
      <c r="O209" t="s">
        <v>10</v>
      </c>
      <c r="P209" t="s">
        <v>11</v>
      </c>
      <c r="Q209" t="s">
        <v>12</v>
      </c>
      <c r="R209" t="s">
        <v>13</v>
      </c>
      <c r="S209" s="3">
        <v>28.62</v>
      </c>
      <c r="T209" t="s">
        <v>14</v>
      </c>
      <c r="U209" s="3">
        <v>2481.1</v>
      </c>
      <c r="V209" t="s">
        <v>15</v>
      </c>
      <c r="W209" t="s">
        <v>16</v>
      </c>
      <c r="X209" t="s">
        <v>11</v>
      </c>
      <c r="Y209" t="s">
        <v>8</v>
      </c>
      <c r="Z209" t="s">
        <v>17</v>
      </c>
      <c r="AA209" t="s">
        <v>394</v>
      </c>
      <c r="AB209" t="s">
        <v>11</v>
      </c>
      <c r="AC209" t="s">
        <v>11</v>
      </c>
      <c r="AD209" t="s">
        <v>11</v>
      </c>
      <c r="AE209" s="2">
        <v>45730</v>
      </c>
      <c r="AF209" s="2">
        <v>45861</v>
      </c>
      <c r="AG209" t="s">
        <v>418</v>
      </c>
      <c r="AH209" s="14" t="e">
        <f>VLOOKUP(M209,'[1]INDIAN ENTERPRISES'!$D:$D,1,0)</f>
        <v>#N/A</v>
      </c>
      <c r="AI209" t="str">
        <f>VLOOKUP(M209,'[2]Invoices Not in Customer Books'!$E:$K,7,0)</f>
        <v>Invoice &amp; CN both not received &amp; booked</v>
      </c>
      <c r="AJ209" s="15" t="e">
        <f>VLOOKUP(M209,'[1]INDIAN ENTERPRISES'!$D:$L,9,0)</f>
        <v>#N/A</v>
      </c>
    </row>
    <row r="210" spans="1:36" hidden="1" outlineLevel="2" x14ac:dyDescent="0.2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29</v>
      </c>
      <c r="G210" s="2">
        <v>45730</v>
      </c>
      <c r="H210" t="s">
        <v>419</v>
      </c>
      <c r="I210" t="s">
        <v>7</v>
      </c>
      <c r="J210" s="2">
        <v>45730</v>
      </c>
      <c r="K210" s="2">
        <v>45735</v>
      </c>
      <c r="L210" t="s">
        <v>8</v>
      </c>
      <c r="M210" s="14">
        <v>246779412204</v>
      </c>
      <c r="N210" t="s">
        <v>9</v>
      </c>
      <c r="O210" t="s">
        <v>10</v>
      </c>
      <c r="P210" t="s">
        <v>11</v>
      </c>
      <c r="Q210" t="s">
        <v>12</v>
      </c>
      <c r="R210" t="s">
        <v>13</v>
      </c>
      <c r="S210" s="3">
        <v>22.89</v>
      </c>
      <c r="T210" t="s">
        <v>14</v>
      </c>
      <c r="U210" s="3">
        <v>1984.36</v>
      </c>
      <c r="V210" t="s">
        <v>15</v>
      </c>
      <c r="W210" t="s">
        <v>16</v>
      </c>
      <c r="X210" t="s">
        <v>11</v>
      </c>
      <c r="Y210" t="s">
        <v>8</v>
      </c>
      <c r="Z210" t="s">
        <v>17</v>
      </c>
      <c r="AA210" t="s">
        <v>394</v>
      </c>
      <c r="AB210" t="s">
        <v>11</v>
      </c>
      <c r="AC210" t="s">
        <v>11</v>
      </c>
      <c r="AD210" t="s">
        <v>11</v>
      </c>
      <c r="AE210" s="2">
        <v>45730</v>
      </c>
      <c r="AF210" s="2">
        <v>45861</v>
      </c>
      <c r="AG210" t="s">
        <v>420</v>
      </c>
      <c r="AH210" s="14" t="e">
        <f>VLOOKUP(M210,'[1]INDIAN ENTERPRISES'!$D:$D,1,0)</f>
        <v>#N/A</v>
      </c>
      <c r="AI210" t="str">
        <f>VLOOKUP(M210,'[2]Invoices Not in Customer Books'!$E:$K,7,0)</f>
        <v>Invoice &amp; CN both not received &amp; booked</v>
      </c>
      <c r="AJ210" s="15" t="e">
        <f>VLOOKUP(M210,'[1]INDIAN ENTERPRISES'!$D:$L,9,0)</f>
        <v>#N/A</v>
      </c>
    </row>
    <row r="211" spans="1:36" hidden="1" outlineLevel="2" x14ac:dyDescent="0.25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29</v>
      </c>
      <c r="G211" s="2">
        <v>45730</v>
      </c>
      <c r="H211" t="s">
        <v>421</v>
      </c>
      <c r="I211" t="s">
        <v>7</v>
      </c>
      <c r="J211" s="2">
        <v>45730</v>
      </c>
      <c r="K211" s="2">
        <v>45735</v>
      </c>
      <c r="L211" t="s">
        <v>8</v>
      </c>
      <c r="M211" s="14">
        <v>246779412205</v>
      </c>
      <c r="N211" t="s">
        <v>9</v>
      </c>
      <c r="O211" t="s">
        <v>10</v>
      </c>
      <c r="P211" t="s">
        <v>11</v>
      </c>
      <c r="Q211" t="s">
        <v>12</v>
      </c>
      <c r="R211" t="s">
        <v>13</v>
      </c>
      <c r="S211" s="3">
        <v>114.46</v>
      </c>
      <c r="T211" t="s">
        <v>14</v>
      </c>
      <c r="U211" s="3">
        <v>9922.68</v>
      </c>
      <c r="V211" t="s">
        <v>15</v>
      </c>
      <c r="W211" t="s">
        <v>16</v>
      </c>
      <c r="X211" t="s">
        <v>11</v>
      </c>
      <c r="Y211" t="s">
        <v>8</v>
      </c>
      <c r="Z211" t="s">
        <v>17</v>
      </c>
      <c r="AA211" t="s">
        <v>394</v>
      </c>
      <c r="AB211" t="s">
        <v>11</v>
      </c>
      <c r="AC211" t="s">
        <v>11</v>
      </c>
      <c r="AD211" t="s">
        <v>11</v>
      </c>
      <c r="AE211" s="2">
        <v>45730</v>
      </c>
      <c r="AF211" s="2">
        <v>45861</v>
      </c>
      <c r="AG211" t="s">
        <v>422</v>
      </c>
      <c r="AH211" s="14" t="e">
        <f>VLOOKUP(M211,'[1]INDIAN ENTERPRISES'!$D:$D,1,0)</f>
        <v>#N/A</v>
      </c>
      <c r="AI211" t="str">
        <f>VLOOKUP(M211,'[2]Invoices Not in Customer Books'!$E:$K,7,0)</f>
        <v>Invoice &amp; CN both not received &amp; booked</v>
      </c>
      <c r="AJ211" s="15" t="e">
        <f>VLOOKUP(M211,'[1]INDIAN ENTERPRISES'!$D:$L,9,0)</f>
        <v>#N/A</v>
      </c>
    </row>
    <row r="212" spans="1:36" hidden="1" outlineLevel="2" x14ac:dyDescent="0.2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29</v>
      </c>
      <c r="G212" s="2">
        <v>45730</v>
      </c>
      <c r="H212" t="s">
        <v>423</v>
      </c>
      <c r="I212" t="s">
        <v>7</v>
      </c>
      <c r="J212" s="2">
        <v>45730</v>
      </c>
      <c r="K212" s="2">
        <v>45735</v>
      </c>
      <c r="L212" t="s">
        <v>8</v>
      </c>
      <c r="M212" s="14">
        <v>246779412206</v>
      </c>
      <c r="N212" t="s">
        <v>9</v>
      </c>
      <c r="O212" t="s">
        <v>10</v>
      </c>
      <c r="P212" t="s">
        <v>11</v>
      </c>
      <c r="Q212" t="s">
        <v>12</v>
      </c>
      <c r="R212" t="s">
        <v>13</v>
      </c>
      <c r="S212" s="3">
        <v>68.680000000000007</v>
      </c>
      <c r="T212" t="s">
        <v>14</v>
      </c>
      <c r="U212" s="3">
        <v>5953.96</v>
      </c>
      <c r="V212" t="s">
        <v>15</v>
      </c>
      <c r="W212" t="s">
        <v>16</v>
      </c>
      <c r="X212" t="s">
        <v>11</v>
      </c>
      <c r="Y212" t="s">
        <v>8</v>
      </c>
      <c r="Z212" t="s">
        <v>17</v>
      </c>
      <c r="AA212" t="s">
        <v>394</v>
      </c>
      <c r="AB212" t="s">
        <v>11</v>
      </c>
      <c r="AC212" t="s">
        <v>11</v>
      </c>
      <c r="AD212" t="s">
        <v>11</v>
      </c>
      <c r="AE212" s="2">
        <v>45730</v>
      </c>
      <c r="AF212" s="2">
        <v>45861</v>
      </c>
      <c r="AG212" t="s">
        <v>424</v>
      </c>
      <c r="AH212" s="14" t="e">
        <f>VLOOKUP(M212,'[1]INDIAN ENTERPRISES'!$D:$D,1,0)</f>
        <v>#N/A</v>
      </c>
      <c r="AI212" t="str">
        <f>VLOOKUP(M212,'[2]Invoices Not in Customer Books'!$E:$K,7,0)</f>
        <v>Invoice &amp; CN both not received &amp; booked</v>
      </c>
      <c r="AJ212" s="15" t="e">
        <f>VLOOKUP(M212,'[1]INDIAN ENTERPRISES'!$D:$L,9,0)</f>
        <v>#N/A</v>
      </c>
    </row>
    <row r="213" spans="1:36" hidden="1" outlineLevel="2" x14ac:dyDescent="0.25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29</v>
      </c>
      <c r="G213" s="2">
        <v>45730</v>
      </c>
      <c r="H213" t="s">
        <v>425</v>
      </c>
      <c r="I213" t="s">
        <v>7</v>
      </c>
      <c r="J213" s="2">
        <v>45730</v>
      </c>
      <c r="K213" s="2">
        <v>45735</v>
      </c>
      <c r="L213" t="s">
        <v>8</v>
      </c>
      <c r="M213" s="14">
        <v>246779412196</v>
      </c>
      <c r="N213" t="s">
        <v>9</v>
      </c>
      <c r="O213" t="s">
        <v>10</v>
      </c>
      <c r="P213" t="s">
        <v>11</v>
      </c>
      <c r="Q213" t="s">
        <v>12</v>
      </c>
      <c r="R213" t="s">
        <v>13</v>
      </c>
      <c r="S213" s="3">
        <v>57.23</v>
      </c>
      <c r="T213" t="s">
        <v>14</v>
      </c>
      <c r="U213" s="3">
        <v>4961.34</v>
      </c>
      <c r="V213" t="s">
        <v>15</v>
      </c>
      <c r="W213" t="s">
        <v>16</v>
      </c>
      <c r="X213" t="s">
        <v>11</v>
      </c>
      <c r="Y213" t="s">
        <v>8</v>
      </c>
      <c r="Z213" t="s">
        <v>17</v>
      </c>
      <c r="AA213" t="s">
        <v>394</v>
      </c>
      <c r="AB213" t="s">
        <v>11</v>
      </c>
      <c r="AC213" t="s">
        <v>11</v>
      </c>
      <c r="AD213" t="s">
        <v>11</v>
      </c>
      <c r="AE213" s="2">
        <v>45730</v>
      </c>
      <c r="AF213" s="2">
        <v>45974</v>
      </c>
      <c r="AG213" t="s">
        <v>39</v>
      </c>
      <c r="AH213" s="14" t="e">
        <f>VLOOKUP(M213,'[1]INDIAN ENTERPRISES'!$D:$D,1,0)</f>
        <v>#N/A</v>
      </c>
      <c r="AI213" t="str">
        <f>VLOOKUP(M213,'[2]Invoices Not in Customer Books'!$E:$K,7,0)</f>
        <v>Invoice &amp; CN both not received &amp; booked</v>
      </c>
      <c r="AJ213" s="15" t="e">
        <f>VLOOKUP(M213,'[1]INDIAN ENTERPRISES'!$D:$L,9,0)</f>
        <v>#N/A</v>
      </c>
    </row>
    <row r="214" spans="1:36" hidden="1" outlineLevel="2" x14ac:dyDescent="0.2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29</v>
      </c>
      <c r="G214" s="2">
        <v>45730</v>
      </c>
      <c r="H214" t="s">
        <v>426</v>
      </c>
      <c r="I214" t="s">
        <v>7</v>
      </c>
      <c r="J214" s="2">
        <v>45730</v>
      </c>
      <c r="K214" s="2">
        <v>45735</v>
      </c>
      <c r="L214" t="s">
        <v>8</v>
      </c>
      <c r="M214" s="14">
        <v>246779412201</v>
      </c>
      <c r="N214" t="s">
        <v>9</v>
      </c>
      <c r="O214" t="s">
        <v>10</v>
      </c>
      <c r="P214" t="s">
        <v>11</v>
      </c>
      <c r="Q214" t="s">
        <v>12</v>
      </c>
      <c r="R214" t="s">
        <v>13</v>
      </c>
      <c r="S214" s="3">
        <v>20.03</v>
      </c>
      <c r="T214" t="s">
        <v>14</v>
      </c>
      <c r="U214" s="3">
        <v>1736.43</v>
      </c>
      <c r="V214" t="s">
        <v>15</v>
      </c>
      <c r="W214" t="s">
        <v>16</v>
      </c>
      <c r="X214" t="s">
        <v>11</v>
      </c>
      <c r="Y214" t="s">
        <v>8</v>
      </c>
      <c r="Z214" t="s">
        <v>17</v>
      </c>
      <c r="AA214" t="s">
        <v>394</v>
      </c>
      <c r="AB214" t="s">
        <v>11</v>
      </c>
      <c r="AC214" t="s">
        <v>11</v>
      </c>
      <c r="AD214" t="s">
        <v>11</v>
      </c>
      <c r="AE214" s="2">
        <v>45730</v>
      </c>
      <c r="AF214" s="2">
        <v>45974</v>
      </c>
      <c r="AG214" t="s">
        <v>39</v>
      </c>
      <c r="AH214" s="14" t="e">
        <f>VLOOKUP(M214,'[1]INDIAN ENTERPRISES'!$D:$D,1,0)</f>
        <v>#N/A</v>
      </c>
      <c r="AI214" t="str">
        <f>VLOOKUP(M214,'[2]Invoices Not in Customer Books'!$E:$K,7,0)</f>
        <v>Invoice &amp; CN both not received &amp; booked</v>
      </c>
      <c r="AJ214" s="15" t="e">
        <f>VLOOKUP(M214,'[1]INDIAN ENTERPRISES'!$D:$L,9,0)</f>
        <v>#N/A</v>
      </c>
    </row>
    <row r="215" spans="1:36" hidden="1" outlineLevel="2" x14ac:dyDescent="0.25">
      <c r="A215" t="s">
        <v>20</v>
      </c>
      <c r="B215" t="s">
        <v>1</v>
      </c>
      <c r="C215" t="s">
        <v>2</v>
      </c>
      <c r="D215" t="s">
        <v>3</v>
      </c>
      <c r="E215" t="s">
        <v>4</v>
      </c>
      <c r="F215" t="s">
        <v>128</v>
      </c>
      <c r="G215" s="2">
        <v>45848</v>
      </c>
      <c r="H215" t="s">
        <v>427</v>
      </c>
      <c r="I215" t="s">
        <v>7</v>
      </c>
      <c r="J215" s="2">
        <v>45848</v>
      </c>
      <c r="K215" s="2">
        <v>45854</v>
      </c>
      <c r="L215" t="s">
        <v>8</v>
      </c>
      <c r="M215" s="14">
        <v>256779415289</v>
      </c>
      <c r="N215" t="s">
        <v>9</v>
      </c>
      <c r="O215" t="s">
        <v>10</v>
      </c>
      <c r="P215" t="s">
        <v>11</v>
      </c>
      <c r="Q215" t="s">
        <v>12</v>
      </c>
      <c r="R215" t="s">
        <v>13</v>
      </c>
      <c r="S215" s="3">
        <v>250</v>
      </c>
      <c r="T215" t="s">
        <v>14</v>
      </c>
      <c r="U215" s="3">
        <v>21500.17</v>
      </c>
      <c r="V215" t="s">
        <v>15</v>
      </c>
      <c r="W215" t="s">
        <v>16</v>
      </c>
      <c r="X215" t="s">
        <v>11</v>
      </c>
      <c r="Y215" t="s">
        <v>8</v>
      </c>
      <c r="Z215" t="s">
        <v>17</v>
      </c>
      <c r="AA215" t="s">
        <v>388</v>
      </c>
      <c r="AB215" t="s">
        <v>11</v>
      </c>
      <c r="AC215" t="s">
        <v>11</v>
      </c>
      <c r="AD215" t="s">
        <v>11</v>
      </c>
      <c r="AE215" s="2">
        <v>45848</v>
      </c>
      <c r="AF215" s="2"/>
      <c r="AG215" t="s">
        <v>11</v>
      </c>
      <c r="AH215" s="14">
        <f>VLOOKUP(M215,'[1]INDIAN ENTERPRISES'!$D:$D,1,0)</f>
        <v>256779415289</v>
      </c>
      <c r="AJ215" s="15">
        <f>VLOOKUP(M215,'[1]INDIAN ENTERPRISES'!$D:$L,9,0)</f>
        <v>45991</v>
      </c>
    </row>
    <row r="216" spans="1:36" hidden="1" outlineLevel="2" x14ac:dyDescent="0.25">
      <c r="A216" t="s">
        <v>20</v>
      </c>
      <c r="B216" t="s">
        <v>1</v>
      </c>
      <c r="C216" t="s">
        <v>2</v>
      </c>
      <c r="D216" t="s">
        <v>3</v>
      </c>
      <c r="E216" t="s">
        <v>4</v>
      </c>
      <c r="F216" t="s">
        <v>128</v>
      </c>
      <c r="G216" s="2">
        <v>45848</v>
      </c>
      <c r="H216" t="s">
        <v>428</v>
      </c>
      <c r="I216" t="s">
        <v>7</v>
      </c>
      <c r="J216" s="2">
        <v>45848</v>
      </c>
      <c r="K216" s="2">
        <v>45854</v>
      </c>
      <c r="L216" t="s">
        <v>8</v>
      </c>
      <c r="M216" s="14">
        <v>256779415290</v>
      </c>
      <c r="N216" t="s">
        <v>9</v>
      </c>
      <c r="O216" t="s">
        <v>10</v>
      </c>
      <c r="P216" t="s">
        <v>11</v>
      </c>
      <c r="Q216" t="s">
        <v>12</v>
      </c>
      <c r="R216" t="s">
        <v>13</v>
      </c>
      <c r="S216" s="3">
        <v>24</v>
      </c>
      <c r="T216" t="s">
        <v>14</v>
      </c>
      <c r="U216" s="3">
        <v>2064.02</v>
      </c>
      <c r="V216" t="s">
        <v>15</v>
      </c>
      <c r="W216" t="s">
        <v>16</v>
      </c>
      <c r="X216" t="s">
        <v>11</v>
      </c>
      <c r="Y216" t="s">
        <v>8</v>
      </c>
      <c r="Z216" t="s">
        <v>17</v>
      </c>
      <c r="AA216" t="s">
        <v>429</v>
      </c>
      <c r="AB216" t="s">
        <v>11</v>
      </c>
      <c r="AC216" t="s">
        <v>11</v>
      </c>
      <c r="AD216" t="s">
        <v>11</v>
      </c>
      <c r="AE216" s="2">
        <v>45848</v>
      </c>
      <c r="AF216" s="2"/>
      <c r="AG216" t="s">
        <v>11</v>
      </c>
      <c r="AH216" s="14">
        <f>VLOOKUP(M216,'[1]INDIAN ENTERPRISES'!$D:$D,1,0)</f>
        <v>256779415290</v>
      </c>
      <c r="AJ216" s="15">
        <f>VLOOKUP(M216,'[1]INDIAN ENTERPRISES'!$D:$L,9,0)</f>
        <v>45991</v>
      </c>
    </row>
    <row r="217" spans="1:36" hidden="1" outlineLevel="2" x14ac:dyDescent="0.25">
      <c r="A217" t="s">
        <v>20</v>
      </c>
      <c r="B217" t="s">
        <v>1</v>
      </c>
      <c r="C217" t="s">
        <v>2</v>
      </c>
      <c r="D217" t="s">
        <v>3</v>
      </c>
      <c r="E217" t="s">
        <v>4</v>
      </c>
      <c r="F217" t="s">
        <v>128</v>
      </c>
      <c r="G217" s="2">
        <v>45848</v>
      </c>
      <c r="H217" t="s">
        <v>430</v>
      </c>
      <c r="I217" t="s">
        <v>7</v>
      </c>
      <c r="J217" s="2">
        <v>45848</v>
      </c>
      <c r="K217" s="2">
        <v>45854</v>
      </c>
      <c r="L217" t="s">
        <v>8</v>
      </c>
      <c r="M217" s="14">
        <v>256779415291</v>
      </c>
      <c r="N217" t="s">
        <v>9</v>
      </c>
      <c r="O217" t="s">
        <v>10</v>
      </c>
      <c r="P217" t="s">
        <v>11</v>
      </c>
      <c r="Q217" t="s">
        <v>12</v>
      </c>
      <c r="R217" t="s">
        <v>13</v>
      </c>
      <c r="S217" s="3">
        <v>24</v>
      </c>
      <c r="T217" t="s">
        <v>14</v>
      </c>
      <c r="U217" s="3">
        <v>2064.02</v>
      </c>
      <c r="V217" t="s">
        <v>15</v>
      </c>
      <c r="W217" t="s">
        <v>16</v>
      </c>
      <c r="X217" t="s">
        <v>11</v>
      </c>
      <c r="Y217" t="s">
        <v>8</v>
      </c>
      <c r="Z217" t="s">
        <v>17</v>
      </c>
      <c r="AA217" t="s">
        <v>337</v>
      </c>
      <c r="AB217" t="s">
        <v>11</v>
      </c>
      <c r="AC217" t="s">
        <v>11</v>
      </c>
      <c r="AD217" t="s">
        <v>11</v>
      </c>
      <c r="AE217" s="2">
        <v>45848</v>
      </c>
      <c r="AF217" s="2"/>
      <c r="AG217" t="s">
        <v>11</v>
      </c>
      <c r="AH217" s="14">
        <f>VLOOKUP(M217,'[1]INDIAN ENTERPRISES'!$D:$D,1,0)</f>
        <v>256779415291</v>
      </c>
      <c r="AJ217" s="15">
        <f>VLOOKUP(M217,'[1]INDIAN ENTERPRISES'!$D:$L,9,0)</f>
        <v>46053</v>
      </c>
    </row>
    <row r="218" spans="1:36" hidden="1" outlineLevel="2" x14ac:dyDescent="0.25">
      <c r="A218" t="s">
        <v>20</v>
      </c>
      <c r="B218" t="s">
        <v>1</v>
      </c>
      <c r="C218" t="s">
        <v>2</v>
      </c>
      <c r="D218" t="s">
        <v>3</v>
      </c>
      <c r="E218" t="s">
        <v>4</v>
      </c>
      <c r="F218" t="s">
        <v>128</v>
      </c>
      <c r="G218" s="2">
        <v>45848</v>
      </c>
      <c r="H218" t="s">
        <v>431</v>
      </c>
      <c r="I218" t="s">
        <v>7</v>
      </c>
      <c r="J218" s="2">
        <v>45848</v>
      </c>
      <c r="K218" s="2">
        <v>45854</v>
      </c>
      <c r="L218" t="s">
        <v>8</v>
      </c>
      <c r="M218" s="14">
        <v>256779415292</v>
      </c>
      <c r="N218" t="s">
        <v>9</v>
      </c>
      <c r="O218" t="s">
        <v>10</v>
      </c>
      <c r="P218" t="s">
        <v>11</v>
      </c>
      <c r="Q218" t="s">
        <v>12</v>
      </c>
      <c r="R218" t="s">
        <v>13</v>
      </c>
      <c r="S218" s="3">
        <v>24</v>
      </c>
      <c r="T218" t="s">
        <v>14</v>
      </c>
      <c r="U218" s="3">
        <v>2064.02</v>
      </c>
      <c r="V218" t="s">
        <v>15</v>
      </c>
      <c r="W218" t="s">
        <v>16</v>
      </c>
      <c r="X218" t="s">
        <v>11</v>
      </c>
      <c r="Y218" t="s">
        <v>8</v>
      </c>
      <c r="Z218" t="s">
        <v>17</v>
      </c>
      <c r="AA218" t="s">
        <v>337</v>
      </c>
      <c r="AB218" t="s">
        <v>11</v>
      </c>
      <c r="AC218" t="s">
        <v>11</v>
      </c>
      <c r="AD218" t="s">
        <v>11</v>
      </c>
      <c r="AE218" s="2">
        <v>45848</v>
      </c>
      <c r="AF218" s="2"/>
      <c r="AG218" t="s">
        <v>11</v>
      </c>
      <c r="AH218" s="14">
        <f>VLOOKUP(M218,'[1]INDIAN ENTERPRISES'!$D:$D,1,0)</f>
        <v>256779415292</v>
      </c>
      <c r="AJ218" s="15">
        <f>VLOOKUP(M218,'[1]INDIAN ENTERPRISES'!$D:$L,9,0)</f>
        <v>45991</v>
      </c>
    </row>
    <row r="219" spans="1:36" hidden="1" outlineLevel="2" x14ac:dyDescent="0.25">
      <c r="A219" t="s">
        <v>20</v>
      </c>
      <c r="B219" t="s">
        <v>1</v>
      </c>
      <c r="C219" t="s">
        <v>2</v>
      </c>
      <c r="D219" t="s">
        <v>3</v>
      </c>
      <c r="E219" t="s">
        <v>4</v>
      </c>
      <c r="F219" t="s">
        <v>128</v>
      </c>
      <c r="G219" s="2">
        <v>45848</v>
      </c>
      <c r="H219" t="s">
        <v>432</v>
      </c>
      <c r="I219" t="s">
        <v>7</v>
      </c>
      <c r="J219" s="2">
        <v>45848</v>
      </c>
      <c r="K219" s="2">
        <v>45854</v>
      </c>
      <c r="L219" t="s">
        <v>8</v>
      </c>
      <c r="M219" s="14">
        <v>256779415293</v>
      </c>
      <c r="N219" t="s">
        <v>9</v>
      </c>
      <c r="O219" t="s">
        <v>10</v>
      </c>
      <c r="P219" t="s">
        <v>11</v>
      </c>
      <c r="Q219" t="s">
        <v>12</v>
      </c>
      <c r="R219" t="s">
        <v>13</v>
      </c>
      <c r="S219" s="3">
        <v>24</v>
      </c>
      <c r="T219" t="s">
        <v>14</v>
      </c>
      <c r="U219" s="3">
        <v>2064.02</v>
      </c>
      <c r="V219" t="s">
        <v>15</v>
      </c>
      <c r="W219" t="s">
        <v>16</v>
      </c>
      <c r="X219" t="s">
        <v>11</v>
      </c>
      <c r="Y219" t="s">
        <v>8</v>
      </c>
      <c r="Z219" t="s">
        <v>17</v>
      </c>
      <c r="AA219" t="s">
        <v>337</v>
      </c>
      <c r="AB219" t="s">
        <v>11</v>
      </c>
      <c r="AC219" t="s">
        <v>11</v>
      </c>
      <c r="AD219" t="s">
        <v>11</v>
      </c>
      <c r="AE219" s="2">
        <v>45848</v>
      </c>
      <c r="AF219" s="2"/>
      <c r="AG219" t="s">
        <v>11</v>
      </c>
      <c r="AH219" s="14">
        <f>VLOOKUP(M219,'[1]INDIAN ENTERPRISES'!$D:$D,1,0)</f>
        <v>256779415293</v>
      </c>
      <c r="AJ219" s="15">
        <f>VLOOKUP(M219,'[1]INDIAN ENTERPRISES'!$D:$L,9,0)</f>
        <v>46053</v>
      </c>
    </row>
    <row r="220" spans="1:36" hidden="1" outlineLevel="2" x14ac:dyDescent="0.25">
      <c r="A220" t="s">
        <v>20</v>
      </c>
      <c r="B220" t="s">
        <v>1</v>
      </c>
      <c r="C220" t="s">
        <v>2</v>
      </c>
      <c r="D220" t="s">
        <v>3</v>
      </c>
      <c r="E220" t="s">
        <v>4</v>
      </c>
      <c r="F220" t="s">
        <v>128</v>
      </c>
      <c r="G220" s="2">
        <v>45848</v>
      </c>
      <c r="H220" t="s">
        <v>433</v>
      </c>
      <c r="I220" t="s">
        <v>7</v>
      </c>
      <c r="J220" s="2">
        <v>45848</v>
      </c>
      <c r="K220" s="2">
        <v>45854</v>
      </c>
      <c r="L220" t="s">
        <v>8</v>
      </c>
      <c r="M220" s="14">
        <v>256779415294</v>
      </c>
      <c r="N220" t="s">
        <v>9</v>
      </c>
      <c r="O220" t="s">
        <v>10</v>
      </c>
      <c r="P220" t="s">
        <v>11</v>
      </c>
      <c r="Q220" t="s">
        <v>12</v>
      </c>
      <c r="R220" t="s">
        <v>13</v>
      </c>
      <c r="S220" s="3">
        <v>24</v>
      </c>
      <c r="T220" t="s">
        <v>14</v>
      </c>
      <c r="U220" s="3">
        <v>2064.02</v>
      </c>
      <c r="V220" t="s">
        <v>15</v>
      </c>
      <c r="W220" t="s">
        <v>16</v>
      </c>
      <c r="X220" t="s">
        <v>11</v>
      </c>
      <c r="Y220" t="s">
        <v>8</v>
      </c>
      <c r="Z220" t="s">
        <v>17</v>
      </c>
      <c r="AA220" t="s">
        <v>337</v>
      </c>
      <c r="AB220" t="s">
        <v>11</v>
      </c>
      <c r="AC220" t="s">
        <v>11</v>
      </c>
      <c r="AD220" t="s">
        <v>11</v>
      </c>
      <c r="AE220" s="2">
        <v>45848</v>
      </c>
      <c r="AF220" s="2"/>
      <c r="AG220" t="s">
        <v>11</v>
      </c>
      <c r="AH220" s="14">
        <f>VLOOKUP(M220,'[1]INDIAN ENTERPRISES'!$D:$D,1,0)</f>
        <v>256779415294</v>
      </c>
      <c r="AJ220" s="15">
        <f>VLOOKUP(M220,'[1]INDIAN ENTERPRISES'!$D:$L,9,0)</f>
        <v>45991</v>
      </c>
    </row>
    <row r="221" spans="1:36" hidden="1" outlineLevel="2" x14ac:dyDescent="0.25">
      <c r="A221" t="s">
        <v>20</v>
      </c>
      <c r="B221" t="s">
        <v>1</v>
      </c>
      <c r="C221" t="s">
        <v>2</v>
      </c>
      <c r="D221" t="s">
        <v>3</v>
      </c>
      <c r="E221" t="s">
        <v>4</v>
      </c>
      <c r="F221" t="s">
        <v>128</v>
      </c>
      <c r="G221" s="2">
        <v>45848</v>
      </c>
      <c r="H221" t="s">
        <v>434</v>
      </c>
      <c r="I221" t="s">
        <v>7</v>
      </c>
      <c r="J221" s="2">
        <v>45848</v>
      </c>
      <c r="K221" s="2">
        <v>45854</v>
      </c>
      <c r="L221" t="s">
        <v>8</v>
      </c>
      <c r="M221" s="14">
        <v>256779415295</v>
      </c>
      <c r="N221" t="s">
        <v>9</v>
      </c>
      <c r="O221" t="s">
        <v>10</v>
      </c>
      <c r="P221" t="s">
        <v>11</v>
      </c>
      <c r="Q221" t="s">
        <v>12</v>
      </c>
      <c r="R221" t="s">
        <v>13</v>
      </c>
      <c r="S221" s="3">
        <v>24</v>
      </c>
      <c r="T221" t="s">
        <v>14</v>
      </c>
      <c r="U221" s="3">
        <v>2064.02</v>
      </c>
      <c r="V221" t="s">
        <v>15</v>
      </c>
      <c r="W221" t="s">
        <v>16</v>
      </c>
      <c r="X221" t="s">
        <v>11</v>
      </c>
      <c r="Y221" t="s">
        <v>8</v>
      </c>
      <c r="Z221" t="s">
        <v>17</v>
      </c>
      <c r="AA221" t="s">
        <v>337</v>
      </c>
      <c r="AB221" t="s">
        <v>11</v>
      </c>
      <c r="AC221" t="s">
        <v>11</v>
      </c>
      <c r="AD221" t="s">
        <v>11</v>
      </c>
      <c r="AE221" s="2">
        <v>45848</v>
      </c>
      <c r="AF221" s="2"/>
      <c r="AG221" t="s">
        <v>11</v>
      </c>
      <c r="AH221" s="14">
        <f>VLOOKUP(M221,'[1]INDIAN ENTERPRISES'!$D:$D,1,0)</f>
        <v>256779415295</v>
      </c>
      <c r="AJ221" s="15">
        <f>VLOOKUP(M221,'[1]INDIAN ENTERPRISES'!$D:$L,9,0)</f>
        <v>45991</v>
      </c>
    </row>
    <row r="222" spans="1:36" hidden="1" outlineLevel="2" x14ac:dyDescent="0.25">
      <c r="A222" t="s">
        <v>20</v>
      </c>
      <c r="B222" t="s">
        <v>1</v>
      </c>
      <c r="C222" t="s">
        <v>2</v>
      </c>
      <c r="D222" t="s">
        <v>3</v>
      </c>
      <c r="E222" t="s">
        <v>4</v>
      </c>
      <c r="F222" t="s">
        <v>128</v>
      </c>
      <c r="G222" s="2">
        <v>45848</v>
      </c>
      <c r="H222" t="s">
        <v>435</v>
      </c>
      <c r="I222" t="s">
        <v>7</v>
      </c>
      <c r="J222" s="2">
        <v>45848</v>
      </c>
      <c r="K222" s="2">
        <v>45854</v>
      </c>
      <c r="L222" t="s">
        <v>8</v>
      </c>
      <c r="M222" s="14">
        <v>256779415296</v>
      </c>
      <c r="N222" t="s">
        <v>9</v>
      </c>
      <c r="O222" t="s">
        <v>10</v>
      </c>
      <c r="P222" t="s">
        <v>11</v>
      </c>
      <c r="Q222" t="s">
        <v>12</v>
      </c>
      <c r="R222" t="s">
        <v>13</v>
      </c>
      <c r="S222" s="3">
        <v>24</v>
      </c>
      <c r="T222" t="s">
        <v>14</v>
      </c>
      <c r="U222" s="3">
        <v>2064.02</v>
      </c>
      <c r="V222" t="s">
        <v>15</v>
      </c>
      <c r="W222" t="s">
        <v>16</v>
      </c>
      <c r="X222" t="s">
        <v>11</v>
      </c>
      <c r="Y222" t="s">
        <v>8</v>
      </c>
      <c r="Z222" t="s">
        <v>17</v>
      </c>
      <c r="AA222" t="s">
        <v>337</v>
      </c>
      <c r="AB222" t="s">
        <v>11</v>
      </c>
      <c r="AC222" t="s">
        <v>11</v>
      </c>
      <c r="AD222" t="s">
        <v>11</v>
      </c>
      <c r="AE222" s="2">
        <v>45848</v>
      </c>
      <c r="AF222" s="2"/>
      <c r="AG222" t="s">
        <v>11</v>
      </c>
      <c r="AH222" s="14">
        <f>VLOOKUP(M222,'[1]INDIAN ENTERPRISES'!$D:$D,1,0)</f>
        <v>256779415296</v>
      </c>
      <c r="AJ222" s="15">
        <f>VLOOKUP(M222,'[1]INDIAN ENTERPRISES'!$D:$L,9,0)</f>
        <v>46071</v>
      </c>
    </row>
    <row r="223" spans="1:36" hidden="1" outlineLevel="2" x14ac:dyDescent="0.25">
      <c r="A223" t="s">
        <v>20</v>
      </c>
      <c r="B223" t="s">
        <v>1</v>
      </c>
      <c r="C223" t="s">
        <v>2</v>
      </c>
      <c r="D223" t="s">
        <v>3</v>
      </c>
      <c r="E223" t="s">
        <v>4</v>
      </c>
      <c r="F223" t="s">
        <v>128</v>
      </c>
      <c r="G223" s="2">
        <v>45848</v>
      </c>
      <c r="H223" t="s">
        <v>436</v>
      </c>
      <c r="I223" t="s">
        <v>7</v>
      </c>
      <c r="J223" s="2">
        <v>45848</v>
      </c>
      <c r="K223" s="2">
        <v>45854</v>
      </c>
      <c r="L223" t="s">
        <v>8</v>
      </c>
      <c r="M223" s="14">
        <v>256779415297</v>
      </c>
      <c r="N223" t="s">
        <v>9</v>
      </c>
      <c r="O223" t="s">
        <v>10</v>
      </c>
      <c r="P223" t="s">
        <v>11</v>
      </c>
      <c r="Q223" t="s">
        <v>12</v>
      </c>
      <c r="R223" t="s">
        <v>13</v>
      </c>
      <c r="S223" s="3">
        <v>24</v>
      </c>
      <c r="T223" t="s">
        <v>14</v>
      </c>
      <c r="U223" s="3">
        <v>2064.02</v>
      </c>
      <c r="V223" t="s">
        <v>15</v>
      </c>
      <c r="W223" t="s">
        <v>16</v>
      </c>
      <c r="X223" t="s">
        <v>11</v>
      </c>
      <c r="Y223" t="s">
        <v>8</v>
      </c>
      <c r="Z223" t="s">
        <v>17</v>
      </c>
      <c r="AA223" t="s">
        <v>337</v>
      </c>
      <c r="AB223" t="s">
        <v>11</v>
      </c>
      <c r="AC223" t="s">
        <v>11</v>
      </c>
      <c r="AD223" t="s">
        <v>11</v>
      </c>
      <c r="AE223" s="2">
        <v>45848</v>
      </c>
      <c r="AF223" s="2"/>
      <c r="AG223" t="s">
        <v>11</v>
      </c>
      <c r="AH223" s="14">
        <f>VLOOKUP(M223,'[1]INDIAN ENTERPRISES'!$D:$D,1,0)</f>
        <v>256779415297</v>
      </c>
      <c r="AJ223" s="15">
        <f>VLOOKUP(M223,'[1]INDIAN ENTERPRISES'!$D:$L,9,0)</f>
        <v>45991</v>
      </c>
    </row>
    <row r="224" spans="1:36" hidden="1" outlineLevel="2" x14ac:dyDescent="0.25">
      <c r="A224" t="s">
        <v>20</v>
      </c>
      <c r="B224" t="s">
        <v>1</v>
      </c>
      <c r="C224" t="s">
        <v>2</v>
      </c>
      <c r="D224" t="s">
        <v>3</v>
      </c>
      <c r="E224" t="s">
        <v>4</v>
      </c>
      <c r="F224" t="s">
        <v>128</v>
      </c>
      <c r="G224" s="2">
        <v>45848</v>
      </c>
      <c r="H224" t="s">
        <v>437</v>
      </c>
      <c r="I224" t="s">
        <v>7</v>
      </c>
      <c r="J224" s="2">
        <v>45848</v>
      </c>
      <c r="K224" s="2">
        <v>45854</v>
      </c>
      <c r="L224" t="s">
        <v>8</v>
      </c>
      <c r="M224" s="14">
        <v>256779415298</v>
      </c>
      <c r="N224" t="s">
        <v>9</v>
      </c>
      <c r="O224" t="s">
        <v>10</v>
      </c>
      <c r="P224" t="s">
        <v>11</v>
      </c>
      <c r="Q224" t="s">
        <v>12</v>
      </c>
      <c r="R224" t="s">
        <v>13</v>
      </c>
      <c r="S224" s="3">
        <v>24</v>
      </c>
      <c r="T224" t="s">
        <v>14</v>
      </c>
      <c r="U224" s="3">
        <v>2064.02</v>
      </c>
      <c r="V224" t="s">
        <v>15</v>
      </c>
      <c r="W224" t="s">
        <v>16</v>
      </c>
      <c r="X224" t="s">
        <v>11</v>
      </c>
      <c r="Y224" t="s">
        <v>8</v>
      </c>
      <c r="Z224" t="s">
        <v>17</v>
      </c>
      <c r="AA224" t="s">
        <v>337</v>
      </c>
      <c r="AB224" t="s">
        <v>11</v>
      </c>
      <c r="AC224" t="s">
        <v>11</v>
      </c>
      <c r="AD224" t="s">
        <v>11</v>
      </c>
      <c r="AE224" s="2">
        <v>45848</v>
      </c>
      <c r="AF224" s="2"/>
      <c r="AG224" t="s">
        <v>11</v>
      </c>
      <c r="AH224" s="14">
        <f>VLOOKUP(M224,'[1]INDIAN ENTERPRISES'!$D:$D,1,0)</f>
        <v>256779415298</v>
      </c>
      <c r="AJ224" s="15">
        <f>VLOOKUP(M224,'[1]INDIAN ENTERPRISES'!$D:$L,9,0)</f>
        <v>45991</v>
      </c>
    </row>
    <row r="225" spans="1:36" hidden="1" outlineLevel="2" x14ac:dyDescent="0.25">
      <c r="A225" t="s">
        <v>20</v>
      </c>
      <c r="B225" t="s">
        <v>1</v>
      </c>
      <c r="C225" t="s">
        <v>2</v>
      </c>
      <c r="D225" t="s">
        <v>3</v>
      </c>
      <c r="E225" t="s">
        <v>4</v>
      </c>
      <c r="F225" t="s">
        <v>128</v>
      </c>
      <c r="G225" s="2">
        <v>45848</v>
      </c>
      <c r="H225" t="s">
        <v>438</v>
      </c>
      <c r="I225" t="s">
        <v>7</v>
      </c>
      <c r="J225" s="2">
        <v>45848</v>
      </c>
      <c r="K225" s="2">
        <v>45854</v>
      </c>
      <c r="L225" t="s">
        <v>8</v>
      </c>
      <c r="M225" s="14">
        <v>256779415299</v>
      </c>
      <c r="N225" t="s">
        <v>9</v>
      </c>
      <c r="O225" t="s">
        <v>10</v>
      </c>
      <c r="P225" t="s">
        <v>11</v>
      </c>
      <c r="Q225" t="s">
        <v>12</v>
      </c>
      <c r="R225" t="s">
        <v>13</v>
      </c>
      <c r="S225" s="3">
        <v>24</v>
      </c>
      <c r="T225" t="s">
        <v>14</v>
      </c>
      <c r="U225" s="3">
        <v>2064.02</v>
      </c>
      <c r="V225" t="s">
        <v>15</v>
      </c>
      <c r="W225" t="s">
        <v>16</v>
      </c>
      <c r="X225" t="s">
        <v>11</v>
      </c>
      <c r="Y225" t="s">
        <v>8</v>
      </c>
      <c r="Z225" t="s">
        <v>17</v>
      </c>
      <c r="AA225" t="s">
        <v>337</v>
      </c>
      <c r="AB225" t="s">
        <v>11</v>
      </c>
      <c r="AC225" t="s">
        <v>11</v>
      </c>
      <c r="AD225" t="s">
        <v>11</v>
      </c>
      <c r="AE225" s="2">
        <v>45848</v>
      </c>
      <c r="AF225" s="2"/>
      <c r="AG225" t="s">
        <v>11</v>
      </c>
      <c r="AH225" s="14">
        <f>VLOOKUP(M225,'[1]INDIAN ENTERPRISES'!$D:$D,1,0)</f>
        <v>256779415299</v>
      </c>
      <c r="AJ225" s="15">
        <f>VLOOKUP(M225,'[1]INDIAN ENTERPRISES'!$D:$L,9,0)</f>
        <v>45991</v>
      </c>
    </row>
    <row r="226" spans="1:36" hidden="1" outlineLevel="2" x14ac:dyDescent="0.25">
      <c r="A226" t="s">
        <v>20</v>
      </c>
      <c r="B226" t="s">
        <v>1</v>
      </c>
      <c r="C226" t="s">
        <v>2</v>
      </c>
      <c r="D226" t="s">
        <v>3</v>
      </c>
      <c r="E226" t="s">
        <v>4</v>
      </c>
      <c r="F226" t="s">
        <v>128</v>
      </c>
      <c r="G226" s="2">
        <v>45848</v>
      </c>
      <c r="H226" t="s">
        <v>439</v>
      </c>
      <c r="I226" t="s">
        <v>7</v>
      </c>
      <c r="J226" s="2">
        <v>45848</v>
      </c>
      <c r="K226" s="2">
        <v>45854</v>
      </c>
      <c r="L226" t="s">
        <v>8</v>
      </c>
      <c r="M226" s="14">
        <v>256779415300</v>
      </c>
      <c r="N226" t="s">
        <v>9</v>
      </c>
      <c r="O226" t="s">
        <v>10</v>
      </c>
      <c r="P226" t="s">
        <v>11</v>
      </c>
      <c r="Q226" t="s">
        <v>12</v>
      </c>
      <c r="R226" t="s">
        <v>13</v>
      </c>
      <c r="S226" s="3">
        <v>24</v>
      </c>
      <c r="T226" t="s">
        <v>14</v>
      </c>
      <c r="U226" s="3">
        <v>2064.02</v>
      </c>
      <c r="V226" t="s">
        <v>15</v>
      </c>
      <c r="W226" t="s">
        <v>16</v>
      </c>
      <c r="X226" t="s">
        <v>11</v>
      </c>
      <c r="Y226" t="s">
        <v>8</v>
      </c>
      <c r="Z226" t="s">
        <v>17</v>
      </c>
      <c r="AA226" t="s">
        <v>337</v>
      </c>
      <c r="AB226" t="s">
        <v>11</v>
      </c>
      <c r="AC226" t="s">
        <v>11</v>
      </c>
      <c r="AD226" t="s">
        <v>11</v>
      </c>
      <c r="AE226" s="2">
        <v>45848</v>
      </c>
      <c r="AF226" s="2"/>
      <c r="AG226" t="s">
        <v>11</v>
      </c>
      <c r="AH226" s="14">
        <f>VLOOKUP(M226,'[1]INDIAN ENTERPRISES'!$D:$D,1,0)</f>
        <v>256779415300</v>
      </c>
      <c r="AJ226" s="15">
        <f>VLOOKUP(M226,'[1]INDIAN ENTERPRISES'!$D:$L,9,0)</f>
        <v>45991</v>
      </c>
    </row>
    <row r="227" spans="1:36" hidden="1" outlineLevel="2" x14ac:dyDescent="0.25">
      <c r="A227" t="s">
        <v>20</v>
      </c>
      <c r="B227" t="s">
        <v>1</v>
      </c>
      <c r="C227" t="s">
        <v>2</v>
      </c>
      <c r="D227" t="s">
        <v>3</v>
      </c>
      <c r="E227" t="s">
        <v>4</v>
      </c>
      <c r="F227" t="s">
        <v>128</v>
      </c>
      <c r="G227" s="2">
        <v>45848</v>
      </c>
      <c r="H227" t="s">
        <v>440</v>
      </c>
      <c r="I227" t="s">
        <v>7</v>
      </c>
      <c r="J227" s="2">
        <v>45848</v>
      </c>
      <c r="K227" s="2">
        <v>45854</v>
      </c>
      <c r="L227" t="s">
        <v>8</v>
      </c>
      <c r="M227" s="14">
        <v>256779415301</v>
      </c>
      <c r="N227" t="s">
        <v>9</v>
      </c>
      <c r="O227" t="s">
        <v>10</v>
      </c>
      <c r="P227" t="s">
        <v>11</v>
      </c>
      <c r="Q227" t="s">
        <v>12</v>
      </c>
      <c r="R227" t="s">
        <v>13</v>
      </c>
      <c r="S227" s="3">
        <v>30</v>
      </c>
      <c r="T227" t="s">
        <v>14</v>
      </c>
      <c r="U227" s="3">
        <v>2580.02</v>
      </c>
      <c r="V227" t="s">
        <v>15</v>
      </c>
      <c r="W227" t="s">
        <v>16</v>
      </c>
      <c r="X227" t="s">
        <v>11</v>
      </c>
      <c r="Y227" t="s">
        <v>8</v>
      </c>
      <c r="Z227" t="s">
        <v>17</v>
      </c>
      <c r="AA227" t="s">
        <v>441</v>
      </c>
      <c r="AB227" t="s">
        <v>11</v>
      </c>
      <c r="AC227" t="s">
        <v>11</v>
      </c>
      <c r="AD227" t="s">
        <v>11</v>
      </c>
      <c r="AE227" s="2">
        <v>45848</v>
      </c>
      <c r="AF227" s="2"/>
      <c r="AG227" t="s">
        <v>11</v>
      </c>
      <c r="AH227" s="14">
        <f>VLOOKUP(M227,'[1]INDIAN ENTERPRISES'!$D:$D,1,0)</f>
        <v>256779415301</v>
      </c>
      <c r="AJ227" s="15">
        <f>VLOOKUP(M227,'[1]INDIAN ENTERPRISES'!$D:$L,9,0)</f>
        <v>45991</v>
      </c>
    </row>
    <row r="228" spans="1:36" hidden="1" outlineLevel="2" x14ac:dyDescent="0.25">
      <c r="A228" t="s">
        <v>20</v>
      </c>
      <c r="B228" t="s">
        <v>1</v>
      </c>
      <c r="C228" t="s">
        <v>2</v>
      </c>
      <c r="D228" t="s">
        <v>3</v>
      </c>
      <c r="E228" t="s">
        <v>4</v>
      </c>
      <c r="F228" t="s">
        <v>128</v>
      </c>
      <c r="G228" s="2">
        <v>45848</v>
      </c>
      <c r="H228" t="s">
        <v>442</v>
      </c>
      <c r="I228" t="s">
        <v>7</v>
      </c>
      <c r="J228" s="2">
        <v>45848</v>
      </c>
      <c r="K228" s="2">
        <v>45854</v>
      </c>
      <c r="L228" t="s">
        <v>8</v>
      </c>
      <c r="M228" s="14">
        <v>256779415302</v>
      </c>
      <c r="N228" t="s">
        <v>9</v>
      </c>
      <c r="O228" t="s">
        <v>10</v>
      </c>
      <c r="P228" t="s">
        <v>11</v>
      </c>
      <c r="Q228" t="s">
        <v>12</v>
      </c>
      <c r="R228" t="s">
        <v>13</v>
      </c>
      <c r="S228" s="3">
        <v>30</v>
      </c>
      <c r="T228" t="s">
        <v>14</v>
      </c>
      <c r="U228" s="3">
        <v>2580.02</v>
      </c>
      <c r="V228" t="s">
        <v>15</v>
      </c>
      <c r="W228" t="s">
        <v>16</v>
      </c>
      <c r="X228" t="s">
        <v>11</v>
      </c>
      <c r="Y228" t="s">
        <v>8</v>
      </c>
      <c r="Z228" t="s">
        <v>17</v>
      </c>
      <c r="AA228" t="s">
        <v>443</v>
      </c>
      <c r="AB228" t="s">
        <v>11</v>
      </c>
      <c r="AC228" t="s">
        <v>11</v>
      </c>
      <c r="AD228" t="s">
        <v>11</v>
      </c>
      <c r="AE228" s="2">
        <v>45848</v>
      </c>
      <c r="AF228" s="2"/>
      <c r="AG228" t="s">
        <v>11</v>
      </c>
      <c r="AH228" s="14">
        <f>VLOOKUP(M228,'[1]INDIAN ENTERPRISES'!$D:$D,1,0)</f>
        <v>256779415302</v>
      </c>
      <c r="AJ228" s="15">
        <f>VLOOKUP(M228,'[1]INDIAN ENTERPRISES'!$D:$L,9,0)</f>
        <v>45991</v>
      </c>
    </row>
    <row r="229" spans="1:36" hidden="1" outlineLevel="2" x14ac:dyDescent="0.25">
      <c r="A229" t="s">
        <v>20</v>
      </c>
      <c r="B229" t="s">
        <v>1</v>
      </c>
      <c r="C229" t="s">
        <v>2</v>
      </c>
      <c r="D229" t="s">
        <v>3</v>
      </c>
      <c r="E229" t="s">
        <v>4</v>
      </c>
      <c r="F229" t="s">
        <v>128</v>
      </c>
      <c r="G229" s="2">
        <v>45848</v>
      </c>
      <c r="H229" t="s">
        <v>444</v>
      </c>
      <c r="I229" t="s">
        <v>7</v>
      </c>
      <c r="J229" s="2">
        <v>45848</v>
      </c>
      <c r="K229" s="2">
        <v>45854</v>
      </c>
      <c r="L229" t="s">
        <v>8</v>
      </c>
      <c r="M229" s="14">
        <v>256779415309</v>
      </c>
      <c r="N229" t="s">
        <v>9</v>
      </c>
      <c r="O229" t="s">
        <v>10</v>
      </c>
      <c r="P229" t="s">
        <v>11</v>
      </c>
      <c r="Q229" t="s">
        <v>12</v>
      </c>
      <c r="R229" t="s">
        <v>13</v>
      </c>
      <c r="S229" s="3">
        <v>30</v>
      </c>
      <c r="T229" t="s">
        <v>14</v>
      </c>
      <c r="U229" s="3">
        <v>2580.02</v>
      </c>
      <c r="V229" t="s">
        <v>15</v>
      </c>
      <c r="W229" t="s">
        <v>16</v>
      </c>
      <c r="X229" t="s">
        <v>11</v>
      </c>
      <c r="Y229" t="s">
        <v>8</v>
      </c>
      <c r="Z229" t="s">
        <v>17</v>
      </c>
      <c r="AA229" t="s">
        <v>382</v>
      </c>
      <c r="AB229" t="s">
        <v>11</v>
      </c>
      <c r="AC229" t="s">
        <v>11</v>
      </c>
      <c r="AD229" t="s">
        <v>11</v>
      </c>
      <c r="AE229" s="2">
        <v>45848</v>
      </c>
      <c r="AF229" s="2"/>
      <c r="AG229" t="s">
        <v>11</v>
      </c>
      <c r="AH229" s="14">
        <f>VLOOKUP(M229,'[1]INDIAN ENTERPRISES'!$D:$D,1,0)</f>
        <v>256779415309</v>
      </c>
      <c r="AJ229" s="15">
        <f>VLOOKUP(M229,'[1]INDIAN ENTERPRISES'!$D:$L,9,0)</f>
        <v>45991</v>
      </c>
    </row>
    <row r="230" spans="1:36" hidden="1" outlineLevel="2" x14ac:dyDescent="0.25">
      <c r="A230" t="s">
        <v>20</v>
      </c>
      <c r="B230" t="s">
        <v>1</v>
      </c>
      <c r="C230" t="s">
        <v>2</v>
      </c>
      <c r="D230" t="s">
        <v>3</v>
      </c>
      <c r="E230" t="s">
        <v>4</v>
      </c>
      <c r="F230" t="s">
        <v>128</v>
      </c>
      <c r="G230" s="2">
        <v>45848</v>
      </c>
      <c r="H230" t="s">
        <v>445</v>
      </c>
      <c r="I230" t="s">
        <v>7</v>
      </c>
      <c r="J230" s="2">
        <v>45848</v>
      </c>
      <c r="K230" s="2">
        <v>45854</v>
      </c>
      <c r="L230" t="s">
        <v>8</v>
      </c>
      <c r="M230" s="14">
        <v>256779415310</v>
      </c>
      <c r="N230" t="s">
        <v>9</v>
      </c>
      <c r="O230" t="s">
        <v>10</v>
      </c>
      <c r="P230" t="s">
        <v>11</v>
      </c>
      <c r="Q230" t="s">
        <v>12</v>
      </c>
      <c r="R230" t="s">
        <v>13</v>
      </c>
      <c r="S230" s="3">
        <v>30</v>
      </c>
      <c r="T230" t="s">
        <v>14</v>
      </c>
      <c r="U230" s="3">
        <v>2580.02</v>
      </c>
      <c r="V230" t="s">
        <v>15</v>
      </c>
      <c r="W230" t="s">
        <v>16</v>
      </c>
      <c r="X230" t="s">
        <v>11</v>
      </c>
      <c r="Y230" t="s">
        <v>8</v>
      </c>
      <c r="Z230" t="s">
        <v>17</v>
      </c>
      <c r="AA230" t="s">
        <v>446</v>
      </c>
      <c r="AB230" t="s">
        <v>11</v>
      </c>
      <c r="AC230" t="s">
        <v>11</v>
      </c>
      <c r="AD230" t="s">
        <v>11</v>
      </c>
      <c r="AE230" s="2">
        <v>45848</v>
      </c>
      <c r="AF230" s="2"/>
      <c r="AG230" t="s">
        <v>11</v>
      </c>
      <c r="AH230" s="14">
        <f>VLOOKUP(M230,'[1]INDIAN ENTERPRISES'!$D:$D,1,0)</f>
        <v>256779415310</v>
      </c>
      <c r="AJ230" s="15">
        <f>VLOOKUP(M230,'[1]INDIAN ENTERPRISES'!$D:$L,9,0)</f>
        <v>45991</v>
      </c>
    </row>
    <row r="231" spans="1:36" hidden="1" outlineLevel="2" x14ac:dyDescent="0.25">
      <c r="A231" t="s">
        <v>20</v>
      </c>
      <c r="B231" t="s">
        <v>1</v>
      </c>
      <c r="C231" t="s">
        <v>2</v>
      </c>
      <c r="D231" t="s">
        <v>3</v>
      </c>
      <c r="E231" t="s">
        <v>4</v>
      </c>
      <c r="F231" t="s">
        <v>128</v>
      </c>
      <c r="G231" s="2">
        <v>45848</v>
      </c>
      <c r="H231" t="s">
        <v>447</v>
      </c>
      <c r="I231" t="s">
        <v>7</v>
      </c>
      <c r="J231" s="2">
        <v>45848</v>
      </c>
      <c r="K231" s="2">
        <v>45854</v>
      </c>
      <c r="L231" t="s">
        <v>8</v>
      </c>
      <c r="M231" s="14">
        <v>256779415311</v>
      </c>
      <c r="N231" t="s">
        <v>9</v>
      </c>
      <c r="O231" t="s">
        <v>10</v>
      </c>
      <c r="P231" t="s">
        <v>11</v>
      </c>
      <c r="Q231" t="s">
        <v>12</v>
      </c>
      <c r="R231" t="s">
        <v>13</v>
      </c>
      <c r="S231" s="3">
        <v>77.48</v>
      </c>
      <c r="T231" t="s">
        <v>14</v>
      </c>
      <c r="U231" s="3">
        <v>6663.33</v>
      </c>
      <c r="V231" t="s">
        <v>15</v>
      </c>
      <c r="W231" t="s">
        <v>16</v>
      </c>
      <c r="X231" t="s">
        <v>11</v>
      </c>
      <c r="Y231" t="s">
        <v>8</v>
      </c>
      <c r="Z231" t="s">
        <v>17</v>
      </c>
      <c r="AA231" t="s">
        <v>448</v>
      </c>
      <c r="AB231" t="s">
        <v>11</v>
      </c>
      <c r="AC231" t="s">
        <v>11</v>
      </c>
      <c r="AD231" t="s">
        <v>11</v>
      </c>
      <c r="AE231" s="2">
        <v>45848</v>
      </c>
      <c r="AF231" s="2"/>
      <c r="AG231" t="s">
        <v>11</v>
      </c>
      <c r="AH231" s="14">
        <f>VLOOKUP(M231,'[1]INDIAN ENTERPRISES'!$D:$D,1,0)</f>
        <v>256779415311</v>
      </c>
      <c r="AJ231" s="15">
        <f>VLOOKUP(M231,'[1]INDIAN ENTERPRISES'!$D:$L,9,0)</f>
        <v>45991</v>
      </c>
    </row>
    <row r="232" spans="1:36" hidden="1" outlineLevel="2" x14ac:dyDescent="0.25">
      <c r="A232" t="s">
        <v>20</v>
      </c>
      <c r="B232" t="s">
        <v>1</v>
      </c>
      <c r="C232" t="s">
        <v>2</v>
      </c>
      <c r="D232" t="s">
        <v>3</v>
      </c>
      <c r="E232" t="s">
        <v>4</v>
      </c>
      <c r="F232" t="s">
        <v>128</v>
      </c>
      <c r="G232" s="2">
        <v>45848</v>
      </c>
      <c r="H232" t="s">
        <v>449</v>
      </c>
      <c r="I232" t="s">
        <v>7</v>
      </c>
      <c r="J232" s="2">
        <v>45848</v>
      </c>
      <c r="K232" s="2">
        <v>45854</v>
      </c>
      <c r="L232" t="s">
        <v>8</v>
      </c>
      <c r="M232" s="14">
        <v>256779415312</v>
      </c>
      <c r="N232" t="s">
        <v>9</v>
      </c>
      <c r="O232" t="s">
        <v>10</v>
      </c>
      <c r="P232" t="s">
        <v>11</v>
      </c>
      <c r="Q232" t="s">
        <v>12</v>
      </c>
      <c r="R232" t="s">
        <v>13</v>
      </c>
      <c r="S232" s="3">
        <v>200</v>
      </c>
      <c r="T232" t="s">
        <v>14</v>
      </c>
      <c r="U232" s="3">
        <v>17200.13</v>
      </c>
      <c r="V232" t="s">
        <v>15</v>
      </c>
      <c r="W232" t="s">
        <v>16</v>
      </c>
      <c r="X232" t="s">
        <v>11</v>
      </c>
      <c r="Y232" t="s">
        <v>8</v>
      </c>
      <c r="Z232" t="s">
        <v>17</v>
      </c>
      <c r="AA232" t="s">
        <v>450</v>
      </c>
      <c r="AB232" t="s">
        <v>11</v>
      </c>
      <c r="AC232" t="s">
        <v>11</v>
      </c>
      <c r="AD232" t="s">
        <v>11</v>
      </c>
      <c r="AE232" s="2">
        <v>45848</v>
      </c>
      <c r="AF232" s="2"/>
      <c r="AG232" t="s">
        <v>11</v>
      </c>
      <c r="AH232" s="14">
        <f>VLOOKUP(M232,'[1]INDIAN ENTERPRISES'!$D:$D,1,0)</f>
        <v>256779415312</v>
      </c>
      <c r="AJ232" s="15">
        <f>VLOOKUP(M232,'[1]INDIAN ENTERPRISES'!$D:$L,9,0)</f>
        <v>45991</v>
      </c>
    </row>
    <row r="233" spans="1:36" hidden="1" outlineLevel="2" x14ac:dyDescent="0.25">
      <c r="A233" t="s">
        <v>20</v>
      </c>
      <c r="B233" t="s">
        <v>1</v>
      </c>
      <c r="C233" t="s">
        <v>2</v>
      </c>
      <c r="D233" t="s">
        <v>3</v>
      </c>
      <c r="E233" t="s">
        <v>4</v>
      </c>
      <c r="F233" t="s">
        <v>128</v>
      </c>
      <c r="G233" s="2">
        <v>45848</v>
      </c>
      <c r="H233" t="s">
        <v>451</v>
      </c>
      <c r="I233" t="s">
        <v>7</v>
      </c>
      <c r="J233" s="2">
        <v>45848</v>
      </c>
      <c r="K233" s="2">
        <v>45854</v>
      </c>
      <c r="L233" t="s">
        <v>8</v>
      </c>
      <c r="M233" s="14">
        <v>256779415313</v>
      </c>
      <c r="N233" t="s">
        <v>9</v>
      </c>
      <c r="O233" t="s">
        <v>10</v>
      </c>
      <c r="P233" t="s">
        <v>11</v>
      </c>
      <c r="Q233" t="s">
        <v>12</v>
      </c>
      <c r="R233" t="s">
        <v>13</v>
      </c>
      <c r="S233" s="3">
        <v>60</v>
      </c>
      <c r="T233" t="s">
        <v>14</v>
      </c>
      <c r="U233" s="3">
        <v>5160.04</v>
      </c>
      <c r="V233" t="s">
        <v>15</v>
      </c>
      <c r="W233" t="s">
        <v>16</v>
      </c>
      <c r="X233" t="s">
        <v>11</v>
      </c>
      <c r="Y233" t="s">
        <v>8</v>
      </c>
      <c r="Z233" t="s">
        <v>17</v>
      </c>
      <c r="AA233" t="s">
        <v>452</v>
      </c>
      <c r="AB233" t="s">
        <v>11</v>
      </c>
      <c r="AC233" t="s">
        <v>11</v>
      </c>
      <c r="AD233" t="s">
        <v>11</v>
      </c>
      <c r="AE233" s="2">
        <v>45848</v>
      </c>
      <c r="AF233" s="2"/>
      <c r="AG233" t="s">
        <v>11</v>
      </c>
      <c r="AH233" s="14">
        <f>VLOOKUP(M233,'[1]INDIAN ENTERPRISES'!$D:$D,1,0)</f>
        <v>256779415313</v>
      </c>
      <c r="AJ233" s="15">
        <f>VLOOKUP(M233,'[1]INDIAN ENTERPRISES'!$D:$L,9,0)</f>
        <v>45991</v>
      </c>
    </row>
    <row r="234" spans="1:36" hidden="1" outlineLevel="2" x14ac:dyDescent="0.25">
      <c r="A234" t="s">
        <v>20</v>
      </c>
      <c r="B234" t="s">
        <v>1</v>
      </c>
      <c r="C234" t="s">
        <v>2</v>
      </c>
      <c r="D234" t="s">
        <v>3</v>
      </c>
      <c r="E234" t="s">
        <v>4</v>
      </c>
      <c r="F234" t="s">
        <v>128</v>
      </c>
      <c r="G234" s="2">
        <v>45848</v>
      </c>
      <c r="H234" t="s">
        <v>453</v>
      </c>
      <c r="I234" t="s">
        <v>7</v>
      </c>
      <c r="J234" s="2">
        <v>45848</v>
      </c>
      <c r="K234" s="2">
        <v>45854</v>
      </c>
      <c r="L234" t="s">
        <v>8</v>
      </c>
      <c r="M234" s="14">
        <v>256779415314</v>
      </c>
      <c r="N234" t="s">
        <v>9</v>
      </c>
      <c r="O234" t="s">
        <v>10</v>
      </c>
      <c r="P234" t="s">
        <v>11</v>
      </c>
      <c r="Q234" t="s">
        <v>12</v>
      </c>
      <c r="R234" t="s">
        <v>13</v>
      </c>
      <c r="S234" s="3">
        <v>179.14</v>
      </c>
      <c r="T234" t="s">
        <v>14</v>
      </c>
      <c r="U234" s="3">
        <v>15406.16</v>
      </c>
      <c r="V234" t="s">
        <v>15</v>
      </c>
      <c r="W234" t="s">
        <v>16</v>
      </c>
      <c r="X234" t="s">
        <v>11</v>
      </c>
      <c r="Y234" t="s">
        <v>8</v>
      </c>
      <c r="Z234" t="s">
        <v>17</v>
      </c>
      <c r="AA234" t="s">
        <v>56</v>
      </c>
      <c r="AB234" t="s">
        <v>11</v>
      </c>
      <c r="AC234" t="s">
        <v>11</v>
      </c>
      <c r="AD234" t="s">
        <v>11</v>
      </c>
      <c r="AE234" s="2">
        <v>45848</v>
      </c>
      <c r="AF234" s="2"/>
      <c r="AG234" t="s">
        <v>11</v>
      </c>
      <c r="AH234" s="14">
        <f>VLOOKUP(M234,'[1]INDIAN ENTERPRISES'!$D:$D,1,0)</f>
        <v>256779415314</v>
      </c>
      <c r="AJ234" s="15">
        <f>VLOOKUP(M234,'[1]INDIAN ENTERPRISES'!$D:$L,9,0)</f>
        <v>45991</v>
      </c>
    </row>
    <row r="235" spans="1:36" hidden="1" outlineLevel="2" x14ac:dyDescent="0.25">
      <c r="A235" t="s">
        <v>20</v>
      </c>
      <c r="B235" t="s">
        <v>1</v>
      </c>
      <c r="C235" t="s">
        <v>2</v>
      </c>
      <c r="D235" t="s">
        <v>3</v>
      </c>
      <c r="E235" t="s">
        <v>4</v>
      </c>
      <c r="F235" t="s">
        <v>128</v>
      </c>
      <c r="G235" s="2">
        <v>45848</v>
      </c>
      <c r="H235" t="s">
        <v>454</v>
      </c>
      <c r="I235" t="s">
        <v>7</v>
      </c>
      <c r="J235" s="2">
        <v>45848</v>
      </c>
      <c r="K235" s="2">
        <v>45854</v>
      </c>
      <c r="L235" t="s">
        <v>8</v>
      </c>
      <c r="M235" s="14">
        <v>256779415315</v>
      </c>
      <c r="N235" t="s">
        <v>9</v>
      </c>
      <c r="O235" t="s">
        <v>10</v>
      </c>
      <c r="P235" t="s">
        <v>11</v>
      </c>
      <c r="Q235" t="s">
        <v>12</v>
      </c>
      <c r="R235" t="s">
        <v>13</v>
      </c>
      <c r="S235" s="3">
        <v>120</v>
      </c>
      <c r="T235" t="s">
        <v>14</v>
      </c>
      <c r="U235" s="3">
        <v>10320.08</v>
      </c>
      <c r="V235" t="s">
        <v>15</v>
      </c>
      <c r="W235" t="s">
        <v>16</v>
      </c>
      <c r="X235" t="s">
        <v>11</v>
      </c>
      <c r="Y235" t="s">
        <v>8</v>
      </c>
      <c r="Z235" t="s">
        <v>17</v>
      </c>
      <c r="AA235" t="s">
        <v>455</v>
      </c>
      <c r="AB235" t="s">
        <v>11</v>
      </c>
      <c r="AC235" t="s">
        <v>11</v>
      </c>
      <c r="AD235" t="s">
        <v>11</v>
      </c>
      <c r="AE235" s="2">
        <v>45848</v>
      </c>
      <c r="AF235" s="2"/>
      <c r="AG235" t="s">
        <v>11</v>
      </c>
      <c r="AH235" s="14">
        <f>VLOOKUP(M235,'[1]INDIAN ENTERPRISES'!$D:$D,1,0)</f>
        <v>256779415315</v>
      </c>
      <c r="AJ235" s="15">
        <f>VLOOKUP(M235,'[1]INDIAN ENTERPRISES'!$D:$L,9,0)</f>
        <v>45991</v>
      </c>
    </row>
    <row r="236" spans="1:36" hidden="1" outlineLevel="2" x14ac:dyDescent="0.25">
      <c r="A236" t="s">
        <v>20</v>
      </c>
      <c r="B236" t="s">
        <v>1</v>
      </c>
      <c r="C236" t="s">
        <v>2</v>
      </c>
      <c r="D236" t="s">
        <v>3</v>
      </c>
      <c r="E236" t="s">
        <v>4</v>
      </c>
      <c r="F236" t="s">
        <v>128</v>
      </c>
      <c r="G236" s="2">
        <v>45848</v>
      </c>
      <c r="H236" t="s">
        <v>456</v>
      </c>
      <c r="I236" t="s">
        <v>7</v>
      </c>
      <c r="J236" s="2">
        <v>45848</v>
      </c>
      <c r="K236" s="2">
        <v>45854</v>
      </c>
      <c r="L236" t="s">
        <v>8</v>
      </c>
      <c r="M236" s="14">
        <v>256779415316</v>
      </c>
      <c r="N236" t="s">
        <v>9</v>
      </c>
      <c r="O236" t="s">
        <v>10</v>
      </c>
      <c r="P236" t="s">
        <v>11</v>
      </c>
      <c r="Q236" t="s">
        <v>12</v>
      </c>
      <c r="R236" t="s">
        <v>13</v>
      </c>
      <c r="S236" s="3">
        <v>60</v>
      </c>
      <c r="T236" t="s">
        <v>14</v>
      </c>
      <c r="U236" s="3">
        <v>5160.04</v>
      </c>
      <c r="V236" t="s">
        <v>15</v>
      </c>
      <c r="W236" t="s">
        <v>16</v>
      </c>
      <c r="X236" t="s">
        <v>11</v>
      </c>
      <c r="Y236" t="s">
        <v>8</v>
      </c>
      <c r="Z236" t="s">
        <v>17</v>
      </c>
      <c r="AA236" t="s">
        <v>457</v>
      </c>
      <c r="AB236" t="s">
        <v>11</v>
      </c>
      <c r="AC236" t="s">
        <v>11</v>
      </c>
      <c r="AD236" t="s">
        <v>11</v>
      </c>
      <c r="AE236" s="2">
        <v>45848</v>
      </c>
      <c r="AF236" s="2"/>
      <c r="AG236" t="s">
        <v>11</v>
      </c>
      <c r="AH236" s="14">
        <f>VLOOKUP(M236,'[1]INDIAN ENTERPRISES'!$D:$D,1,0)</f>
        <v>256779415316</v>
      </c>
      <c r="AJ236" s="15">
        <f>VLOOKUP(M236,'[1]INDIAN ENTERPRISES'!$D:$L,9,0)</f>
        <v>45991</v>
      </c>
    </row>
    <row r="237" spans="1:36" hidden="1" outlineLevel="2" x14ac:dyDescent="0.25">
      <c r="A237" t="s">
        <v>20</v>
      </c>
      <c r="B237" t="s">
        <v>1</v>
      </c>
      <c r="C237" t="s">
        <v>2</v>
      </c>
      <c r="D237" t="s">
        <v>3</v>
      </c>
      <c r="E237" t="s">
        <v>4</v>
      </c>
      <c r="F237" t="s">
        <v>128</v>
      </c>
      <c r="G237" s="2">
        <v>45848</v>
      </c>
      <c r="H237" t="s">
        <v>458</v>
      </c>
      <c r="I237" t="s">
        <v>7</v>
      </c>
      <c r="J237" s="2">
        <v>45848</v>
      </c>
      <c r="K237" s="2">
        <v>45854</v>
      </c>
      <c r="L237" t="s">
        <v>8</v>
      </c>
      <c r="M237" s="14">
        <v>256779415317</v>
      </c>
      <c r="N237" t="s">
        <v>9</v>
      </c>
      <c r="O237" t="s">
        <v>10</v>
      </c>
      <c r="P237" t="s">
        <v>11</v>
      </c>
      <c r="Q237" t="s">
        <v>12</v>
      </c>
      <c r="R237" t="s">
        <v>13</v>
      </c>
      <c r="S237" s="3">
        <v>200</v>
      </c>
      <c r="T237" t="s">
        <v>14</v>
      </c>
      <c r="U237" s="3">
        <v>17200.13</v>
      </c>
      <c r="V237" t="s">
        <v>15</v>
      </c>
      <c r="W237" t="s">
        <v>16</v>
      </c>
      <c r="X237" t="s">
        <v>11</v>
      </c>
      <c r="Y237" t="s">
        <v>8</v>
      </c>
      <c r="Z237" t="s">
        <v>17</v>
      </c>
      <c r="AA237" t="s">
        <v>459</v>
      </c>
      <c r="AB237" t="s">
        <v>11</v>
      </c>
      <c r="AC237" t="s">
        <v>11</v>
      </c>
      <c r="AD237" t="s">
        <v>11</v>
      </c>
      <c r="AE237" s="2">
        <v>45848</v>
      </c>
      <c r="AF237" s="2"/>
      <c r="AG237" t="s">
        <v>11</v>
      </c>
      <c r="AH237" s="14">
        <f>VLOOKUP(M237,'[1]INDIAN ENTERPRISES'!$D:$D,1,0)</f>
        <v>256779415317</v>
      </c>
      <c r="AJ237" s="15">
        <f>VLOOKUP(M237,'[1]INDIAN ENTERPRISES'!$D:$L,9,0)</f>
        <v>45991</v>
      </c>
    </row>
    <row r="238" spans="1:36" hidden="1" outlineLevel="2" x14ac:dyDescent="0.25">
      <c r="A238" t="s">
        <v>20</v>
      </c>
      <c r="B238" t="s">
        <v>1</v>
      </c>
      <c r="C238" t="s">
        <v>2</v>
      </c>
      <c r="D238" t="s">
        <v>3</v>
      </c>
      <c r="E238" t="s">
        <v>4</v>
      </c>
      <c r="F238" t="s">
        <v>128</v>
      </c>
      <c r="G238" s="2">
        <v>45848</v>
      </c>
      <c r="H238" t="s">
        <v>460</v>
      </c>
      <c r="I238" t="s">
        <v>7</v>
      </c>
      <c r="J238" s="2">
        <v>45848</v>
      </c>
      <c r="K238" s="2">
        <v>45854</v>
      </c>
      <c r="L238" t="s">
        <v>8</v>
      </c>
      <c r="M238" s="14">
        <v>256779415318</v>
      </c>
      <c r="N238" t="s">
        <v>9</v>
      </c>
      <c r="O238" t="s">
        <v>10</v>
      </c>
      <c r="P238" t="s">
        <v>11</v>
      </c>
      <c r="Q238" t="s">
        <v>12</v>
      </c>
      <c r="R238" t="s">
        <v>13</v>
      </c>
      <c r="S238" s="3">
        <v>254.65</v>
      </c>
      <c r="T238" t="s">
        <v>14</v>
      </c>
      <c r="U238" s="3">
        <v>21900.07</v>
      </c>
      <c r="V238" t="s">
        <v>15</v>
      </c>
      <c r="W238" t="s">
        <v>16</v>
      </c>
      <c r="X238" t="s">
        <v>11</v>
      </c>
      <c r="Y238" t="s">
        <v>8</v>
      </c>
      <c r="Z238" t="s">
        <v>17</v>
      </c>
      <c r="AA238" t="s">
        <v>461</v>
      </c>
      <c r="AB238" t="s">
        <v>11</v>
      </c>
      <c r="AC238" t="s">
        <v>11</v>
      </c>
      <c r="AD238" t="s">
        <v>11</v>
      </c>
      <c r="AE238" s="2">
        <v>45848</v>
      </c>
      <c r="AF238" s="2"/>
      <c r="AG238" t="s">
        <v>11</v>
      </c>
      <c r="AH238" s="14">
        <f>VLOOKUP(M238,'[1]INDIAN ENTERPRISES'!$D:$D,1,0)</f>
        <v>256779415318</v>
      </c>
      <c r="AJ238" s="15">
        <f>VLOOKUP(M238,'[1]INDIAN ENTERPRISES'!$D:$L,9,0)</f>
        <v>45991</v>
      </c>
    </row>
    <row r="239" spans="1:36" hidden="1" outlineLevel="2" x14ac:dyDescent="0.25">
      <c r="A239" t="s">
        <v>20</v>
      </c>
      <c r="B239" t="s">
        <v>1</v>
      </c>
      <c r="C239" t="s">
        <v>2</v>
      </c>
      <c r="D239" t="s">
        <v>3</v>
      </c>
      <c r="E239" t="s">
        <v>4</v>
      </c>
      <c r="F239" t="s">
        <v>128</v>
      </c>
      <c r="G239" s="2">
        <v>45848</v>
      </c>
      <c r="H239" t="s">
        <v>462</v>
      </c>
      <c r="I239" t="s">
        <v>7</v>
      </c>
      <c r="J239" s="2">
        <v>45848</v>
      </c>
      <c r="K239" s="2">
        <v>45854</v>
      </c>
      <c r="L239" t="s">
        <v>8</v>
      </c>
      <c r="M239" s="14">
        <v>256779415319</v>
      </c>
      <c r="N239" t="s">
        <v>9</v>
      </c>
      <c r="O239" t="s">
        <v>10</v>
      </c>
      <c r="P239" t="s">
        <v>11</v>
      </c>
      <c r="Q239" t="s">
        <v>12</v>
      </c>
      <c r="R239" t="s">
        <v>13</v>
      </c>
      <c r="S239" s="3">
        <v>140.16999999999999</v>
      </c>
      <c r="T239" t="s">
        <v>14</v>
      </c>
      <c r="U239" s="3">
        <v>12054.71</v>
      </c>
      <c r="V239" t="s">
        <v>15</v>
      </c>
      <c r="W239" t="s">
        <v>16</v>
      </c>
      <c r="X239" t="s">
        <v>11</v>
      </c>
      <c r="Y239" t="s">
        <v>8</v>
      </c>
      <c r="Z239" t="s">
        <v>17</v>
      </c>
      <c r="AA239" t="s">
        <v>443</v>
      </c>
      <c r="AB239" t="s">
        <v>11</v>
      </c>
      <c r="AC239" t="s">
        <v>11</v>
      </c>
      <c r="AD239" t="s">
        <v>11</v>
      </c>
      <c r="AE239" s="2">
        <v>45848</v>
      </c>
      <c r="AF239" s="2"/>
      <c r="AG239" t="s">
        <v>11</v>
      </c>
      <c r="AH239" s="14">
        <f>VLOOKUP(M239,'[1]INDIAN ENTERPRISES'!$D:$D,1,0)</f>
        <v>256779415319</v>
      </c>
      <c r="AJ239" s="15">
        <f>VLOOKUP(M239,'[1]INDIAN ENTERPRISES'!$D:$L,9,0)</f>
        <v>46022</v>
      </c>
    </row>
    <row r="240" spans="1:36" hidden="1" outlineLevel="2" x14ac:dyDescent="0.25">
      <c r="A240" t="s">
        <v>20</v>
      </c>
      <c r="B240" t="s">
        <v>1</v>
      </c>
      <c r="C240" t="s">
        <v>2</v>
      </c>
      <c r="D240" t="s">
        <v>3</v>
      </c>
      <c r="E240" t="s">
        <v>4</v>
      </c>
      <c r="F240" t="s">
        <v>128</v>
      </c>
      <c r="G240" s="2">
        <v>45848</v>
      </c>
      <c r="H240" t="s">
        <v>463</v>
      </c>
      <c r="I240" t="s">
        <v>7</v>
      </c>
      <c r="J240" s="2">
        <v>45848</v>
      </c>
      <c r="K240" s="2">
        <v>45854</v>
      </c>
      <c r="L240" t="s">
        <v>8</v>
      </c>
      <c r="M240" s="14">
        <v>256779415320</v>
      </c>
      <c r="N240" t="s">
        <v>9</v>
      </c>
      <c r="O240" t="s">
        <v>10</v>
      </c>
      <c r="P240" t="s">
        <v>11</v>
      </c>
      <c r="Q240" t="s">
        <v>12</v>
      </c>
      <c r="R240" t="s">
        <v>13</v>
      </c>
      <c r="S240" s="3">
        <v>12.5</v>
      </c>
      <c r="T240" t="s">
        <v>14</v>
      </c>
      <c r="U240" s="3">
        <v>1075.01</v>
      </c>
      <c r="V240" t="s">
        <v>15</v>
      </c>
      <c r="W240" t="s">
        <v>16</v>
      </c>
      <c r="X240" t="s">
        <v>11</v>
      </c>
      <c r="Y240" t="s">
        <v>8</v>
      </c>
      <c r="Z240" t="s">
        <v>17</v>
      </c>
      <c r="AA240" t="s">
        <v>448</v>
      </c>
      <c r="AB240" t="s">
        <v>11</v>
      </c>
      <c r="AC240" t="s">
        <v>11</v>
      </c>
      <c r="AD240" t="s">
        <v>11</v>
      </c>
      <c r="AE240" s="2">
        <v>45848</v>
      </c>
      <c r="AF240" s="2"/>
      <c r="AG240" t="s">
        <v>11</v>
      </c>
      <c r="AH240" s="14">
        <f>VLOOKUP(M240,'[1]INDIAN ENTERPRISES'!$D:$D,1,0)</f>
        <v>256779415320</v>
      </c>
      <c r="AJ240" s="15">
        <f>VLOOKUP(M240,'[1]INDIAN ENTERPRISES'!$D:$L,9,0)</f>
        <v>45991</v>
      </c>
    </row>
    <row r="241" spans="1:36" hidden="1" outlineLevel="2" x14ac:dyDescent="0.2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128</v>
      </c>
      <c r="G241" s="2">
        <v>45848</v>
      </c>
      <c r="H241" t="s">
        <v>464</v>
      </c>
      <c r="I241" t="s">
        <v>98</v>
      </c>
      <c r="J241" s="2">
        <v>45848</v>
      </c>
      <c r="K241" s="2">
        <v>45854</v>
      </c>
      <c r="L241" t="s">
        <v>8</v>
      </c>
      <c r="M241" s="14">
        <v>256779421292</v>
      </c>
      <c r="N241" t="s">
        <v>9</v>
      </c>
      <c r="O241" t="s">
        <v>10</v>
      </c>
      <c r="P241" t="s">
        <v>11</v>
      </c>
      <c r="Q241" t="s">
        <v>42</v>
      </c>
      <c r="R241" t="s">
        <v>13</v>
      </c>
      <c r="S241" s="3">
        <v>-236</v>
      </c>
      <c r="T241" t="s">
        <v>14</v>
      </c>
      <c r="U241" s="3">
        <v>-20296.16</v>
      </c>
      <c r="V241" t="s">
        <v>37</v>
      </c>
      <c r="W241" t="s">
        <v>16</v>
      </c>
      <c r="X241" t="s">
        <v>11</v>
      </c>
      <c r="Y241" t="s">
        <v>8</v>
      </c>
      <c r="Z241" t="s">
        <v>17</v>
      </c>
      <c r="AA241" t="s">
        <v>465</v>
      </c>
      <c r="AB241" t="s">
        <v>11</v>
      </c>
      <c r="AC241" t="s">
        <v>11</v>
      </c>
      <c r="AD241" t="s">
        <v>11</v>
      </c>
      <c r="AE241" s="2">
        <v>45848</v>
      </c>
      <c r="AF241" s="2">
        <v>45974</v>
      </c>
      <c r="AG241" t="s">
        <v>39</v>
      </c>
      <c r="AH241" s="14" t="e">
        <f>VLOOKUP(M241,'[1]INDIAN ENTERPRISES'!$D:$D,1,0)</f>
        <v>#N/A</v>
      </c>
      <c r="AI241" t="str">
        <f>VLOOKUP(M241,'[2]CN Not in Customer books'!$D:$J,7,0)</f>
        <v>Invoice &amp; CN both not received &amp; booked</v>
      </c>
      <c r="AJ241" s="15" t="e">
        <f>VLOOKUP(M241,'[1]INDIAN ENTERPRISES'!$D:$L,9,0)</f>
        <v>#N/A</v>
      </c>
    </row>
    <row r="242" spans="1:36" hidden="1" outlineLevel="2" x14ac:dyDescent="0.2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128</v>
      </c>
      <c r="G242" s="2">
        <v>45848</v>
      </c>
      <c r="H242" t="s">
        <v>466</v>
      </c>
      <c r="I242" t="s">
        <v>98</v>
      </c>
      <c r="J242" s="2">
        <v>45848</v>
      </c>
      <c r="K242" s="2">
        <v>45854</v>
      </c>
      <c r="L242" t="s">
        <v>8</v>
      </c>
      <c r="M242" s="14">
        <v>256779421293</v>
      </c>
      <c r="N242" t="s">
        <v>9</v>
      </c>
      <c r="O242" t="s">
        <v>10</v>
      </c>
      <c r="P242" t="s">
        <v>11</v>
      </c>
      <c r="Q242" t="s">
        <v>42</v>
      </c>
      <c r="R242" t="s">
        <v>13</v>
      </c>
      <c r="S242" s="3">
        <v>-70.8</v>
      </c>
      <c r="T242" t="s">
        <v>14</v>
      </c>
      <c r="U242" s="3">
        <v>-6088.85</v>
      </c>
      <c r="V242" t="s">
        <v>37</v>
      </c>
      <c r="W242" t="s">
        <v>16</v>
      </c>
      <c r="X242" t="s">
        <v>11</v>
      </c>
      <c r="Y242" t="s">
        <v>8</v>
      </c>
      <c r="Z242" t="s">
        <v>17</v>
      </c>
      <c r="AA242" t="s">
        <v>465</v>
      </c>
      <c r="AB242" t="s">
        <v>11</v>
      </c>
      <c r="AC242" t="s">
        <v>11</v>
      </c>
      <c r="AD242" t="s">
        <v>11</v>
      </c>
      <c r="AE242" s="2">
        <v>45848</v>
      </c>
      <c r="AF242" s="2">
        <v>45974</v>
      </c>
      <c r="AG242" t="s">
        <v>39</v>
      </c>
      <c r="AH242" s="14" t="e">
        <f>VLOOKUP(M242,'[1]INDIAN ENTERPRISES'!$D:$D,1,0)</f>
        <v>#N/A</v>
      </c>
      <c r="AI242" t="str">
        <f>VLOOKUP(M242,'[2]CN Not in Customer books'!$D:$J,7,0)</f>
        <v>Invoice &amp; CN both not received &amp; booked</v>
      </c>
      <c r="AJ242" s="15" t="e">
        <f>VLOOKUP(M242,'[1]INDIAN ENTERPRISES'!$D:$L,9,0)</f>
        <v>#N/A</v>
      </c>
    </row>
    <row r="243" spans="1:36" hidden="1" outlineLevel="2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128</v>
      </c>
      <c r="G243" s="2">
        <v>45848</v>
      </c>
      <c r="H243" t="s">
        <v>467</v>
      </c>
      <c r="I243" t="s">
        <v>98</v>
      </c>
      <c r="J243" s="2">
        <v>45848</v>
      </c>
      <c r="K243" s="2">
        <v>45854</v>
      </c>
      <c r="L243" t="s">
        <v>8</v>
      </c>
      <c r="M243" s="14">
        <v>256779421294</v>
      </c>
      <c r="N243" t="s">
        <v>9</v>
      </c>
      <c r="O243" t="s">
        <v>10</v>
      </c>
      <c r="P243" t="s">
        <v>11</v>
      </c>
      <c r="Q243" t="s">
        <v>42</v>
      </c>
      <c r="R243" t="s">
        <v>13</v>
      </c>
      <c r="S243" s="3">
        <v>-79.650000000000006</v>
      </c>
      <c r="T243" t="s">
        <v>14</v>
      </c>
      <c r="U243" s="3">
        <v>-6849.95</v>
      </c>
      <c r="V243" t="s">
        <v>37</v>
      </c>
      <c r="W243" t="s">
        <v>16</v>
      </c>
      <c r="X243" t="s">
        <v>11</v>
      </c>
      <c r="Y243" t="s">
        <v>8</v>
      </c>
      <c r="Z243" t="s">
        <v>17</v>
      </c>
      <c r="AA243" t="s">
        <v>468</v>
      </c>
      <c r="AB243" t="s">
        <v>11</v>
      </c>
      <c r="AC243" t="s">
        <v>11</v>
      </c>
      <c r="AD243" t="s">
        <v>11</v>
      </c>
      <c r="AE243" s="2">
        <v>45848</v>
      </c>
      <c r="AF243" s="2">
        <v>45974</v>
      </c>
      <c r="AG243" t="s">
        <v>39</v>
      </c>
      <c r="AH243" s="14" t="e">
        <f>VLOOKUP(M243,'[1]INDIAN ENTERPRISES'!$D:$D,1,0)</f>
        <v>#N/A</v>
      </c>
      <c r="AI243" t="str">
        <f>VLOOKUP(M243,'[2]CN Not in Customer books'!$D:$J,7,0)</f>
        <v>Invoice &amp; CN both not received &amp; booked</v>
      </c>
      <c r="AJ243" s="15" t="e">
        <f>VLOOKUP(M243,'[1]INDIAN ENTERPRISES'!$D:$L,9,0)</f>
        <v>#N/A</v>
      </c>
    </row>
    <row r="244" spans="1:36" hidden="1" outlineLevel="2" x14ac:dyDescent="0.2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128</v>
      </c>
      <c r="G244" s="2">
        <v>45848</v>
      </c>
      <c r="H244" t="s">
        <v>469</v>
      </c>
      <c r="I244" t="s">
        <v>98</v>
      </c>
      <c r="J244" s="2">
        <v>45848</v>
      </c>
      <c r="K244" s="2">
        <v>45854</v>
      </c>
      <c r="L244" t="s">
        <v>8</v>
      </c>
      <c r="M244" s="14">
        <v>256779421295</v>
      </c>
      <c r="N244" t="s">
        <v>9</v>
      </c>
      <c r="O244" t="s">
        <v>10</v>
      </c>
      <c r="P244" t="s">
        <v>11</v>
      </c>
      <c r="Q244" t="s">
        <v>42</v>
      </c>
      <c r="R244" t="s">
        <v>13</v>
      </c>
      <c r="S244" s="3">
        <v>-3.54</v>
      </c>
      <c r="T244" t="s">
        <v>14</v>
      </c>
      <c r="U244" s="3">
        <v>-304.44</v>
      </c>
      <c r="V244" t="s">
        <v>37</v>
      </c>
      <c r="W244" t="s">
        <v>16</v>
      </c>
      <c r="X244" t="s">
        <v>11</v>
      </c>
      <c r="Y244" t="s">
        <v>8</v>
      </c>
      <c r="Z244" t="s">
        <v>17</v>
      </c>
      <c r="AA244" t="s">
        <v>470</v>
      </c>
      <c r="AB244" t="s">
        <v>11</v>
      </c>
      <c r="AC244" t="s">
        <v>11</v>
      </c>
      <c r="AD244" t="s">
        <v>11</v>
      </c>
      <c r="AE244" s="2">
        <v>45848</v>
      </c>
      <c r="AF244" s="2">
        <v>45974</v>
      </c>
      <c r="AG244" t="s">
        <v>39</v>
      </c>
      <c r="AH244" s="14" t="e">
        <f>VLOOKUP(M244,'[1]INDIAN ENTERPRISES'!$D:$D,1,0)</f>
        <v>#N/A</v>
      </c>
      <c r="AI244" t="str">
        <f>VLOOKUP(M244,'[2]CN Not in Customer books'!$D:$J,7,0)</f>
        <v>Invoice &amp; CN both not received &amp; booked</v>
      </c>
      <c r="AJ244" s="15" t="e">
        <f>VLOOKUP(M244,'[1]INDIAN ENTERPRISES'!$D:$L,9,0)</f>
        <v>#N/A</v>
      </c>
    </row>
    <row r="245" spans="1:36" hidden="1" outlineLevel="2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128</v>
      </c>
      <c r="G245" s="2">
        <v>45848</v>
      </c>
      <c r="H245" t="s">
        <v>471</v>
      </c>
      <c r="I245" t="s">
        <v>98</v>
      </c>
      <c r="J245" s="2">
        <v>45848</v>
      </c>
      <c r="K245" s="2">
        <v>45854</v>
      </c>
      <c r="L245" t="s">
        <v>8</v>
      </c>
      <c r="M245" s="14">
        <v>256779421296</v>
      </c>
      <c r="N245" t="s">
        <v>9</v>
      </c>
      <c r="O245" t="s">
        <v>10</v>
      </c>
      <c r="P245" t="s">
        <v>11</v>
      </c>
      <c r="Q245" t="s">
        <v>42</v>
      </c>
      <c r="R245" t="s">
        <v>13</v>
      </c>
      <c r="S245" s="3">
        <v>-3.54</v>
      </c>
      <c r="T245" t="s">
        <v>14</v>
      </c>
      <c r="U245" s="3">
        <v>-304.44</v>
      </c>
      <c r="V245" t="s">
        <v>37</v>
      </c>
      <c r="W245" t="s">
        <v>16</v>
      </c>
      <c r="X245" t="s">
        <v>11</v>
      </c>
      <c r="Y245" t="s">
        <v>8</v>
      </c>
      <c r="Z245" t="s">
        <v>17</v>
      </c>
      <c r="AA245" t="s">
        <v>472</v>
      </c>
      <c r="AB245" t="s">
        <v>11</v>
      </c>
      <c r="AC245" t="s">
        <v>11</v>
      </c>
      <c r="AD245" t="s">
        <v>11</v>
      </c>
      <c r="AE245" s="2">
        <v>45848</v>
      </c>
      <c r="AF245" s="2">
        <v>45974</v>
      </c>
      <c r="AG245" t="s">
        <v>39</v>
      </c>
      <c r="AH245" s="14" t="e">
        <f>VLOOKUP(M245,'[1]INDIAN ENTERPRISES'!$D:$D,1,0)</f>
        <v>#N/A</v>
      </c>
      <c r="AI245" t="str">
        <f>VLOOKUP(M245,'[2]CN Not in Customer books'!$D:$J,7,0)</f>
        <v>Invoice &amp; CN both not received &amp; booked</v>
      </c>
      <c r="AJ245" s="15" t="e">
        <f>VLOOKUP(M245,'[1]INDIAN ENTERPRISES'!$D:$L,9,0)</f>
        <v>#N/A</v>
      </c>
    </row>
    <row r="246" spans="1:36" hidden="1" outlineLevel="2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128</v>
      </c>
      <c r="G246" s="2">
        <v>45848</v>
      </c>
      <c r="H246" t="s">
        <v>473</v>
      </c>
      <c r="I246" t="s">
        <v>98</v>
      </c>
      <c r="J246" s="2">
        <v>45848</v>
      </c>
      <c r="K246" s="2">
        <v>45854</v>
      </c>
      <c r="L246" t="s">
        <v>8</v>
      </c>
      <c r="M246" s="14">
        <v>256779421297</v>
      </c>
      <c r="N246" t="s">
        <v>9</v>
      </c>
      <c r="O246" t="s">
        <v>10</v>
      </c>
      <c r="P246" t="s">
        <v>11</v>
      </c>
      <c r="Q246" t="s">
        <v>42</v>
      </c>
      <c r="R246" t="s">
        <v>13</v>
      </c>
      <c r="S246" s="3">
        <v>-236</v>
      </c>
      <c r="T246" t="s">
        <v>14</v>
      </c>
      <c r="U246" s="3">
        <v>-20296.16</v>
      </c>
      <c r="V246" t="s">
        <v>37</v>
      </c>
      <c r="W246" t="s">
        <v>16</v>
      </c>
      <c r="X246" t="s">
        <v>11</v>
      </c>
      <c r="Y246" t="s">
        <v>8</v>
      </c>
      <c r="Z246" t="s">
        <v>17</v>
      </c>
      <c r="AA246" t="s">
        <v>474</v>
      </c>
      <c r="AB246" t="s">
        <v>11</v>
      </c>
      <c r="AC246" t="s">
        <v>11</v>
      </c>
      <c r="AD246" t="s">
        <v>11</v>
      </c>
      <c r="AE246" s="2">
        <v>45848</v>
      </c>
      <c r="AF246" s="2">
        <v>45974</v>
      </c>
      <c r="AG246" t="s">
        <v>39</v>
      </c>
      <c r="AH246" s="14" t="e">
        <f>VLOOKUP(M246,'[1]INDIAN ENTERPRISES'!$D:$D,1,0)</f>
        <v>#N/A</v>
      </c>
      <c r="AI246" t="str">
        <f>VLOOKUP(M246,'[2]CN Not in Customer books'!$D:$J,7,0)</f>
        <v>Invoice &amp; CN both not received &amp; booked</v>
      </c>
      <c r="AJ246" s="15" t="e">
        <f>VLOOKUP(M246,'[1]INDIAN ENTERPRISES'!$D:$L,9,0)</f>
        <v>#N/A</v>
      </c>
    </row>
    <row r="247" spans="1:36" hidden="1" outlineLevel="2" x14ac:dyDescent="0.25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128</v>
      </c>
      <c r="G247" s="2">
        <v>45848</v>
      </c>
      <c r="H247" t="s">
        <v>475</v>
      </c>
      <c r="I247" t="s">
        <v>98</v>
      </c>
      <c r="J247" s="2">
        <v>45848</v>
      </c>
      <c r="K247" s="2">
        <v>45854</v>
      </c>
      <c r="L247" t="s">
        <v>8</v>
      </c>
      <c r="M247" s="14">
        <v>256779421298</v>
      </c>
      <c r="N247" t="s">
        <v>9</v>
      </c>
      <c r="O247" t="s">
        <v>10</v>
      </c>
      <c r="P247" t="s">
        <v>11</v>
      </c>
      <c r="Q247" t="s">
        <v>42</v>
      </c>
      <c r="R247" t="s">
        <v>13</v>
      </c>
      <c r="S247" s="3">
        <v>-369.34</v>
      </c>
      <c r="T247" t="s">
        <v>14</v>
      </c>
      <c r="U247" s="3">
        <v>-31763.49</v>
      </c>
      <c r="V247" t="s">
        <v>37</v>
      </c>
      <c r="W247" t="s">
        <v>16</v>
      </c>
      <c r="X247" t="s">
        <v>11</v>
      </c>
      <c r="Y247" t="s">
        <v>8</v>
      </c>
      <c r="Z247" t="s">
        <v>17</v>
      </c>
      <c r="AA247" t="s">
        <v>476</v>
      </c>
      <c r="AB247" t="s">
        <v>11</v>
      </c>
      <c r="AC247" t="s">
        <v>11</v>
      </c>
      <c r="AD247" t="s">
        <v>11</v>
      </c>
      <c r="AE247" s="2">
        <v>45848</v>
      </c>
      <c r="AF247" s="2">
        <v>45974</v>
      </c>
      <c r="AG247" t="s">
        <v>39</v>
      </c>
      <c r="AH247" s="14" t="e">
        <f>VLOOKUP(M247,'[1]INDIAN ENTERPRISES'!$D:$D,1,0)</f>
        <v>#N/A</v>
      </c>
      <c r="AI247" t="str">
        <f>VLOOKUP(M247,'[2]CN Not in Customer books'!$D:$J,7,0)</f>
        <v>Invoice &amp; CN both not received &amp; booked</v>
      </c>
      <c r="AJ247" s="15" t="e">
        <f>VLOOKUP(M247,'[1]INDIAN ENTERPRISES'!$D:$L,9,0)</f>
        <v>#N/A</v>
      </c>
    </row>
    <row r="248" spans="1:36" hidden="1" outlineLevel="2" x14ac:dyDescent="0.25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128</v>
      </c>
      <c r="G248" s="2">
        <v>45848</v>
      </c>
      <c r="H248" t="s">
        <v>477</v>
      </c>
      <c r="I248" t="s">
        <v>98</v>
      </c>
      <c r="J248" s="2">
        <v>45848</v>
      </c>
      <c r="K248" s="2">
        <v>45854</v>
      </c>
      <c r="L248" t="s">
        <v>8</v>
      </c>
      <c r="M248" s="14">
        <v>256779421299</v>
      </c>
      <c r="N248" t="s">
        <v>9</v>
      </c>
      <c r="O248" t="s">
        <v>10</v>
      </c>
      <c r="P248" t="s">
        <v>11</v>
      </c>
      <c r="Q248" t="s">
        <v>42</v>
      </c>
      <c r="R248" t="s">
        <v>13</v>
      </c>
      <c r="S248" s="3">
        <v>-226.56</v>
      </c>
      <c r="T248" t="s">
        <v>14</v>
      </c>
      <c r="U248" s="3">
        <v>-19484.310000000001</v>
      </c>
      <c r="V248" t="s">
        <v>37</v>
      </c>
      <c r="W248" t="s">
        <v>16</v>
      </c>
      <c r="X248" t="s">
        <v>11</v>
      </c>
      <c r="Y248" t="s">
        <v>8</v>
      </c>
      <c r="Z248" t="s">
        <v>17</v>
      </c>
      <c r="AA248" t="s">
        <v>478</v>
      </c>
      <c r="AB248" t="s">
        <v>11</v>
      </c>
      <c r="AC248" t="s">
        <v>11</v>
      </c>
      <c r="AD248" t="s">
        <v>11</v>
      </c>
      <c r="AE248" s="2">
        <v>45848</v>
      </c>
      <c r="AF248" s="2">
        <v>45974</v>
      </c>
      <c r="AG248" t="s">
        <v>39</v>
      </c>
      <c r="AH248" s="14" t="e">
        <f>VLOOKUP(M248,'[1]INDIAN ENTERPRISES'!$D:$D,1,0)</f>
        <v>#N/A</v>
      </c>
      <c r="AI248" t="str">
        <f>VLOOKUP(M248,'[2]CN Not in Customer books'!$D:$J,7,0)</f>
        <v>Invoice &amp; CN both not received &amp; booked</v>
      </c>
      <c r="AJ248" s="15" t="e">
        <f>VLOOKUP(M248,'[1]INDIAN ENTERPRISES'!$D:$L,9,0)</f>
        <v>#N/A</v>
      </c>
    </row>
    <row r="249" spans="1:36" hidden="1" outlineLevel="2" x14ac:dyDescent="0.25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128</v>
      </c>
      <c r="G249" s="2">
        <v>45848</v>
      </c>
      <c r="H249" t="s">
        <v>479</v>
      </c>
      <c r="I249" t="s">
        <v>98</v>
      </c>
      <c r="J249" s="2">
        <v>45848</v>
      </c>
      <c r="K249" s="2">
        <v>45854</v>
      </c>
      <c r="L249" t="s">
        <v>8</v>
      </c>
      <c r="M249" s="14">
        <v>256779421300</v>
      </c>
      <c r="N249" t="s">
        <v>9</v>
      </c>
      <c r="O249" t="s">
        <v>10</v>
      </c>
      <c r="P249" t="s">
        <v>11</v>
      </c>
      <c r="Q249" t="s">
        <v>42</v>
      </c>
      <c r="R249" t="s">
        <v>13</v>
      </c>
      <c r="S249" s="3">
        <v>-236</v>
      </c>
      <c r="T249" t="s">
        <v>14</v>
      </c>
      <c r="U249" s="3">
        <v>-20296.16</v>
      </c>
      <c r="V249" t="s">
        <v>37</v>
      </c>
      <c r="W249" t="s">
        <v>16</v>
      </c>
      <c r="X249" t="s">
        <v>11</v>
      </c>
      <c r="Y249" t="s">
        <v>8</v>
      </c>
      <c r="Z249" t="s">
        <v>17</v>
      </c>
      <c r="AA249" t="s">
        <v>480</v>
      </c>
      <c r="AB249" t="s">
        <v>11</v>
      </c>
      <c r="AC249" t="s">
        <v>11</v>
      </c>
      <c r="AD249" t="s">
        <v>11</v>
      </c>
      <c r="AE249" s="2">
        <v>45848</v>
      </c>
      <c r="AF249" s="2">
        <v>45974</v>
      </c>
      <c r="AG249" t="s">
        <v>39</v>
      </c>
      <c r="AH249" s="14" t="e">
        <f>VLOOKUP(M249,'[1]INDIAN ENTERPRISES'!$D:$D,1,0)</f>
        <v>#N/A</v>
      </c>
      <c r="AI249" t="str">
        <f>VLOOKUP(M249,'[2]CN Not in Customer books'!$D:$J,7,0)</f>
        <v>Invoice &amp; CN both not received &amp; booked</v>
      </c>
      <c r="AJ249" s="15" t="e">
        <f>VLOOKUP(M249,'[1]INDIAN ENTERPRISES'!$D:$L,9,0)</f>
        <v>#N/A</v>
      </c>
    </row>
    <row r="250" spans="1:36" hidden="1" outlineLevel="2" x14ac:dyDescent="0.25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128</v>
      </c>
      <c r="G250" s="2">
        <v>45848</v>
      </c>
      <c r="H250" t="s">
        <v>481</v>
      </c>
      <c r="I250" t="s">
        <v>98</v>
      </c>
      <c r="J250" s="2">
        <v>45848</v>
      </c>
      <c r="K250" s="2">
        <v>45854</v>
      </c>
      <c r="L250" t="s">
        <v>8</v>
      </c>
      <c r="M250" s="14">
        <v>256779421301</v>
      </c>
      <c r="N250" t="s">
        <v>9</v>
      </c>
      <c r="O250" t="s">
        <v>10</v>
      </c>
      <c r="P250" t="s">
        <v>11</v>
      </c>
      <c r="Q250" t="s">
        <v>42</v>
      </c>
      <c r="R250" t="s">
        <v>13</v>
      </c>
      <c r="S250" s="3">
        <v>-70.8</v>
      </c>
      <c r="T250" t="s">
        <v>14</v>
      </c>
      <c r="U250" s="3">
        <v>-6088.85</v>
      </c>
      <c r="V250" t="s">
        <v>37</v>
      </c>
      <c r="W250" t="s">
        <v>16</v>
      </c>
      <c r="X250" t="s">
        <v>11</v>
      </c>
      <c r="Y250" t="s">
        <v>8</v>
      </c>
      <c r="Z250" t="s">
        <v>17</v>
      </c>
      <c r="AA250" t="s">
        <v>482</v>
      </c>
      <c r="AB250" t="s">
        <v>11</v>
      </c>
      <c r="AC250" t="s">
        <v>11</v>
      </c>
      <c r="AD250" t="s">
        <v>11</v>
      </c>
      <c r="AE250" s="2">
        <v>45848</v>
      </c>
      <c r="AF250" s="2">
        <v>45974</v>
      </c>
      <c r="AG250" t="s">
        <v>39</v>
      </c>
      <c r="AH250" s="14" t="e">
        <f>VLOOKUP(M250,'[1]INDIAN ENTERPRISES'!$D:$D,1,0)</f>
        <v>#N/A</v>
      </c>
      <c r="AI250" t="str">
        <f>VLOOKUP(M250,'[2]CN Not in Customer books'!$D:$J,7,0)</f>
        <v>Invoice &amp; CN both not received &amp; booked</v>
      </c>
      <c r="AJ250" s="15" t="e">
        <f>VLOOKUP(M250,'[1]INDIAN ENTERPRISES'!$D:$L,9,0)</f>
        <v>#N/A</v>
      </c>
    </row>
    <row r="251" spans="1:36" hidden="1" outlineLevel="2" x14ac:dyDescent="0.25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128</v>
      </c>
      <c r="G251" s="2">
        <v>45848</v>
      </c>
      <c r="H251" t="s">
        <v>483</v>
      </c>
      <c r="I251" t="s">
        <v>98</v>
      </c>
      <c r="J251" s="2">
        <v>45848</v>
      </c>
      <c r="K251" s="2">
        <v>45854</v>
      </c>
      <c r="L251" t="s">
        <v>8</v>
      </c>
      <c r="M251" s="14">
        <v>256779421302</v>
      </c>
      <c r="N251" t="s">
        <v>9</v>
      </c>
      <c r="O251" t="s">
        <v>10</v>
      </c>
      <c r="P251" t="s">
        <v>11</v>
      </c>
      <c r="Q251" t="s">
        <v>42</v>
      </c>
      <c r="R251" t="s">
        <v>13</v>
      </c>
      <c r="S251" s="3">
        <v>-3.54</v>
      </c>
      <c r="T251" t="s">
        <v>14</v>
      </c>
      <c r="U251" s="3">
        <v>-304.44</v>
      </c>
      <c r="V251" t="s">
        <v>37</v>
      </c>
      <c r="W251" t="s">
        <v>16</v>
      </c>
      <c r="X251" t="s">
        <v>11</v>
      </c>
      <c r="Y251" t="s">
        <v>8</v>
      </c>
      <c r="Z251" t="s">
        <v>17</v>
      </c>
      <c r="AA251" t="s">
        <v>484</v>
      </c>
      <c r="AB251" t="s">
        <v>11</v>
      </c>
      <c r="AC251" t="s">
        <v>11</v>
      </c>
      <c r="AD251" t="s">
        <v>11</v>
      </c>
      <c r="AE251" s="2">
        <v>45848</v>
      </c>
      <c r="AF251" s="2">
        <v>45974</v>
      </c>
      <c r="AG251" t="s">
        <v>39</v>
      </c>
      <c r="AH251" s="14" t="e">
        <f>VLOOKUP(M251,'[1]INDIAN ENTERPRISES'!$D:$D,1,0)</f>
        <v>#N/A</v>
      </c>
      <c r="AI251" t="str">
        <f>VLOOKUP(M251,'[2]CN Not in Customer books'!$D:$J,7,0)</f>
        <v>CN not received</v>
      </c>
      <c r="AJ251" s="15" t="e">
        <f>VLOOKUP(M251,'[1]INDIAN ENTERPRISES'!$D:$L,9,0)</f>
        <v>#N/A</v>
      </c>
    </row>
    <row r="252" spans="1:36" hidden="1" outlineLevel="2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128</v>
      </c>
      <c r="G252" s="2">
        <v>45848</v>
      </c>
      <c r="H252" t="s">
        <v>485</v>
      </c>
      <c r="I252" t="s">
        <v>98</v>
      </c>
      <c r="J252" s="2">
        <v>45848</v>
      </c>
      <c r="K252" s="2">
        <v>45854</v>
      </c>
      <c r="L252" t="s">
        <v>8</v>
      </c>
      <c r="M252" s="14">
        <v>256779421303</v>
      </c>
      <c r="N252" t="s">
        <v>9</v>
      </c>
      <c r="O252" t="s">
        <v>10</v>
      </c>
      <c r="P252" t="s">
        <v>11</v>
      </c>
      <c r="Q252" t="s">
        <v>42</v>
      </c>
      <c r="R252" t="s">
        <v>13</v>
      </c>
      <c r="S252" s="3">
        <v>-84.96</v>
      </c>
      <c r="T252" t="s">
        <v>14</v>
      </c>
      <c r="U252" s="3">
        <v>-7306.62</v>
      </c>
      <c r="V252" t="s">
        <v>37</v>
      </c>
      <c r="W252" t="s">
        <v>16</v>
      </c>
      <c r="X252" t="s">
        <v>11</v>
      </c>
      <c r="Y252" t="s">
        <v>8</v>
      </c>
      <c r="Z252" t="s">
        <v>17</v>
      </c>
      <c r="AA252" t="s">
        <v>486</v>
      </c>
      <c r="AB252" t="s">
        <v>11</v>
      </c>
      <c r="AC252" t="s">
        <v>11</v>
      </c>
      <c r="AD252" t="s">
        <v>11</v>
      </c>
      <c r="AE252" s="2">
        <v>45848</v>
      </c>
      <c r="AF252" s="2">
        <v>45974</v>
      </c>
      <c r="AG252" t="s">
        <v>39</v>
      </c>
      <c r="AH252" s="14" t="e">
        <f>VLOOKUP(M252,'[1]INDIAN ENTERPRISES'!$D:$D,1,0)</f>
        <v>#N/A</v>
      </c>
      <c r="AI252" t="str">
        <f>VLOOKUP(M252,'[2]CN Not in Customer books'!$D:$J,7,0)</f>
        <v>Invoice &amp; CN both not received &amp; booked</v>
      </c>
      <c r="AJ252" s="15" t="e">
        <f>VLOOKUP(M252,'[1]INDIAN ENTERPRISES'!$D:$L,9,0)</f>
        <v>#N/A</v>
      </c>
    </row>
    <row r="253" spans="1:36" hidden="1" outlineLevel="2" x14ac:dyDescent="0.25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128</v>
      </c>
      <c r="G253" s="2">
        <v>45848</v>
      </c>
      <c r="H253" t="s">
        <v>487</v>
      </c>
      <c r="I253" t="s">
        <v>98</v>
      </c>
      <c r="J253" s="2">
        <v>45848</v>
      </c>
      <c r="K253" s="2">
        <v>45854</v>
      </c>
      <c r="L253" t="s">
        <v>8</v>
      </c>
      <c r="M253" s="14">
        <v>256779421304</v>
      </c>
      <c r="N253" t="s">
        <v>9</v>
      </c>
      <c r="O253" t="s">
        <v>10</v>
      </c>
      <c r="P253" t="s">
        <v>11</v>
      </c>
      <c r="Q253" t="s">
        <v>42</v>
      </c>
      <c r="R253" t="s">
        <v>13</v>
      </c>
      <c r="S253" s="3">
        <v>-51.12</v>
      </c>
      <c r="T253" t="s">
        <v>14</v>
      </c>
      <c r="U253" s="3">
        <v>-4396.3500000000004</v>
      </c>
      <c r="V253" t="s">
        <v>37</v>
      </c>
      <c r="W253" t="s">
        <v>16</v>
      </c>
      <c r="X253" t="s">
        <v>11</v>
      </c>
      <c r="Y253" t="s">
        <v>8</v>
      </c>
      <c r="Z253" t="s">
        <v>17</v>
      </c>
      <c r="AA253" t="s">
        <v>486</v>
      </c>
      <c r="AB253" t="s">
        <v>11</v>
      </c>
      <c r="AC253" t="s">
        <v>11</v>
      </c>
      <c r="AD253" t="s">
        <v>11</v>
      </c>
      <c r="AE253" s="2">
        <v>45848</v>
      </c>
      <c r="AF253" s="2">
        <v>45974</v>
      </c>
      <c r="AG253" t="s">
        <v>39</v>
      </c>
      <c r="AH253" s="14" t="e">
        <f>VLOOKUP(M253,'[1]INDIAN ENTERPRISES'!$D:$D,1,0)</f>
        <v>#N/A</v>
      </c>
      <c r="AI253" t="str">
        <f>VLOOKUP(M253,'[2]CN Not in Customer books'!$D:$J,7,0)</f>
        <v>Invoice &amp; CN both not received &amp; booked</v>
      </c>
      <c r="AJ253" s="15" t="e">
        <f>VLOOKUP(M253,'[1]INDIAN ENTERPRISES'!$D:$L,9,0)</f>
        <v>#N/A</v>
      </c>
    </row>
    <row r="254" spans="1:36" hidden="1" outlineLevel="2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128</v>
      </c>
      <c r="G254" s="2">
        <v>45848</v>
      </c>
      <c r="H254" t="s">
        <v>488</v>
      </c>
      <c r="I254" t="s">
        <v>98</v>
      </c>
      <c r="J254" s="2">
        <v>45848</v>
      </c>
      <c r="K254" s="2">
        <v>45854</v>
      </c>
      <c r="L254" t="s">
        <v>8</v>
      </c>
      <c r="M254" s="14">
        <v>256779421305</v>
      </c>
      <c r="N254" t="s">
        <v>9</v>
      </c>
      <c r="O254" t="s">
        <v>10</v>
      </c>
      <c r="P254" t="s">
        <v>11</v>
      </c>
      <c r="Q254" t="s">
        <v>42</v>
      </c>
      <c r="R254" t="s">
        <v>13</v>
      </c>
      <c r="S254" s="3">
        <v>-183.35</v>
      </c>
      <c r="T254" t="s">
        <v>14</v>
      </c>
      <c r="U254" s="3">
        <v>-15768.22</v>
      </c>
      <c r="V254" t="s">
        <v>37</v>
      </c>
      <c r="W254" t="s">
        <v>16</v>
      </c>
      <c r="X254" t="s">
        <v>11</v>
      </c>
      <c r="Y254" t="s">
        <v>8</v>
      </c>
      <c r="Z254" t="s">
        <v>17</v>
      </c>
      <c r="AA254" t="s">
        <v>489</v>
      </c>
      <c r="AB254" t="s">
        <v>11</v>
      </c>
      <c r="AC254" t="s">
        <v>11</v>
      </c>
      <c r="AD254" t="s">
        <v>11</v>
      </c>
      <c r="AE254" s="2">
        <v>45848</v>
      </c>
      <c r="AF254" s="2">
        <v>45974</v>
      </c>
      <c r="AG254" t="s">
        <v>39</v>
      </c>
      <c r="AH254" s="14" t="e">
        <f>VLOOKUP(M254,'[1]INDIAN ENTERPRISES'!$D:$D,1,0)</f>
        <v>#N/A</v>
      </c>
      <c r="AI254" t="str">
        <f>VLOOKUP(M254,'[2]CN Not in Customer books'!$D:$J,7,0)</f>
        <v>Invoice &amp; CN both not received &amp; booked</v>
      </c>
      <c r="AJ254" s="15" t="e">
        <f>VLOOKUP(M254,'[1]INDIAN ENTERPRISES'!$D:$L,9,0)</f>
        <v>#N/A</v>
      </c>
    </row>
    <row r="255" spans="1:36" hidden="1" outlineLevel="2" x14ac:dyDescent="0.25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128</v>
      </c>
      <c r="G255" s="2">
        <v>45848</v>
      </c>
      <c r="H255" t="s">
        <v>490</v>
      </c>
      <c r="I255" t="s">
        <v>98</v>
      </c>
      <c r="J255" s="2">
        <v>45848</v>
      </c>
      <c r="K255" s="2">
        <v>45854</v>
      </c>
      <c r="L255" t="s">
        <v>8</v>
      </c>
      <c r="M255" s="14">
        <v>256779421306</v>
      </c>
      <c r="N255" t="s">
        <v>9</v>
      </c>
      <c r="O255" t="s">
        <v>10</v>
      </c>
      <c r="P255" t="s">
        <v>11</v>
      </c>
      <c r="Q255" t="s">
        <v>42</v>
      </c>
      <c r="R255" t="s">
        <v>13</v>
      </c>
      <c r="S255" s="3">
        <v>-3.1</v>
      </c>
      <c r="T255" t="s">
        <v>14</v>
      </c>
      <c r="U255" s="3">
        <v>-266.60000000000002</v>
      </c>
      <c r="V255" t="s">
        <v>37</v>
      </c>
      <c r="W255" t="s">
        <v>16</v>
      </c>
      <c r="X255" t="s">
        <v>11</v>
      </c>
      <c r="Y255" t="s">
        <v>8</v>
      </c>
      <c r="Z255" t="s">
        <v>17</v>
      </c>
      <c r="AA255" t="s">
        <v>491</v>
      </c>
      <c r="AB255" t="s">
        <v>11</v>
      </c>
      <c r="AC255" t="s">
        <v>11</v>
      </c>
      <c r="AD255" t="s">
        <v>11</v>
      </c>
      <c r="AE255" s="2">
        <v>45848</v>
      </c>
      <c r="AF255" s="2">
        <v>45974</v>
      </c>
      <c r="AG255" t="s">
        <v>39</v>
      </c>
      <c r="AH255" s="14" t="e">
        <f>VLOOKUP(M255,'[1]INDIAN ENTERPRISES'!$D:$D,1,0)</f>
        <v>#N/A</v>
      </c>
      <c r="AI255" t="str">
        <f>VLOOKUP(M255,'[2]CN Not in Customer books'!$D:$J,7,0)</f>
        <v>Invoice &amp; CN both not received &amp; booked</v>
      </c>
      <c r="AJ255" s="15" t="e">
        <f>VLOOKUP(M255,'[1]INDIAN ENTERPRISES'!$D:$L,9,0)</f>
        <v>#N/A</v>
      </c>
    </row>
    <row r="256" spans="1:36" hidden="1" outlineLevel="2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128</v>
      </c>
      <c r="G256" s="2">
        <v>45848</v>
      </c>
      <c r="H256" t="s">
        <v>492</v>
      </c>
      <c r="I256" t="s">
        <v>98</v>
      </c>
      <c r="J256" s="2">
        <v>45848</v>
      </c>
      <c r="K256" s="2">
        <v>45854</v>
      </c>
      <c r="L256" t="s">
        <v>8</v>
      </c>
      <c r="M256" s="14">
        <v>256779421307</v>
      </c>
      <c r="N256" t="s">
        <v>9</v>
      </c>
      <c r="O256" t="s">
        <v>10</v>
      </c>
      <c r="P256" t="s">
        <v>11</v>
      </c>
      <c r="Q256" t="s">
        <v>42</v>
      </c>
      <c r="R256" t="s">
        <v>13</v>
      </c>
      <c r="S256" s="3">
        <v>-553.87</v>
      </c>
      <c r="T256" t="s">
        <v>14</v>
      </c>
      <c r="U256" s="3">
        <v>-47633.19</v>
      </c>
      <c r="V256" t="s">
        <v>37</v>
      </c>
      <c r="W256" t="s">
        <v>16</v>
      </c>
      <c r="X256" t="s">
        <v>11</v>
      </c>
      <c r="Y256" t="s">
        <v>8</v>
      </c>
      <c r="Z256" t="s">
        <v>17</v>
      </c>
      <c r="AA256" t="s">
        <v>493</v>
      </c>
      <c r="AB256" t="s">
        <v>11</v>
      </c>
      <c r="AC256" t="s">
        <v>11</v>
      </c>
      <c r="AD256" t="s">
        <v>11</v>
      </c>
      <c r="AE256" s="2">
        <v>45848</v>
      </c>
      <c r="AF256" s="2">
        <v>45974</v>
      </c>
      <c r="AG256" t="s">
        <v>39</v>
      </c>
      <c r="AH256" s="14" t="e">
        <f>VLOOKUP(M256,'[1]INDIAN ENTERPRISES'!$D:$D,1,0)</f>
        <v>#N/A</v>
      </c>
      <c r="AI256" t="str">
        <f>VLOOKUP(M256,'[2]CN Not in Customer books'!$D:$J,7,0)</f>
        <v>Invoice &amp; CN both not received &amp; booked</v>
      </c>
      <c r="AJ256" s="15" t="e">
        <f>VLOOKUP(M256,'[1]INDIAN ENTERPRISES'!$D:$L,9,0)</f>
        <v>#N/A</v>
      </c>
    </row>
    <row r="257" spans="1:36" hidden="1" outlineLevel="2" x14ac:dyDescent="0.25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128</v>
      </c>
      <c r="G257" s="2">
        <v>45848</v>
      </c>
      <c r="H257" t="s">
        <v>494</v>
      </c>
      <c r="I257" t="s">
        <v>98</v>
      </c>
      <c r="J257" s="2">
        <v>45848</v>
      </c>
      <c r="K257" s="2">
        <v>45854</v>
      </c>
      <c r="L257" t="s">
        <v>8</v>
      </c>
      <c r="M257" s="14">
        <v>256779421308</v>
      </c>
      <c r="N257" t="s">
        <v>9</v>
      </c>
      <c r="O257" t="s">
        <v>10</v>
      </c>
      <c r="P257" t="s">
        <v>11</v>
      </c>
      <c r="Q257" t="s">
        <v>42</v>
      </c>
      <c r="R257" t="s">
        <v>13</v>
      </c>
      <c r="S257" s="3">
        <v>-424.8</v>
      </c>
      <c r="T257" t="s">
        <v>14</v>
      </c>
      <c r="U257" s="3">
        <v>-36533.08</v>
      </c>
      <c r="V257" t="s">
        <v>37</v>
      </c>
      <c r="W257" t="s">
        <v>16</v>
      </c>
      <c r="X257" t="s">
        <v>11</v>
      </c>
      <c r="Y257" t="s">
        <v>8</v>
      </c>
      <c r="Z257" t="s">
        <v>17</v>
      </c>
      <c r="AA257" t="s">
        <v>495</v>
      </c>
      <c r="AB257" t="s">
        <v>11</v>
      </c>
      <c r="AC257" t="s">
        <v>11</v>
      </c>
      <c r="AD257" t="s">
        <v>11</v>
      </c>
      <c r="AE257" s="2">
        <v>45848</v>
      </c>
      <c r="AF257" s="2">
        <v>45974</v>
      </c>
      <c r="AG257" t="s">
        <v>39</v>
      </c>
      <c r="AH257" s="14" t="e">
        <f>VLOOKUP(M257,'[1]INDIAN ENTERPRISES'!$D:$D,1,0)</f>
        <v>#N/A</v>
      </c>
      <c r="AI257" t="str">
        <f>VLOOKUP(M257,'[2]CN Not in Customer books'!$D:$J,7,0)</f>
        <v>Invoice &amp; CN both not received &amp; booked</v>
      </c>
      <c r="AJ257" s="15" t="e">
        <f>VLOOKUP(M257,'[1]INDIAN ENTERPRISES'!$D:$L,9,0)</f>
        <v>#N/A</v>
      </c>
    </row>
    <row r="258" spans="1:36" hidden="1" outlineLevel="2" x14ac:dyDescent="0.25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128</v>
      </c>
      <c r="G258" s="2">
        <v>45848</v>
      </c>
      <c r="H258" t="s">
        <v>496</v>
      </c>
      <c r="I258" t="s">
        <v>98</v>
      </c>
      <c r="J258" s="2">
        <v>45848</v>
      </c>
      <c r="K258" s="2">
        <v>45854</v>
      </c>
      <c r="L258" t="s">
        <v>8</v>
      </c>
      <c r="M258" s="14">
        <v>256779421309</v>
      </c>
      <c r="N258" t="s">
        <v>9</v>
      </c>
      <c r="O258" t="s">
        <v>10</v>
      </c>
      <c r="P258" t="s">
        <v>11</v>
      </c>
      <c r="Q258" t="s">
        <v>42</v>
      </c>
      <c r="R258" t="s">
        <v>13</v>
      </c>
      <c r="S258" s="3">
        <v>-70.8</v>
      </c>
      <c r="T258" t="s">
        <v>14</v>
      </c>
      <c r="U258" s="3">
        <v>-6088.85</v>
      </c>
      <c r="V258" t="s">
        <v>37</v>
      </c>
      <c r="W258" t="s">
        <v>16</v>
      </c>
      <c r="X258" t="s">
        <v>11</v>
      </c>
      <c r="Y258" t="s">
        <v>8</v>
      </c>
      <c r="Z258" t="s">
        <v>17</v>
      </c>
      <c r="AA258" t="s">
        <v>497</v>
      </c>
      <c r="AB258" t="s">
        <v>11</v>
      </c>
      <c r="AC258" t="s">
        <v>11</v>
      </c>
      <c r="AD258" t="s">
        <v>11</v>
      </c>
      <c r="AE258" s="2">
        <v>45848</v>
      </c>
      <c r="AF258" s="2">
        <v>45974</v>
      </c>
      <c r="AG258" t="s">
        <v>39</v>
      </c>
      <c r="AH258" s="14" t="e">
        <f>VLOOKUP(M258,'[1]INDIAN ENTERPRISES'!$D:$D,1,0)</f>
        <v>#N/A</v>
      </c>
      <c r="AI258" t="str">
        <f>VLOOKUP(M258,'[2]CN Not in Customer books'!$D:$J,7,0)</f>
        <v>Invoice &amp; CN both not received &amp; booked</v>
      </c>
      <c r="AJ258" s="15" t="e">
        <f>VLOOKUP(M258,'[1]INDIAN ENTERPRISES'!$D:$L,9,0)</f>
        <v>#N/A</v>
      </c>
    </row>
    <row r="259" spans="1:36" hidden="1" outlineLevel="2" x14ac:dyDescent="0.25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128</v>
      </c>
      <c r="G259" s="2">
        <v>45848</v>
      </c>
      <c r="H259" t="s">
        <v>498</v>
      </c>
      <c r="I259" t="s">
        <v>7</v>
      </c>
      <c r="J259" s="2">
        <v>45848</v>
      </c>
      <c r="K259" s="2">
        <v>45854</v>
      </c>
      <c r="L259" t="s">
        <v>8</v>
      </c>
      <c r="M259" s="14">
        <v>256779415304</v>
      </c>
      <c r="N259" t="s">
        <v>9</v>
      </c>
      <c r="O259" t="s">
        <v>10</v>
      </c>
      <c r="P259" t="s">
        <v>11</v>
      </c>
      <c r="Q259" t="s">
        <v>12</v>
      </c>
      <c r="R259" t="s">
        <v>13</v>
      </c>
      <c r="S259" s="3">
        <v>30</v>
      </c>
      <c r="T259" t="s">
        <v>14</v>
      </c>
      <c r="U259" s="3">
        <v>2580.02</v>
      </c>
      <c r="V259" t="s">
        <v>15</v>
      </c>
      <c r="W259" t="s">
        <v>16</v>
      </c>
      <c r="X259" t="s">
        <v>11</v>
      </c>
      <c r="Y259" t="s">
        <v>8</v>
      </c>
      <c r="Z259" t="s">
        <v>17</v>
      </c>
      <c r="AA259" t="s">
        <v>348</v>
      </c>
      <c r="AB259" t="s">
        <v>11</v>
      </c>
      <c r="AC259" t="s">
        <v>11</v>
      </c>
      <c r="AD259" t="s">
        <v>11</v>
      </c>
      <c r="AE259" s="2">
        <v>45848</v>
      </c>
      <c r="AF259" s="2">
        <v>45974</v>
      </c>
      <c r="AG259" t="s">
        <v>39</v>
      </c>
      <c r="AH259" s="14">
        <f>VLOOKUP(M259,'[1]INDIAN ENTERPRISES'!$D:$D,1,0)</f>
        <v>256779415304</v>
      </c>
      <c r="AJ259" s="15">
        <f>VLOOKUP(M259,'[1]INDIAN ENTERPRISES'!$D:$L,9,0)</f>
        <v>46053</v>
      </c>
    </row>
    <row r="260" spans="1:36" hidden="1" outlineLevel="2" x14ac:dyDescent="0.25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128</v>
      </c>
      <c r="G260" s="2">
        <v>45848</v>
      </c>
      <c r="H260" t="s">
        <v>499</v>
      </c>
      <c r="I260" t="s">
        <v>7</v>
      </c>
      <c r="J260" s="2">
        <v>45848</v>
      </c>
      <c r="K260" s="2">
        <v>45854</v>
      </c>
      <c r="L260" t="s">
        <v>8</v>
      </c>
      <c r="M260" s="14">
        <v>256779415305</v>
      </c>
      <c r="N260" t="s">
        <v>9</v>
      </c>
      <c r="O260" t="s">
        <v>10</v>
      </c>
      <c r="P260" t="s">
        <v>11</v>
      </c>
      <c r="Q260" t="s">
        <v>12</v>
      </c>
      <c r="R260" t="s">
        <v>13</v>
      </c>
      <c r="S260" s="3">
        <v>30</v>
      </c>
      <c r="T260" t="s">
        <v>14</v>
      </c>
      <c r="U260" s="3">
        <v>2580.02</v>
      </c>
      <c r="V260" t="s">
        <v>15</v>
      </c>
      <c r="W260" t="s">
        <v>16</v>
      </c>
      <c r="X260" t="s">
        <v>11</v>
      </c>
      <c r="Y260" t="s">
        <v>8</v>
      </c>
      <c r="Z260" t="s">
        <v>17</v>
      </c>
      <c r="AA260" t="s">
        <v>348</v>
      </c>
      <c r="AB260" t="s">
        <v>11</v>
      </c>
      <c r="AC260" t="s">
        <v>11</v>
      </c>
      <c r="AD260" t="s">
        <v>11</v>
      </c>
      <c r="AE260" s="2">
        <v>45848</v>
      </c>
      <c r="AF260" s="2">
        <v>45974</v>
      </c>
      <c r="AG260" t="s">
        <v>39</v>
      </c>
      <c r="AH260" s="14">
        <f>VLOOKUP(M260,'[1]INDIAN ENTERPRISES'!$D:$D,1,0)</f>
        <v>256779415305</v>
      </c>
      <c r="AJ260" s="15">
        <f>VLOOKUP(M260,'[1]INDIAN ENTERPRISES'!$D:$L,9,0)</f>
        <v>46053</v>
      </c>
    </row>
    <row r="261" spans="1:36" hidden="1" outlineLevel="2" x14ac:dyDescent="0.25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128</v>
      </c>
      <c r="G261" s="2">
        <v>45848</v>
      </c>
      <c r="H261" t="s">
        <v>500</v>
      </c>
      <c r="I261" t="s">
        <v>7</v>
      </c>
      <c r="J261" s="2">
        <v>45848</v>
      </c>
      <c r="K261" s="2">
        <v>45854</v>
      </c>
      <c r="L261" t="s">
        <v>8</v>
      </c>
      <c r="M261" s="14">
        <v>256779415306</v>
      </c>
      <c r="N261" t="s">
        <v>9</v>
      </c>
      <c r="O261" t="s">
        <v>10</v>
      </c>
      <c r="P261" t="s">
        <v>11</v>
      </c>
      <c r="Q261" t="s">
        <v>12</v>
      </c>
      <c r="R261" t="s">
        <v>13</v>
      </c>
      <c r="S261" s="3">
        <v>30</v>
      </c>
      <c r="T261" t="s">
        <v>14</v>
      </c>
      <c r="U261" s="3">
        <v>2580.02</v>
      </c>
      <c r="V261" t="s">
        <v>15</v>
      </c>
      <c r="W261" t="s">
        <v>16</v>
      </c>
      <c r="X261" t="s">
        <v>11</v>
      </c>
      <c r="Y261" t="s">
        <v>8</v>
      </c>
      <c r="Z261" t="s">
        <v>17</v>
      </c>
      <c r="AA261" t="s">
        <v>348</v>
      </c>
      <c r="AB261" t="s">
        <v>11</v>
      </c>
      <c r="AC261" t="s">
        <v>11</v>
      </c>
      <c r="AD261" t="s">
        <v>11</v>
      </c>
      <c r="AE261" s="2">
        <v>45848</v>
      </c>
      <c r="AF261" s="2">
        <v>45974</v>
      </c>
      <c r="AG261" t="s">
        <v>39</v>
      </c>
      <c r="AH261" s="14">
        <f>VLOOKUP(M261,'[1]INDIAN ENTERPRISES'!$D:$D,1,0)</f>
        <v>256779415306</v>
      </c>
      <c r="AJ261" s="15">
        <f>VLOOKUP(M261,'[1]INDIAN ENTERPRISES'!$D:$L,9,0)</f>
        <v>46053</v>
      </c>
    </row>
    <row r="262" spans="1:36" hidden="1" outlineLevel="2" x14ac:dyDescent="0.25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128</v>
      </c>
      <c r="G262" s="2">
        <v>45848</v>
      </c>
      <c r="H262" t="s">
        <v>501</v>
      </c>
      <c r="I262" t="s">
        <v>7</v>
      </c>
      <c r="J262" s="2">
        <v>45848</v>
      </c>
      <c r="K262" s="2">
        <v>45854</v>
      </c>
      <c r="L262" t="s">
        <v>8</v>
      </c>
      <c r="M262" s="14">
        <v>256779415307</v>
      </c>
      <c r="N262" t="s">
        <v>9</v>
      </c>
      <c r="O262" t="s">
        <v>10</v>
      </c>
      <c r="P262" t="s">
        <v>11</v>
      </c>
      <c r="Q262" t="s">
        <v>12</v>
      </c>
      <c r="R262" t="s">
        <v>13</v>
      </c>
      <c r="S262" s="3">
        <v>30</v>
      </c>
      <c r="T262" t="s">
        <v>14</v>
      </c>
      <c r="U262" s="3">
        <v>2580.02</v>
      </c>
      <c r="V262" t="s">
        <v>15</v>
      </c>
      <c r="W262" t="s">
        <v>16</v>
      </c>
      <c r="X262" t="s">
        <v>11</v>
      </c>
      <c r="Y262" t="s">
        <v>8</v>
      </c>
      <c r="Z262" t="s">
        <v>17</v>
      </c>
      <c r="AA262" t="s">
        <v>348</v>
      </c>
      <c r="AB262" t="s">
        <v>11</v>
      </c>
      <c r="AC262" t="s">
        <v>11</v>
      </c>
      <c r="AD262" t="s">
        <v>11</v>
      </c>
      <c r="AE262" s="2">
        <v>45848</v>
      </c>
      <c r="AF262" s="2">
        <v>45974</v>
      </c>
      <c r="AG262" t="s">
        <v>39</v>
      </c>
      <c r="AH262" s="14">
        <f>VLOOKUP(M262,'[1]INDIAN ENTERPRISES'!$D:$D,1,0)</f>
        <v>256779415307</v>
      </c>
      <c r="AJ262" s="15">
        <f>VLOOKUP(M262,'[1]INDIAN ENTERPRISES'!$D:$L,9,0)</f>
        <v>46053</v>
      </c>
    </row>
    <row r="263" spans="1:36" hidden="1" outlineLevel="2" x14ac:dyDescent="0.25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128</v>
      </c>
      <c r="G263" s="2">
        <v>45848</v>
      </c>
      <c r="H263" t="s">
        <v>502</v>
      </c>
      <c r="I263" t="s">
        <v>7</v>
      </c>
      <c r="J263" s="2">
        <v>45848</v>
      </c>
      <c r="K263" s="2">
        <v>45854</v>
      </c>
      <c r="L263" t="s">
        <v>8</v>
      </c>
      <c r="M263" s="14">
        <v>256779415308</v>
      </c>
      <c r="N263" t="s">
        <v>9</v>
      </c>
      <c r="O263" t="s">
        <v>10</v>
      </c>
      <c r="P263" t="s">
        <v>11</v>
      </c>
      <c r="Q263" t="s">
        <v>12</v>
      </c>
      <c r="R263" t="s">
        <v>13</v>
      </c>
      <c r="S263" s="3">
        <v>30</v>
      </c>
      <c r="T263" t="s">
        <v>14</v>
      </c>
      <c r="U263" s="3">
        <v>2580.02</v>
      </c>
      <c r="V263" t="s">
        <v>15</v>
      </c>
      <c r="W263" t="s">
        <v>16</v>
      </c>
      <c r="X263" t="s">
        <v>11</v>
      </c>
      <c r="Y263" t="s">
        <v>8</v>
      </c>
      <c r="Z263" t="s">
        <v>17</v>
      </c>
      <c r="AA263" t="s">
        <v>348</v>
      </c>
      <c r="AB263" t="s">
        <v>11</v>
      </c>
      <c r="AC263" t="s">
        <v>11</v>
      </c>
      <c r="AD263" t="s">
        <v>11</v>
      </c>
      <c r="AE263" s="2">
        <v>45848</v>
      </c>
      <c r="AF263" s="2">
        <v>45974</v>
      </c>
      <c r="AG263" t="s">
        <v>39</v>
      </c>
      <c r="AH263" s="14">
        <f>VLOOKUP(M263,'[1]INDIAN ENTERPRISES'!$D:$D,1,0)</f>
        <v>256779415308</v>
      </c>
      <c r="AJ263" s="15">
        <f>VLOOKUP(M263,'[1]INDIAN ENTERPRISES'!$D:$L,9,0)</f>
        <v>46053</v>
      </c>
    </row>
    <row r="264" spans="1:36" hidden="1" outlineLevel="2" x14ac:dyDescent="0.25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128</v>
      </c>
      <c r="G264" s="2">
        <v>45848</v>
      </c>
      <c r="H264" t="s">
        <v>503</v>
      </c>
      <c r="I264" t="s">
        <v>7</v>
      </c>
      <c r="J264" s="2">
        <v>45848</v>
      </c>
      <c r="K264" s="2">
        <v>45854</v>
      </c>
      <c r="L264" t="s">
        <v>8</v>
      </c>
      <c r="M264" s="14">
        <v>256779415321</v>
      </c>
      <c r="N264" t="s">
        <v>9</v>
      </c>
      <c r="O264" t="s">
        <v>10</v>
      </c>
      <c r="P264" t="s">
        <v>11</v>
      </c>
      <c r="Q264" t="s">
        <v>12</v>
      </c>
      <c r="R264" t="s">
        <v>13</v>
      </c>
      <c r="S264" s="3">
        <v>212.5</v>
      </c>
      <c r="T264" t="s">
        <v>14</v>
      </c>
      <c r="U264" s="3">
        <v>18275.14</v>
      </c>
      <c r="V264" t="s">
        <v>15</v>
      </c>
      <c r="W264" t="s">
        <v>16</v>
      </c>
      <c r="X264" t="s">
        <v>11</v>
      </c>
      <c r="Y264" t="s">
        <v>8</v>
      </c>
      <c r="Z264" t="s">
        <v>17</v>
      </c>
      <c r="AA264" t="s">
        <v>504</v>
      </c>
      <c r="AB264" t="s">
        <v>11</v>
      </c>
      <c r="AC264" t="s">
        <v>11</v>
      </c>
      <c r="AD264" t="s">
        <v>11</v>
      </c>
      <c r="AE264" s="2">
        <v>45848</v>
      </c>
      <c r="AF264" s="2">
        <v>45974</v>
      </c>
      <c r="AG264" t="s">
        <v>39</v>
      </c>
      <c r="AH264" s="14">
        <f>VLOOKUP(M264,'[1]INDIAN ENTERPRISES'!$D:$D,1,0)</f>
        <v>256779415321</v>
      </c>
      <c r="AJ264" s="15">
        <f>VLOOKUP(M264,'[1]INDIAN ENTERPRISES'!$D:$L,9,0)</f>
        <v>46053</v>
      </c>
    </row>
    <row r="265" spans="1:36" hidden="1" outlineLevel="2" x14ac:dyDescent="0.25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128</v>
      </c>
      <c r="G265" s="2">
        <v>45848</v>
      </c>
      <c r="H265" t="s">
        <v>505</v>
      </c>
      <c r="I265" t="s">
        <v>7</v>
      </c>
      <c r="J265" s="2">
        <v>45848</v>
      </c>
      <c r="K265" s="2">
        <v>45854</v>
      </c>
      <c r="L265" t="s">
        <v>8</v>
      </c>
      <c r="M265" s="14">
        <v>256779415339</v>
      </c>
      <c r="N265" t="s">
        <v>9</v>
      </c>
      <c r="O265" t="s">
        <v>10</v>
      </c>
      <c r="P265" t="s">
        <v>11</v>
      </c>
      <c r="Q265" t="s">
        <v>12</v>
      </c>
      <c r="R265" t="s">
        <v>13</v>
      </c>
      <c r="S265" s="3">
        <v>27.39</v>
      </c>
      <c r="T265" t="s">
        <v>14</v>
      </c>
      <c r="U265" s="3">
        <v>2355.56</v>
      </c>
      <c r="V265" t="s">
        <v>15</v>
      </c>
      <c r="W265" t="s">
        <v>16</v>
      </c>
      <c r="X265" t="s">
        <v>11</v>
      </c>
      <c r="Y265" t="s">
        <v>8</v>
      </c>
      <c r="Z265" t="s">
        <v>17</v>
      </c>
      <c r="AA265" t="s">
        <v>506</v>
      </c>
      <c r="AB265" t="s">
        <v>11</v>
      </c>
      <c r="AC265" t="s">
        <v>11</v>
      </c>
      <c r="AD265" t="s">
        <v>11</v>
      </c>
      <c r="AE265" s="2">
        <v>45848</v>
      </c>
      <c r="AF265" s="2">
        <v>45974</v>
      </c>
      <c r="AG265" t="s">
        <v>39</v>
      </c>
      <c r="AH265" s="14">
        <f>VLOOKUP(M265,'[1]INDIAN ENTERPRISES'!$D:$D,1,0)</f>
        <v>256779415339</v>
      </c>
      <c r="AJ265" s="15">
        <f>VLOOKUP(M265,'[1]INDIAN ENTERPRISES'!$D:$L,9,0)</f>
        <v>46053</v>
      </c>
    </row>
    <row r="266" spans="1:36" hidden="1" outlineLevel="2" x14ac:dyDescent="0.25">
      <c r="A266" t="s">
        <v>20</v>
      </c>
      <c r="B266" t="s">
        <v>1</v>
      </c>
      <c r="C266" t="s">
        <v>2</v>
      </c>
      <c r="D266" t="s">
        <v>3</v>
      </c>
      <c r="E266" t="s">
        <v>4</v>
      </c>
      <c r="F266" t="s">
        <v>128</v>
      </c>
      <c r="G266" s="2">
        <v>45848</v>
      </c>
      <c r="H266" t="s">
        <v>507</v>
      </c>
      <c r="I266" t="s">
        <v>7</v>
      </c>
      <c r="J266" s="2">
        <v>45848</v>
      </c>
      <c r="K266" s="2">
        <v>45854</v>
      </c>
      <c r="L266" t="s">
        <v>8</v>
      </c>
      <c r="M266" s="14">
        <v>256779415377</v>
      </c>
      <c r="N266" t="s">
        <v>9</v>
      </c>
      <c r="O266" t="s">
        <v>10</v>
      </c>
      <c r="P266" t="s">
        <v>11</v>
      </c>
      <c r="Q266" t="s">
        <v>12</v>
      </c>
      <c r="R266" t="s">
        <v>13</v>
      </c>
      <c r="S266" s="3">
        <v>50</v>
      </c>
      <c r="T266" t="s">
        <v>14</v>
      </c>
      <c r="U266" s="3">
        <v>4300.03</v>
      </c>
      <c r="V266" t="s">
        <v>15</v>
      </c>
      <c r="W266" t="s">
        <v>136</v>
      </c>
      <c r="X266" t="s">
        <v>11</v>
      </c>
      <c r="Y266" t="s">
        <v>8</v>
      </c>
      <c r="Z266" t="s">
        <v>17</v>
      </c>
      <c r="AA266" t="s">
        <v>508</v>
      </c>
      <c r="AB266" t="s">
        <v>11</v>
      </c>
      <c r="AC266" t="s">
        <v>11</v>
      </c>
      <c r="AD266" t="s">
        <v>11</v>
      </c>
      <c r="AE266" s="2">
        <v>45848</v>
      </c>
      <c r="AF266" s="2"/>
      <c r="AG266" t="s">
        <v>11</v>
      </c>
      <c r="AH266" s="14">
        <f>VLOOKUP(M266,'[1]INDIAN ENTERPRISES'!$D:$D,1,0)</f>
        <v>256779415377</v>
      </c>
      <c r="AJ266" s="15">
        <f>VLOOKUP(M266,'[1]INDIAN ENTERPRISES'!$D:$L,9,0)</f>
        <v>45991</v>
      </c>
    </row>
    <row r="267" spans="1:36" hidden="1" outlineLevel="2" x14ac:dyDescent="0.25">
      <c r="A267" t="s">
        <v>20</v>
      </c>
      <c r="B267" t="s">
        <v>1</v>
      </c>
      <c r="C267" t="s">
        <v>2</v>
      </c>
      <c r="D267" t="s">
        <v>3</v>
      </c>
      <c r="E267" t="s">
        <v>4</v>
      </c>
      <c r="F267" t="s">
        <v>128</v>
      </c>
      <c r="G267" s="2">
        <v>45848</v>
      </c>
      <c r="H267" t="s">
        <v>509</v>
      </c>
      <c r="I267" t="s">
        <v>7</v>
      </c>
      <c r="J267" s="2">
        <v>45848</v>
      </c>
      <c r="K267" s="2">
        <v>45854</v>
      </c>
      <c r="L267" t="s">
        <v>8</v>
      </c>
      <c r="M267" s="14">
        <v>256779415378</v>
      </c>
      <c r="N267" t="s">
        <v>9</v>
      </c>
      <c r="O267" t="s">
        <v>10</v>
      </c>
      <c r="P267" t="s">
        <v>11</v>
      </c>
      <c r="Q267" t="s">
        <v>12</v>
      </c>
      <c r="R267" t="s">
        <v>13</v>
      </c>
      <c r="S267" s="3">
        <v>120</v>
      </c>
      <c r="T267" t="s">
        <v>14</v>
      </c>
      <c r="U267" s="3">
        <v>10320.08</v>
      </c>
      <c r="V267" t="s">
        <v>15</v>
      </c>
      <c r="W267" t="s">
        <v>136</v>
      </c>
      <c r="X267" t="s">
        <v>11</v>
      </c>
      <c r="Y267" t="s">
        <v>8</v>
      </c>
      <c r="Z267" t="s">
        <v>17</v>
      </c>
      <c r="AA267" t="s">
        <v>510</v>
      </c>
      <c r="AB267" t="s">
        <v>11</v>
      </c>
      <c r="AC267" t="s">
        <v>11</v>
      </c>
      <c r="AD267" t="s">
        <v>11</v>
      </c>
      <c r="AE267" s="2">
        <v>45848</v>
      </c>
      <c r="AF267" s="2"/>
      <c r="AG267" t="s">
        <v>11</v>
      </c>
      <c r="AH267" s="14">
        <f>VLOOKUP(M267,'[1]INDIAN ENTERPRISES'!$D:$D,1,0)</f>
        <v>256779415378</v>
      </c>
      <c r="AJ267" s="15">
        <f>VLOOKUP(M267,'[1]INDIAN ENTERPRISES'!$D:$L,9,0)</f>
        <v>45991</v>
      </c>
    </row>
    <row r="268" spans="1:36" hidden="1" outlineLevel="2" x14ac:dyDescent="0.25">
      <c r="A268" t="s">
        <v>20</v>
      </c>
      <c r="B268" t="s">
        <v>1</v>
      </c>
      <c r="C268" t="s">
        <v>2</v>
      </c>
      <c r="D268" t="s">
        <v>3</v>
      </c>
      <c r="E268" t="s">
        <v>4</v>
      </c>
      <c r="F268" t="s">
        <v>128</v>
      </c>
      <c r="G268" s="2">
        <v>45848</v>
      </c>
      <c r="H268" t="s">
        <v>511</v>
      </c>
      <c r="I268" t="s">
        <v>7</v>
      </c>
      <c r="J268" s="2">
        <v>45848</v>
      </c>
      <c r="K268" s="2">
        <v>45854</v>
      </c>
      <c r="L268" t="s">
        <v>8</v>
      </c>
      <c r="M268" s="14">
        <v>256779415379</v>
      </c>
      <c r="N268" t="s">
        <v>9</v>
      </c>
      <c r="O268" t="s">
        <v>10</v>
      </c>
      <c r="P268" t="s">
        <v>11</v>
      </c>
      <c r="Q268" t="s">
        <v>12</v>
      </c>
      <c r="R268" t="s">
        <v>13</v>
      </c>
      <c r="S268" s="3">
        <v>233.11</v>
      </c>
      <c r="T268" t="s">
        <v>14</v>
      </c>
      <c r="U268" s="3">
        <v>20047.62</v>
      </c>
      <c r="V268" t="s">
        <v>15</v>
      </c>
      <c r="W268" t="s">
        <v>136</v>
      </c>
      <c r="X268" t="s">
        <v>11</v>
      </c>
      <c r="Y268" t="s">
        <v>8</v>
      </c>
      <c r="Z268" t="s">
        <v>17</v>
      </c>
      <c r="AA268" t="s">
        <v>512</v>
      </c>
      <c r="AB268" t="s">
        <v>11</v>
      </c>
      <c r="AC268" t="s">
        <v>11</v>
      </c>
      <c r="AD268" t="s">
        <v>11</v>
      </c>
      <c r="AE268" s="2">
        <v>45848</v>
      </c>
      <c r="AF268" s="2"/>
      <c r="AG268" t="s">
        <v>11</v>
      </c>
      <c r="AH268" s="14">
        <f>VLOOKUP(M268,'[1]INDIAN ENTERPRISES'!$D:$D,1,0)</f>
        <v>256779415379</v>
      </c>
      <c r="AJ268" s="15">
        <f>VLOOKUP(M268,'[1]INDIAN ENTERPRISES'!$D:$L,9,0)</f>
        <v>45991</v>
      </c>
    </row>
    <row r="269" spans="1:36" hidden="1" outlineLevel="2" x14ac:dyDescent="0.25">
      <c r="A269" t="s">
        <v>20</v>
      </c>
      <c r="B269" t="s">
        <v>1</v>
      </c>
      <c r="C269" t="s">
        <v>2</v>
      </c>
      <c r="D269" t="s">
        <v>3</v>
      </c>
      <c r="E269" t="s">
        <v>4</v>
      </c>
      <c r="F269" t="s">
        <v>128</v>
      </c>
      <c r="G269" s="2">
        <v>45848</v>
      </c>
      <c r="H269" t="s">
        <v>513</v>
      </c>
      <c r="I269" t="s">
        <v>7</v>
      </c>
      <c r="J269" s="2">
        <v>45848</v>
      </c>
      <c r="K269" s="2">
        <v>45854</v>
      </c>
      <c r="L269" t="s">
        <v>8</v>
      </c>
      <c r="M269" s="14">
        <v>256779415380</v>
      </c>
      <c r="N269" t="s">
        <v>9</v>
      </c>
      <c r="O269" t="s">
        <v>10</v>
      </c>
      <c r="P269" t="s">
        <v>11</v>
      </c>
      <c r="Q269" t="s">
        <v>12</v>
      </c>
      <c r="R269" t="s">
        <v>13</v>
      </c>
      <c r="S269" s="3">
        <v>200</v>
      </c>
      <c r="T269" t="s">
        <v>14</v>
      </c>
      <c r="U269" s="3">
        <v>17200.13</v>
      </c>
      <c r="V269" t="s">
        <v>15</v>
      </c>
      <c r="W269" t="s">
        <v>136</v>
      </c>
      <c r="X269" t="s">
        <v>11</v>
      </c>
      <c r="Y269" t="s">
        <v>8</v>
      </c>
      <c r="Z269" t="s">
        <v>17</v>
      </c>
      <c r="AA269" t="s">
        <v>514</v>
      </c>
      <c r="AB269" t="s">
        <v>11</v>
      </c>
      <c r="AC269" t="s">
        <v>11</v>
      </c>
      <c r="AD269" t="s">
        <v>11</v>
      </c>
      <c r="AE269" s="2">
        <v>45848</v>
      </c>
      <c r="AF269" s="2"/>
      <c r="AG269" t="s">
        <v>11</v>
      </c>
      <c r="AH269" s="14">
        <f>VLOOKUP(M269,'[1]INDIAN ENTERPRISES'!$D:$D,1,0)</f>
        <v>256779415380</v>
      </c>
      <c r="AJ269" s="15">
        <f>VLOOKUP(M269,'[1]INDIAN ENTERPRISES'!$D:$L,9,0)</f>
        <v>45991</v>
      </c>
    </row>
    <row r="270" spans="1:36" hidden="1" outlineLevel="2" x14ac:dyDescent="0.25">
      <c r="A270" t="s">
        <v>20</v>
      </c>
      <c r="B270" t="s">
        <v>1</v>
      </c>
      <c r="C270" t="s">
        <v>2</v>
      </c>
      <c r="D270" t="s">
        <v>3</v>
      </c>
      <c r="E270" t="s">
        <v>4</v>
      </c>
      <c r="F270" t="s">
        <v>128</v>
      </c>
      <c r="G270" s="2">
        <v>45848</v>
      </c>
      <c r="H270" t="s">
        <v>515</v>
      </c>
      <c r="I270" t="s">
        <v>7</v>
      </c>
      <c r="J270" s="2">
        <v>45848</v>
      </c>
      <c r="K270" s="2">
        <v>45854</v>
      </c>
      <c r="L270" t="s">
        <v>8</v>
      </c>
      <c r="M270" s="14">
        <v>256779415381</v>
      </c>
      <c r="N270" t="s">
        <v>9</v>
      </c>
      <c r="O270" t="s">
        <v>10</v>
      </c>
      <c r="P270" t="s">
        <v>11</v>
      </c>
      <c r="Q270" t="s">
        <v>12</v>
      </c>
      <c r="R270" t="s">
        <v>13</v>
      </c>
      <c r="S270" s="3">
        <v>60</v>
      </c>
      <c r="T270" t="s">
        <v>14</v>
      </c>
      <c r="U270" s="3">
        <v>5160.04</v>
      </c>
      <c r="V270" t="s">
        <v>15</v>
      </c>
      <c r="W270" t="s">
        <v>136</v>
      </c>
      <c r="X270" t="s">
        <v>11</v>
      </c>
      <c r="Y270" t="s">
        <v>8</v>
      </c>
      <c r="Z270" t="s">
        <v>17</v>
      </c>
      <c r="AA270" t="s">
        <v>516</v>
      </c>
      <c r="AB270" t="s">
        <v>11</v>
      </c>
      <c r="AC270" t="s">
        <v>11</v>
      </c>
      <c r="AD270" t="s">
        <v>11</v>
      </c>
      <c r="AE270" s="2">
        <v>45848</v>
      </c>
      <c r="AF270" s="2"/>
      <c r="AG270" t="s">
        <v>11</v>
      </c>
      <c r="AH270" s="14">
        <f>VLOOKUP(M270,'[1]INDIAN ENTERPRISES'!$D:$D,1,0)</f>
        <v>256779415381</v>
      </c>
      <c r="AJ270" s="15">
        <f>VLOOKUP(M270,'[1]INDIAN ENTERPRISES'!$D:$L,9,0)</f>
        <v>45991</v>
      </c>
    </row>
    <row r="271" spans="1:36" hidden="1" outlineLevel="2" x14ac:dyDescent="0.25">
      <c r="A271" t="s">
        <v>20</v>
      </c>
      <c r="B271" t="s">
        <v>1</v>
      </c>
      <c r="C271" t="s">
        <v>2</v>
      </c>
      <c r="D271" t="s">
        <v>3</v>
      </c>
      <c r="E271" t="s">
        <v>4</v>
      </c>
      <c r="F271" t="s">
        <v>128</v>
      </c>
      <c r="G271" s="2">
        <v>45848</v>
      </c>
      <c r="H271" t="s">
        <v>517</v>
      </c>
      <c r="I271" t="s">
        <v>7</v>
      </c>
      <c r="J271" s="2">
        <v>45848</v>
      </c>
      <c r="K271" s="2">
        <v>45854</v>
      </c>
      <c r="L271" t="s">
        <v>8</v>
      </c>
      <c r="M271" s="14">
        <v>256779415382</v>
      </c>
      <c r="N271" t="s">
        <v>9</v>
      </c>
      <c r="O271" t="s">
        <v>10</v>
      </c>
      <c r="P271" t="s">
        <v>11</v>
      </c>
      <c r="Q271" t="s">
        <v>12</v>
      </c>
      <c r="R271" t="s">
        <v>13</v>
      </c>
      <c r="S271" s="3">
        <v>117.64</v>
      </c>
      <c r="T271" t="s">
        <v>14</v>
      </c>
      <c r="U271" s="3">
        <v>10117.120000000001</v>
      </c>
      <c r="V271" t="s">
        <v>15</v>
      </c>
      <c r="W271" t="s">
        <v>136</v>
      </c>
      <c r="X271" t="s">
        <v>11</v>
      </c>
      <c r="Y271" t="s">
        <v>8</v>
      </c>
      <c r="Z271" t="s">
        <v>17</v>
      </c>
      <c r="AA271" t="s">
        <v>518</v>
      </c>
      <c r="AB271" t="s">
        <v>11</v>
      </c>
      <c r="AC271" t="s">
        <v>11</v>
      </c>
      <c r="AD271" t="s">
        <v>11</v>
      </c>
      <c r="AE271" s="2">
        <v>45848</v>
      </c>
      <c r="AF271" s="2"/>
      <c r="AG271" t="s">
        <v>11</v>
      </c>
      <c r="AH271" s="14">
        <f>VLOOKUP(M271,'[1]INDIAN ENTERPRISES'!$D:$D,1,0)</f>
        <v>256779415382</v>
      </c>
      <c r="AJ271" s="15">
        <f>VLOOKUP(M271,'[1]INDIAN ENTERPRISES'!$D:$L,9,0)</f>
        <v>45991</v>
      </c>
    </row>
    <row r="272" spans="1:36" hidden="1" outlineLevel="2" x14ac:dyDescent="0.25">
      <c r="A272" t="s">
        <v>20</v>
      </c>
      <c r="B272" t="s">
        <v>1</v>
      </c>
      <c r="C272" t="s">
        <v>2</v>
      </c>
      <c r="D272" t="s">
        <v>3</v>
      </c>
      <c r="E272" t="s">
        <v>4</v>
      </c>
      <c r="F272" t="s">
        <v>128</v>
      </c>
      <c r="G272" s="2">
        <v>45848</v>
      </c>
      <c r="H272" t="s">
        <v>519</v>
      </c>
      <c r="I272" t="s">
        <v>7</v>
      </c>
      <c r="J272" s="2">
        <v>45848</v>
      </c>
      <c r="K272" s="2">
        <v>45854</v>
      </c>
      <c r="L272" t="s">
        <v>8</v>
      </c>
      <c r="M272" s="14">
        <v>256779415383</v>
      </c>
      <c r="N272" t="s">
        <v>9</v>
      </c>
      <c r="O272" t="s">
        <v>10</v>
      </c>
      <c r="P272" t="s">
        <v>11</v>
      </c>
      <c r="Q272" t="s">
        <v>12</v>
      </c>
      <c r="R272" t="s">
        <v>13</v>
      </c>
      <c r="S272" s="3">
        <v>155.80000000000001</v>
      </c>
      <c r="T272" t="s">
        <v>14</v>
      </c>
      <c r="U272" s="3">
        <v>13398.9</v>
      </c>
      <c r="V272" t="s">
        <v>15</v>
      </c>
      <c r="W272" t="s">
        <v>136</v>
      </c>
      <c r="X272" t="s">
        <v>11</v>
      </c>
      <c r="Y272" t="s">
        <v>8</v>
      </c>
      <c r="Z272" t="s">
        <v>17</v>
      </c>
      <c r="AA272" t="s">
        <v>520</v>
      </c>
      <c r="AB272" t="s">
        <v>11</v>
      </c>
      <c r="AC272" t="s">
        <v>11</v>
      </c>
      <c r="AD272" t="s">
        <v>11</v>
      </c>
      <c r="AE272" s="2">
        <v>45848</v>
      </c>
      <c r="AF272" s="2"/>
      <c r="AG272" t="s">
        <v>11</v>
      </c>
      <c r="AH272" s="14">
        <f>VLOOKUP(M272,'[1]INDIAN ENTERPRISES'!$D:$D,1,0)</f>
        <v>256779415383</v>
      </c>
      <c r="AJ272" s="15">
        <f>VLOOKUP(M272,'[1]INDIAN ENTERPRISES'!$D:$L,9,0)</f>
        <v>45991</v>
      </c>
    </row>
    <row r="273" spans="1:36" hidden="1" outlineLevel="2" x14ac:dyDescent="0.25">
      <c r="A273" t="s">
        <v>20</v>
      </c>
      <c r="B273" t="s">
        <v>1</v>
      </c>
      <c r="C273" t="s">
        <v>2</v>
      </c>
      <c r="D273" t="s">
        <v>3</v>
      </c>
      <c r="E273" t="s">
        <v>4</v>
      </c>
      <c r="F273" t="s">
        <v>128</v>
      </c>
      <c r="G273" s="2">
        <v>45848</v>
      </c>
      <c r="H273" t="s">
        <v>521</v>
      </c>
      <c r="I273" t="s">
        <v>7</v>
      </c>
      <c r="J273" s="2">
        <v>45848</v>
      </c>
      <c r="K273" s="2">
        <v>45854</v>
      </c>
      <c r="L273" t="s">
        <v>8</v>
      </c>
      <c r="M273" s="14">
        <v>256779415384</v>
      </c>
      <c r="N273" t="s">
        <v>9</v>
      </c>
      <c r="O273" t="s">
        <v>10</v>
      </c>
      <c r="P273" t="s">
        <v>11</v>
      </c>
      <c r="Q273" t="s">
        <v>12</v>
      </c>
      <c r="R273" t="s">
        <v>13</v>
      </c>
      <c r="S273" s="3">
        <v>350</v>
      </c>
      <c r="T273" t="s">
        <v>14</v>
      </c>
      <c r="U273" s="3">
        <v>30100.23</v>
      </c>
      <c r="V273" t="s">
        <v>15</v>
      </c>
      <c r="W273" t="s">
        <v>136</v>
      </c>
      <c r="X273" t="s">
        <v>11</v>
      </c>
      <c r="Y273" t="s">
        <v>8</v>
      </c>
      <c r="Z273" t="s">
        <v>17</v>
      </c>
      <c r="AA273" t="s">
        <v>522</v>
      </c>
      <c r="AB273" t="s">
        <v>11</v>
      </c>
      <c r="AC273" t="s">
        <v>11</v>
      </c>
      <c r="AD273" t="s">
        <v>11</v>
      </c>
      <c r="AE273" s="2">
        <v>45848</v>
      </c>
      <c r="AF273" s="2"/>
      <c r="AG273" t="s">
        <v>11</v>
      </c>
      <c r="AH273" s="14">
        <f>VLOOKUP(M273,'[1]INDIAN ENTERPRISES'!$D:$D,1,0)</f>
        <v>256779415384</v>
      </c>
      <c r="AJ273" s="15">
        <f>VLOOKUP(M273,'[1]INDIAN ENTERPRISES'!$D:$L,9,0)</f>
        <v>45991</v>
      </c>
    </row>
    <row r="274" spans="1:36" hidden="1" outlineLevel="2" x14ac:dyDescent="0.25">
      <c r="A274" t="s">
        <v>20</v>
      </c>
      <c r="B274" t="s">
        <v>1</v>
      </c>
      <c r="C274" t="s">
        <v>2</v>
      </c>
      <c r="D274" t="s">
        <v>3</v>
      </c>
      <c r="E274" t="s">
        <v>4</v>
      </c>
      <c r="F274" t="s">
        <v>128</v>
      </c>
      <c r="G274" s="2">
        <v>45848</v>
      </c>
      <c r="H274" t="s">
        <v>523</v>
      </c>
      <c r="I274" t="s">
        <v>7</v>
      </c>
      <c r="J274" s="2">
        <v>45848</v>
      </c>
      <c r="K274" s="2">
        <v>45854</v>
      </c>
      <c r="L274" t="s">
        <v>8</v>
      </c>
      <c r="M274" s="14">
        <v>256779415385</v>
      </c>
      <c r="N274" t="s">
        <v>9</v>
      </c>
      <c r="O274" t="s">
        <v>10</v>
      </c>
      <c r="P274" t="s">
        <v>11</v>
      </c>
      <c r="Q274" t="s">
        <v>12</v>
      </c>
      <c r="R274" t="s">
        <v>13</v>
      </c>
      <c r="S274" s="3">
        <v>24</v>
      </c>
      <c r="T274" t="s">
        <v>14</v>
      </c>
      <c r="U274" s="3">
        <v>2064.02</v>
      </c>
      <c r="V274" t="s">
        <v>15</v>
      </c>
      <c r="W274" t="s">
        <v>136</v>
      </c>
      <c r="X274" t="s">
        <v>11</v>
      </c>
      <c r="Y274" t="s">
        <v>8</v>
      </c>
      <c r="Z274" t="s">
        <v>17</v>
      </c>
      <c r="AA274" t="s">
        <v>524</v>
      </c>
      <c r="AB274" t="s">
        <v>11</v>
      </c>
      <c r="AC274" t="s">
        <v>11</v>
      </c>
      <c r="AD274" t="s">
        <v>11</v>
      </c>
      <c r="AE274" s="2">
        <v>45848</v>
      </c>
      <c r="AF274" s="2"/>
      <c r="AG274" t="s">
        <v>11</v>
      </c>
      <c r="AH274" s="14">
        <f>VLOOKUP(M274,'[1]INDIAN ENTERPRISES'!$D:$D,1,0)</f>
        <v>256779415385</v>
      </c>
      <c r="AJ274" s="15">
        <f>VLOOKUP(M274,'[1]INDIAN ENTERPRISES'!$D:$L,9,0)</f>
        <v>46053</v>
      </c>
    </row>
    <row r="275" spans="1:36" hidden="1" outlineLevel="2" x14ac:dyDescent="0.25">
      <c r="A275" t="s">
        <v>20</v>
      </c>
      <c r="B275" t="s">
        <v>1</v>
      </c>
      <c r="C275" t="s">
        <v>2</v>
      </c>
      <c r="D275" t="s">
        <v>3</v>
      </c>
      <c r="E275" t="s">
        <v>4</v>
      </c>
      <c r="F275" t="s">
        <v>128</v>
      </c>
      <c r="G275" s="2">
        <v>45848</v>
      </c>
      <c r="H275" t="s">
        <v>525</v>
      </c>
      <c r="I275" t="s">
        <v>7</v>
      </c>
      <c r="J275" s="2">
        <v>45848</v>
      </c>
      <c r="K275" s="2">
        <v>45854</v>
      </c>
      <c r="L275" t="s">
        <v>8</v>
      </c>
      <c r="M275" s="14">
        <v>256779415386</v>
      </c>
      <c r="N275" t="s">
        <v>9</v>
      </c>
      <c r="O275" t="s">
        <v>10</v>
      </c>
      <c r="P275" t="s">
        <v>11</v>
      </c>
      <c r="Q275" t="s">
        <v>12</v>
      </c>
      <c r="R275" t="s">
        <v>13</v>
      </c>
      <c r="S275" s="3">
        <v>7.5</v>
      </c>
      <c r="T275" t="s">
        <v>14</v>
      </c>
      <c r="U275" s="3">
        <v>645.01</v>
      </c>
      <c r="V275" t="s">
        <v>15</v>
      </c>
      <c r="W275" t="s">
        <v>136</v>
      </c>
      <c r="X275" t="s">
        <v>11</v>
      </c>
      <c r="Y275" t="s">
        <v>8</v>
      </c>
      <c r="Z275" t="s">
        <v>17</v>
      </c>
      <c r="AA275" t="s">
        <v>526</v>
      </c>
      <c r="AB275" t="s">
        <v>11</v>
      </c>
      <c r="AC275" t="s">
        <v>11</v>
      </c>
      <c r="AD275" t="s">
        <v>11</v>
      </c>
      <c r="AE275" s="2">
        <v>45848</v>
      </c>
      <c r="AF275" s="2"/>
      <c r="AG275" t="s">
        <v>11</v>
      </c>
      <c r="AH275" s="14">
        <f>VLOOKUP(M275,'[1]INDIAN ENTERPRISES'!$D:$D,1,0)</f>
        <v>256779415386</v>
      </c>
      <c r="AJ275" s="15">
        <f>VLOOKUP(M275,'[1]INDIAN ENTERPRISES'!$D:$L,9,0)</f>
        <v>45991</v>
      </c>
    </row>
    <row r="276" spans="1:36" hidden="1" outlineLevel="2" x14ac:dyDescent="0.25">
      <c r="A276" t="s">
        <v>20</v>
      </c>
      <c r="B276" t="s">
        <v>1</v>
      </c>
      <c r="C276" t="s">
        <v>2</v>
      </c>
      <c r="D276" t="s">
        <v>3</v>
      </c>
      <c r="E276" t="s">
        <v>4</v>
      </c>
      <c r="F276" t="s">
        <v>128</v>
      </c>
      <c r="G276" s="2">
        <v>45848</v>
      </c>
      <c r="H276" t="s">
        <v>527</v>
      </c>
      <c r="I276" t="s">
        <v>7</v>
      </c>
      <c r="J276" s="2">
        <v>45848</v>
      </c>
      <c r="K276" s="2">
        <v>45854</v>
      </c>
      <c r="L276" t="s">
        <v>8</v>
      </c>
      <c r="M276" s="14">
        <v>256779415387</v>
      </c>
      <c r="N276" t="s">
        <v>9</v>
      </c>
      <c r="O276" t="s">
        <v>10</v>
      </c>
      <c r="P276" t="s">
        <v>11</v>
      </c>
      <c r="Q276" t="s">
        <v>12</v>
      </c>
      <c r="R276" t="s">
        <v>13</v>
      </c>
      <c r="S276" s="3">
        <v>70.900000000000006</v>
      </c>
      <c r="T276" t="s">
        <v>14</v>
      </c>
      <c r="U276" s="3">
        <v>6097.45</v>
      </c>
      <c r="V276" t="s">
        <v>15</v>
      </c>
      <c r="W276" t="s">
        <v>136</v>
      </c>
      <c r="X276" t="s">
        <v>11</v>
      </c>
      <c r="Y276" t="s">
        <v>8</v>
      </c>
      <c r="Z276" t="s">
        <v>17</v>
      </c>
      <c r="AA276" t="s">
        <v>528</v>
      </c>
      <c r="AB276" t="s">
        <v>11</v>
      </c>
      <c r="AC276" t="s">
        <v>11</v>
      </c>
      <c r="AD276" t="s">
        <v>11</v>
      </c>
      <c r="AE276" s="2">
        <v>45848</v>
      </c>
      <c r="AF276" s="2"/>
      <c r="AG276" t="s">
        <v>11</v>
      </c>
      <c r="AH276" s="14">
        <f>VLOOKUP(M276,'[1]INDIAN ENTERPRISES'!$D:$D,1,0)</f>
        <v>256779415387</v>
      </c>
      <c r="AJ276" s="15">
        <f>VLOOKUP(M276,'[1]INDIAN ENTERPRISES'!$D:$L,9,0)</f>
        <v>45991</v>
      </c>
    </row>
    <row r="277" spans="1:36" hidden="1" outlineLevel="2" x14ac:dyDescent="0.25">
      <c r="A277" t="s">
        <v>20</v>
      </c>
      <c r="B277" t="s">
        <v>1</v>
      </c>
      <c r="C277" t="s">
        <v>2</v>
      </c>
      <c r="D277" t="s">
        <v>3</v>
      </c>
      <c r="E277" t="s">
        <v>4</v>
      </c>
      <c r="F277" t="s">
        <v>128</v>
      </c>
      <c r="G277" s="2">
        <v>45848</v>
      </c>
      <c r="H277" t="s">
        <v>529</v>
      </c>
      <c r="I277" t="s">
        <v>7</v>
      </c>
      <c r="J277" s="2">
        <v>45848</v>
      </c>
      <c r="K277" s="2">
        <v>45854</v>
      </c>
      <c r="L277" t="s">
        <v>8</v>
      </c>
      <c r="M277" s="14">
        <v>256779415388</v>
      </c>
      <c r="N277" t="s">
        <v>9</v>
      </c>
      <c r="O277" t="s">
        <v>10</v>
      </c>
      <c r="P277" t="s">
        <v>11</v>
      </c>
      <c r="Q277" t="s">
        <v>12</v>
      </c>
      <c r="R277" t="s">
        <v>13</v>
      </c>
      <c r="S277" s="3">
        <v>2261.63</v>
      </c>
      <c r="T277" t="s">
        <v>14</v>
      </c>
      <c r="U277" s="3">
        <v>194501.7</v>
      </c>
      <c r="V277" t="s">
        <v>15</v>
      </c>
      <c r="W277" t="s">
        <v>136</v>
      </c>
      <c r="X277" t="s">
        <v>11</v>
      </c>
      <c r="Y277" t="s">
        <v>8</v>
      </c>
      <c r="Z277" t="s">
        <v>17</v>
      </c>
      <c r="AA277" t="s">
        <v>530</v>
      </c>
      <c r="AB277" t="s">
        <v>11</v>
      </c>
      <c r="AC277" t="s">
        <v>11</v>
      </c>
      <c r="AD277" t="s">
        <v>11</v>
      </c>
      <c r="AE277" s="2">
        <v>45848</v>
      </c>
      <c r="AF277" s="2"/>
      <c r="AG277" t="s">
        <v>11</v>
      </c>
      <c r="AH277" s="14">
        <f>VLOOKUP(M277,'[1]INDIAN ENTERPRISES'!$D:$D,1,0)</f>
        <v>256779415388</v>
      </c>
      <c r="AJ277" s="15">
        <f>VLOOKUP(M277,'[1]INDIAN ENTERPRISES'!$D:$L,9,0)</f>
        <v>45991</v>
      </c>
    </row>
    <row r="278" spans="1:36" hidden="1" outlineLevel="2" x14ac:dyDescent="0.25">
      <c r="A278" t="s">
        <v>20</v>
      </c>
      <c r="B278" t="s">
        <v>1</v>
      </c>
      <c r="C278" t="s">
        <v>2</v>
      </c>
      <c r="D278" t="s">
        <v>3</v>
      </c>
      <c r="E278" t="s">
        <v>4</v>
      </c>
      <c r="F278" t="s">
        <v>128</v>
      </c>
      <c r="G278" s="2">
        <v>45848</v>
      </c>
      <c r="H278" t="s">
        <v>531</v>
      </c>
      <c r="I278" t="s">
        <v>7</v>
      </c>
      <c r="J278" s="2">
        <v>45848</v>
      </c>
      <c r="K278" s="2">
        <v>45854</v>
      </c>
      <c r="L278" t="s">
        <v>8</v>
      </c>
      <c r="M278" s="14">
        <v>256779415389</v>
      </c>
      <c r="N278" t="s">
        <v>9</v>
      </c>
      <c r="O278" t="s">
        <v>10</v>
      </c>
      <c r="P278" t="s">
        <v>11</v>
      </c>
      <c r="Q278" t="s">
        <v>12</v>
      </c>
      <c r="R278" t="s">
        <v>13</v>
      </c>
      <c r="S278" s="3">
        <v>170.62</v>
      </c>
      <c r="T278" t="s">
        <v>14</v>
      </c>
      <c r="U278" s="3">
        <v>14673.43</v>
      </c>
      <c r="V278" t="s">
        <v>15</v>
      </c>
      <c r="W278" t="s">
        <v>136</v>
      </c>
      <c r="X278" t="s">
        <v>11</v>
      </c>
      <c r="Y278" t="s">
        <v>8</v>
      </c>
      <c r="Z278" t="s">
        <v>17</v>
      </c>
      <c r="AA278" t="s">
        <v>532</v>
      </c>
      <c r="AB278" t="s">
        <v>11</v>
      </c>
      <c r="AC278" t="s">
        <v>11</v>
      </c>
      <c r="AD278" t="s">
        <v>11</v>
      </c>
      <c r="AE278" s="2">
        <v>45848</v>
      </c>
      <c r="AF278" s="2"/>
      <c r="AG278" t="s">
        <v>11</v>
      </c>
      <c r="AH278" s="14">
        <f>VLOOKUP(M278,'[1]INDIAN ENTERPRISES'!$D:$D,1,0)</f>
        <v>256779415389</v>
      </c>
      <c r="AJ278" s="15">
        <f>VLOOKUP(M278,'[1]INDIAN ENTERPRISES'!$D:$L,9,0)</f>
        <v>45991</v>
      </c>
    </row>
    <row r="279" spans="1:36" hidden="1" outlineLevel="2" x14ac:dyDescent="0.25">
      <c r="A279" t="s">
        <v>20</v>
      </c>
      <c r="B279" t="s">
        <v>1</v>
      </c>
      <c r="C279" t="s">
        <v>2</v>
      </c>
      <c r="D279" t="s">
        <v>3</v>
      </c>
      <c r="E279" t="s">
        <v>4</v>
      </c>
      <c r="F279" t="s">
        <v>128</v>
      </c>
      <c r="G279" s="2">
        <v>45848</v>
      </c>
      <c r="H279" t="s">
        <v>533</v>
      </c>
      <c r="I279" t="s">
        <v>7</v>
      </c>
      <c r="J279" s="2">
        <v>45848</v>
      </c>
      <c r="K279" s="2">
        <v>45854</v>
      </c>
      <c r="L279" t="s">
        <v>8</v>
      </c>
      <c r="M279" s="14">
        <v>256779415390</v>
      </c>
      <c r="N279" t="s">
        <v>9</v>
      </c>
      <c r="O279" t="s">
        <v>10</v>
      </c>
      <c r="P279" t="s">
        <v>11</v>
      </c>
      <c r="Q279" t="s">
        <v>12</v>
      </c>
      <c r="R279" t="s">
        <v>13</v>
      </c>
      <c r="S279" s="3">
        <v>110.96</v>
      </c>
      <c r="T279" t="s">
        <v>14</v>
      </c>
      <c r="U279" s="3">
        <v>9542.6299999999992</v>
      </c>
      <c r="V279" t="s">
        <v>15</v>
      </c>
      <c r="W279" t="s">
        <v>136</v>
      </c>
      <c r="X279" t="s">
        <v>11</v>
      </c>
      <c r="Y279" t="s">
        <v>8</v>
      </c>
      <c r="Z279" t="s">
        <v>17</v>
      </c>
      <c r="AA279" t="s">
        <v>534</v>
      </c>
      <c r="AB279" t="s">
        <v>11</v>
      </c>
      <c r="AC279" t="s">
        <v>11</v>
      </c>
      <c r="AD279" t="s">
        <v>11</v>
      </c>
      <c r="AE279" s="2">
        <v>45848</v>
      </c>
      <c r="AF279" s="2"/>
      <c r="AG279" t="s">
        <v>11</v>
      </c>
      <c r="AH279" s="14">
        <f>VLOOKUP(M279,'[1]INDIAN ENTERPRISES'!$D:$D,1,0)</f>
        <v>256779415390</v>
      </c>
      <c r="AJ279" s="15">
        <f>VLOOKUP(M279,'[1]INDIAN ENTERPRISES'!$D:$L,9,0)</f>
        <v>45991</v>
      </c>
    </row>
    <row r="280" spans="1:36" hidden="1" outlineLevel="2" x14ac:dyDescent="0.25">
      <c r="A280" t="s">
        <v>20</v>
      </c>
      <c r="B280" t="s">
        <v>1</v>
      </c>
      <c r="C280" t="s">
        <v>2</v>
      </c>
      <c r="D280" t="s">
        <v>3</v>
      </c>
      <c r="E280" t="s">
        <v>4</v>
      </c>
      <c r="F280" t="s">
        <v>128</v>
      </c>
      <c r="G280" s="2">
        <v>45848</v>
      </c>
      <c r="H280" t="s">
        <v>535</v>
      </c>
      <c r="I280" t="s">
        <v>7</v>
      </c>
      <c r="J280" s="2">
        <v>45848</v>
      </c>
      <c r="K280" s="2">
        <v>45854</v>
      </c>
      <c r="L280" t="s">
        <v>8</v>
      </c>
      <c r="M280" s="14">
        <v>256779415391</v>
      </c>
      <c r="N280" t="s">
        <v>9</v>
      </c>
      <c r="O280" t="s">
        <v>10</v>
      </c>
      <c r="P280" t="s">
        <v>11</v>
      </c>
      <c r="Q280" t="s">
        <v>12</v>
      </c>
      <c r="R280" t="s">
        <v>13</v>
      </c>
      <c r="S280" s="3">
        <v>820.07</v>
      </c>
      <c r="T280" t="s">
        <v>14</v>
      </c>
      <c r="U280" s="3">
        <v>70526.570000000007</v>
      </c>
      <c r="V280" t="s">
        <v>15</v>
      </c>
      <c r="W280" t="s">
        <v>136</v>
      </c>
      <c r="X280" t="s">
        <v>11</v>
      </c>
      <c r="Y280" t="s">
        <v>8</v>
      </c>
      <c r="Z280" t="s">
        <v>17</v>
      </c>
      <c r="AA280" t="s">
        <v>536</v>
      </c>
      <c r="AB280" t="s">
        <v>11</v>
      </c>
      <c r="AC280" t="s">
        <v>11</v>
      </c>
      <c r="AD280" t="s">
        <v>11</v>
      </c>
      <c r="AE280" s="2">
        <v>45848</v>
      </c>
      <c r="AF280" s="2"/>
      <c r="AG280" t="s">
        <v>11</v>
      </c>
      <c r="AH280" s="14">
        <f>VLOOKUP(M280,'[1]INDIAN ENTERPRISES'!$D:$D,1,0)</f>
        <v>256779415391</v>
      </c>
      <c r="AJ280" s="15">
        <f>VLOOKUP(M280,'[1]INDIAN ENTERPRISES'!$D:$L,9,0)</f>
        <v>45991</v>
      </c>
    </row>
    <row r="281" spans="1:36" hidden="1" outlineLevel="2" x14ac:dyDescent="0.25">
      <c r="A281" t="s">
        <v>20</v>
      </c>
      <c r="B281" t="s">
        <v>1</v>
      </c>
      <c r="C281" t="s">
        <v>2</v>
      </c>
      <c r="D281" t="s">
        <v>3</v>
      </c>
      <c r="E281" t="s">
        <v>4</v>
      </c>
      <c r="F281" t="s">
        <v>128</v>
      </c>
      <c r="G281" s="2">
        <v>45848</v>
      </c>
      <c r="H281" t="s">
        <v>537</v>
      </c>
      <c r="I281" t="s">
        <v>7</v>
      </c>
      <c r="J281" s="2">
        <v>45848</v>
      </c>
      <c r="K281" s="2">
        <v>45854</v>
      </c>
      <c r="L281" t="s">
        <v>8</v>
      </c>
      <c r="M281" s="14">
        <v>256779415392</v>
      </c>
      <c r="N281" t="s">
        <v>9</v>
      </c>
      <c r="O281" t="s">
        <v>10</v>
      </c>
      <c r="P281" t="s">
        <v>11</v>
      </c>
      <c r="Q281" t="s">
        <v>12</v>
      </c>
      <c r="R281" t="s">
        <v>13</v>
      </c>
      <c r="S281" s="3">
        <v>200</v>
      </c>
      <c r="T281" t="s">
        <v>14</v>
      </c>
      <c r="U281" s="3">
        <v>17200.13</v>
      </c>
      <c r="V281" t="s">
        <v>15</v>
      </c>
      <c r="W281" t="s">
        <v>136</v>
      </c>
      <c r="X281" t="s">
        <v>11</v>
      </c>
      <c r="Y281" t="s">
        <v>8</v>
      </c>
      <c r="Z281" t="s">
        <v>17</v>
      </c>
      <c r="AA281" t="s">
        <v>538</v>
      </c>
      <c r="AB281" t="s">
        <v>11</v>
      </c>
      <c r="AC281" t="s">
        <v>11</v>
      </c>
      <c r="AD281" t="s">
        <v>11</v>
      </c>
      <c r="AE281" s="2">
        <v>45848</v>
      </c>
      <c r="AF281" s="2"/>
      <c r="AG281" t="s">
        <v>11</v>
      </c>
      <c r="AH281" s="14">
        <f>VLOOKUP(M281,'[1]INDIAN ENTERPRISES'!$D:$D,1,0)</f>
        <v>256779415392</v>
      </c>
      <c r="AJ281" s="15">
        <f>VLOOKUP(M281,'[1]INDIAN ENTERPRISES'!$D:$L,9,0)</f>
        <v>45991</v>
      </c>
    </row>
    <row r="282" spans="1:36" hidden="1" outlineLevel="2" x14ac:dyDescent="0.25">
      <c r="A282" t="s">
        <v>20</v>
      </c>
      <c r="B282" t="s">
        <v>1</v>
      </c>
      <c r="C282" t="s">
        <v>2</v>
      </c>
      <c r="D282" t="s">
        <v>3</v>
      </c>
      <c r="E282" t="s">
        <v>4</v>
      </c>
      <c r="F282" t="s">
        <v>128</v>
      </c>
      <c r="G282" s="2">
        <v>45848</v>
      </c>
      <c r="H282" t="s">
        <v>539</v>
      </c>
      <c r="I282" t="s">
        <v>7</v>
      </c>
      <c r="J282" s="2">
        <v>45848</v>
      </c>
      <c r="K282" s="2">
        <v>45854</v>
      </c>
      <c r="L282" t="s">
        <v>8</v>
      </c>
      <c r="M282" s="14">
        <v>256779415393</v>
      </c>
      <c r="N282" t="s">
        <v>9</v>
      </c>
      <c r="O282" t="s">
        <v>10</v>
      </c>
      <c r="P282" t="s">
        <v>11</v>
      </c>
      <c r="Q282" t="s">
        <v>12</v>
      </c>
      <c r="R282" t="s">
        <v>13</v>
      </c>
      <c r="S282" s="3">
        <v>60</v>
      </c>
      <c r="T282" t="s">
        <v>14</v>
      </c>
      <c r="U282" s="3">
        <v>5160.04</v>
      </c>
      <c r="V282" t="s">
        <v>15</v>
      </c>
      <c r="W282" t="s">
        <v>136</v>
      </c>
      <c r="X282" t="s">
        <v>11</v>
      </c>
      <c r="Y282" t="s">
        <v>8</v>
      </c>
      <c r="Z282" t="s">
        <v>17</v>
      </c>
      <c r="AA282" t="s">
        <v>540</v>
      </c>
      <c r="AB282" t="s">
        <v>11</v>
      </c>
      <c r="AC282" t="s">
        <v>11</v>
      </c>
      <c r="AD282" t="s">
        <v>11</v>
      </c>
      <c r="AE282" s="2">
        <v>45848</v>
      </c>
      <c r="AF282" s="2"/>
      <c r="AG282" t="s">
        <v>11</v>
      </c>
      <c r="AH282" s="14">
        <f>VLOOKUP(M282,'[1]INDIAN ENTERPRISES'!$D:$D,1,0)</f>
        <v>256779415393</v>
      </c>
      <c r="AJ282" s="15">
        <f>VLOOKUP(M282,'[1]INDIAN ENTERPRISES'!$D:$L,9,0)</f>
        <v>45991</v>
      </c>
    </row>
    <row r="283" spans="1:36" hidden="1" outlineLevel="2" x14ac:dyDescent="0.25">
      <c r="A283" t="s">
        <v>20</v>
      </c>
      <c r="B283" t="s">
        <v>1</v>
      </c>
      <c r="C283" t="s">
        <v>2</v>
      </c>
      <c r="D283" t="s">
        <v>3</v>
      </c>
      <c r="E283" t="s">
        <v>4</v>
      </c>
      <c r="F283" t="s">
        <v>128</v>
      </c>
      <c r="G283" s="2">
        <v>45848</v>
      </c>
      <c r="H283" t="s">
        <v>541</v>
      </c>
      <c r="I283" t="s">
        <v>7</v>
      </c>
      <c r="J283" s="2">
        <v>45848</v>
      </c>
      <c r="K283" s="2">
        <v>45854</v>
      </c>
      <c r="L283" t="s">
        <v>8</v>
      </c>
      <c r="M283" s="14">
        <v>256779415394</v>
      </c>
      <c r="N283" t="s">
        <v>9</v>
      </c>
      <c r="O283" t="s">
        <v>10</v>
      </c>
      <c r="P283" t="s">
        <v>11</v>
      </c>
      <c r="Q283" t="s">
        <v>12</v>
      </c>
      <c r="R283" t="s">
        <v>13</v>
      </c>
      <c r="S283" s="3">
        <v>96</v>
      </c>
      <c r="T283" t="s">
        <v>14</v>
      </c>
      <c r="U283" s="3">
        <v>8256.06</v>
      </c>
      <c r="V283" t="s">
        <v>15</v>
      </c>
      <c r="W283" t="s">
        <v>136</v>
      </c>
      <c r="X283" t="s">
        <v>11</v>
      </c>
      <c r="Y283" t="s">
        <v>8</v>
      </c>
      <c r="Z283" t="s">
        <v>17</v>
      </c>
      <c r="AA283" t="s">
        <v>542</v>
      </c>
      <c r="AB283" t="s">
        <v>11</v>
      </c>
      <c r="AC283" t="s">
        <v>11</v>
      </c>
      <c r="AD283" t="s">
        <v>11</v>
      </c>
      <c r="AE283" s="2">
        <v>45848</v>
      </c>
      <c r="AF283" s="2"/>
      <c r="AG283" t="s">
        <v>11</v>
      </c>
      <c r="AH283" s="14">
        <f>VLOOKUP(M283,'[1]INDIAN ENTERPRISES'!$D:$D,1,0)</f>
        <v>256779415394</v>
      </c>
      <c r="AJ283" s="15">
        <f>VLOOKUP(M283,'[1]INDIAN ENTERPRISES'!$D:$L,9,0)</f>
        <v>45991</v>
      </c>
    </row>
    <row r="284" spans="1:36" hidden="1" outlineLevel="2" x14ac:dyDescent="0.25">
      <c r="A284" t="s">
        <v>20</v>
      </c>
      <c r="B284" t="s">
        <v>1</v>
      </c>
      <c r="C284" t="s">
        <v>2</v>
      </c>
      <c r="D284" t="s">
        <v>3</v>
      </c>
      <c r="E284" t="s">
        <v>4</v>
      </c>
      <c r="F284" t="s">
        <v>128</v>
      </c>
      <c r="G284" s="2">
        <v>45848</v>
      </c>
      <c r="H284" t="s">
        <v>543</v>
      </c>
      <c r="I284" t="s">
        <v>7</v>
      </c>
      <c r="J284" s="2">
        <v>45848</v>
      </c>
      <c r="K284" s="2">
        <v>45854</v>
      </c>
      <c r="L284" t="s">
        <v>8</v>
      </c>
      <c r="M284" s="14">
        <v>256779415395</v>
      </c>
      <c r="N284" t="s">
        <v>9</v>
      </c>
      <c r="O284" t="s">
        <v>10</v>
      </c>
      <c r="P284" t="s">
        <v>11</v>
      </c>
      <c r="Q284" t="s">
        <v>12</v>
      </c>
      <c r="R284" t="s">
        <v>13</v>
      </c>
      <c r="S284" s="3">
        <v>205.72</v>
      </c>
      <c r="T284" t="s">
        <v>14</v>
      </c>
      <c r="U284" s="3">
        <v>17692.060000000001</v>
      </c>
      <c r="V284" t="s">
        <v>15</v>
      </c>
      <c r="W284" t="s">
        <v>136</v>
      </c>
      <c r="X284" t="s">
        <v>11</v>
      </c>
      <c r="Y284" t="s">
        <v>8</v>
      </c>
      <c r="Z284" t="s">
        <v>17</v>
      </c>
      <c r="AA284" t="s">
        <v>544</v>
      </c>
      <c r="AB284" t="s">
        <v>11</v>
      </c>
      <c r="AC284" t="s">
        <v>11</v>
      </c>
      <c r="AD284" t="s">
        <v>11</v>
      </c>
      <c r="AE284" s="2">
        <v>45848</v>
      </c>
      <c r="AF284" s="2"/>
      <c r="AG284" t="s">
        <v>11</v>
      </c>
      <c r="AH284" s="14">
        <f>VLOOKUP(M284,'[1]INDIAN ENTERPRISES'!$D:$D,1,0)</f>
        <v>256779415395</v>
      </c>
      <c r="AJ284" s="15">
        <f>VLOOKUP(M284,'[1]INDIAN ENTERPRISES'!$D:$L,9,0)</f>
        <v>45991</v>
      </c>
    </row>
    <row r="285" spans="1:36" hidden="1" outlineLevel="2" x14ac:dyDescent="0.25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128</v>
      </c>
      <c r="G285" s="2">
        <v>45848</v>
      </c>
      <c r="H285" t="s">
        <v>545</v>
      </c>
      <c r="I285" t="s">
        <v>98</v>
      </c>
      <c r="J285" s="2">
        <v>45848</v>
      </c>
      <c r="K285" s="2">
        <v>45854</v>
      </c>
      <c r="L285" t="s">
        <v>8</v>
      </c>
      <c r="M285" s="14">
        <v>256779421310</v>
      </c>
      <c r="N285" t="s">
        <v>9</v>
      </c>
      <c r="O285" t="s">
        <v>10</v>
      </c>
      <c r="P285" t="s">
        <v>11</v>
      </c>
      <c r="Q285" t="s">
        <v>42</v>
      </c>
      <c r="R285" t="s">
        <v>13</v>
      </c>
      <c r="S285" s="3">
        <v>-59</v>
      </c>
      <c r="T285" t="s">
        <v>14</v>
      </c>
      <c r="U285" s="3">
        <v>-5074.04</v>
      </c>
      <c r="V285" t="s">
        <v>37</v>
      </c>
      <c r="W285" t="s">
        <v>136</v>
      </c>
      <c r="X285" t="s">
        <v>11</v>
      </c>
      <c r="Y285" t="s">
        <v>8</v>
      </c>
      <c r="Z285" t="s">
        <v>17</v>
      </c>
      <c r="AA285" t="s">
        <v>546</v>
      </c>
      <c r="AB285" t="s">
        <v>11</v>
      </c>
      <c r="AC285" t="s">
        <v>11</v>
      </c>
      <c r="AD285" t="s">
        <v>11</v>
      </c>
      <c r="AE285" s="2">
        <v>45848</v>
      </c>
      <c r="AF285" s="2">
        <v>45974</v>
      </c>
      <c r="AG285" t="s">
        <v>39</v>
      </c>
      <c r="AH285" s="14" t="e">
        <f>VLOOKUP(M285,'[1]INDIAN ENTERPRISES'!$D:$D,1,0)</f>
        <v>#N/A</v>
      </c>
      <c r="AI285" t="str">
        <f>VLOOKUP(M285,'[2]CN Not in Customer books'!$D:$J,7,0)</f>
        <v>Invoice &amp; CN both not received &amp; booked</v>
      </c>
      <c r="AJ285" s="15" t="e">
        <f>VLOOKUP(M285,'[1]INDIAN ENTERPRISES'!$D:$L,9,0)</f>
        <v>#N/A</v>
      </c>
    </row>
    <row r="286" spans="1:36" hidden="1" outlineLevel="2" x14ac:dyDescent="0.25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128</v>
      </c>
      <c r="G286" s="2">
        <v>45848</v>
      </c>
      <c r="H286" t="s">
        <v>547</v>
      </c>
      <c r="I286" t="s">
        <v>98</v>
      </c>
      <c r="J286" s="2">
        <v>45848</v>
      </c>
      <c r="K286" s="2">
        <v>45854</v>
      </c>
      <c r="L286" t="s">
        <v>8</v>
      </c>
      <c r="M286" s="14">
        <v>256779421311</v>
      </c>
      <c r="N286" t="s">
        <v>9</v>
      </c>
      <c r="O286" t="s">
        <v>10</v>
      </c>
      <c r="P286" t="s">
        <v>11</v>
      </c>
      <c r="Q286" t="s">
        <v>42</v>
      </c>
      <c r="R286" t="s">
        <v>13</v>
      </c>
      <c r="S286" s="3">
        <v>-141.6</v>
      </c>
      <c r="T286" t="s">
        <v>14</v>
      </c>
      <c r="U286" s="3">
        <v>-12177.69</v>
      </c>
      <c r="V286" t="s">
        <v>37</v>
      </c>
      <c r="W286" t="s">
        <v>136</v>
      </c>
      <c r="X286" t="s">
        <v>11</v>
      </c>
      <c r="Y286" t="s">
        <v>8</v>
      </c>
      <c r="Z286" t="s">
        <v>17</v>
      </c>
      <c r="AA286" t="s">
        <v>548</v>
      </c>
      <c r="AB286" t="s">
        <v>11</v>
      </c>
      <c r="AC286" t="s">
        <v>11</v>
      </c>
      <c r="AD286" t="s">
        <v>11</v>
      </c>
      <c r="AE286" s="2">
        <v>45848</v>
      </c>
      <c r="AF286" s="2">
        <v>45974</v>
      </c>
      <c r="AG286" t="s">
        <v>39</v>
      </c>
      <c r="AH286" s="14" t="e">
        <f>VLOOKUP(M286,'[1]INDIAN ENTERPRISES'!$D:$D,1,0)</f>
        <v>#N/A</v>
      </c>
      <c r="AI286" t="str">
        <f>VLOOKUP(M286,'[2]CN Not in Customer books'!$D:$J,7,0)</f>
        <v>Invoice &amp; CN both not received &amp; booked</v>
      </c>
      <c r="AJ286" s="15" t="e">
        <f>VLOOKUP(M286,'[1]INDIAN ENTERPRISES'!$D:$L,9,0)</f>
        <v>#N/A</v>
      </c>
    </row>
    <row r="287" spans="1:36" hidden="1" outlineLevel="2" x14ac:dyDescent="0.25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128</v>
      </c>
      <c r="G287" s="2">
        <v>45848</v>
      </c>
      <c r="H287" t="s">
        <v>549</v>
      </c>
      <c r="I287" t="s">
        <v>98</v>
      </c>
      <c r="J287" s="2">
        <v>45848</v>
      </c>
      <c r="K287" s="2">
        <v>45854</v>
      </c>
      <c r="L287" t="s">
        <v>8</v>
      </c>
      <c r="M287" s="14">
        <v>256779421312</v>
      </c>
      <c r="N287" t="s">
        <v>9</v>
      </c>
      <c r="O287" t="s">
        <v>10</v>
      </c>
      <c r="P287" t="s">
        <v>11</v>
      </c>
      <c r="Q287" t="s">
        <v>42</v>
      </c>
      <c r="R287" t="s">
        <v>13</v>
      </c>
      <c r="S287" s="3">
        <v>-275.07</v>
      </c>
      <c r="T287" t="s">
        <v>14</v>
      </c>
      <c r="U287" s="3">
        <v>-23656.2</v>
      </c>
      <c r="V287" t="s">
        <v>37</v>
      </c>
      <c r="W287" t="s">
        <v>136</v>
      </c>
      <c r="X287" t="s">
        <v>11</v>
      </c>
      <c r="Y287" t="s">
        <v>8</v>
      </c>
      <c r="Z287" t="s">
        <v>17</v>
      </c>
      <c r="AA287" t="s">
        <v>548</v>
      </c>
      <c r="AB287" t="s">
        <v>11</v>
      </c>
      <c r="AC287" t="s">
        <v>11</v>
      </c>
      <c r="AD287" t="s">
        <v>11</v>
      </c>
      <c r="AE287" s="2">
        <v>45848</v>
      </c>
      <c r="AF287" s="2">
        <v>45974</v>
      </c>
      <c r="AG287" t="s">
        <v>39</v>
      </c>
      <c r="AH287" s="14" t="e">
        <f>VLOOKUP(M287,'[1]INDIAN ENTERPRISES'!$D:$D,1,0)</f>
        <v>#N/A</v>
      </c>
      <c r="AI287" t="str">
        <f>VLOOKUP(M287,'[2]CN Not in Customer books'!$D:$J,7,0)</f>
        <v>Invoice &amp; CN both not received &amp; booked</v>
      </c>
      <c r="AJ287" s="15" t="e">
        <f>VLOOKUP(M287,'[1]INDIAN ENTERPRISES'!$D:$L,9,0)</f>
        <v>#N/A</v>
      </c>
    </row>
    <row r="288" spans="1:36" hidden="1" outlineLevel="2" x14ac:dyDescent="0.25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128</v>
      </c>
      <c r="G288" s="2">
        <v>45848</v>
      </c>
      <c r="H288" t="s">
        <v>550</v>
      </c>
      <c r="I288" t="s">
        <v>98</v>
      </c>
      <c r="J288" s="2">
        <v>45848</v>
      </c>
      <c r="K288" s="2">
        <v>45854</v>
      </c>
      <c r="L288" t="s">
        <v>8</v>
      </c>
      <c r="M288" s="14">
        <v>256779421313</v>
      </c>
      <c r="N288" t="s">
        <v>9</v>
      </c>
      <c r="O288" t="s">
        <v>10</v>
      </c>
      <c r="P288" t="s">
        <v>11</v>
      </c>
      <c r="Q288" t="s">
        <v>42</v>
      </c>
      <c r="R288" t="s">
        <v>13</v>
      </c>
      <c r="S288" s="3">
        <v>-236</v>
      </c>
      <c r="T288" t="s">
        <v>14</v>
      </c>
      <c r="U288" s="3">
        <v>-20296.16</v>
      </c>
      <c r="V288" t="s">
        <v>37</v>
      </c>
      <c r="W288" t="s">
        <v>136</v>
      </c>
      <c r="X288" t="s">
        <v>11</v>
      </c>
      <c r="Y288" t="s">
        <v>8</v>
      </c>
      <c r="Z288" t="s">
        <v>17</v>
      </c>
      <c r="AA288" t="s">
        <v>548</v>
      </c>
      <c r="AB288" t="s">
        <v>11</v>
      </c>
      <c r="AC288" t="s">
        <v>11</v>
      </c>
      <c r="AD288" t="s">
        <v>11</v>
      </c>
      <c r="AE288" s="2">
        <v>45848</v>
      </c>
      <c r="AF288" s="2">
        <v>45974</v>
      </c>
      <c r="AG288" t="s">
        <v>39</v>
      </c>
      <c r="AH288" s="14" t="e">
        <f>VLOOKUP(M288,'[1]INDIAN ENTERPRISES'!$D:$D,1,0)</f>
        <v>#N/A</v>
      </c>
      <c r="AI288" t="str">
        <f>VLOOKUP(M288,'[2]CN Not in Customer books'!$D:$J,7,0)</f>
        <v>Invoice &amp; CN both not received &amp; booked</v>
      </c>
      <c r="AJ288" s="15" t="e">
        <f>VLOOKUP(M288,'[1]INDIAN ENTERPRISES'!$D:$L,9,0)</f>
        <v>#N/A</v>
      </c>
    </row>
    <row r="289" spans="1:36" hidden="1" outlineLevel="2" x14ac:dyDescent="0.25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128</v>
      </c>
      <c r="G289" s="2">
        <v>45848</v>
      </c>
      <c r="H289" t="s">
        <v>551</v>
      </c>
      <c r="I289" t="s">
        <v>98</v>
      </c>
      <c r="J289" s="2">
        <v>45848</v>
      </c>
      <c r="K289" s="2">
        <v>45854</v>
      </c>
      <c r="L289" t="s">
        <v>8</v>
      </c>
      <c r="M289" s="14">
        <v>256779421314</v>
      </c>
      <c r="N289" t="s">
        <v>9</v>
      </c>
      <c r="O289" t="s">
        <v>10</v>
      </c>
      <c r="P289" t="s">
        <v>11</v>
      </c>
      <c r="Q289" t="s">
        <v>42</v>
      </c>
      <c r="R289" t="s">
        <v>13</v>
      </c>
      <c r="S289" s="3">
        <v>-70.8</v>
      </c>
      <c r="T289" t="s">
        <v>14</v>
      </c>
      <c r="U289" s="3">
        <v>-6088.85</v>
      </c>
      <c r="V289" t="s">
        <v>37</v>
      </c>
      <c r="W289" t="s">
        <v>136</v>
      </c>
      <c r="X289" t="s">
        <v>11</v>
      </c>
      <c r="Y289" t="s">
        <v>8</v>
      </c>
      <c r="Z289" t="s">
        <v>17</v>
      </c>
      <c r="AA289" t="s">
        <v>548</v>
      </c>
      <c r="AB289" t="s">
        <v>11</v>
      </c>
      <c r="AC289" t="s">
        <v>11</v>
      </c>
      <c r="AD289" t="s">
        <v>11</v>
      </c>
      <c r="AE289" s="2">
        <v>45848</v>
      </c>
      <c r="AF289" s="2">
        <v>45974</v>
      </c>
      <c r="AG289" t="s">
        <v>39</v>
      </c>
      <c r="AH289" s="14" t="e">
        <f>VLOOKUP(M289,'[1]INDIAN ENTERPRISES'!$D:$D,1,0)</f>
        <v>#N/A</v>
      </c>
      <c r="AI289" t="str">
        <f>VLOOKUP(M289,'[2]CN Not in Customer books'!$D:$J,7,0)</f>
        <v>Invoice &amp; CN both not received &amp; booked</v>
      </c>
      <c r="AJ289" s="15" t="e">
        <f>VLOOKUP(M289,'[1]INDIAN ENTERPRISES'!$D:$L,9,0)</f>
        <v>#N/A</v>
      </c>
    </row>
    <row r="290" spans="1:36" hidden="1" outlineLevel="2" x14ac:dyDescent="0.25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128</v>
      </c>
      <c r="G290" s="2">
        <v>45848</v>
      </c>
      <c r="H290" t="s">
        <v>552</v>
      </c>
      <c r="I290" t="s">
        <v>98</v>
      </c>
      <c r="J290" s="2">
        <v>45848</v>
      </c>
      <c r="K290" s="2">
        <v>45854</v>
      </c>
      <c r="L290" t="s">
        <v>8</v>
      </c>
      <c r="M290" s="14">
        <v>256779421315</v>
      </c>
      <c r="N290" t="s">
        <v>9</v>
      </c>
      <c r="O290" t="s">
        <v>10</v>
      </c>
      <c r="P290" t="s">
        <v>11</v>
      </c>
      <c r="Q290" t="s">
        <v>42</v>
      </c>
      <c r="R290" t="s">
        <v>13</v>
      </c>
      <c r="S290" s="3">
        <v>-138.82</v>
      </c>
      <c r="T290" t="s">
        <v>14</v>
      </c>
      <c r="U290" s="3">
        <v>-11938.61</v>
      </c>
      <c r="V290" t="s">
        <v>37</v>
      </c>
      <c r="W290" t="s">
        <v>136</v>
      </c>
      <c r="X290" t="s">
        <v>11</v>
      </c>
      <c r="Y290" t="s">
        <v>8</v>
      </c>
      <c r="Z290" t="s">
        <v>17</v>
      </c>
      <c r="AA290" t="s">
        <v>553</v>
      </c>
      <c r="AB290" t="s">
        <v>11</v>
      </c>
      <c r="AC290" t="s">
        <v>11</v>
      </c>
      <c r="AD290" t="s">
        <v>11</v>
      </c>
      <c r="AE290" s="2">
        <v>45848</v>
      </c>
      <c r="AF290" s="2">
        <v>45974</v>
      </c>
      <c r="AG290" t="s">
        <v>39</v>
      </c>
      <c r="AH290" s="14" t="e">
        <f>VLOOKUP(M290,'[1]INDIAN ENTERPRISES'!$D:$D,1,0)</f>
        <v>#N/A</v>
      </c>
      <c r="AI290" t="str">
        <f>VLOOKUP(M290,'[2]CN Not in Customer books'!$D:$J,7,0)</f>
        <v>Invoice &amp; CN both not received &amp; booked</v>
      </c>
      <c r="AJ290" s="15" t="e">
        <f>VLOOKUP(M290,'[1]INDIAN ENTERPRISES'!$D:$L,9,0)</f>
        <v>#N/A</v>
      </c>
    </row>
    <row r="291" spans="1:36" hidden="1" outlineLevel="2" x14ac:dyDescent="0.25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128</v>
      </c>
      <c r="G291" s="2">
        <v>45848</v>
      </c>
      <c r="H291" t="s">
        <v>554</v>
      </c>
      <c r="I291" t="s">
        <v>98</v>
      </c>
      <c r="J291" s="2">
        <v>45848</v>
      </c>
      <c r="K291" s="2">
        <v>45854</v>
      </c>
      <c r="L291" t="s">
        <v>8</v>
      </c>
      <c r="M291" s="14">
        <v>256779421316</v>
      </c>
      <c r="N291" t="s">
        <v>9</v>
      </c>
      <c r="O291" t="s">
        <v>10</v>
      </c>
      <c r="P291" t="s">
        <v>11</v>
      </c>
      <c r="Q291" t="s">
        <v>42</v>
      </c>
      <c r="R291" t="s">
        <v>13</v>
      </c>
      <c r="S291" s="3">
        <v>-183.84</v>
      </c>
      <c r="T291" t="s">
        <v>14</v>
      </c>
      <c r="U291" s="3">
        <v>-15810.36</v>
      </c>
      <c r="V291" t="s">
        <v>37</v>
      </c>
      <c r="W291" t="s">
        <v>136</v>
      </c>
      <c r="X291" t="s">
        <v>11</v>
      </c>
      <c r="Y291" t="s">
        <v>8</v>
      </c>
      <c r="Z291" t="s">
        <v>17</v>
      </c>
      <c r="AA291" t="s">
        <v>555</v>
      </c>
      <c r="AB291" t="s">
        <v>11</v>
      </c>
      <c r="AC291" t="s">
        <v>11</v>
      </c>
      <c r="AD291" t="s">
        <v>11</v>
      </c>
      <c r="AE291" s="2">
        <v>45848</v>
      </c>
      <c r="AF291" s="2">
        <v>45974</v>
      </c>
      <c r="AG291" t="s">
        <v>39</v>
      </c>
      <c r="AH291" s="14" t="e">
        <f>VLOOKUP(M291,'[1]INDIAN ENTERPRISES'!$D:$D,1,0)</f>
        <v>#N/A</v>
      </c>
      <c r="AI291" t="str">
        <f>VLOOKUP(M291,'[2]CN Not in Customer books'!$D:$J,7,0)</f>
        <v>Invoice &amp; CN both not received &amp; booked</v>
      </c>
      <c r="AJ291" s="15" t="e">
        <f>VLOOKUP(M291,'[1]INDIAN ENTERPRISES'!$D:$L,9,0)</f>
        <v>#N/A</v>
      </c>
    </row>
    <row r="292" spans="1:36" hidden="1" outlineLevel="2" x14ac:dyDescent="0.25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128</v>
      </c>
      <c r="G292" s="2">
        <v>45848</v>
      </c>
      <c r="H292" t="s">
        <v>556</v>
      </c>
      <c r="I292" t="s">
        <v>98</v>
      </c>
      <c r="J292" s="2">
        <v>45848</v>
      </c>
      <c r="K292" s="2">
        <v>45854</v>
      </c>
      <c r="L292" t="s">
        <v>8</v>
      </c>
      <c r="M292" s="14">
        <v>256779421317</v>
      </c>
      <c r="N292" t="s">
        <v>9</v>
      </c>
      <c r="O292" t="s">
        <v>10</v>
      </c>
      <c r="P292" t="s">
        <v>11</v>
      </c>
      <c r="Q292" t="s">
        <v>42</v>
      </c>
      <c r="R292" t="s">
        <v>13</v>
      </c>
      <c r="S292" s="3">
        <v>-413</v>
      </c>
      <c r="T292" t="s">
        <v>14</v>
      </c>
      <c r="U292" s="3">
        <v>-35518.28</v>
      </c>
      <c r="V292" t="s">
        <v>37</v>
      </c>
      <c r="W292" t="s">
        <v>136</v>
      </c>
      <c r="X292" t="s">
        <v>11</v>
      </c>
      <c r="Y292" t="s">
        <v>8</v>
      </c>
      <c r="Z292" t="s">
        <v>17</v>
      </c>
      <c r="AA292" t="s">
        <v>557</v>
      </c>
      <c r="AB292" t="s">
        <v>11</v>
      </c>
      <c r="AC292" t="s">
        <v>11</v>
      </c>
      <c r="AD292" t="s">
        <v>11</v>
      </c>
      <c r="AE292" s="2">
        <v>45848</v>
      </c>
      <c r="AF292" s="2">
        <v>45974</v>
      </c>
      <c r="AG292" t="s">
        <v>39</v>
      </c>
      <c r="AH292" s="14" t="e">
        <f>VLOOKUP(M292,'[1]INDIAN ENTERPRISES'!$D:$D,1,0)</f>
        <v>#N/A</v>
      </c>
      <c r="AI292" t="str">
        <f>VLOOKUP(M292,'[2]CN Not in Customer books'!$D:$J,7,0)</f>
        <v>Invoice &amp; CN both not received &amp; booked</v>
      </c>
      <c r="AJ292" s="15" t="e">
        <f>VLOOKUP(M292,'[1]INDIAN ENTERPRISES'!$D:$L,9,0)</f>
        <v>#N/A</v>
      </c>
    </row>
    <row r="293" spans="1:36" hidden="1" outlineLevel="2" x14ac:dyDescent="0.25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128</v>
      </c>
      <c r="G293" s="2">
        <v>45848</v>
      </c>
      <c r="H293" t="s">
        <v>558</v>
      </c>
      <c r="I293" t="s">
        <v>98</v>
      </c>
      <c r="J293" s="2">
        <v>45848</v>
      </c>
      <c r="K293" s="2">
        <v>45854</v>
      </c>
      <c r="L293" t="s">
        <v>8</v>
      </c>
      <c r="M293" s="14">
        <v>256779421318</v>
      </c>
      <c r="N293" t="s">
        <v>9</v>
      </c>
      <c r="O293" t="s">
        <v>10</v>
      </c>
      <c r="P293" t="s">
        <v>11</v>
      </c>
      <c r="Q293" t="s">
        <v>42</v>
      </c>
      <c r="R293" t="s">
        <v>13</v>
      </c>
      <c r="S293" s="3">
        <v>-28.32</v>
      </c>
      <c r="T293" t="s">
        <v>14</v>
      </c>
      <c r="U293" s="3">
        <v>-2435.54</v>
      </c>
      <c r="V293" t="s">
        <v>37</v>
      </c>
      <c r="W293" t="s">
        <v>136</v>
      </c>
      <c r="X293" t="s">
        <v>11</v>
      </c>
      <c r="Y293" t="s">
        <v>8</v>
      </c>
      <c r="Z293" t="s">
        <v>17</v>
      </c>
      <c r="AA293" t="s">
        <v>559</v>
      </c>
      <c r="AB293" t="s">
        <v>11</v>
      </c>
      <c r="AC293" t="s">
        <v>11</v>
      </c>
      <c r="AD293" t="s">
        <v>11</v>
      </c>
      <c r="AE293" s="2">
        <v>45848</v>
      </c>
      <c r="AF293" s="2">
        <v>45974</v>
      </c>
      <c r="AG293" t="s">
        <v>39</v>
      </c>
      <c r="AH293" s="14" t="e">
        <f>VLOOKUP(M293,'[1]INDIAN ENTERPRISES'!$D:$D,1,0)</f>
        <v>#N/A</v>
      </c>
      <c r="AI293" t="str">
        <f>VLOOKUP(M293,'[2]CN Not in Customer books'!$D:$J,7,0)</f>
        <v>Invoice &amp; CN both not received &amp; booked</v>
      </c>
      <c r="AJ293" s="15" t="e">
        <f>VLOOKUP(M293,'[1]INDIAN ENTERPRISES'!$D:$L,9,0)</f>
        <v>#N/A</v>
      </c>
    </row>
    <row r="294" spans="1:36" hidden="1" outlineLevel="2" x14ac:dyDescent="0.25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128</v>
      </c>
      <c r="G294" s="2">
        <v>45848</v>
      </c>
      <c r="H294" t="s">
        <v>560</v>
      </c>
      <c r="I294" t="s">
        <v>98</v>
      </c>
      <c r="J294" s="2">
        <v>45848</v>
      </c>
      <c r="K294" s="2">
        <v>45854</v>
      </c>
      <c r="L294" t="s">
        <v>8</v>
      </c>
      <c r="M294" s="14">
        <v>256779421319</v>
      </c>
      <c r="N294" t="s">
        <v>9</v>
      </c>
      <c r="O294" t="s">
        <v>10</v>
      </c>
      <c r="P294" t="s">
        <v>11</v>
      </c>
      <c r="Q294" t="s">
        <v>42</v>
      </c>
      <c r="R294" t="s">
        <v>13</v>
      </c>
      <c r="S294" s="3">
        <v>-8.85</v>
      </c>
      <c r="T294" t="s">
        <v>14</v>
      </c>
      <c r="U294" s="3">
        <v>-761.11</v>
      </c>
      <c r="V294" t="s">
        <v>37</v>
      </c>
      <c r="W294" t="s">
        <v>136</v>
      </c>
      <c r="X294" t="s">
        <v>11</v>
      </c>
      <c r="Y294" t="s">
        <v>8</v>
      </c>
      <c r="Z294" t="s">
        <v>17</v>
      </c>
      <c r="AA294" t="s">
        <v>559</v>
      </c>
      <c r="AB294" t="s">
        <v>11</v>
      </c>
      <c r="AC294" t="s">
        <v>11</v>
      </c>
      <c r="AD294" t="s">
        <v>11</v>
      </c>
      <c r="AE294" s="2">
        <v>45848</v>
      </c>
      <c r="AF294" s="2">
        <v>45974</v>
      </c>
      <c r="AG294" t="s">
        <v>39</v>
      </c>
      <c r="AH294" s="14" t="e">
        <f>VLOOKUP(M294,'[1]INDIAN ENTERPRISES'!$D:$D,1,0)</f>
        <v>#N/A</v>
      </c>
      <c r="AI294" t="str">
        <f>VLOOKUP(M294,'[2]CN Not in Customer books'!$D:$J,7,0)</f>
        <v>Invoice &amp; CN both not received &amp; booked</v>
      </c>
      <c r="AJ294" s="15" t="e">
        <f>VLOOKUP(M294,'[1]INDIAN ENTERPRISES'!$D:$L,9,0)</f>
        <v>#N/A</v>
      </c>
    </row>
    <row r="295" spans="1:36" hidden="1" outlineLevel="2" x14ac:dyDescent="0.25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128</v>
      </c>
      <c r="G295" s="2">
        <v>45848</v>
      </c>
      <c r="H295" t="s">
        <v>561</v>
      </c>
      <c r="I295" t="s">
        <v>98</v>
      </c>
      <c r="J295" s="2">
        <v>45848</v>
      </c>
      <c r="K295" s="2">
        <v>45854</v>
      </c>
      <c r="L295" t="s">
        <v>8</v>
      </c>
      <c r="M295" s="14">
        <v>256779421320</v>
      </c>
      <c r="N295" t="s">
        <v>9</v>
      </c>
      <c r="O295" t="s">
        <v>10</v>
      </c>
      <c r="P295" t="s">
        <v>11</v>
      </c>
      <c r="Q295" t="s">
        <v>42</v>
      </c>
      <c r="R295" t="s">
        <v>13</v>
      </c>
      <c r="S295" s="3">
        <v>-83.66</v>
      </c>
      <c r="T295" t="s">
        <v>14</v>
      </c>
      <c r="U295" s="3">
        <v>-7194.82</v>
      </c>
      <c r="V295" t="s">
        <v>37</v>
      </c>
      <c r="W295" t="s">
        <v>136</v>
      </c>
      <c r="X295" t="s">
        <v>11</v>
      </c>
      <c r="Y295" t="s">
        <v>8</v>
      </c>
      <c r="Z295" t="s">
        <v>17</v>
      </c>
      <c r="AA295" t="s">
        <v>562</v>
      </c>
      <c r="AB295" t="s">
        <v>11</v>
      </c>
      <c r="AC295" t="s">
        <v>11</v>
      </c>
      <c r="AD295" t="s">
        <v>11</v>
      </c>
      <c r="AE295" s="2">
        <v>45848</v>
      </c>
      <c r="AF295" s="2">
        <v>45974</v>
      </c>
      <c r="AG295" t="s">
        <v>39</v>
      </c>
      <c r="AH295" s="14" t="e">
        <f>VLOOKUP(M295,'[1]INDIAN ENTERPRISES'!$D:$D,1,0)</f>
        <v>#N/A</v>
      </c>
      <c r="AI295" t="str">
        <f>VLOOKUP(M295,'[2]CN Not in Customer books'!$D:$J,7,0)</f>
        <v>Invoice &amp; CN both not received &amp; booked</v>
      </c>
      <c r="AJ295" s="15" t="e">
        <f>VLOOKUP(M295,'[1]INDIAN ENTERPRISES'!$D:$L,9,0)</f>
        <v>#N/A</v>
      </c>
    </row>
    <row r="296" spans="1:36" hidden="1" outlineLevel="2" x14ac:dyDescent="0.25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128</v>
      </c>
      <c r="G296" s="2">
        <v>45848</v>
      </c>
      <c r="H296" t="s">
        <v>563</v>
      </c>
      <c r="I296" t="s">
        <v>98</v>
      </c>
      <c r="J296" s="2">
        <v>45848</v>
      </c>
      <c r="K296" s="2">
        <v>45854</v>
      </c>
      <c r="L296" t="s">
        <v>8</v>
      </c>
      <c r="M296" s="14">
        <v>256779421321</v>
      </c>
      <c r="N296" t="s">
        <v>9</v>
      </c>
      <c r="O296" t="s">
        <v>10</v>
      </c>
      <c r="P296" t="s">
        <v>11</v>
      </c>
      <c r="Q296" t="s">
        <v>42</v>
      </c>
      <c r="R296" t="s">
        <v>13</v>
      </c>
      <c r="S296" s="3">
        <v>-2668.72</v>
      </c>
      <c r="T296" t="s">
        <v>14</v>
      </c>
      <c r="U296" s="3">
        <v>-229511.71</v>
      </c>
      <c r="V296" t="s">
        <v>37</v>
      </c>
      <c r="W296" t="s">
        <v>136</v>
      </c>
      <c r="X296" t="s">
        <v>11</v>
      </c>
      <c r="Y296" t="s">
        <v>8</v>
      </c>
      <c r="Z296" t="s">
        <v>17</v>
      </c>
      <c r="AA296" t="s">
        <v>564</v>
      </c>
      <c r="AB296" t="s">
        <v>11</v>
      </c>
      <c r="AC296" t="s">
        <v>11</v>
      </c>
      <c r="AD296" t="s">
        <v>11</v>
      </c>
      <c r="AE296" s="2">
        <v>45848</v>
      </c>
      <c r="AF296" s="2">
        <v>45974</v>
      </c>
      <c r="AG296" t="s">
        <v>39</v>
      </c>
      <c r="AH296" s="14" t="e">
        <f>VLOOKUP(M296,'[1]INDIAN ENTERPRISES'!$D:$D,1,0)</f>
        <v>#N/A</v>
      </c>
      <c r="AI296" t="str">
        <f>VLOOKUP(M296,'[2]CN Not in Customer books'!$D:$J,7,0)</f>
        <v>Invoice &amp; CN both not received &amp; booked</v>
      </c>
      <c r="AJ296" s="15" t="e">
        <f>VLOOKUP(M296,'[1]INDIAN ENTERPRISES'!$D:$L,9,0)</f>
        <v>#N/A</v>
      </c>
    </row>
    <row r="297" spans="1:36" hidden="1" outlineLevel="2" x14ac:dyDescent="0.25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128</v>
      </c>
      <c r="G297" s="2">
        <v>45848</v>
      </c>
      <c r="H297" t="s">
        <v>565</v>
      </c>
      <c r="I297" t="s">
        <v>98</v>
      </c>
      <c r="J297" s="2">
        <v>45848</v>
      </c>
      <c r="K297" s="2">
        <v>45854</v>
      </c>
      <c r="L297" t="s">
        <v>8</v>
      </c>
      <c r="M297" s="14">
        <v>256779421322</v>
      </c>
      <c r="N297" t="s">
        <v>9</v>
      </c>
      <c r="O297" t="s">
        <v>10</v>
      </c>
      <c r="P297" t="s">
        <v>11</v>
      </c>
      <c r="Q297" t="s">
        <v>42</v>
      </c>
      <c r="R297" t="s">
        <v>13</v>
      </c>
      <c r="S297" s="3">
        <v>-201.33</v>
      </c>
      <c r="T297" t="s">
        <v>14</v>
      </c>
      <c r="U297" s="3">
        <v>-17314.509999999998</v>
      </c>
      <c r="V297" t="s">
        <v>37</v>
      </c>
      <c r="W297" t="s">
        <v>136</v>
      </c>
      <c r="X297" t="s">
        <v>11</v>
      </c>
      <c r="Y297" t="s">
        <v>8</v>
      </c>
      <c r="Z297" t="s">
        <v>17</v>
      </c>
      <c r="AA297" t="s">
        <v>566</v>
      </c>
      <c r="AB297" t="s">
        <v>11</v>
      </c>
      <c r="AC297" t="s">
        <v>11</v>
      </c>
      <c r="AD297" t="s">
        <v>11</v>
      </c>
      <c r="AE297" s="2">
        <v>45848</v>
      </c>
      <c r="AF297" s="2">
        <v>45974</v>
      </c>
      <c r="AG297" t="s">
        <v>39</v>
      </c>
      <c r="AH297" s="14" t="e">
        <f>VLOOKUP(M297,'[1]INDIAN ENTERPRISES'!$D:$D,1,0)</f>
        <v>#N/A</v>
      </c>
      <c r="AI297" t="str">
        <f>VLOOKUP(M297,'[2]CN Not in Customer books'!$D:$J,7,0)</f>
        <v>Invoice &amp; CN both not received &amp; booked</v>
      </c>
      <c r="AJ297" s="15" t="e">
        <f>VLOOKUP(M297,'[1]INDIAN ENTERPRISES'!$D:$L,9,0)</f>
        <v>#N/A</v>
      </c>
    </row>
    <row r="298" spans="1:36" hidden="1" outlineLevel="2" x14ac:dyDescent="0.25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128</v>
      </c>
      <c r="G298" s="2">
        <v>45848</v>
      </c>
      <c r="H298" t="s">
        <v>567</v>
      </c>
      <c r="I298" t="s">
        <v>98</v>
      </c>
      <c r="J298" s="2">
        <v>45848</v>
      </c>
      <c r="K298" s="2">
        <v>45854</v>
      </c>
      <c r="L298" t="s">
        <v>8</v>
      </c>
      <c r="M298" s="14">
        <v>256779421323</v>
      </c>
      <c r="N298" t="s">
        <v>9</v>
      </c>
      <c r="O298" t="s">
        <v>10</v>
      </c>
      <c r="P298" t="s">
        <v>11</v>
      </c>
      <c r="Q298" t="s">
        <v>42</v>
      </c>
      <c r="R298" t="s">
        <v>13</v>
      </c>
      <c r="S298" s="3">
        <v>-130.93</v>
      </c>
      <c r="T298" t="s">
        <v>14</v>
      </c>
      <c r="U298" s="3">
        <v>-11260.07</v>
      </c>
      <c r="V298" t="s">
        <v>37</v>
      </c>
      <c r="W298" t="s">
        <v>136</v>
      </c>
      <c r="X298" t="s">
        <v>11</v>
      </c>
      <c r="Y298" t="s">
        <v>8</v>
      </c>
      <c r="Z298" t="s">
        <v>17</v>
      </c>
      <c r="AA298" t="s">
        <v>568</v>
      </c>
      <c r="AB298" t="s">
        <v>11</v>
      </c>
      <c r="AC298" t="s">
        <v>11</v>
      </c>
      <c r="AD298" t="s">
        <v>11</v>
      </c>
      <c r="AE298" s="2">
        <v>45848</v>
      </c>
      <c r="AF298" s="2">
        <v>45974</v>
      </c>
      <c r="AG298" t="s">
        <v>39</v>
      </c>
      <c r="AH298" s="14" t="e">
        <f>VLOOKUP(M298,'[1]INDIAN ENTERPRISES'!$D:$D,1,0)</f>
        <v>#N/A</v>
      </c>
      <c r="AI298" t="str">
        <f>VLOOKUP(M298,'[2]CN Not in Customer books'!$D:$J,7,0)</f>
        <v>Invoice &amp; CN both not received &amp; booked</v>
      </c>
      <c r="AJ298" s="15" t="e">
        <f>VLOOKUP(M298,'[1]INDIAN ENTERPRISES'!$D:$L,9,0)</f>
        <v>#N/A</v>
      </c>
    </row>
    <row r="299" spans="1:36" hidden="1" outlineLevel="2" x14ac:dyDescent="0.25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128</v>
      </c>
      <c r="G299" s="2">
        <v>45848</v>
      </c>
      <c r="H299" t="s">
        <v>569</v>
      </c>
      <c r="I299" t="s">
        <v>98</v>
      </c>
      <c r="J299" s="2">
        <v>45848</v>
      </c>
      <c r="K299" s="2">
        <v>45854</v>
      </c>
      <c r="L299" t="s">
        <v>8</v>
      </c>
      <c r="M299" s="14">
        <v>256779421324</v>
      </c>
      <c r="N299" t="s">
        <v>9</v>
      </c>
      <c r="O299" t="s">
        <v>10</v>
      </c>
      <c r="P299" t="s">
        <v>11</v>
      </c>
      <c r="Q299" t="s">
        <v>42</v>
      </c>
      <c r="R299" t="s">
        <v>13</v>
      </c>
      <c r="S299" s="3">
        <v>-967.68</v>
      </c>
      <c r="T299" t="s">
        <v>14</v>
      </c>
      <c r="U299" s="3">
        <v>-83221.13</v>
      </c>
      <c r="V299" t="s">
        <v>37</v>
      </c>
      <c r="W299" t="s">
        <v>136</v>
      </c>
      <c r="X299" t="s">
        <v>11</v>
      </c>
      <c r="Y299" t="s">
        <v>8</v>
      </c>
      <c r="Z299" t="s">
        <v>17</v>
      </c>
      <c r="AA299" t="s">
        <v>570</v>
      </c>
      <c r="AB299" t="s">
        <v>11</v>
      </c>
      <c r="AC299" t="s">
        <v>11</v>
      </c>
      <c r="AD299" t="s">
        <v>11</v>
      </c>
      <c r="AE299" s="2">
        <v>45848</v>
      </c>
      <c r="AF299" s="2">
        <v>45974</v>
      </c>
      <c r="AG299" t="s">
        <v>39</v>
      </c>
      <c r="AH299" s="14" t="e">
        <f>VLOOKUP(M299,'[1]INDIAN ENTERPRISES'!$D:$D,1,0)</f>
        <v>#N/A</v>
      </c>
      <c r="AI299" t="str">
        <f>VLOOKUP(M299,'[2]CN Not in Customer books'!$D:$J,7,0)</f>
        <v>Invoice &amp; CN both not received &amp; booked</v>
      </c>
      <c r="AJ299" s="15" t="e">
        <f>VLOOKUP(M299,'[1]INDIAN ENTERPRISES'!$D:$L,9,0)</f>
        <v>#N/A</v>
      </c>
    </row>
    <row r="300" spans="1:36" hidden="1" outlineLevel="2" x14ac:dyDescent="0.25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128</v>
      </c>
      <c r="G300" s="2">
        <v>45848</v>
      </c>
      <c r="H300" t="s">
        <v>571</v>
      </c>
      <c r="I300" t="s">
        <v>98</v>
      </c>
      <c r="J300" s="2">
        <v>45848</v>
      </c>
      <c r="K300" s="2">
        <v>45854</v>
      </c>
      <c r="L300" t="s">
        <v>8</v>
      </c>
      <c r="M300" s="14">
        <v>256779421325</v>
      </c>
      <c r="N300" t="s">
        <v>9</v>
      </c>
      <c r="O300" t="s">
        <v>10</v>
      </c>
      <c r="P300" t="s">
        <v>11</v>
      </c>
      <c r="Q300" t="s">
        <v>42</v>
      </c>
      <c r="R300" t="s">
        <v>13</v>
      </c>
      <c r="S300" s="3">
        <v>-236</v>
      </c>
      <c r="T300" t="s">
        <v>14</v>
      </c>
      <c r="U300" s="3">
        <v>-20296.16</v>
      </c>
      <c r="V300" t="s">
        <v>37</v>
      </c>
      <c r="W300" t="s">
        <v>136</v>
      </c>
      <c r="X300" t="s">
        <v>11</v>
      </c>
      <c r="Y300" t="s">
        <v>8</v>
      </c>
      <c r="Z300" t="s">
        <v>17</v>
      </c>
      <c r="AA300" t="s">
        <v>572</v>
      </c>
      <c r="AB300" t="s">
        <v>11</v>
      </c>
      <c r="AC300" t="s">
        <v>11</v>
      </c>
      <c r="AD300" t="s">
        <v>11</v>
      </c>
      <c r="AE300" s="2">
        <v>45848</v>
      </c>
      <c r="AF300" s="2">
        <v>45974</v>
      </c>
      <c r="AG300" t="s">
        <v>39</v>
      </c>
      <c r="AH300" s="14" t="e">
        <f>VLOOKUP(M300,'[1]INDIAN ENTERPRISES'!$D:$D,1,0)</f>
        <v>#N/A</v>
      </c>
      <c r="AI300" t="str">
        <f>VLOOKUP(M300,'[2]CN Not in Customer books'!$D:$J,7,0)</f>
        <v>Invoice &amp; CN both not received &amp; booked</v>
      </c>
      <c r="AJ300" s="15" t="e">
        <f>VLOOKUP(M300,'[1]INDIAN ENTERPRISES'!$D:$L,9,0)</f>
        <v>#N/A</v>
      </c>
    </row>
    <row r="301" spans="1:36" hidden="1" outlineLevel="2" x14ac:dyDescent="0.25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128</v>
      </c>
      <c r="G301" s="2">
        <v>45848</v>
      </c>
      <c r="H301" t="s">
        <v>573</v>
      </c>
      <c r="I301" t="s">
        <v>98</v>
      </c>
      <c r="J301" s="2">
        <v>45848</v>
      </c>
      <c r="K301" s="2">
        <v>45854</v>
      </c>
      <c r="L301" t="s">
        <v>8</v>
      </c>
      <c r="M301" s="14">
        <v>256779421326</v>
      </c>
      <c r="N301" t="s">
        <v>9</v>
      </c>
      <c r="O301" t="s">
        <v>10</v>
      </c>
      <c r="P301" t="s">
        <v>11</v>
      </c>
      <c r="Q301" t="s">
        <v>42</v>
      </c>
      <c r="R301" t="s">
        <v>13</v>
      </c>
      <c r="S301" s="3">
        <v>-70.8</v>
      </c>
      <c r="T301" t="s">
        <v>14</v>
      </c>
      <c r="U301" s="3">
        <v>-6088.85</v>
      </c>
      <c r="V301" t="s">
        <v>37</v>
      </c>
      <c r="W301" t="s">
        <v>136</v>
      </c>
      <c r="X301" t="s">
        <v>11</v>
      </c>
      <c r="Y301" t="s">
        <v>8</v>
      </c>
      <c r="Z301" t="s">
        <v>17</v>
      </c>
      <c r="AA301" t="s">
        <v>572</v>
      </c>
      <c r="AB301" t="s">
        <v>11</v>
      </c>
      <c r="AC301" t="s">
        <v>11</v>
      </c>
      <c r="AD301" t="s">
        <v>11</v>
      </c>
      <c r="AE301" s="2">
        <v>45848</v>
      </c>
      <c r="AF301" s="2">
        <v>45974</v>
      </c>
      <c r="AG301" t="s">
        <v>39</v>
      </c>
      <c r="AH301" s="14" t="e">
        <f>VLOOKUP(M301,'[1]INDIAN ENTERPRISES'!$D:$D,1,0)</f>
        <v>#N/A</v>
      </c>
      <c r="AI301" t="str">
        <f>VLOOKUP(M301,'[2]CN Not in Customer books'!$D:$J,7,0)</f>
        <v>Invoice &amp; CN both not received &amp; booked</v>
      </c>
      <c r="AJ301" s="15" t="e">
        <f>VLOOKUP(M301,'[1]INDIAN ENTERPRISES'!$D:$L,9,0)</f>
        <v>#N/A</v>
      </c>
    </row>
    <row r="302" spans="1:36" hidden="1" outlineLevel="2" x14ac:dyDescent="0.25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128</v>
      </c>
      <c r="G302" s="2">
        <v>45848</v>
      </c>
      <c r="H302" t="s">
        <v>574</v>
      </c>
      <c r="I302" t="s">
        <v>98</v>
      </c>
      <c r="J302" s="2">
        <v>45848</v>
      </c>
      <c r="K302" s="2">
        <v>45854</v>
      </c>
      <c r="L302" t="s">
        <v>8</v>
      </c>
      <c r="M302" s="14">
        <v>256779421327</v>
      </c>
      <c r="N302" t="s">
        <v>9</v>
      </c>
      <c r="O302" t="s">
        <v>10</v>
      </c>
      <c r="P302" t="s">
        <v>11</v>
      </c>
      <c r="Q302" t="s">
        <v>42</v>
      </c>
      <c r="R302" t="s">
        <v>13</v>
      </c>
      <c r="S302" s="3">
        <v>-113.28</v>
      </c>
      <c r="T302" t="s">
        <v>14</v>
      </c>
      <c r="U302" s="3">
        <v>-9742.16</v>
      </c>
      <c r="V302" t="s">
        <v>37</v>
      </c>
      <c r="W302" t="s">
        <v>136</v>
      </c>
      <c r="X302" t="s">
        <v>11</v>
      </c>
      <c r="Y302" t="s">
        <v>8</v>
      </c>
      <c r="Z302" t="s">
        <v>17</v>
      </c>
      <c r="AA302" t="s">
        <v>572</v>
      </c>
      <c r="AB302" t="s">
        <v>11</v>
      </c>
      <c r="AC302" t="s">
        <v>11</v>
      </c>
      <c r="AD302" t="s">
        <v>11</v>
      </c>
      <c r="AE302" s="2">
        <v>45848</v>
      </c>
      <c r="AF302" s="2">
        <v>45974</v>
      </c>
      <c r="AG302" t="s">
        <v>39</v>
      </c>
      <c r="AH302" s="14" t="e">
        <f>VLOOKUP(M302,'[1]INDIAN ENTERPRISES'!$D:$D,1,0)</f>
        <v>#N/A</v>
      </c>
      <c r="AI302" t="str">
        <f>VLOOKUP(M302,'[2]CN Not in Customer books'!$D:$J,7,0)</f>
        <v>Invoice &amp; CN both not received &amp; booked</v>
      </c>
      <c r="AJ302" s="15" t="e">
        <f>VLOOKUP(M302,'[1]INDIAN ENTERPRISES'!$D:$L,9,0)</f>
        <v>#N/A</v>
      </c>
    </row>
    <row r="303" spans="1:36" hidden="1" outlineLevel="2" x14ac:dyDescent="0.25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128</v>
      </c>
      <c r="G303" s="2">
        <v>45848</v>
      </c>
      <c r="H303" t="s">
        <v>575</v>
      </c>
      <c r="I303" t="s">
        <v>98</v>
      </c>
      <c r="J303" s="2">
        <v>45848</v>
      </c>
      <c r="K303" s="2">
        <v>45854</v>
      </c>
      <c r="L303" t="s">
        <v>8</v>
      </c>
      <c r="M303" s="14">
        <v>256779421328</v>
      </c>
      <c r="N303" t="s">
        <v>9</v>
      </c>
      <c r="O303" t="s">
        <v>10</v>
      </c>
      <c r="P303" t="s">
        <v>11</v>
      </c>
      <c r="Q303" t="s">
        <v>42</v>
      </c>
      <c r="R303" t="s">
        <v>13</v>
      </c>
      <c r="S303" s="3">
        <v>-242.75</v>
      </c>
      <c r="T303" t="s">
        <v>14</v>
      </c>
      <c r="U303" s="3">
        <v>-20876.66</v>
      </c>
      <c r="V303" t="s">
        <v>37</v>
      </c>
      <c r="W303" t="s">
        <v>136</v>
      </c>
      <c r="X303" t="s">
        <v>11</v>
      </c>
      <c r="Y303" t="s">
        <v>8</v>
      </c>
      <c r="Z303" t="s">
        <v>17</v>
      </c>
      <c r="AA303" t="s">
        <v>572</v>
      </c>
      <c r="AB303" t="s">
        <v>11</v>
      </c>
      <c r="AC303" t="s">
        <v>11</v>
      </c>
      <c r="AD303" t="s">
        <v>11</v>
      </c>
      <c r="AE303" s="2">
        <v>45848</v>
      </c>
      <c r="AF303" s="2">
        <v>45974</v>
      </c>
      <c r="AG303" t="s">
        <v>39</v>
      </c>
      <c r="AH303" s="14" t="e">
        <f>VLOOKUP(M303,'[1]INDIAN ENTERPRISES'!$D:$D,1,0)</f>
        <v>#N/A</v>
      </c>
      <c r="AI303" t="str">
        <f>VLOOKUP(M303,'[2]CN Not in Customer books'!$D:$J,7,0)</f>
        <v>Invoice &amp; CN both not received &amp; booked</v>
      </c>
      <c r="AJ303" s="15" t="e">
        <f>VLOOKUP(M303,'[1]INDIAN ENTERPRISES'!$D:$L,9,0)</f>
        <v>#N/A</v>
      </c>
    </row>
    <row r="304" spans="1:36" hidden="1" outlineLevel="2" x14ac:dyDescent="0.25">
      <c r="A304" t="s">
        <v>20</v>
      </c>
      <c r="B304" t="s">
        <v>1</v>
      </c>
      <c r="C304" t="s">
        <v>2</v>
      </c>
      <c r="D304" t="s">
        <v>3</v>
      </c>
      <c r="E304" t="s">
        <v>4</v>
      </c>
      <c r="F304" t="s">
        <v>76</v>
      </c>
      <c r="G304" s="2">
        <v>45904</v>
      </c>
      <c r="H304" t="s">
        <v>576</v>
      </c>
      <c r="I304" t="s">
        <v>7</v>
      </c>
      <c r="J304" s="2">
        <v>45904</v>
      </c>
      <c r="K304" s="2">
        <v>45908</v>
      </c>
      <c r="L304" t="s">
        <v>8</v>
      </c>
      <c r="M304" s="14">
        <v>256779416909</v>
      </c>
      <c r="N304" t="s">
        <v>9</v>
      </c>
      <c r="O304" t="s">
        <v>10</v>
      </c>
      <c r="P304" t="s">
        <v>11</v>
      </c>
      <c r="Q304" t="s">
        <v>12</v>
      </c>
      <c r="R304" t="s">
        <v>13</v>
      </c>
      <c r="S304" s="3">
        <v>989.55</v>
      </c>
      <c r="T304" t="s">
        <v>14</v>
      </c>
      <c r="U304" s="3">
        <v>86599.81</v>
      </c>
      <c r="V304" t="s">
        <v>15</v>
      </c>
      <c r="W304" t="s">
        <v>16</v>
      </c>
      <c r="X304" t="s">
        <v>11</v>
      </c>
      <c r="Y304" t="s">
        <v>8</v>
      </c>
      <c r="Z304" t="s">
        <v>17</v>
      </c>
      <c r="AA304" t="s">
        <v>577</v>
      </c>
      <c r="AB304" t="s">
        <v>11</v>
      </c>
      <c r="AC304" t="s">
        <v>11</v>
      </c>
      <c r="AD304" t="s">
        <v>11</v>
      </c>
      <c r="AE304" s="2">
        <v>45904</v>
      </c>
      <c r="AF304" s="2"/>
      <c r="AG304" t="s">
        <v>11</v>
      </c>
      <c r="AH304" s="14">
        <f>VLOOKUP(M304,'[1]INDIAN ENTERPRISES'!$D:$D,1,0)</f>
        <v>256779416909</v>
      </c>
      <c r="AJ304" s="15">
        <f>VLOOKUP(M304,'[1]INDIAN ENTERPRISES'!$D:$L,9,0)</f>
        <v>46053</v>
      </c>
    </row>
    <row r="305" spans="1:36" hidden="1" outlineLevel="2" x14ac:dyDescent="0.25">
      <c r="A305" t="s">
        <v>20</v>
      </c>
      <c r="B305" t="s">
        <v>1</v>
      </c>
      <c r="C305" t="s">
        <v>2</v>
      </c>
      <c r="D305" t="s">
        <v>3</v>
      </c>
      <c r="E305" t="s">
        <v>4</v>
      </c>
      <c r="F305" t="s">
        <v>76</v>
      </c>
      <c r="G305" s="2">
        <v>45904</v>
      </c>
      <c r="H305" t="s">
        <v>578</v>
      </c>
      <c r="I305" t="s">
        <v>7</v>
      </c>
      <c r="J305" s="2">
        <v>45904</v>
      </c>
      <c r="K305" s="2">
        <v>45909</v>
      </c>
      <c r="L305" t="s">
        <v>8</v>
      </c>
      <c r="M305" s="14">
        <v>256779417134</v>
      </c>
      <c r="N305" t="s">
        <v>9</v>
      </c>
      <c r="O305" t="s">
        <v>10</v>
      </c>
      <c r="P305" t="s">
        <v>11</v>
      </c>
      <c r="Q305" t="s">
        <v>12</v>
      </c>
      <c r="R305" t="s">
        <v>13</v>
      </c>
      <c r="S305" s="3">
        <v>536.44000000000005</v>
      </c>
      <c r="T305" t="s">
        <v>14</v>
      </c>
      <c r="U305" s="3">
        <v>46946.19</v>
      </c>
      <c r="V305" t="s">
        <v>15</v>
      </c>
      <c r="W305" t="s">
        <v>16</v>
      </c>
      <c r="X305" t="s">
        <v>11</v>
      </c>
      <c r="Y305" t="s">
        <v>8</v>
      </c>
      <c r="Z305" t="s">
        <v>17</v>
      </c>
      <c r="AA305" t="s">
        <v>579</v>
      </c>
      <c r="AB305" t="s">
        <v>11</v>
      </c>
      <c r="AC305" t="s">
        <v>11</v>
      </c>
      <c r="AD305" t="s">
        <v>11</v>
      </c>
      <c r="AE305" s="2">
        <v>45904</v>
      </c>
      <c r="AF305" s="2"/>
      <c r="AG305" t="s">
        <v>11</v>
      </c>
      <c r="AH305" s="14">
        <f>VLOOKUP(M305,'[1]INDIAN ENTERPRISES'!$D:$D,1,0)</f>
        <v>256779417134</v>
      </c>
      <c r="AJ305" s="15">
        <f>VLOOKUP(M305,'[1]INDIAN ENTERPRISES'!$D:$L,9,0)</f>
        <v>45991</v>
      </c>
    </row>
    <row r="306" spans="1:36" hidden="1" outlineLevel="2" x14ac:dyDescent="0.25">
      <c r="A306" t="s">
        <v>20</v>
      </c>
      <c r="B306" t="s">
        <v>1</v>
      </c>
      <c r="C306" t="s">
        <v>2</v>
      </c>
      <c r="D306" t="s">
        <v>3</v>
      </c>
      <c r="E306" t="s">
        <v>4</v>
      </c>
      <c r="F306" t="s">
        <v>76</v>
      </c>
      <c r="G306" s="2">
        <v>45904</v>
      </c>
      <c r="H306" t="s">
        <v>580</v>
      </c>
      <c r="I306" t="s">
        <v>7</v>
      </c>
      <c r="J306" s="2">
        <v>45904</v>
      </c>
      <c r="K306" s="2">
        <v>45909</v>
      </c>
      <c r="L306" t="s">
        <v>8</v>
      </c>
      <c r="M306" s="14">
        <v>256779417137</v>
      </c>
      <c r="N306" t="s">
        <v>9</v>
      </c>
      <c r="O306" t="s">
        <v>10</v>
      </c>
      <c r="P306" t="s">
        <v>11</v>
      </c>
      <c r="Q306" t="s">
        <v>12</v>
      </c>
      <c r="R306" t="s">
        <v>13</v>
      </c>
      <c r="S306" s="3">
        <v>409.79</v>
      </c>
      <c r="T306" t="s">
        <v>14</v>
      </c>
      <c r="U306" s="3">
        <v>35862.5</v>
      </c>
      <c r="V306" t="s">
        <v>15</v>
      </c>
      <c r="W306" t="s">
        <v>16</v>
      </c>
      <c r="X306" t="s">
        <v>11</v>
      </c>
      <c r="Y306" t="s">
        <v>8</v>
      </c>
      <c r="Z306" t="s">
        <v>17</v>
      </c>
      <c r="AA306" t="s">
        <v>581</v>
      </c>
      <c r="AB306" t="s">
        <v>11</v>
      </c>
      <c r="AC306" t="s">
        <v>11</v>
      </c>
      <c r="AD306" t="s">
        <v>11</v>
      </c>
      <c r="AE306" s="2">
        <v>45904</v>
      </c>
      <c r="AF306" s="2"/>
      <c r="AG306" t="s">
        <v>11</v>
      </c>
      <c r="AH306" s="14">
        <f>VLOOKUP(M306,'[1]INDIAN ENTERPRISES'!$D:$D,1,0)</f>
        <v>256779417137</v>
      </c>
      <c r="AJ306" s="15">
        <f>VLOOKUP(M306,'[1]INDIAN ENTERPRISES'!$D:$L,9,0)</f>
        <v>45991</v>
      </c>
    </row>
    <row r="307" spans="1:36" hidden="1" outlineLevel="2" x14ac:dyDescent="0.25">
      <c r="A307" t="s">
        <v>20</v>
      </c>
      <c r="B307" t="s">
        <v>1</v>
      </c>
      <c r="C307" t="s">
        <v>2</v>
      </c>
      <c r="D307" t="s">
        <v>3</v>
      </c>
      <c r="E307" t="s">
        <v>4</v>
      </c>
      <c r="F307" t="s">
        <v>76</v>
      </c>
      <c r="G307" s="2">
        <v>45904</v>
      </c>
      <c r="H307" t="s">
        <v>582</v>
      </c>
      <c r="I307" t="s">
        <v>7</v>
      </c>
      <c r="J307" s="2">
        <v>45904</v>
      </c>
      <c r="K307" s="2">
        <v>45909</v>
      </c>
      <c r="L307" t="s">
        <v>8</v>
      </c>
      <c r="M307" s="14">
        <v>256779417158</v>
      </c>
      <c r="N307" t="s">
        <v>9</v>
      </c>
      <c r="O307" t="s">
        <v>10</v>
      </c>
      <c r="P307" t="s">
        <v>11</v>
      </c>
      <c r="Q307" t="s">
        <v>12</v>
      </c>
      <c r="R307" t="s">
        <v>13</v>
      </c>
      <c r="S307" s="3">
        <v>110</v>
      </c>
      <c r="T307" t="s">
        <v>14</v>
      </c>
      <c r="U307" s="3">
        <v>9626.58</v>
      </c>
      <c r="V307" t="s">
        <v>15</v>
      </c>
      <c r="W307" t="s">
        <v>16</v>
      </c>
      <c r="X307" t="s">
        <v>11</v>
      </c>
      <c r="Y307" t="s">
        <v>8</v>
      </c>
      <c r="Z307" t="s">
        <v>17</v>
      </c>
      <c r="AA307" t="s">
        <v>583</v>
      </c>
      <c r="AB307" t="s">
        <v>11</v>
      </c>
      <c r="AC307" t="s">
        <v>11</v>
      </c>
      <c r="AD307" t="s">
        <v>11</v>
      </c>
      <c r="AE307" s="2">
        <v>45904</v>
      </c>
      <c r="AF307" s="2"/>
      <c r="AG307" t="s">
        <v>11</v>
      </c>
      <c r="AH307" s="14">
        <f>VLOOKUP(M307,'[1]INDIAN ENTERPRISES'!$D:$D,1,0)</f>
        <v>256779417158</v>
      </c>
      <c r="AJ307" s="15">
        <f>VLOOKUP(M307,'[1]INDIAN ENTERPRISES'!$D:$L,9,0)</f>
        <v>45991</v>
      </c>
    </row>
    <row r="308" spans="1:36" hidden="1" outlineLevel="2" x14ac:dyDescent="0.25">
      <c r="A308" t="s">
        <v>20</v>
      </c>
      <c r="B308" t="s">
        <v>1</v>
      </c>
      <c r="C308" t="s">
        <v>2</v>
      </c>
      <c r="D308" t="s">
        <v>3</v>
      </c>
      <c r="E308" t="s">
        <v>4</v>
      </c>
      <c r="F308" t="s">
        <v>76</v>
      </c>
      <c r="G308" s="2">
        <v>45904</v>
      </c>
      <c r="H308" t="s">
        <v>584</v>
      </c>
      <c r="I308" t="s">
        <v>7</v>
      </c>
      <c r="J308" s="2">
        <v>45904</v>
      </c>
      <c r="K308" s="2">
        <v>45909</v>
      </c>
      <c r="L308" t="s">
        <v>8</v>
      </c>
      <c r="M308" s="14">
        <v>256779417200</v>
      </c>
      <c r="N308" t="s">
        <v>9</v>
      </c>
      <c r="O308" t="s">
        <v>10</v>
      </c>
      <c r="P308" t="s">
        <v>11</v>
      </c>
      <c r="Q308" t="s">
        <v>12</v>
      </c>
      <c r="R308" t="s">
        <v>13</v>
      </c>
      <c r="S308" s="3">
        <v>100.74</v>
      </c>
      <c r="T308" t="s">
        <v>14</v>
      </c>
      <c r="U308" s="3">
        <v>8816.19</v>
      </c>
      <c r="V308" t="s">
        <v>15</v>
      </c>
      <c r="W308" t="s">
        <v>16</v>
      </c>
      <c r="X308" t="s">
        <v>11</v>
      </c>
      <c r="Y308" t="s">
        <v>8</v>
      </c>
      <c r="Z308" t="s">
        <v>17</v>
      </c>
      <c r="AA308" t="s">
        <v>585</v>
      </c>
      <c r="AB308" t="s">
        <v>11</v>
      </c>
      <c r="AC308" t="s">
        <v>11</v>
      </c>
      <c r="AD308" t="s">
        <v>11</v>
      </c>
      <c r="AE308" s="2">
        <v>45904</v>
      </c>
      <c r="AF308" s="2"/>
      <c r="AG308" t="s">
        <v>11</v>
      </c>
      <c r="AH308" s="14">
        <f>VLOOKUP(M308,'[1]INDIAN ENTERPRISES'!$D:$D,1,0)</f>
        <v>256779417200</v>
      </c>
      <c r="AJ308" s="15">
        <f>VLOOKUP(M308,'[1]INDIAN ENTERPRISES'!$D:$L,9,0)</f>
        <v>45991</v>
      </c>
    </row>
    <row r="309" spans="1:36" hidden="1" outlineLevel="2" x14ac:dyDescent="0.25">
      <c r="A309" t="s">
        <v>20</v>
      </c>
      <c r="B309" t="s">
        <v>1</v>
      </c>
      <c r="C309" t="s">
        <v>2</v>
      </c>
      <c r="D309" t="s">
        <v>3</v>
      </c>
      <c r="E309" t="s">
        <v>4</v>
      </c>
      <c r="F309" t="s">
        <v>76</v>
      </c>
      <c r="G309" s="2">
        <v>45904</v>
      </c>
      <c r="H309" t="s">
        <v>586</v>
      </c>
      <c r="I309" t="s">
        <v>7</v>
      </c>
      <c r="J309" s="2">
        <v>45904</v>
      </c>
      <c r="K309" s="2">
        <v>45909</v>
      </c>
      <c r="L309" t="s">
        <v>8</v>
      </c>
      <c r="M309" s="14">
        <v>256779417238</v>
      </c>
      <c r="N309" t="s">
        <v>9</v>
      </c>
      <c r="O309" t="s">
        <v>10</v>
      </c>
      <c r="P309" t="s">
        <v>11</v>
      </c>
      <c r="Q309" t="s">
        <v>12</v>
      </c>
      <c r="R309" t="s">
        <v>13</v>
      </c>
      <c r="S309" s="3">
        <v>608.78</v>
      </c>
      <c r="T309" t="s">
        <v>14</v>
      </c>
      <c r="U309" s="3">
        <v>53276.97</v>
      </c>
      <c r="V309" t="s">
        <v>15</v>
      </c>
      <c r="W309" t="s">
        <v>16</v>
      </c>
      <c r="X309" t="s">
        <v>11</v>
      </c>
      <c r="Y309" t="s">
        <v>8</v>
      </c>
      <c r="Z309" t="s">
        <v>17</v>
      </c>
      <c r="AA309" t="s">
        <v>587</v>
      </c>
      <c r="AB309" t="s">
        <v>11</v>
      </c>
      <c r="AC309" t="s">
        <v>11</v>
      </c>
      <c r="AD309" t="s">
        <v>11</v>
      </c>
      <c r="AE309" s="2">
        <v>45904</v>
      </c>
      <c r="AF309" s="2"/>
      <c r="AG309" t="s">
        <v>11</v>
      </c>
      <c r="AH309" s="14">
        <f>VLOOKUP(M309,'[1]INDIAN ENTERPRISES'!$D:$D,1,0)</f>
        <v>256779417238</v>
      </c>
      <c r="AJ309" s="15">
        <f>VLOOKUP(M309,'[1]INDIAN ENTERPRISES'!$D:$L,9,0)</f>
        <v>45991</v>
      </c>
    </row>
    <row r="310" spans="1:36" hidden="1" outlineLevel="2" x14ac:dyDescent="0.25">
      <c r="A310" t="s">
        <v>20</v>
      </c>
      <c r="B310" t="s">
        <v>1</v>
      </c>
      <c r="C310" t="s">
        <v>2</v>
      </c>
      <c r="D310" t="s">
        <v>3</v>
      </c>
      <c r="E310" t="s">
        <v>4</v>
      </c>
      <c r="F310" t="s">
        <v>76</v>
      </c>
      <c r="G310" s="2">
        <v>45904</v>
      </c>
      <c r="H310" t="s">
        <v>588</v>
      </c>
      <c r="I310" t="s">
        <v>7</v>
      </c>
      <c r="J310" s="2">
        <v>45904</v>
      </c>
      <c r="K310" s="2">
        <v>45909</v>
      </c>
      <c r="L310" t="s">
        <v>8</v>
      </c>
      <c r="M310" s="14">
        <v>256779417250</v>
      </c>
      <c r="N310" t="s">
        <v>9</v>
      </c>
      <c r="O310" t="s">
        <v>10</v>
      </c>
      <c r="P310" t="s">
        <v>11</v>
      </c>
      <c r="Q310" t="s">
        <v>12</v>
      </c>
      <c r="R310" t="s">
        <v>13</v>
      </c>
      <c r="S310" s="3">
        <v>50</v>
      </c>
      <c r="T310" t="s">
        <v>14</v>
      </c>
      <c r="U310" s="3">
        <v>4375.72</v>
      </c>
      <c r="V310" t="s">
        <v>15</v>
      </c>
      <c r="W310" t="s">
        <v>16</v>
      </c>
      <c r="X310" t="s">
        <v>11</v>
      </c>
      <c r="Y310" t="s">
        <v>8</v>
      </c>
      <c r="Z310" t="s">
        <v>17</v>
      </c>
      <c r="AA310" t="s">
        <v>589</v>
      </c>
      <c r="AB310" t="s">
        <v>11</v>
      </c>
      <c r="AC310" t="s">
        <v>11</v>
      </c>
      <c r="AD310" t="s">
        <v>11</v>
      </c>
      <c r="AE310" s="2">
        <v>45904</v>
      </c>
      <c r="AF310" s="2"/>
      <c r="AG310" t="s">
        <v>11</v>
      </c>
      <c r="AH310" s="14">
        <f>VLOOKUP(M310,'[1]INDIAN ENTERPRISES'!$D:$D,1,0)</f>
        <v>256779417250</v>
      </c>
      <c r="AJ310" s="15">
        <f>VLOOKUP(M310,'[1]INDIAN ENTERPRISES'!$D:$L,9,0)</f>
        <v>46075</v>
      </c>
    </row>
    <row r="311" spans="1:36" hidden="1" outlineLevel="2" x14ac:dyDescent="0.25">
      <c r="A311" t="s">
        <v>20</v>
      </c>
      <c r="B311" t="s">
        <v>1</v>
      </c>
      <c r="C311" t="s">
        <v>2</v>
      </c>
      <c r="D311" t="s">
        <v>3</v>
      </c>
      <c r="E311" t="s">
        <v>4</v>
      </c>
      <c r="F311" t="s">
        <v>76</v>
      </c>
      <c r="G311" s="2">
        <v>45904</v>
      </c>
      <c r="H311" t="s">
        <v>590</v>
      </c>
      <c r="I311" t="s">
        <v>7</v>
      </c>
      <c r="J311" s="2">
        <v>45904</v>
      </c>
      <c r="K311" s="2">
        <v>45909</v>
      </c>
      <c r="L311" t="s">
        <v>8</v>
      </c>
      <c r="M311" s="14">
        <v>256779417257</v>
      </c>
      <c r="N311" t="s">
        <v>9</v>
      </c>
      <c r="O311" t="s">
        <v>10</v>
      </c>
      <c r="P311" t="s">
        <v>11</v>
      </c>
      <c r="Q311" t="s">
        <v>12</v>
      </c>
      <c r="R311" t="s">
        <v>13</v>
      </c>
      <c r="S311" s="3">
        <v>22.77</v>
      </c>
      <c r="T311" t="s">
        <v>14</v>
      </c>
      <c r="U311" s="3">
        <v>1992.7</v>
      </c>
      <c r="V311" t="s">
        <v>15</v>
      </c>
      <c r="W311" t="s">
        <v>16</v>
      </c>
      <c r="X311" t="s">
        <v>11</v>
      </c>
      <c r="Y311" t="s">
        <v>8</v>
      </c>
      <c r="Z311" t="s">
        <v>17</v>
      </c>
      <c r="AA311" t="s">
        <v>591</v>
      </c>
      <c r="AB311" t="s">
        <v>11</v>
      </c>
      <c r="AC311" t="s">
        <v>11</v>
      </c>
      <c r="AD311" t="s">
        <v>11</v>
      </c>
      <c r="AE311" s="2">
        <v>45904</v>
      </c>
      <c r="AF311" s="2"/>
      <c r="AG311" t="s">
        <v>11</v>
      </c>
      <c r="AH311" s="14">
        <f>VLOOKUP(M311,'[1]INDIAN ENTERPRISES'!$D:$D,1,0)</f>
        <v>256779417257</v>
      </c>
      <c r="AJ311" s="15">
        <f>VLOOKUP(M311,'[1]INDIAN ENTERPRISES'!$D:$L,9,0)</f>
        <v>45991</v>
      </c>
    </row>
    <row r="312" spans="1:36" hidden="1" outlineLevel="2" x14ac:dyDescent="0.25">
      <c r="A312" t="s">
        <v>20</v>
      </c>
      <c r="B312" t="s">
        <v>1</v>
      </c>
      <c r="C312" t="s">
        <v>2</v>
      </c>
      <c r="D312" t="s">
        <v>3</v>
      </c>
      <c r="E312" t="s">
        <v>4</v>
      </c>
      <c r="F312" t="s">
        <v>76</v>
      </c>
      <c r="G312" s="2">
        <v>45904</v>
      </c>
      <c r="H312" t="s">
        <v>592</v>
      </c>
      <c r="I312" t="s">
        <v>7</v>
      </c>
      <c r="J312" s="2">
        <v>45904</v>
      </c>
      <c r="K312" s="2">
        <v>45909</v>
      </c>
      <c r="L312" t="s">
        <v>8</v>
      </c>
      <c r="M312" s="14">
        <v>256779417280</v>
      </c>
      <c r="N312" t="s">
        <v>9</v>
      </c>
      <c r="O312" t="s">
        <v>10</v>
      </c>
      <c r="P312" t="s">
        <v>11</v>
      </c>
      <c r="Q312" t="s">
        <v>12</v>
      </c>
      <c r="R312" t="s">
        <v>13</v>
      </c>
      <c r="S312" s="3">
        <v>249.98</v>
      </c>
      <c r="T312" t="s">
        <v>14</v>
      </c>
      <c r="U312" s="3">
        <v>21876.83</v>
      </c>
      <c r="V312" t="s">
        <v>15</v>
      </c>
      <c r="W312" t="s">
        <v>16</v>
      </c>
      <c r="X312" t="s">
        <v>11</v>
      </c>
      <c r="Y312" t="s">
        <v>8</v>
      </c>
      <c r="Z312" t="s">
        <v>17</v>
      </c>
      <c r="AA312" t="s">
        <v>593</v>
      </c>
      <c r="AB312" t="s">
        <v>11</v>
      </c>
      <c r="AC312" t="s">
        <v>11</v>
      </c>
      <c r="AD312" t="s">
        <v>11</v>
      </c>
      <c r="AE312" s="2">
        <v>45904</v>
      </c>
      <c r="AF312" s="2"/>
      <c r="AG312" t="s">
        <v>11</v>
      </c>
      <c r="AH312" s="14">
        <f>VLOOKUP(M312,'[1]INDIAN ENTERPRISES'!$D:$D,1,0)</f>
        <v>256779417280</v>
      </c>
      <c r="AJ312" s="15">
        <f>VLOOKUP(M312,'[1]INDIAN ENTERPRISES'!$D:$L,9,0)</f>
        <v>46022</v>
      </c>
    </row>
    <row r="313" spans="1:36" hidden="1" outlineLevel="2" x14ac:dyDescent="0.25">
      <c r="A313" t="s">
        <v>20</v>
      </c>
      <c r="B313" t="s">
        <v>1</v>
      </c>
      <c r="C313" t="s">
        <v>2</v>
      </c>
      <c r="D313" t="s">
        <v>3</v>
      </c>
      <c r="E313" t="s">
        <v>4</v>
      </c>
      <c r="F313" t="s">
        <v>76</v>
      </c>
      <c r="G313" s="2">
        <v>45904</v>
      </c>
      <c r="H313" t="s">
        <v>594</v>
      </c>
      <c r="I313" t="s">
        <v>7</v>
      </c>
      <c r="J313" s="2">
        <v>45904</v>
      </c>
      <c r="K313" s="2">
        <v>45909</v>
      </c>
      <c r="L313" t="s">
        <v>8</v>
      </c>
      <c r="M313" s="14">
        <v>256779417317</v>
      </c>
      <c r="N313" t="s">
        <v>9</v>
      </c>
      <c r="O313" t="s">
        <v>10</v>
      </c>
      <c r="P313" t="s">
        <v>11</v>
      </c>
      <c r="Q313" t="s">
        <v>12</v>
      </c>
      <c r="R313" t="s">
        <v>13</v>
      </c>
      <c r="S313" s="3">
        <v>170.85</v>
      </c>
      <c r="T313" t="s">
        <v>14</v>
      </c>
      <c r="U313" s="3">
        <v>14951.82</v>
      </c>
      <c r="V313" t="s">
        <v>15</v>
      </c>
      <c r="W313" t="s">
        <v>16</v>
      </c>
      <c r="X313" t="s">
        <v>11</v>
      </c>
      <c r="Y313" t="s">
        <v>595</v>
      </c>
      <c r="Z313" t="s">
        <v>17</v>
      </c>
      <c r="AA313" t="s">
        <v>596</v>
      </c>
      <c r="AB313" t="s">
        <v>11</v>
      </c>
      <c r="AC313" t="s">
        <v>11</v>
      </c>
      <c r="AD313" t="s">
        <v>11</v>
      </c>
      <c r="AE313" s="2">
        <v>45904</v>
      </c>
      <c r="AF313" s="2"/>
      <c r="AG313" t="s">
        <v>11</v>
      </c>
      <c r="AH313" s="14">
        <f>VLOOKUP(M313,'[1]INDIAN ENTERPRISES'!$D:$D,1,0)</f>
        <v>256779417317</v>
      </c>
      <c r="AJ313" s="15">
        <f>VLOOKUP(M313,'[1]INDIAN ENTERPRISES'!$D:$L,9,0)</f>
        <v>46022</v>
      </c>
    </row>
    <row r="314" spans="1:36" hidden="1" outlineLevel="2" x14ac:dyDescent="0.25">
      <c r="A314" t="s">
        <v>20</v>
      </c>
      <c r="B314" t="s">
        <v>1</v>
      </c>
      <c r="C314" t="s">
        <v>2</v>
      </c>
      <c r="D314" t="s">
        <v>3</v>
      </c>
      <c r="E314" t="s">
        <v>4</v>
      </c>
      <c r="F314" t="s">
        <v>128</v>
      </c>
      <c r="G314" s="2">
        <v>45842</v>
      </c>
      <c r="H314" t="s">
        <v>597</v>
      </c>
      <c r="I314" t="s">
        <v>7</v>
      </c>
      <c r="J314" s="2">
        <v>45842</v>
      </c>
      <c r="K314" s="2">
        <v>45847</v>
      </c>
      <c r="L314" t="s">
        <v>8</v>
      </c>
      <c r="M314" s="14">
        <v>256779414859</v>
      </c>
      <c r="N314" t="s">
        <v>9</v>
      </c>
      <c r="O314" t="s">
        <v>10</v>
      </c>
      <c r="P314" t="s">
        <v>11</v>
      </c>
      <c r="Q314" t="s">
        <v>12</v>
      </c>
      <c r="R314" t="s">
        <v>13</v>
      </c>
      <c r="S314" s="3">
        <v>318.47000000000003</v>
      </c>
      <c r="T314" t="s">
        <v>14</v>
      </c>
      <c r="U314" s="3">
        <v>27388.63</v>
      </c>
      <c r="V314" t="s">
        <v>15</v>
      </c>
      <c r="W314" t="s">
        <v>16</v>
      </c>
      <c r="X314" t="s">
        <v>11</v>
      </c>
      <c r="Y314" t="s">
        <v>8</v>
      </c>
      <c r="Z314" t="s">
        <v>17</v>
      </c>
      <c r="AA314" t="s">
        <v>598</v>
      </c>
      <c r="AB314" t="s">
        <v>11</v>
      </c>
      <c r="AC314" t="s">
        <v>11</v>
      </c>
      <c r="AD314" t="s">
        <v>11</v>
      </c>
      <c r="AE314" s="2">
        <v>45842</v>
      </c>
      <c r="AF314" s="2"/>
      <c r="AG314" t="s">
        <v>11</v>
      </c>
      <c r="AH314" s="14">
        <f>VLOOKUP(M314,'[1]INDIAN ENTERPRISES'!$D:$D,1,0)</f>
        <v>256779414859</v>
      </c>
      <c r="AJ314" s="15">
        <f>VLOOKUP(M314,'[1]INDIAN ENTERPRISES'!$D:$L,9,0)</f>
        <v>45991</v>
      </c>
    </row>
    <row r="315" spans="1:36" hidden="1" outlineLevel="2" x14ac:dyDescent="0.25">
      <c r="A315" t="s">
        <v>20</v>
      </c>
      <c r="B315" t="s">
        <v>1</v>
      </c>
      <c r="C315" t="s">
        <v>2</v>
      </c>
      <c r="D315" t="s">
        <v>3</v>
      </c>
      <c r="E315" t="s">
        <v>4</v>
      </c>
      <c r="F315" t="s">
        <v>128</v>
      </c>
      <c r="G315" s="2">
        <v>45842</v>
      </c>
      <c r="H315" t="s">
        <v>599</v>
      </c>
      <c r="I315" t="s">
        <v>7</v>
      </c>
      <c r="J315" s="2">
        <v>45842</v>
      </c>
      <c r="K315" s="2">
        <v>45847</v>
      </c>
      <c r="L315" t="s">
        <v>8</v>
      </c>
      <c r="M315" s="14">
        <v>256779415012</v>
      </c>
      <c r="N315" t="s">
        <v>9</v>
      </c>
      <c r="O315" t="s">
        <v>10</v>
      </c>
      <c r="P315" t="s">
        <v>11</v>
      </c>
      <c r="Q315" t="s">
        <v>12</v>
      </c>
      <c r="R315" t="s">
        <v>13</v>
      </c>
      <c r="S315" s="3">
        <v>184.3</v>
      </c>
      <c r="T315" t="s">
        <v>14</v>
      </c>
      <c r="U315" s="3">
        <v>15849.92</v>
      </c>
      <c r="V315" t="s">
        <v>15</v>
      </c>
      <c r="W315" t="s">
        <v>16</v>
      </c>
      <c r="X315" t="s">
        <v>11</v>
      </c>
      <c r="Y315" t="s">
        <v>8</v>
      </c>
      <c r="Z315" t="s">
        <v>17</v>
      </c>
      <c r="AA315" t="s">
        <v>600</v>
      </c>
      <c r="AB315" t="s">
        <v>11</v>
      </c>
      <c r="AC315" t="s">
        <v>11</v>
      </c>
      <c r="AD315" t="s">
        <v>11</v>
      </c>
      <c r="AE315" s="2">
        <v>45842</v>
      </c>
      <c r="AF315" s="2"/>
      <c r="AG315" t="s">
        <v>11</v>
      </c>
      <c r="AH315" s="14">
        <f>VLOOKUP(M315,'[1]INDIAN ENTERPRISES'!$D:$D,1,0)</f>
        <v>256779415012</v>
      </c>
      <c r="AJ315" s="15">
        <f>VLOOKUP(M315,'[1]INDIAN ENTERPRISES'!$D:$L,9,0)</f>
        <v>46053</v>
      </c>
    </row>
    <row r="316" spans="1:36" hidden="1" outlineLevel="2" x14ac:dyDescent="0.25">
      <c r="A316" t="s">
        <v>20</v>
      </c>
      <c r="B316" t="s">
        <v>1</v>
      </c>
      <c r="C316" t="s">
        <v>2</v>
      </c>
      <c r="D316" t="s">
        <v>3</v>
      </c>
      <c r="E316" t="s">
        <v>4</v>
      </c>
      <c r="F316" t="s">
        <v>128</v>
      </c>
      <c r="G316" s="2">
        <v>45842</v>
      </c>
      <c r="H316" t="s">
        <v>601</v>
      </c>
      <c r="I316" t="s">
        <v>7</v>
      </c>
      <c r="J316" s="2">
        <v>45842</v>
      </c>
      <c r="K316" s="2">
        <v>45847</v>
      </c>
      <c r="L316" t="s">
        <v>8</v>
      </c>
      <c r="M316" s="14">
        <v>256779415208</v>
      </c>
      <c r="N316" t="s">
        <v>9</v>
      </c>
      <c r="O316" t="s">
        <v>10</v>
      </c>
      <c r="P316" t="s">
        <v>11</v>
      </c>
      <c r="Q316" t="s">
        <v>12</v>
      </c>
      <c r="R316" t="s">
        <v>13</v>
      </c>
      <c r="S316" s="3">
        <v>183.43</v>
      </c>
      <c r="T316" t="s">
        <v>14</v>
      </c>
      <c r="U316" s="3">
        <v>15775.1</v>
      </c>
      <c r="V316" t="s">
        <v>15</v>
      </c>
      <c r="W316" t="s">
        <v>16</v>
      </c>
      <c r="X316" t="s">
        <v>11</v>
      </c>
      <c r="Y316" t="s">
        <v>8</v>
      </c>
      <c r="Z316" t="s">
        <v>17</v>
      </c>
      <c r="AA316" t="s">
        <v>602</v>
      </c>
      <c r="AB316" t="s">
        <v>11</v>
      </c>
      <c r="AC316" t="s">
        <v>11</v>
      </c>
      <c r="AD316" t="s">
        <v>11</v>
      </c>
      <c r="AE316" s="2">
        <v>45842</v>
      </c>
      <c r="AF316" s="2"/>
      <c r="AG316" t="s">
        <v>11</v>
      </c>
      <c r="AH316" s="14">
        <f>VLOOKUP(M316,'[1]INDIAN ENTERPRISES'!$D:$D,1,0)</f>
        <v>256779415208</v>
      </c>
      <c r="AJ316" s="15">
        <f>VLOOKUP(M316,'[1]INDIAN ENTERPRISES'!$D:$L,9,0)</f>
        <v>45991</v>
      </c>
    </row>
    <row r="317" spans="1:36" hidden="1" outlineLevel="2" x14ac:dyDescent="0.25">
      <c r="A317" t="s">
        <v>20</v>
      </c>
      <c r="B317" t="s">
        <v>1</v>
      </c>
      <c r="C317" t="s">
        <v>2</v>
      </c>
      <c r="D317" t="s">
        <v>3</v>
      </c>
      <c r="E317" t="s">
        <v>4</v>
      </c>
      <c r="F317" t="s">
        <v>128</v>
      </c>
      <c r="G317" s="2">
        <v>45842</v>
      </c>
      <c r="H317" t="s">
        <v>603</v>
      </c>
      <c r="I317" t="s">
        <v>7</v>
      </c>
      <c r="J317" s="2">
        <v>45842</v>
      </c>
      <c r="K317" s="2">
        <v>45847</v>
      </c>
      <c r="L317" t="s">
        <v>8</v>
      </c>
      <c r="M317" s="14">
        <v>256779415209</v>
      </c>
      <c r="N317" t="s">
        <v>9</v>
      </c>
      <c r="O317" t="s">
        <v>10</v>
      </c>
      <c r="P317" t="s">
        <v>11</v>
      </c>
      <c r="Q317" t="s">
        <v>12</v>
      </c>
      <c r="R317" t="s">
        <v>13</v>
      </c>
      <c r="S317" s="3">
        <v>63.26</v>
      </c>
      <c r="T317" t="s">
        <v>14</v>
      </c>
      <c r="U317" s="3">
        <v>5440.4</v>
      </c>
      <c r="V317" t="s">
        <v>15</v>
      </c>
      <c r="W317" t="s">
        <v>16</v>
      </c>
      <c r="X317" t="s">
        <v>11</v>
      </c>
      <c r="Y317" t="s">
        <v>8</v>
      </c>
      <c r="Z317" t="s">
        <v>17</v>
      </c>
      <c r="AA317" t="s">
        <v>602</v>
      </c>
      <c r="AB317" t="s">
        <v>11</v>
      </c>
      <c r="AC317" t="s">
        <v>11</v>
      </c>
      <c r="AD317" t="s">
        <v>11</v>
      </c>
      <c r="AE317" s="2">
        <v>45842</v>
      </c>
      <c r="AF317" s="2"/>
      <c r="AG317" t="s">
        <v>11</v>
      </c>
      <c r="AH317" s="14">
        <f>VLOOKUP(M317,'[1]INDIAN ENTERPRISES'!$D:$D,1,0)</f>
        <v>256779415209</v>
      </c>
      <c r="AJ317" s="15">
        <f>VLOOKUP(M317,'[1]INDIAN ENTERPRISES'!$D:$L,9,0)</f>
        <v>45991</v>
      </c>
    </row>
    <row r="318" spans="1:36" hidden="1" outlineLevel="2" x14ac:dyDescent="0.25">
      <c r="A318" t="s">
        <v>20</v>
      </c>
      <c r="B318" t="s">
        <v>1</v>
      </c>
      <c r="C318" t="s">
        <v>2</v>
      </c>
      <c r="D318" t="s">
        <v>3</v>
      </c>
      <c r="E318" t="s">
        <v>4</v>
      </c>
      <c r="F318" t="s">
        <v>128</v>
      </c>
      <c r="G318" s="2">
        <v>45842</v>
      </c>
      <c r="H318" t="s">
        <v>604</v>
      </c>
      <c r="I318" t="s">
        <v>7</v>
      </c>
      <c r="J318" s="2">
        <v>45842</v>
      </c>
      <c r="K318" s="2">
        <v>45847</v>
      </c>
      <c r="L318" t="s">
        <v>8</v>
      </c>
      <c r="M318" s="14">
        <v>256779415210</v>
      </c>
      <c r="N318" t="s">
        <v>9</v>
      </c>
      <c r="O318" t="s">
        <v>10</v>
      </c>
      <c r="P318" t="s">
        <v>11</v>
      </c>
      <c r="Q318" t="s">
        <v>12</v>
      </c>
      <c r="R318" t="s">
        <v>13</v>
      </c>
      <c r="S318" s="3">
        <v>9629.6299999999992</v>
      </c>
      <c r="T318" t="s">
        <v>14</v>
      </c>
      <c r="U318" s="3">
        <v>828154.63</v>
      </c>
      <c r="V318" t="s">
        <v>15</v>
      </c>
      <c r="W318" t="s">
        <v>16</v>
      </c>
      <c r="X318" t="s">
        <v>11</v>
      </c>
      <c r="Y318" t="s">
        <v>8</v>
      </c>
      <c r="Z318" t="s">
        <v>17</v>
      </c>
      <c r="AA318" t="s">
        <v>602</v>
      </c>
      <c r="AB318" t="s">
        <v>11</v>
      </c>
      <c r="AC318" t="s">
        <v>11</v>
      </c>
      <c r="AD318" t="s">
        <v>11</v>
      </c>
      <c r="AE318" s="2">
        <v>45842</v>
      </c>
      <c r="AF318" s="2"/>
      <c r="AG318" t="s">
        <v>11</v>
      </c>
      <c r="AH318" s="14">
        <f>VLOOKUP(M318,'[1]INDIAN ENTERPRISES'!$D:$D,1,0)</f>
        <v>256779415210</v>
      </c>
      <c r="AJ318" s="15">
        <f>VLOOKUP(M318,'[1]INDIAN ENTERPRISES'!$D:$L,9,0)</f>
        <v>45991</v>
      </c>
    </row>
    <row r="319" spans="1:36" hidden="1" outlineLevel="2" x14ac:dyDescent="0.25">
      <c r="A319" t="s">
        <v>20</v>
      </c>
      <c r="B319" t="s">
        <v>1</v>
      </c>
      <c r="C319" t="s">
        <v>2</v>
      </c>
      <c r="D319" t="s">
        <v>3</v>
      </c>
      <c r="E319" t="s">
        <v>4</v>
      </c>
      <c r="F319" t="s">
        <v>128</v>
      </c>
      <c r="G319" s="2">
        <v>45842</v>
      </c>
      <c r="H319" t="s">
        <v>605</v>
      </c>
      <c r="I319" t="s">
        <v>7</v>
      </c>
      <c r="J319" s="2">
        <v>45842</v>
      </c>
      <c r="K319" s="2">
        <v>45847</v>
      </c>
      <c r="L319" t="s">
        <v>8</v>
      </c>
      <c r="M319" s="14">
        <v>256779415261</v>
      </c>
      <c r="N319" t="s">
        <v>9</v>
      </c>
      <c r="O319" t="s">
        <v>10</v>
      </c>
      <c r="P319" t="s">
        <v>11</v>
      </c>
      <c r="Q319" t="s">
        <v>12</v>
      </c>
      <c r="R319" t="s">
        <v>13</v>
      </c>
      <c r="S319" s="3">
        <v>292.95999999999998</v>
      </c>
      <c r="T319" t="s">
        <v>14</v>
      </c>
      <c r="U319" s="3">
        <v>25194.76</v>
      </c>
      <c r="V319" t="s">
        <v>15</v>
      </c>
      <c r="W319" t="s">
        <v>16</v>
      </c>
      <c r="X319" t="s">
        <v>11</v>
      </c>
      <c r="Y319" t="s">
        <v>11</v>
      </c>
      <c r="Z319" t="s">
        <v>17</v>
      </c>
      <c r="AA319" t="s">
        <v>606</v>
      </c>
      <c r="AB319" t="s">
        <v>11</v>
      </c>
      <c r="AC319" t="s">
        <v>11</v>
      </c>
      <c r="AD319" t="s">
        <v>11</v>
      </c>
      <c r="AE319" s="2">
        <v>45842</v>
      </c>
      <c r="AF319" s="2"/>
      <c r="AG319" t="s">
        <v>11</v>
      </c>
      <c r="AH319" s="14">
        <f>VLOOKUP(M319,'[1]INDIAN ENTERPRISES'!$D:$D,1,0)</f>
        <v>256779415261</v>
      </c>
      <c r="AJ319" s="15">
        <f>VLOOKUP(M319,'[1]INDIAN ENTERPRISES'!$D:$L,9,0)</f>
        <v>46053</v>
      </c>
    </row>
    <row r="320" spans="1:36" hidden="1" outlineLevel="2" x14ac:dyDescent="0.25">
      <c r="A320" t="s">
        <v>20</v>
      </c>
      <c r="B320" t="s">
        <v>1</v>
      </c>
      <c r="C320" t="s">
        <v>2</v>
      </c>
      <c r="D320" t="s">
        <v>3</v>
      </c>
      <c r="E320" t="s">
        <v>4</v>
      </c>
      <c r="F320" t="s">
        <v>128</v>
      </c>
      <c r="G320" s="2">
        <v>45842</v>
      </c>
      <c r="H320" t="s">
        <v>607</v>
      </c>
      <c r="I320" t="s">
        <v>7</v>
      </c>
      <c r="J320" s="2">
        <v>45842</v>
      </c>
      <c r="K320" s="2">
        <v>45847</v>
      </c>
      <c r="L320" t="s">
        <v>8</v>
      </c>
      <c r="M320" s="14">
        <v>256779415270</v>
      </c>
      <c r="N320" t="s">
        <v>9</v>
      </c>
      <c r="O320" t="s">
        <v>10</v>
      </c>
      <c r="P320" t="s">
        <v>11</v>
      </c>
      <c r="Q320" t="s">
        <v>12</v>
      </c>
      <c r="R320" t="s">
        <v>13</v>
      </c>
      <c r="S320" s="3">
        <v>420.86</v>
      </c>
      <c r="T320" t="s">
        <v>14</v>
      </c>
      <c r="U320" s="3">
        <v>36194.239999999998</v>
      </c>
      <c r="V320" t="s">
        <v>15</v>
      </c>
      <c r="W320" t="s">
        <v>16</v>
      </c>
      <c r="X320" t="s">
        <v>11</v>
      </c>
      <c r="Y320" t="s">
        <v>11</v>
      </c>
      <c r="Z320" t="s">
        <v>17</v>
      </c>
      <c r="AA320" t="s">
        <v>608</v>
      </c>
      <c r="AB320" t="s">
        <v>11</v>
      </c>
      <c r="AC320" t="s">
        <v>11</v>
      </c>
      <c r="AD320" t="s">
        <v>11</v>
      </c>
      <c r="AE320" s="2">
        <v>45842</v>
      </c>
      <c r="AF320" s="2"/>
      <c r="AG320" t="s">
        <v>11</v>
      </c>
      <c r="AH320" s="14">
        <f>VLOOKUP(M320,'[1]INDIAN ENTERPRISES'!$D:$D,1,0)</f>
        <v>256779415270</v>
      </c>
      <c r="AJ320" s="15">
        <f>VLOOKUP(M320,'[1]INDIAN ENTERPRISES'!$D:$L,9,0)</f>
        <v>45991</v>
      </c>
    </row>
    <row r="321" spans="1:36" hidden="1" outlineLevel="2" x14ac:dyDescent="0.25">
      <c r="A321" t="s">
        <v>20</v>
      </c>
      <c r="B321" t="s">
        <v>1</v>
      </c>
      <c r="C321" t="s">
        <v>2</v>
      </c>
      <c r="D321" t="s">
        <v>3</v>
      </c>
      <c r="E321" t="s">
        <v>4</v>
      </c>
      <c r="F321" t="s">
        <v>42</v>
      </c>
      <c r="G321" s="2">
        <v>45966</v>
      </c>
      <c r="H321" t="s">
        <v>609</v>
      </c>
      <c r="I321" t="s">
        <v>7</v>
      </c>
      <c r="J321" s="2">
        <v>45966</v>
      </c>
      <c r="K321" s="2">
        <v>45967</v>
      </c>
      <c r="L321" t="s">
        <v>8</v>
      </c>
      <c r="M321" s="14">
        <v>256779418816</v>
      </c>
      <c r="N321" t="s">
        <v>9</v>
      </c>
      <c r="O321" t="s">
        <v>10</v>
      </c>
      <c r="P321" t="s">
        <v>11</v>
      </c>
      <c r="Q321" t="s">
        <v>12</v>
      </c>
      <c r="R321" t="s">
        <v>13</v>
      </c>
      <c r="S321" s="3">
        <v>891</v>
      </c>
      <c r="T321" t="s">
        <v>14</v>
      </c>
      <c r="U321" s="3">
        <v>78411.02</v>
      </c>
      <c r="V321" t="s">
        <v>15</v>
      </c>
      <c r="W321" t="s">
        <v>16</v>
      </c>
      <c r="X321" t="s">
        <v>11</v>
      </c>
      <c r="Y321" t="s">
        <v>610</v>
      </c>
      <c r="Z321" t="s">
        <v>17</v>
      </c>
      <c r="AA321" t="s">
        <v>611</v>
      </c>
      <c r="AB321" t="s">
        <v>11</v>
      </c>
      <c r="AC321" t="s">
        <v>11</v>
      </c>
      <c r="AD321" t="s">
        <v>11</v>
      </c>
      <c r="AE321" s="2">
        <v>45966</v>
      </c>
      <c r="AF321" s="2"/>
      <c r="AG321" t="s">
        <v>11</v>
      </c>
      <c r="AH321" s="14" t="e">
        <f>VLOOKUP(M321,'[1]INDIAN ENTERPRISES'!$D:$D,1,0)</f>
        <v>#N/A</v>
      </c>
      <c r="AI321" t="str">
        <f>VLOOKUP(M321,'[2]Invoices Not in Customer Books'!$E:$K,7,0)</f>
        <v>Invoice under booking</v>
      </c>
      <c r="AJ321" s="15" t="e">
        <f>VLOOKUP(M321,'[1]INDIAN ENTERPRISES'!$D:$L,9,0)</f>
        <v>#N/A</v>
      </c>
    </row>
    <row r="322" spans="1:36" hidden="1" outlineLevel="2" x14ac:dyDescent="0.25">
      <c r="A322" t="s">
        <v>20</v>
      </c>
      <c r="B322" t="s">
        <v>1</v>
      </c>
      <c r="C322" t="s">
        <v>2</v>
      </c>
      <c r="D322" t="s">
        <v>3</v>
      </c>
      <c r="E322" t="s">
        <v>4</v>
      </c>
      <c r="F322" t="s">
        <v>42</v>
      </c>
      <c r="G322" s="2">
        <v>45966</v>
      </c>
      <c r="H322" t="s">
        <v>612</v>
      </c>
      <c r="I322" t="s">
        <v>7</v>
      </c>
      <c r="J322" s="2">
        <v>45966</v>
      </c>
      <c r="K322" s="2">
        <v>45967</v>
      </c>
      <c r="L322" t="s">
        <v>8</v>
      </c>
      <c r="M322" s="14">
        <v>256779418872</v>
      </c>
      <c r="N322" t="s">
        <v>9</v>
      </c>
      <c r="O322" t="s">
        <v>10</v>
      </c>
      <c r="P322" t="s">
        <v>11</v>
      </c>
      <c r="Q322" t="s">
        <v>12</v>
      </c>
      <c r="R322" t="s">
        <v>13</v>
      </c>
      <c r="S322" s="3">
        <v>5939.04</v>
      </c>
      <c r="T322" t="s">
        <v>14</v>
      </c>
      <c r="U322" s="3">
        <v>522655.65</v>
      </c>
      <c r="V322" t="s">
        <v>15</v>
      </c>
      <c r="W322" t="s">
        <v>16</v>
      </c>
      <c r="X322" t="s">
        <v>11</v>
      </c>
      <c r="Y322" t="s">
        <v>613</v>
      </c>
      <c r="Z322" t="s">
        <v>17</v>
      </c>
      <c r="AA322" t="s">
        <v>614</v>
      </c>
      <c r="AB322" t="s">
        <v>11</v>
      </c>
      <c r="AC322" t="s">
        <v>11</v>
      </c>
      <c r="AD322" t="s">
        <v>11</v>
      </c>
      <c r="AE322" s="2">
        <v>45966</v>
      </c>
      <c r="AF322" s="2"/>
      <c r="AG322" t="s">
        <v>11</v>
      </c>
      <c r="AH322" s="14">
        <f>VLOOKUP(M322,'[1]INDIAN ENTERPRISES'!$D:$D,1,0)</f>
        <v>256779418872</v>
      </c>
      <c r="AJ322" s="15">
        <f>VLOOKUP(M322,'[1]INDIAN ENTERPRISES'!$D:$L,9,0)</f>
        <v>46066</v>
      </c>
    </row>
    <row r="323" spans="1:36" hidden="1" outlineLevel="2" x14ac:dyDescent="0.25">
      <c r="A323" t="s">
        <v>20</v>
      </c>
      <c r="B323" t="s">
        <v>1</v>
      </c>
      <c r="C323" t="s">
        <v>2</v>
      </c>
      <c r="D323" t="s">
        <v>3</v>
      </c>
      <c r="E323" t="s">
        <v>4</v>
      </c>
      <c r="F323" t="s">
        <v>42</v>
      </c>
      <c r="G323" s="2">
        <v>45966</v>
      </c>
      <c r="H323" t="s">
        <v>615</v>
      </c>
      <c r="I323" t="s">
        <v>7</v>
      </c>
      <c r="J323" s="2">
        <v>45966</v>
      </c>
      <c r="K323" s="2">
        <v>45967</v>
      </c>
      <c r="L323" t="s">
        <v>8</v>
      </c>
      <c r="M323" s="14">
        <v>256779418892</v>
      </c>
      <c r="N323" t="s">
        <v>9</v>
      </c>
      <c r="O323" t="s">
        <v>10</v>
      </c>
      <c r="P323" t="s">
        <v>11</v>
      </c>
      <c r="Q323" t="s">
        <v>12</v>
      </c>
      <c r="R323" t="s">
        <v>13</v>
      </c>
      <c r="S323" s="3">
        <v>1683.97</v>
      </c>
      <c r="T323" t="s">
        <v>14</v>
      </c>
      <c r="U323" s="3">
        <v>148195.07</v>
      </c>
      <c r="V323" t="s">
        <v>15</v>
      </c>
      <c r="W323" t="s">
        <v>16</v>
      </c>
      <c r="X323" t="s">
        <v>11</v>
      </c>
      <c r="Y323" t="s">
        <v>616</v>
      </c>
      <c r="Z323" t="s">
        <v>17</v>
      </c>
      <c r="AA323" t="s">
        <v>617</v>
      </c>
      <c r="AB323" t="s">
        <v>11</v>
      </c>
      <c r="AC323" t="s">
        <v>11</v>
      </c>
      <c r="AD323" t="s">
        <v>11</v>
      </c>
      <c r="AE323" s="2">
        <v>45966</v>
      </c>
      <c r="AF323" s="2"/>
      <c r="AG323" t="s">
        <v>11</v>
      </c>
      <c r="AH323" s="14">
        <f>VLOOKUP(M323,'[1]INDIAN ENTERPRISES'!$D:$D,1,0)</f>
        <v>256779418892</v>
      </c>
      <c r="AJ323" s="15">
        <f>VLOOKUP(M323,'[1]INDIAN ENTERPRISES'!$D:$L,9,0)</f>
        <v>46053</v>
      </c>
    </row>
    <row r="324" spans="1:36" hidden="1" outlineLevel="2" x14ac:dyDescent="0.25">
      <c r="A324" t="s">
        <v>20</v>
      </c>
      <c r="B324" t="s">
        <v>1</v>
      </c>
      <c r="C324" t="s">
        <v>2</v>
      </c>
      <c r="D324" t="s">
        <v>3</v>
      </c>
      <c r="E324" t="s">
        <v>4</v>
      </c>
      <c r="F324" t="s">
        <v>42</v>
      </c>
      <c r="G324" s="2">
        <v>45966</v>
      </c>
      <c r="H324" t="s">
        <v>618</v>
      </c>
      <c r="I324" t="s">
        <v>7</v>
      </c>
      <c r="J324" s="2">
        <v>45966</v>
      </c>
      <c r="K324" s="2">
        <v>45967</v>
      </c>
      <c r="L324" t="s">
        <v>8</v>
      </c>
      <c r="M324" s="14">
        <v>256779418904</v>
      </c>
      <c r="N324" t="s">
        <v>9</v>
      </c>
      <c r="O324" t="s">
        <v>10</v>
      </c>
      <c r="P324" t="s">
        <v>11</v>
      </c>
      <c r="Q324" t="s">
        <v>12</v>
      </c>
      <c r="R324" t="s">
        <v>13</v>
      </c>
      <c r="S324" s="3">
        <v>1273.92</v>
      </c>
      <c r="T324" t="s">
        <v>14</v>
      </c>
      <c r="U324" s="3">
        <v>112109.28</v>
      </c>
      <c r="V324" t="s">
        <v>15</v>
      </c>
      <c r="W324" t="s">
        <v>16</v>
      </c>
      <c r="X324" t="s">
        <v>11</v>
      </c>
      <c r="Y324" t="s">
        <v>619</v>
      </c>
      <c r="Z324" t="s">
        <v>17</v>
      </c>
      <c r="AA324" t="s">
        <v>620</v>
      </c>
      <c r="AB324" t="s">
        <v>11</v>
      </c>
      <c r="AC324" t="s">
        <v>11</v>
      </c>
      <c r="AD324" t="s">
        <v>11</v>
      </c>
      <c r="AE324" s="2">
        <v>45966</v>
      </c>
      <c r="AF324" s="2"/>
      <c r="AG324" t="s">
        <v>11</v>
      </c>
      <c r="AH324" s="14">
        <f>VLOOKUP(M324,'[1]INDIAN ENTERPRISES'!$D:$D,1,0)</f>
        <v>256779418904</v>
      </c>
      <c r="AJ324" s="15">
        <f>VLOOKUP(M324,'[1]INDIAN ENTERPRISES'!$D:$L,9,0)</f>
        <v>46053</v>
      </c>
    </row>
    <row r="325" spans="1:36" hidden="1" outlineLevel="2" x14ac:dyDescent="0.25">
      <c r="A325" t="s">
        <v>20</v>
      </c>
      <c r="B325" t="s">
        <v>1</v>
      </c>
      <c r="C325" t="s">
        <v>2</v>
      </c>
      <c r="D325" t="s">
        <v>3</v>
      </c>
      <c r="E325" t="s">
        <v>4</v>
      </c>
      <c r="F325" t="s">
        <v>42</v>
      </c>
      <c r="G325" s="2">
        <v>45966</v>
      </c>
      <c r="H325" t="s">
        <v>621</v>
      </c>
      <c r="I325" t="s">
        <v>7</v>
      </c>
      <c r="J325" s="2">
        <v>45966</v>
      </c>
      <c r="K325" s="2">
        <v>45967</v>
      </c>
      <c r="L325" t="s">
        <v>8</v>
      </c>
      <c r="M325" s="14">
        <v>256779419165</v>
      </c>
      <c r="N325" t="s">
        <v>9</v>
      </c>
      <c r="O325" t="s">
        <v>10</v>
      </c>
      <c r="P325" t="s">
        <v>11</v>
      </c>
      <c r="Q325" t="s">
        <v>12</v>
      </c>
      <c r="R325" t="s">
        <v>13</v>
      </c>
      <c r="S325" s="3">
        <v>191.57</v>
      </c>
      <c r="T325" t="s">
        <v>14</v>
      </c>
      <c r="U325" s="3">
        <v>16858.810000000001</v>
      </c>
      <c r="V325" t="s">
        <v>15</v>
      </c>
      <c r="W325" t="s">
        <v>16</v>
      </c>
      <c r="X325" t="s">
        <v>11</v>
      </c>
      <c r="Y325" t="s">
        <v>622</v>
      </c>
      <c r="Z325" t="s">
        <v>17</v>
      </c>
      <c r="AA325" t="s">
        <v>623</v>
      </c>
      <c r="AB325" t="s">
        <v>11</v>
      </c>
      <c r="AC325" t="s">
        <v>11</v>
      </c>
      <c r="AD325" t="s">
        <v>11</v>
      </c>
      <c r="AE325" s="2">
        <v>45966</v>
      </c>
      <c r="AF325" s="2"/>
      <c r="AG325" t="s">
        <v>11</v>
      </c>
      <c r="AH325" s="14">
        <f>VLOOKUP(M325,'[1]INDIAN ENTERPRISES'!$D:$D,1,0)</f>
        <v>256779419165</v>
      </c>
      <c r="AJ325" s="15">
        <f>VLOOKUP(M325,'[1]INDIAN ENTERPRISES'!$D:$L,9,0)</f>
        <v>46053</v>
      </c>
    </row>
    <row r="326" spans="1:36" hidden="1" outlineLevel="2" x14ac:dyDescent="0.25">
      <c r="A326" t="s">
        <v>20</v>
      </c>
      <c r="B326" t="s">
        <v>1</v>
      </c>
      <c r="C326" t="s">
        <v>2</v>
      </c>
      <c r="D326" t="s">
        <v>3</v>
      </c>
      <c r="E326" t="s">
        <v>4</v>
      </c>
      <c r="F326" t="s">
        <v>42</v>
      </c>
      <c r="G326" s="2">
        <v>45966</v>
      </c>
      <c r="H326" t="s">
        <v>624</v>
      </c>
      <c r="I326" t="s">
        <v>7</v>
      </c>
      <c r="J326" s="2">
        <v>45966</v>
      </c>
      <c r="K326" s="2">
        <v>45967</v>
      </c>
      <c r="L326" t="s">
        <v>8</v>
      </c>
      <c r="M326" s="14">
        <v>256779419192</v>
      </c>
      <c r="N326" t="s">
        <v>9</v>
      </c>
      <c r="O326" t="s">
        <v>10</v>
      </c>
      <c r="P326" t="s">
        <v>11</v>
      </c>
      <c r="Q326" t="s">
        <v>12</v>
      </c>
      <c r="R326" t="s">
        <v>13</v>
      </c>
      <c r="S326" s="3">
        <v>171.87</v>
      </c>
      <c r="T326" t="s">
        <v>14</v>
      </c>
      <c r="U326" s="3">
        <v>15125.14</v>
      </c>
      <c r="V326" t="s">
        <v>15</v>
      </c>
      <c r="W326" t="s">
        <v>16</v>
      </c>
      <c r="X326" t="s">
        <v>11</v>
      </c>
      <c r="Y326" t="s">
        <v>625</v>
      </c>
      <c r="Z326" t="s">
        <v>17</v>
      </c>
      <c r="AA326" t="s">
        <v>626</v>
      </c>
      <c r="AB326" t="s">
        <v>11</v>
      </c>
      <c r="AC326" t="s">
        <v>11</v>
      </c>
      <c r="AD326" t="s">
        <v>11</v>
      </c>
      <c r="AE326" s="2">
        <v>45966</v>
      </c>
      <c r="AF326" s="2"/>
      <c r="AG326" t="s">
        <v>11</v>
      </c>
      <c r="AH326" s="14">
        <f>VLOOKUP(M326,'[1]INDIAN ENTERPRISES'!$D:$D,1,0)</f>
        <v>256779419192</v>
      </c>
      <c r="AJ326" s="15">
        <f>VLOOKUP(M326,'[1]INDIAN ENTERPRISES'!$D:$L,9,0)</f>
        <v>46053</v>
      </c>
    </row>
    <row r="327" spans="1:36" hidden="1" outlineLevel="2" x14ac:dyDescent="0.25">
      <c r="A327" t="s">
        <v>20</v>
      </c>
      <c r="B327" t="s">
        <v>1</v>
      </c>
      <c r="C327" t="s">
        <v>2</v>
      </c>
      <c r="D327" t="s">
        <v>3</v>
      </c>
      <c r="E327" t="s">
        <v>4</v>
      </c>
      <c r="F327" t="s">
        <v>42</v>
      </c>
      <c r="G327" s="2">
        <v>45966</v>
      </c>
      <c r="H327" t="s">
        <v>627</v>
      </c>
      <c r="I327" t="s">
        <v>7</v>
      </c>
      <c r="J327" s="2">
        <v>45966</v>
      </c>
      <c r="K327" s="2">
        <v>45968</v>
      </c>
      <c r="L327" t="s">
        <v>8</v>
      </c>
      <c r="M327" s="14">
        <v>256779419211</v>
      </c>
      <c r="N327" t="s">
        <v>9</v>
      </c>
      <c r="O327" t="s">
        <v>10</v>
      </c>
      <c r="P327" t="s">
        <v>11</v>
      </c>
      <c r="Q327" t="s">
        <v>12</v>
      </c>
      <c r="R327" t="s">
        <v>13</v>
      </c>
      <c r="S327" s="3">
        <v>28.18</v>
      </c>
      <c r="T327" t="s">
        <v>14</v>
      </c>
      <c r="U327" s="3">
        <v>2479.94</v>
      </c>
      <c r="V327" t="s">
        <v>15</v>
      </c>
      <c r="W327" t="s">
        <v>16</v>
      </c>
      <c r="X327" t="s">
        <v>11</v>
      </c>
      <c r="Y327" t="s">
        <v>628</v>
      </c>
      <c r="Z327" t="s">
        <v>17</v>
      </c>
      <c r="AA327" t="s">
        <v>629</v>
      </c>
      <c r="AB327" t="s">
        <v>11</v>
      </c>
      <c r="AC327" t="s">
        <v>11</v>
      </c>
      <c r="AD327" t="s">
        <v>11</v>
      </c>
      <c r="AE327" s="2">
        <v>45966</v>
      </c>
      <c r="AF327" s="2"/>
      <c r="AG327" t="s">
        <v>11</v>
      </c>
      <c r="AH327" s="14">
        <f>VLOOKUP(M327,'[1]INDIAN ENTERPRISES'!$D:$D,1,0)</f>
        <v>256779419211</v>
      </c>
      <c r="AJ327" s="15">
        <f>VLOOKUP(M327,'[1]INDIAN ENTERPRISES'!$D:$L,9,0)</f>
        <v>46022</v>
      </c>
    </row>
    <row r="328" spans="1:36" hidden="1" outlineLevel="2" x14ac:dyDescent="0.25">
      <c r="A328" t="s">
        <v>20</v>
      </c>
      <c r="B328" t="s">
        <v>1</v>
      </c>
      <c r="C328" t="s">
        <v>2</v>
      </c>
      <c r="D328" t="s">
        <v>3</v>
      </c>
      <c r="E328" t="s">
        <v>4</v>
      </c>
      <c r="F328" t="s">
        <v>42</v>
      </c>
      <c r="G328" s="2">
        <v>45966</v>
      </c>
      <c r="H328" t="s">
        <v>630</v>
      </c>
      <c r="I328" t="s">
        <v>7</v>
      </c>
      <c r="J328" s="2">
        <v>45966</v>
      </c>
      <c r="K328" s="2">
        <v>45968</v>
      </c>
      <c r="L328" t="s">
        <v>631</v>
      </c>
      <c r="M328" s="14">
        <v>256779419222</v>
      </c>
      <c r="N328" t="s">
        <v>9</v>
      </c>
      <c r="O328" t="s">
        <v>10</v>
      </c>
      <c r="P328" t="s">
        <v>11</v>
      </c>
      <c r="Q328" t="s">
        <v>12</v>
      </c>
      <c r="R328" t="s">
        <v>13</v>
      </c>
      <c r="S328" s="3">
        <v>3537</v>
      </c>
      <c r="T328" t="s">
        <v>14</v>
      </c>
      <c r="U328" s="3">
        <v>311267.99</v>
      </c>
      <c r="V328" t="s">
        <v>15</v>
      </c>
      <c r="W328" t="s">
        <v>16</v>
      </c>
      <c r="X328" t="s">
        <v>11</v>
      </c>
      <c r="Y328" t="s">
        <v>8</v>
      </c>
      <c r="Z328" t="s">
        <v>17</v>
      </c>
      <c r="AA328" t="s">
        <v>632</v>
      </c>
      <c r="AB328" t="s">
        <v>11</v>
      </c>
      <c r="AC328" t="s">
        <v>11</v>
      </c>
      <c r="AD328" t="s">
        <v>11</v>
      </c>
      <c r="AE328" s="2">
        <v>45966</v>
      </c>
      <c r="AF328" s="2"/>
      <c r="AG328" t="s">
        <v>11</v>
      </c>
      <c r="AH328" s="14">
        <f>VLOOKUP(M328,'[1]INDIAN ENTERPRISES'!$D:$D,1,0)</f>
        <v>256779419222</v>
      </c>
      <c r="AJ328" s="15">
        <f>VLOOKUP(M328,'[1]INDIAN ENTERPRISES'!$D:$L,9,0)</f>
        <v>46066</v>
      </c>
    </row>
    <row r="329" spans="1:36" hidden="1" outlineLevel="2" x14ac:dyDescent="0.25">
      <c r="A329" t="s">
        <v>20</v>
      </c>
      <c r="B329" t="s">
        <v>1</v>
      </c>
      <c r="C329" t="s">
        <v>2</v>
      </c>
      <c r="D329" t="s">
        <v>3</v>
      </c>
      <c r="E329" t="s">
        <v>4</v>
      </c>
      <c r="F329" t="s">
        <v>42</v>
      </c>
      <c r="G329" s="2">
        <v>45964</v>
      </c>
      <c r="H329" t="s">
        <v>633</v>
      </c>
      <c r="I329" t="s">
        <v>7</v>
      </c>
      <c r="J329" s="2">
        <v>45964</v>
      </c>
      <c r="K329" s="2">
        <v>45967</v>
      </c>
      <c r="L329" t="s">
        <v>8</v>
      </c>
      <c r="M329" s="14">
        <v>256779419122</v>
      </c>
      <c r="N329" t="s">
        <v>9</v>
      </c>
      <c r="O329" t="s">
        <v>10</v>
      </c>
      <c r="P329" t="s">
        <v>11</v>
      </c>
      <c r="Q329" t="s">
        <v>12</v>
      </c>
      <c r="R329" t="s">
        <v>13</v>
      </c>
      <c r="S329" s="3">
        <v>670.42</v>
      </c>
      <c r="T329" t="s">
        <v>14</v>
      </c>
      <c r="U329" s="3">
        <v>58999.23</v>
      </c>
      <c r="V329" t="s">
        <v>15</v>
      </c>
      <c r="W329" t="s">
        <v>16</v>
      </c>
      <c r="X329" t="s">
        <v>11</v>
      </c>
      <c r="Y329" t="s">
        <v>634</v>
      </c>
      <c r="Z329" t="s">
        <v>17</v>
      </c>
      <c r="AA329" t="s">
        <v>635</v>
      </c>
      <c r="AB329" t="s">
        <v>11</v>
      </c>
      <c r="AC329" t="s">
        <v>11</v>
      </c>
      <c r="AD329" t="s">
        <v>11</v>
      </c>
      <c r="AE329" s="2">
        <v>45964</v>
      </c>
      <c r="AF329" s="2"/>
      <c r="AG329" t="s">
        <v>11</v>
      </c>
      <c r="AH329" s="14">
        <f>VLOOKUP(M329,'[1]INDIAN ENTERPRISES'!$D:$D,1,0)</f>
        <v>256779419122</v>
      </c>
      <c r="AJ329" s="15">
        <f>VLOOKUP(M329,'[1]INDIAN ENTERPRISES'!$D:$L,9,0)</f>
        <v>46053</v>
      </c>
    </row>
    <row r="330" spans="1:36" hidden="1" outlineLevel="2" x14ac:dyDescent="0.25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42</v>
      </c>
      <c r="G330" s="2">
        <v>45964</v>
      </c>
      <c r="H330" t="s">
        <v>636</v>
      </c>
      <c r="I330" t="s">
        <v>98</v>
      </c>
      <c r="J330" s="2">
        <v>45964</v>
      </c>
      <c r="K330" s="2">
        <v>45964</v>
      </c>
      <c r="L330" t="s">
        <v>8</v>
      </c>
      <c r="M330" s="14">
        <v>256779422067</v>
      </c>
      <c r="N330" t="s">
        <v>9</v>
      </c>
      <c r="O330" t="s">
        <v>10</v>
      </c>
      <c r="P330" t="s">
        <v>11</v>
      </c>
      <c r="Q330" t="s">
        <v>42</v>
      </c>
      <c r="R330" t="s">
        <v>13</v>
      </c>
      <c r="S330" s="3">
        <v>-4608.8</v>
      </c>
      <c r="T330" t="s">
        <v>14</v>
      </c>
      <c r="U330" s="3">
        <v>-405590.02</v>
      </c>
      <c r="V330" t="s">
        <v>15</v>
      </c>
      <c r="W330" t="s">
        <v>16</v>
      </c>
      <c r="X330" t="s">
        <v>11</v>
      </c>
      <c r="Y330" t="s">
        <v>637</v>
      </c>
      <c r="Z330" t="s">
        <v>17</v>
      </c>
      <c r="AA330" t="s">
        <v>638</v>
      </c>
      <c r="AB330" t="s">
        <v>11</v>
      </c>
      <c r="AC330" t="s">
        <v>11</v>
      </c>
      <c r="AD330" t="s">
        <v>11</v>
      </c>
      <c r="AE330" s="2">
        <v>45964</v>
      </c>
      <c r="AF330" s="2">
        <v>45974</v>
      </c>
      <c r="AG330" t="s">
        <v>39</v>
      </c>
      <c r="AH330" s="14" t="e">
        <f>VLOOKUP(M330,'[1]INDIAN ENTERPRISES'!$D:$D,1,0)</f>
        <v>#N/A</v>
      </c>
      <c r="AI330" t="str">
        <f>VLOOKUP(M330,'[2]CN Not in Customer books'!$D:$J,7,0)</f>
        <v>Invoice &amp; CN both not received &amp; booked</v>
      </c>
      <c r="AJ330" s="15" t="e">
        <f>VLOOKUP(M330,'[1]INDIAN ENTERPRISES'!$D:$L,9,0)</f>
        <v>#N/A</v>
      </c>
    </row>
    <row r="331" spans="1:36" hidden="1" outlineLevel="2" x14ac:dyDescent="0.25">
      <c r="A331" t="s">
        <v>20</v>
      </c>
      <c r="B331" t="s">
        <v>1</v>
      </c>
      <c r="C331" t="s">
        <v>2</v>
      </c>
      <c r="D331" t="s">
        <v>3</v>
      </c>
      <c r="E331" t="s">
        <v>4</v>
      </c>
      <c r="F331" t="s">
        <v>639</v>
      </c>
      <c r="G331" s="2">
        <v>45877</v>
      </c>
      <c r="H331" t="s">
        <v>640</v>
      </c>
      <c r="I331" t="s">
        <v>7</v>
      </c>
      <c r="J331" s="2">
        <v>45877</v>
      </c>
      <c r="K331" s="2">
        <v>45877</v>
      </c>
      <c r="L331" t="s">
        <v>8</v>
      </c>
      <c r="M331" s="14">
        <v>256779416096</v>
      </c>
      <c r="N331" t="s">
        <v>9</v>
      </c>
      <c r="O331" t="s">
        <v>10</v>
      </c>
      <c r="P331" t="s">
        <v>11</v>
      </c>
      <c r="Q331" t="s">
        <v>12</v>
      </c>
      <c r="R331" t="s">
        <v>13</v>
      </c>
      <c r="S331" s="3">
        <v>7386.34</v>
      </c>
      <c r="T331" t="s">
        <v>14</v>
      </c>
      <c r="U331" s="3">
        <v>635447.72</v>
      </c>
      <c r="V331" t="s">
        <v>15</v>
      </c>
      <c r="W331" t="s">
        <v>16</v>
      </c>
      <c r="X331" t="s">
        <v>11</v>
      </c>
      <c r="Y331" t="s">
        <v>8</v>
      </c>
      <c r="Z331" t="s">
        <v>17</v>
      </c>
      <c r="AA331" t="s">
        <v>641</v>
      </c>
      <c r="AB331" t="s">
        <v>11</v>
      </c>
      <c r="AC331" t="s">
        <v>11</v>
      </c>
      <c r="AD331" t="s">
        <v>11</v>
      </c>
      <c r="AE331" s="2">
        <v>45877</v>
      </c>
      <c r="AF331" s="2"/>
      <c r="AG331" t="s">
        <v>11</v>
      </c>
      <c r="AH331" s="14">
        <f>VLOOKUP(M331,'[1]INDIAN ENTERPRISES'!$D:$D,1,0)</f>
        <v>256779416096</v>
      </c>
      <c r="AJ331" s="15">
        <f>VLOOKUP(M331,'[1]INDIAN ENTERPRISES'!$D:$L,9,0)</f>
        <v>45991</v>
      </c>
    </row>
    <row r="332" spans="1:36" hidden="1" outlineLevel="2" x14ac:dyDescent="0.25">
      <c r="A332" t="s">
        <v>20</v>
      </c>
      <c r="B332" t="s">
        <v>1</v>
      </c>
      <c r="C332" t="s">
        <v>2</v>
      </c>
      <c r="D332" t="s">
        <v>3</v>
      </c>
      <c r="E332" t="s">
        <v>4</v>
      </c>
      <c r="F332" t="s">
        <v>639</v>
      </c>
      <c r="G332" s="2">
        <v>45877</v>
      </c>
      <c r="H332" t="s">
        <v>642</v>
      </c>
      <c r="I332" t="s">
        <v>7</v>
      </c>
      <c r="J332" s="2">
        <v>45877</v>
      </c>
      <c r="K332" s="2">
        <v>45877</v>
      </c>
      <c r="L332" t="s">
        <v>8</v>
      </c>
      <c r="M332" s="14">
        <v>256779416137</v>
      </c>
      <c r="N332" t="s">
        <v>9</v>
      </c>
      <c r="O332" t="s">
        <v>10</v>
      </c>
      <c r="P332" t="s">
        <v>11</v>
      </c>
      <c r="Q332" t="s">
        <v>12</v>
      </c>
      <c r="R332" t="s">
        <v>13</v>
      </c>
      <c r="S332" s="3">
        <v>55.28</v>
      </c>
      <c r="T332" t="s">
        <v>14</v>
      </c>
      <c r="U332" s="3">
        <v>4755.75</v>
      </c>
      <c r="V332" t="s">
        <v>15</v>
      </c>
      <c r="W332" t="s">
        <v>16</v>
      </c>
      <c r="X332" t="s">
        <v>11</v>
      </c>
      <c r="Y332" t="s">
        <v>8</v>
      </c>
      <c r="Z332" t="s">
        <v>17</v>
      </c>
      <c r="AA332" t="s">
        <v>643</v>
      </c>
      <c r="AB332" t="s">
        <v>11</v>
      </c>
      <c r="AC332" t="s">
        <v>11</v>
      </c>
      <c r="AD332" t="s">
        <v>11</v>
      </c>
      <c r="AE332" s="2">
        <v>45877</v>
      </c>
      <c r="AF332" s="2"/>
      <c r="AG332" t="s">
        <v>11</v>
      </c>
      <c r="AH332" s="14">
        <f>VLOOKUP(M332,'[1]INDIAN ENTERPRISES'!$D:$D,1,0)</f>
        <v>256779416137</v>
      </c>
      <c r="AJ332" s="15">
        <f>VLOOKUP(M332,'[1]INDIAN ENTERPRISES'!$D:$L,9,0)</f>
        <v>46053</v>
      </c>
    </row>
    <row r="333" spans="1:36" hidden="1" outlineLevel="2" x14ac:dyDescent="0.25">
      <c r="A333" t="s">
        <v>20</v>
      </c>
      <c r="B333" t="s">
        <v>1</v>
      </c>
      <c r="C333" t="s">
        <v>2</v>
      </c>
      <c r="D333" t="s">
        <v>3</v>
      </c>
      <c r="E333" t="s">
        <v>4</v>
      </c>
      <c r="F333" t="s">
        <v>639</v>
      </c>
      <c r="G333" s="2">
        <v>45877</v>
      </c>
      <c r="H333" t="s">
        <v>644</v>
      </c>
      <c r="I333" t="s">
        <v>7</v>
      </c>
      <c r="J333" s="2">
        <v>45877</v>
      </c>
      <c r="K333" s="2">
        <v>45877</v>
      </c>
      <c r="L333" t="s">
        <v>8</v>
      </c>
      <c r="M333" s="14">
        <v>256779416169</v>
      </c>
      <c r="N333" t="s">
        <v>9</v>
      </c>
      <c r="O333" t="s">
        <v>10</v>
      </c>
      <c r="P333" t="s">
        <v>11</v>
      </c>
      <c r="Q333" t="s">
        <v>12</v>
      </c>
      <c r="R333" t="s">
        <v>13</v>
      </c>
      <c r="S333" s="3">
        <v>256.97000000000003</v>
      </c>
      <c r="T333" t="s">
        <v>14</v>
      </c>
      <c r="U333" s="3">
        <v>22107.16</v>
      </c>
      <c r="V333" t="s">
        <v>15</v>
      </c>
      <c r="W333" t="s">
        <v>16</v>
      </c>
      <c r="X333" t="s">
        <v>11</v>
      </c>
      <c r="Y333" t="s">
        <v>8</v>
      </c>
      <c r="Z333" t="s">
        <v>17</v>
      </c>
      <c r="AA333" t="s">
        <v>645</v>
      </c>
      <c r="AB333" t="s">
        <v>11</v>
      </c>
      <c r="AC333" t="s">
        <v>11</v>
      </c>
      <c r="AD333" t="s">
        <v>11</v>
      </c>
      <c r="AE333" s="2">
        <v>45877</v>
      </c>
      <c r="AF333" s="2"/>
      <c r="AG333" t="s">
        <v>11</v>
      </c>
      <c r="AH333" s="14">
        <f>VLOOKUP(M333,'[1]INDIAN ENTERPRISES'!$D:$D,1,0)</f>
        <v>256779416169</v>
      </c>
      <c r="AJ333" s="15">
        <f>VLOOKUP(M333,'[1]INDIAN ENTERPRISES'!$D:$L,9,0)</f>
        <v>46053</v>
      </c>
    </row>
    <row r="334" spans="1:36" hidden="1" outlineLevel="2" x14ac:dyDescent="0.25">
      <c r="A334" t="s">
        <v>20</v>
      </c>
      <c r="B334" t="s">
        <v>1</v>
      </c>
      <c r="C334" t="s">
        <v>2</v>
      </c>
      <c r="D334" t="s">
        <v>3</v>
      </c>
      <c r="E334" t="s">
        <v>4</v>
      </c>
      <c r="F334" t="s">
        <v>639</v>
      </c>
      <c r="G334" s="2">
        <v>45877</v>
      </c>
      <c r="H334" t="s">
        <v>646</v>
      </c>
      <c r="I334" t="s">
        <v>7</v>
      </c>
      <c r="J334" s="2">
        <v>45877</v>
      </c>
      <c r="K334" s="2">
        <v>45877</v>
      </c>
      <c r="L334" t="s">
        <v>8</v>
      </c>
      <c r="M334" s="14">
        <v>256779416214</v>
      </c>
      <c r="N334" t="s">
        <v>9</v>
      </c>
      <c r="O334" t="s">
        <v>10</v>
      </c>
      <c r="P334" t="s">
        <v>11</v>
      </c>
      <c r="Q334" t="s">
        <v>12</v>
      </c>
      <c r="R334" t="s">
        <v>13</v>
      </c>
      <c r="S334" s="3">
        <v>212.34</v>
      </c>
      <c r="T334" t="s">
        <v>14</v>
      </c>
      <c r="U334" s="3">
        <v>18267.64</v>
      </c>
      <c r="V334" t="s">
        <v>15</v>
      </c>
      <c r="W334" t="s">
        <v>16</v>
      </c>
      <c r="X334" t="s">
        <v>11</v>
      </c>
      <c r="Y334" t="s">
        <v>8</v>
      </c>
      <c r="Z334" t="s">
        <v>17</v>
      </c>
      <c r="AA334" t="s">
        <v>647</v>
      </c>
      <c r="AB334" t="s">
        <v>11</v>
      </c>
      <c r="AC334" t="s">
        <v>11</v>
      </c>
      <c r="AD334" t="s">
        <v>11</v>
      </c>
      <c r="AE334" s="2">
        <v>45877</v>
      </c>
      <c r="AF334" s="2"/>
      <c r="AG334" t="s">
        <v>11</v>
      </c>
      <c r="AH334" s="14">
        <f>VLOOKUP(M334,'[1]INDIAN ENTERPRISES'!$D:$D,1,0)</f>
        <v>256779416214</v>
      </c>
      <c r="AJ334" s="15">
        <f>VLOOKUP(M334,'[1]INDIAN ENTERPRISES'!$D:$L,9,0)</f>
        <v>46053</v>
      </c>
    </row>
    <row r="335" spans="1:36" hidden="1" outlineLevel="2" x14ac:dyDescent="0.25">
      <c r="A335" t="s">
        <v>20</v>
      </c>
      <c r="B335" t="s">
        <v>1</v>
      </c>
      <c r="C335" t="s">
        <v>2</v>
      </c>
      <c r="D335" t="s">
        <v>3</v>
      </c>
      <c r="E335" t="s">
        <v>4</v>
      </c>
      <c r="F335" t="s">
        <v>639</v>
      </c>
      <c r="G335" s="2">
        <v>45877</v>
      </c>
      <c r="H335" t="s">
        <v>648</v>
      </c>
      <c r="I335" t="s">
        <v>7</v>
      </c>
      <c r="J335" s="2">
        <v>45877</v>
      </c>
      <c r="K335" s="2">
        <v>45877</v>
      </c>
      <c r="L335" t="s">
        <v>8</v>
      </c>
      <c r="M335" s="14">
        <v>256779416255</v>
      </c>
      <c r="N335" t="s">
        <v>9</v>
      </c>
      <c r="O335" t="s">
        <v>10</v>
      </c>
      <c r="P335" t="s">
        <v>11</v>
      </c>
      <c r="Q335" t="s">
        <v>12</v>
      </c>
      <c r="R335" t="s">
        <v>13</v>
      </c>
      <c r="S335" s="3">
        <v>392.28</v>
      </c>
      <c r="T335" t="s">
        <v>14</v>
      </c>
      <c r="U335" s="3">
        <v>33747.9</v>
      </c>
      <c r="V335" t="s">
        <v>15</v>
      </c>
      <c r="W335" t="s">
        <v>16</v>
      </c>
      <c r="X335" t="s">
        <v>11</v>
      </c>
      <c r="Y335" t="s">
        <v>8</v>
      </c>
      <c r="Z335" t="s">
        <v>17</v>
      </c>
      <c r="AA335" t="s">
        <v>649</v>
      </c>
      <c r="AB335" t="s">
        <v>11</v>
      </c>
      <c r="AC335" t="s">
        <v>11</v>
      </c>
      <c r="AD335" t="s">
        <v>11</v>
      </c>
      <c r="AE335" s="2">
        <v>45877</v>
      </c>
      <c r="AF335" s="2"/>
      <c r="AG335" t="s">
        <v>11</v>
      </c>
      <c r="AH335" s="14">
        <f>VLOOKUP(M335,'[1]INDIAN ENTERPRISES'!$D:$D,1,0)</f>
        <v>256779416255</v>
      </c>
      <c r="AJ335" s="15">
        <f>VLOOKUP(M335,'[1]INDIAN ENTERPRISES'!$D:$L,9,0)</f>
        <v>46053</v>
      </c>
    </row>
    <row r="336" spans="1:36" hidden="1" outlineLevel="2" x14ac:dyDescent="0.25">
      <c r="A336" t="s">
        <v>20</v>
      </c>
      <c r="B336" t="s">
        <v>1</v>
      </c>
      <c r="C336" t="s">
        <v>2</v>
      </c>
      <c r="D336" t="s">
        <v>3</v>
      </c>
      <c r="E336" t="s">
        <v>4</v>
      </c>
      <c r="F336" t="s">
        <v>639</v>
      </c>
      <c r="G336" s="2">
        <v>45877</v>
      </c>
      <c r="H336" t="s">
        <v>650</v>
      </c>
      <c r="I336" t="s">
        <v>7</v>
      </c>
      <c r="J336" s="2">
        <v>45877</v>
      </c>
      <c r="K336" s="2">
        <v>45877</v>
      </c>
      <c r="L336" t="s">
        <v>8</v>
      </c>
      <c r="M336" s="14">
        <v>256779416442</v>
      </c>
      <c r="N336" t="s">
        <v>9</v>
      </c>
      <c r="O336" t="s">
        <v>10</v>
      </c>
      <c r="P336" t="s">
        <v>11</v>
      </c>
      <c r="Q336" t="s">
        <v>12</v>
      </c>
      <c r="R336" t="s">
        <v>13</v>
      </c>
      <c r="S336" s="3">
        <v>1053.3399999999999</v>
      </c>
      <c r="T336" t="s">
        <v>14</v>
      </c>
      <c r="U336" s="3">
        <v>90618.97</v>
      </c>
      <c r="V336" t="s">
        <v>15</v>
      </c>
      <c r="W336" t="s">
        <v>16</v>
      </c>
      <c r="X336" t="s">
        <v>11</v>
      </c>
      <c r="Y336" t="s">
        <v>8</v>
      </c>
      <c r="Z336" t="s">
        <v>17</v>
      </c>
      <c r="AA336" t="s">
        <v>651</v>
      </c>
      <c r="AB336" t="s">
        <v>11</v>
      </c>
      <c r="AC336" t="s">
        <v>11</v>
      </c>
      <c r="AD336" t="s">
        <v>11</v>
      </c>
      <c r="AE336" s="2">
        <v>45877</v>
      </c>
      <c r="AF336" s="2"/>
      <c r="AG336" t="s">
        <v>11</v>
      </c>
      <c r="AH336" s="14">
        <f>VLOOKUP(M336,'[1]INDIAN ENTERPRISES'!$D:$D,1,0)</f>
        <v>256779416442</v>
      </c>
      <c r="AJ336" s="15">
        <f>VLOOKUP(M336,'[1]INDIAN ENTERPRISES'!$D:$L,9,0)</f>
        <v>46053</v>
      </c>
    </row>
    <row r="337" spans="1:36" hidden="1" outlineLevel="2" x14ac:dyDescent="0.25">
      <c r="A337" t="s">
        <v>20</v>
      </c>
      <c r="B337" t="s">
        <v>1</v>
      </c>
      <c r="C337" t="s">
        <v>2</v>
      </c>
      <c r="D337" t="s">
        <v>3</v>
      </c>
      <c r="E337" t="s">
        <v>4</v>
      </c>
      <c r="F337" t="s">
        <v>639</v>
      </c>
      <c r="G337" s="2">
        <v>45877</v>
      </c>
      <c r="H337" t="s">
        <v>652</v>
      </c>
      <c r="I337" t="s">
        <v>7</v>
      </c>
      <c r="J337" s="2">
        <v>45877</v>
      </c>
      <c r="K337" s="2">
        <v>45877</v>
      </c>
      <c r="L337" t="s">
        <v>8</v>
      </c>
      <c r="M337" s="14">
        <v>256779416454</v>
      </c>
      <c r="N337" t="s">
        <v>9</v>
      </c>
      <c r="O337" t="s">
        <v>10</v>
      </c>
      <c r="P337" t="s">
        <v>11</v>
      </c>
      <c r="Q337" t="s">
        <v>12</v>
      </c>
      <c r="R337" t="s">
        <v>13</v>
      </c>
      <c r="S337" s="3">
        <v>411.19</v>
      </c>
      <c r="T337" t="s">
        <v>14</v>
      </c>
      <c r="U337" s="3">
        <v>35374.730000000003</v>
      </c>
      <c r="V337" t="s">
        <v>15</v>
      </c>
      <c r="W337" t="s">
        <v>16</v>
      </c>
      <c r="X337" t="s">
        <v>11</v>
      </c>
      <c r="Y337" t="s">
        <v>8</v>
      </c>
      <c r="Z337" t="s">
        <v>17</v>
      </c>
      <c r="AA337" t="s">
        <v>653</v>
      </c>
      <c r="AB337" t="s">
        <v>11</v>
      </c>
      <c r="AC337" t="s">
        <v>11</v>
      </c>
      <c r="AD337" t="s">
        <v>11</v>
      </c>
      <c r="AE337" s="2">
        <v>45877</v>
      </c>
      <c r="AF337" s="2"/>
      <c r="AG337" t="s">
        <v>11</v>
      </c>
      <c r="AH337" s="14">
        <f>VLOOKUP(M337,'[1]INDIAN ENTERPRISES'!$D:$D,1,0)</f>
        <v>256779416454</v>
      </c>
      <c r="AJ337" s="15">
        <f>VLOOKUP(M337,'[1]INDIAN ENTERPRISES'!$D:$L,9,0)</f>
        <v>46053</v>
      </c>
    </row>
    <row r="338" spans="1:36" hidden="1" outlineLevel="2" x14ac:dyDescent="0.25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s="2">
        <v>45812</v>
      </c>
      <c r="H338" t="s">
        <v>654</v>
      </c>
      <c r="I338" t="s">
        <v>7</v>
      </c>
      <c r="J338" s="2">
        <v>45812</v>
      </c>
      <c r="K338" s="2">
        <v>45817</v>
      </c>
      <c r="L338" t="s">
        <v>8</v>
      </c>
      <c r="M338" s="14">
        <v>256779414156</v>
      </c>
      <c r="N338" t="s">
        <v>9</v>
      </c>
      <c r="O338" t="s">
        <v>10</v>
      </c>
      <c r="P338" t="s">
        <v>11</v>
      </c>
      <c r="Q338" t="s">
        <v>12</v>
      </c>
      <c r="R338" t="s">
        <v>13</v>
      </c>
      <c r="S338" s="3">
        <v>83.66</v>
      </c>
      <c r="T338" t="s">
        <v>14</v>
      </c>
      <c r="U338" s="3">
        <v>7152.16</v>
      </c>
      <c r="V338" t="s">
        <v>37</v>
      </c>
      <c r="W338" t="s">
        <v>136</v>
      </c>
      <c r="X338" t="s">
        <v>11</v>
      </c>
      <c r="Y338" t="s">
        <v>8</v>
      </c>
      <c r="Z338" t="s">
        <v>17</v>
      </c>
      <c r="AA338" t="s">
        <v>655</v>
      </c>
      <c r="AB338" t="s">
        <v>11</v>
      </c>
      <c r="AC338" t="s">
        <v>11</v>
      </c>
      <c r="AD338" t="s">
        <v>11</v>
      </c>
      <c r="AE338" s="2">
        <v>45812</v>
      </c>
      <c r="AF338" s="2">
        <v>45974</v>
      </c>
      <c r="AG338" t="s">
        <v>39</v>
      </c>
      <c r="AH338" s="14" t="e">
        <f>VLOOKUP(M338,'[1]INDIAN ENTERPRISES'!$D:$D,1,0)</f>
        <v>#N/A</v>
      </c>
      <c r="AI338" t="str">
        <f>VLOOKUP(M338,'[2]Invoices Not in Customer Books'!$E:$K,7,0)</f>
        <v>Invoice &amp; CN both not received &amp; booked</v>
      </c>
      <c r="AJ338" s="15" t="e">
        <f>VLOOKUP(M338,'[1]INDIAN ENTERPRISES'!$D:$L,9,0)</f>
        <v>#N/A</v>
      </c>
    </row>
    <row r="339" spans="1:36" hidden="1" outlineLevel="2" x14ac:dyDescent="0.25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s="2">
        <v>45812</v>
      </c>
      <c r="H339" t="s">
        <v>656</v>
      </c>
      <c r="I339" t="s">
        <v>7</v>
      </c>
      <c r="J339" s="2">
        <v>45812</v>
      </c>
      <c r="K339" s="2">
        <v>45817</v>
      </c>
      <c r="L339" t="s">
        <v>8</v>
      </c>
      <c r="M339" s="14">
        <v>256779414173</v>
      </c>
      <c r="N339" t="s">
        <v>9</v>
      </c>
      <c r="O339" t="s">
        <v>10</v>
      </c>
      <c r="P339" t="s">
        <v>11</v>
      </c>
      <c r="Q339" t="s">
        <v>12</v>
      </c>
      <c r="R339" t="s">
        <v>13</v>
      </c>
      <c r="S339" s="3">
        <v>2668.72</v>
      </c>
      <c r="T339" t="s">
        <v>14</v>
      </c>
      <c r="U339" s="3">
        <v>228150.95</v>
      </c>
      <c r="V339" t="s">
        <v>37</v>
      </c>
      <c r="W339" t="s">
        <v>136</v>
      </c>
      <c r="X339" t="s">
        <v>11</v>
      </c>
      <c r="Y339" t="s">
        <v>8</v>
      </c>
      <c r="Z339" t="s">
        <v>17</v>
      </c>
      <c r="AA339" t="s">
        <v>530</v>
      </c>
      <c r="AB339" t="s">
        <v>11</v>
      </c>
      <c r="AC339" t="s">
        <v>11</v>
      </c>
      <c r="AD339" t="s">
        <v>11</v>
      </c>
      <c r="AE339" s="2">
        <v>45812</v>
      </c>
      <c r="AF339" s="2">
        <v>45974</v>
      </c>
      <c r="AG339" t="s">
        <v>39</v>
      </c>
      <c r="AH339" s="14" t="e">
        <f>VLOOKUP(M339,'[1]INDIAN ENTERPRISES'!$D:$D,1,0)</f>
        <v>#N/A</v>
      </c>
      <c r="AI339" t="str">
        <f>VLOOKUP(M339,'[2]Invoices Not in Customer Books'!$E:$K,7,0)</f>
        <v>Invoice &amp; CN both not received &amp; booked</v>
      </c>
      <c r="AJ339" s="15" t="e">
        <f>VLOOKUP(M339,'[1]INDIAN ENTERPRISES'!$D:$L,9,0)</f>
        <v>#N/A</v>
      </c>
    </row>
    <row r="340" spans="1:36" hidden="1" outlineLevel="2" x14ac:dyDescent="0.25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s="2">
        <v>45812</v>
      </c>
      <c r="H340" t="s">
        <v>657</v>
      </c>
      <c r="I340" t="s">
        <v>7</v>
      </c>
      <c r="J340" s="2">
        <v>45812</v>
      </c>
      <c r="K340" s="2">
        <v>45817</v>
      </c>
      <c r="L340" t="s">
        <v>8</v>
      </c>
      <c r="M340" s="14">
        <v>256779414206</v>
      </c>
      <c r="N340" t="s">
        <v>9</v>
      </c>
      <c r="O340" t="s">
        <v>10</v>
      </c>
      <c r="P340" t="s">
        <v>11</v>
      </c>
      <c r="Q340" t="s">
        <v>12</v>
      </c>
      <c r="R340" t="s">
        <v>13</v>
      </c>
      <c r="S340" s="3">
        <v>201.33</v>
      </c>
      <c r="T340" t="s">
        <v>14</v>
      </c>
      <c r="U340" s="3">
        <v>17211.86</v>
      </c>
      <c r="V340" t="s">
        <v>37</v>
      </c>
      <c r="W340" t="s">
        <v>136</v>
      </c>
      <c r="X340" t="s">
        <v>11</v>
      </c>
      <c r="Y340" t="s">
        <v>8</v>
      </c>
      <c r="Z340" t="s">
        <v>17</v>
      </c>
      <c r="AA340" t="s">
        <v>658</v>
      </c>
      <c r="AB340" t="s">
        <v>11</v>
      </c>
      <c r="AC340" t="s">
        <v>11</v>
      </c>
      <c r="AD340" t="s">
        <v>11</v>
      </c>
      <c r="AE340" s="2">
        <v>45812</v>
      </c>
      <c r="AF340" s="2">
        <v>45974</v>
      </c>
      <c r="AG340" t="s">
        <v>39</v>
      </c>
      <c r="AH340" s="14" t="e">
        <f>VLOOKUP(M340,'[1]INDIAN ENTERPRISES'!$D:$D,1,0)</f>
        <v>#N/A</v>
      </c>
      <c r="AI340" t="str">
        <f>VLOOKUP(M340,'[2]Invoices Not in Customer Books'!$E:$K,7,0)</f>
        <v>Invoice &amp; CN both not received &amp; booked</v>
      </c>
      <c r="AJ340" s="15" t="e">
        <f>VLOOKUP(M340,'[1]INDIAN ENTERPRISES'!$D:$L,9,0)</f>
        <v>#N/A</v>
      </c>
    </row>
    <row r="341" spans="1:36" hidden="1" outlineLevel="2" x14ac:dyDescent="0.25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s="2">
        <v>45812</v>
      </c>
      <c r="H341" t="s">
        <v>659</v>
      </c>
      <c r="I341" t="s">
        <v>7</v>
      </c>
      <c r="J341" s="2">
        <v>45812</v>
      </c>
      <c r="K341" s="2">
        <v>45817</v>
      </c>
      <c r="L341" t="s">
        <v>8</v>
      </c>
      <c r="M341" s="14">
        <v>256779414260</v>
      </c>
      <c r="N341" t="s">
        <v>9</v>
      </c>
      <c r="O341" t="s">
        <v>10</v>
      </c>
      <c r="P341" t="s">
        <v>11</v>
      </c>
      <c r="Q341" t="s">
        <v>12</v>
      </c>
      <c r="R341" t="s">
        <v>13</v>
      </c>
      <c r="S341" s="3">
        <v>130.93</v>
      </c>
      <c r="T341" t="s">
        <v>14</v>
      </c>
      <c r="U341" s="3">
        <v>11193.31</v>
      </c>
      <c r="V341" t="s">
        <v>37</v>
      </c>
      <c r="W341" t="s">
        <v>136</v>
      </c>
      <c r="X341" t="s">
        <v>11</v>
      </c>
      <c r="Y341" t="s">
        <v>8</v>
      </c>
      <c r="Z341" t="s">
        <v>17</v>
      </c>
      <c r="AA341" t="s">
        <v>534</v>
      </c>
      <c r="AB341" t="s">
        <v>11</v>
      </c>
      <c r="AC341" t="s">
        <v>11</v>
      </c>
      <c r="AD341" t="s">
        <v>11</v>
      </c>
      <c r="AE341" s="2">
        <v>45812</v>
      </c>
      <c r="AF341" s="2">
        <v>45974</v>
      </c>
      <c r="AG341" t="s">
        <v>39</v>
      </c>
      <c r="AH341" s="14" t="e">
        <f>VLOOKUP(M341,'[1]INDIAN ENTERPRISES'!$D:$D,1,0)</f>
        <v>#N/A</v>
      </c>
      <c r="AI341" t="str">
        <f>VLOOKUP(M341,'[2]Invoices Not in Customer Books'!$E:$K,7,0)</f>
        <v>Invoice &amp; CN both not received &amp; booked</v>
      </c>
      <c r="AJ341" s="15" t="e">
        <f>VLOOKUP(M341,'[1]INDIAN ENTERPRISES'!$D:$L,9,0)</f>
        <v>#N/A</v>
      </c>
    </row>
    <row r="342" spans="1:36" hidden="1" outlineLevel="2" x14ac:dyDescent="0.25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s="2">
        <v>45812</v>
      </c>
      <c r="H342" t="s">
        <v>660</v>
      </c>
      <c r="I342" t="s">
        <v>7</v>
      </c>
      <c r="J342" s="2">
        <v>45812</v>
      </c>
      <c r="K342" s="2">
        <v>45817</v>
      </c>
      <c r="L342" t="s">
        <v>8</v>
      </c>
      <c r="M342" s="14">
        <v>256779414271</v>
      </c>
      <c r="N342" t="s">
        <v>9</v>
      </c>
      <c r="O342" t="s">
        <v>10</v>
      </c>
      <c r="P342" t="s">
        <v>11</v>
      </c>
      <c r="Q342" t="s">
        <v>12</v>
      </c>
      <c r="R342" t="s">
        <v>13</v>
      </c>
      <c r="S342" s="3">
        <v>967.68</v>
      </c>
      <c r="T342" t="s">
        <v>14</v>
      </c>
      <c r="U342" s="3">
        <v>82727.72</v>
      </c>
      <c r="V342" t="s">
        <v>37</v>
      </c>
      <c r="W342" t="s">
        <v>136</v>
      </c>
      <c r="X342" t="s">
        <v>11</v>
      </c>
      <c r="Y342" t="s">
        <v>8</v>
      </c>
      <c r="Z342" t="s">
        <v>17</v>
      </c>
      <c r="AA342" t="s">
        <v>536</v>
      </c>
      <c r="AB342" t="s">
        <v>11</v>
      </c>
      <c r="AC342" t="s">
        <v>11</v>
      </c>
      <c r="AD342" t="s">
        <v>11</v>
      </c>
      <c r="AE342" s="2">
        <v>45812</v>
      </c>
      <c r="AF342" s="2">
        <v>45974</v>
      </c>
      <c r="AG342" t="s">
        <v>39</v>
      </c>
      <c r="AH342" s="14" t="e">
        <f>VLOOKUP(M342,'[1]INDIAN ENTERPRISES'!$D:$D,1,0)</f>
        <v>#N/A</v>
      </c>
      <c r="AI342" t="str">
        <f>VLOOKUP(M342,'[2]Invoices Not in Customer Books'!$E:$K,7,0)</f>
        <v>Invoice &amp; CN both not received &amp; booked</v>
      </c>
      <c r="AJ342" s="15" t="e">
        <f>VLOOKUP(M342,'[1]INDIAN ENTERPRISES'!$D:$L,9,0)</f>
        <v>#N/A</v>
      </c>
    </row>
    <row r="343" spans="1:36" hidden="1" outlineLevel="2" x14ac:dyDescent="0.25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s="2">
        <v>45812</v>
      </c>
      <c r="H343" t="s">
        <v>661</v>
      </c>
      <c r="I343" t="s">
        <v>7</v>
      </c>
      <c r="J343" s="2">
        <v>45812</v>
      </c>
      <c r="K343" s="2">
        <v>45817</v>
      </c>
      <c r="L343" t="s">
        <v>8</v>
      </c>
      <c r="M343" s="14">
        <v>256779414309</v>
      </c>
      <c r="N343" t="s">
        <v>9</v>
      </c>
      <c r="O343" t="s">
        <v>10</v>
      </c>
      <c r="P343" t="s">
        <v>11</v>
      </c>
      <c r="Q343" t="s">
        <v>12</v>
      </c>
      <c r="R343" t="s">
        <v>13</v>
      </c>
      <c r="S343" s="3">
        <v>662.83</v>
      </c>
      <c r="T343" t="s">
        <v>14</v>
      </c>
      <c r="U343" s="3">
        <v>56665.85</v>
      </c>
      <c r="V343" t="s">
        <v>37</v>
      </c>
      <c r="W343" t="s">
        <v>136</v>
      </c>
      <c r="X343" t="s">
        <v>11</v>
      </c>
      <c r="Y343" t="s">
        <v>8</v>
      </c>
      <c r="Z343" t="s">
        <v>17</v>
      </c>
      <c r="AA343" t="s">
        <v>538</v>
      </c>
      <c r="AB343" t="s">
        <v>11</v>
      </c>
      <c r="AC343" t="s">
        <v>11</v>
      </c>
      <c r="AD343" t="s">
        <v>11</v>
      </c>
      <c r="AE343" s="2">
        <v>45812</v>
      </c>
      <c r="AF343" s="2">
        <v>45974</v>
      </c>
      <c r="AG343" t="s">
        <v>39</v>
      </c>
      <c r="AH343" s="14" t="e">
        <f>VLOOKUP(M343,'[1]INDIAN ENTERPRISES'!$D:$D,1,0)</f>
        <v>#N/A</v>
      </c>
      <c r="AI343" t="str">
        <f>VLOOKUP(M343,'[2]Invoices Not in Customer Books'!$E:$K,7,0)</f>
        <v>Invoice &amp; CN both not received &amp; booked</v>
      </c>
      <c r="AJ343" s="15" t="e">
        <f>VLOOKUP(M343,'[1]INDIAN ENTERPRISES'!$D:$L,9,0)</f>
        <v>#N/A</v>
      </c>
    </row>
    <row r="344" spans="1:36" hidden="1" outlineLevel="2" x14ac:dyDescent="0.25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96</v>
      </c>
      <c r="G344" s="2">
        <v>45791</v>
      </c>
      <c r="H344" t="s">
        <v>662</v>
      </c>
      <c r="I344" t="s">
        <v>98</v>
      </c>
      <c r="J344" s="2">
        <v>45791</v>
      </c>
      <c r="K344" s="2">
        <v>45793</v>
      </c>
      <c r="L344" t="s">
        <v>8</v>
      </c>
      <c r="M344" s="14">
        <v>256779420272</v>
      </c>
      <c r="N344" t="s">
        <v>9</v>
      </c>
      <c r="O344" t="s">
        <v>10</v>
      </c>
      <c r="P344" t="s">
        <v>11</v>
      </c>
      <c r="Q344" t="s">
        <v>42</v>
      </c>
      <c r="R344" t="s">
        <v>13</v>
      </c>
      <c r="S344" s="3">
        <v>-40.06</v>
      </c>
      <c r="T344" t="s">
        <v>14</v>
      </c>
      <c r="U344" s="3">
        <v>-3472.85</v>
      </c>
      <c r="V344" t="s">
        <v>15</v>
      </c>
      <c r="W344" t="s">
        <v>16</v>
      </c>
      <c r="X344" t="s">
        <v>11</v>
      </c>
      <c r="Y344" t="s">
        <v>8</v>
      </c>
      <c r="Z344" t="s">
        <v>17</v>
      </c>
      <c r="AA344" t="s">
        <v>663</v>
      </c>
      <c r="AB344" t="s">
        <v>11</v>
      </c>
      <c r="AC344" t="s">
        <v>11</v>
      </c>
      <c r="AD344" t="s">
        <v>11</v>
      </c>
      <c r="AE344" s="2">
        <v>45791</v>
      </c>
      <c r="AF344" s="2">
        <v>45861</v>
      </c>
      <c r="AG344" t="s">
        <v>416</v>
      </c>
      <c r="AH344" s="14" t="e">
        <f>VLOOKUP(M344,'[1]INDIAN ENTERPRISES'!$D:$D,1,0)</f>
        <v>#N/A</v>
      </c>
      <c r="AI344" t="str">
        <f>VLOOKUP(M344,'[2]CN Not in Customer books'!$D:$J,7,0)</f>
        <v>Invoice &amp; CN both not received &amp; booked</v>
      </c>
      <c r="AJ344" s="15" t="e">
        <f>VLOOKUP(M344,'[1]INDIAN ENTERPRISES'!$D:$L,9,0)</f>
        <v>#N/A</v>
      </c>
    </row>
    <row r="345" spans="1:36" hidden="1" outlineLevel="2" x14ac:dyDescent="0.25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96</v>
      </c>
      <c r="G345" s="2">
        <v>45791</v>
      </c>
      <c r="H345" t="s">
        <v>664</v>
      </c>
      <c r="I345" t="s">
        <v>98</v>
      </c>
      <c r="J345" s="2">
        <v>45791</v>
      </c>
      <c r="K345" s="2">
        <v>45793</v>
      </c>
      <c r="L345" t="s">
        <v>8</v>
      </c>
      <c r="M345" s="14">
        <v>256779420273</v>
      </c>
      <c r="N345" t="s">
        <v>9</v>
      </c>
      <c r="O345" t="s">
        <v>10</v>
      </c>
      <c r="P345" t="s">
        <v>11</v>
      </c>
      <c r="Q345" t="s">
        <v>42</v>
      </c>
      <c r="R345" t="s">
        <v>13</v>
      </c>
      <c r="S345" s="3">
        <v>-28.62</v>
      </c>
      <c r="T345" t="s">
        <v>14</v>
      </c>
      <c r="U345" s="3">
        <v>-2481.1</v>
      </c>
      <c r="V345" t="s">
        <v>15</v>
      </c>
      <c r="W345" t="s">
        <v>16</v>
      </c>
      <c r="X345" t="s">
        <v>11</v>
      </c>
      <c r="Y345" t="s">
        <v>8</v>
      </c>
      <c r="Z345" t="s">
        <v>17</v>
      </c>
      <c r="AA345" t="s">
        <v>665</v>
      </c>
      <c r="AB345" t="s">
        <v>11</v>
      </c>
      <c r="AC345" t="s">
        <v>11</v>
      </c>
      <c r="AD345" t="s">
        <v>11</v>
      </c>
      <c r="AE345" s="2">
        <v>45791</v>
      </c>
      <c r="AF345" s="2">
        <v>45861</v>
      </c>
      <c r="AG345" t="s">
        <v>418</v>
      </c>
      <c r="AH345" s="14" t="e">
        <f>VLOOKUP(M345,'[1]INDIAN ENTERPRISES'!$D:$D,1,0)</f>
        <v>#N/A</v>
      </c>
      <c r="AI345" t="str">
        <f>VLOOKUP(M345,'[2]CN Not in Customer books'!$D:$J,7,0)</f>
        <v>Invoice &amp; CN both not received &amp; booked</v>
      </c>
      <c r="AJ345" s="15" t="e">
        <f>VLOOKUP(M345,'[1]INDIAN ENTERPRISES'!$D:$L,9,0)</f>
        <v>#N/A</v>
      </c>
    </row>
    <row r="346" spans="1:36" hidden="1" outlineLevel="2" x14ac:dyDescent="0.25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96</v>
      </c>
      <c r="G346" s="2">
        <v>45791</v>
      </c>
      <c r="H346" t="s">
        <v>666</v>
      </c>
      <c r="I346" t="s">
        <v>98</v>
      </c>
      <c r="J346" s="2">
        <v>45791</v>
      </c>
      <c r="K346" s="2">
        <v>45793</v>
      </c>
      <c r="L346" t="s">
        <v>8</v>
      </c>
      <c r="M346" s="14">
        <v>256779420275</v>
      </c>
      <c r="N346" t="s">
        <v>9</v>
      </c>
      <c r="O346" t="s">
        <v>10</v>
      </c>
      <c r="P346" t="s">
        <v>11</v>
      </c>
      <c r="Q346" t="s">
        <v>42</v>
      </c>
      <c r="R346" t="s">
        <v>13</v>
      </c>
      <c r="S346" s="3">
        <v>-114.46</v>
      </c>
      <c r="T346" t="s">
        <v>14</v>
      </c>
      <c r="U346" s="3">
        <v>-9922.68</v>
      </c>
      <c r="V346" t="s">
        <v>15</v>
      </c>
      <c r="W346" t="s">
        <v>16</v>
      </c>
      <c r="X346" t="s">
        <v>11</v>
      </c>
      <c r="Y346" t="s">
        <v>8</v>
      </c>
      <c r="Z346" t="s">
        <v>17</v>
      </c>
      <c r="AA346" t="s">
        <v>667</v>
      </c>
      <c r="AB346" t="s">
        <v>11</v>
      </c>
      <c r="AC346" t="s">
        <v>11</v>
      </c>
      <c r="AD346" t="s">
        <v>11</v>
      </c>
      <c r="AE346" s="2">
        <v>45791</v>
      </c>
      <c r="AF346" s="2">
        <v>45861</v>
      </c>
      <c r="AG346" t="s">
        <v>422</v>
      </c>
      <c r="AH346" s="14" t="e">
        <f>VLOOKUP(M346,'[1]INDIAN ENTERPRISES'!$D:$D,1,0)</f>
        <v>#N/A</v>
      </c>
      <c r="AI346" t="str">
        <f>VLOOKUP(M346,'[2]CN Not in Customer books'!$D:$J,7,0)</f>
        <v>Invoice &amp; CN both not received &amp; booked</v>
      </c>
      <c r="AJ346" s="15" t="e">
        <f>VLOOKUP(M346,'[1]INDIAN ENTERPRISES'!$D:$L,9,0)</f>
        <v>#N/A</v>
      </c>
    </row>
    <row r="347" spans="1:36" hidden="1" outlineLevel="2" x14ac:dyDescent="0.25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96</v>
      </c>
      <c r="G347" s="2">
        <v>45791</v>
      </c>
      <c r="H347" t="s">
        <v>668</v>
      </c>
      <c r="I347" t="s">
        <v>98</v>
      </c>
      <c r="J347" s="2">
        <v>45791</v>
      </c>
      <c r="K347" s="2">
        <v>45793</v>
      </c>
      <c r="L347" t="s">
        <v>8</v>
      </c>
      <c r="M347" s="14">
        <v>256779420276</v>
      </c>
      <c r="N347" t="s">
        <v>9</v>
      </c>
      <c r="O347" t="s">
        <v>10</v>
      </c>
      <c r="P347" t="s">
        <v>11</v>
      </c>
      <c r="Q347" t="s">
        <v>42</v>
      </c>
      <c r="R347" t="s">
        <v>13</v>
      </c>
      <c r="S347" s="3">
        <v>-68.680000000000007</v>
      </c>
      <c r="T347" t="s">
        <v>14</v>
      </c>
      <c r="U347" s="3">
        <v>-5953.96</v>
      </c>
      <c r="V347" t="s">
        <v>15</v>
      </c>
      <c r="W347" t="s">
        <v>16</v>
      </c>
      <c r="X347" t="s">
        <v>11</v>
      </c>
      <c r="Y347" t="s">
        <v>8</v>
      </c>
      <c r="Z347" t="s">
        <v>17</v>
      </c>
      <c r="AA347" t="s">
        <v>669</v>
      </c>
      <c r="AB347" t="s">
        <v>11</v>
      </c>
      <c r="AC347" t="s">
        <v>11</v>
      </c>
      <c r="AD347" t="s">
        <v>11</v>
      </c>
      <c r="AE347" s="2">
        <v>45791</v>
      </c>
      <c r="AF347" s="2">
        <v>45861</v>
      </c>
      <c r="AG347" t="s">
        <v>424</v>
      </c>
      <c r="AH347" s="14" t="e">
        <f>VLOOKUP(M347,'[1]INDIAN ENTERPRISES'!$D:$D,1,0)</f>
        <v>#N/A</v>
      </c>
      <c r="AI347" t="str">
        <f>VLOOKUP(M347,'[2]CN Not in Customer books'!$D:$J,7,0)</f>
        <v>Invoice &amp; CN both not received &amp; booked</v>
      </c>
      <c r="AJ347" s="15" t="e">
        <f>VLOOKUP(M347,'[1]INDIAN ENTERPRISES'!$D:$L,9,0)</f>
        <v>#N/A</v>
      </c>
    </row>
    <row r="348" spans="1:36" hidden="1" outlineLevel="2" x14ac:dyDescent="0.25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96</v>
      </c>
      <c r="G348" s="2">
        <v>45791</v>
      </c>
      <c r="H348" t="s">
        <v>670</v>
      </c>
      <c r="I348" t="s">
        <v>98</v>
      </c>
      <c r="J348" s="2">
        <v>45791</v>
      </c>
      <c r="K348" s="2">
        <v>45793</v>
      </c>
      <c r="L348" t="s">
        <v>8</v>
      </c>
      <c r="M348" s="14">
        <v>256779420268</v>
      </c>
      <c r="N348" t="s">
        <v>9</v>
      </c>
      <c r="O348" t="s">
        <v>10</v>
      </c>
      <c r="P348" t="s">
        <v>11</v>
      </c>
      <c r="Q348" t="s">
        <v>42</v>
      </c>
      <c r="R348" t="s">
        <v>13</v>
      </c>
      <c r="S348" s="3">
        <v>-249.55</v>
      </c>
      <c r="T348" t="s">
        <v>14</v>
      </c>
      <c r="U348" s="3">
        <v>-21633.8</v>
      </c>
      <c r="V348" t="s">
        <v>15</v>
      </c>
      <c r="W348" t="s">
        <v>16</v>
      </c>
      <c r="X348" t="s">
        <v>11</v>
      </c>
      <c r="Y348" t="s">
        <v>8</v>
      </c>
      <c r="Z348" t="s">
        <v>17</v>
      </c>
      <c r="AA348" t="s">
        <v>671</v>
      </c>
      <c r="AB348" t="s">
        <v>11</v>
      </c>
      <c r="AC348" t="s">
        <v>11</v>
      </c>
      <c r="AD348" t="s">
        <v>11</v>
      </c>
      <c r="AE348" s="2">
        <v>45791</v>
      </c>
      <c r="AF348" s="2">
        <v>45974</v>
      </c>
      <c r="AG348" t="s">
        <v>39</v>
      </c>
      <c r="AH348" s="14" t="e">
        <f>VLOOKUP(M348,'[1]INDIAN ENTERPRISES'!$D:$D,1,0)</f>
        <v>#N/A</v>
      </c>
      <c r="AI348" t="str">
        <f>VLOOKUP(M348,'[2]CN Not in Customer books'!$D:$J,7,0)</f>
        <v>Invoice &amp; CN both not received &amp; booked</v>
      </c>
      <c r="AJ348" s="15" t="e">
        <f>VLOOKUP(M348,'[1]INDIAN ENTERPRISES'!$D:$L,9,0)</f>
        <v>#N/A</v>
      </c>
    </row>
    <row r="349" spans="1:36" hidden="1" outlineLevel="2" x14ac:dyDescent="0.25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96</v>
      </c>
      <c r="G349" s="2">
        <v>45791</v>
      </c>
      <c r="H349" t="s">
        <v>672</v>
      </c>
      <c r="I349" t="s">
        <v>98</v>
      </c>
      <c r="J349" s="2">
        <v>45791</v>
      </c>
      <c r="K349" s="2">
        <v>45793</v>
      </c>
      <c r="L349" t="s">
        <v>8</v>
      </c>
      <c r="M349" s="14">
        <v>256779420269</v>
      </c>
      <c r="N349" t="s">
        <v>9</v>
      </c>
      <c r="O349" t="s">
        <v>10</v>
      </c>
      <c r="P349" t="s">
        <v>11</v>
      </c>
      <c r="Q349" t="s">
        <v>42</v>
      </c>
      <c r="R349" t="s">
        <v>13</v>
      </c>
      <c r="S349" s="3">
        <v>-40.06</v>
      </c>
      <c r="T349" t="s">
        <v>14</v>
      </c>
      <c r="U349" s="3">
        <v>-3472.85</v>
      </c>
      <c r="V349" t="s">
        <v>15</v>
      </c>
      <c r="W349" t="s">
        <v>16</v>
      </c>
      <c r="X349" t="s">
        <v>11</v>
      </c>
      <c r="Y349" t="s">
        <v>8</v>
      </c>
      <c r="Z349" t="s">
        <v>17</v>
      </c>
      <c r="AA349" t="s">
        <v>673</v>
      </c>
      <c r="AB349" t="s">
        <v>11</v>
      </c>
      <c r="AC349" t="s">
        <v>11</v>
      </c>
      <c r="AD349" t="s">
        <v>11</v>
      </c>
      <c r="AE349" s="2">
        <v>45791</v>
      </c>
      <c r="AF349" s="2">
        <v>45974</v>
      </c>
      <c r="AG349" t="s">
        <v>39</v>
      </c>
      <c r="AH349" s="14" t="e">
        <f>VLOOKUP(M349,'[1]INDIAN ENTERPRISES'!$D:$D,1,0)</f>
        <v>#N/A</v>
      </c>
      <c r="AI349" t="str">
        <f>VLOOKUP(M349,'[2]CN Not in Customer books'!$D:$J,7,0)</f>
        <v>Invoice &amp; CN both not received &amp; booked</v>
      </c>
      <c r="AJ349" s="15" t="e">
        <f>VLOOKUP(M349,'[1]INDIAN ENTERPRISES'!$D:$L,9,0)</f>
        <v>#N/A</v>
      </c>
    </row>
    <row r="350" spans="1:36" hidden="1" outlineLevel="2" x14ac:dyDescent="0.25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96</v>
      </c>
      <c r="G350" s="2">
        <v>45791</v>
      </c>
      <c r="H350" t="s">
        <v>674</v>
      </c>
      <c r="I350" t="s">
        <v>98</v>
      </c>
      <c r="J350" s="2">
        <v>45791</v>
      </c>
      <c r="K350" s="2">
        <v>45793</v>
      </c>
      <c r="L350" t="s">
        <v>8</v>
      </c>
      <c r="M350" s="14">
        <v>256779420274</v>
      </c>
      <c r="N350" t="s">
        <v>9</v>
      </c>
      <c r="O350" t="s">
        <v>10</v>
      </c>
      <c r="P350" t="s">
        <v>11</v>
      </c>
      <c r="Q350" t="s">
        <v>42</v>
      </c>
      <c r="R350" t="s">
        <v>13</v>
      </c>
      <c r="S350" s="3">
        <v>-22.89</v>
      </c>
      <c r="T350" t="s">
        <v>14</v>
      </c>
      <c r="U350" s="3">
        <v>-1984.36</v>
      </c>
      <c r="V350" t="s">
        <v>15</v>
      </c>
      <c r="W350" t="s">
        <v>16</v>
      </c>
      <c r="X350" t="s">
        <v>11</v>
      </c>
      <c r="Y350" t="s">
        <v>8</v>
      </c>
      <c r="Z350" t="s">
        <v>17</v>
      </c>
      <c r="AA350" t="s">
        <v>675</v>
      </c>
      <c r="AB350" t="s">
        <v>11</v>
      </c>
      <c r="AC350" t="s">
        <v>11</v>
      </c>
      <c r="AD350" t="s">
        <v>11</v>
      </c>
      <c r="AE350" s="2">
        <v>45791</v>
      </c>
      <c r="AF350" s="2">
        <v>45861</v>
      </c>
      <c r="AG350" t="s">
        <v>420</v>
      </c>
      <c r="AH350" s="14" t="e">
        <f>VLOOKUP(M350,'[1]INDIAN ENTERPRISES'!$D:$D,1,0)</f>
        <v>#N/A</v>
      </c>
      <c r="AI350" t="str">
        <f>VLOOKUP(M350,'[2]CN Not in Customer books'!$D:$J,7,0)</f>
        <v>Invoice &amp; CN both not received &amp; booked</v>
      </c>
      <c r="AJ350" s="15" t="e">
        <f>VLOOKUP(M350,'[1]INDIAN ENTERPRISES'!$D:$L,9,0)</f>
        <v>#N/A</v>
      </c>
    </row>
    <row r="351" spans="1:36" hidden="1" outlineLevel="2" x14ac:dyDescent="0.25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96</v>
      </c>
      <c r="G351" s="2">
        <v>45791</v>
      </c>
      <c r="H351" t="s">
        <v>676</v>
      </c>
      <c r="I351" t="s">
        <v>98</v>
      </c>
      <c r="J351" s="2">
        <v>45791</v>
      </c>
      <c r="K351" s="2">
        <v>45793</v>
      </c>
      <c r="L351" t="s">
        <v>8</v>
      </c>
      <c r="M351" s="14">
        <v>256779420277</v>
      </c>
      <c r="N351" t="s">
        <v>9</v>
      </c>
      <c r="O351" t="s">
        <v>10</v>
      </c>
      <c r="P351" t="s">
        <v>11</v>
      </c>
      <c r="Q351" t="s">
        <v>42</v>
      </c>
      <c r="R351" t="s">
        <v>13</v>
      </c>
      <c r="S351" s="3">
        <v>-312.5</v>
      </c>
      <c r="T351" t="s">
        <v>14</v>
      </c>
      <c r="U351" s="3">
        <v>-27091.02</v>
      </c>
      <c r="V351" t="s">
        <v>15</v>
      </c>
      <c r="W351" t="s">
        <v>16</v>
      </c>
      <c r="X351" t="s">
        <v>11</v>
      </c>
      <c r="Y351" t="s">
        <v>8</v>
      </c>
      <c r="Z351" t="s">
        <v>17</v>
      </c>
      <c r="AA351" t="s">
        <v>677</v>
      </c>
      <c r="AB351" t="s">
        <v>11</v>
      </c>
      <c r="AC351" t="s">
        <v>11</v>
      </c>
      <c r="AD351" t="s">
        <v>11</v>
      </c>
      <c r="AE351" s="2">
        <v>45791</v>
      </c>
      <c r="AF351" s="2">
        <v>45861</v>
      </c>
      <c r="AG351" t="s">
        <v>401</v>
      </c>
      <c r="AH351" s="14" t="e">
        <f>VLOOKUP(M351,'[1]INDIAN ENTERPRISES'!$D:$D,1,0)</f>
        <v>#N/A</v>
      </c>
      <c r="AI351" t="str">
        <f>VLOOKUP(M351,'[2]CN Not in Customer books'!$D:$J,7,0)</f>
        <v>Invoice &amp; CN both not received &amp; booked</v>
      </c>
      <c r="AJ351" s="15" t="e">
        <f>VLOOKUP(M351,'[1]INDIAN ENTERPRISES'!$D:$L,9,0)</f>
        <v>#N/A</v>
      </c>
    </row>
    <row r="352" spans="1:36" hidden="1" outlineLevel="2" x14ac:dyDescent="0.25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96</v>
      </c>
      <c r="G352" s="2">
        <v>45791</v>
      </c>
      <c r="H352" t="s">
        <v>678</v>
      </c>
      <c r="I352" t="s">
        <v>98</v>
      </c>
      <c r="J352" s="2">
        <v>45791</v>
      </c>
      <c r="K352" s="2">
        <v>45793</v>
      </c>
      <c r="L352" t="s">
        <v>8</v>
      </c>
      <c r="M352" s="14">
        <v>256779420278</v>
      </c>
      <c r="N352" t="s">
        <v>9</v>
      </c>
      <c r="O352" t="s">
        <v>10</v>
      </c>
      <c r="P352" t="s">
        <v>11</v>
      </c>
      <c r="Q352" t="s">
        <v>42</v>
      </c>
      <c r="R352" t="s">
        <v>13</v>
      </c>
      <c r="S352" s="3">
        <v>-23.35</v>
      </c>
      <c r="T352" t="s">
        <v>14</v>
      </c>
      <c r="U352" s="3">
        <v>-2024.24</v>
      </c>
      <c r="V352" t="s">
        <v>15</v>
      </c>
      <c r="W352" t="s">
        <v>16</v>
      </c>
      <c r="X352" t="s">
        <v>11</v>
      </c>
      <c r="Y352" t="s">
        <v>8</v>
      </c>
      <c r="Z352" t="s">
        <v>17</v>
      </c>
      <c r="AA352" t="s">
        <v>679</v>
      </c>
      <c r="AB352" t="s">
        <v>11</v>
      </c>
      <c r="AC352" t="s">
        <v>11</v>
      </c>
      <c r="AD352" t="s">
        <v>11</v>
      </c>
      <c r="AE352" s="2">
        <v>45791</v>
      </c>
      <c r="AF352" s="2">
        <v>45861</v>
      </c>
      <c r="AG352" t="s">
        <v>403</v>
      </c>
      <c r="AH352" s="14" t="e">
        <f>VLOOKUP(M352,'[1]INDIAN ENTERPRISES'!$D:$D,1,0)</f>
        <v>#N/A</v>
      </c>
      <c r="AI352" t="str">
        <f>VLOOKUP(M352,'[2]CN Not in Customer books'!$D:$J,7,0)</f>
        <v>Invoice &amp; CN both not received &amp; booked</v>
      </c>
      <c r="AJ352" s="15" t="e">
        <f>VLOOKUP(M352,'[1]INDIAN ENTERPRISES'!$D:$L,9,0)</f>
        <v>#N/A</v>
      </c>
    </row>
    <row r="353" spans="1:36" hidden="1" outlineLevel="2" x14ac:dyDescent="0.25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96</v>
      </c>
      <c r="G353" s="2">
        <v>45791</v>
      </c>
      <c r="H353" t="s">
        <v>680</v>
      </c>
      <c r="I353" t="s">
        <v>98</v>
      </c>
      <c r="J353" s="2">
        <v>45791</v>
      </c>
      <c r="K353" s="2">
        <v>45793</v>
      </c>
      <c r="L353" t="s">
        <v>8</v>
      </c>
      <c r="M353" s="14">
        <v>256779420266</v>
      </c>
      <c r="N353" t="s">
        <v>9</v>
      </c>
      <c r="O353" t="s">
        <v>10</v>
      </c>
      <c r="P353" t="s">
        <v>11</v>
      </c>
      <c r="Q353" t="s">
        <v>42</v>
      </c>
      <c r="R353" t="s">
        <v>13</v>
      </c>
      <c r="S353" s="3">
        <v>-57.23</v>
      </c>
      <c r="T353" t="s">
        <v>14</v>
      </c>
      <c r="U353" s="3">
        <v>-4961.34</v>
      </c>
      <c r="V353" t="s">
        <v>15</v>
      </c>
      <c r="W353" t="s">
        <v>16</v>
      </c>
      <c r="X353" t="s">
        <v>11</v>
      </c>
      <c r="Y353" t="s">
        <v>8</v>
      </c>
      <c r="Z353" t="s">
        <v>17</v>
      </c>
      <c r="AA353" t="s">
        <v>681</v>
      </c>
      <c r="AB353" t="s">
        <v>11</v>
      </c>
      <c r="AC353" t="s">
        <v>11</v>
      </c>
      <c r="AD353" t="s">
        <v>11</v>
      </c>
      <c r="AE353" s="2">
        <v>45791</v>
      </c>
      <c r="AF353" s="2">
        <v>45974</v>
      </c>
      <c r="AG353" t="s">
        <v>39</v>
      </c>
      <c r="AH353" s="14" t="e">
        <f>VLOOKUP(M353,'[1]INDIAN ENTERPRISES'!$D:$D,1,0)</f>
        <v>#N/A</v>
      </c>
      <c r="AI353" t="str">
        <f>VLOOKUP(M353,'[2]CN Not in Customer books'!$D:$J,7,0)</f>
        <v>Invoice &amp; CN both not received &amp; booked</v>
      </c>
      <c r="AJ353" s="15" t="e">
        <f>VLOOKUP(M353,'[1]INDIAN ENTERPRISES'!$D:$L,9,0)</f>
        <v>#N/A</v>
      </c>
    </row>
    <row r="354" spans="1:36" hidden="1" outlineLevel="2" x14ac:dyDescent="0.25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96</v>
      </c>
      <c r="G354" s="2">
        <v>45791</v>
      </c>
      <c r="H354" t="s">
        <v>682</v>
      </c>
      <c r="I354" t="s">
        <v>98</v>
      </c>
      <c r="J354" s="2">
        <v>45791</v>
      </c>
      <c r="K354" s="2">
        <v>45793</v>
      </c>
      <c r="L354" t="s">
        <v>8</v>
      </c>
      <c r="M354" s="14">
        <v>256779420267</v>
      </c>
      <c r="N354" t="s">
        <v>9</v>
      </c>
      <c r="O354" t="s">
        <v>10</v>
      </c>
      <c r="P354" t="s">
        <v>11</v>
      </c>
      <c r="Q354" t="s">
        <v>42</v>
      </c>
      <c r="R354" t="s">
        <v>13</v>
      </c>
      <c r="S354" s="3">
        <v>-40.06</v>
      </c>
      <c r="T354" t="s">
        <v>14</v>
      </c>
      <c r="U354" s="3">
        <v>-3472.85</v>
      </c>
      <c r="V354" t="s">
        <v>15</v>
      </c>
      <c r="W354" t="s">
        <v>16</v>
      </c>
      <c r="X354" t="s">
        <v>11</v>
      </c>
      <c r="Y354" t="s">
        <v>8</v>
      </c>
      <c r="Z354" t="s">
        <v>17</v>
      </c>
      <c r="AA354" t="s">
        <v>683</v>
      </c>
      <c r="AB354" t="s">
        <v>11</v>
      </c>
      <c r="AC354" t="s">
        <v>11</v>
      </c>
      <c r="AD354" t="s">
        <v>11</v>
      </c>
      <c r="AE354" s="2">
        <v>45791</v>
      </c>
      <c r="AF354" s="2">
        <v>45974</v>
      </c>
      <c r="AG354" t="s">
        <v>39</v>
      </c>
      <c r="AH354" s="14" t="e">
        <f>VLOOKUP(M354,'[1]INDIAN ENTERPRISES'!$D:$D,1,0)</f>
        <v>#N/A</v>
      </c>
      <c r="AI354" t="str">
        <f>VLOOKUP(M354,'[2]CN Not in Customer books'!$D:$J,7,0)</f>
        <v>Invoice &amp; CN both not received &amp; booked</v>
      </c>
      <c r="AJ354" s="15" t="e">
        <f>VLOOKUP(M354,'[1]INDIAN ENTERPRISES'!$D:$L,9,0)</f>
        <v>#N/A</v>
      </c>
    </row>
    <row r="355" spans="1:36" hidden="1" outlineLevel="2" x14ac:dyDescent="0.25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96</v>
      </c>
      <c r="G355" s="2">
        <v>45791</v>
      </c>
      <c r="H355" t="s">
        <v>684</v>
      </c>
      <c r="I355" t="s">
        <v>98</v>
      </c>
      <c r="J355" s="2">
        <v>45791</v>
      </c>
      <c r="K355" s="2">
        <v>45793</v>
      </c>
      <c r="L355" t="s">
        <v>8</v>
      </c>
      <c r="M355" s="14">
        <v>256779420270</v>
      </c>
      <c r="N355" t="s">
        <v>9</v>
      </c>
      <c r="O355" t="s">
        <v>10</v>
      </c>
      <c r="P355" t="s">
        <v>11</v>
      </c>
      <c r="Q355" t="s">
        <v>42</v>
      </c>
      <c r="R355" t="s">
        <v>13</v>
      </c>
      <c r="S355" s="3">
        <v>-45.79</v>
      </c>
      <c r="T355" t="s">
        <v>14</v>
      </c>
      <c r="U355" s="3">
        <v>-3969.59</v>
      </c>
      <c r="V355" t="s">
        <v>15</v>
      </c>
      <c r="W355" t="s">
        <v>16</v>
      </c>
      <c r="X355" t="s">
        <v>11</v>
      </c>
      <c r="Y355" t="s">
        <v>8</v>
      </c>
      <c r="Z355" t="s">
        <v>17</v>
      </c>
      <c r="AA355" t="s">
        <v>685</v>
      </c>
      <c r="AB355" t="s">
        <v>11</v>
      </c>
      <c r="AC355" t="s">
        <v>11</v>
      </c>
      <c r="AD355" t="s">
        <v>11</v>
      </c>
      <c r="AE355" s="2">
        <v>45791</v>
      </c>
      <c r="AF355" s="2">
        <v>45974</v>
      </c>
      <c r="AG355" t="s">
        <v>39</v>
      </c>
      <c r="AH355" s="14" t="e">
        <f>VLOOKUP(M355,'[1]INDIAN ENTERPRISES'!$D:$D,1,0)</f>
        <v>#N/A</v>
      </c>
      <c r="AI355" t="str">
        <f>VLOOKUP(M355,'[2]CN Not in Customer books'!$D:$J,7,0)</f>
        <v>Invoice &amp; CN both not received &amp; booked</v>
      </c>
      <c r="AJ355" s="15" t="e">
        <f>VLOOKUP(M355,'[1]INDIAN ENTERPRISES'!$D:$L,9,0)</f>
        <v>#N/A</v>
      </c>
    </row>
    <row r="356" spans="1:36" hidden="1" outlineLevel="2" x14ac:dyDescent="0.25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96</v>
      </c>
      <c r="G356" s="2">
        <v>45791</v>
      </c>
      <c r="H356" t="s">
        <v>686</v>
      </c>
      <c r="I356" t="s">
        <v>98</v>
      </c>
      <c r="J356" s="2">
        <v>45791</v>
      </c>
      <c r="K356" s="2">
        <v>45793</v>
      </c>
      <c r="L356" t="s">
        <v>8</v>
      </c>
      <c r="M356" s="14">
        <v>256779420271</v>
      </c>
      <c r="N356" t="s">
        <v>9</v>
      </c>
      <c r="O356" t="s">
        <v>10</v>
      </c>
      <c r="P356" t="s">
        <v>11</v>
      </c>
      <c r="Q356" t="s">
        <v>42</v>
      </c>
      <c r="R356" t="s">
        <v>13</v>
      </c>
      <c r="S356" s="3">
        <v>-20.03</v>
      </c>
      <c r="T356" t="s">
        <v>14</v>
      </c>
      <c r="U356" s="3">
        <v>-1736.43</v>
      </c>
      <c r="V356" t="s">
        <v>15</v>
      </c>
      <c r="W356" t="s">
        <v>16</v>
      </c>
      <c r="X356" t="s">
        <v>11</v>
      </c>
      <c r="Y356" t="s">
        <v>8</v>
      </c>
      <c r="Z356" t="s">
        <v>17</v>
      </c>
      <c r="AA356" t="s">
        <v>687</v>
      </c>
      <c r="AB356" t="s">
        <v>11</v>
      </c>
      <c r="AC356" t="s">
        <v>11</v>
      </c>
      <c r="AD356" t="s">
        <v>11</v>
      </c>
      <c r="AE356" s="2">
        <v>45791</v>
      </c>
      <c r="AF356" s="2">
        <v>45974</v>
      </c>
      <c r="AG356" t="s">
        <v>39</v>
      </c>
      <c r="AH356" s="14" t="e">
        <f>VLOOKUP(M356,'[1]INDIAN ENTERPRISES'!$D:$D,1,0)</f>
        <v>#N/A</v>
      </c>
      <c r="AI356" t="str">
        <f>VLOOKUP(M356,'[2]CN Not in Customer books'!$D:$J,7,0)</f>
        <v>Invoice &amp; CN both not received &amp; booked</v>
      </c>
      <c r="AJ356" s="15" t="e">
        <f>VLOOKUP(M356,'[1]INDIAN ENTERPRISES'!$D:$L,9,0)</f>
        <v>#N/A</v>
      </c>
    </row>
    <row r="357" spans="1:36" hidden="1" outlineLevel="2" x14ac:dyDescent="0.25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96</v>
      </c>
      <c r="G357" s="2">
        <v>45791</v>
      </c>
      <c r="H357" t="s">
        <v>688</v>
      </c>
      <c r="I357" t="s">
        <v>98</v>
      </c>
      <c r="J357" s="2">
        <v>45791</v>
      </c>
      <c r="K357" s="2">
        <v>45793</v>
      </c>
      <c r="L357" t="s">
        <v>8</v>
      </c>
      <c r="M357" s="14">
        <v>256779420492</v>
      </c>
      <c r="N357" t="s">
        <v>9</v>
      </c>
      <c r="O357" t="s">
        <v>10</v>
      </c>
      <c r="P357" t="s">
        <v>11</v>
      </c>
      <c r="Q357" t="s">
        <v>42</v>
      </c>
      <c r="R357" t="s">
        <v>13</v>
      </c>
      <c r="S357" s="3">
        <v>-2333.1799999999998</v>
      </c>
      <c r="T357" t="s">
        <v>14</v>
      </c>
      <c r="U357" s="3">
        <v>-202804.25</v>
      </c>
      <c r="V357" t="s">
        <v>15</v>
      </c>
      <c r="W357" t="s">
        <v>16</v>
      </c>
      <c r="X357" t="s">
        <v>11</v>
      </c>
      <c r="Y357" t="s">
        <v>8</v>
      </c>
      <c r="Z357" t="s">
        <v>17</v>
      </c>
      <c r="AA357" t="s">
        <v>689</v>
      </c>
      <c r="AB357" t="s">
        <v>11</v>
      </c>
      <c r="AC357" t="s">
        <v>11</v>
      </c>
      <c r="AD357" t="s">
        <v>11</v>
      </c>
      <c r="AE357" s="2">
        <v>45791</v>
      </c>
      <c r="AF357" s="2">
        <v>45974</v>
      </c>
      <c r="AG357" t="s">
        <v>39</v>
      </c>
      <c r="AH357" s="14" t="e">
        <f>VLOOKUP(M357,'[1]INDIAN ENTERPRISES'!$D:$D,1,0)</f>
        <v>#N/A</v>
      </c>
      <c r="AI357" t="str">
        <f>VLOOKUP(M357,'[2]CN Not in Customer books'!$D:$J,7,0)</f>
        <v>Invoice &amp; CN both not received &amp; booked</v>
      </c>
      <c r="AJ357" s="15" t="e">
        <f>VLOOKUP(M357,'[1]INDIAN ENTERPRISES'!$D:$L,9,0)</f>
        <v>#N/A</v>
      </c>
    </row>
    <row r="358" spans="1:36" hidden="1" outlineLevel="2" x14ac:dyDescent="0.25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96</v>
      </c>
      <c r="G358" s="2">
        <v>45791</v>
      </c>
      <c r="H358" t="s">
        <v>690</v>
      </c>
      <c r="I358" t="s">
        <v>98</v>
      </c>
      <c r="J358" s="2">
        <v>45791</v>
      </c>
      <c r="K358" s="2">
        <v>45793</v>
      </c>
      <c r="L358" t="s">
        <v>8</v>
      </c>
      <c r="M358" s="14">
        <v>256779420526</v>
      </c>
      <c r="N358" t="s">
        <v>9</v>
      </c>
      <c r="O358" t="s">
        <v>10</v>
      </c>
      <c r="P358" t="s">
        <v>11</v>
      </c>
      <c r="Q358" t="s">
        <v>42</v>
      </c>
      <c r="R358" t="s">
        <v>13</v>
      </c>
      <c r="S358" s="3">
        <v>-2286.2399999999998</v>
      </c>
      <c r="T358" t="s">
        <v>14</v>
      </c>
      <c r="U358" s="3">
        <v>-198724.14</v>
      </c>
      <c r="V358" t="s">
        <v>15</v>
      </c>
      <c r="W358" t="s">
        <v>16</v>
      </c>
      <c r="X358" t="s">
        <v>11</v>
      </c>
      <c r="Y358" t="s">
        <v>8</v>
      </c>
      <c r="Z358" t="s">
        <v>17</v>
      </c>
      <c r="AA358" t="s">
        <v>691</v>
      </c>
      <c r="AB358" t="s">
        <v>11</v>
      </c>
      <c r="AC358" t="s">
        <v>11</v>
      </c>
      <c r="AD358" t="s">
        <v>11</v>
      </c>
      <c r="AE358" s="2">
        <v>45791</v>
      </c>
      <c r="AF358" s="2">
        <v>45974</v>
      </c>
      <c r="AG358" t="s">
        <v>39</v>
      </c>
      <c r="AH358" s="14" t="e">
        <f>VLOOKUP(M358,'[1]INDIAN ENTERPRISES'!$D:$D,1,0)</f>
        <v>#N/A</v>
      </c>
      <c r="AI358" t="str">
        <f>VLOOKUP(M358,'[2]CN Not in Customer books'!$D:$J,7,0)</f>
        <v>Invoice &amp; CN both not received &amp; booked</v>
      </c>
      <c r="AJ358" s="15" t="e">
        <f>VLOOKUP(M358,'[1]INDIAN ENTERPRISES'!$D:$L,9,0)</f>
        <v>#N/A</v>
      </c>
    </row>
    <row r="359" spans="1:36" hidden="1" outlineLevel="2" x14ac:dyDescent="0.25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96</v>
      </c>
      <c r="G359" s="2">
        <v>45793</v>
      </c>
      <c r="H359" t="s">
        <v>692</v>
      </c>
      <c r="I359" t="s">
        <v>7</v>
      </c>
      <c r="J359" s="2">
        <v>45793</v>
      </c>
      <c r="K359" s="2">
        <v>45800</v>
      </c>
      <c r="L359" t="s">
        <v>8</v>
      </c>
      <c r="M359" s="14">
        <v>256779413280</v>
      </c>
      <c r="N359" t="s">
        <v>9</v>
      </c>
      <c r="O359" t="s">
        <v>10</v>
      </c>
      <c r="P359" t="s">
        <v>11</v>
      </c>
      <c r="Q359" t="s">
        <v>12</v>
      </c>
      <c r="R359" t="s">
        <v>13</v>
      </c>
      <c r="S359" s="3">
        <v>59</v>
      </c>
      <c r="T359" t="s">
        <v>14</v>
      </c>
      <c r="U359" s="3">
        <v>5073.04</v>
      </c>
      <c r="V359" t="s">
        <v>37</v>
      </c>
      <c r="W359" t="s">
        <v>136</v>
      </c>
      <c r="X359" t="s">
        <v>11</v>
      </c>
      <c r="Y359" t="s">
        <v>8</v>
      </c>
      <c r="Z359" t="s">
        <v>17</v>
      </c>
      <c r="AA359" t="s">
        <v>693</v>
      </c>
      <c r="AB359" t="s">
        <v>11</v>
      </c>
      <c r="AC359" t="s">
        <v>11</v>
      </c>
      <c r="AD359" t="s">
        <v>11</v>
      </c>
      <c r="AE359" s="2">
        <v>45793</v>
      </c>
      <c r="AF359" s="2">
        <v>45974</v>
      </c>
      <c r="AG359" t="s">
        <v>39</v>
      </c>
      <c r="AH359" s="14" t="e">
        <f>VLOOKUP(M359,'[1]INDIAN ENTERPRISES'!$D:$D,1,0)</f>
        <v>#N/A</v>
      </c>
      <c r="AI359" t="str">
        <f>VLOOKUP(M359,'[2]Invoices Not in Customer Books'!$E:$K,7,0)</f>
        <v>Invoice &amp; CN both not received &amp; booked</v>
      </c>
      <c r="AJ359" s="15" t="e">
        <f>VLOOKUP(M359,'[1]INDIAN ENTERPRISES'!$D:$L,9,0)</f>
        <v>#N/A</v>
      </c>
    </row>
    <row r="360" spans="1:36" hidden="1" outlineLevel="2" x14ac:dyDescent="0.25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96</v>
      </c>
      <c r="G360" s="2">
        <v>45793</v>
      </c>
      <c r="H360" t="s">
        <v>694</v>
      </c>
      <c r="I360" t="s">
        <v>7</v>
      </c>
      <c r="J360" s="2">
        <v>45793</v>
      </c>
      <c r="K360" s="2">
        <v>45800</v>
      </c>
      <c r="L360" t="s">
        <v>8</v>
      </c>
      <c r="M360" s="14">
        <v>256779413308</v>
      </c>
      <c r="N360" t="s">
        <v>9</v>
      </c>
      <c r="O360" t="s">
        <v>10</v>
      </c>
      <c r="P360" t="s">
        <v>11</v>
      </c>
      <c r="Q360" t="s">
        <v>12</v>
      </c>
      <c r="R360" t="s">
        <v>13</v>
      </c>
      <c r="S360" s="3">
        <v>723.47</v>
      </c>
      <c r="T360" t="s">
        <v>14</v>
      </c>
      <c r="U360" s="3">
        <v>62206.63</v>
      </c>
      <c r="V360" t="s">
        <v>37</v>
      </c>
      <c r="W360" t="s">
        <v>136</v>
      </c>
      <c r="X360" t="s">
        <v>11</v>
      </c>
      <c r="Y360" t="s">
        <v>8</v>
      </c>
      <c r="Z360" t="s">
        <v>17</v>
      </c>
      <c r="AA360" t="s">
        <v>695</v>
      </c>
      <c r="AB360" t="s">
        <v>11</v>
      </c>
      <c r="AC360" t="s">
        <v>11</v>
      </c>
      <c r="AD360" t="s">
        <v>11</v>
      </c>
      <c r="AE360" s="2">
        <v>45793</v>
      </c>
      <c r="AF360" s="2">
        <v>45974</v>
      </c>
      <c r="AG360" t="s">
        <v>39</v>
      </c>
      <c r="AH360" s="14" t="e">
        <f>VLOOKUP(M360,'[1]INDIAN ENTERPRISES'!$D:$D,1,0)</f>
        <v>#N/A</v>
      </c>
      <c r="AI360" t="str">
        <f>VLOOKUP(M360,'[2]Invoices Not in Customer Books'!$E:$K,7,0)</f>
        <v>Invoice &amp; CN both not received &amp; booked</v>
      </c>
      <c r="AJ360" s="15" t="e">
        <f>VLOOKUP(M360,'[1]INDIAN ENTERPRISES'!$D:$L,9,0)</f>
        <v>#N/A</v>
      </c>
    </row>
    <row r="361" spans="1:36" hidden="1" outlineLevel="2" x14ac:dyDescent="0.25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96</v>
      </c>
      <c r="G361" s="2">
        <v>45793</v>
      </c>
      <c r="H361" t="s">
        <v>696</v>
      </c>
      <c r="I361" t="s">
        <v>7</v>
      </c>
      <c r="J361" s="2">
        <v>45793</v>
      </c>
      <c r="K361" s="2">
        <v>45800</v>
      </c>
      <c r="L361" t="s">
        <v>8</v>
      </c>
      <c r="M361" s="14">
        <v>256779413348</v>
      </c>
      <c r="N361" t="s">
        <v>9</v>
      </c>
      <c r="O361" t="s">
        <v>10</v>
      </c>
      <c r="P361" t="s">
        <v>11</v>
      </c>
      <c r="Q361" t="s">
        <v>12</v>
      </c>
      <c r="R361" t="s">
        <v>13</v>
      </c>
      <c r="S361" s="3">
        <v>138.82</v>
      </c>
      <c r="T361" t="s">
        <v>14</v>
      </c>
      <c r="U361" s="3">
        <v>11936.26</v>
      </c>
      <c r="V361" t="s">
        <v>37</v>
      </c>
      <c r="W361" t="s">
        <v>136</v>
      </c>
      <c r="X361" t="s">
        <v>11</v>
      </c>
      <c r="Y361" t="s">
        <v>8</v>
      </c>
      <c r="Z361" t="s">
        <v>17</v>
      </c>
      <c r="AA361" t="s">
        <v>697</v>
      </c>
      <c r="AB361" t="s">
        <v>11</v>
      </c>
      <c r="AC361" t="s">
        <v>11</v>
      </c>
      <c r="AD361" t="s">
        <v>11</v>
      </c>
      <c r="AE361" s="2">
        <v>45793</v>
      </c>
      <c r="AF361" s="2">
        <v>45974</v>
      </c>
      <c r="AG361" t="s">
        <v>39</v>
      </c>
      <c r="AH361" s="14" t="e">
        <f>VLOOKUP(M361,'[1]INDIAN ENTERPRISES'!$D:$D,1,0)</f>
        <v>#N/A</v>
      </c>
      <c r="AI361" t="str">
        <f>VLOOKUP(M361,'[2]Invoices Not in Customer Books'!$E:$K,7,0)</f>
        <v>Invoice &amp; CN both not received &amp; booked</v>
      </c>
      <c r="AJ361" s="15" t="e">
        <f>VLOOKUP(M361,'[1]INDIAN ENTERPRISES'!$D:$L,9,0)</f>
        <v>#N/A</v>
      </c>
    </row>
    <row r="362" spans="1:36" hidden="1" outlineLevel="2" x14ac:dyDescent="0.25">
      <c r="A362" t="s">
        <v>20</v>
      </c>
      <c r="B362" t="s">
        <v>1</v>
      </c>
      <c r="C362" t="s">
        <v>2</v>
      </c>
      <c r="D362" t="s">
        <v>3</v>
      </c>
      <c r="E362" t="s">
        <v>4</v>
      </c>
      <c r="F362" t="s">
        <v>89</v>
      </c>
      <c r="G362" s="2">
        <v>46000</v>
      </c>
      <c r="H362" t="s">
        <v>698</v>
      </c>
      <c r="I362" t="s">
        <v>7</v>
      </c>
      <c r="J362" s="2">
        <v>46000</v>
      </c>
      <c r="K362" s="2">
        <v>46000</v>
      </c>
      <c r="L362" t="s">
        <v>8</v>
      </c>
      <c r="M362" s="14">
        <v>256779419995</v>
      </c>
      <c r="N362" t="s">
        <v>9</v>
      </c>
      <c r="O362" t="s">
        <v>10</v>
      </c>
      <c r="P362" t="s">
        <v>11</v>
      </c>
      <c r="Q362" t="s">
        <v>12</v>
      </c>
      <c r="R362" t="s">
        <v>13</v>
      </c>
      <c r="S362" s="3">
        <v>187.19</v>
      </c>
      <c r="T362" t="s">
        <v>14</v>
      </c>
      <c r="U362" s="3">
        <v>16603.78</v>
      </c>
      <c r="V362" t="s">
        <v>15</v>
      </c>
      <c r="W362" t="s">
        <v>16</v>
      </c>
      <c r="X362" t="s">
        <v>11</v>
      </c>
      <c r="Y362" t="s">
        <v>699</v>
      </c>
      <c r="Z362" t="s">
        <v>17</v>
      </c>
      <c r="AA362" t="s">
        <v>700</v>
      </c>
      <c r="AB362" t="s">
        <v>11</v>
      </c>
      <c r="AC362" t="s">
        <v>11</v>
      </c>
      <c r="AD362" t="s">
        <v>11</v>
      </c>
      <c r="AE362" s="2">
        <v>46000</v>
      </c>
      <c r="AF362" s="2"/>
      <c r="AG362" t="s">
        <v>11</v>
      </c>
      <c r="AH362" s="14">
        <f>VLOOKUP(M362,'[1]INDIAN ENTERPRISES'!$D:$D,1,0)</f>
        <v>256779419995</v>
      </c>
      <c r="AJ362" s="15">
        <f>VLOOKUP(M362,'[1]INDIAN ENTERPRISES'!$D:$L,9,0)</f>
        <v>46053</v>
      </c>
    </row>
    <row r="363" spans="1:36" hidden="1" outlineLevel="2" x14ac:dyDescent="0.25">
      <c r="A363" t="s">
        <v>20</v>
      </c>
      <c r="B363" t="s">
        <v>1</v>
      </c>
      <c r="C363" t="s">
        <v>2</v>
      </c>
      <c r="D363" t="s">
        <v>3</v>
      </c>
      <c r="E363" t="s">
        <v>4</v>
      </c>
      <c r="F363" t="s">
        <v>128</v>
      </c>
      <c r="G363" s="2">
        <v>45848</v>
      </c>
      <c r="H363" t="s">
        <v>701</v>
      </c>
      <c r="I363" t="s">
        <v>7</v>
      </c>
      <c r="J363" s="2">
        <v>45848</v>
      </c>
      <c r="K363" s="2">
        <v>45854</v>
      </c>
      <c r="L363" t="s">
        <v>8</v>
      </c>
      <c r="M363" s="14">
        <v>256779415322</v>
      </c>
      <c r="N363" t="s">
        <v>9</v>
      </c>
      <c r="O363" t="s">
        <v>10</v>
      </c>
      <c r="P363" t="s">
        <v>11</v>
      </c>
      <c r="Q363" t="s">
        <v>12</v>
      </c>
      <c r="R363" t="s">
        <v>13</v>
      </c>
      <c r="S363" s="3">
        <v>192</v>
      </c>
      <c r="T363" t="s">
        <v>14</v>
      </c>
      <c r="U363" s="3">
        <v>16512.13</v>
      </c>
      <c r="V363" t="s">
        <v>15</v>
      </c>
      <c r="W363" t="s">
        <v>16</v>
      </c>
      <c r="X363" t="s">
        <v>11</v>
      </c>
      <c r="Y363" t="s">
        <v>8</v>
      </c>
      <c r="Z363" t="s">
        <v>17</v>
      </c>
      <c r="AA363" t="s">
        <v>702</v>
      </c>
      <c r="AB363" t="s">
        <v>11</v>
      </c>
      <c r="AC363" t="s">
        <v>11</v>
      </c>
      <c r="AD363" t="s">
        <v>11</v>
      </c>
      <c r="AE363" s="2">
        <v>45848</v>
      </c>
      <c r="AF363" s="2"/>
      <c r="AG363" t="s">
        <v>11</v>
      </c>
      <c r="AH363" s="14">
        <f>VLOOKUP(M363,'[1]INDIAN ENTERPRISES'!$D:$D,1,0)</f>
        <v>256779415322</v>
      </c>
      <c r="AJ363" s="15">
        <f>VLOOKUP(M363,'[1]INDIAN ENTERPRISES'!$D:$L,9,0)</f>
        <v>45991</v>
      </c>
    </row>
    <row r="364" spans="1:36" hidden="1" outlineLevel="2" x14ac:dyDescent="0.25">
      <c r="A364" t="s">
        <v>20</v>
      </c>
      <c r="B364" t="s">
        <v>1</v>
      </c>
      <c r="C364" t="s">
        <v>2</v>
      </c>
      <c r="D364" t="s">
        <v>3</v>
      </c>
      <c r="E364" t="s">
        <v>4</v>
      </c>
      <c r="F364" t="s">
        <v>128</v>
      </c>
      <c r="G364" s="2">
        <v>45848</v>
      </c>
      <c r="H364" t="s">
        <v>703</v>
      </c>
      <c r="I364" t="s">
        <v>7</v>
      </c>
      <c r="J364" s="2">
        <v>45848</v>
      </c>
      <c r="K364" s="2">
        <v>45854</v>
      </c>
      <c r="L364" t="s">
        <v>8</v>
      </c>
      <c r="M364" s="14">
        <v>256779415323</v>
      </c>
      <c r="N364" t="s">
        <v>9</v>
      </c>
      <c r="O364" t="s">
        <v>10</v>
      </c>
      <c r="P364" t="s">
        <v>11</v>
      </c>
      <c r="Q364" t="s">
        <v>12</v>
      </c>
      <c r="R364" t="s">
        <v>13</v>
      </c>
      <c r="S364" s="3">
        <v>211.75</v>
      </c>
      <c r="T364" t="s">
        <v>14</v>
      </c>
      <c r="U364" s="3">
        <v>18210.64</v>
      </c>
      <c r="V364" t="s">
        <v>15</v>
      </c>
      <c r="W364" t="s">
        <v>16</v>
      </c>
      <c r="X364" t="s">
        <v>11</v>
      </c>
      <c r="Y364" t="s">
        <v>8</v>
      </c>
      <c r="Z364" t="s">
        <v>17</v>
      </c>
      <c r="AA364" t="s">
        <v>704</v>
      </c>
      <c r="AB364" t="s">
        <v>11</v>
      </c>
      <c r="AC364" t="s">
        <v>11</v>
      </c>
      <c r="AD364" t="s">
        <v>11</v>
      </c>
      <c r="AE364" s="2">
        <v>45848</v>
      </c>
      <c r="AF364" s="2"/>
      <c r="AG364" t="s">
        <v>11</v>
      </c>
      <c r="AH364" s="14">
        <f>VLOOKUP(M364,'[1]INDIAN ENTERPRISES'!$D:$D,1,0)</f>
        <v>256779415323</v>
      </c>
      <c r="AJ364" s="15">
        <f>VLOOKUP(M364,'[1]INDIAN ENTERPRISES'!$D:$L,9,0)</f>
        <v>45991</v>
      </c>
    </row>
    <row r="365" spans="1:36" hidden="1" outlineLevel="2" x14ac:dyDescent="0.25">
      <c r="A365" t="s">
        <v>20</v>
      </c>
      <c r="B365" t="s">
        <v>1</v>
      </c>
      <c r="C365" t="s">
        <v>2</v>
      </c>
      <c r="D365" t="s">
        <v>3</v>
      </c>
      <c r="E365" t="s">
        <v>4</v>
      </c>
      <c r="F365" t="s">
        <v>128</v>
      </c>
      <c r="G365" s="2">
        <v>45848</v>
      </c>
      <c r="H365" t="s">
        <v>705</v>
      </c>
      <c r="I365" t="s">
        <v>7</v>
      </c>
      <c r="J365" s="2">
        <v>45848</v>
      </c>
      <c r="K365" s="2">
        <v>45854</v>
      </c>
      <c r="L365" t="s">
        <v>8</v>
      </c>
      <c r="M365" s="14">
        <v>256779415324</v>
      </c>
      <c r="N365" t="s">
        <v>9</v>
      </c>
      <c r="O365" t="s">
        <v>10</v>
      </c>
      <c r="P365" t="s">
        <v>11</v>
      </c>
      <c r="Q365" t="s">
        <v>12</v>
      </c>
      <c r="R365" t="s">
        <v>13</v>
      </c>
      <c r="S365" s="3">
        <v>146.65</v>
      </c>
      <c r="T365" t="s">
        <v>14</v>
      </c>
      <c r="U365" s="3">
        <v>12612</v>
      </c>
      <c r="V365" t="s">
        <v>15</v>
      </c>
      <c r="W365" t="s">
        <v>16</v>
      </c>
      <c r="X365" t="s">
        <v>11</v>
      </c>
      <c r="Y365" t="s">
        <v>8</v>
      </c>
      <c r="Z365" t="s">
        <v>17</v>
      </c>
      <c r="AA365" t="s">
        <v>448</v>
      </c>
      <c r="AB365" t="s">
        <v>11</v>
      </c>
      <c r="AC365" t="s">
        <v>11</v>
      </c>
      <c r="AD365" t="s">
        <v>11</v>
      </c>
      <c r="AE365" s="2">
        <v>45848</v>
      </c>
      <c r="AF365" s="2"/>
      <c r="AG365" t="s">
        <v>11</v>
      </c>
      <c r="AH365" s="14">
        <f>VLOOKUP(M365,'[1]INDIAN ENTERPRISES'!$D:$D,1,0)</f>
        <v>256779415324</v>
      </c>
      <c r="AJ365" s="15">
        <f>VLOOKUP(M365,'[1]INDIAN ENTERPRISES'!$D:$L,9,0)</f>
        <v>45991</v>
      </c>
    </row>
    <row r="366" spans="1:36" hidden="1" outlineLevel="2" x14ac:dyDescent="0.25">
      <c r="A366" t="s">
        <v>20</v>
      </c>
      <c r="B366" t="s">
        <v>1</v>
      </c>
      <c r="C366" t="s">
        <v>2</v>
      </c>
      <c r="D366" t="s">
        <v>3</v>
      </c>
      <c r="E366" t="s">
        <v>4</v>
      </c>
      <c r="F366" t="s">
        <v>128</v>
      </c>
      <c r="G366" s="2">
        <v>45848</v>
      </c>
      <c r="H366" t="s">
        <v>706</v>
      </c>
      <c r="I366" t="s">
        <v>7</v>
      </c>
      <c r="J366" s="2">
        <v>45848</v>
      </c>
      <c r="K366" s="2">
        <v>45854</v>
      </c>
      <c r="L366" t="s">
        <v>8</v>
      </c>
      <c r="M366" s="14">
        <v>256779415325</v>
      </c>
      <c r="N366" t="s">
        <v>9</v>
      </c>
      <c r="O366" t="s">
        <v>10</v>
      </c>
      <c r="P366" t="s">
        <v>11</v>
      </c>
      <c r="Q366" t="s">
        <v>12</v>
      </c>
      <c r="R366" t="s">
        <v>13</v>
      </c>
      <c r="S366" s="3">
        <v>192</v>
      </c>
      <c r="T366" t="s">
        <v>14</v>
      </c>
      <c r="U366" s="3">
        <v>16512.13</v>
      </c>
      <c r="V366" t="s">
        <v>15</v>
      </c>
      <c r="W366" t="s">
        <v>16</v>
      </c>
      <c r="X366" t="s">
        <v>11</v>
      </c>
      <c r="Y366" t="s">
        <v>8</v>
      </c>
      <c r="Z366" t="s">
        <v>17</v>
      </c>
      <c r="AA366" t="s">
        <v>429</v>
      </c>
      <c r="AB366" t="s">
        <v>11</v>
      </c>
      <c r="AC366" t="s">
        <v>11</v>
      </c>
      <c r="AD366" t="s">
        <v>11</v>
      </c>
      <c r="AE366" s="2">
        <v>45848</v>
      </c>
      <c r="AF366" s="2"/>
      <c r="AG366" t="s">
        <v>11</v>
      </c>
      <c r="AH366" s="14">
        <f>VLOOKUP(M366,'[1]INDIAN ENTERPRISES'!$D:$D,1,0)</f>
        <v>256779415325</v>
      </c>
      <c r="AJ366" s="15">
        <f>VLOOKUP(M366,'[1]INDIAN ENTERPRISES'!$D:$L,9,0)</f>
        <v>45991</v>
      </c>
    </row>
    <row r="367" spans="1:36" hidden="1" outlineLevel="2" x14ac:dyDescent="0.25">
      <c r="A367" t="s">
        <v>20</v>
      </c>
      <c r="B367" t="s">
        <v>1</v>
      </c>
      <c r="C367" t="s">
        <v>2</v>
      </c>
      <c r="D367" t="s">
        <v>3</v>
      </c>
      <c r="E367" t="s">
        <v>4</v>
      </c>
      <c r="F367" t="s">
        <v>128</v>
      </c>
      <c r="G367" s="2">
        <v>45848</v>
      </c>
      <c r="H367" t="s">
        <v>707</v>
      </c>
      <c r="I367" t="s">
        <v>7</v>
      </c>
      <c r="J367" s="2">
        <v>45848</v>
      </c>
      <c r="K367" s="2">
        <v>45854</v>
      </c>
      <c r="L367" t="s">
        <v>8</v>
      </c>
      <c r="M367" s="14">
        <v>256779415326</v>
      </c>
      <c r="N367" t="s">
        <v>9</v>
      </c>
      <c r="O367" t="s">
        <v>10</v>
      </c>
      <c r="P367" t="s">
        <v>11</v>
      </c>
      <c r="Q367" t="s">
        <v>12</v>
      </c>
      <c r="R367" t="s">
        <v>13</v>
      </c>
      <c r="S367" s="3">
        <v>185.05</v>
      </c>
      <c r="T367" t="s">
        <v>14</v>
      </c>
      <c r="U367" s="3">
        <v>15914.42</v>
      </c>
      <c r="V367" t="s">
        <v>15</v>
      </c>
      <c r="W367" t="s">
        <v>16</v>
      </c>
      <c r="X367" t="s">
        <v>11</v>
      </c>
      <c r="Y367" t="s">
        <v>8</v>
      </c>
      <c r="Z367" t="s">
        <v>17</v>
      </c>
      <c r="AA367" t="s">
        <v>708</v>
      </c>
      <c r="AB367" t="s">
        <v>11</v>
      </c>
      <c r="AC367" t="s">
        <v>11</v>
      </c>
      <c r="AD367" t="s">
        <v>11</v>
      </c>
      <c r="AE367" s="2">
        <v>45848</v>
      </c>
      <c r="AF367" s="2"/>
      <c r="AG367" t="s">
        <v>11</v>
      </c>
      <c r="AH367" s="14">
        <f>VLOOKUP(M367,'[1]INDIAN ENTERPRISES'!$D:$D,1,0)</f>
        <v>256779415326</v>
      </c>
      <c r="AJ367" s="15">
        <f>VLOOKUP(M367,'[1]INDIAN ENTERPRISES'!$D:$L,9,0)</f>
        <v>45991</v>
      </c>
    </row>
    <row r="368" spans="1:36" hidden="1" outlineLevel="2" x14ac:dyDescent="0.25">
      <c r="A368" t="s">
        <v>20</v>
      </c>
      <c r="B368" t="s">
        <v>1</v>
      </c>
      <c r="C368" t="s">
        <v>2</v>
      </c>
      <c r="D368" t="s">
        <v>3</v>
      </c>
      <c r="E368" t="s">
        <v>4</v>
      </c>
      <c r="F368" t="s">
        <v>128</v>
      </c>
      <c r="G368" s="2">
        <v>45848</v>
      </c>
      <c r="H368" t="s">
        <v>709</v>
      </c>
      <c r="I368" t="s">
        <v>7</v>
      </c>
      <c r="J368" s="2">
        <v>45848</v>
      </c>
      <c r="K368" s="2">
        <v>45854</v>
      </c>
      <c r="L368" t="s">
        <v>8</v>
      </c>
      <c r="M368" s="14">
        <v>256779415327</v>
      </c>
      <c r="N368" t="s">
        <v>9</v>
      </c>
      <c r="O368" t="s">
        <v>10</v>
      </c>
      <c r="P368" t="s">
        <v>11</v>
      </c>
      <c r="Q368" t="s">
        <v>12</v>
      </c>
      <c r="R368" t="s">
        <v>13</v>
      </c>
      <c r="S368" s="3">
        <v>20</v>
      </c>
      <c r="T368" t="s">
        <v>14</v>
      </c>
      <c r="U368" s="3">
        <v>1720.01</v>
      </c>
      <c r="V368" t="s">
        <v>15</v>
      </c>
      <c r="W368" t="s">
        <v>16</v>
      </c>
      <c r="X368" t="s">
        <v>11</v>
      </c>
      <c r="Y368" t="s">
        <v>8</v>
      </c>
      <c r="Z368" t="s">
        <v>17</v>
      </c>
      <c r="AA368" t="s">
        <v>443</v>
      </c>
      <c r="AB368" t="s">
        <v>11</v>
      </c>
      <c r="AC368" t="s">
        <v>11</v>
      </c>
      <c r="AD368" t="s">
        <v>11</v>
      </c>
      <c r="AE368" s="2">
        <v>45848</v>
      </c>
      <c r="AF368" s="2"/>
      <c r="AG368" t="s">
        <v>11</v>
      </c>
      <c r="AH368" s="14">
        <f>VLOOKUP(M368,'[1]INDIAN ENTERPRISES'!$D:$D,1,0)</f>
        <v>256779415327</v>
      </c>
      <c r="AJ368" s="15">
        <f>VLOOKUP(M368,'[1]INDIAN ENTERPRISES'!$D:$L,9,0)</f>
        <v>45991</v>
      </c>
    </row>
    <row r="369" spans="1:36" hidden="1" outlineLevel="2" x14ac:dyDescent="0.25">
      <c r="A369" t="s">
        <v>20</v>
      </c>
      <c r="B369" t="s">
        <v>1</v>
      </c>
      <c r="C369" t="s">
        <v>2</v>
      </c>
      <c r="D369" t="s">
        <v>3</v>
      </c>
      <c r="E369" t="s">
        <v>4</v>
      </c>
      <c r="F369" t="s">
        <v>128</v>
      </c>
      <c r="G369" s="2">
        <v>45848</v>
      </c>
      <c r="H369" t="s">
        <v>710</v>
      </c>
      <c r="I369" t="s">
        <v>7</v>
      </c>
      <c r="J369" s="2">
        <v>45848</v>
      </c>
      <c r="K369" s="2">
        <v>45854</v>
      </c>
      <c r="L369" t="s">
        <v>8</v>
      </c>
      <c r="M369" s="14">
        <v>256779415328</v>
      </c>
      <c r="N369" t="s">
        <v>9</v>
      </c>
      <c r="O369" t="s">
        <v>10</v>
      </c>
      <c r="P369" t="s">
        <v>11</v>
      </c>
      <c r="Q369" t="s">
        <v>12</v>
      </c>
      <c r="R369" t="s">
        <v>13</v>
      </c>
      <c r="S369" s="3">
        <v>22.5</v>
      </c>
      <c r="T369" t="s">
        <v>14</v>
      </c>
      <c r="U369" s="3">
        <v>1935.02</v>
      </c>
      <c r="V369" t="s">
        <v>15</v>
      </c>
      <c r="W369" t="s">
        <v>16</v>
      </c>
      <c r="X369" t="s">
        <v>11</v>
      </c>
      <c r="Y369" t="s">
        <v>8</v>
      </c>
      <c r="Z369" t="s">
        <v>17</v>
      </c>
      <c r="AA369" t="s">
        <v>443</v>
      </c>
      <c r="AB369" t="s">
        <v>11</v>
      </c>
      <c r="AC369" t="s">
        <v>11</v>
      </c>
      <c r="AD369" t="s">
        <v>11</v>
      </c>
      <c r="AE369" s="2">
        <v>45848</v>
      </c>
      <c r="AF369" s="2"/>
      <c r="AG369" t="s">
        <v>11</v>
      </c>
      <c r="AH369" s="14">
        <f>VLOOKUP(M369,'[1]INDIAN ENTERPRISES'!$D:$D,1,0)</f>
        <v>256779415328</v>
      </c>
      <c r="AJ369" s="15">
        <f>VLOOKUP(M369,'[1]INDIAN ENTERPRISES'!$D:$L,9,0)</f>
        <v>46053</v>
      </c>
    </row>
    <row r="370" spans="1:36" hidden="1" outlineLevel="2" x14ac:dyDescent="0.25">
      <c r="A370" t="s">
        <v>20</v>
      </c>
      <c r="B370" t="s">
        <v>1</v>
      </c>
      <c r="C370" t="s">
        <v>2</v>
      </c>
      <c r="D370" t="s">
        <v>3</v>
      </c>
      <c r="E370" t="s">
        <v>4</v>
      </c>
      <c r="F370" t="s">
        <v>128</v>
      </c>
      <c r="G370" s="2">
        <v>45848</v>
      </c>
      <c r="H370" t="s">
        <v>711</v>
      </c>
      <c r="I370" t="s">
        <v>7</v>
      </c>
      <c r="J370" s="2">
        <v>45848</v>
      </c>
      <c r="K370" s="2">
        <v>45854</v>
      </c>
      <c r="L370" t="s">
        <v>8</v>
      </c>
      <c r="M370" s="14">
        <v>256779415329</v>
      </c>
      <c r="N370" t="s">
        <v>9</v>
      </c>
      <c r="O370" t="s">
        <v>10</v>
      </c>
      <c r="P370" t="s">
        <v>11</v>
      </c>
      <c r="Q370" t="s">
        <v>12</v>
      </c>
      <c r="R370" t="s">
        <v>13</v>
      </c>
      <c r="S370" s="3">
        <v>27.5</v>
      </c>
      <c r="T370" t="s">
        <v>14</v>
      </c>
      <c r="U370" s="3">
        <v>2365.02</v>
      </c>
      <c r="V370" t="s">
        <v>15</v>
      </c>
      <c r="W370" t="s">
        <v>16</v>
      </c>
      <c r="X370" t="s">
        <v>11</v>
      </c>
      <c r="Y370" t="s">
        <v>8</v>
      </c>
      <c r="Z370" t="s">
        <v>17</v>
      </c>
      <c r="AA370" t="s">
        <v>443</v>
      </c>
      <c r="AB370" t="s">
        <v>11</v>
      </c>
      <c r="AC370" t="s">
        <v>11</v>
      </c>
      <c r="AD370" t="s">
        <v>11</v>
      </c>
      <c r="AE370" s="2">
        <v>45848</v>
      </c>
      <c r="AF370" s="2"/>
      <c r="AG370" t="s">
        <v>11</v>
      </c>
      <c r="AH370" s="14">
        <f>VLOOKUP(M370,'[1]INDIAN ENTERPRISES'!$D:$D,1,0)</f>
        <v>256779415329</v>
      </c>
      <c r="AJ370" s="15">
        <f>VLOOKUP(M370,'[1]INDIAN ENTERPRISES'!$D:$L,9,0)</f>
        <v>45991</v>
      </c>
    </row>
    <row r="371" spans="1:36" hidden="1" outlineLevel="2" x14ac:dyDescent="0.25">
      <c r="A371" t="s">
        <v>20</v>
      </c>
      <c r="B371" t="s">
        <v>1</v>
      </c>
      <c r="C371" t="s">
        <v>2</v>
      </c>
      <c r="D371" t="s">
        <v>3</v>
      </c>
      <c r="E371" t="s">
        <v>4</v>
      </c>
      <c r="F371" t="s">
        <v>128</v>
      </c>
      <c r="G371" s="2">
        <v>45848</v>
      </c>
      <c r="H371" t="s">
        <v>712</v>
      </c>
      <c r="I371" t="s">
        <v>7</v>
      </c>
      <c r="J371" s="2">
        <v>45848</v>
      </c>
      <c r="K371" s="2">
        <v>45854</v>
      </c>
      <c r="L371" t="s">
        <v>8</v>
      </c>
      <c r="M371" s="14">
        <v>256779415330</v>
      </c>
      <c r="N371" t="s">
        <v>9</v>
      </c>
      <c r="O371" t="s">
        <v>10</v>
      </c>
      <c r="P371" t="s">
        <v>11</v>
      </c>
      <c r="Q371" t="s">
        <v>12</v>
      </c>
      <c r="R371" t="s">
        <v>13</v>
      </c>
      <c r="S371" s="3">
        <v>22.5</v>
      </c>
      <c r="T371" t="s">
        <v>14</v>
      </c>
      <c r="U371" s="3">
        <v>1935.02</v>
      </c>
      <c r="V371" t="s">
        <v>15</v>
      </c>
      <c r="W371" t="s">
        <v>16</v>
      </c>
      <c r="X371" t="s">
        <v>11</v>
      </c>
      <c r="Y371" t="s">
        <v>8</v>
      </c>
      <c r="Z371" t="s">
        <v>17</v>
      </c>
      <c r="AA371" t="s">
        <v>443</v>
      </c>
      <c r="AB371" t="s">
        <v>11</v>
      </c>
      <c r="AC371" t="s">
        <v>11</v>
      </c>
      <c r="AD371" t="s">
        <v>11</v>
      </c>
      <c r="AE371" s="2">
        <v>45848</v>
      </c>
      <c r="AF371" s="2"/>
      <c r="AG371" t="s">
        <v>11</v>
      </c>
      <c r="AH371" s="14">
        <f>VLOOKUP(M371,'[1]INDIAN ENTERPRISES'!$D:$D,1,0)</f>
        <v>256779415330</v>
      </c>
      <c r="AJ371" s="15">
        <f>VLOOKUP(M371,'[1]INDIAN ENTERPRISES'!$D:$L,9,0)</f>
        <v>45991</v>
      </c>
    </row>
    <row r="372" spans="1:36" hidden="1" outlineLevel="2" x14ac:dyDescent="0.25">
      <c r="A372" t="s">
        <v>20</v>
      </c>
      <c r="B372" t="s">
        <v>1</v>
      </c>
      <c r="C372" t="s">
        <v>2</v>
      </c>
      <c r="D372" t="s">
        <v>3</v>
      </c>
      <c r="E372" t="s">
        <v>4</v>
      </c>
      <c r="F372" t="s">
        <v>128</v>
      </c>
      <c r="G372" s="2">
        <v>45848</v>
      </c>
      <c r="H372" t="s">
        <v>713</v>
      </c>
      <c r="I372" t="s">
        <v>7</v>
      </c>
      <c r="J372" s="2">
        <v>45848</v>
      </c>
      <c r="K372" s="2">
        <v>45854</v>
      </c>
      <c r="L372" t="s">
        <v>8</v>
      </c>
      <c r="M372" s="14">
        <v>256779415331</v>
      </c>
      <c r="N372" t="s">
        <v>9</v>
      </c>
      <c r="O372" t="s">
        <v>10</v>
      </c>
      <c r="P372" t="s">
        <v>11</v>
      </c>
      <c r="Q372" t="s">
        <v>12</v>
      </c>
      <c r="R372" t="s">
        <v>13</v>
      </c>
      <c r="S372" s="3">
        <v>22.5</v>
      </c>
      <c r="T372" t="s">
        <v>14</v>
      </c>
      <c r="U372" s="3">
        <v>1935.02</v>
      </c>
      <c r="V372" t="s">
        <v>15</v>
      </c>
      <c r="W372" t="s">
        <v>16</v>
      </c>
      <c r="X372" t="s">
        <v>11</v>
      </c>
      <c r="Y372" t="s">
        <v>8</v>
      </c>
      <c r="Z372" t="s">
        <v>17</v>
      </c>
      <c r="AA372" t="s">
        <v>443</v>
      </c>
      <c r="AB372" t="s">
        <v>11</v>
      </c>
      <c r="AC372" t="s">
        <v>11</v>
      </c>
      <c r="AD372" t="s">
        <v>11</v>
      </c>
      <c r="AE372" s="2">
        <v>45848</v>
      </c>
      <c r="AF372" s="2"/>
      <c r="AG372" t="s">
        <v>11</v>
      </c>
      <c r="AH372" s="14">
        <f>VLOOKUP(M372,'[1]INDIAN ENTERPRISES'!$D:$D,1,0)</f>
        <v>256779415331</v>
      </c>
      <c r="AJ372" s="15">
        <f>VLOOKUP(M372,'[1]INDIAN ENTERPRISES'!$D:$L,9,0)</f>
        <v>45991</v>
      </c>
    </row>
    <row r="373" spans="1:36" hidden="1" outlineLevel="2" x14ac:dyDescent="0.25">
      <c r="A373" t="s">
        <v>20</v>
      </c>
      <c r="B373" t="s">
        <v>1</v>
      </c>
      <c r="C373" t="s">
        <v>2</v>
      </c>
      <c r="D373" t="s">
        <v>3</v>
      </c>
      <c r="E373" t="s">
        <v>4</v>
      </c>
      <c r="F373" t="s">
        <v>128</v>
      </c>
      <c r="G373" s="2">
        <v>45848</v>
      </c>
      <c r="H373" t="s">
        <v>714</v>
      </c>
      <c r="I373" t="s">
        <v>7</v>
      </c>
      <c r="J373" s="2">
        <v>45848</v>
      </c>
      <c r="K373" s="2">
        <v>45854</v>
      </c>
      <c r="L373" t="s">
        <v>8</v>
      </c>
      <c r="M373" s="14">
        <v>256779415332</v>
      </c>
      <c r="N373" t="s">
        <v>9</v>
      </c>
      <c r="O373" t="s">
        <v>10</v>
      </c>
      <c r="P373" t="s">
        <v>11</v>
      </c>
      <c r="Q373" t="s">
        <v>12</v>
      </c>
      <c r="R373" t="s">
        <v>13</v>
      </c>
      <c r="S373" s="3">
        <v>2.5</v>
      </c>
      <c r="T373" t="s">
        <v>14</v>
      </c>
      <c r="U373" s="3">
        <v>215</v>
      </c>
      <c r="V373" t="s">
        <v>15</v>
      </c>
      <c r="W373" t="s">
        <v>16</v>
      </c>
      <c r="X373" t="s">
        <v>11</v>
      </c>
      <c r="Y373" t="s">
        <v>8</v>
      </c>
      <c r="Z373" t="s">
        <v>17</v>
      </c>
      <c r="AA373" t="s">
        <v>443</v>
      </c>
      <c r="AB373" t="s">
        <v>11</v>
      </c>
      <c r="AC373" t="s">
        <v>11</v>
      </c>
      <c r="AD373" t="s">
        <v>11</v>
      </c>
      <c r="AE373" s="2">
        <v>45848</v>
      </c>
      <c r="AF373" s="2"/>
      <c r="AG373" t="s">
        <v>11</v>
      </c>
      <c r="AH373" s="14">
        <f>VLOOKUP(M373,'[1]INDIAN ENTERPRISES'!$D:$D,1,0)</f>
        <v>256779415332</v>
      </c>
      <c r="AJ373" s="15">
        <f>VLOOKUP(M373,'[1]INDIAN ENTERPRISES'!$D:$L,9,0)</f>
        <v>46053</v>
      </c>
    </row>
    <row r="374" spans="1:36" hidden="1" outlineLevel="2" x14ac:dyDescent="0.25">
      <c r="A374" t="s">
        <v>20</v>
      </c>
      <c r="B374" t="s">
        <v>1</v>
      </c>
      <c r="C374" t="s">
        <v>2</v>
      </c>
      <c r="D374" t="s">
        <v>3</v>
      </c>
      <c r="E374" t="s">
        <v>4</v>
      </c>
      <c r="F374" t="s">
        <v>128</v>
      </c>
      <c r="G374" s="2">
        <v>45848</v>
      </c>
      <c r="H374" t="s">
        <v>715</v>
      </c>
      <c r="I374" t="s">
        <v>7</v>
      </c>
      <c r="J374" s="2">
        <v>45848</v>
      </c>
      <c r="K374" s="2">
        <v>45854</v>
      </c>
      <c r="L374" t="s">
        <v>8</v>
      </c>
      <c r="M374" s="14">
        <v>256779415333</v>
      </c>
      <c r="N374" t="s">
        <v>9</v>
      </c>
      <c r="O374" t="s">
        <v>10</v>
      </c>
      <c r="P374" t="s">
        <v>11</v>
      </c>
      <c r="Q374" t="s">
        <v>12</v>
      </c>
      <c r="R374" t="s">
        <v>13</v>
      </c>
      <c r="S374" s="3">
        <v>22.5</v>
      </c>
      <c r="T374" t="s">
        <v>14</v>
      </c>
      <c r="U374" s="3">
        <v>1935.02</v>
      </c>
      <c r="V374" t="s">
        <v>15</v>
      </c>
      <c r="W374" t="s">
        <v>16</v>
      </c>
      <c r="X374" t="s">
        <v>11</v>
      </c>
      <c r="Y374" t="s">
        <v>8</v>
      </c>
      <c r="Z374" t="s">
        <v>17</v>
      </c>
      <c r="AA374" t="s">
        <v>506</v>
      </c>
      <c r="AB374" t="s">
        <v>11</v>
      </c>
      <c r="AC374" t="s">
        <v>11</v>
      </c>
      <c r="AD374" t="s">
        <v>11</v>
      </c>
      <c r="AE374" s="2">
        <v>45848</v>
      </c>
      <c r="AF374" s="2"/>
      <c r="AG374" t="s">
        <v>11</v>
      </c>
      <c r="AH374" s="14">
        <f>VLOOKUP(M374,'[1]INDIAN ENTERPRISES'!$D:$D,1,0)</f>
        <v>256779415333</v>
      </c>
      <c r="AJ374" s="15">
        <f>VLOOKUP(M374,'[1]INDIAN ENTERPRISES'!$D:$L,9,0)</f>
        <v>45991</v>
      </c>
    </row>
    <row r="375" spans="1:36" hidden="1" outlineLevel="2" x14ac:dyDescent="0.25">
      <c r="A375" t="s">
        <v>20</v>
      </c>
      <c r="B375" t="s">
        <v>1</v>
      </c>
      <c r="C375" t="s">
        <v>2</v>
      </c>
      <c r="D375" t="s">
        <v>3</v>
      </c>
      <c r="E375" t="s">
        <v>4</v>
      </c>
      <c r="F375" t="s">
        <v>128</v>
      </c>
      <c r="G375" s="2">
        <v>45848</v>
      </c>
      <c r="H375" t="s">
        <v>716</v>
      </c>
      <c r="I375" t="s">
        <v>7</v>
      </c>
      <c r="J375" s="2">
        <v>45848</v>
      </c>
      <c r="K375" s="2">
        <v>45854</v>
      </c>
      <c r="L375" t="s">
        <v>8</v>
      </c>
      <c r="M375" s="14">
        <v>256779415334</v>
      </c>
      <c r="N375" t="s">
        <v>9</v>
      </c>
      <c r="O375" t="s">
        <v>10</v>
      </c>
      <c r="P375" t="s">
        <v>11</v>
      </c>
      <c r="Q375" t="s">
        <v>12</v>
      </c>
      <c r="R375" t="s">
        <v>13</v>
      </c>
      <c r="S375" s="3">
        <v>22.5</v>
      </c>
      <c r="T375" t="s">
        <v>14</v>
      </c>
      <c r="U375" s="3">
        <v>1935.02</v>
      </c>
      <c r="V375" t="s">
        <v>15</v>
      </c>
      <c r="W375" t="s">
        <v>16</v>
      </c>
      <c r="X375" t="s">
        <v>11</v>
      </c>
      <c r="Y375" t="s">
        <v>8</v>
      </c>
      <c r="Z375" t="s">
        <v>17</v>
      </c>
      <c r="AA375" t="s">
        <v>506</v>
      </c>
      <c r="AB375" t="s">
        <v>11</v>
      </c>
      <c r="AC375" t="s">
        <v>11</v>
      </c>
      <c r="AD375" t="s">
        <v>11</v>
      </c>
      <c r="AE375" s="2">
        <v>45848</v>
      </c>
      <c r="AF375" s="2"/>
      <c r="AG375" t="s">
        <v>11</v>
      </c>
      <c r="AH375" s="14">
        <f>VLOOKUP(M375,'[1]INDIAN ENTERPRISES'!$D:$D,1,0)</f>
        <v>256779415334</v>
      </c>
      <c r="AJ375" s="15">
        <f>VLOOKUP(M375,'[1]INDIAN ENTERPRISES'!$D:$L,9,0)</f>
        <v>45991</v>
      </c>
    </row>
    <row r="376" spans="1:36" hidden="1" outlineLevel="2" x14ac:dyDescent="0.25">
      <c r="A376" t="s">
        <v>20</v>
      </c>
      <c r="B376" t="s">
        <v>1</v>
      </c>
      <c r="C376" t="s">
        <v>2</v>
      </c>
      <c r="D376" t="s">
        <v>3</v>
      </c>
      <c r="E376" t="s">
        <v>4</v>
      </c>
      <c r="F376" t="s">
        <v>128</v>
      </c>
      <c r="G376" s="2">
        <v>45848</v>
      </c>
      <c r="H376" t="s">
        <v>717</v>
      </c>
      <c r="I376" t="s">
        <v>7</v>
      </c>
      <c r="J376" s="2">
        <v>45848</v>
      </c>
      <c r="K376" s="2">
        <v>45854</v>
      </c>
      <c r="L376" t="s">
        <v>8</v>
      </c>
      <c r="M376" s="14">
        <v>256779415335</v>
      </c>
      <c r="N376" t="s">
        <v>9</v>
      </c>
      <c r="O376" t="s">
        <v>10</v>
      </c>
      <c r="P376" t="s">
        <v>11</v>
      </c>
      <c r="Q376" t="s">
        <v>12</v>
      </c>
      <c r="R376" t="s">
        <v>13</v>
      </c>
      <c r="S376" s="3">
        <v>25</v>
      </c>
      <c r="T376" t="s">
        <v>14</v>
      </c>
      <c r="U376" s="3">
        <v>2150.02</v>
      </c>
      <c r="V376" t="s">
        <v>15</v>
      </c>
      <c r="W376" t="s">
        <v>16</v>
      </c>
      <c r="X376" t="s">
        <v>11</v>
      </c>
      <c r="Y376" t="s">
        <v>8</v>
      </c>
      <c r="Z376" t="s">
        <v>17</v>
      </c>
      <c r="AA376" t="s">
        <v>506</v>
      </c>
      <c r="AB376" t="s">
        <v>11</v>
      </c>
      <c r="AC376" t="s">
        <v>11</v>
      </c>
      <c r="AD376" t="s">
        <v>11</v>
      </c>
      <c r="AE376" s="2">
        <v>45848</v>
      </c>
      <c r="AF376" s="2"/>
      <c r="AG376" t="s">
        <v>11</v>
      </c>
      <c r="AH376" s="14">
        <f>VLOOKUP(M376,'[1]INDIAN ENTERPRISES'!$D:$D,1,0)</f>
        <v>256779415335</v>
      </c>
      <c r="AJ376" s="15">
        <f>VLOOKUP(M376,'[1]INDIAN ENTERPRISES'!$D:$L,9,0)</f>
        <v>45991</v>
      </c>
    </row>
    <row r="377" spans="1:36" hidden="1" outlineLevel="2" x14ac:dyDescent="0.25">
      <c r="A377" t="s">
        <v>20</v>
      </c>
      <c r="B377" t="s">
        <v>1</v>
      </c>
      <c r="C377" t="s">
        <v>2</v>
      </c>
      <c r="D377" t="s">
        <v>3</v>
      </c>
      <c r="E377" t="s">
        <v>4</v>
      </c>
      <c r="F377" t="s">
        <v>128</v>
      </c>
      <c r="G377" s="2">
        <v>45848</v>
      </c>
      <c r="H377" t="s">
        <v>718</v>
      </c>
      <c r="I377" t="s">
        <v>7</v>
      </c>
      <c r="J377" s="2">
        <v>45848</v>
      </c>
      <c r="K377" s="2">
        <v>45854</v>
      </c>
      <c r="L377" t="s">
        <v>8</v>
      </c>
      <c r="M377" s="14">
        <v>256779415337</v>
      </c>
      <c r="N377" t="s">
        <v>9</v>
      </c>
      <c r="O377" t="s">
        <v>10</v>
      </c>
      <c r="P377" t="s">
        <v>11</v>
      </c>
      <c r="Q377" t="s">
        <v>12</v>
      </c>
      <c r="R377" t="s">
        <v>13</v>
      </c>
      <c r="S377" s="3">
        <v>17.5</v>
      </c>
      <c r="T377" t="s">
        <v>14</v>
      </c>
      <c r="U377" s="3">
        <v>1505.01</v>
      </c>
      <c r="V377" t="s">
        <v>15</v>
      </c>
      <c r="W377" t="s">
        <v>16</v>
      </c>
      <c r="X377" t="s">
        <v>11</v>
      </c>
      <c r="Y377" t="s">
        <v>8</v>
      </c>
      <c r="Z377" t="s">
        <v>17</v>
      </c>
      <c r="AA377" t="s">
        <v>506</v>
      </c>
      <c r="AB377" t="s">
        <v>11</v>
      </c>
      <c r="AC377" t="s">
        <v>11</v>
      </c>
      <c r="AD377" t="s">
        <v>11</v>
      </c>
      <c r="AE377" s="2">
        <v>45848</v>
      </c>
      <c r="AF377" s="2"/>
      <c r="AG377" t="s">
        <v>11</v>
      </c>
      <c r="AH377" s="14">
        <f>VLOOKUP(M377,'[1]INDIAN ENTERPRISES'!$D:$D,1,0)</f>
        <v>256779415337</v>
      </c>
      <c r="AJ377" s="15">
        <f>VLOOKUP(M377,'[1]INDIAN ENTERPRISES'!$D:$L,9,0)</f>
        <v>45991</v>
      </c>
    </row>
    <row r="378" spans="1:36" hidden="1" outlineLevel="2" x14ac:dyDescent="0.25">
      <c r="A378" t="s">
        <v>20</v>
      </c>
      <c r="B378" t="s">
        <v>1</v>
      </c>
      <c r="C378" t="s">
        <v>2</v>
      </c>
      <c r="D378" t="s">
        <v>3</v>
      </c>
      <c r="E378" t="s">
        <v>4</v>
      </c>
      <c r="F378" t="s">
        <v>128</v>
      </c>
      <c r="G378" s="2">
        <v>45848</v>
      </c>
      <c r="H378" t="s">
        <v>719</v>
      </c>
      <c r="I378" t="s">
        <v>7</v>
      </c>
      <c r="J378" s="2">
        <v>45848</v>
      </c>
      <c r="K378" s="2">
        <v>45854</v>
      </c>
      <c r="L378" t="s">
        <v>8</v>
      </c>
      <c r="M378" s="14">
        <v>256779415338</v>
      </c>
      <c r="N378" t="s">
        <v>9</v>
      </c>
      <c r="O378" t="s">
        <v>10</v>
      </c>
      <c r="P378" t="s">
        <v>11</v>
      </c>
      <c r="Q378" t="s">
        <v>12</v>
      </c>
      <c r="R378" t="s">
        <v>13</v>
      </c>
      <c r="S378" s="3">
        <v>12.5</v>
      </c>
      <c r="T378" t="s">
        <v>14</v>
      </c>
      <c r="U378" s="3">
        <v>1075.01</v>
      </c>
      <c r="V378" t="s">
        <v>15</v>
      </c>
      <c r="W378" t="s">
        <v>16</v>
      </c>
      <c r="X378" t="s">
        <v>11</v>
      </c>
      <c r="Y378" t="s">
        <v>8</v>
      </c>
      <c r="Z378" t="s">
        <v>17</v>
      </c>
      <c r="AA378" t="s">
        <v>506</v>
      </c>
      <c r="AB378" t="s">
        <v>11</v>
      </c>
      <c r="AC378" t="s">
        <v>11</v>
      </c>
      <c r="AD378" t="s">
        <v>11</v>
      </c>
      <c r="AE378" s="2">
        <v>45848</v>
      </c>
      <c r="AF378" s="2"/>
      <c r="AG378" t="s">
        <v>11</v>
      </c>
      <c r="AH378" s="14">
        <f>VLOOKUP(M378,'[1]INDIAN ENTERPRISES'!$D:$D,1,0)</f>
        <v>256779415338</v>
      </c>
      <c r="AJ378" s="15">
        <f>VLOOKUP(M378,'[1]INDIAN ENTERPRISES'!$D:$L,9,0)</f>
        <v>45991</v>
      </c>
    </row>
    <row r="379" spans="1:36" hidden="1" outlineLevel="2" x14ac:dyDescent="0.25">
      <c r="A379" t="s">
        <v>20</v>
      </c>
      <c r="B379" t="s">
        <v>1</v>
      </c>
      <c r="C379" t="s">
        <v>2</v>
      </c>
      <c r="D379" t="s">
        <v>3</v>
      </c>
      <c r="E379" t="s">
        <v>4</v>
      </c>
      <c r="F379" t="s">
        <v>128</v>
      </c>
      <c r="G379" s="2">
        <v>45848</v>
      </c>
      <c r="H379" t="s">
        <v>720</v>
      </c>
      <c r="I379" t="s">
        <v>7</v>
      </c>
      <c r="J379" s="2">
        <v>45848</v>
      </c>
      <c r="K379" s="2">
        <v>45854</v>
      </c>
      <c r="L379" t="s">
        <v>8</v>
      </c>
      <c r="M379" s="14">
        <v>256779415340</v>
      </c>
      <c r="N379" t="s">
        <v>9</v>
      </c>
      <c r="O379" t="s">
        <v>10</v>
      </c>
      <c r="P379" t="s">
        <v>11</v>
      </c>
      <c r="Q379" t="s">
        <v>12</v>
      </c>
      <c r="R379" t="s">
        <v>13</v>
      </c>
      <c r="S379" s="3">
        <v>25.84</v>
      </c>
      <c r="T379" t="s">
        <v>14</v>
      </c>
      <c r="U379" s="3">
        <v>2222.2600000000002</v>
      </c>
      <c r="V379" t="s">
        <v>15</v>
      </c>
      <c r="W379" t="s">
        <v>16</v>
      </c>
      <c r="X379" t="s">
        <v>11</v>
      </c>
      <c r="Y379" t="s">
        <v>8</v>
      </c>
      <c r="Z379" t="s">
        <v>17</v>
      </c>
      <c r="AA379" t="s">
        <v>506</v>
      </c>
      <c r="AB379" t="s">
        <v>11</v>
      </c>
      <c r="AC379" t="s">
        <v>11</v>
      </c>
      <c r="AD379" t="s">
        <v>11</v>
      </c>
      <c r="AE379" s="2">
        <v>45848</v>
      </c>
      <c r="AF379" s="2"/>
      <c r="AG379" t="s">
        <v>11</v>
      </c>
      <c r="AH379" s="14">
        <f>VLOOKUP(M379,'[1]INDIAN ENTERPRISES'!$D:$D,1,0)</f>
        <v>256779415340</v>
      </c>
      <c r="AJ379" s="15">
        <f>VLOOKUP(M379,'[1]INDIAN ENTERPRISES'!$D:$L,9,0)</f>
        <v>45991</v>
      </c>
    </row>
    <row r="380" spans="1:36" hidden="1" outlineLevel="2" x14ac:dyDescent="0.25">
      <c r="A380" t="s">
        <v>20</v>
      </c>
      <c r="B380" t="s">
        <v>1</v>
      </c>
      <c r="C380" t="s">
        <v>2</v>
      </c>
      <c r="D380" t="s">
        <v>3</v>
      </c>
      <c r="E380" t="s">
        <v>4</v>
      </c>
      <c r="F380" t="s">
        <v>128</v>
      </c>
      <c r="G380" s="2">
        <v>45848</v>
      </c>
      <c r="H380" t="s">
        <v>721</v>
      </c>
      <c r="I380" t="s">
        <v>7</v>
      </c>
      <c r="J380" s="2">
        <v>45848</v>
      </c>
      <c r="K380" s="2">
        <v>45854</v>
      </c>
      <c r="L380" t="s">
        <v>8</v>
      </c>
      <c r="M380" s="14">
        <v>256779415341</v>
      </c>
      <c r="N380" t="s">
        <v>9</v>
      </c>
      <c r="O380" t="s">
        <v>10</v>
      </c>
      <c r="P380" t="s">
        <v>11</v>
      </c>
      <c r="Q380" t="s">
        <v>12</v>
      </c>
      <c r="R380" t="s">
        <v>13</v>
      </c>
      <c r="S380" s="3">
        <v>15</v>
      </c>
      <c r="T380" t="s">
        <v>14</v>
      </c>
      <c r="U380" s="3">
        <v>1290.01</v>
      </c>
      <c r="V380" t="s">
        <v>15</v>
      </c>
      <c r="W380" t="s">
        <v>16</v>
      </c>
      <c r="X380" t="s">
        <v>11</v>
      </c>
      <c r="Y380" t="s">
        <v>8</v>
      </c>
      <c r="Z380" t="s">
        <v>17</v>
      </c>
      <c r="AA380" t="s">
        <v>506</v>
      </c>
      <c r="AB380" t="s">
        <v>11</v>
      </c>
      <c r="AC380" t="s">
        <v>11</v>
      </c>
      <c r="AD380" t="s">
        <v>11</v>
      </c>
      <c r="AE380" s="2">
        <v>45848</v>
      </c>
      <c r="AF380" s="2"/>
      <c r="AG380" t="s">
        <v>11</v>
      </c>
      <c r="AH380" s="14">
        <f>VLOOKUP(M380,'[1]INDIAN ENTERPRISES'!$D:$D,1,0)</f>
        <v>256779415341</v>
      </c>
      <c r="AJ380" s="15">
        <f>VLOOKUP(M380,'[1]INDIAN ENTERPRISES'!$D:$L,9,0)</f>
        <v>45991</v>
      </c>
    </row>
    <row r="381" spans="1:36" hidden="1" outlineLevel="2" x14ac:dyDescent="0.25">
      <c r="A381" t="s">
        <v>20</v>
      </c>
      <c r="B381" t="s">
        <v>1</v>
      </c>
      <c r="C381" t="s">
        <v>2</v>
      </c>
      <c r="D381" t="s">
        <v>3</v>
      </c>
      <c r="E381" t="s">
        <v>4</v>
      </c>
      <c r="F381" t="s">
        <v>128</v>
      </c>
      <c r="G381" s="2">
        <v>45848</v>
      </c>
      <c r="H381" t="s">
        <v>722</v>
      </c>
      <c r="I381" t="s">
        <v>7</v>
      </c>
      <c r="J381" s="2">
        <v>45848</v>
      </c>
      <c r="K381" s="2">
        <v>45854</v>
      </c>
      <c r="L381" t="s">
        <v>8</v>
      </c>
      <c r="M381" s="14">
        <v>256779415342</v>
      </c>
      <c r="N381" t="s">
        <v>9</v>
      </c>
      <c r="O381" t="s">
        <v>10</v>
      </c>
      <c r="P381" t="s">
        <v>11</v>
      </c>
      <c r="Q381" t="s">
        <v>12</v>
      </c>
      <c r="R381" t="s">
        <v>13</v>
      </c>
      <c r="S381" s="3">
        <v>2.5</v>
      </c>
      <c r="T381" t="s">
        <v>14</v>
      </c>
      <c r="U381" s="3">
        <v>215</v>
      </c>
      <c r="V381" t="s">
        <v>15</v>
      </c>
      <c r="W381" t="s">
        <v>16</v>
      </c>
      <c r="X381" t="s">
        <v>11</v>
      </c>
      <c r="Y381" t="s">
        <v>8</v>
      </c>
      <c r="Z381" t="s">
        <v>17</v>
      </c>
      <c r="AA381" t="s">
        <v>506</v>
      </c>
      <c r="AB381" t="s">
        <v>11</v>
      </c>
      <c r="AC381" t="s">
        <v>11</v>
      </c>
      <c r="AD381" t="s">
        <v>11</v>
      </c>
      <c r="AE381" s="2">
        <v>45848</v>
      </c>
      <c r="AF381" s="2"/>
      <c r="AG381" t="s">
        <v>11</v>
      </c>
      <c r="AH381" s="14">
        <f>VLOOKUP(M381,'[1]INDIAN ENTERPRISES'!$D:$D,1,0)</f>
        <v>256779415342</v>
      </c>
      <c r="AJ381" s="15">
        <f>VLOOKUP(M381,'[1]INDIAN ENTERPRISES'!$D:$L,9,0)</f>
        <v>45991</v>
      </c>
    </row>
    <row r="382" spans="1:36" hidden="1" outlineLevel="2" x14ac:dyDescent="0.25">
      <c r="A382" t="s">
        <v>20</v>
      </c>
      <c r="B382" t="s">
        <v>1</v>
      </c>
      <c r="C382" t="s">
        <v>2</v>
      </c>
      <c r="D382" t="s">
        <v>3</v>
      </c>
      <c r="E382" t="s">
        <v>4</v>
      </c>
      <c r="F382" t="s">
        <v>128</v>
      </c>
      <c r="G382" s="2">
        <v>45848</v>
      </c>
      <c r="H382" t="s">
        <v>723</v>
      </c>
      <c r="I382" t="s">
        <v>7</v>
      </c>
      <c r="J382" s="2">
        <v>45848</v>
      </c>
      <c r="K382" s="2">
        <v>45854</v>
      </c>
      <c r="L382" t="s">
        <v>8</v>
      </c>
      <c r="M382" s="14">
        <v>256779415343</v>
      </c>
      <c r="N382" t="s">
        <v>9</v>
      </c>
      <c r="O382" t="s">
        <v>10</v>
      </c>
      <c r="P382" t="s">
        <v>11</v>
      </c>
      <c r="Q382" t="s">
        <v>12</v>
      </c>
      <c r="R382" t="s">
        <v>13</v>
      </c>
      <c r="S382" s="3">
        <v>1</v>
      </c>
      <c r="T382" t="s">
        <v>14</v>
      </c>
      <c r="U382" s="3">
        <v>86</v>
      </c>
      <c r="V382" t="s">
        <v>15</v>
      </c>
      <c r="W382" t="s">
        <v>16</v>
      </c>
      <c r="X382" t="s">
        <v>11</v>
      </c>
      <c r="Y382" t="s">
        <v>8</v>
      </c>
      <c r="Z382" t="s">
        <v>17</v>
      </c>
      <c r="AA382" t="s">
        <v>724</v>
      </c>
      <c r="AB382" t="s">
        <v>11</v>
      </c>
      <c r="AC382" t="s">
        <v>11</v>
      </c>
      <c r="AD382" t="s">
        <v>11</v>
      </c>
      <c r="AE382" s="2">
        <v>45848</v>
      </c>
      <c r="AF382" s="2"/>
      <c r="AG382" t="s">
        <v>11</v>
      </c>
      <c r="AH382" s="14">
        <f>VLOOKUP(M382,'[1]INDIAN ENTERPRISES'!$D:$D,1,0)</f>
        <v>256779415343</v>
      </c>
      <c r="AJ382" s="15">
        <f>VLOOKUP(M382,'[1]INDIAN ENTERPRISES'!$D:$L,9,0)</f>
        <v>45991</v>
      </c>
    </row>
    <row r="383" spans="1:36" hidden="1" outlineLevel="2" x14ac:dyDescent="0.25">
      <c r="A383" t="s">
        <v>20</v>
      </c>
      <c r="B383" t="s">
        <v>1</v>
      </c>
      <c r="C383" t="s">
        <v>2</v>
      </c>
      <c r="D383" t="s">
        <v>3</v>
      </c>
      <c r="E383" t="s">
        <v>4</v>
      </c>
      <c r="F383" t="s">
        <v>128</v>
      </c>
      <c r="G383" s="2">
        <v>45848</v>
      </c>
      <c r="H383" t="s">
        <v>725</v>
      </c>
      <c r="I383" t="s">
        <v>7</v>
      </c>
      <c r="J383" s="2">
        <v>45848</v>
      </c>
      <c r="K383" s="2">
        <v>45854</v>
      </c>
      <c r="L383" t="s">
        <v>8</v>
      </c>
      <c r="M383" s="14">
        <v>256779415344</v>
      </c>
      <c r="N383" t="s">
        <v>9</v>
      </c>
      <c r="O383" t="s">
        <v>10</v>
      </c>
      <c r="P383" t="s">
        <v>11</v>
      </c>
      <c r="Q383" t="s">
        <v>12</v>
      </c>
      <c r="R383" t="s">
        <v>13</v>
      </c>
      <c r="S383" s="3">
        <v>25</v>
      </c>
      <c r="T383" t="s">
        <v>14</v>
      </c>
      <c r="U383" s="3">
        <v>2150.02</v>
      </c>
      <c r="V383" t="s">
        <v>15</v>
      </c>
      <c r="W383" t="s">
        <v>16</v>
      </c>
      <c r="X383" t="s">
        <v>11</v>
      </c>
      <c r="Y383" t="s">
        <v>8</v>
      </c>
      <c r="Z383" t="s">
        <v>17</v>
      </c>
      <c r="AA383" t="s">
        <v>348</v>
      </c>
      <c r="AB383" t="s">
        <v>11</v>
      </c>
      <c r="AC383" t="s">
        <v>11</v>
      </c>
      <c r="AD383" t="s">
        <v>11</v>
      </c>
      <c r="AE383" s="2">
        <v>45848</v>
      </c>
      <c r="AF383" s="2"/>
      <c r="AG383" t="s">
        <v>11</v>
      </c>
      <c r="AH383" s="14">
        <f>VLOOKUP(M383,'[1]INDIAN ENTERPRISES'!$D:$D,1,0)</f>
        <v>256779415344</v>
      </c>
      <c r="AJ383" s="15">
        <f>VLOOKUP(M383,'[1]INDIAN ENTERPRISES'!$D:$L,9,0)</f>
        <v>45991</v>
      </c>
    </row>
    <row r="384" spans="1:36" hidden="1" outlineLevel="2" x14ac:dyDescent="0.25">
      <c r="A384" t="s">
        <v>20</v>
      </c>
      <c r="B384" t="s">
        <v>1</v>
      </c>
      <c r="C384" t="s">
        <v>2</v>
      </c>
      <c r="D384" t="s">
        <v>3</v>
      </c>
      <c r="E384" t="s">
        <v>4</v>
      </c>
      <c r="F384" t="s">
        <v>128</v>
      </c>
      <c r="G384" s="2">
        <v>45848</v>
      </c>
      <c r="H384" t="s">
        <v>726</v>
      </c>
      <c r="I384" t="s">
        <v>7</v>
      </c>
      <c r="J384" s="2">
        <v>45848</v>
      </c>
      <c r="K384" s="2">
        <v>45854</v>
      </c>
      <c r="L384" t="s">
        <v>8</v>
      </c>
      <c r="M384" s="14">
        <v>256779415345</v>
      </c>
      <c r="N384" t="s">
        <v>9</v>
      </c>
      <c r="O384" t="s">
        <v>10</v>
      </c>
      <c r="P384" t="s">
        <v>11</v>
      </c>
      <c r="Q384" t="s">
        <v>12</v>
      </c>
      <c r="R384" t="s">
        <v>13</v>
      </c>
      <c r="S384" s="3">
        <v>25</v>
      </c>
      <c r="T384" t="s">
        <v>14</v>
      </c>
      <c r="U384" s="3">
        <v>2150.02</v>
      </c>
      <c r="V384" t="s">
        <v>15</v>
      </c>
      <c r="W384" t="s">
        <v>16</v>
      </c>
      <c r="X384" t="s">
        <v>11</v>
      </c>
      <c r="Y384" t="s">
        <v>8</v>
      </c>
      <c r="Z384" t="s">
        <v>17</v>
      </c>
      <c r="AA384" t="s">
        <v>348</v>
      </c>
      <c r="AB384" t="s">
        <v>11</v>
      </c>
      <c r="AC384" t="s">
        <v>11</v>
      </c>
      <c r="AD384" t="s">
        <v>11</v>
      </c>
      <c r="AE384" s="2">
        <v>45848</v>
      </c>
      <c r="AF384" s="2"/>
      <c r="AG384" t="s">
        <v>11</v>
      </c>
      <c r="AH384" s="14">
        <f>VLOOKUP(M384,'[1]INDIAN ENTERPRISES'!$D:$D,1,0)</f>
        <v>256779415345</v>
      </c>
      <c r="AJ384" s="15">
        <f>VLOOKUP(M384,'[1]INDIAN ENTERPRISES'!$D:$L,9,0)</f>
        <v>45991</v>
      </c>
    </row>
    <row r="385" spans="1:36" hidden="1" outlineLevel="2" x14ac:dyDescent="0.25">
      <c r="A385" t="s">
        <v>20</v>
      </c>
      <c r="B385" t="s">
        <v>1</v>
      </c>
      <c r="C385" t="s">
        <v>2</v>
      </c>
      <c r="D385" t="s">
        <v>3</v>
      </c>
      <c r="E385" t="s">
        <v>4</v>
      </c>
      <c r="F385" t="s">
        <v>128</v>
      </c>
      <c r="G385" s="2">
        <v>45848</v>
      </c>
      <c r="H385" t="s">
        <v>727</v>
      </c>
      <c r="I385" t="s">
        <v>7</v>
      </c>
      <c r="J385" s="2">
        <v>45848</v>
      </c>
      <c r="K385" s="2">
        <v>45854</v>
      </c>
      <c r="L385" t="s">
        <v>8</v>
      </c>
      <c r="M385" s="14">
        <v>256779415346</v>
      </c>
      <c r="N385" t="s">
        <v>9</v>
      </c>
      <c r="O385" t="s">
        <v>10</v>
      </c>
      <c r="P385" t="s">
        <v>11</v>
      </c>
      <c r="Q385" t="s">
        <v>12</v>
      </c>
      <c r="R385" t="s">
        <v>13</v>
      </c>
      <c r="S385" s="3">
        <v>17.5</v>
      </c>
      <c r="T385" t="s">
        <v>14</v>
      </c>
      <c r="U385" s="3">
        <v>1505.01</v>
      </c>
      <c r="V385" t="s">
        <v>15</v>
      </c>
      <c r="W385" t="s">
        <v>16</v>
      </c>
      <c r="X385" t="s">
        <v>11</v>
      </c>
      <c r="Y385" t="s">
        <v>8</v>
      </c>
      <c r="Z385" t="s">
        <v>17</v>
      </c>
      <c r="AA385" t="s">
        <v>348</v>
      </c>
      <c r="AB385" t="s">
        <v>11</v>
      </c>
      <c r="AC385" t="s">
        <v>11</v>
      </c>
      <c r="AD385" t="s">
        <v>11</v>
      </c>
      <c r="AE385" s="2">
        <v>45848</v>
      </c>
      <c r="AF385" s="2"/>
      <c r="AG385" t="s">
        <v>11</v>
      </c>
      <c r="AH385" s="14">
        <f>VLOOKUP(M385,'[1]INDIAN ENTERPRISES'!$D:$D,1,0)</f>
        <v>256779415346</v>
      </c>
      <c r="AJ385" s="15">
        <f>VLOOKUP(M385,'[1]INDIAN ENTERPRISES'!$D:$L,9,0)</f>
        <v>45991</v>
      </c>
    </row>
    <row r="386" spans="1:36" hidden="1" outlineLevel="2" x14ac:dyDescent="0.25">
      <c r="A386" t="s">
        <v>20</v>
      </c>
      <c r="B386" t="s">
        <v>1</v>
      </c>
      <c r="C386" t="s">
        <v>2</v>
      </c>
      <c r="D386" t="s">
        <v>3</v>
      </c>
      <c r="E386" t="s">
        <v>4</v>
      </c>
      <c r="F386" t="s">
        <v>128</v>
      </c>
      <c r="G386" s="2">
        <v>45848</v>
      </c>
      <c r="H386" t="s">
        <v>728</v>
      </c>
      <c r="I386" t="s">
        <v>7</v>
      </c>
      <c r="J386" s="2">
        <v>45848</v>
      </c>
      <c r="K386" s="2">
        <v>45854</v>
      </c>
      <c r="L386" t="s">
        <v>8</v>
      </c>
      <c r="M386" s="14">
        <v>256779415347</v>
      </c>
      <c r="N386" t="s">
        <v>9</v>
      </c>
      <c r="O386" t="s">
        <v>10</v>
      </c>
      <c r="P386" t="s">
        <v>11</v>
      </c>
      <c r="Q386" t="s">
        <v>12</v>
      </c>
      <c r="R386" t="s">
        <v>13</v>
      </c>
      <c r="S386" s="3">
        <v>20</v>
      </c>
      <c r="T386" t="s">
        <v>14</v>
      </c>
      <c r="U386" s="3">
        <v>1720.01</v>
      </c>
      <c r="V386" t="s">
        <v>15</v>
      </c>
      <c r="W386" t="s">
        <v>16</v>
      </c>
      <c r="X386" t="s">
        <v>11</v>
      </c>
      <c r="Y386" t="s">
        <v>8</v>
      </c>
      <c r="Z386" t="s">
        <v>17</v>
      </c>
      <c r="AA386" t="s">
        <v>348</v>
      </c>
      <c r="AB386" t="s">
        <v>11</v>
      </c>
      <c r="AC386" t="s">
        <v>11</v>
      </c>
      <c r="AD386" t="s">
        <v>11</v>
      </c>
      <c r="AE386" s="2">
        <v>45848</v>
      </c>
      <c r="AF386" s="2"/>
      <c r="AG386" t="s">
        <v>11</v>
      </c>
      <c r="AH386" s="14">
        <f>VLOOKUP(M386,'[1]INDIAN ENTERPRISES'!$D:$D,1,0)</f>
        <v>256779415347</v>
      </c>
      <c r="AJ386" s="15">
        <f>VLOOKUP(M386,'[1]INDIAN ENTERPRISES'!$D:$L,9,0)</f>
        <v>45991</v>
      </c>
    </row>
    <row r="387" spans="1:36" hidden="1" outlineLevel="2" x14ac:dyDescent="0.25">
      <c r="A387" t="s">
        <v>20</v>
      </c>
      <c r="B387" t="s">
        <v>1</v>
      </c>
      <c r="C387" t="s">
        <v>2</v>
      </c>
      <c r="D387" t="s">
        <v>3</v>
      </c>
      <c r="E387" t="s">
        <v>4</v>
      </c>
      <c r="F387" t="s">
        <v>128</v>
      </c>
      <c r="G387" s="2">
        <v>45848</v>
      </c>
      <c r="H387" t="s">
        <v>729</v>
      </c>
      <c r="I387" t="s">
        <v>7</v>
      </c>
      <c r="J387" s="2">
        <v>45848</v>
      </c>
      <c r="K387" s="2">
        <v>45854</v>
      </c>
      <c r="L387" t="s">
        <v>8</v>
      </c>
      <c r="M387" s="14">
        <v>256779415348</v>
      </c>
      <c r="N387" t="s">
        <v>9</v>
      </c>
      <c r="O387" t="s">
        <v>10</v>
      </c>
      <c r="P387" t="s">
        <v>11</v>
      </c>
      <c r="Q387" t="s">
        <v>12</v>
      </c>
      <c r="R387" t="s">
        <v>13</v>
      </c>
      <c r="S387" s="3">
        <v>7.5</v>
      </c>
      <c r="T387" t="s">
        <v>14</v>
      </c>
      <c r="U387" s="3">
        <v>645.01</v>
      </c>
      <c r="V387" t="s">
        <v>15</v>
      </c>
      <c r="W387" t="s">
        <v>16</v>
      </c>
      <c r="X387" t="s">
        <v>11</v>
      </c>
      <c r="Y387" t="s">
        <v>8</v>
      </c>
      <c r="Z387" t="s">
        <v>17</v>
      </c>
      <c r="AA387" t="s">
        <v>348</v>
      </c>
      <c r="AB387" t="s">
        <v>11</v>
      </c>
      <c r="AC387" t="s">
        <v>11</v>
      </c>
      <c r="AD387" t="s">
        <v>11</v>
      </c>
      <c r="AE387" s="2">
        <v>45848</v>
      </c>
      <c r="AF387" s="2"/>
      <c r="AG387" t="s">
        <v>11</v>
      </c>
      <c r="AH387" s="14">
        <f>VLOOKUP(M387,'[1]INDIAN ENTERPRISES'!$D:$D,1,0)</f>
        <v>256779415348</v>
      </c>
      <c r="AJ387" s="15">
        <f>VLOOKUP(M387,'[1]INDIAN ENTERPRISES'!$D:$L,9,0)</f>
        <v>45991</v>
      </c>
    </row>
    <row r="388" spans="1:36" hidden="1" outlineLevel="2" x14ac:dyDescent="0.25">
      <c r="A388" t="s">
        <v>20</v>
      </c>
      <c r="B388" t="s">
        <v>1</v>
      </c>
      <c r="C388" t="s">
        <v>2</v>
      </c>
      <c r="D388" t="s">
        <v>3</v>
      </c>
      <c r="E388" t="s">
        <v>4</v>
      </c>
      <c r="F388" t="s">
        <v>128</v>
      </c>
      <c r="G388" s="2">
        <v>45848</v>
      </c>
      <c r="H388" t="s">
        <v>730</v>
      </c>
      <c r="I388" t="s">
        <v>7</v>
      </c>
      <c r="J388" s="2">
        <v>45848</v>
      </c>
      <c r="K388" s="2">
        <v>45854</v>
      </c>
      <c r="L388" t="s">
        <v>8</v>
      </c>
      <c r="M388" s="14">
        <v>256779415349</v>
      </c>
      <c r="N388" t="s">
        <v>9</v>
      </c>
      <c r="O388" t="s">
        <v>10</v>
      </c>
      <c r="P388" t="s">
        <v>11</v>
      </c>
      <c r="Q388" t="s">
        <v>12</v>
      </c>
      <c r="R388" t="s">
        <v>13</v>
      </c>
      <c r="S388" s="3">
        <v>27.5</v>
      </c>
      <c r="T388" t="s">
        <v>14</v>
      </c>
      <c r="U388" s="3">
        <v>2365.02</v>
      </c>
      <c r="V388" t="s">
        <v>15</v>
      </c>
      <c r="W388" t="s">
        <v>16</v>
      </c>
      <c r="X388" t="s">
        <v>11</v>
      </c>
      <c r="Y388" t="s">
        <v>8</v>
      </c>
      <c r="Z388" t="s">
        <v>17</v>
      </c>
      <c r="AA388" t="s">
        <v>348</v>
      </c>
      <c r="AB388" t="s">
        <v>11</v>
      </c>
      <c r="AC388" t="s">
        <v>11</v>
      </c>
      <c r="AD388" t="s">
        <v>11</v>
      </c>
      <c r="AE388" s="2">
        <v>45848</v>
      </c>
      <c r="AF388" s="2"/>
      <c r="AG388" t="s">
        <v>11</v>
      </c>
      <c r="AH388" s="14">
        <f>VLOOKUP(M388,'[1]INDIAN ENTERPRISES'!$D:$D,1,0)</f>
        <v>256779415349</v>
      </c>
      <c r="AJ388" s="15">
        <f>VLOOKUP(M388,'[1]INDIAN ENTERPRISES'!$D:$L,9,0)</f>
        <v>45991</v>
      </c>
    </row>
    <row r="389" spans="1:36" hidden="1" outlineLevel="2" x14ac:dyDescent="0.25">
      <c r="A389" t="s">
        <v>20</v>
      </c>
      <c r="B389" t="s">
        <v>1</v>
      </c>
      <c r="C389" t="s">
        <v>2</v>
      </c>
      <c r="D389" t="s">
        <v>3</v>
      </c>
      <c r="E389" t="s">
        <v>4</v>
      </c>
      <c r="F389" t="s">
        <v>128</v>
      </c>
      <c r="G389" s="2">
        <v>45848</v>
      </c>
      <c r="H389" t="s">
        <v>731</v>
      </c>
      <c r="I389" t="s">
        <v>7</v>
      </c>
      <c r="J389" s="2">
        <v>45848</v>
      </c>
      <c r="K389" s="2">
        <v>45854</v>
      </c>
      <c r="L389" t="s">
        <v>8</v>
      </c>
      <c r="M389" s="14">
        <v>256779415350</v>
      </c>
      <c r="N389" t="s">
        <v>9</v>
      </c>
      <c r="O389" t="s">
        <v>10</v>
      </c>
      <c r="P389" t="s">
        <v>11</v>
      </c>
      <c r="Q389" t="s">
        <v>12</v>
      </c>
      <c r="R389" t="s">
        <v>13</v>
      </c>
      <c r="S389" s="3">
        <v>22.5</v>
      </c>
      <c r="T389" t="s">
        <v>14</v>
      </c>
      <c r="U389" s="3">
        <v>1935.02</v>
      </c>
      <c r="V389" t="s">
        <v>15</v>
      </c>
      <c r="W389" t="s">
        <v>16</v>
      </c>
      <c r="X389" t="s">
        <v>11</v>
      </c>
      <c r="Y389" t="s">
        <v>8</v>
      </c>
      <c r="Z389" t="s">
        <v>17</v>
      </c>
      <c r="AA389" t="s">
        <v>348</v>
      </c>
      <c r="AB389" t="s">
        <v>11</v>
      </c>
      <c r="AC389" t="s">
        <v>11</v>
      </c>
      <c r="AD389" t="s">
        <v>11</v>
      </c>
      <c r="AE389" s="2">
        <v>45848</v>
      </c>
      <c r="AF389" s="2"/>
      <c r="AG389" t="s">
        <v>11</v>
      </c>
      <c r="AH389" s="14">
        <f>VLOOKUP(M389,'[1]INDIAN ENTERPRISES'!$D:$D,1,0)</f>
        <v>256779415350</v>
      </c>
      <c r="AJ389" s="15">
        <f>VLOOKUP(M389,'[1]INDIAN ENTERPRISES'!$D:$L,9,0)</f>
        <v>45991</v>
      </c>
    </row>
    <row r="390" spans="1:36" hidden="1" outlineLevel="2" x14ac:dyDescent="0.25">
      <c r="A390" t="s">
        <v>20</v>
      </c>
      <c r="B390" t="s">
        <v>1</v>
      </c>
      <c r="C390" t="s">
        <v>2</v>
      </c>
      <c r="D390" t="s">
        <v>3</v>
      </c>
      <c r="E390" t="s">
        <v>4</v>
      </c>
      <c r="F390" t="s">
        <v>128</v>
      </c>
      <c r="G390" s="2">
        <v>45848</v>
      </c>
      <c r="H390" t="s">
        <v>732</v>
      </c>
      <c r="I390" t="s">
        <v>7</v>
      </c>
      <c r="J390" s="2">
        <v>45848</v>
      </c>
      <c r="K390" s="2">
        <v>45854</v>
      </c>
      <c r="L390" t="s">
        <v>8</v>
      </c>
      <c r="M390" s="14">
        <v>256779415351</v>
      </c>
      <c r="N390" t="s">
        <v>9</v>
      </c>
      <c r="O390" t="s">
        <v>10</v>
      </c>
      <c r="P390" t="s">
        <v>11</v>
      </c>
      <c r="Q390" t="s">
        <v>12</v>
      </c>
      <c r="R390" t="s">
        <v>13</v>
      </c>
      <c r="S390" s="3">
        <v>17.03</v>
      </c>
      <c r="T390" t="s">
        <v>14</v>
      </c>
      <c r="U390" s="3">
        <v>1464.59</v>
      </c>
      <c r="V390" t="s">
        <v>15</v>
      </c>
      <c r="W390" t="s">
        <v>16</v>
      </c>
      <c r="X390" t="s">
        <v>11</v>
      </c>
      <c r="Y390" t="s">
        <v>8</v>
      </c>
      <c r="Z390" t="s">
        <v>17</v>
      </c>
      <c r="AA390" t="s">
        <v>38</v>
      </c>
      <c r="AB390" t="s">
        <v>11</v>
      </c>
      <c r="AC390" t="s">
        <v>11</v>
      </c>
      <c r="AD390" t="s">
        <v>11</v>
      </c>
      <c r="AE390" s="2">
        <v>45848</v>
      </c>
      <c r="AF390" s="2"/>
      <c r="AG390" t="s">
        <v>11</v>
      </c>
      <c r="AH390" s="14">
        <f>VLOOKUP(M390,'[1]INDIAN ENTERPRISES'!$D:$D,1,0)</f>
        <v>256779415351</v>
      </c>
      <c r="AJ390" s="15">
        <f>VLOOKUP(M390,'[1]INDIAN ENTERPRISES'!$D:$L,9,0)</f>
        <v>45991</v>
      </c>
    </row>
    <row r="391" spans="1:36" hidden="1" outlineLevel="2" x14ac:dyDescent="0.25">
      <c r="A391" t="s">
        <v>20</v>
      </c>
      <c r="B391" t="s">
        <v>1</v>
      </c>
      <c r="C391" t="s">
        <v>2</v>
      </c>
      <c r="D391" t="s">
        <v>3</v>
      </c>
      <c r="E391" t="s">
        <v>4</v>
      </c>
      <c r="F391" t="s">
        <v>128</v>
      </c>
      <c r="G391" s="2">
        <v>45848</v>
      </c>
      <c r="H391" t="s">
        <v>733</v>
      </c>
      <c r="I391" t="s">
        <v>7</v>
      </c>
      <c r="J391" s="2">
        <v>45848</v>
      </c>
      <c r="K391" s="2">
        <v>45854</v>
      </c>
      <c r="L391" t="s">
        <v>8</v>
      </c>
      <c r="M391" s="14">
        <v>256779415352</v>
      </c>
      <c r="N391" t="s">
        <v>9</v>
      </c>
      <c r="O391" t="s">
        <v>10</v>
      </c>
      <c r="P391" t="s">
        <v>11</v>
      </c>
      <c r="Q391" t="s">
        <v>12</v>
      </c>
      <c r="R391" t="s">
        <v>13</v>
      </c>
      <c r="S391" s="3">
        <v>155.91999999999999</v>
      </c>
      <c r="T391" t="s">
        <v>14</v>
      </c>
      <c r="U391" s="3">
        <v>13409.22</v>
      </c>
      <c r="V391" t="s">
        <v>15</v>
      </c>
      <c r="W391" t="s">
        <v>16</v>
      </c>
      <c r="X391" t="s">
        <v>11</v>
      </c>
      <c r="Y391" t="s">
        <v>8</v>
      </c>
      <c r="Z391" t="s">
        <v>17</v>
      </c>
      <c r="AA391" t="s">
        <v>734</v>
      </c>
      <c r="AB391" t="s">
        <v>11</v>
      </c>
      <c r="AC391" t="s">
        <v>11</v>
      </c>
      <c r="AD391" t="s">
        <v>11</v>
      </c>
      <c r="AE391" s="2">
        <v>45848</v>
      </c>
      <c r="AF391" s="2"/>
      <c r="AG391" t="s">
        <v>11</v>
      </c>
      <c r="AH391" s="14">
        <f>VLOOKUP(M391,'[1]INDIAN ENTERPRISES'!$D:$D,1,0)</f>
        <v>256779415352</v>
      </c>
      <c r="AJ391" s="15">
        <f>VLOOKUP(M391,'[1]INDIAN ENTERPRISES'!$D:$L,9,0)</f>
        <v>45991</v>
      </c>
    </row>
    <row r="392" spans="1:36" hidden="1" outlineLevel="2" x14ac:dyDescent="0.25">
      <c r="A392" t="s">
        <v>20</v>
      </c>
      <c r="B392" t="s">
        <v>1</v>
      </c>
      <c r="C392" t="s">
        <v>2</v>
      </c>
      <c r="D392" t="s">
        <v>3</v>
      </c>
      <c r="E392" t="s">
        <v>4</v>
      </c>
      <c r="F392" t="s">
        <v>128</v>
      </c>
      <c r="G392" s="2">
        <v>45848</v>
      </c>
      <c r="H392" t="s">
        <v>735</v>
      </c>
      <c r="I392" t="s">
        <v>7</v>
      </c>
      <c r="J392" s="2">
        <v>45848</v>
      </c>
      <c r="K392" s="2">
        <v>45854</v>
      </c>
      <c r="L392" t="s">
        <v>8</v>
      </c>
      <c r="M392" s="14">
        <v>256779415353</v>
      </c>
      <c r="N392" t="s">
        <v>9</v>
      </c>
      <c r="O392" t="s">
        <v>10</v>
      </c>
      <c r="P392" t="s">
        <v>11</v>
      </c>
      <c r="Q392" t="s">
        <v>12</v>
      </c>
      <c r="R392" t="s">
        <v>13</v>
      </c>
      <c r="S392" s="3">
        <v>200</v>
      </c>
      <c r="T392" t="s">
        <v>14</v>
      </c>
      <c r="U392" s="3">
        <v>17200.13</v>
      </c>
      <c r="V392" t="s">
        <v>15</v>
      </c>
      <c r="W392" t="s">
        <v>16</v>
      </c>
      <c r="X392" t="s">
        <v>11</v>
      </c>
      <c r="Y392" t="s">
        <v>8</v>
      </c>
      <c r="Z392" t="s">
        <v>17</v>
      </c>
      <c r="AA392" t="s">
        <v>450</v>
      </c>
      <c r="AB392" t="s">
        <v>11</v>
      </c>
      <c r="AC392" t="s">
        <v>11</v>
      </c>
      <c r="AD392" t="s">
        <v>11</v>
      </c>
      <c r="AE392" s="2">
        <v>45848</v>
      </c>
      <c r="AF392" s="2"/>
      <c r="AG392" t="s">
        <v>11</v>
      </c>
      <c r="AH392" s="14">
        <f>VLOOKUP(M392,'[1]INDIAN ENTERPRISES'!$D:$D,1,0)</f>
        <v>256779415353</v>
      </c>
      <c r="AJ392" s="15">
        <f>VLOOKUP(M392,'[1]INDIAN ENTERPRISES'!$D:$L,9,0)</f>
        <v>45991</v>
      </c>
    </row>
    <row r="393" spans="1:36" hidden="1" outlineLevel="2" x14ac:dyDescent="0.25">
      <c r="A393" t="s">
        <v>20</v>
      </c>
      <c r="B393" t="s">
        <v>1</v>
      </c>
      <c r="C393" t="s">
        <v>2</v>
      </c>
      <c r="D393" t="s">
        <v>3</v>
      </c>
      <c r="E393" t="s">
        <v>4</v>
      </c>
      <c r="F393" t="s">
        <v>128</v>
      </c>
      <c r="G393" s="2">
        <v>45848</v>
      </c>
      <c r="H393" t="s">
        <v>736</v>
      </c>
      <c r="I393" t="s">
        <v>7</v>
      </c>
      <c r="J393" s="2">
        <v>45848</v>
      </c>
      <c r="K393" s="2">
        <v>45854</v>
      </c>
      <c r="L393" t="s">
        <v>8</v>
      </c>
      <c r="M393" s="14">
        <v>256779415354</v>
      </c>
      <c r="N393" t="s">
        <v>9</v>
      </c>
      <c r="O393" t="s">
        <v>10</v>
      </c>
      <c r="P393" t="s">
        <v>11</v>
      </c>
      <c r="Q393" t="s">
        <v>12</v>
      </c>
      <c r="R393" t="s">
        <v>13</v>
      </c>
      <c r="S393" s="3">
        <v>60</v>
      </c>
      <c r="T393" t="s">
        <v>14</v>
      </c>
      <c r="U393" s="3">
        <v>5160.04</v>
      </c>
      <c r="V393" t="s">
        <v>15</v>
      </c>
      <c r="W393" t="s">
        <v>16</v>
      </c>
      <c r="X393" t="s">
        <v>11</v>
      </c>
      <c r="Y393" t="s">
        <v>8</v>
      </c>
      <c r="Z393" t="s">
        <v>17</v>
      </c>
      <c r="AA393" t="s">
        <v>737</v>
      </c>
      <c r="AB393" t="s">
        <v>11</v>
      </c>
      <c r="AC393" t="s">
        <v>11</v>
      </c>
      <c r="AD393" t="s">
        <v>11</v>
      </c>
      <c r="AE393" s="2">
        <v>45848</v>
      </c>
      <c r="AF393" s="2"/>
      <c r="AG393" t="s">
        <v>11</v>
      </c>
      <c r="AH393" s="14">
        <f>VLOOKUP(M393,'[1]INDIAN ENTERPRISES'!$D:$D,1,0)</f>
        <v>256779415354</v>
      </c>
      <c r="AJ393" s="15">
        <f>VLOOKUP(M393,'[1]INDIAN ENTERPRISES'!$D:$L,9,0)</f>
        <v>45991</v>
      </c>
    </row>
    <row r="394" spans="1:36" hidden="1" outlineLevel="2" x14ac:dyDescent="0.25">
      <c r="A394" t="s">
        <v>20</v>
      </c>
      <c r="B394" t="s">
        <v>1</v>
      </c>
      <c r="C394" t="s">
        <v>2</v>
      </c>
      <c r="D394" t="s">
        <v>3</v>
      </c>
      <c r="E394" t="s">
        <v>4</v>
      </c>
      <c r="F394" t="s">
        <v>128</v>
      </c>
      <c r="G394" s="2">
        <v>45848</v>
      </c>
      <c r="H394" t="s">
        <v>738</v>
      </c>
      <c r="I394" t="s">
        <v>7</v>
      </c>
      <c r="J394" s="2">
        <v>45848</v>
      </c>
      <c r="K394" s="2">
        <v>45854</v>
      </c>
      <c r="L394" t="s">
        <v>8</v>
      </c>
      <c r="M394" s="14">
        <v>256779415355</v>
      </c>
      <c r="N394" t="s">
        <v>9</v>
      </c>
      <c r="O394" t="s">
        <v>10</v>
      </c>
      <c r="P394" t="s">
        <v>11</v>
      </c>
      <c r="Q394" t="s">
        <v>12</v>
      </c>
      <c r="R394" t="s">
        <v>13</v>
      </c>
      <c r="S394" s="3">
        <v>21.37</v>
      </c>
      <c r="T394" t="s">
        <v>14</v>
      </c>
      <c r="U394" s="3">
        <v>1837.83</v>
      </c>
      <c r="V394" t="s">
        <v>15</v>
      </c>
      <c r="W394" t="s">
        <v>16</v>
      </c>
      <c r="X394" t="s">
        <v>11</v>
      </c>
      <c r="Y394" t="s">
        <v>8</v>
      </c>
      <c r="Z394" t="s">
        <v>17</v>
      </c>
      <c r="AA394" t="s">
        <v>739</v>
      </c>
      <c r="AB394" t="s">
        <v>11</v>
      </c>
      <c r="AC394" t="s">
        <v>11</v>
      </c>
      <c r="AD394" t="s">
        <v>11</v>
      </c>
      <c r="AE394" s="2">
        <v>45848</v>
      </c>
      <c r="AF394" s="2"/>
      <c r="AG394" t="s">
        <v>11</v>
      </c>
      <c r="AH394" s="14">
        <f>VLOOKUP(M394,'[1]INDIAN ENTERPRISES'!$D:$D,1,0)</f>
        <v>256779415355</v>
      </c>
      <c r="AJ394" s="15">
        <f>VLOOKUP(M394,'[1]INDIAN ENTERPRISES'!$D:$L,9,0)</f>
        <v>45991</v>
      </c>
    </row>
    <row r="395" spans="1:36" hidden="1" outlineLevel="2" x14ac:dyDescent="0.25">
      <c r="A395" t="s">
        <v>20</v>
      </c>
      <c r="B395" t="s">
        <v>1</v>
      </c>
      <c r="C395" t="s">
        <v>2</v>
      </c>
      <c r="D395" t="s">
        <v>3</v>
      </c>
      <c r="E395" t="s">
        <v>4</v>
      </c>
      <c r="F395" t="s">
        <v>128</v>
      </c>
      <c r="G395" s="2">
        <v>45848</v>
      </c>
      <c r="H395" t="s">
        <v>740</v>
      </c>
      <c r="I395" t="s">
        <v>7</v>
      </c>
      <c r="J395" s="2">
        <v>45848</v>
      </c>
      <c r="K395" s="2">
        <v>45854</v>
      </c>
      <c r="L395" t="s">
        <v>8</v>
      </c>
      <c r="M395" s="14">
        <v>256779415356</v>
      </c>
      <c r="N395" t="s">
        <v>9</v>
      </c>
      <c r="O395" t="s">
        <v>10</v>
      </c>
      <c r="P395" t="s">
        <v>11</v>
      </c>
      <c r="Q395" t="s">
        <v>12</v>
      </c>
      <c r="R395" t="s">
        <v>13</v>
      </c>
      <c r="S395" s="3">
        <v>72</v>
      </c>
      <c r="T395" t="s">
        <v>14</v>
      </c>
      <c r="U395" s="3">
        <v>6192.05</v>
      </c>
      <c r="V395" t="s">
        <v>15</v>
      </c>
      <c r="W395" t="s">
        <v>16</v>
      </c>
      <c r="X395" t="s">
        <v>11</v>
      </c>
      <c r="Y395" t="s">
        <v>8</v>
      </c>
      <c r="Z395" t="s">
        <v>17</v>
      </c>
      <c r="AA395" t="s">
        <v>741</v>
      </c>
      <c r="AB395" t="s">
        <v>11</v>
      </c>
      <c r="AC395" t="s">
        <v>11</v>
      </c>
      <c r="AD395" t="s">
        <v>11</v>
      </c>
      <c r="AE395" s="2">
        <v>45848</v>
      </c>
      <c r="AF395" s="2"/>
      <c r="AG395" t="s">
        <v>11</v>
      </c>
      <c r="AH395" s="14">
        <f>VLOOKUP(M395,'[1]INDIAN ENTERPRISES'!$D:$D,1,0)</f>
        <v>256779415356</v>
      </c>
      <c r="AJ395" s="15">
        <f>VLOOKUP(M395,'[1]INDIAN ENTERPRISES'!$D:$L,9,0)</f>
        <v>45991</v>
      </c>
    </row>
    <row r="396" spans="1:36" hidden="1" outlineLevel="2" x14ac:dyDescent="0.25">
      <c r="A396" t="s">
        <v>20</v>
      </c>
      <c r="B396" t="s">
        <v>1</v>
      </c>
      <c r="C396" t="s">
        <v>2</v>
      </c>
      <c r="D396" t="s">
        <v>3</v>
      </c>
      <c r="E396" t="s">
        <v>4</v>
      </c>
      <c r="F396" t="s">
        <v>128</v>
      </c>
      <c r="G396" s="2">
        <v>45848</v>
      </c>
      <c r="H396" t="s">
        <v>742</v>
      </c>
      <c r="I396" t="s">
        <v>7</v>
      </c>
      <c r="J396" s="2">
        <v>45848</v>
      </c>
      <c r="K396" s="2">
        <v>45854</v>
      </c>
      <c r="L396" t="s">
        <v>8</v>
      </c>
      <c r="M396" s="14">
        <v>256779415357</v>
      </c>
      <c r="N396" t="s">
        <v>9</v>
      </c>
      <c r="O396" t="s">
        <v>10</v>
      </c>
      <c r="P396" t="s">
        <v>11</v>
      </c>
      <c r="Q396" t="s">
        <v>12</v>
      </c>
      <c r="R396" t="s">
        <v>13</v>
      </c>
      <c r="S396" s="3">
        <v>207.27</v>
      </c>
      <c r="T396" t="s">
        <v>14</v>
      </c>
      <c r="U396" s="3">
        <v>17825.36</v>
      </c>
      <c r="V396" t="s">
        <v>15</v>
      </c>
      <c r="W396" t="s">
        <v>16</v>
      </c>
      <c r="X396" t="s">
        <v>11</v>
      </c>
      <c r="Y396" t="s">
        <v>8</v>
      </c>
      <c r="Z396" t="s">
        <v>17</v>
      </c>
      <c r="AA396" t="s">
        <v>73</v>
      </c>
      <c r="AB396" t="s">
        <v>11</v>
      </c>
      <c r="AC396" t="s">
        <v>11</v>
      </c>
      <c r="AD396" t="s">
        <v>11</v>
      </c>
      <c r="AE396" s="2">
        <v>45848</v>
      </c>
      <c r="AF396" s="2"/>
      <c r="AG396" t="s">
        <v>11</v>
      </c>
      <c r="AH396" s="14">
        <f>VLOOKUP(M396,'[1]INDIAN ENTERPRISES'!$D:$D,1,0)</f>
        <v>256779415357</v>
      </c>
      <c r="AJ396" s="15">
        <f>VLOOKUP(M396,'[1]INDIAN ENTERPRISES'!$D:$L,9,0)</f>
        <v>45991</v>
      </c>
    </row>
    <row r="397" spans="1:36" hidden="1" outlineLevel="2" x14ac:dyDescent="0.25">
      <c r="A397" t="s">
        <v>20</v>
      </c>
      <c r="B397" t="s">
        <v>1</v>
      </c>
      <c r="C397" t="s">
        <v>2</v>
      </c>
      <c r="D397" t="s">
        <v>3</v>
      </c>
      <c r="E397" t="s">
        <v>4</v>
      </c>
      <c r="F397" t="s">
        <v>128</v>
      </c>
      <c r="G397" s="2">
        <v>45848</v>
      </c>
      <c r="H397" t="s">
        <v>743</v>
      </c>
      <c r="I397" t="s">
        <v>7</v>
      </c>
      <c r="J397" s="2">
        <v>45848</v>
      </c>
      <c r="K397" s="2">
        <v>45854</v>
      </c>
      <c r="L397" t="s">
        <v>8</v>
      </c>
      <c r="M397" s="14">
        <v>256779415358</v>
      </c>
      <c r="N397" t="s">
        <v>9</v>
      </c>
      <c r="O397" t="s">
        <v>10</v>
      </c>
      <c r="P397" t="s">
        <v>11</v>
      </c>
      <c r="Q397" t="s">
        <v>12</v>
      </c>
      <c r="R397" t="s">
        <v>13</v>
      </c>
      <c r="S397" s="3">
        <v>96</v>
      </c>
      <c r="T397" t="s">
        <v>14</v>
      </c>
      <c r="U397" s="3">
        <v>8256.06</v>
      </c>
      <c r="V397" t="s">
        <v>15</v>
      </c>
      <c r="W397" t="s">
        <v>16</v>
      </c>
      <c r="X397" t="s">
        <v>11</v>
      </c>
      <c r="Y397" t="s">
        <v>8</v>
      </c>
      <c r="Z397" t="s">
        <v>17</v>
      </c>
      <c r="AA397" t="s">
        <v>744</v>
      </c>
      <c r="AB397" t="s">
        <v>11</v>
      </c>
      <c r="AC397" t="s">
        <v>11</v>
      </c>
      <c r="AD397" t="s">
        <v>11</v>
      </c>
      <c r="AE397" s="2">
        <v>45848</v>
      </c>
      <c r="AF397" s="2"/>
      <c r="AG397" t="s">
        <v>11</v>
      </c>
      <c r="AH397" s="14">
        <f>VLOOKUP(M397,'[1]INDIAN ENTERPRISES'!$D:$D,1,0)</f>
        <v>256779415358</v>
      </c>
      <c r="AJ397" s="15">
        <f>VLOOKUP(M397,'[1]INDIAN ENTERPRISES'!$D:$L,9,0)</f>
        <v>45991</v>
      </c>
    </row>
    <row r="398" spans="1:36" hidden="1" outlineLevel="2" x14ac:dyDescent="0.25">
      <c r="A398" t="s">
        <v>20</v>
      </c>
      <c r="B398" t="s">
        <v>1</v>
      </c>
      <c r="C398" t="s">
        <v>2</v>
      </c>
      <c r="D398" t="s">
        <v>3</v>
      </c>
      <c r="E398" t="s">
        <v>4</v>
      </c>
      <c r="F398" t="s">
        <v>128</v>
      </c>
      <c r="G398" s="2">
        <v>45848</v>
      </c>
      <c r="H398" t="s">
        <v>745</v>
      </c>
      <c r="I398" t="s">
        <v>7</v>
      </c>
      <c r="J398" s="2">
        <v>45848</v>
      </c>
      <c r="K398" s="2">
        <v>45854</v>
      </c>
      <c r="L398" t="s">
        <v>8</v>
      </c>
      <c r="M398" s="14">
        <v>256779415359</v>
      </c>
      <c r="N398" t="s">
        <v>9</v>
      </c>
      <c r="O398" t="s">
        <v>10</v>
      </c>
      <c r="P398" t="s">
        <v>11</v>
      </c>
      <c r="Q398" t="s">
        <v>12</v>
      </c>
      <c r="R398" t="s">
        <v>13</v>
      </c>
      <c r="S398" s="3">
        <v>200</v>
      </c>
      <c r="T398" t="s">
        <v>14</v>
      </c>
      <c r="U398" s="3">
        <v>17200.13</v>
      </c>
      <c r="V398" t="s">
        <v>15</v>
      </c>
      <c r="W398" t="s">
        <v>16</v>
      </c>
      <c r="X398" t="s">
        <v>11</v>
      </c>
      <c r="Y398" t="s">
        <v>8</v>
      </c>
      <c r="Z398" t="s">
        <v>17</v>
      </c>
      <c r="AA398" t="s">
        <v>746</v>
      </c>
      <c r="AB398" t="s">
        <v>11</v>
      </c>
      <c r="AC398" t="s">
        <v>11</v>
      </c>
      <c r="AD398" t="s">
        <v>11</v>
      </c>
      <c r="AE398" s="2">
        <v>45848</v>
      </c>
      <c r="AF398" s="2"/>
      <c r="AG398" t="s">
        <v>11</v>
      </c>
      <c r="AH398" s="14">
        <f>VLOOKUP(M398,'[1]INDIAN ENTERPRISES'!$D:$D,1,0)</f>
        <v>256779415359</v>
      </c>
      <c r="AJ398" s="15">
        <f>VLOOKUP(M398,'[1]INDIAN ENTERPRISES'!$D:$L,9,0)</f>
        <v>45991</v>
      </c>
    </row>
    <row r="399" spans="1:36" hidden="1" outlineLevel="2" x14ac:dyDescent="0.25">
      <c r="A399" t="s">
        <v>20</v>
      </c>
      <c r="B399" t="s">
        <v>1</v>
      </c>
      <c r="C399" t="s">
        <v>2</v>
      </c>
      <c r="D399" t="s">
        <v>3</v>
      </c>
      <c r="E399" t="s">
        <v>4</v>
      </c>
      <c r="F399" t="s">
        <v>128</v>
      </c>
      <c r="G399" s="2">
        <v>45848</v>
      </c>
      <c r="H399" t="s">
        <v>747</v>
      </c>
      <c r="I399" t="s">
        <v>7</v>
      </c>
      <c r="J399" s="2">
        <v>45848</v>
      </c>
      <c r="K399" s="2">
        <v>45854</v>
      </c>
      <c r="L399" t="s">
        <v>8</v>
      </c>
      <c r="M399" s="14">
        <v>256779415360</v>
      </c>
      <c r="N399" t="s">
        <v>9</v>
      </c>
      <c r="O399" t="s">
        <v>10</v>
      </c>
      <c r="P399" t="s">
        <v>11</v>
      </c>
      <c r="Q399" t="s">
        <v>12</v>
      </c>
      <c r="R399" t="s">
        <v>13</v>
      </c>
      <c r="S399" s="3">
        <v>60</v>
      </c>
      <c r="T399" t="s">
        <v>14</v>
      </c>
      <c r="U399" s="3">
        <v>5160.04</v>
      </c>
      <c r="V399" t="s">
        <v>15</v>
      </c>
      <c r="W399" t="s">
        <v>16</v>
      </c>
      <c r="X399" t="s">
        <v>11</v>
      </c>
      <c r="Y399" t="s">
        <v>8</v>
      </c>
      <c r="Z399" t="s">
        <v>17</v>
      </c>
      <c r="AA399" t="s">
        <v>748</v>
      </c>
      <c r="AB399" t="s">
        <v>11</v>
      </c>
      <c r="AC399" t="s">
        <v>11</v>
      </c>
      <c r="AD399" t="s">
        <v>11</v>
      </c>
      <c r="AE399" s="2">
        <v>45848</v>
      </c>
      <c r="AF399" s="2"/>
      <c r="AG399" t="s">
        <v>11</v>
      </c>
      <c r="AH399" s="14">
        <f>VLOOKUP(M399,'[1]INDIAN ENTERPRISES'!$D:$D,1,0)</f>
        <v>256779415360</v>
      </c>
      <c r="AJ399" s="15">
        <f>VLOOKUP(M399,'[1]INDIAN ENTERPRISES'!$D:$L,9,0)</f>
        <v>45991</v>
      </c>
    </row>
    <row r="400" spans="1:36" hidden="1" outlineLevel="2" x14ac:dyDescent="0.25">
      <c r="A400" t="s">
        <v>20</v>
      </c>
      <c r="B400" t="s">
        <v>1</v>
      </c>
      <c r="C400" t="s">
        <v>2</v>
      </c>
      <c r="D400" t="s">
        <v>3</v>
      </c>
      <c r="E400" t="s">
        <v>4</v>
      </c>
      <c r="F400" t="s">
        <v>128</v>
      </c>
      <c r="G400" s="2">
        <v>45848</v>
      </c>
      <c r="H400" t="s">
        <v>749</v>
      </c>
      <c r="I400" t="s">
        <v>7</v>
      </c>
      <c r="J400" s="2">
        <v>45848</v>
      </c>
      <c r="K400" s="2">
        <v>45854</v>
      </c>
      <c r="L400" t="s">
        <v>8</v>
      </c>
      <c r="M400" s="14">
        <v>256779415361</v>
      </c>
      <c r="N400" t="s">
        <v>9</v>
      </c>
      <c r="O400" t="s">
        <v>10</v>
      </c>
      <c r="P400" t="s">
        <v>11</v>
      </c>
      <c r="Q400" t="s">
        <v>12</v>
      </c>
      <c r="R400" t="s">
        <v>13</v>
      </c>
      <c r="S400" s="3">
        <v>67.5</v>
      </c>
      <c r="T400" t="s">
        <v>14</v>
      </c>
      <c r="U400" s="3">
        <v>5805.05</v>
      </c>
      <c r="V400" t="s">
        <v>15</v>
      </c>
      <c r="W400" t="s">
        <v>16</v>
      </c>
      <c r="X400" t="s">
        <v>11</v>
      </c>
      <c r="Y400" t="s">
        <v>8</v>
      </c>
      <c r="Z400" t="s">
        <v>17</v>
      </c>
      <c r="AA400" t="s">
        <v>75</v>
      </c>
      <c r="AB400" t="s">
        <v>11</v>
      </c>
      <c r="AC400" t="s">
        <v>11</v>
      </c>
      <c r="AD400" t="s">
        <v>11</v>
      </c>
      <c r="AE400" s="2">
        <v>45848</v>
      </c>
      <c r="AF400" s="2"/>
      <c r="AG400" t="s">
        <v>11</v>
      </c>
      <c r="AH400" s="14">
        <f>VLOOKUP(M400,'[1]INDIAN ENTERPRISES'!$D:$D,1,0)</f>
        <v>256779415361</v>
      </c>
      <c r="AJ400" s="15">
        <f>VLOOKUP(M400,'[1]INDIAN ENTERPRISES'!$D:$L,9,0)</f>
        <v>45991</v>
      </c>
    </row>
    <row r="401" spans="1:36" hidden="1" outlineLevel="2" x14ac:dyDescent="0.25">
      <c r="A401" t="s">
        <v>20</v>
      </c>
      <c r="B401" t="s">
        <v>1</v>
      </c>
      <c r="C401" t="s">
        <v>2</v>
      </c>
      <c r="D401" t="s">
        <v>3</v>
      </c>
      <c r="E401" t="s">
        <v>4</v>
      </c>
      <c r="F401" t="s">
        <v>128</v>
      </c>
      <c r="G401" s="2">
        <v>45848</v>
      </c>
      <c r="H401" t="s">
        <v>750</v>
      </c>
      <c r="I401" t="s">
        <v>7</v>
      </c>
      <c r="J401" s="2">
        <v>45848</v>
      </c>
      <c r="K401" s="2">
        <v>45854</v>
      </c>
      <c r="L401" t="s">
        <v>8</v>
      </c>
      <c r="M401" s="14">
        <v>256779415362</v>
      </c>
      <c r="N401" t="s">
        <v>9</v>
      </c>
      <c r="O401" t="s">
        <v>10</v>
      </c>
      <c r="P401" t="s">
        <v>11</v>
      </c>
      <c r="Q401" t="s">
        <v>12</v>
      </c>
      <c r="R401" t="s">
        <v>13</v>
      </c>
      <c r="S401" s="3">
        <v>3</v>
      </c>
      <c r="T401" t="s">
        <v>14</v>
      </c>
      <c r="U401" s="3">
        <v>258</v>
      </c>
      <c r="V401" t="s">
        <v>15</v>
      </c>
      <c r="W401" t="s">
        <v>16</v>
      </c>
      <c r="X401" t="s">
        <v>11</v>
      </c>
      <c r="Y401" t="s">
        <v>8</v>
      </c>
      <c r="Z401" t="s">
        <v>17</v>
      </c>
      <c r="AA401" t="s">
        <v>751</v>
      </c>
      <c r="AB401" t="s">
        <v>11</v>
      </c>
      <c r="AC401" t="s">
        <v>11</v>
      </c>
      <c r="AD401" t="s">
        <v>11</v>
      </c>
      <c r="AE401" s="2">
        <v>45848</v>
      </c>
      <c r="AF401" s="2"/>
      <c r="AG401" t="s">
        <v>11</v>
      </c>
      <c r="AH401" s="14">
        <f>VLOOKUP(M401,'[1]INDIAN ENTERPRISES'!$D:$D,1,0)</f>
        <v>256779415362</v>
      </c>
      <c r="AJ401" s="15">
        <f>VLOOKUP(M401,'[1]INDIAN ENTERPRISES'!$D:$L,9,0)</f>
        <v>45991</v>
      </c>
    </row>
    <row r="402" spans="1:36" hidden="1" outlineLevel="2" x14ac:dyDescent="0.25">
      <c r="A402" t="s">
        <v>20</v>
      </c>
      <c r="B402" t="s">
        <v>1</v>
      </c>
      <c r="C402" t="s">
        <v>2</v>
      </c>
      <c r="D402" t="s">
        <v>3</v>
      </c>
      <c r="E402" t="s">
        <v>4</v>
      </c>
      <c r="F402" t="s">
        <v>128</v>
      </c>
      <c r="G402" s="2">
        <v>45848</v>
      </c>
      <c r="H402" t="s">
        <v>752</v>
      </c>
      <c r="I402" t="s">
        <v>7</v>
      </c>
      <c r="J402" s="2">
        <v>45848</v>
      </c>
      <c r="K402" s="2">
        <v>45854</v>
      </c>
      <c r="L402" t="s">
        <v>8</v>
      </c>
      <c r="M402" s="14">
        <v>256779415363</v>
      </c>
      <c r="N402" t="s">
        <v>9</v>
      </c>
      <c r="O402" t="s">
        <v>10</v>
      </c>
      <c r="P402" t="s">
        <v>11</v>
      </c>
      <c r="Q402" t="s">
        <v>12</v>
      </c>
      <c r="R402" t="s">
        <v>13</v>
      </c>
      <c r="S402" s="3">
        <v>3</v>
      </c>
      <c r="T402" t="s">
        <v>14</v>
      </c>
      <c r="U402" s="3">
        <v>258</v>
      </c>
      <c r="V402" t="s">
        <v>15</v>
      </c>
      <c r="W402" t="s">
        <v>16</v>
      </c>
      <c r="X402" t="s">
        <v>11</v>
      </c>
      <c r="Y402" t="s">
        <v>8</v>
      </c>
      <c r="Z402" t="s">
        <v>17</v>
      </c>
      <c r="AA402" t="s">
        <v>751</v>
      </c>
      <c r="AB402" t="s">
        <v>11</v>
      </c>
      <c r="AC402" t="s">
        <v>11</v>
      </c>
      <c r="AD402" t="s">
        <v>11</v>
      </c>
      <c r="AE402" s="2">
        <v>45848</v>
      </c>
      <c r="AF402" s="2"/>
      <c r="AG402" t="s">
        <v>11</v>
      </c>
      <c r="AH402" s="14" t="e">
        <f>VLOOKUP(M402,'[1]INDIAN ENTERPRISES'!$D:$D,1,0)</f>
        <v>#N/A</v>
      </c>
      <c r="AI402" t="str">
        <f>VLOOKUP(M402,'[2]Invoices Not in Customer Books'!$E:$K,7,0)</f>
        <v>Invoice under booking</v>
      </c>
      <c r="AJ402" s="15" t="e">
        <f>VLOOKUP(M402,'[1]INDIAN ENTERPRISES'!$D:$L,9,0)</f>
        <v>#N/A</v>
      </c>
    </row>
    <row r="403" spans="1:36" hidden="1" outlineLevel="2" x14ac:dyDescent="0.25">
      <c r="A403" t="s">
        <v>20</v>
      </c>
      <c r="B403" t="s">
        <v>1</v>
      </c>
      <c r="C403" t="s">
        <v>2</v>
      </c>
      <c r="D403" t="s">
        <v>3</v>
      </c>
      <c r="E403" t="s">
        <v>4</v>
      </c>
      <c r="F403" t="s">
        <v>128</v>
      </c>
      <c r="G403" s="2">
        <v>45848</v>
      </c>
      <c r="H403" t="s">
        <v>753</v>
      </c>
      <c r="I403" t="s">
        <v>7</v>
      </c>
      <c r="J403" s="2">
        <v>45848</v>
      </c>
      <c r="K403" s="2">
        <v>45854</v>
      </c>
      <c r="L403" t="s">
        <v>8</v>
      </c>
      <c r="M403" s="14">
        <v>256779415364</v>
      </c>
      <c r="N403" t="s">
        <v>9</v>
      </c>
      <c r="O403" t="s">
        <v>10</v>
      </c>
      <c r="P403" t="s">
        <v>11</v>
      </c>
      <c r="Q403" t="s">
        <v>12</v>
      </c>
      <c r="R403" t="s">
        <v>13</v>
      </c>
      <c r="S403" s="3">
        <v>200</v>
      </c>
      <c r="T403" t="s">
        <v>14</v>
      </c>
      <c r="U403" s="3">
        <v>17200.13</v>
      </c>
      <c r="V403" t="s">
        <v>15</v>
      </c>
      <c r="W403" t="s">
        <v>16</v>
      </c>
      <c r="X403" t="s">
        <v>11</v>
      </c>
      <c r="Y403" t="s">
        <v>8</v>
      </c>
      <c r="Z403" t="s">
        <v>17</v>
      </c>
      <c r="AA403" t="s">
        <v>376</v>
      </c>
      <c r="AB403" t="s">
        <v>11</v>
      </c>
      <c r="AC403" t="s">
        <v>11</v>
      </c>
      <c r="AD403" t="s">
        <v>11</v>
      </c>
      <c r="AE403" s="2">
        <v>45848</v>
      </c>
      <c r="AF403" s="2"/>
      <c r="AG403" t="s">
        <v>11</v>
      </c>
      <c r="AH403" s="14">
        <f>VLOOKUP(M403,'[1]INDIAN ENTERPRISES'!$D:$D,1,0)</f>
        <v>256779415364</v>
      </c>
      <c r="AJ403" s="15">
        <f>VLOOKUP(M403,'[1]INDIAN ENTERPRISES'!$D:$L,9,0)</f>
        <v>45991</v>
      </c>
    </row>
    <row r="404" spans="1:36" hidden="1" outlineLevel="2" x14ac:dyDescent="0.25">
      <c r="A404" t="s">
        <v>20</v>
      </c>
      <c r="B404" t="s">
        <v>1</v>
      </c>
      <c r="C404" t="s">
        <v>2</v>
      </c>
      <c r="D404" t="s">
        <v>3</v>
      </c>
      <c r="E404" t="s">
        <v>4</v>
      </c>
      <c r="F404" t="s">
        <v>128</v>
      </c>
      <c r="G404" s="2">
        <v>45848</v>
      </c>
      <c r="H404" t="s">
        <v>754</v>
      </c>
      <c r="I404" t="s">
        <v>7</v>
      </c>
      <c r="J404" s="2">
        <v>45848</v>
      </c>
      <c r="K404" s="2">
        <v>45854</v>
      </c>
      <c r="L404" t="s">
        <v>8</v>
      </c>
      <c r="M404" s="14">
        <v>256779415365</v>
      </c>
      <c r="N404" t="s">
        <v>9</v>
      </c>
      <c r="O404" t="s">
        <v>10</v>
      </c>
      <c r="P404" t="s">
        <v>11</v>
      </c>
      <c r="Q404" t="s">
        <v>12</v>
      </c>
      <c r="R404" t="s">
        <v>13</v>
      </c>
      <c r="S404" s="3">
        <v>313</v>
      </c>
      <c r="T404" t="s">
        <v>14</v>
      </c>
      <c r="U404" s="3">
        <v>26918.21</v>
      </c>
      <c r="V404" t="s">
        <v>15</v>
      </c>
      <c r="W404" t="s">
        <v>16</v>
      </c>
      <c r="X404" t="s">
        <v>11</v>
      </c>
      <c r="Y404" t="s">
        <v>8</v>
      </c>
      <c r="Z404" t="s">
        <v>17</v>
      </c>
      <c r="AA404" t="s">
        <v>378</v>
      </c>
      <c r="AB404" t="s">
        <v>11</v>
      </c>
      <c r="AC404" t="s">
        <v>11</v>
      </c>
      <c r="AD404" t="s">
        <v>11</v>
      </c>
      <c r="AE404" s="2">
        <v>45848</v>
      </c>
      <c r="AF404" s="2"/>
      <c r="AG404" t="s">
        <v>11</v>
      </c>
      <c r="AH404" s="14">
        <f>VLOOKUP(M404,'[1]INDIAN ENTERPRISES'!$D:$D,1,0)</f>
        <v>256779415365</v>
      </c>
      <c r="AJ404" s="15">
        <f>VLOOKUP(M404,'[1]INDIAN ENTERPRISES'!$D:$L,9,0)</f>
        <v>45991</v>
      </c>
    </row>
    <row r="405" spans="1:36" hidden="1" outlineLevel="2" x14ac:dyDescent="0.25">
      <c r="A405" t="s">
        <v>20</v>
      </c>
      <c r="B405" t="s">
        <v>1</v>
      </c>
      <c r="C405" t="s">
        <v>2</v>
      </c>
      <c r="D405" t="s">
        <v>3</v>
      </c>
      <c r="E405" t="s">
        <v>4</v>
      </c>
      <c r="F405" t="s">
        <v>128</v>
      </c>
      <c r="G405" s="2">
        <v>45848</v>
      </c>
      <c r="H405" t="s">
        <v>755</v>
      </c>
      <c r="I405" t="s">
        <v>7</v>
      </c>
      <c r="J405" s="2">
        <v>45848</v>
      </c>
      <c r="K405" s="2">
        <v>45854</v>
      </c>
      <c r="L405" t="s">
        <v>8</v>
      </c>
      <c r="M405" s="14">
        <v>256779415366</v>
      </c>
      <c r="N405" t="s">
        <v>9</v>
      </c>
      <c r="O405" t="s">
        <v>10</v>
      </c>
      <c r="P405" t="s">
        <v>11</v>
      </c>
      <c r="Q405" t="s">
        <v>12</v>
      </c>
      <c r="R405" t="s">
        <v>13</v>
      </c>
      <c r="S405" s="3">
        <v>192</v>
      </c>
      <c r="T405" t="s">
        <v>14</v>
      </c>
      <c r="U405" s="3">
        <v>16512.13</v>
      </c>
      <c r="V405" t="s">
        <v>15</v>
      </c>
      <c r="W405" t="s">
        <v>16</v>
      </c>
      <c r="X405" t="s">
        <v>11</v>
      </c>
      <c r="Y405" t="s">
        <v>8</v>
      </c>
      <c r="Z405" t="s">
        <v>17</v>
      </c>
      <c r="AA405" t="s">
        <v>380</v>
      </c>
      <c r="AB405" t="s">
        <v>11</v>
      </c>
      <c r="AC405" t="s">
        <v>11</v>
      </c>
      <c r="AD405" t="s">
        <v>11</v>
      </c>
      <c r="AE405" s="2">
        <v>45848</v>
      </c>
      <c r="AF405" s="2"/>
      <c r="AG405" t="s">
        <v>11</v>
      </c>
      <c r="AH405" s="14">
        <f>VLOOKUP(M405,'[1]INDIAN ENTERPRISES'!$D:$D,1,0)</f>
        <v>256779415366</v>
      </c>
      <c r="AJ405" s="15">
        <f>VLOOKUP(M405,'[1]INDIAN ENTERPRISES'!$D:$L,9,0)</f>
        <v>45991</v>
      </c>
    </row>
    <row r="406" spans="1:36" hidden="1" outlineLevel="2" x14ac:dyDescent="0.25">
      <c r="A406" t="s">
        <v>20</v>
      </c>
      <c r="B406" t="s">
        <v>1</v>
      </c>
      <c r="C406" t="s">
        <v>2</v>
      </c>
      <c r="D406" t="s">
        <v>3</v>
      </c>
      <c r="E406" t="s">
        <v>4</v>
      </c>
      <c r="F406" t="s">
        <v>128</v>
      </c>
      <c r="G406" s="2">
        <v>45848</v>
      </c>
      <c r="H406" t="s">
        <v>756</v>
      </c>
      <c r="I406" t="s">
        <v>7</v>
      </c>
      <c r="J406" s="2">
        <v>45848</v>
      </c>
      <c r="K406" s="2">
        <v>45854</v>
      </c>
      <c r="L406" t="s">
        <v>8</v>
      </c>
      <c r="M406" s="14">
        <v>256779415367</v>
      </c>
      <c r="N406" t="s">
        <v>9</v>
      </c>
      <c r="O406" t="s">
        <v>10</v>
      </c>
      <c r="P406" t="s">
        <v>11</v>
      </c>
      <c r="Q406" t="s">
        <v>12</v>
      </c>
      <c r="R406" t="s">
        <v>13</v>
      </c>
      <c r="S406" s="3">
        <v>200</v>
      </c>
      <c r="T406" t="s">
        <v>14</v>
      </c>
      <c r="U406" s="3">
        <v>17200.13</v>
      </c>
      <c r="V406" t="s">
        <v>15</v>
      </c>
      <c r="W406" t="s">
        <v>16</v>
      </c>
      <c r="X406" t="s">
        <v>11</v>
      </c>
      <c r="Y406" t="s">
        <v>8</v>
      </c>
      <c r="Z406" t="s">
        <v>17</v>
      </c>
      <c r="AA406" t="s">
        <v>384</v>
      </c>
      <c r="AB406" t="s">
        <v>11</v>
      </c>
      <c r="AC406" t="s">
        <v>11</v>
      </c>
      <c r="AD406" t="s">
        <v>11</v>
      </c>
      <c r="AE406" s="2">
        <v>45848</v>
      </c>
      <c r="AF406" s="2"/>
      <c r="AG406" t="s">
        <v>11</v>
      </c>
      <c r="AH406" s="14">
        <f>VLOOKUP(M406,'[1]INDIAN ENTERPRISES'!$D:$D,1,0)</f>
        <v>256779415367</v>
      </c>
      <c r="AJ406" s="15">
        <f>VLOOKUP(M406,'[1]INDIAN ENTERPRISES'!$D:$L,9,0)</f>
        <v>45991</v>
      </c>
    </row>
    <row r="407" spans="1:36" hidden="1" outlineLevel="2" x14ac:dyDescent="0.25">
      <c r="A407" t="s">
        <v>20</v>
      </c>
      <c r="B407" t="s">
        <v>1</v>
      </c>
      <c r="C407" t="s">
        <v>2</v>
      </c>
      <c r="D407" t="s">
        <v>3</v>
      </c>
      <c r="E407" t="s">
        <v>4</v>
      </c>
      <c r="F407" t="s">
        <v>128</v>
      </c>
      <c r="G407" s="2">
        <v>45848</v>
      </c>
      <c r="H407" t="s">
        <v>757</v>
      </c>
      <c r="I407" t="s">
        <v>7</v>
      </c>
      <c r="J407" s="2">
        <v>45848</v>
      </c>
      <c r="K407" s="2">
        <v>45854</v>
      </c>
      <c r="L407" t="s">
        <v>8</v>
      </c>
      <c r="M407" s="14">
        <v>256779415368</v>
      </c>
      <c r="N407" t="s">
        <v>9</v>
      </c>
      <c r="O407" t="s">
        <v>10</v>
      </c>
      <c r="P407" t="s">
        <v>11</v>
      </c>
      <c r="Q407" t="s">
        <v>12</v>
      </c>
      <c r="R407" t="s">
        <v>13</v>
      </c>
      <c r="S407" s="3">
        <v>60</v>
      </c>
      <c r="T407" t="s">
        <v>14</v>
      </c>
      <c r="U407" s="3">
        <v>5160.04</v>
      </c>
      <c r="V407" t="s">
        <v>15</v>
      </c>
      <c r="W407" t="s">
        <v>16</v>
      </c>
      <c r="X407" t="s">
        <v>11</v>
      </c>
      <c r="Y407" t="s">
        <v>8</v>
      </c>
      <c r="Z407" t="s">
        <v>17</v>
      </c>
      <c r="AA407" t="s">
        <v>386</v>
      </c>
      <c r="AB407" t="s">
        <v>11</v>
      </c>
      <c r="AC407" t="s">
        <v>11</v>
      </c>
      <c r="AD407" t="s">
        <v>11</v>
      </c>
      <c r="AE407" s="2">
        <v>45848</v>
      </c>
      <c r="AF407" s="2"/>
      <c r="AG407" t="s">
        <v>11</v>
      </c>
      <c r="AH407" s="14">
        <f>VLOOKUP(M407,'[1]INDIAN ENTERPRISES'!$D:$D,1,0)</f>
        <v>256779415368</v>
      </c>
      <c r="AJ407" s="15">
        <f>VLOOKUP(M407,'[1]INDIAN ENTERPRISES'!$D:$L,9,0)</f>
        <v>45991</v>
      </c>
    </row>
    <row r="408" spans="1:36" hidden="1" outlineLevel="2" x14ac:dyDescent="0.25">
      <c r="A408" t="s">
        <v>20</v>
      </c>
      <c r="B408" t="s">
        <v>1</v>
      </c>
      <c r="C408" t="s">
        <v>2</v>
      </c>
      <c r="D408" t="s">
        <v>3</v>
      </c>
      <c r="E408" t="s">
        <v>4</v>
      </c>
      <c r="F408" t="s">
        <v>128</v>
      </c>
      <c r="G408" s="2">
        <v>45848</v>
      </c>
      <c r="H408" t="s">
        <v>758</v>
      </c>
      <c r="I408" t="s">
        <v>7</v>
      </c>
      <c r="J408" s="2">
        <v>45848</v>
      </c>
      <c r="K408" s="2">
        <v>45854</v>
      </c>
      <c r="L408" t="s">
        <v>8</v>
      </c>
      <c r="M408" s="14">
        <v>256779415369</v>
      </c>
      <c r="N408" t="s">
        <v>9</v>
      </c>
      <c r="O408" t="s">
        <v>10</v>
      </c>
      <c r="P408" t="s">
        <v>11</v>
      </c>
      <c r="Q408" t="s">
        <v>12</v>
      </c>
      <c r="R408" t="s">
        <v>13</v>
      </c>
      <c r="S408" s="3">
        <v>3</v>
      </c>
      <c r="T408" t="s">
        <v>14</v>
      </c>
      <c r="U408" s="3">
        <v>258</v>
      </c>
      <c r="V408" t="s">
        <v>15</v>
      </c>
      <c r="W408" t="s">
        <v>16</v>
      </c>
      <c r="X408" t="s">
        <v>11</v>
      </c>
      <c r="Y408" t="s">
        <v>8</v>
      </c>
      <c r="Z408" t="s">
        <v>17</v>
      </c>
      <c r="AA408" t="s">
        <v>759</v>
      </c>
      <c r="AB408" t="s">
        <v>11</v>
      </c>
      <c r="AC408" t="s">
        <v>11</v>
      </c>
      <c r="AD408" t="s">
        <v>11</v>
      </c>
      <c r="AE408" s="2">
        <v>45848</v>
      </c>
      <c r="AF408" s="2"/>
      <c r="AG408" t="s">
        <v>11</v>
      </c>
      <c r="AH408" s="14">
        <f>VLOOKUP(M408,'[1]INDIAN ENTERPRISES'!$D:$D,1,0)</f>
        <v>256779415369</v>
      </c>
      <c r="AJ408" s="15">
        <f>VLOOKUP(M408,'[1]INDIAN ENTERPRISES'!$D:$L,9,0)</f>
        <v>45991</v>
      </c>
    </row>
    <row r="409" spans="1:36" hidden="1" outlineLevel="2" x14ac:dyDescent="0.25">
      <c r="A409" t="s">
        <v>20</v>
      </c>
      <c r="B409" t="s">
        <v>1</v>
      </c>
      <c r="C409" t="s">
        <v>2</v>
      </c>
      <c r="D409" t="s">
        <v>3</v>
      </c>
      <c r="E409" t="s">
        <v>4</v>
      </c>
      <c r="F409" t="s">
        <v>128</v>
      </c>
      <c r="G409" s="2">
        <v>45848</v>
      </c>
      <c r="H409" t="s">
        <v>760</v>
      </c>
      <c r="I409" t="s">
        <v>7</v>
      </c>
      <c r="J409" s="2">
        <v>45848</v>
      </c>
      <c r="K409" s="2">
        <v>45854</v>
      </c>
      <c r="L409" t="s">
        <v>8</v>
      </c>
      <c r="M409" s="14">
        <v>256779415370</v>
      </c>
      <c r="N409" t="s">
        <v>9</v>
      </c>
      <c r="O409" t="s">
        <v>10</v>
      </c>
      <c r="P409" t="s">
        <v>11</v>
      </c>
      <c r="Q409" t="s">
        <v>12</v>
      </c>
      <c r="R409" t="s">
        <v>13</v>
      </c>
      <c r="S409" s="3">
        <v>72</v>
      </c>
      <c r="T409" t="s">
        <v>14</v>
      </c>
      <c r="U409" s="3">
        <v>6192.05</v>
      </c>
      <c r="V409" t="s">
        <v>15</v>
      </c>
      <c r="W409" t="s">
        <v>16</v>
      </c>
      <c r="X409" t="s">
        <v>11</v>
      </c>
      <c r="Y409" t="s">
        <v>8</v>
      </c>
      <c r="Z409" t="s">
        <v>17</v>
      </c>
      <c r="AA409" t="s">
        <v>761</v>
      </c>
      <c r="AB409" t="s">
        <v>11</v>
      </c>
      <c r="AC409" t="s">
        <v>11</v>
      </c>
      <c r="AD409" t="s">
        <v>11</v>
      </c>
      <c r="AE409" s="2">
        <v>45848</v>
      </c>
      <c r="AF409" s="2"/>
      <c r="AG409" t="s">
        <v>11</v>
      </c>
      <c r="AH409" s="14">
        <f>VLOOKUP(M409,'[1]INDIAN ENTERPRISES'!$D:$D,1,0)</f>
        <v>256779415370</v>
      </c>
      <c r="AJ409" s="15">
        <f>VLOOKUP(M409,'[1]INDIAN ENTERPRISES'!$D:$L,9,0)</f>
        <v>45991</v>
      </c>
    </row>
    <row r="410" spans="1:36" hidden="1" outlineLevel="2" x14ac:dyDescent="0.25">
      <c r="A410" t="s">
        <v>20</v>
      </c>
      <c r="B410" t="s">
        <v>1</v>
      </c>
      <c r="C410" t="s">
        <v>2</v>
      </c>
      <c r="D410" t="s">
        <v>3</v>
      </c>
      <c r="E410" t="s">
        <v>4</v>
      </c>
      <c r="F410" t="s">
        <v>128</v>
      </c>
      <c r="G410" s="2">
        <v>45848</v>
      </c>
      <c r="H410" t="s">
        <v>762</v>
      </c>
      <c r="I410" t="s">
        <v>7</v>
      </c>
      <c r="J410" s="2">
        <v>45848</v>
      </c>
      <c r="K410" s="2">
        <v>45854</v>
      </c>
      <c r="L410" t="s">
        <v>8</v>
      </c>
      <c r="M410" s="14">
        <v>256779415371</v>
      </c>
      <c r="N410" t="s">
        <v>9</v>
      </c>
      <c r="O410" t="s">
        <v>10</v>
      </c>
      <c r="P410" t="s">
        <v>11</v>
      </c>
      <c r="Q410" t="s">
        <v>12</v>
      </c>
      <c r="R410" t="s">
        <v>13</v>
      </c>
      <c r="S410" s="3">
        <v>43.32</v>
      </c>
      <c r="T410" t="s">
        <v>14</v>
      </c>
      <c r="U410" s="3">
        <v>3725.55</v>
      </c>
      <c r="V410" t="s">
        <v>15</v>
      </c>
      <c r="W410" t="s">
        <v>16</v>
      </c>
      <c r="X410" t="s">
        <v>11</v>
      </c>
      <c r="Y410" t="s">
        <v>8</v>
      </c>
      <c r="Z410" t="s">
        <v>17</v>
      </c>
      <c r="AA410" t="s">
        <v>763</v>
      </c>
      <c r="AB410" t="s">
        <v>11</v>
      </c>
      <c r="AC410" t="s">
        <v>11</v>
      </c>
      <c r="AD410" t="s">
        <v>11</v>
      </c>
      <c r="AE410" s="2">
        <v>45848</v>
      </c>
      <c r="AF410" s="2"/>
      <c r="AG410" t="s">
        <v>11</v>
      </c>
      <c r="AH410" s="14">
        <f>VLOOKUP(M410,'[1]INDIAN ENTERPRISES'!$D:$D,1,0)</f>
        <v>256779415371</v>
      </c>
      <c r="AJ410" s="15">
        <f>VLOOKUP(M410,'[1]INDIAN ENTERPRISES'!$D:$L,9,0)</f>
        <v>45991</v>
      </c>
    </row>
    <row r="411" spans="1:36" hidden="1" outlineLevel="2" x14ac:dyDescent="0.25">
      <c r="A411" t="s">
        <v>20</v>
      </c>
      <c r="B411" t="s">
        <v>1</v>
      </c>
      <c r="C411" t="s">
        <v>2</v>
      </c>
      <c r="D411" t="s">
        <v>3</v>
      </c>
      <c r="E411" t="s">
        <v>4</v>
      </c>
      <c r="F411" t="s">
        <v>128</v>
      </c>
      <c r="G411" s="2">
        <v>45848</v>
      </c>
      <c r="H411" t="s">
        <v>764</v>
      </c>
      <c r="I411" t="s">
        <v>7</v>
      </c>
      <c r="J411" s="2">
        <v>45848</v>
      </c>
      <c r="K411" s="2">
        <v>45854</v>
      </c>
      <c r="L411" t="s">
        <v>8</v>
      </c>
      <c r="M411" s="14">
        <v>256779415372</v>
      </c>
      <c r="N411" t="s">
        <v>9</v>
      </c>
      <c r="O411" t="s">
        <v>10</v>
      </c>
      <c r="P411" t="s">
        <v>11</v>
      </c>
      <c r="Q411" t="s">
        <v>12</v>
      </c>
      <c r="R411" t="s">
        <v>13</v>
      </c>
      <c r="S411" s="3">
        <v>155.38</v>
      </c>
      <c r="T411" t="s">
        <v>14</v>
      </c>
      <c r="U411" s="3">
        <v>13362.78</v>
      </c>
      <c r="V411" t="s">
        <v>15</v>
      </c>
      <c r="W411" t="s">
        <v>16</v>
      </c>
      <c r="X411" t="s">
        <v>11</v>
      </c>
      <c r="Y411" t="s">
        <v>8</v>
      </c>
      <c r="Z411" t="s">
        <v>17</v>
      </c>
      <c r="AA411" t="s">
        <v>765</v>
      </c>
      <c r="AB411" t="s">
        <v>11</v>
      </c>
      <c r="AC411" t="s">
        <v>11</v>
      </c>
      <c r="AD411" t="s">
        <v>11</v>
      </c>
      <c r="AE411" s="2">
        <v>45848</v>
      </c>
      <c r="AF411" s="2"/>
      <c r="AG411" t="s">
        <v>11</v>
      </c>
      <c r="AH411" s="14">
        <f>VLOOKUP(M411,'[1]INDIAN ENTERPRISES'!$D:$D,1,0)</f>
        <v>256779415372</v>
      </c>
      <c r="AJ411" s="15">
        <f>VLOOKUP(M411,'[1]INDIAN ENTERPRISES'!$D:$L,9,0)</f>
        <v>45991</v>
      </c>
    </row>
    <row r="412" spans="1:36" hidden="1" outlineLevel="2" x14ac:dyDescent="0.25">
      <c r="A412" t="s">
        <v>20</v>
      </c>
      <c r="B412" t="s">
        <v>1</v>
      </c>
      <c r="C412" t="s">
        <v>2</v>
      </c>
      <c r="D412" t="s">
        <v>3</v>
      </c>
      <c r="E412" t="s">
        <v>4</v>
      </c>
      <c r="F412" t="s">
        <v>128</v>
      </c>
      <c r="G412" s="2">
        <v>45848</v>
      </c>
      <c r="H412" t="s">
        <v>766</v>
      </c>
      <c r="I412" t="s">
        <v>7</v>
      </c>
      <c r="J412" s="2">
        <v>45848</v>
      </c>
      <c r="K412" s="2">
        <v>45854</v>
      </c>
      <c r="L412" t="s">
        <v>8</v>
      </c>
      <c r="M412" s="14">
        <v>256779415373</v>
      </c>
      <c r="N412" t="s">
        <v>9</v>
      </c>
      <c r="O412" t="s">
        <v>10</v>
      </c>
      <c r="P412" t="s">
        <v>11</v>
      </c>
      <c r="Q412" t="s">
        <v>12</v>
      </c>
      <c r="R412" t="s">
        <v>13</v>
      </c>
      <c r="S412" s="3">
        <v>2.63</v>
      </c>
      <c r="T412" t="s">
        <v>14</v>
      </c>
      <c r="U412" s="3">
        <v>226.18</v>
      </c>
      <c r="V412" t="s">
        <v>15</v>
      </c>
      <c r="W412" t="s">
        <v>16</v>
      </c>
      <c r="X412" t="s">
        <v>11</v>
      </c>
      <c r="Y412" t="s">
        <v>8</v>
      </c>
      <c r="Z412" t="s">
        <v>17</v>
      </c>
      <c r="AA412" t="s">
        <v>767</v>
      </c>
      <c r="AB412" t="s">
        <v>11</v>
      </c>
      <c r="AC412" t="s">
        <v>11</v>
      </c>
      <c r="AD412" t="s">
        <v>11</v>
      </c>
      <c r="AE412" s="2">
        <v>45848</v>
      </c>
      <c r="AF412" s="2"/>
      <c r="AG412" t="s">
        <v>11</v>
      </c>
      <c r="AH412" s="14">
        <f>VLOOKUP(M412,'[1]INDIAN ENTERPRISES'!$D:$D,1,0)</f>
        <v>256779415373</v>
      </c>
      <c r="AJ412" s="15">
        <f>VLOOKUP(M412,'[1]INDIAN ENTERPRISES'!$D:$L,9,0)</f>
        <v>45991</v>
      </c>
    </row>
    <row r="413" spans="1:36" hidden="1" outlineLevel="2" x14ac:dyDescent="0.25">
      <c r="A413" t="s">
        <v>20</v>
      </c>
      <c r="B413" t="s">
        <v>1</v>
      </c>
      <c r="C413" t="s">
        <v>2</v>
      </c>
      <c r="D413" t="s">
        <v>3</v>
      </c>
      <c r="E413" t="s">
        <v>4</v>
      </c>
      <c r="F413" t="s">
        <v>128</v>
      </c>
      <c r="G413" s="2">
        <v>45848</v>
      </c>
      <c r="H413" t="s">
        <v>768</v>
      </c>
      <c r="I413" t="s">
        <v>7</v>
      </c>
      <c r="J413" s="2">
        <v>45848</v>
      </c>
      <c r="K413" s="2">
        <v>45854</v>
      </c>
      <c r="L413" t="s">
        <v>8</v>
      </c>
      <c r="M413" s="14">
        <v>256779415374</v>
      </c>
      <c r="N413" t="s">
        <v>9</v>
      </c>
      <c r="O413" t="s">
        <v>10</v>
      </c>
      <c r="P413" t="s">
        <v>11</v>
      </c>
      <c r="Q413" t="s">
        <v>12</v>
      </c>
      <c r="R413" t="s">
        <v>13</v>
      </c>
      <c r="S413" s="3">
        <v>469.38</v>
      </c>
      <c r="T413" t="s">
        <v>14</v>
      </c>
      <c r="U413" s="3">
        <v>40366.99</v>
      </c>
      <c r="V413" t="s">
        <v>15</v>
      </c>
      <c r="W413" t="s">
        <v>16</v>
      </c>
      <c r="X413" t="s">
        <v>11</v>
      </c>
      <c r="Y413" t="s">
        <v>8</v>
      </c>
      <c r="Z413" t="s">
        <v>17</v>
      </c>
      <c r="AA413" t="s">
        <v>114</v>
      </c>
      <c r="AB413" t="s">
        <v>11</v>
      </c>
      <c r="AC413" t="s">
        <v>11</v>
      </c>
      <c r="AD413" t="s">
        <v>11</v>
      </c>
      <c r="AE413" s="2">
        <v>45848</v>
      </c>
      <c r="AF413" s="2"/>
      <c r="AG413" t="s">
        <v>11</v>
      </c>
      <c r="AH413" s="14">
        <f>VLOOKUP(M413,'[1]INDIAN ENTERPRISES'!$D:$D,1,0)</f>
        <v>256779415374</v>
      </c>
      <c r="AJ413" s="15">
        <f>VLOOKUP(M413,'[1]INDIAN ENTERPRISES'!$D:$L,9,0)</f>
        <v>46053</v>
      </c>
    </row>
    <row r="414" spans="1:36" hidden="1" outlineLevel="2" x14ac:dyDescent="0.25">
      <c r="A414" t="s">
        <v>20</v>
      </c>
      <c r="B414" t="s">
        <v>1</v>
      </c>
      <c r="C414" t="s">
        <v>2</v>
      </c>
      <c r="D414" t="s">
        <v>3</v>
      </c>
      <c r="E414" t="s">
        <v>4</v>
      </c>
      <c r="F414" t="s">
        <v>128</v>
      </c>
      <c r="G414" s="2">
        <v>45848</v>
      </c>
      <c r="H414" t="s">
        <v>769</v>
      </c>
      <c r="I414" t="s">
        <v>7</v>
      </c>
      <c r="J414" s="2">
        <v>45848</v>
      </c>
      <c r="K414" s="2">
        <v>45854</v>
      </c>
      <c r="L414" t="s">
        <v>8</v>
      </c>
      <c r="M414" s="14">
        <v>256779415375</v>
      </c>
      <c r="N414" t="s">
        <v>9</v>
      </c>
      <c r="O414" t="s">
        <v>10</v>
      </c>
      <c r="P414" t="s">
        <v>11</v>
      </c>
      <c r="Q414" t="s">
        <v>12</v>
      </c>
      <c r="R414" t="s">
        <v>13</v>
      </c>
      <c r="S414" s="3">
        <v>360</v>
      </c>
      <c r="T414" t="s">
        <v>14</v>
      </c>
      <c r="U414" s="3">
        <v>30960.240000000002</v>
      </c>
      <c r="V414" t="s">
        <v>15</v>
      </c>
      <c r="W414" t="s">
        <v>16</v>
      </c>
      <c r="X414" t="s">
        <v>11</v>
      </c>
      <c r="Y414" t="s">
        <v>8</v>
      </c>
      <c r="Z414" t="s">
        <v>17</v>
      </c>
      <c r="AA414" t="s">
        <v>116</v>
      </c>
      <c r="AB414" t="s">
        <v>11</v>
      </c>
      <c r="AC414" t="s">
        <v>11</v>
      </c>
      <c r="AD414" t="s">
        <v>11</v>
      </c>
      <c r="AE414" s="2">
        <v>45848</v>
      </c>
      <c r="AF414" s="2"/>
      <c r="AG414" t="s">
        <v>11</v>
      </c>
      <c r="AH414" s="14">
        <f>VLOOKUP(M414,'[1]INDIAN ENTERPRISES'!$D:$D,1,0)</f>
        <v>256779415375</v>
      </c>
      <c r="AJ414" s="15">
        <f>VLOOKUP(M414,'[1]INDIAN ENTERPRISES'!$D:$L,9,0)</f>
        <v>45991</v>
      </c>
    </row>
    <row r="415" spans="1:36" hidden="1" outlineLevel="2" x14ac:dyDescent="0.25">
      <c r="A415" t="s">
        <v>20</v>
      </c>
      <c r="B415" t="s">
        <v>1</v>
      </c>
      <c r="C415" t="s">
        <v>2</v>
      </c>
      <c r="D415" t="s">
        <v>3</v>
      </c>
      <c r="E415" t="s">
        <v>4</v>
      </c>
      <c r="F415" t="s">
        <v>128</v>
      </c>
      <c r="G415" s="2">
        <v>45848</v>
      </c>
      <c r="H415" t="s">
        <v>770</v>
      </c>
      <c r="I415" t="s">
        <v>7</v>
      </c>
      <c r="J415" s="2">
        <v>45848</v>
      </c>
      <c r="K415" s="2">
        <v>45854</v>
      </c>
      <c r="L415" t="s">
        <v>8</v>
      </c>
      <c r="M415" s="14">
        <v>256779415376</v>
      </c>
      <c r="N415" t="s">
        <v>9</v>
      </c>
      <c r="O415" t="s">
        <v>10</v>
      </c>
      <c r="P415" t="s">
        <v>11</v>
      </c>
      <c r="Q415" t="s">
        <v>12</v>
      </c>
      <c r="R415" t="s">
        <v>13</v>
      </c>
      <c r="S415" s="3">
        <v>60</v>
      </c>
      <c r="T415" t="s">
        <v>14</v>
      </c>
      <c r="U415" s="3">
        <v>5160.04</v>
      </c>
      <c r="V415" t="s">
        <v>15</v>
      </c>
      <c r="W415" t="s">
        <v>16</v>
      </c>
      <c r="X415" t="s">
        <v>11</v>
      </c>
      <c r="Y415" t="s">
        <v>8</v>
      </c>
      <c r="Z415" t="s">
        <v>17</v>
      </c>
      <c r="AA415" t="s">
        <v>118</v>
      </c>
      <c r="AB415" t="s">
        <v>11</v>
      </c>
      <c r="AC415" t="s">
        <v>11</v>
      </c>
      <c r="AD415" t="s">
        <v>11</v>
      </c>
      <c r="AE415" s="2">
        <v>45848</v>
      </c>
      <c r="AF415" s="2"/>
      <c r="AG415" t="s">
        <v>11</v>
      </c>
      <c r="AH415" s="14">
        <f>VLOOKUP(M415,'[1]INDIAN ENTERPRISES'!$D:$D,1,0)</f>
        <v>256779415376</v>
      </c>
      <c r="AJ415" s="15">
        <f>VLOOKUP(M415,'[1]INDIAN ENTERPRISES'!$D:$L,9,0)</f>
        <v>45991</v>
      </c>
    </row>
    <row r="416" spans="1:36" hidden="1" outlineLevel="2" x14ac:dyDescent="0.25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128</v>
      </c>
      <c r="G416" s="2">
        <v>45848</v>
      </c>
      <c r="H416" t="s">
        <v>771</v>
      </c>
      <c r="I416" t="s">
        <v>98</v>
      </c>
      <c r="J416" s="2">
        <v>45848</v>
      </c>
      <c r="K416" s="2">
        <v>45854</v>
      </c>
      <c r="L416" t="s">
        <v>8</v>
      </c>
      <c r="M416" s="14">
        <v>256779421222</v>
      </c>
      <c r="N416" t="s">
        <v>9</v>
      </c>
      <c r="O416" t="s">
        <v>10</v>
      </c>
      <c r="P416" t="s">
        <v>11</v>
      </c>
      <c r="Q416" t="s">
        <v>42</v>
      </c>
      <c r="R416" t="s">
        <v>13</v>
      </c>
      <c r="S416" s="3">
        <v>-295</v>
      </c>
      <c r="T416" t="s">
        <v>14</v>
      </c>
      <c r="U416" s="3">
        <v>-25370.2</v>
      </c>
      <c r="V416" t="s">
        <v>37</v>
      </c>
      <c r="W416" t="s">
        <v>16</v>
      </c>
      <c r="X416" t="s">
        <v>11</v>
      </c>
      <c r="Y416" t="s">
        <v>8</v>
      </c>
      <c r="Z416" t="s">
        <v>17</v>
      </c>
      <c r="AA416" t="s">
        <v>772</v>
      </c>
      <c r="AB416" t="s">
        <v>11</v>
      </c>
      <c r="AC416" t="s">
        <v>11</v>
      </c>
      <c r="AD416" t="s">
        <v>11</v>
      </c>
      <c r="AE416" s="2">
        <v>45848</v>
      </c>
      <c r="AF416" s="2">
        <v>45974</v>
      </c>
      <c r="AG416" t="s">
        <v>39</v>
      </c>
      <c r="AH416" s="14" t="e">
        <f>VLOOKUP(M416,'[1]INDIAN ENTERPRISES'!$D:$D,1,0)</f>
        <v>#N/A</v>
      </c>
      <c r="AI416" t="str">
        <f>VLOOKUP(M416,'[2]CN Not in Customer books'!$D:$J,7,0)</f>
        <v>CN not received</v>
      </c>
      <c r="AJ416" s="15" t="e">
        <f>VLOOKUP(M416,'[1]INDIAN ENTERPRISES'!$D:$L,9,0)</f>
        <v>#N/A</v>
      </c>
    </row>
    <row r="417" spans="1:36" hidden="1" outlineLevel="2" x14ac:dyDescent="0.25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128</v>
      </c>
      <c r="G417" s="2">
        <v>45848</v>
      </c>
      <c r="H417" t="s">
        <v>773</v>
      </c>
      <c r="I417" t="s">
        <v>98</v>
      </c>
      <c r="J417" s="2">
        <v>45848</v>
      </c>
      <c r="K417" s="2">
        <v>45854</v>
      </c>
      <c r="L417" t="s">
        <v>8</v>
      </c>
      <c r="M417" s="14">
        <v>256779421223</v>
      </c>
      <c r="N417" t="s">
        <v>9</v>
      </c>
      <c r="O417" t="s">
        <v>10</v>
      </c>
      <c r="P417" t="s">
        <v>11</v>
      </c>
      <c r="Q417" t="s">
        <v>42</v>
      </c>
      <c r="R417" t="s">
        <v>13</v>
      </c>
      <c r="S417" s="3">
        <v>-28.32</v>
      </c>
      <c r="T417" t="s">
        <v>14</v>
      </c>
      <c r="U417" s="3">
        <v>-2435.54</v>
      </c>
      <c r="V417" t="s">
        <v>37</v>
      </c>
      <c r="W417" t="s">
        <v>16</v>
      </c>
      <c r="X417" t="s">
        <v>11</v>
      </c>
      <c r="Y417" t="s">
        <v>8</v>
      </c>
      <c r="Z417" t="s">
        <v>17</v>
      </c>
      <c r="AA417" t="s">
        <v>774</v>
      </c>
      <c r="AB417" t="s">
        <v>11</v>
      </c>
      <c r="AC417" t="s">
        <v>11</v>
      </c>
      <c r="AD417" t="s">
        <v>11</v>
      </c>
      <c r="AE417" s="2">
        <v>45848</v>
      </c>
      <c r="AF417" s="2">
        <v>45974</v>
      </c>
      <c r="AG417" t="s">
        <v>39</v>
      </c>
      <c r="AH417" s="14" t="e">
        <f>VLOOKUP(M417,'[1]INDIAN ENTERPRISES'!$D:$D,1,0)</f>
        <v>#N/A</v>
      </c>
      <c r="AI417" t="str">
        <f>VLOOKUP(M417,'[2]CN Not in Customer books'!$D:$J,7,0)</f>
        <v>Invoice &amp; CN both not received &amp; booked</v>
      </c>
      <c r="AJ417" s="15" t="e">
        <f>VLOOKUP(M417,'[1]INDIAN ENTERPRISES'!$D:$L,9,0)</f>
        <v>#N/A</v>
      </c>
    </row>
    <row r="418" spans="1:36" hidden="1" outlineLevel="2" x14ac:dyDescent="0.25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128</v>
      </c>
      <c r="G418" s="2">
        <v>45848</v>
      </c>
      <c r="H418" t="s">
        <v>775</v>
      </c>
      <c r="I418" t="s">
        <v>98</v>
      </c>
      <c r="J418" s="2">
        <v>45848</v>
      </c>
      <c r="K418" s="2">
        <v>45854</v>
      </c>
      <c r="L418" t="s">
        <v>8</v>
      </c>
      <c r="M418" s="14">
        <v>256779421224</v>
      </c>
      <c r="N418" t="s">
        <v>9</v>
      </c>
      <c r="O418" t="s">
        <v>10</v>
      </c>
      <c r="P418" t="s">
        <v>11</v>
      </c>
      <c r="Q418" t="s">
        <v>42</v>
      </c>
      <c r="R418" t="s">
        <v>13</v>
      </c>
      <c r="S418" s="3">
        <v>-28.32</v>
      </c>
      <c r="T418" t="s">
        <v>14</v>
      </c>
      <c r="U418" s="3">
        <v>-2435.54</v>
      </c>
      <c r="V418" t="s">
        <v>37</v>
      </c>
      <c r="W418" t="s">
        <v>16</v>
      </c>
      <c r="X418" t="s">
        <v>11</v>
      </c>
      <c r="Y418" t="s">
        <v>8</v>
      </c>
      <c r="Z418" t="s">
        <v>17</v>
      </c>
      <c r="AA418" t="s">
        <v>776</v>
      </c>
      <c r="AB418" t="s">
        <v>11</v>
      </c>
      <c r="AC418" t="s">
        <v>11</v>
      </c>
      <c r="AD418" t="s">
        <v>11</v>
      </c>
      <c r="AE418" s="2">
        <v>45848</v>
      </c>
      <c r="AF418" s="2">
        <v>45974</v>
      </c>
      <c r="AG418" t="s">
        <v>39</v>
      </c>
      <c r="AH418" s="14" t="e">
        <f>VLOOKUP(M418,'[1]INDIAN ENTERPRISES'!$D:$D,1,0)</f>
        <v>#N/A</v>
      </c>
      <c r="AI418" t="str">
        <f>VLOOKUP(M418,'[2]CN Not in Customer books'!$D:$J,7,0)</f>
        <v>Invoice &amp; CN both not received &amp; booked</v>
      </c>
      <c r="AJ418" s="15" t="e">
        <f>VLOOKUP(M418,'[1]INDIAN ENTERPRISES'!$D:$L,9,0)</f>
        <v>#N/A</v>
      </c>
    </row>
    <row r="419" spans="1:36" hidden="1" outlineLevel="2" x14ac:dyDescent="0.25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128</v>
      </c>
      <c r="G419" s="2">
        <v>45848</v>
      </c>
      <c r="H419" t="s">
        <v>777</v>
      </c>
      <c r="I419" t="s">
        <v>98</v>
      </c>
      <c r="J419" s="2">
        <v>45848</v>
      </c>
      <c r="K419" s="2">
        <v>45854</v>
      </c>
      <c r="L419" t="s">
        <v>8</v>
      </c>
      <c r="M419" s="14">
        <v>256779421225</v>
      </c>
      <c r="N419" t="s">
        <v>9</v>
      </c>
      <c r="O419" t="s">
        <v>10</v>
      </c>
      <c r="P419" t="s">
        <v>11</v>
      </c>
      <c r="Q419" t="s">
        <v>42</v>
      </c>
      <c r="R419" t="s">
        <v>13</v>
      </c>
      <c r="S419" s="3">
        <v>-28.32</v>
      </c>
      <c r="T419" t="s">
        <v>14</v>
      </c>
      <c r="U419" s="3">
        <v>-2435.54</v>
      </c>
      <c r="V419" t="s">
        <v>37</v>
      </c>
      <c r="W419" t="s">
        <v>16</v>
      </c>
      <c r="X419" t="s">
        <v>11</v>
      </c>
      <c r="Y419" t="s">
        <v>8</v>
      </c>
      <c r="Z419" t="s">
        <v>17</v>
      </c>
      <c r="AA419" t="s">
        <v>778</v>
      </c>
      <c r="AB419" t="s">
        <v>11</v>
      </c>
      <c r="AC419" t="s">
        <v>11</v>
      </c>
      <c r="AD419" t="s">
        <v>11</v>
      </c>
      <c r="AE419" s="2">
        <v>45848</v>
      </c>
      <c r="AF419" s="2">
        <v>45974</v>
      </c>
      <c r="AG419" t="s">
        <v>39</v>
      </c>
      <c r="AH419" s="14" t="e">
        <f>VLOOKUP(M419,'[1]INDIAN ENTERPRISES'!$D:$D,1,0)</f>
        <v>#N/A</v>
      </c>
      <c r="AI419" t="str">
        <f>VLOOKUP(M419,'[2]CN Not in Customer books'!$D:$J,7,0)</f>
        <v>Invoice &amp; CN both not received &amp; booked</v>
      </c>
      <c r="AJ419" s="15" t="e">
        <f>VLOOKUP(M419,'[1]INDIAN ENTERPRISES'!$D:$L,9,0)</f>
        <v>#N/A</v>
      </c>
    </row>
    <row r="420" spans="1:36" hidden="1" outlineLevel="2" x14ac:dyDescent="0.25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128</v>
      </c>
      <c r="G420" s="2">
        <v>45848</v>
      </c>
      <c r="H420" t="s">
        <v>779</v>
      </c>
      <c r="I420" t="s">
        <v>98</v>
      </c>
      <c r="J420" s="2">
        <v>45848</v>
      </c>
      <c r="K420" s="2">
        <v>45854</v>
      </c>
      <c r="L420" t="s">
        <v>8</v>
      </c>
      <c r="M420" s="14">
        <v>256779421226</v>
      </c>
      <c r="N420" t="s">
        <v>9</v>
      </c>
      <c r="O420" t="s">
        <v>10</v>
      </c>
      <c r="P420" t="s">
        <v>11</v>
      </c>
      <c r="Q420" t="s">
        <v>42</v>
      </c>
      <c r="R420" t="s">
        <v>13</v>
      </c>
      <c r="S420" s="3">
        <v>-28.32</v>
      </c>
      <c r="T420" t="s">
        <v>14</v>
      </c>
      <c r="U420" s="3">
        <v>-2435.54</v>
      </c>
      <c r="V420" t="s">
        <v>37</v>
      </c>
      <c r="W420" t="s">
        <v>16</v>
      </c>
      <c r="X420" t="s">
        <v>11</v>
      </c>
      <c r="Y420" t="s">
        <v>8</v>
      </c>
      <c r="Z420" t="s">
        <v>17</v>
      </c>
      <c r="AA420" t="s">
        <v>780</v>
      </c>
      <c r="AB420" t="s">
        <v>11</v>
      </c>
      <c r="AC420" t="s">
        <v>11</v>
      </c>
      <c r="AD420" t="s">
        <v>11</v>
      </c>
      <c r="AE420" s="2">
        <v>45848</v>
      </c>
      <c r="AF420" s="2">
        <v>45974</v>
      </c>
      <c r="AG420" t="s">
        <v>39</v>
      </c>
      <c r="AH420" s="14" t="e">
        <f>VLOOKUP(M420,'[1]INDIAN ENTERPRISES'!$D:$D,1,0)</f>
        <v>#N/A</v>
      </c>
      <c r="AI420" t="str">
        <f>VLOOKUP(M420,'[2]CN Not in Customer books'!$D:$J,7,0)</f>
        <v>Invoice &amp; CN both not received &amp; booked</v>
      </c>
      <c r="AJ420" s="15" t="e">
        <f>VLOOKUP(M420,'[1]INDIAN ENTERPRISES'!$D:$L,9,0)</f>
        <v>#N/A</v>
      </c>
    </row>
    <row r="421" spans="1:36" hidden="1" outlineLevel="2" x14ac:dyDescent="0.25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128</v>
      </c>
      <c r="G421" s="2">
        <v>45848</v>
      </c>
      <c r="H421" t="s">
        <v>781</v>
      </c>
      <c r="I421" t="s">
        <v>98</v>
      </c>
      <c r="J421" s="2">
        <v>45848</v>
      </c>
      <c r="K421" s="2">
        <v>45854</v>
      </c>
      <c r="L421" t="s">
        <v>8</v>
      </c>
      <c r="M421" s="14">
        <v>256779421227</v>
      </c>
      <c r="N421" t="s">
        <v>9</v>
      </c>
      <c r="O421" t="s">
        <v>10</v>
      </c>
      <c r="P421" t="s">
        <v>11</v>
      </c>
      <c r="Q421" t="s">
        <v>42</v>
      </c>
      <c r="R421" t="s">
        <v>13</v>
      </c>
      <c r="S421" s="3">
        <v>-28.32</v>
      </c>
      <c r="T421" t="s">
        <v>14</v>
      </c>
      <c r="U421" s="3">
        <v>-2435.54</v>
      </c>
      <c r="V421" t="s">
        <v>37</v>
      </c>
      <c r="W421" t="s">
        <v>16</v>
      </c>
      <c r="X421" t="s">
        <v>11</v>
      </c>
      <c r="Y421" t="s">
        <v>8</v>
      </c>
      <c r="Z421" t="s">
        <v>17</v>
      </c>
      <c r="AA421" t="s">
        <v>782</v>
      </c>
      <c r="AB421" t="s">
        <v>11</v>
      </c>
      <c r="AC421" t="s">
        <v>11</v>
      </c>
      <c r="AD421" t="s">
        <v>11</v>
      </c>
      <c r="AE421" s="2">
        <v>45848</v>
      </c>
      <c r="AF421" s="2">
        <v>45974</v>
      </c>
      <c r="AG421" t="s">
        <v>39</v>
      </c>
      <c r="AH421" s="14" t="e">
        <f>VLOOKUP(M421,'[1]INDIAN ENTERPRISES'!$D:$D,1,0)</f>
        <v>#N/A</v>
      </c>
      <c r="AI421" t="str">
        <f>VLOOKUP(M421,'[2]CN Not in Customer books'!$D:$J,7,0)</f>
        <v>Invoice &amp; CN both not received &amp; booked</v>
      </c>
      <c r="AJ421" s="15" t="e">
        <f>VLOOKUP(M421,'[1]INDIAN ENTERPRISES'!$D:$L,9,0)</f>
        <v>#N/A</v>
      </c>
    </row>
    <row r="422" spans="1:36" hidden="1" outlineLevel="2" x14ac:dyDescent="0.25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128</v>
      </c>
      <c r="G422" s="2">
        <v>45848</v>
      </c>
      <c r="H422" t="s">
        <v>783</v>
      </c>
      <c r="I422" t="s">
        <v>98</v>
      </c>
      <c r="J422" s="2">
        <v>45848</v>
      </c>
      <c r="K422" s="2">
        <v>45854</v>
      </c>
      <c r="L422" t="s">
        <v>8</v>
      </c>
      <c r="M422" s="14">
        <v>256779421228</v>
      </c>
      <c r="N422" t="s">
        <v>9</v>
      </c>
      <c r="O422" t="s">
        <v>10</v>
      </c>
      <c r="P422" t="s">
        <v>11</v>
      </c>
      <c r="Q422" t="s">
        <v>42</v>
      </c>
      <c r="R422" t="s">
        <v>13</v>
      </c>
      <c r="S422" s="3">
        <v>-28.32</v>
      </c>
      <c r="T422" t="s">
        <v>14</v>
      </c>
      <c r="U422" s="3">
        <v>-2435.54</v>
      </c>
      <c r="V422" t="s">
        <v>37</v>
      </c>
      <c r="W422" t="s">
        <v>16</v>
      </c>
      <c r="X422" t="s">
        <v>11</v>
      </c>
      <c r="Y422" t="s">
        <v>8</v>
      </c>
      <c r="Z422" t="s">
        <v>17</v>
      </c>
      <c r="AA422" t="s">
        <v>784</v>
      </c>
      <c r="AB422" t="s">
        <v>11</v>
      </c>
      <c r="AC422" t="s">
        <v>11</v>
      </c>
      <c r="AD422" t="s">
        <v>11</v>
      </c>
      <c r="AE422" s="2">
        <v>45848</v>
      </c>
      <c r="AF422" s="2">
        <v>45974</v>
      </c>
      <c r="AG422" t="s">
        <v>39</v>
      </c>
      <c r="AH422" s="14" t="e">
        <f>VLOOKUP(M422,'[1]INDIAN ENTERPRISES'!$D:$D,1,0)</f>
        <v>#N/A</v>
      </c>
      <c r="AI422" t="str">
        <f>VLOOKUP(M422,'[2]CN Not in Customer books'!$D:$J,7,0)</f>
        <v>Invoice &amp; CN both not received &amp; booked</v>
      </c>
      <c r="AJ422" s="15" t="e">
        <f>VLOOKUP(M422,'[1]INDIAN ENTERPRISES'!$D:$L,9,0)</f>
        <v>#N/A</v>
      </c>
    </row>
    <row r="423" spans="1:36" hidden="1" outlineLevel="2" x14ac:dyDescent="0.25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128</v>
      </c>
      <c r="G423" s="2">
        <v>45848</v>
      </c>
      <c r="H423" t="s">
        <v>785</v>
      </c>
      <c r="I423" t="s">
        <v>98</v>
      </c>
      <c r="J423" s="2">
        <v>45848</v>
      </c>
      <c r="K423" s="2">
        <v>45854</v>
      </c>
      <c r="L423" t="s">
        <v>8</v>
      </c>
      <c r="M423" s="14">
        <v>256779421229</v>
      </c>
      <c r="N423" t="s">
        <v>9</v>
      </c>
      <c r="O423" t="s">
        <v>10</v>
      </c>
      <c r="P423" t="s">
        <v>11</v>
      </c>
      <c r="Q423" t="s">
        <v>42</v>
      </c>
      <c r="R423" t="s">
        <v>13</v>
      </c>
      <c r="S423" s="3">
        <v>-28.32</v>
      </c>
      <c r="T423" t="s">
        <v>14</v>
      </c>
      <c r="U423" s="3">
        <v>-2435.54</v>
      </c>
      <c r="V423" t="s">
        <v>37</v>
      </c>
      <c r="W423" t="s">
        <v>16</v>
      </c>
      <c r="X423" t="s">
        <v>11</v>
      </c>
      <c r="Y423" t="s">
        <v>8</v>
      </c>
      <c r="Z423" t="s">
        <v>17</v>
      </c>
      <c r="AA423" t="s">
        <v>786</v>
      </c>
      <c r="AB423" t="s">
        <v>11</v>
      </c>
      <c r="AC423" t="s">
        <v>11</v>
      </c>
      <c r="AD423" t="s">
        <v>11</v>
      </c>
      <c r="AE423" s="2">
        <v>45848</v>
      </c>
      <c r="AF423" s="2">
        <v>45974</v>
      </c>
      <c r="AG423" t="s">
        <v>39</v>
      </c>
      <c r="AH423" s="14" t="e">
        <f>VLOOKUP(M423,'[1]INDIAN ENTERPRISES'!$D:$D,1,0)</f>
        <v>#N/A</v>
      </c>
      <c r="AI423" t="str">
        <f>VLOOKUP(M423,'[2]CN Not in Customer books'!$D:$J,7,0)</f>
        <v>Invoice &amp; CN both not received &amp; booked</v>
      </c>
      <c r="AJ423" s="15" t="e">
        <f>VLOOKUP(M423,'[1]INDIAN ENTERPRISES'!$D:$L,9,0)</f>
        <v>#N/A</v>
      </c>
    </row>
    <row r="424" spans="1:36" hidden="1" outlineLevel="2" x14ac:dyDescent="0.25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128</v>
      </c>
      <c r="G424" s="2">
        <v>45848</v>
      </c>
      <c r="H424" t="s">
        <v>787</v>
      </c>
      <c r="I424" t="s">
        <v>98</v>
      </c>
      <c r="J424" s="2">
        <v>45848</v>
      </c>
      <c r="K424" s="2">
        <v>45854</v>
      </c>
      <c r="L424" t="s">
        <v>8</v>
      </c>
      <c r="M424" s="14">
        <v>256779421230</v>
      </c>
      <c r="N424" t="s">
        <v>9</v>
      </c>
      <c r="O424" t="s">
        <v>10</v>
      </c>
      <c r="P424" t="s">
        <v>11</v>
      </c>
      <c r="Q424" t="s">
        <v>42</v>
      </c>
      <c r="R424" t="s">
        <v>13</v>
      </c>
      <c r="S424" s="3">
        <v>-28.32</v>
      </c>
      <c r="T424" t="s">
        <v>14</v>
      </c>
      <c r="U424" s="3">
        <v>-2435.54</v>
      </c>
      <c r="V424" t="s">
        <v>37</v>
      </c>
      <c r="W424" t="s">
        <v>16</v>
      </c>
      <c r="X424" t="s">
        <v>11</v>
      </c>
      <c r="Y424" t="s">
        <v>8</v>
      </c>
      <c r="Z424" t="s">
        <v>17</v>
      </c>
      <c r="AA424" t="s">
        <v>788</v>
      </c>
      <c r="AB424" t="s">
        <v>11</v>
      </c>
      <c r="AC424" t="s">
        <v>11</v>
      </c>
      <c r="AD424" t="s">
        <v>11</v>
      </c>
      <c r="AE424" s="2">
        <v>45848</v>
      </c>
      <c r="AF424" s="2">
        <v>45974</v>
      </c>
      <c r="AG424" t="s">
        <v>39</v>
      </c>
      <c r="AH424" s="14" t="e">
        <f>VLOOKUP(M424,'[1]INDIAN ENTERPRISES'!$D:$D,1,0)</f>
        <v>#N/A</v>
      </c>
      <c r="AI424" t="str">
        <f>VLOOKUP(M424,'[2]CN Not in Customer books'!$D:$J,7,0)</f>
        <v>Invoice &amp; CN both not received &amp; booked</v>
      </c>
      <c r="AJ424" s="15" t="e">
        <f>VLOOKUP(M424,'[1]INDIAN ENTERPRISES'!$D:$L,9,0)</f>
        <v>#N/A</v>
      </c>
    </row>
    <row r="425" spans="1:36" hidden="1" outlineLevel="2" x14ac:dyDescent="0.25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128</v>
      </c>
      <c r="G425" s="2">
        <v>45848</v>
      </c>
      <c r="H425" t="s">
        <v>789</v>
      </c>
      <c r="I425" t="s">
        <v>98</v>
      </c>
      <c r="J425" s="2">
        <v>45848</v>
      </c>
      <c r="K425" s="2">
        <v>45854</v>
      </c>
      <c r="L425" t="s">
        <v>8</v>
      </c>
      <c r="M425" s="14">
        <v>256779421231</v>
      </c>
      <c r="N425" t="s">
        <v>9</v>
      </c>
      <c r="O425" t="s">
        <v>10</v>
      </c>
      <c r="P425" t="s">
        <v>11</v>
      </c>
      <c r="Q425" t="s">
        <v>42</v>
      </c>
      <c r="R425" t="s">
        <v>13</v>
      </c>
      <c r="S425" s="3">
        <v>-28.32</v>
      </c>
      <c r="T425" t="s">
        <v>14</v>
      </c>
      <c r="U425" s="3">
        <v>-2435.54</v>
      </c>
      <c r="V425" t="s">
        <v>37</v>
      </c>
      <c r="W425" t="s">
        <v>16</v>
      </c>
      <c r="X425" t="s">
        <v>11</v>
      </c>
      <c r="Y425" t="s">
        <v>8</v>
      </c>
      <c r="Z425" t="s">
        <v>17</v>
      </c>
      <c r="AA425" t="s">
        <v>790</v>
      </c>
      <c r="AB425" t="s">
        <v>11</v>
      </c>
      <c r="AC425" t="s">
        <v>11</v>
      </c>
      <c r="AD425" t="s">
        <v>11</v>
      </c>
      <c r="AE425" s="2">
        <v>45848</v>
      </c>
      <c r="AF425" s="2">
        <v>45974</v>
      </c>
      <c r="AG425" t="s">
        <v>39</v>
      </c>
      <c r="AH425" s="14" t="e">
        <f>VLOOKUP(M425,'[1]INDIAN ENTERPRISES'!$D:$D,1,0)</f>
        <v>#N/A</v>
      </c>
      <c r="AI425" t="str">
        <f>VLOOKUP(M425,'[2]CN Not in Customer books'!$D:$J,7,0)</f>
        <v>Invoice &amp; CN both not received &amp; booked</v>
      </c>
      <c r="AJ425" s="15" t="e">
        <f>VLOOKUP(M425,'[1]INDIAN ENTERPRISES'!$D:$L,9,0)</f>
        <v>#N/A</v>
      </c>
    </row>
    <row r="426" spans="1:36" hidden="1" outlineLevel="2" x14ac:dyDescent="0.25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128</v>
      </c>
      <c r="G426" s="2">
        <v>45848</v>
      </c>
      <c r="H426" t="s">
        <v>791</v>
      </c>
      <c r="I426" t="s">
        <v>98</v>
      </c>
      <c r="J426" s="2">
        <v>45848</v>
      </c>
      <c r="K426" s="2">
        <v>45854</v>
      </c>
      <c r="L426" t="s">
        <v>8</v>
      </c>
      <c r="M426" s="14">
        <v>256779421232</v>
      </c>
      <c r="N426" t="s">
        <v>9</v>
      </c>
      <c r="O426" t="s">
        <v>10</v>
      </c>
      <c r="P426" t="s">
        <v>11</v>
      </c>
      <c r="Q426" t="s">
        <v>42</v>
      </c>
      <c r="R426" t="s">
        <v>13</v>
      </c>
      <c r="S426" s="3">
        <v>-28.32</v>
      </c>
      <c r="T426" t="s">
        <v>14</v>
      </c>
      <c r="U426" s="3">
        <v>-2435.54</v>
      </c>
      <c r="V426" t="s">
        <v>37</v>
      </c>
      <c r="W426" t="s">
        <v>16</v>
      </c>
      <c r="X426" t="s">
        <v>11</v>
      </c>
      <c r="Y426" t="s">
        <v>8</v>
      </c>
      <c r="Z426" t="s">
        <v>17</v>
      </c>
      <c r="AA426" t="s">
        <v>792</v>
      </c>
      <c r="AB426" t="s">
        <v>11</v>
      </c>
      <c r="AC426" t="s">
        <v>11</v>
      </c>
      <c r="AD426" t="s">
        <v>11</v>
      </c>
      <c r="AE426" s="2">
        <v>45848</v>
      </c>
      <c r="AF426" s="2">
        <v>45974</v>
      </c>
      <c r="AG426" t="s">
        <v>39</v>
      </c>
      <c r="AH426" s="14" t="e">
        <f>VLOOKUP(M426,'[1]INDIAN ENTERPRISES'!$D:$D,1,0)</f>
        <v>#N/A</v>
      </c>
      <c r="AI426" t="str">
        <f>VLOOKUP(M426,'[2]CN Not in Customer books'!$D:$J,7,0)</f>
        <v>Invoice &amp; CN both not received &amp; booked</v>
      </c>
      <c r="AJ426" s="15" t="e">
        <f>VLOOKUP(M426,'[1]INDIAN ENTERPRISES'!$D:$L,9,0)</f>
        <v>#N/A</v>
      </c>
    </row>
    <row r="427" spans="1:36" hidden="1" outlineLevel="2" x14ac:dyDescent="0.25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128</v>
      </c>
      <c r="G427" s="2">
        <v>45848</v>
      </c>
      <c r="H427" t="s">
        <v>793</v>
      </c>
      <c r="I427" t="s">
        <v>98</v>
      </c>
      <c r="J427" s="2">
        <v>45848</v>
      </c>
      <c r="K427" s="2">
        <v>45854</v>
      </c>
      <c r="L427" t="s">
        <v>8</v>
      </c>
      <c r="M427" s="14">
        <v>256779421233</v>
      </c>
      <c r="N427" t="s">
        <v>9</v>
      </c>
      <c r="O427" t="s">
        <v>10</v>
      </c>
      <c r="P427" t="s">
        <v>11</v>
      </c>
      <c r="Q427" t="s">
        <v>42</v>
      </c>
      <c r="R427" t="s">
        <v>13</v>
      </c>
      <c r="S427" s="3">
        <v>-28.32</v>
      </c>
      <c r="T427" t="s">
        <v>14</v>
      </c>
      <c r="U427" s="3">
        <v>-2435.54</v>
      </c>
      <c r="V427" t="s">
        <v>37</v>
      </c>
      <c r="W427" t="s">
        <v>16</v>
      </c>
      <c r="X427" t="s">
        <v>11</v>
      </c>
      <c r="Y427" t="s">
        <v>8</v>
      </c>
      <c r="Z427" t="s">
        <v>17</v>
      </c>
      <c r="AA427" t="s">
        <v>794</v>
      </c>
      <c r="AB427" t="s">
        <v>11</v>
      </c>
      <c r="AC427" t="s">
        <v>11</v>
      </c>
      <c r="AD427" t="s">
        <v>11</v>
      </c>
      <c r="AE427" s="2">
        <v>45848</v>
      </c>
      <c r="AF427" s="2">
        <v>45974</v>
      </c>
      <c r="AG427" t="s">
        <v>39</v>
      </c>
      <c r="AH427" s="14" t="e">
        <f>VLOOKUP(M427,'[1]INDIAN ENTERPRISES'!$D:$D,1,0)</f>
        <v>#N/A</v>
      </c>
      <c r="AI427" t="str">
        <f>VLOOKUP(M427,'[2]CN Not in Customer books'!$D:$J,7,0)</f>
        <v>Invoice &amp; CN both not received &amp; booked</v>
      </c>
      <c r="AJ427" s="15" t="e">
        <f>VLOOKUP(M427,'[1]INDIAN ENTERPRISES'!$D:$L,9,0)</f>
        <v>#N/A</v>
      </c>
    </row>
    <row r="428" spans="1:36" hidden="1" outlineLevel="2" x14ac:dyDescent="0.25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128</v>
      </c>
      <c r="G428" s="2">
        <v>45848</v>
      </c>
      <c r="H428" t="s">
        <v>795</v>
      </c>
      <c r="I428" t="s">
        <v>98</v>
      </c>
      <c r="J428" s="2">
        <v>45848</v>
      </c>
      <c r="K428" s="2">
        <v>45854</v>
      </c>
      <c r="L428" t="s">
        <v>8</v>
      </c>
      <c r="M428" s="14">
        <v>256779421234</v>
      </c>
      <c r="N428" t="s">
        <v>9</v>
      </c>
      <c r="O428" t="s">
        <v>10</v>
      </c>
      <c r="P428" t="s">
        <v>11</v>
      </c>
      <c r="Q428" t="s">
        <v>42</v>
      </c>
      <c r="R428" t="s">
        <v>13</v>
      </c>
      <c r="S428" s="3">
        <v>-35.4</v>
      </c>
      <c r="T428" t="s">
        <v>14</v>
      </c>
      <c r="U428" s="3">
        <v>-3044.42</v>
      </c>
      <c r="V428" t="s">
        <v>37</v>
      </c>
      <c r="W428" t="s">
        <v>16</v>
      </c>
      <c r="X428" t="s">
        <v>11</v>
      </c>
      <c r="Y428" t="s">
        <v>8</v>
      </c>
      <c r="Z428" t="s">
        <v>17</v>
      </c>
      <c r="AA428" t="s">
        <v>796</v>
      </c>
      <c r="AB428" t="s">
        <v>11</v>
      </c>
      <c r="AC428" t="s">
        <v>11</v>
      </c>
      <c r="AD428" t="s">
        <v>11</v>
      </c>
      <c r="AE428" s="2">
        <v>45848</v>
      </c>
      <c r="AF428" s="2">
        <v>45974</v>
      </c>
      <c r="AG428" t="s">
        <v>39</v>
      </c>
      <c r="AH428" s="14" t="e">
        <f>VLOOKUP(M428,'[1]INDIAN ENTERPRISES'!$D:$D,1,0)</f>
        <v>#N/A</v>
      </c>
      <c r="AI428" t="str">
        <f>VLOOKUP(M428,'[2]CN Not in Customer books'!$D:$J,7,0)</f>
        <v>Invoice &amp; CN both not received &amp; booked</v>
      </c>
      <c r="AJ428" s="15" t="e">
        <f>VLOOKUP(M428,'[1]INDIAN ENTERPRISES'!$D:$L,9,0)</f>
        <v>#N/A</v>
      </c>
    </row>
    <row r="429" spans="1:36" hidden="1" outlineLevel="2" x14ac:dyDescent="0.25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128</v>
      </c>
      <c r="G429" s="2">
        <v>45848</v>
      </c>
      <c r="H429" t="s">
        <v>797</v>
      </c>
      <c r="I429" t="s">
        <v>98</v>
      </c>
      <c r="J429" s="2">
        <v>45848</v>
      </c>
      <c r="K429" s="2">
        <v>45854</v>
      </c>
      <c r="L429" t="s">
        <v>8</v>
      </c>
      <c r="M429" s="14">
        <v>256779421235</v>
      </c>
      <c r="N429" t="s">
        <v>9</v>
      </c>
      <c r="O429" t="s">
        <v>10</v>
      </c>
      <c r="P429" t="s">
        <v>11</v>
      </c>
      <c r="Q429" t="s">
        <v>42</v>
      </c>
      <c r="R429" t="s">
        <v>13</v>
      </c>
      <c r="S429" s="3">
        <v>-35.4</v>
      </c>
      <c r="T429" t="s">
        <v>14</v>
      </c>
      <c r="U429" s="3">
        <v>-3044.42</v>
      </c>
      <c r="V429" t="s">
        <v>37</v>
      </c>
      <c r="W429" t="s">
        <v>16</v>
      </c>
      <c r="X429" t="s">
        <v>11</v>
      </c>
      <c r="Y429" t="s">
        <v>8</v>
      </c>
      <c r="Z429" t="s">
        <v>17</v>
      </c>
      <c r="AA429" t="s">
        <v>798</v>
      </c>
      <c r="AB429" t="s">
        <v>11</v>
      </c>
      <c r="AC429" t="s">
        <v>11</v>
      </c>
      <c r="AD429" t="s">
        <v>11</v>
      </c>
      <c r="AE429" s="2">
        <v>45848</v>
      </c>
      <c r="AF429" s="2">
        <v>45974</v>
      </c>
      <c r="AG429" t="s">
        <v>39</v>
      </c>
      <c r="AH429" s="14" t="e">
        <f>VLOOKUP(M429,'[1]INDIAN ENTERPRISES'!$D:$D,1,0)</f>
        <v>#N/A</v>
      </c>
      <c r="AI429" t="str">
        <f>VLOOKUP(M429,'[2]CN Not in Customer books'!$D:$J,7,0)</f>
        <v>Invoice &amp; CN both not received &amp; booked</v>
      </c>
      <c r="AJ429" s="15" t="e">
        <f>VLOOKUP(M429,'[1]INDIAN ENTERPRISES'!$D:$L,9,0)</f>
        <v>#N/A</v>
      </c>
    </row>
    <row r="430" spans="1:36" hidden="1" outlineLevel="2" x14ac:dyDescent="0.25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128</v>
      </c>
      <c r="G430" s="2">
        <v>45848</v>
      </c>
      <c r="H430" t="s">
        <v>799</v>
      </c>
      <c r="I430" t="s">
        <v>98</v>
      </c>
      <c r="J430" s="2">
        <v>45848</v>
      </c>
      <c r="K430" s="2">
        <v>45854</v>
      </c>
      <c r="L430" t="s">
        <v>8</v>
      </c>
      <c r="M430" s="14">
        <v>256779421237</v>
      </c>
      <c r="N430" t="s">
        <v>9</v>
      </c>
      <c r="O430" t="s">
        <v>10</v>
      </c>
      <c r="P430" t="s">
        <v>11</v>
      </c>
      <c r="Q430" t="s">
        <v>42</v>
      </c>
      <c r="R430" t="s">
        <v>13</v>
      </c>
      <c r="S430" s="3">
        <v>-35.4</v>
      </c>
      <c r="T430" t="s">
        <v>14</v>
      </c>
      <c r="U430" s="3">
        <v>-3044.42</v>
      </c>
      <c r="V430" t="s">
        <v>37</v>
      </c>
      <c r="W430" t="s">
        <v>16</v>
      </c>
      <c r="X430" t="s">
        <v>11</v>
      </c>
      <c r="Y430" t="s">
        <v>8</v>
      </c>
      <c r="Z430" t="s">
        <v>17</v>
      </c>
      <c r="AA430" t="s">
        <v>800</v>
      </c>
      <c r="AB430" t="s">
        <v>11</v>
      </c>
      <c r="AC430" t="s">
        <v>11</v>
      </c>
      <c r="AD430" t="s">
        <v>11</v>
      </c>
      <c r="AE430" s="2">
        <v>45848</v>
      </c>
      <c r="AF430" s="2">
        <v>45974</v>
      </c>
      <c r="AG430" t="s">
        <v>39</v>
      </c>
      <c r="AH430" s="14" t="e">
        <f>VLOOKUP(M430,'[1]INDIAN ENTERPRISES'!$D:$D,1,0)</f>
        <v>#N/A</v>
      </c>
      <c r="AI430" t="str">
        <f>VLOOKUP(M430,'[2]CN Not in Customer books'!$D:$J,7,0)</f>
        <v>Invoice &amp; CN both not received &amp; booked</v>
      </c>
      <c r="AJ430" s="15" t="e">
        <f>VLOOKUP(M430,'[1]INDIAN ENTERPRISES'!$D:$L,9,0)</f>
        <v>#N/A</v>
      </c>
    </row>
    <row r="431" spans="1:36" hidden="1" outlineLevel="2" x14ac:dyDescent="0.25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128</v>
      </c>
      <c r="G431" s="2">
        <v>45848</v>
      </c>
      <c r="H431" t="s">
        <v>801</v>
      </c>
      <c r="I431" t="s">
        <v>98</v>
      </c>
      <c r="J431" s="2">
        <v>45848</v>
      </c>
      <c r="K431" s="2">
        <v>45854</v>
      </c>
      <c r="L431" t="s">
        <v>8</v>
      </c>
      <c r="M431" s="14">
        <v>256779421238</v>
      </c>
      <c r="N431" t="s">
        <v>9</v>
      </c>
      <c r="O431" t="s">
        <v>10</v>
      </c>
      <c r="P431" t="s">
        <v>11</v>
      </c>
      <c r="Q431" t="s">
        <v>42</v>
      </c>
      <c r="R431" t="s">
        <v>13</v>
      </c>
      <c r="S431" s="3">
        <v>-35.4</v>
      </c>
      <c r="T431" t="s">
        <v>14</v>
      </c>
      <c r="U431" s="3">
        <v>-3044.42</v>
      </c>
      <c r="V431" t="s">
        <v>37</v>
      </c>
      <c r="W431" t="s">
        <v>16</v>
      </c>
      <c r="X431" t="s">
        <v>11</v>
      </c>
      <c r="Y431" t="s">
        <v>8</v>
      </c>
      <c r="Z431" t="s">
        <v>17</v>
      </c>
      <c r="AA431" t="s">
        <v>802</v>
      </c>
      <c r="AB431" t="s">
        <v>11</v>
      </c>
      <c r="AC431" t="s">
        <v>11</v>
      </c>
      <c r="AD431" t="s">
        <v>11</v>
      </c>
      <c r="AE431" s="2">
        <v>45848</v>
      </c>
      <c r="AF431" s="2">
        <v>45974</v>
      </c>
      <c r="AG431" t="s">
        <v>39</v>
      </c>
      <c r="AH431" s="14" t="e">
        <f>VLOOKUP(M431,'[1]INDIAN ENTERPRISES'!$D:$D,1,0)</f>
        <v>#N/A</v>
      </c>
      <c r="AI431" t="str">
        <f>VLOOKUP(M431,'[2]CN Not in Customer books'!$D:$J,7,0)</f>
        <v>Invoice &amp; CN both not received &amp; booked</v>
      </c>
      <c r="AJ431" s="15" t="e">
        <f>VLOOKUP(M431,'[1]INDIAN ENTERPRISES'!$D:$L,9,0)</f>
        <v>#N/A</v>
      </c>
    </row>
    <row r="432" spans="1:36" hidden="1" outlineLevel="2" x14ac:dyDescent="0.25">
      <c r="A432" t="s">
        <v>0</v>
      </c>
      <c r="B432" t="s">
        <v>1</v>
      </c>
      <c r="C432" t="s">
        <v>2</v>
      </c>
      <c r="D432" t="s">
        <v>3</v>
      </c>
      <c r="E432" t="s">
        <v>4</v>
      </c>
      <c r="F432" t="s">
        <v>128</v>
      </c>
      <c r="G432" s="2">
        <v>45848</v>
      </c>
      <c r="H432" t="s">
        <v>803</v>
      </c>
      <c r="I432" t="s">
        <v>98</v>
      </c>
      <c r="J432" s="2">
        <v>45848</v>
      </c>
      <c r="K432" s="2">
        <v>45854</v>
      </c>
      <c r="L432" t="s">
        <v>8</v>
      </c>
      <c r="M432" s="14">
        <v>256779421239</v>
      </c>
      <c r="N432" t="s">
        <v>9</v>
      </c>
      <c r="O432" t="s">
        <v>10</v>
      </c>
      <c r="P432" t="s">
        <v>11</v>
      </c>
      <c r="Q432" t="s">
        <v>42</v>
      </c>
      <c r="R432" t="s">
        <v>13</v>
      </c>
      <c r="S432" s="3">
        <v>-35.4</v>
      </c>
      <c r="T432" t="s">
        <v>14</v>
      </c>
      <c r="U432" s="3">
        <v>-3044.42</v>
      </c>
      <c r="V432" t="s">
        <v>37</v>
      </c>
      <c r="W432" t="s">
        <v>16</v>
      </c>
      <c r="X432" t="s">
        <v>11</v>
      </c>
      <c r="Y432" t="s">
        <v>8</v>
      </c>
      <c r="Z432" t="s">
        <v>17</v>
      </c>
      <c r="AA432" t="s">
        <v>804</v>
      </c>
      <c r="AB432" t="s">
        <v>11</v>
      </c>
      <c r="AC432" t="s">
        <v>11</v>
      </c>
      <c r="AD432" t="s">
        <v>11</v>
      </c>
      <c r="AE432" s="2">
        <v>45848</v>
      </c>
      <c r="AF432" s="2">
        <v>45974</v>
      </c>
      <c r="AG432" t="s">
        <v>39</v>
      </c>
      <c r="AH432" s="14" t="e">
        <f>VLOOKUP(M432,'[1]INDIAN ENTERPRISES'!$D:$D,1,0)</f>
        <v>#N/A</v>
      </c>
      <c r="AI432" t="str">
        <f>VLOOKUP(M432,'[2]CN Not in Customer books'!$D:$J,7,0)</f>
        <v>CN not received</v>
      </c>
      <c r="AJ432" s="15" t="e">
        <f>VLOOKUP(M432,'[1]INDIAN ENTERPRISES'!$D:$L,9,0)</f>
        <v>#N/A</v>
      </c>
    </row>
    <row r="433" spans="1:36" hidden="1" outlineLevel="2" x14ac:dyDescent="0.25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128</v>
      </c>
      <c r="G433" s="2">
        <v>45848</v>
      </c>
      <c r="H433" t="s">
        <v>805</v>
      </c>
      <c r="I433" t="s">
        <v>98</v>
      </c>
      <c r="J433" s="2">
        <v>45848</v>
      </c>
      <c r="K433" s="2">
        <v>45854</v>
      </c>
      <c r="L433" t="s">
        <v>8</v>
      </c>
      <c r="M433" s="14">
        <v>256779421240</v>
      </c>
      <c r="N433" t="s">
        <v>9</v>
      </c>
      <c r="O433" t="s">
        <v>10</v>
      </c>
      <c r="P433" t="s">
        <v>11</v>
      </c>
      <c r="Q433" t="s">
        <v>42</v>
      </c>
      <c r="R433" t="s">
        <v>13</v>
      </c>
      <c r="S433" s="3">
        <v>-35.4</v>
      </c>
      <c r="T433" t="s">
        <v>14</v>
      </c>
      <c r="U433" s="3">
        <v>-3044.42</v>
      </c>
      <c r="V433" t="s">
        <v>37</v>
      </c>
      <c r="W433" t="s">
        <v>16</v>
      </c>
      <c r="X433" t="s">
        <v>11</v>
      </c>
      <c r="Y433" t="s">
        <v>8</v>
      </c>
      <c r="Z433" t="s">
        <v>17</v>
      </c>
      <c r="AA433" t="s">
        <v>806</v>
      </c>
      <c r="AB433" t="s">
        <v>11</v>
      </c>
      <c r="AC433" t="s">
        <v>11</v>
      </c>
      <c r="AD433" t="s">
        <v>11</v>
      </c>
      <c r="AE433" s="2">
        <v>45848</v>
      </c>
      <c r="AF433" s="2">
        <v>45974</v>
      </c>
      <c r="AG433" t="s">
        <v>39</v>
      </c>
      <c r="AH433" s="14" t="e">
        <f>VLOOKUP(M433,'[1]INDIAN ENTERPRISES'!$D:$D,1,0)</f>
        <v>#N/A</v>
      </c>
      <c r="AI433" t="str">
        <f>VLOOKUP(M433,'[2]CN Not in Customer books'!$D:$J,7,0)</f>
        <v>CN not received</v>
      </c>
      <c r="AJ433" s="15" t="e">
        <f>VLOOKUP(M433,'[1]INDIAN ENTERPRISES'!$D:$L,9,0)</f>
        <v>#N/A</v>
      </c>
    </row>
    <row r="434" spans="1:36" hidden="1" outlineLevel="2" x14ac:dyDescent="0.25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128</v>
      </c>
      <c r="G434" s="2">
        <v>45848</v>
      </c>
      <c r="H434" t="s">
        <v>807</v>
      </c>
      <c r="I434" t="s">
        <v>98</v>
      </c>
      <c r="J434" s="2">
        <v>45848</v>
      </c>
      <c r="K434" s="2">
        <v>45854</v>
      </c>
      <c r="L434" t="s">
        <v>8</v>
      </c>
      <c r="M434" s="14">
        <v>256779421241</v>
      </c>
      <c r="N434" t="s">
        <v>9</v>
      </c>
      <c r="O434" t="s">
        <v>10</v>
      </c>
      <c r="P434" t="s">
        <v>11</v>
      </c>
      <c r="Q434" t="s">
        <v>42</v>
      </c>
      <c r="R434" t="s">
        <v>13</v>
      </c>
      <c r="S434" s="3">
        <v>-35.4</v>
      </c>
      <c r="T434" t="s">
        <v>14</v>
      </c>
      <c r="U434" s="3">
        <v>-3044.42</v>
      </c>
      <c r="V434" t="s">
        <v>37</v>
      </c>
      <c r="W434" t="s">
        <v>16</v>
      </c>
      <c r="X434" t="s">
        <v>11</v>
      </c>
      <c r="Y434" t="s">
        <v>8</v>
      </c>
      <c r="Z434" t="s">
        <v>17</v>
      </c>
      <c r="AA434" t="s">
        <v>808</v>
      </c>
      <c r="AB434" t="s">
        <v>11</v>
      </c>
      <c r="AC434" t="s">
        <v>11</v>
      </c>
      <c r="AD434" t="s">
        <v>11</v>
      </c>
      <c r="AE434" s="2">
        <v>45848</v>
      </c>
      <c r="AF434" s="2">
        <v>45974</v>
      </c>
      <c r="AG434" t="s">
        <v>39</v>
      </c>
      <c r="AH434" s="14" t="e">
        <f>VLOOKUP(M434,'[1]INDIAN ENTERPRISES'!$D:$D,1,0)</f>
        <v>#N/A</v>
      </c>
      <c r="AI434" t="str">
        <f>VLOOKUP(M434,'[2]CN Not in Customer books'!$D:$J,7,0)</f>
        <v>Invoice &amp; CN both not received &amp; booked</v>
      </c>
      <c r="AJ434" s="15" t="e">
        <f>VLOOKUP(M434,'[1]INDIAN ENTERPRISES'!$D:$L,9,0)</f>
        <v>#N/A</v>
      </c>
    </row>
    <row r="435" spans="1:36" hidden="1" outlineLevel="2" x14ac:dyDescent="0.25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128</v>
      </c>
      <c r="G435" s="2">
        <v>45848</v>
      </c>
      <c r="H435" t="s">
        <v>809</v>
      </c>
      <c r="I435" t="s">
        <v>98</v>
      </c>
      <c r="J435" s="2">
        <v>45848</v>
      </c>
      <c r="K435" s="2">
        <v>45854</v>
      </c>
      <c r="L435" t="s">
        <v>8</v>
      </c>
      <c r="M435" s="14">
        <v>256779421242</v>
      </c>
      <c r="N435" t="s">
        <v>9</v>
      </c>
      <c r="O435" t="s">
        <v>10</v>
      </c>
      <c r="P435" t="s">
        <v>11</v>
      </c>
      <c r="Q435" t="s">
        <v>42</v>
      </c>
      <c r="R435" t="s">
        <v>13</v>
      </c>
      <c r="S435" s="3">
        <v>-35.4</v>
      </c>
      <c r="T435" t="s">
        <v>14</v>
      </c>
      <c r="U435" s="3">
        <v>-3044.42</v>
      </c>
      <c r="V435" t="s">
        <v>37</v>
      </c>
      <c r="W435" t="s">
        <v>16</v>
      </c>
      <c r="X435" t="s">
        <v>11</v>
      </c>
      <c r="Y435" t="s">
        <v>8</v>
      </c>
      <c r="Z435" t="s">
        <v>17</v>
      </c>
      <c r="AA435" t="s">
        <v>810</v>
      </c>
      <c r="AB435" t="s">
        <v>11</v>
      </c>
      <c r="AC435" t="s">
        <v>11</v>
      </c>
      <c r="AD435" t="s">
        <v>11</v>
      </c>
      <c r="AE435" s="2">
        <v>45848</v>
      </c>
      <c r="AF435" s="2">
        <v>45974</v>
      </c>
      <c r="AG435" t="s">
        <v>39</v>
      </c>
      <c r="AH435" s="14" t="e">
        <f>VLOOKUP(M435,'[1]INDIAN ENTERPRISES'!$D:$D,1,0)</f>
        <v>#N/A</v>
      </c>
      <c r="AI435" t="str">
        <f>VLOOKUP(M435,'[2]CN Not in Customer books'!$D:$J,7,0)</f>
        <v>Invoice &amp; CN both not received &amp; booked</v>
      </c>
      <c r="AJ435" s="15" t="e">
        <f>VLOOKUP(M435,'[1]INDIAN ENTERPRISES'!$D:$L,9,0)</f>
        <v>#N/A</v>
      </c>
    </row>
    <row r="436" spans="1:36" hidden="1" outlineLevel="2" x14ac:dyDescent="0.25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128</v>
      </c>
      <c r="G436" s="2">
        <v>45848</v>
      </c>
      <c r="H436" t="s">
        <v>811</v>
      </c>
      <c r="I436" t="s">
        <v>98</v>
      </c>
      <c r="J436" s="2">
        <v>45848</v>
      </c>
      <c r="K436" s="2">
        <v>45854</v>
      </c>
      <c r="L436" t="s">
        <v>8</v>
      </c>
      <c r="M436" s="14">
        <v>256779421243</v>
      </c>
      <c r="N436" t="s">
        <v>9</v>
      </c>
      <c r="O436" t="s">
        <v>10</v>
      </c>
      <c r="P436" t="s">
        <v>11</v>
      </c>
      <c r="Q436" t="s">
        <v>42</v>
      </c>
      <c r="R436" t="s">
        <v>13</v>
      </c>
      <c r="S436" s="3">
        <v>-35.4</v>
      </c>
      <c r="T436" t="s">
        <v>14</v>
      </c>
      <c r="U436" s="3">
        <v>-3044.42</v>
      </c>
      <c r="V436" t="s">
        <v>37</v>
      </c>
      <c r="W436" t="s">
        <v>16</v>
      </c>
      <c r="X436" t="s">
        <v>11</v>
      </c>
      <c r="Y436" t="s">
        <v>8</v>
      </c>
      <c r="Z436" t="s">
        <v>17</v>
      </c>
      <c r="AA436" t="s">
        <v>465</v>
      </c>
      <c r="AB436" t="s">
        <v>11</v>
      </c>
      <c r="AC436" t="s">
        <v>11</v>
      </c>
      <c r="AD436" t="s">
        <v>11</v>
      </c>
      <c r="AE436" s="2">
        <v>45848</v>
      </c>
      <c r="AF436" s="2">
        <v>45974</v>
      </c>
      <c r="AG436" t="s">
        <v>39</v>
      </c>
      <c r="AH436" s="14" t="e">
        <f>VLOOKUP(M436,'[1]INDIAN ENTERPRISES'!$D:$D,1,0)</f>
        <v>#N/A</v>
      </c>
      <c r="AI436" t="str">
        <f>VLOOKUP(M436,'[2]CN Not in Customer books'!$D:$J,7,0)</f>
        <v>Invoice &amp; CN both not received &amp; booked</v>
      </c>
      <c r="AJ436" s="15" t="e">
        <f>VLOOKUP(M436,'[1]INDIAN ENTERPRISES'!$D:$L,9,0)</f>
        <v>#N/A</v>
      </c>
    </row>
    <row r="437" spans="1:36" hidden="1" outlineLevel="2" x14ac:dyDescent="0.25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128</v>
      </c>
      <c r="G437" s="2">
        <v>45848</v>
      </c>
      <c r="H437" t="s">
        <v>812</v>
      </c>
      <c r="I437" t="s">
        <v>98</v>
      </c>
      <c r="J437" s="2">
        <v>45848</v>
      </c>
      <c r="K437" s="2">
        <v>45854</v>
      </c>
      <c r="L437" t="s">
        <v>8</v>
      </c>
      <c r="M437" s="14">
        <v>256779421244</v>
      </c>
      <c r="N437" t="s">
        <v>9</v>
      </c>
      <c r="O437" t="s">
        <v>10</v>
      </c>
      <c r="P437" t="s">
        <v>11</v>
      </c>
      <c r="Q437" t="s">
        <v>42</v>
      </c>
      <c r="R437" t="s">
        <v>13</v>
      </c>
      <c r="S437" s="3">
        <v>-91.43</v>
      </c>
      <c r="T437" t="s">
        <v>14</v>
      </c>
      <c r="U437" s="3">
        <v>-7863.04</v>
      </c>
      <c r="V437" t="s">
        <v>37</v>
      </c>
      <c r="W437" t="s">
        <v>16</v>
      </c>
      <c r="X437" t="s">
        <v>11</v>
      </c>
      <c r="Y437" t="s">
        <v>8</v>
      </c>
      <c r="Z437" t="s">
        <v>17</v>
      </c>
      <c r="AA437" t="s">
        <v>813</v>
      </c>
      <c r="AB437" t="s">
        <v>11</v>
      </c>
      <c r="AC437" t="s">
        <v>11</v>
      </c>
      <c r="AD437" t="s">
        <v>11</v>
      </c>
      <c r="AE437" s="2">
        <v>45848</v>
      </c>
      <c r="AF437" s="2">
        <v>45974</v>
      </c>
      <c r="AG437" t="s">
        <v>39</v>
      </c>
      <c r="AH437" s="14" t="e">
        <f>VLOOKUP(M437,'[1]INDIAN ENTERPRISES'!$D:$D,1,0)</f>
        <v>#N/A</v>
      </c>
      <c r="AI437" t="str">
        <f>VLOOKUP(M437,'[2]CN Not in Customer books'!$D:$J,7,0)</f>
        <v>Invoice &amp; CN both not received &amp; booked</v>
      </c>
      <c r="AJ437" s="15" t="e">
        <f>VLOOKUP(M437,'[1]INDIAN ENTERPRISES'!$D:$L,9,0)</f>
        <v>#N/A</v>
      </c>
    </row>
    <row r="438" spans="1:36" hidden="1" outlineLevel="2" x14ac:dyDescent="0.25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128</v>
      </c>
      <c r="G438" s="2">
        <v>45848</v>
      </c>
      <c r="H438" t="s">
        <v>814</v>
      </c>
      <c r="I438" t="s">
        <v>98</v>
      </c>
      <c r="J438" s="2">
        <v>45848</v>
      </c>
      <c r="K438" s="2">
        <v>45854</v>
      </c>
      <c r="L438" t="s">
        <v>8</v>
      </c>
      <c r="M438" s="14">
        <v>256779421245</v>
      </c>
      <c r="N438" t="s">
        <v>9</v>
      </c>
      <c r="O438" t="s">
        <v>10</v>
      </c>
      <c r="P438" t="s">
        <v>11</v>
      </c>
      <c r="Q438" t="s">
        <v>42</v>
      </c>
      <c r="R438" t="s">
        <v>13</v>
      </c>
      <c r="S438" s="3">
        <v>-236</v>
      </c>
      <c r="T438" t="s">
        <v>14</v>
      </c>
      <c r="U438" s="3">
        <v>-20296.16</v>
      </c>
      <c r="V438" t="s">
        <v>37</v>
      </c>
      <c r="W438" t="s">
        <v>16</v>
      </c>
      <c r="X438" t="s">
        <v>11</v>
      </c>
      <c r="Y438" t="s">
        <v>8</v>
      </c>
      <c r="Z438" t="s">
        <v>17</v>
      </c>
      <c r="AA438" t="s">
        <v>813</v>
      </c>
      <c r="AB438" t="s">
        <v>11</v>
      </c>
      <c r="AC438" t="s">
        <v>11</v>
      </c>
      <c r="AD438" t="s">
        <v>11</v>
      </c>
      <c r="AE438" s="2">
        <v>45848</v>
      </c>
      <c r="AF438" s="2">
        <v>45974</v>
      </c>
      <c r="AG438" t="s">
        <v>39</v>
      </c>
      <c r="AH438" s="14" t="e">
        <f>VLOOKUP(M438,'[1]INDIAN ENTERPRISES'!$D:$D,1,0)</f>
        <v>#N/A</v>
      </c>
      <c r="AI438" t="str">
        <f>VLOOKUP(M438,'[2]CN Not in Customer books'!$D:$J,7,0)</f>
        <v>Invoice &amp; CN both not received &amp; booked</v>
      </c>
      <c r="AJ438" s="15" t="e">
        <f>VLOOKUP(M438,'[1]INDIAN ENTERPRISES'!$D:$L,9,0)</f>
        <v>#N/A</v>
      </c>
    </row>
    <row r="439" spans="1:36" hidden="1" outlineLevel="2" x14ac:dyDescent="0.25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128</v>
      </c>
      <c r="G439" s="2">
        <v>45848</v>
      </c>
      <c r="H439" t="s">
        <v>815</v>
      </c>
      <c r="I439" t="s">
        <v>98</v>
      </c>
      <c r="J439" s="2">
        <v>45848</v>
      </c>
      <c r="K439" s="2">
        <v>45854</v>
      </c>
      <c r="L439" t="s">
        <v>8</v>
      </c>
      <c r="M439" s="14">
        <v>256779421246</v>
      </c>
      <c r="N439" t="s">
        <v>9</v>
      </c>
      <c r="O439" t="s">
        <v>10</v>
      </c>
      <c r="P439" t="s">
        <v>11</v>
      </c>
      <c r="Q439" t="s">
        <v>42</v>
      </c>
      <c r="R439" t="s">
        <v>13</v>
      </c>
      <c r="S439" s="3">
        <v>-70.8</v>
      </c>
      <c r="T439" t="s">
        <v>14</v>
      </c>
      <c r="U439" s="3">
        <v>-6088.85</v>
      </c>
      <c r="V439" t="s">
        <v>37</v>
      </c>
      <c r="W439" t="s">
        <v>16</v>
      </c>
      <c r="X439" t="s">
        <v>11</v>
      </c>
      <c r="Y439" t="s">
        <v>8</v>
      </c>
      <c r="Z439" t="s">
        <v>17</v>
      </c>
      <c r="AA439" t="s">
        <v>813</v>
      </c>
      <c r="AB439" t="s">
        <v>11</v>
      </c>
      <c r="AC439" t="s">
        <v>11</v>
      </c>
      <c r="AD439" t="s">
        <v>11</v>
      </c>
      <c r="AE439" s="2">
        <v>45848</v>
      </c>
      <c r="AF439" s="2">
        <v>45974</v>
      </c>
      <c r="AG439" t="s">
        <v>39</v>
      </c>
      <c r="AH439" s="14" t="e">
        <f>VLOOKUP(M439,'[1]INDIAN ENTERPRISES'!$D:$D,1,0)</f>
        <v>#N/A</v>
      </c>
      <c r="AI439" t="str">
        <f>VLOOKUP(M439,'[2]CN Not in Customer books'!$D:$J,7,0)</f>
        <v>Invoice &amp; CN both not received &amp; booked</v>
      </c>
      <c r="AJ439" s="15" t="e">
        <f>VLOOKUP(M439,'[1]INDIAN ENTERPRISES'!$D:$L,9,0)</f>
        <v>#N/A</v>
      </c>
    </row>
    <row r="440" spans="1:36" hidden="1" outlineLevel="2" x14ac:dyDescent="0.25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128</v>
      </c>
      <c r="G440" s="2">
        <v>45848</v>
      </c>
      <c r="H440" t="s">
        <v>816</v>
      </c>
      <c r="I440" t="s">
        <v>98</v>
      </c>
      <c r="J440" s="2">
        <v>45848</v>
      </c>
      <c r="K440" s="2">
        <v>45854</v>
      </c>
      <c r="L440" t="s">
        <v>8</v>
      </c>
      <c r="M440" s="14">
        <v>256779421247</v>
      </c>
      <c r="N440" t="s">
        <v>9</v>
      </c>
      <c r="O440" t="s">
        <v>10</v>
      </c>
      <c r="P440" t="s">
        <v>11</v>
      </c>
      <c r="Q440" t="s">
        <v>42</v>
      </c>
      <c r="R440" t="s">
        <v>13</v>
      </c>
      <c r="S440" s="3">
        <v>-211.39</v>
      </c>
      <c r="T440" t="s">
        <v>14</v>
      </c>
      <c r="U440" s="3">
        <v>-18179.68</v>
      </c>
      <c r="V440" t="s">
        <v>37</v>
      </c>
      <c r="W440" t="s">
        <v>16</v>
      </c>
      <c r="X440" t="s">
        <v>11</v>
      </c>
      <c r="Y440" t="s">
        <v>8</v>
      </c>
      <c r="Z440" t="s">
        <v>17</v>
      </c>
      <c r="AA440" t="s">
        <v>817</v>
      </c>
      <c r="AB440" t="s">
        <v>11</v>
      </c>
      <c r="AC440" t="s">
        <v>11</v>
      </c>
      <c r="AD440" t="s">
        <v>11</v>
      </c>
      <c r="AE440" s="2">
        <v>45848</v>
      </c>
      <c r="AF440" s="2">
        <v>45974</v>
      </c>
      <c r="AG440" t="s">
        <v>39</v>
      </c>
      <c r="AH440" s="14" t="e">
        <f>VLOOKUP(M440,'[1]INDIAN ENTERPRISES'!$D:$D,1,0)</f>
        <v>#N/A</v>
      </c>
      <c r="AI440" t="str">
        <f>VLOOKUP(M440,'[2]CN Not in Customer books'!$D:$J,7,0)</f>
        <v>Invoice &amp; CN both not received &amp; booked</v>
      </c>
      <c r="AJ440" s="15" t="e">
        <f>VLOOKUP(M440,'[1]INDIAN ENTERPRISES'!$D:$L,9,0)</f>
        <v>#N/A</v>
      </c>
    </row>
    <row r="441" spans="1:36" hidden="1" outlineLevel="2" x14ac:dyDescent="0.2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128</v>
      </c>
      <c r="G441" s="2">
        <v>45848</v>
      </c>
      <c r="H441" t="s">
        <v>818</v>
      </c>
      <c r="I441" t="s">
        <v>98</v>
      </c>
      <c r="J441" s="2">
        <v>45848</v>
      </c>
      <c r="K441" s="2">
        <v>45854</v>
      </c>
      <c r="L441" t="s">
        <v>8</v>
      </c>
      <c r="M441" s="14">
        <v>256779421248</v>
      </c>
      <c r="N441" t="s">
        <v>9</v>
      </c>
      <c r="O441" t="s">
        <v>10</v>
      </c>
      <c r="P441" t="s">
        <v>11</v>
      </c>
      <c r="Q441" t="s">
        <v>42</v>
      </c>
      <c r="R441" t="s">
        <v>13</v>
      </c>
      <c r="S441" s="3">
        <v>-141.6</v>
      </c>
      <c r="T441" t="s">
        <v>14</v>
      </c>
      <c r="U441" s="3">
        <v>-12177.69</v>
      </c>
      <c r="V441" t="s">
        <v>37</v>
      </c>
      <c r="W441" t="s">
        <v>16</v>
      </c>
      <c r="X441" t="s">
        <v>11</v>
      </c>
      <c r="Y441" t="s">
        <v>8</v>
      </c>
      <c r="Z441" t="s">
        <v>17</v>
      </c>
      <c r="AA441" t="s">
        <v>819</v>
      </c>
      <c r="AB441" t="s">
        <v>11</v>
      </c>
      <c r="AC441" t="s">
        <v>11</v>
      </c>
      <c r="AD441" t="s">
        <v>11</v>
      </c>
      <c r="AE441" s="2">
        <v>45848</v>
      </c>
      <c r="AF441" s="2">
        <v>45974</v>
      </c>
      <c r="AG441" t="s">
        <v>39</v>
      </c>
      <c r="AH441" s="14" t="e">
        <f>VLOOKUP(M441,'[1]INDIAN ENTERPRISES'!$D:$D,1,0)</f>
        <v>#N/A</v>
      </c>
      <c r="AI441" t="str">
        <f>VLOOKUP(M441,'[2]CN Not in Customer books'!$D:$J,7,0)</f>
        <v>Invoice &amp; CN both not received &amp; booked</v>
      </c>
      <c r="AJ441" s="15" t="e">
        <f>VLOOKUP(M441,'[1]INDIAN ENTERPRISES'!$D:$L,9,0)</f>
        <v>#N/A</v>
      </c>
    </row>
    <row r="442" spans="1:36" hidden="1" outlineLevel="2" x14ac:dyDescent="0.25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128</v>
      </c>
      <c r="G442" s="2">
        <v>45848</v>
      </c>
      <c r="H442" t="s">
        <v>820</v>
      </c>
      <c r="I442" t="s">
        <v>98</v>
      </c>
      <c r="J442" s="2">
        <v>45848</v>
      </c>
      <c r="K442" s="2">
        <v>45854</v>
      </c>
      <c r="L442" t="s">
        <v>8</v>
      </c>
      <c r="M442" s="14">
        <v>256779421249</v>
      </c>
      <c r="N442" t="s">
        <v>9</v>
      </c>
      <c r="O442" t="s">
        <v>10</v>
      </c>
      <c r="P442" t="s">
        <v>11</v>
      </c>
      <c r="Q442" t="s">
        <v>42</v>
      </c>
      <c r="R442" t="s">
        <v>13</v>
      </c>
      <c r="S442" s="3">
        <v>-70.8</v>
      </c>
      <c r="T442" t="s">
        <v>14</v>
      </c>
      <c r="U442" s="3">
        <v>-6088.85</v>
      </c>
      <c r="V442" t="s">
        <v>37</v>
      </c>
      <c r="W442" t="s">
        <v>16</v>
      </c>
      <c r="X442" t="s">
        <v>11</v>
      </c>
      <c r="Y442" t="s">
        <v>8</v>
      </c>
      <c r="Z442" t="s">
        <v>17</v>
      </c>
      <c r="AA442" t="s">
        <v>821</v>
      </c>
      <c r="AB442" t="s">
        <v>11</v>
      </c>
      <c r="AC442" t="s">
        <v>11</v>
      </c>
      <c r="AD442" t="s">
        <v>11</v>
      </c>
      <c r="AE442" s="2">
        <v>45848</v>
      </c>
      <c r="AF442" s="2">
        <v>45974</v>
      </c>
      <c r="AG442" t="s">
        <v>39</v>
      </c>
      <c r="AH442" s="14" t="e">
        <f>VLOOKUP(M442,'[1]INDIAN ENTERPRISES'!$D:$D,1,0)</f>
        <v>#N/A</v>
      </c>
      <c r="AI442" t="str">
        <f>VLOOKUP(M442,'[2]CN Not in Customer books'!$D:$J,7,0)</f>
        <v>Invoice &amp; CN both not received &amp; booked</v>
      </c>
      <c r="AJ442" s="15" t="e">
        <f>VLOOKUP(M442,'[1]INDIAN ENTERPRISES'!$D:$L,9,0)</f>
        <v>#N/A</v>
      </c>
    </row>
    <row r="443" spans="1:36" hidden="1" outlineLevel="2" x14ac:dyDescent="0.25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128</v>
      </c>
      <c r="G443" s="2">
        <v>45848</v>
      </c>
      <c r="H443" t="s">
        <v>822</v>
      </c>
      <c r="I443" t="s">
        <v>98</v>
      </c>
      <c r="J443" s="2">
        <v>45848</v>
      </c>
      <c r="K443" s="2">
        <v>45854</v>
      </c>
      <c r="L443" t="s">
        <v>8</v>
      </c>
      <c r="M443" s="14">
        <v>256779421250</v>
      </c>
      <c r="N443" t="s">
        <v>9</v>
      </c>
      <c r="O443" t="s">
        <v>10</v>
      </c>
      <c r="P443" t="s">
        <v>11</v>
      </c>
      <c r="Q443" t="s">
        <v>42</v>
      </c>
      <c r="R443" t="s">
        <v>13</v>
      </c>
      <c r="S443" s="3">
        <v>-236</v>
      </c>
      <c r="T443" t="s">
        <v>14</v>
      </c>
      <c r="U443" s="3">
        <v>-20296.16</v>
      </c>
      <c r="V443" t="s">
        <v>37</v>
      </c>
      <c r="W443" t="s">
        <v>16</v>
      </c>
      <c r="X443" t="s">
        <v>11</v>
      </c>
      <c r="Y443" t="s">
        <v>8</v>
      </c>
      <c r="Z443" t="s">
        <v>17</v>
      </c>
      <c r="AA443" t="s">
        <v>823</v>
      </c>
      <c r="AB443" t="s">
        <v>11</v>
      </c>
      <c r="AC443" t="s">
        <v>11</v>
      </c>
      <c r="AD443" t="s">
        <v>11</v>
      </c>
      <c r="AE443" s="2">
        <v>45848</v>
      </c>
      <c r="AF443" s="2">
        <v>45974</v>
      </c>
      <c r="AG443" t="s">
        <v>39</v>
      </c>
      <c r="AH443" s="14" t="e">
        <f>VLOOKUP(M443,'[1]INDIAN ENTERPRISES'!$D:$D,1,0)</f>
        <v>#N/A</v>
      </c>
      <c r="AI443" t="str">
        <f>VLOOKUP(M443,'[2]CN Not in Customer books'!$D:$J,7,0)</f>
        <v>Invoice &amp; CN both not received &amp; booked</v>
      </c>
      <c r="AJ443" s="15" t="e">
        <f>VLOOKUP(M443,'[1]INDIAN ENTERPRISES'!$D:$L,9,0)</f>
        <v>#N/A</v>
      </c>
    </row>
    <row r="444" spans="1:36" hidden="1" outlineLevel="2" x14ac:dyDescent="0.25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t="s">
        <v>128</v>
      </c>
      <c r="G444" s="2">
        <v>45848</v>
      </c>
      <c r="H444" t="s">
        <v>824</v>
      </c>
      <c r="I444" t="s">
        <v>98</v>
      </c>
      <c r="J444" s="2">
        <v>45848</v>
      </c>
      <c r="K444" s="2">
        <v>45854</v>
      </c>
      <c r="L444" t="s">
        <v>8</v>
      </c>
      <c r="M444" s="14">
        <v>256779421251</v>
      </c>
      <c r="N444" t="s">
        <v>9</v>
      </c>
      <c r="O444" t="s">
        <v>10</v>
      </c>
      <c r="P444" t="s">
        <v>11</v>
      </c>
      <c r="Q444" t="s">
        <v>42</v>
      </c>
      <c r="R444" t="s">
        <v>13</v>
      </c>
      <c r="S444" s="3">
        <v>-300.49</v>
      </c>
      <c r="T444" t="s">
        <v>14</v>
      </c>
      <c r="U444" s="3">
        <v>-25842.34</v>
      </c>
      <c r="V444" t="s">
        <v>37</v>
      </c>
      <c r="W444" t="s">
        <v>16</v>
      </c>
      <c r="X444" t="s">
        <v>11</v>
      </c>
      <c r="Y444" t="s">
        <v>8</v>
      </c>
      <c r="Z444" t="s">
        <v>17</v>
      </c>
      <c r="AA444" t="s">
        <v>825</v>
      </c>
      <c r="AB444" t="s">
        <v>11</v>
      </c>
      <c r="AC444" t="s">
        <v>11</v>
      </c>
      <c r="AD444" t="s">
        <v>11</v>
      </c>
      <c r="AE444" s="2">
        <v>45848</v>
      </c>
      <c r="AF444" s="2">
        <v>45974</v>
      </c>
      <c r="AG444" t="s">
        <v>39</v>
      </c>
      <c r="AH444" s="14" t="e">
        <f>VLOOKUP(M444,'[1]INDIAN ENTERPRISES'!$D:$D,1,0)</f>
        <v>#N/A</v>
      </c>
      <c r="AI444" t="str">
        <f>VLOOKUP(M444,'[2]CN Not in Customer books'!$D:$J,7,0)</f>
        <v>Invoice &amp; CN both not received &amp; booked</v>
      </c>
      <c r="AJ444" s="15" t="e">
        <f>VLOOKUP(M444,'[1]INDIAN ENTERPRISES'!$D:$L,9,0)</f>
        <v>#N/A</v>
      </c>
    </row>
    <row r="445" spans="1:36" hidden="1" outlineLevel="2" x14ac:dyDescent="0.25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128</v>
      </c>
      <c r="G445" s="2">
        <v>45848</v>
      </c>
      <c r="H445" t="s">
        <v>826</v>
      </c>
      <c r="I445" t="s">
        <v>98</v>
      </c>
      <c r="J445" s="2">
        <v>45848</v>
      </c>
      <c r="K445" s="2">
        <v>45854</v>
      </c>
      <c r="L445" t="s">
        <v>8</v>
      </c>
      <c r="M445" s="14">
        <v>256779421252</v>
      </c>
      <c r="N445" t="s">
        <v>9</v>
      </c>
      <c r="O445" t="s">
        <v>10</v>
      </c>
      <c r="P445" t="s">
        <v>11</v>
      </c>
      <c r="Q445" t="s">
        <v>42</v>
      </c>
      <c r="R445" t="s">
        <v>13</v>
      </c>
      <c r="S445" s="3">
        <v>-165.4</v>
      </c>
      <c r="T445" t="s">
        <v>14</v>
      </c>
      <c r="U445" s="3">
        <v>-14224.51</v>
      </c>
      <c r="V445" t="s">
        <v>37</v>
      </c>
      <c r="W445" t="s">
        <v>16</v>
      </c>
      <c r="X445" t="s">
        <v>11</v>
      </c>
      <c r="Y445" t="s">
        <v>8</v>
      </c>
      <c r="Z445" t="s">
        <v>17</v>
      </c>
      <c r="AA445" t="s">
        <v>827</v>
      </c>
      <c r="AB445" t="s">
        <v>11</v>
      </c>
      <c r="AC445" t="s">
        <v>11</v>
      </c>
      <c r="AD445" t="s">
        <v>11</v>
      </c>
      <c r="AE445" s="2">
        <v>45848</v>
      </c>
      <c r="AF445" s="2">
        <v>45974</v>
      </c>
      <c r="AG445" t="s">
        <v>39</v>
      </c>
      <c r="AH445" s="14" t="e">
        <f>VLOOKUP(M445,'[1]INDIAN ENTERPRISES'!$D:$D,1,0)</f>
        <v>#N/A</v>
      </c>
      <c r="AI445" t="str">
        <f>VLOOKUP(M445,'[2]CN Not in Customer books'!$D:$J,7,0)</f>
        <v>Invoice &amp; CN both not received &amp; booked</v>
      </c>
      <c r="AJ445" s="15" t="e">
        <f>VLOOKUP(M445,'[1]INDIAN ENTERPRISES'!$D:$L,9,0)</f>
        <v>#N/A</v>
      </c>
    </row>
    <row r="446" spans="1:36" hidden="1" outlineLevel="2" x14ac:dyDescent="0.25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128</v>
      </c>
      <c r="G446" s="2">
        <v>45848</v>
      </c>
      <c r="H446" t="s">
        <v>828</v>
      </c>
      <c r="I446" t="s">
        <v>98</v>
      </c>
      <c r="J446" s="2">
        <v>45848</v>
      </c>
      <c r="K446" s="2">
        <v>45854</v>
      </c>
      <c r="L446" t="s">
        <v>8</v>
      </c>
      <c r="M446" s="14">
        <v>256779421253</v>
      </c>
      <c r="N446" t="s">
        <v>9</v>
      </c>
      <c r="O446" t="s">
        <v>10</v>
      </c>
      <c r="P446" t="s">
        <v>11</v>
      </c>
      <c r="Q446" t="s">
        <v>42</v>
      </c>
      <c r="R446" t="s">
        <v>13</v>
      </c>
      <c r="S446" s="3">
        <v>-14.75</v>
      </c>
      <c r="T446" t="s">
        <v>14</v>
      </c>
      <c r="U446" s="3">
        <v>-1268.51</v>
      </c>
      <c r="V446" t="s">
        <v>37</v>
      </c>
      <c r="W446" t="s">
        <v>16</v>
      </c>
      <c r="X446" t="s">
        <v>11</v>
      </c>
      <c r="Y446" t="s">
        <v>8</v>
      </c>
      <c r="Z446" t="s">
        <v>17</v>
      </c>
      <c r="AA446" t="s">
        <v>774</v>
      </c>
      <c r="AB446" t="s">
        <v>11</v>
      </c>
      <c r="AC446" t="s">
        <v>11</v>
      </c>
      <c r="AD446" t="s">
        <v>11</v>
      </c>
      <c r="AE446" s="2">
        <v>45848</v>
      </c>
      <c r="AF446" s="2">
        <v>45974</v>
      </c>
      <c r="AG446" t="s">
        <v>39</v>
      </c>
      <c r="AH446" s="14" t="e">
        <f>VLOOKUP(M446,'[1]INDIAN ENTERPRISES'!$D:$D,1,0)</f>
        <v>#N/A</v>
      </c>
      <c r="AI446" t="str">
        <f>VLOOKUP(M446,'[2]CN Not in Customer books'!$D:$J,7,0)</f>
        <v>Invoice &amp; CN both not received &amp; booked</v>
      </c>
      <c r="AJ446" s="15" t="e">
        <f>VLOOKUP(M446,'[1]INDIAN ENTERPRISES'!$D:$L,9,0)</f>
        <v>#N/A</v>
      </c>
    </row>
    <row r="447" spans="1:36" hidden="1" outlineLevel="2" x14ac:dyDescent="0.25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128</v>
      </c>
      <c r="G447" s="2">
        <v>45848</v>
      </c>
      <c r="H447" t="s">
        <v>829</v>
      </c>
      <c r="I447" t="s">
        <v>98</v>
      </c>
      <c r="J447" s="2">
        <v>45848</v>
      </c>
      <c r="K447" s="2">
        <v>45854</v>
      </c>
      <c r="L447" t="s">
        <v>8</v>
      </c>
      <c r="M447" s="14">
        <v>256779421254</v>
      </c>
      <c r="N447" t="s">
        <v>9</v>
      </c>
      <c r="O447" t="s">
        <v>10</v>
      </c>
      <c r="P447" t="s">
        <v>11</v>
      </c>
      <c r="Q447" t="s">
        <v>42</v>
      </c>
      <c r="R447" t="s">
        <v>13</v>
      </c>
      <c r="S447" s="3">
        <v>-250.75</v>
      </c>
      <c r="T447" t="s">
        <v>14</v>
      </c>
      <c r="U447" s="3">
        <v>-21564.67</v>
      </c>
      <c r="V447" t="s">
        <v>37</v>
      </c>
      <c r="W447" t="s">
        <v>16</v>
      </c>
      <c r="X447" t="s">
        <v>11</v>
      </c>
      <c r="Y447" t="s">
        <v>8</v>
      </c>
      <c r="Z447" t="s">
        <v>17</v>
      </c>
      <c r="AA447" t="s">
        <v>830</v>
      </c>
      <c r="AB447" t="s">
        <v>11</v>
      </c>
      <c r="AC447" t="s">
        <v>11</v>
      </c>
      <c r="AD447" t="s">
        <v>11</v>
      </c>
      <c r="AE447" s="2">
        <v>45848</v>
      </c>
      <c r="AF447" s="2">
        <v>45974</v>
      </c>
      <c r="AG447" t="s">
        <v>39</v>
      </c>
      <c r="AH447" s="14" t="e">
        <f>VLOOKUP(M447,'[1]INDIAN ENTERPRISES'!$D:$D,1,0)</f>
        <v>#N/A</v>
      </c>
      <c r="AI447" t="str">
        <f>VLOOKUP(M447,'[2]CN Not in Customer books'!$D:$J,7,0)</f>
        <v>Invoice &amp; CN both not received &amp; booked</v>
      </c>
      <c r="AJ447" s="15" t="e">
        <f>VLOOKUP(M447,'[1]INDIAN ENTERPRISES'!$D:$L,9,0)</f>
        <v>#N/A</v>
      </c>
    </row>
    <row r="448" spans="1:36" hidden="1" outlineLevel="2" x14ac:dyDescent="0.25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128</v>
      </c>
      <c r="G448" s="2">
        <v>45848</v>
      </c>
      <c r="H448" t="s">
        <v>831</v>
      </c>
      <c r="I448" t="s">
        <v>98</v>
      </c>
      <c r="J448" s="2">
        <v>45848</v>
      </c>
      <c r="K448" s="2">
        <v>45854</v>
      </c>
      <c r="L448" t="s">
        <v>8</v>
      </c>
      <c r="M448" s="14">
        <v>256779421255</v>
      </c>
      <c r="N448" t="s">
        <v>9</v>
      </c>
      <c r="O448" t="s">
        <v>10</v>
      </c>
      <c r="P448" t="s">
        <v>11</v>
      </c>
      <c r="Q448" t="s">
        <v>42</v>
      </c>
      <c r="R448" t="s">
        <v>13</v>
      </c>
      <c r="S448" s="3">
        <v>-226.56</v>
      </c>
      <c r="T448" t="s">
        <v>14</v>
      </c>
      <c r="U448" s="3">
        <v>-19484.310000000001</v>
      </c>
      <c r="V448" t="s">
        <v>37</v>
      </c>
      <c r="W448" t="s">
        <v>16</v>
      </c>
      <c r="X448" t="s">
        <v>11</v>
      </c>
      <c r="Y448" t="s">
        <v>8</v>
      </c>
      <c r="Z448" t="s">
        <v>17</v>
      </c>
      <c r="AA448" t="s">
        <v>832</v>
      </c>
      <c r="AB448" t="s">
        <v>11</v>
      </c>
      <c r="AC448" t="s">
        <v>11</v>
      </c>
      <c r="AD448" t="s">
        <v>11</v>
      </c>
      <c r="AE448" s="2">
        <v>45848</v>
      </c>
      <c r="AF448" s="2">
        <v>45974</v>
      </c>
      <c r="AG448" t="s">
        <v>39</v>
      </c>
      <c r="AH448" s="14" t="e">
        <f>VLOOKUP(M448,'[1]INDIAN ENTERPRISES'!$D:$D,1,0)</f>
        <v>#N/A</v>
      </c>
      <c r="AI448" t="str">
        <f>VLOOKUP(M448,'[2]CN Not in Customer books'!$D:$J,7,0)</f>
        <v>Invoice &amp; CN both not received &amp; booked</v>
      </c>
      <c r="AJ448" s="15" t="e">
        <f>VLOOKUP(M448,'[1]INDIAN ENTERPRISES'!$D:$L,9,0)</f>
        <v>#N/A</v>
      </c>
    </row>
    <row r="449" spans="1:36" hidden="1" outlineLevel="2" x14ac:dyDescent="0.25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128</v>
      </c>
      <c r="G449" s="2">
        <v>45848</v>
      </c>
      <c r="H449" t="s">
        <v>833</v>
      </c>
      <c r="I449" t="s">
        <v>98</v>
      </c>
      <c r="J449" s="2">
        <v>45848</v>
      </c>
      <c r="K449" s="2">
        <v>45854</v>
      </c>
      <c r="L449" t="s">
        <v>8</v>
      </c>
      <c r="M449" s="14">
        <v>256779421256</v>
      </c>
      <c r="N449" t="s">
        <v>9</v>
      </c>
      <c r="O449" t="s">
        <v>10</v>
      </c>
      <c r="P449" t="s">
        <v>11</v>
      </c>
      <c r="Q449" t="s">
        <v>42</v>
      </c>
      <c r="R449" t="s">
        <v>13</v>
      </c>
      <c r="S449" s="3">
        <v>-249.87</v>
      </c>
      <c r="T449" t="s">
        <v>14</v>
      </c>
      <c r="U449" s="3">
        <v>-21488.99</v>
      </c>
      <c r="V449" t="s">
        <v>37</v>
      </c>
      <c r="W449" t="s">
        <v>16</v>
      </c>
      <c r="X449" t="s">
        <v>11</v>
      </c>
      <c r="Y449" t="s">
        <v>8</v>
      </c>
      <c r="Z449" t="s">
        <v>17</v>
      </c>
      <c r="AA449" t="s">
        <v>834</v>
      </c>
      <c r="AB449" t="s">
        <v>11</v>
      </c>
      <c r="AC449" t="s">
        <v>11</v>
      </c>
      <c r="AD449" t="s">
        <v>11</v>
      </c>
      <c r="AE449" s="2">
        <v>45848</v>
      </c>
      <c r="AF449" s="2">
        <v>45974</v>
      </c>
      <c r="AG449" t="s">
        <v>39</v>
      </c>
      <c r="AH449" s="14" t="e">
        <f>VLOOKUP(M449,'[1]INDIAN ENTERPRISES'!$D:$D,1,0)</f>
        <v>#N/A</v>
      </c>
      <c r="AI449" t="str">
        <f>VLOOKUP(M449,'[2]CN Not in Customer books'!$D:$J,7,0)</f>
        <v>Invoice &amp; CN both not received &amp; booked</v>
      </c>
      <c r="AJ449" s="15" t="e">
        <f>VLOOKUP(M449,'[1]INDIAN ENTERPRISES'!$D:$L,9,0)</f>
        <v>#N/A</v>
      </c>
    </row>
    <row r="450" spans="1:36" hidden="1" outlineLevel="2" x14ac:dyDescent="0.25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128</v>
      </c>
      <c r="G450" s="2">
        <v>45848</v>
      </c>
      <c r="H450" t="s">
        <v>835</v>
      </c>
      <c r="I450" t="s">
        <v>98</v>
      </c>
      <c r="J450" s="2">
        <v>45848</v>
      </c>
      <c r="K450" s="2">
        <v>45854</v>
      </c>
      <c r="L450" t="s">
        <v>8</v>
      </c>
      <c r="M450" s="14">
        <v>256779421257</v>
      </c>
      <c r="N450" t="s">
        <v>9</v>
      </c>
      <c r="O450" t="s">
        <v>10</v>
      </c>
      <c r="P450" t="s">
        <v>11</v>
      </c>
      <c r="Q450" t="s">
        <v>42</v>
      </c>
      <c r="R450" t="s">
        <v>13</v>
      </c>
      <c r="S450" s="3">
        <v>-173.05</v>
      </c>
      <c r="T450" t="s">
        <v>14</v>
      </c>
      <c r="U450" s="3">
        <v>-14882.42</v>
      </c>
      <c r="V450" t="s">
        <v>37</v>
      </c>
      <c r="W450" t="s">
        <v>16</v>
      </c>
      <c r="X450" t="s">
        <v>11</v>
      </c>
      <c r="Y450" t="s">
        <v>8</v>
      </c>
      <c r="Z450" t="s">
        <v>17</v>
      </c>
      <c r="AA450" t="s">
        <v>836</v>
      </c>
      <c r="AB450" t="s">
        <v>11</v>
      </c>
      <c r="AC450" t="s">
        <v>11</v>
      </c>
      <c r="AD450" t="s">
        <v>11</v>
      </c>
      <c r="AE450" s="2">
        <v>45848</v>
      </c>
      <c r="AF450" s="2">
        <v>45974</v>
      </c>
      <c r="AG450" t="s">
        <v>39</v>
      </c>
      <c r="AH450" s="14" t="e">
        <f>VLOOKUP(M450,'[1]INDIAN ENTERPRISES'!$D:$D,1,0)</f>
        <v>#N/A</v>
      </c>
      <c r="AI450" t="str">
        <f>VLOOKUP(M450,'[2]CN Not in Customer books'!$D:$J,7,0)</f>
        <v>Invoice &amp; CN both not received &amp; booked</v>
      </c>
      <c r="AJ450" s="15" t="e">
        <f>VLOOKUP(M450,'[1]INDIAN ENTERPRISES'!$D:$L,9,0)</f>
        <v>#N/A</v>
      </c>
    </row>
    <row r="451" spans="1:36" hidden="1" outlineLevel="2" x14ac:dyDescent="0.25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128</v>
      </c>
      <c r="G451" s="2">
        <v>45848</v>
      </c>
      <c r="H451" t="s">
        <v>837</v>
      </c>
      <c r="I451" t="s">
        <v>98</v>
      </c>
      <c r="J451" s="2">
        <v>45848</v>
      </c>
      <c r="K451" s="2">
        <v>45854</v>
      </c>
      <c r="L451" t="s">
        <v>8</v>
      </c>
      <c r="M451" s="14">
        <v>256779421258</v>
      </c>
      <c r="N451" t="s">
        <v>9</v>
      </c>
      <c r="O451" t="s">
        <v>10</v>
      </c>
      <c r="P451" t="s">
        <v>11</v>
      </c>
      <c r="Q451" t="s">
        <v>42</v>
      </c>
      <c r="R451" t="s">
        <v>13</v>
      </c>
      <c r="S451" s="3">
        <v>-226.56</v>
      </c>
      <c r="T451" t="s">
        <v>14</v>
      </c>
      <c r="U451" s="3">
        <v>-19484.310000000001</v>
      </c>
      <c r="V451" t="s">
        <v>37</v>
      </c>
      <c r="W451" t="s">
        <v>16</v>
      </c>
      <c r="X451" t="s">
        <v>11</v>
      </c>
      <c r="Y451" t="s">
        <v>8</v>
      </c>
      <c r="Z451" t="s">
        <v>17</v>
      </c>
      <c r="AA451" t="s">
        <v>838</v>
      </c>
      <c r="AB451" t="s">
        <v>11</v>
      </c>
      <c r="AC451" t="s">
        <v>11</v>
      </c>
      <c r="AD451" t="s">
        <v>11</v>
      </c>
      <c r="AE451" s="2">
        <v>45848</v>
      </c>
      <c r="AF451" s="2">
        <v>45974</v>
      </c>
      <c r="AG451" t="s">
        <v>39</v>
      </c>
      <c r="AH451" s="14" t="e">
        <f>VLOOKUP(M451,'[1]INDIAN ENTERPRISES'!$D:$D,1,0)</f>
        <v>#N/A</v>
      </c>
      <c r="AI451" t="str">
        <f>VLOOKUP(M451,'[2]CN Not in Customer books'!$D:$J,7,0)</f>
        <v>Invoice &amp; CN both not received &amp; booked</v>
      </c>
      <c r="AJ451" s="15" t="e">
        <f>VLOOKUP(M451,'[1]INDIAN ENTERPRISES'!$D:$L,9,0)</f>
        <v>#N/A</v>
      </c>
    </row>
    <row r="452" spans="1:36" hidden="1" outlineLevel="2" x14ac:dyDescent="0.25">
      <c r="A452" t="s">
        <v>0</v>
      </c>
      <c r="B452" t="s">
        <v>1</v>
      </c>
      <c r="C452" t="s">
        <v>2</v>
      </c>
      <c r="D452" t="s">
        <v>3</v>
      </c>
      <c r="E452" t="s">
        <v>4</v>
      </c>
      <c r="F452" t="s">
        <v>128</v>
      </c>
      <c r="G452" s="2">
        <v>45848</v>
      </c>
      <c r="H452" t="s">
        <v>839</v>
      </c>
      <c r="I452" t="s">
        <v>98</v>
      </c>
      <c r="J452" s="2">
        <v>45848</v>
      </c>
      <c r="K452" s="2">
        <v>45854</v>
      </c>
      <c r="L452" t="s">
        <v>8</v>
      </c>
      <c r="M452" s="14">
        <v>256779421259</v>
      </c>
      <c r="N452" t="s">
        <v>9</v>
      </c>
      <c r="O452" t="s">
        <v>10</v>
      </c>
      <c r="P452" t="s">
        <v>11</v>
      </c>
      <c r="Q452" t="s">
        <v>42</v>
      </c>
      <c r="R452" t="s">
        <v>13</v>
      </c>
      <c r="S452" s="3">
        <v>-218.36</v>
      </c>
      <c r="T452" t="s">
        <v>14</v>
      </c>
      <c r="U452" s="3">
        <v>-18779.11</v>
      </c>
      <c r="V452" t="s">
        <v>37</v>
      </c>
      <c r="W452" t="s">
        <v>16</v>
      </c>
      <c r="X452" t="s">
        <v>11</v>
      </c>
      <c r="Y452" t="s">
        <v>8</v>
      </c>
      <c r="Z452" t="s">
        <v>17</v>
      </c>
      <c r="AA452" t="s">
        <v>840</v>
      </c>
      <c r="AB452" t="s">
        <v>11</v>
      </c>
      <c r="AC452" t="s">
        <v>11</v>
      </c>
      <c r="AD452" t="s">
        <v>11</v>
      </c>
      <c r="AE452" s="2">
        <v>45848</v>
      </c>
      <c r="AF452" s="2">
        <v>45974</v>
      </c>
      <c r="AG452" t="s">
        <v>39</v>
      </c>
      <c r="AH452" s="14" t="e">
        <f>VLOOKUP(M452,'[1]INDIAN ENTERPRISES'!$D:$D,1,0)</f>
        <v>#N/A</v>
      </c>
      <c r="AI452" t="str">
        <f>VLOOKUP(M452,'[2]CN Not in Customer books'!$D:$J,7,0)</f>
        <v>Invoice &amp; CN both not received &amp; booked</v>
      </c>
      <c r="AJ452" s="15" t="e">
        <f>VLOOKUP(M452,'[1]INDIAN ENTERPRISES'!$D:$L,9,0)</f>
        <v>#N/A</v>
      </c>
    </row>
    <row r="453" spans="1:36" hidden="1" outlineLevel="2" x14ac:dyDescent="0.25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128</v>
      </c>
      <c r="G453" s="2">
        <v>45848</v>
      </c>
      <c r="H453" t="s">
        <v>841</v>
      </c>
      <c r="I453" t="s">
        <v>98</v>
      </c>
      <c r="J453" s="2">
        <v>45848</v>
      </c>
      <c r="K453" s="2">
        <v>45854</v>
      </c>
      <c r="L453" t="s">
        <v>8</v>
      </c>
      <c r="M453" s="14">
        <v>256779421260</v>
      </c>
      <c r="N453" t="s">
        <v>9</v>
      </c>
      <c r="O453" t="s">
        <v>10</v>
      </c>
      <c r="P453" t="s">
        <v>11</v>
      </c>
      <c r="Q453" t="s">
        <v>42</v>
      </c>
      <c r="R453" t="s">
        <v>13</v>
      </c>
      <c r="S453" s="3">
        <v>-23.6</v>
      </c>
      <c r="T453" t="s">
        <v>14</v>
      </c>
      <c r="U453" s="3">
        <v>-2029.62</v>
      </c>
      <c r="V453" t="s">
        <v>37</v>
      </c>
      <c r="W453" t="s">
        <v>16</v>
      </c>
      <c r="X453" t="s">
        <v>11</v>
      </c>
      <c r="Y453" t="s">
        <v>8</v>
      </c>
      <c r="Z453" t="s">
        <v>17</v>
      </c>
      <c r="AA453" t="s">
        <v>842</v>
      </c>
      <c r="AB453" t="s">
        <v>11</v>
      </c>
      <c r="AC453" t="s">
        <v>11</v>
      </c>
      <c r="AD453" t="s">
        <v>11</v>
      </c>
      <c r="AE453" s="2">
        <v>45848</v>
      </c>
      <c r="AF453" s="2">
        <v>45974</v>
      </c>
      <c r="AG453" t="s">
        <v>39</v>
      </c>
      <c r="AH453" s="14" t="e">
        <f>VLOOKUP(M453,'[1]INDIAN ENTERPRISES'!$D:$D,1,0)</f>
        <v>#N/A</v>
      </c>
      <c r="AI453" t="str">
        <f>VLOOKUP(M453,'[2]CN Not in Customer books'!$D:$J,7,0)</f>
        <v>Invoice &amp; CN both not received &amp; booked</v>
      </c>
      <c r="AJ453" s="15" t="e">
        <f>VLOOKUP(M453,'[1]INDIAN ENTERPRISES'!$D:$L,9,0)</f>
        <v>#N/A</v>
      </c>
    </row>
    <row r="454" spans="1:36" hidden="1" outlineLevel="2" x14ac:dyDescent="0.25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128</v>
      </c>
      <c r="G454" s="2">
        <v>45848</v>
      </c>
      <c r="H454" t="s">
        <v>843</v>
      </c>
      <c r="I454" t="s">
        <v>98</v>
      </c>
      <c r="J454" s="2">
        <v>45848</v>
      </c>
      <c r="K454" s="2">
        <v>45854</v>
      </c>
      <c r="L454" t="s">
        <v>8</v>
      </c>
      <c r="M454" s="14">
        <v>256779421261</v>
      </c>
      <c r="N454" t="s">
        <v>9</v>
      </c>
      <c r="O454" t="s">
        <v>10</v>
      </c>
      <c r="P454" t="s">
        <v>11</v>
      </c>
      <c r="Q454" t="s">
        <v>42</v>
      </c>
      <c r="R454" t="s">
        <v>13</v>
      </c>
      <c r="S454" s="3">
        <v>-26.55</v>
      </c>
      <c r="T454" t="s">
        <v>14</v>
      </c>
      <c r="U454" s="3">
        <v>-2283.3200000000002</v>
      </c>
      <c r="V454" t="s">
        <v>37</v>
      </c>
      <c r="W454" t="s">
        <v>16</v>
      </c>
      <c r="X454" t="s">
        <v>11</v>
      </c>
      <c r="Y454" t="s">
        <v>8</v>
      </c>
      <c r="Z454" t="s">
        <v>17</v>
      </c>
      <c r="AA454" t="s">
        <v>844</v>
      </c>
      <c r="AB454" t="s">
        <v>11</v>
      </c>
      <c r="AC454" t="s">
        <v>11</v>
      </c>
      <c r="AD454" t="s">
        <v>11</v>
      </c>
      <c r="AE454" s="2">
        <v>45848</v>
      </c>
      <c r="AF454" s="2">
        <v>45974</v>
      </c>
      <c r="AG454" t="s">
        <v>39</v>
      </c>
      <c r="AH454" s="14" t="e">
        <f>VLOOKUP(M454,'[1]INDIAN ENTERPRISES'!$D:$D,1,0)</f>
        <v>#N/A</v>
      </c>
      <c r="AI454" t="str">
        <f>VLOOKUP(M454,'[2]CN Not in Customer books'!$D:$J,7,0)</f>
        <v>Invoice &amp; CN both not received &amp; booked</v>
      </c>
      <c r="AJ454" s="15" t="e">
        <f>VLOOKUP(M454,'[1]INDIAN ENTERPRISES'!$D:$L,9,0)</f>
        <v>#N/A</v>
      </c>
    </row>
    <row r="455" spans="1:36" hidden="1" outlineLevel="2" x14ac:dyDescent="0.25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128</v>
      </c>
      <c r="G455" s="2">
        <v>45848</v>
      </c>
      <c r="H455" t="s">
        <v>845</v>
      </c>
      <c r="I455" t="s">
        <v>98</v>
      </c>
      <c r="J455" s="2">
        <v>45848</v>
      </c>
      <c r="K455" s="2">
        <v>45854</v>
      </c>
      <c r="L455" t="s">
        <v>8</v>
      </c>
      <c r="M455" s="14">
        <v>256779421262</v>
      </c>
      <c r="N455" t="s">
        <v>9</v>
      </c>
      <c r="O455" t="s">
        <v>10</v>
      </c>
      <c r="P455" t="s">
        <v>11</v>
      </c>
      <c r="Q455" t="s">
        <v>42</v>
      </c>
      <c r="R455" t="s">
        <v>13</v>
      </c>
      <c r="S455" s="3">
        <v>-32.450000000000003</v>
      </c>
      <c r="T455" t="s">
        <v>14</v>
      </c>
      <c r="U455" s="3">
        <v>-2790.72</v>
      </c>
      <c r="V455" t="s">
        <v>37</v>
      </c>
      <c r="W455" t="s">
        <v>16</v>
      </c>
      <c r="X455" t="s">
        <v>11</v>
      </c>
      <c r="Y455" t="s">
        <v>8</v>
      </c>
      <c r="Z455" t="s">
        <v>17</v>
      </c>
      <c r="AA455" t="s">
        <v>846</v>
      </c>
      <c r="AB455" t="s">
        <v>11</v>
      </c>
      <c r="AC455" t="s">
        <v>11</v>
      </c>
      <c r="AD455" t="s">
        <v>11</v>
      </c>
      <c r="AE455" s="2">
        <v>45848</v>
      </c>
      <c r="AF455" s="2">
        <v>45974</v>
      </c>
      <c r="AG455" t="s">
        <v>39</v>
      </c>
      <c r="AH455" s="14" t="e">
        <f>VLOOKUP(M455,'[1]INDIAN ENTERPRISES'!$D:$D,1,0)</f>
        <v>#N/A</v>
      </c>
      <c r="AI455" t="str">
        <f>VLOOKUP(M455,'[2]CN Not in Customer books'!$D:$J,7,0)</f>
        <v>Invoice &amp; CN both not received &amp; booked</v>
      </c>
      <c r="AJ455" s="15" t="e">
        <f>VLOOKUP(M455,'[1]INDIAN ENTERPRISES'!$D:$L,9,0)</f>
        <v>#N/A</v>
      </c>
    </row>
    <row r="456" spans="1:36" hidden="1" outlineLevel="2" x14ac:dyDescent="0.25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128</v>
      </c>
      <c r="G456" s="2">
        <v>45848</v>
      </c>
      <c r="H456" t="s">
        <v>847</v>
      </c>
      <c r="I456" t="s">
        <v>98</v>
      </c>
      <c r="J456" s="2">
        <v>45848</v>
      </c>
      <c r="K456" s="2">
        <v>45854</v>
      </c>
      <c r="L456" t="s">
        <v>8</v>
      </c>
      <c r="M456" s="14">
        <v>256779421263</v>
      </c>
      <c r="N456" t="s">
        <v>9</v>
      </c>
      <c r="O456" t="s">
        <v>10</v>
      </c>
      <c r="P456" t="s">
        <v>11</v>
      </c>
      <c r="Q456" t="s">
        <v>42</v>
      </c>
      <c r="R456" t="s">
        <v>13</v>
      </c>
      <c r="S456" s="3">
        <v>-26.55</v>
      </c>
      <c r="T456" t="s">
        <v>14</v>
      </c>
      <c r="U456" s="3">
        <v>-2283.3200000000002</v>
      </c>
      <c r="V456" t="s">
        <v>37</v>
      </c>
      <c r="W456" t="s">
        <v>16</v>
      </c>
      <c r="X456" t="s">
        <v>11</v>
      </c>
      <c r="Y456" t="s">
        <v>8</v>
      </c>
      <c r="Z456" t="s">
        <v>17</v>
      </c>
      <c r="AA456" t="s">
        <v>848</v>
      </c>
      <c r="AB456" t="s">
        <v>11</v>
      </c>
      <c r="AC456" t="s">
        <v>11</v>
      </c>
      <c r="AD456" t="s">
        <v>11</v>
      </c>
      <c r="AE456" s="2">
        <v>45848</v>
      </c>
      <c r="AF456" s="2">
        <v>45974</v>
      </c>
      <c r="AG456" t="s">
        <v>39</v>
      </c>
      <c r="AH456" s="14" t="e">
        <f>VLOOKUP(M456,'[1]INDIAN ENTERPRISES'!$D:$D,1,0)</f>
        <v>#N/A</v>
      </c>
      <c r="AI456" t="str">
        <f>VLOOKUP(M456,'[2]CN Not in Customer books'!$D:$J,7,0)</f>
        <v>Invoice &amp; CN both not received &amp; booked</v>
      </c>
      <c r="AJ456" s="15" t="e">
        <f>VLOOKUP(M456,'[1]INDIAN ENTERPRISES'!$D:$L,9,0)</f>
        <v>#N/A</v>
      </c>
    </row>
    <row r="457" spans="1:36" hidden="1" outlineLevel="2" x14ac:dyDescent="0.25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128</v>
      </c>
      <c r="G457" s="2">
        <v>45848</v>
      </c>
      <c r="H457" t="s">
        <v>849</v>
      </c>
      <c r="I457" t="s">
        <v>98</v>
      </c>
      <c r="J457" s="2">
        <v>45848</v>
      </c>
      <c r="K457" s="2">
        <v>45854</v>
      </c>
      <c r="L457" t="s">
        <v>8</v>
      </c>
      <c r="M457" s="14">
        <v>256779421264</v>
      </c>
      <c r="N457" t="s">
        <v>9</v>
      </c>
      <c r="O457" t="s">
        <v>10</v>
      </c>
      <c r="P457" t="s">
        <v>11</v>
      </c>
      <c r="Q457" t="s">
        <v>42</v>
      </c>
      <c r="R457" t="s">
        <v>13</v>
      </c>
      <c r="S457" s="3">
        <v>-26.55</v>
      </c>
      <c r="T457" t="s">
        <v>14</v>
      </c>
      <c r="U457" s="3">
        <v>-2283.3200000000002</v>
      </c>
      <c r="V457" t="s">
        <v>37</v>
      </c>
      <c r="W457" t="s">
        <v>16</v>
      </c>
      <c r="X457" t="s">
        <v>11</v>
      </c>
      <c r="Y457" t="s">
        <v>8</v>
      </c>
      <c r="Z457" t="s">
        <v>17</v>
      </c>
      <c r="AA457" t="s">
        <v>850</v>
      </c>
      <c r="AB457" t="s">
        <v>11</v>
      </c>
      <c r="AC457" t="s">
        <v>11</v>
      </c>
      <c r="AD457" t="s">
        <v>11</v>
      </c>
      <c r="AE457" s="2">
        <v>45848</v>
      </c>
      <c r="AF457" s="2">
        <v>45974</v>
      </c>
      <c r="AG457" t="s">
        <v>39</v>
      </c>
      <c r="AH457" s="14" t="e">
        <f>VLOOKUP(M457,'[1]INDIAN ENTERPRISES'!$D:$D,1,0)</f>
        <v>#N/A</v>
      </c>
      <c r="AI457" t="str">
        <f>VLOOKUP(M457,'[2]CN Not in Customer books'!$D:$J,7,0)</f>
        <v>Invoice &amp; CN both not received &amp; booked</v>
      </c>
      <c r="AJ457" s="15" t="e">
        <f>VLOOKUP(M457,'[1]INDIAN ENTERPRISES'!$D:$L,9,0)</f>
        <v>#N/A</v>
      </c>
    </row>
    <row r="458" spans="1:36" hidden="1" outlineLevel="2" x14ac:dyDescent="0.25">
      <c r="A458" t="s">
        <v>0</v>
      </c>
      <c r="B458" t="s">
        <v>1</v>
      </c>
      <c r="C458" t="s">
        <v>2</v>
      </c>
      <c r="D458" t="s">
        <v>3</v>
      </c>
      <c r="E458" t="s">
        <v>4</v>
      </c>
      <c r="F458" t="s">
        <v>128</v>
      </c>
      <c r="G458" s="2">
        <v>45848</v>
      </c>
      <c r="H458" t="s">
        <v>851</v>
      </c>
      <c r="I458" t="s">
        <v>98</v>
      </c>
      <c r="J458" s="2">
        <v>45848</v>
      </c>
      <c r="K458" s="2">
        <v>45854</v>
      </c>
      <c r="L458" t="s">
        <v>8</v>
      </c>
      <c r="M458" s="14">
        <v>256779421265</v>
      </c>
      <c r="N458" t="s">
        <v>9</v>
      </c>
      <c r="O458" t="s">
        <v>10</v>
      </c>
      <c r="P458" t="s">
        <v>11</v>
      </c>
      <c r="Q458" t="s">
        <v>42</v>
      </c>
      <c r="R458" t="s">
        <v>13</v>
      </c>
      <c r="S458" s="3">
        <v>-2.95</v>
      </c>
      <c r="T458" t="s">
        <v>14</v>
      </c>
      <c r="U458" s="3">
        <v>-253.7</v>
      </c>
      <c r="V458" t="s">
        <v>37</v>
      </c>
      <c r="W458" t="s">
        <v>16</v>
      </c>
      <c r="X458" t="s">
        <v>11</v>
      </c>
      <c r="Y458" t="s">
        <v>8</v>
      </c>
      <c r="Z458" t="s">
        <v>17</v>
      </c>
      <c r="AA458" t="s">
        <v>852</v>
      </c>
      <c r="AB458" t="s">
        <v>11</v>
      </c>
      <c r="AC458" t="s">
        <v>11</v>
      </c>
      <c r="AD458" t="s">
        <v>11</v>
      </c>
      <c r="AE458" s="2">
        <v>45848</v>
      </c>
      <c r="AF458" s="2">
        <v>45974</v>
      </c>
      <c r="AG458" t="s">
        <v>39</v>
      </c>
      <c r="AH458" s="14" t="e">
        <f>VLOOKUP(M458,'[1]INDIAN ENTERPRISES'!$D:$D,1,0)</f>
        <v>#N/A</v>
      </c>
      <c r="AI458" t="str">
        <f>VLOOKUP(M458,'[2]CN Not in Customer books'!$D:$J,7,0)</f>
        <v>Invoice &amp; CN both not received &amp; booked</v>
      </c>
      <c r="AJ458" s="15" t="e">
        <f>VLOOKUP(M458,'[1]INDIAN ENTERPRISES'!$D:$L,9,0)</f>
        <v>#N/A</v>
      </c>
    </row>
    <row r="459" spans="1:36" hidden="1" outlineLevel="2" x14ac:dyDescent="0.25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128</v>
      </c>
      <c r="G459" s="2">
        <v>45848</v>
      </c>
      <c r="H459" t="s">
        <v>853</v>
      </c>
      <c r="I459" t="s">
        <v>98</v>
      </c>
      <c r="J459" s="2">
        <v>45848</v>
      </c>
      <c r="K459" s="2">
        <v>45854</v>
      </c>
      <c r="L459" t="s">
        <v>8</v>
      </c>
      <c r="M459" s="14">
        <v>256779421266</v>
      </c>
      <c r="N459" t="s">
        <v>9</v>
      </c>
      <c r="O459" t="s">
        <v>10</v>
      </c>
      <c r="P459" t="s">
        <v>11</v>
      </c>
      <c r="Q459" t="s">
        <v>42</v>
      </c>
      <c r="R459" t="s">
        <v>13</v>
      </c>
      <c r="S459" s="3">
        <v>-26.55</v>
      </c>
      <c r="T459" t="s">
        <v>14</v>
      </c>
      <c r="U459" s="3">
        <v>-2283.3200000000002</v>
      </c>
      <c r="V459" t="s">
        <v>37</v>
      </c>
      <c r="W459" t="s">
        <v>16</v>
      </c>
      <c r="X459" t="s">
        <v>11</v>
      </c>
      <c r="Y459" t="s">
        <v>8</v>
      </c>
      <c r="Z459" t="s">
        <v>17</v>
      </c>
      <c r="AA459" t="s">
        <v>776</v>
      </c>
      <c r="AB459" t="s">
        <v>11</v>
      </c>
      <c r="AC459" t="s">
        <v>11</v>
      </c>
      <c r="AD459" t="s">
        <v>11</v>
      </c>
      <c r="AE459" s="2">
        <v>45848</v>
      </c>
      <c r="AF459" s="2">
        <v>45974</v>
      </c>
      <c r="AG459" t="s">
        <v>39</v>
      </c>
      <c r="AH459" s="14" t="e">
        <f>VLOOKUP(M459,'[1]INDIAN ENTERPRISES'!$D:$D,1,0)</f>
        <v>#N/A</v>
      </c>
      <c r="AI459" t="str">
        <f>VLOOKUP(M459,'[2]CN Not in Customer books'!$D:$J,7,0)</f>
        <v>Invoice &amp; CN both not received &amp; booked</v>
      </c>
      <c r="AJ459" s="15" t="e">
        <f>VLOOKUP(M459,'[1]INDIAN ENTERPRISES'!$D:$L,9,0)</f>
        <v>#N/A</v>
      </c>
    </row>
    <row r="460" spans="1:36" hidden="1" outlineLevel="2" x14ac:dyDescent="0.25">
      <c r="A460" t="s">
        <v>0</v>
      </c>
      <c r="B460" t="s">
        <v>1</v>
      </c>
      <c r="C460" t="s">
        <v>2</v>
      </c>
      <c r="D460" t="s">
        <v>3</v>
      </c>
      <c r="E460" t="s">
        <v>4</v>
      </c>
      <c r="F460" t="s">
        <v>128</v>
      </c>
      <c r="G460" s="2">
        <v>45848</v>
      </c>
      <c r="H460" t="s">
        <v>854</v>
      </c>
      <c r="I460" t="s">
        <v>98</v>
      </c>
      <c r="J460" s="2">
        <v>45848</v>
      </c>
      <c r="K460" s="2">
        <v>45854</v>
      </c>
      <c r="L460" t="s">
        <v>8</v>
      </c>
      <c r="M460" s="14">
        <v>256779421267</v>
      </c>
      <c r="N460" t="s">
        <v>9</v>
      </c>
      <c r="O460" t="s">
        <v>10</v>
      </c>
      <c r="P460" t="s">
        <v>11</v>
      </c>
      <c r="Q460" t="s">
        <v>42</v>
      </c>
      <c r="R460" t="s">
        <v>13</v>
      </c>
      <c r="S460" s="3">
        <v>-26.55</v>
      </c>
      <c r="T460" t="s">
        <v>14</v>
      </c>
      <c r="U460" s="3">
        <v>-2283.3200000000002</v>
      </c>
      <c r="V460" t="s">
        <v>37</v>
      </c>
      <c r="W460" t="s">
        <v>16</v>
      </c>
      <c r="X460" t="s">
        <v>11</v>
      </c>
      <c r="Y460" t="s">
        <v>8</v>
      </c>
      <c r="Z460" t="s">
        <v>17</v>
      </c>
      <c r="AA460" t="s">
        <v>778</v>
      </c>
      <c r="AB460" t="s">
        <v>11</v>
      </c>
      <c r="AC460" t="s">
        <v>11</v>
      </c>
      <c r="AD460" t="s">
        <v>11</v>
      </c>
      <c r="AE460" s="2">
        <v>45848</v>
      </c>
      <c r="AF460" s="2">
        <v>45974</v>
      </c>
      <c r="AG460" t="s">
        <v>39</v>
      </c>
      <c r="AH460" s="14" t="e">
        <f>VLOOKUP(M460,'[1]INDIAN ENTERPRISES'!$D:$D,1,0)</f>
        <v>#N/A</v>
      </c>
      <c r="AI460" t="str">
        <f>VLOOKUP(M460,'[2]CN Not in Customer books'!$D:$J,7,0)</f>
        <v>Invoice &amp; CN both not received &amp; booked</v>
      </c>
      <c r="AJ460" s="15" t="e">
        <f>VLOOKUP(M460,'[1]INDIAN ENTERPRISES'!$D:$L,9,0)</f>
        <v>#N/A</v>
      </c>
    </row>
    <row r="461" spans="1:36" hidden="1" outlineLevel="2" x14ac:dyDescent="0.25">
      <c r="A461" t="s">
        <v>0</v>
      </c>
      <c r="B461" t="s">
        <v>1</v>
      </c>
      <c r="C461" t="s">
        <v>2</v>
      </c>
      <c r="D461" t="s">
        <v>3</v>
      </c>
      <c r="E461" t="s">
        <v>4</v>
      </c>
      <c r="F461" t="s">
        <v>128</v>
      </c>
      <c r="G461" s="2">
        <v>45848</v>
      </c>
      <c r="H461" t="s">
        <v>855</v>
      </c>
      <c r="I461" t="s">
        <v>98</v>
      </c>
      <c r="J461" s="2">
        <v>45848</v>
      </c>
      <c r="K461" s="2">
        <v>45854</v>
      </c>
      <c r="L461" t="s">
        <v>8</v>
      </c>
      <c r="M461" s="14">
        <v>256779421268</v>
      </c>
      <c r="N461" t="s">
        <v>9</v>
      </c>
      <c r="O461" t="s">
        <v>10</v>
      </c>
      <c r="P461" t="s">
        <v>11</v>
      </c>
      <c r="Q461" t="s">
        <v>42</v>
      </c>
      <c r="R461" t="s">
        <v>13</v>
      </c>
      <c r="S461" s="3">
        <v>-29.5</v>
      </c>
      <c r="T461" t="s">
        <v>14</v>
      </c>
      <c r="U461" s="3">
        <v>-2537.02</v>
      </c>
      <c r="V461" t="s">
        <v>37</v>
      </c>
      <c r="W461" t="s">
        <v>16</v>
      </c>
      <c r="X461" t="s">
        <v>11</v>
      </c>
      <c r="Y461" t="s">
        <v>8</v>
      </c>
      <c r="Z461" t="s">
        <v>17</v>
      </c>
      <c r="AA461" t="s">
        <v>780</v>
      </c>
      <c r="AB461" t="s">
        <v>11</v>
      </c>
      <c r="AC461" t="s">
        <v>11</v>
      </c>
      <c r="AD461" t="s">
        <v>11</v>
      </c>
      <c r="AE461" s="2">
        <v>45848</v>
      </c>
      <c r="AF461" s="2">
        <v>45974</v>
      </c>
      <c r="AG461" t="s">
        <v>39</v>
      </c>
      <c r="AH461" s="14" t="e">
        <f>VLOOKUP(M461,'[1]INDIAN ENTERPRISES'!$D:$D,1,0)</f>
        <v>#N/A</v>
      </c>
      <c r="AI461" t="str">
        <f>VLOOKUP(M461,'[2]CN Not in Customer books'!$D:$J,7,0)</f>
        <v>Invoice &amp; CN both not received &amp; booked</v>
      </c>
      <c r="AJ461" s="15" t="e">
        <f>VLOOKUP(M461,'[1]INDIAN ENTERPRISES'!$D:$L,9,0)</f>
        <v>#N/A</v>
      </c>
    </row>
    <row r="462" spans="1:36" hidden="1" outlineLevel="2" x14ac:dyDescent="0.25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128</v>
      </c>
      <c r="G462" s="2">
        <v>45848</v>
      </c>
      <c r="H462" t="s">
        <v>856</v>
      </c>
      <c r="I462" t="s">
        <v>98</v>
      </c>
      <c r="J462" s="2">
        <v>45848</v>
      </c>
      <c r="K462" s="2">
        <v>45854</v>
      </c>
      <c r="L462" t="s">
        <v>8</v>
      </c>
      <c r="M462" s="14">
        <v>256779421269</v>
      </c>
      <c r="N462" t="s">
        <v>9</v>
      </c>
      <c r="O462" t="s">
        <v>10</v>
      </c>
      <c r="P462" t="s">
        <v>11</v>
      </c>
      <c r="Q462" t="s">
        <v>42</v>
      </c>
      <c r="R462" t="s">
        <v>13</v>
      </c>
      <c r="S462" s="3">
        <v>-5.9</v>
      </c>
      <c r="T462" t="s">
        <v>14</v>
      </c>
      <c r="U462" s="3">
        <v>-507.4</v>
      </c>
      <c r="V462" t="s">
        <v>37</v>
      </c>
      <c r="W462" t="s">
        <v>16</v>
      </c>
      <c r="X462" t="s">
        <v>11</v>
      </c>
      <c r="Y462" t="s">
        <v>8</v>
      </c>
      <c r="Z462" t="s">
        <v>17</v>
      </c>
      <c r="AA462" t="s">
        <v>782</v>
      </c>
      <c r="AB462" t="s">
        <v>11</v>
      </c>
      <c r="AC462" t="s">
        <v>11</v>
      </c>
      <c r="AD462" t="s">
        <v>11</v>
      </c>
      <c r="AE462" s="2">
        <v>45848</v>
      </c>
      <c r="AF462" s="2">
        <v>45974</v>
      </c>
      <c r="AG462" t="s">
        <v>39</v>
      </c>
      <c r="AH462" s="14" t="e">
        <f>VLOOKUP(M462,'[1]INDIAN ENTERPRISES'!$D:$D,1,0)</f>
        <v>#N/A</v>
      </c>
      <c r="AI462" t="str">
        <f>VLOOKUP(M462,'[2]CN Not in Customer books'!$D:$J,7,0)</f>
        <v>Invoice &amp; CN both not received &amp; booked</v>
      </c>
      <c r="AJ462" s="15" t="e">
        <f>VLOOKUP(M462,'[1]INDIAN ENTERPRISES'!$D:$L,9,0)</f>
        <v>#N/A</v>
      </c>
    </row>
    <row r="463" spans="1:36" hidden="1" outlineLevel="2" x14ac:dyDescent="0.25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128</v>
      </c>
      <c r="G463" s="2">
        <v>45848</v>
      </c>
      <c r="H463" t="s">
        <v>857</v>
      </c>
      <c r="I463" t="s">
        <v>98</v>
      </c>
      <c r="J463" s="2">
        <v>45848</v>
      </c>
      <c r="K463" s="2">
        <v>45854</v>
      </c>
      <c r="L463" t="s">
        <v>8</v>
      </c>
      <c r="M463" s="14">
        <v>256779421270</v>
      </c>
      <c r="N463" t="s">
        <v>9</v>
      </c>
      <c r="O463" t="s">
        <v>10</v>
      </c>
      <c r="P463" t="s">
        <v>11</v>
      </c>
      <c r="Q463" t="s">
        <v>42</v>
      </c>
      <c r="R463" t="s">
        <v>13</v>
      </c>
      <c r="S463" s="3">
        <v>-20.65</v>
      </c>
      <c r="T463" t="s">
        <v>14</v>
      </c>
      <c r="U463" s="3">
        <v>-1775.91</v>
      </c>
      <c r="V463" t="s">
        <v>37</v>
      </c>
      <c r="W463" t="s">
        <v>16</v>
      </c>
      <c r="X463" t="s">
        <v>11</v>
      </c>
      <c r="Y463" t="s">
        <v>8</v>
      </c>
      <c r="Z463" t="s">
        <v>17</v>
      </c>
      <c r="AA463" t="s">
        <v>784</v>
      </c>
      <c r="AB463" t="s">
        <v>11</v>
      </c>
      <c r="AC463" t="s">
        <v>11</v>
      </c>
      <c r="AD463" t="s">
        <v>11</v>
      </c>
      <c r="AE463" s="2">
        <v>45848</v>
      </c>
      <c r="AF463" s="2">
        <v>45974</v>
      </c>
      <c r="AG463" t="s">
        <v>39</v>
      </c>
      <c r="AH463" s="14" t="e">
        <f>VLOOKUP(M463,'[1]INDIAN ENTERPRISES'!$D:$D,1,0)</f>
        <v>#N/A</v>
      </c>
      <c r="AI463" t="str">
        <f>VLOOKUP(M463,'[2]CN Not in Customer books'!$D:$J,7,0)</f>
        <v>Invoice &amp; CN both not received &amp; booked</v>
      </c>
      <c r="AJ463" s="15" t="e">
        <f>VLOOKUP(M463,'[1]INDIAN ENTERPRISES'!$D:$L,9,0)</f>
        <v>#N/A</v>
      </c>
    </row>
    <row r="464" spans="1:36" hidden="1" outlineLevel="2" x14ac:dyDescent="0.25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128</v>
      </c>
      <c r="G464" s="2">
        <v>45848</v>
      </c>
      <c r="H464" t="s">
        <v>858</v>
      </c>
      <c r="I464" t="s">
        <v>98</v>
      </c>
      <c r="J464" s="2">
        <v>45848</v>
      </c>
      <c r="K464" s="2">
        <v>45854</v>
      </c>
      <c r="L464" t="s">
        <v>8</v>
      </c>
      <c r="M464" s="14">
        <v>256779421271</v>
      </c>
      <c r="N464" t="s">
        <v>9</v>
      </c>
      <c r="O464" t="s">
        <v>10</v>
      </c>
      <c r="P464" t="s">
        <v>11</v>
      </c>
      <c r="Q464" t="s">
        <v>42</v>
      </c>
      <c r="R464" t="s">
        <v>13</v>
      </c>
      <c r="S464" s="3">
        <v>-14.75</v>
      </c>
      <c r="T464" t="s">
        <v>14</v>
      </c>
      <c r="U464" s="3">
        <v>-1268.51</v>
      </c>
      <c r="V464" t="s">
        <v>37</v>
      </c>
      <c r="W464" t="s">
        <v>16</v>
      </c>
      <c r="X464" t="s">
        <v>11</v>
      </c>
      <c r="Y464" t="s">
        <v>8</v>
      </c>
      <c r="Z464" t="s">
        <v>17</v>
      </c>
      <c r="AA464" t="s">
        <v>786</v>
      </c>
      <c r="AB464" t="s">
        <v>11</v>
      </c>
      <c r="AC464" t="s">
        <v>11</v>
      </c>
      <c r="AD464" t="s">
        <v>11</v>
      </c>
      <c r="AE464" s="2">
        <v>45848</v>
      </c>
      <c r="AF464" s="2">
        <v>45974</v>
      </c>
      <c r="AG464" t="s">
        <v>39</v>
      </c>
      <c r="AH464" s="14" t="e">
        <f>VLOOKUP(M464,'[1]INDIAN ENTERPRISES'!$D:$D,1,0)</f>
        <v>#N/A</v>
      </c>
      <c r="AI464" t="str">
        <f>VLOOKUP(M464,'[2]CN Not in Customer books'!$D:$J,7,0)</f>
        <v>Invoice &amp; CN both not received &amp; booked</v>
      </c>
      <c r="AJ464" s="15" t="e">
        <f>VLOOKUP(M464,'[1]INDIAN ENTERPRISES'!$D:$L,9,0)</f>
        <v>#N/A</v>
      </c>
    </row>
    <row r="465" spans="1:36" hidden="1" outlineLevel="2" x14ac:dyDescent="0.25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128</v>
      </c>
      <c r="G465" s="2">
        <v>45848</v>
      </c>
      <c r="H465" t="s">
        <v>859</v>
      </c>
      <c r="I465" t="s">
        <v>98</v>
      </c>
      <c r="J465" s="2">
        <v>45848</v>
      </c>
      <c r="K465" s="2">
        <v>45854</v>
      </c>
      <c r="L465" t="s">
        <v>8</v>
      </c>
      <c r="M465" s="14">
        <v>256779421272</v>
      </c>
      <c r="N465" t="s">
        <v>9</v>
      </c>
      <c r="O465" t="s">
        <v>10</v>
      </c>
      <c r="P465" t="s">
        <v>11</v>
      </c>
      <c r="Q465" t="s">
        <v>42</v>
      </c>
      <c r="R465" t="s">
        <v>13</v>
      </c>
      <c r="S465" s="3">
        <v>-32.32</v>
      </c>
      <c r="T465" t="s">
        <v>14</v>
      </c>
      <c r="U465" s="3">
        <v>-2779.54</v>
      </c>
      <c r="V465" t="s">
        <v>37</v>
      </c>
      <c r="W465" t="s">
        <v>16</v>
      </c>
      <c r="X465" t="s">
        <v>11</v>
      </c>
      <c r="Y465" t="s">
        <v>8</v>
      </c>
      <c r="Z465" t="s">
        <v>17</v>
      </c>
      <c r="AA465" t="s">
        <v>788</v>
      </c>
      <c r="AB465" t="s">
        <v>11</v>
      </c>
      <c r="AC465" t="s">
        <v>11</v>
      </c>
      <c r="AD465" t="s">
        <v>11</v>
      </c>
      <c r="AE465" s="2">
        <v>45848</v>
      </c>
      <c r="AF465" s="2">
        <v>45974</v>
      </c>
      <c r="AG465" t="s">
        <v>39</v>
      </c>
      <c r="AH465" s="14" t="e">
        <f>VLOOKUP(M465,'[1]INDIAN ENTERPRISES'!$D:$D,1,0)</f>
        <v>#N/A</v>
      </c>
      <c r="AI465" t="str">
        <f>VLOOKUP(M465,'[2]CN Not in Customer books'!$D:$J,7,0)</f>
        <v>Invoice &amp; CN both not received &amp; booked</v>
      </c>
      <c r="AJ465" s="15" t="e">
        <f>VLOOKUP(M465,'[1]INDIAN ENTERPRISES'!$D:$L,9,0)</f>
        <v>#N/A</v>
      </c>
    </row>
    <row r="466" spans="1:36" hidden="1" outlineLevel="2" x14ac:dyDescent="0.25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128</v>
      </c>
      <c r="G466" s="2">
        <v>45848</v>
      </c>
      <c r="H466" t="s">
        <v>860</v>
      </c>
      <c r="I466" t="s">
        <v>98</v>
      </c>
      <c r="J466" s="2">
        <v>45848</v>
      </c>
      <c r="K466" s="2">
        <v>45854</v>
      </c>
      <c r="L466" t="s">
        <v>8</v>
      </c>
      <c r="M466" s="14">
        <v>256779421273</v>
      </c>
      <c r="N466" t="s">
        <v>9</v>
      </c>
      <c r="O466" t="s">
        <v>10</v>
      </c>
      <c r="P466" t="s">
        <v>11</v>
      </c>
      <c r="Q466" t="s">
        <v>42</v>
      </c>
      <c r="R466" t="s">
        <v>13</v>
      </c>
      <c r="S466" s="3">
        <v>-30.49</v>
      </c>
      <c r="T466" t="s">
        <v>14</v>
      </c>
      <c r="U466" s="3">
        <v>-2622.16</v>
      </c>
      <c r="V466" t="s">
        <v>37</v>
      </c>
      <c r="W466" t="s">
        <v>16</v>
      </c>
      <c r="X466" t="s">
        <v>11</v>
      </c>
      <c r="Y466" t="s">
        <v>8</v>
      </c>
      <c r="Z466" t="s">
        <v>17</v>
      </c>
      <c r="AA466" t="s">
        <v>790</v>
      </c>
      <c r="AB466" t="s">
        <v>11</v>
      </c>
      <c r="AC466" t="s">
        <v>11</v>
      </c>
      <c r="AD466" t="s">
        <v>11</v>
      </c>
      <c r="AE466" s="2">
        <v>45848</v>
      </c>
      <c r="AF466" s="2">
        <v>45974</v>
      </c>
      <c r="AG466" t="s">
        <v>39</v>
      </c>
      <c r="AH466" s="14" t="e">
        <f>VLOOKUP(M466,'[1]INDIAN ENTERPRISES'!$D:$D,1,0)</f>
        <v>#N/A</v>
      </c>
      <c r="AI466" t="str">
        <f>VLOOKUP(M466,'[2]CN Not in Customer books'!$D:$J,7,0)</f>
        <v>Invoice &amp; CN both not received &amp; booked</v>
      </c>
      <c r="AJ466" s="15" t="e">
        <f>VLOOKUP(M466,'[1]INDIAN ENTERPRISES'!$D:$L,9,0)</f>
        <v>#N/A</v>
      </c>
    </row>
    <row r="467" spans="1:36" hidden="1" outlineLevel="2" x14ac:dyDescent="0.25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128</v>
      </c>
      <c r="G467" s="2">
        <v>45848</v>
      </c>
      <c r="H467" t="s">
        <v>861</v>
      </c>
      <c r="I467" t="s">
        <v>98</v>
      </c>
      <c r="J467" s="2">
        <v>45848</v>
      </c>
      <c r="K467" s="2">
        <v>45854</v>
      </c>
      <c r="L467" t="s">
        <v>8</v>
      </c>
      <c r="M467" s="14">
        <v>256779421274</v>
      </c>
      <c r="N467" t="s">
        <v>9</v>
      </c>
      <c r="O467" t="s">
        <v>10</v>
      </c>
      <c r="P467" t="s">
        <v>11</v>
      </c>
      <c r="Q467" t="s">
        <v>42</v>
      </c>
      <c r="R467" t="s">
        <v>13</v>
      </c>
      <c r="S467" s="3">
        <v>-17.7</v>
      </c>
      <c r="T467" t="s">
        <v>14</v>
      </c>
      <c r="U467" s="3">
        <v>-1522.21</v>
      </c>
      <c r="V467" t="s">
        <v>37</v>
      </c>
      <c r="W467" t="s">
        <v>16</v>
      </c>
      <c r="X467" t="s">
        <v>11</v>
      </c>
      <c r="Y467" t="s">
        <v>8</v>
      </c>
      <c r="Z467" t="s">
        <v>17</v>
      </c>
      <c r="AA467" t="s">
        <v>792</v>
      </c>
      <c r="AB467" t="s">
        <v>11</v>
      </c>
      <c r="AC467" t="s">
        <v>11</v>
      </c>
      <c r="AD467" t="s">
        <v>11</v>
      </c>
      <c r="AE467" s="2">
        <v>45848</v>
      </c>
      <c r="AF467" s="2">
        <v>45974</v>
      </c>
      <c r="AG467" t="s">
        <v>39</v>
      </c>
      <c r="AH467" s="14" t="e">
        <f>VLOOKUP(M467,'[1]INDIAN ENTERPRISES'!$D:$D,1,0)</f>
        <v>#N/A</v>
      </c>
      <c r="AI467" t="str">
        <f>VLOOKUP(M467,'[2]CN Not in Customer books'!$D:$J,7,0)</f>
        <v>Invoice &amp; CN both not received &amp; booked</v>
      </c>
      <c r="AJ467" s="15" t="e">
        <f>VLOOKUP(M467,'[1]INDIAN ENTERPRISES'!$D:$L,9,0)</f>
        <v>#N/A</v>
      </c>
    </row>
    <row r="468" spans="1:36" hidden="1" outlineLevel="2" x14ac:dyDescent="0.25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128</v>
      </c>
      <c r="G468" s="2">
        <v>45848</v>
      </c>
      <c r="H468" t="s">
        <v>862</v>
      </c>
      <c r="I468" t="s">
        <v>98</v>
      </c>
      <c r="J468" s="2">
        <v>45848</v>
      </c>
      <c r="K468" s="2">
        <v>45854</v>
      </c>
      <c r="L468" t="s">
        <v>8</v>
      </c>
      <c r="M468" s="14">
        <v>256779421275</v>
      </c>
      <c r="N468" t="s">
        <v>9</v>
      </c>
      <c r="O468" t="s">
        <v>10</v>
      </c>
      <c r="P468" t="s">
        <v>11</v>
      </c>
      <c r="Q468" t="s">
        <v>42</v>
      </c>
      <c r="R468" t="s">
        <v>13</v>
      </c>
      <c r="S468" s="3">
        <v>-2.95</v>
      </c>
      <c r="T468" t="s">
        <v>14</v>
      </c>
      <c r="U468" s="3">
        <v>-253.7</v>
      </c>
      <c r="V468" t="s">
        <v>37</v>
      </c>
      <c r="W468" t="s">
        <v>16</v>
      </c>
      <c r="X468" t="s">
        <v>11</v>
      </c>
      <c r="Y468" t="s">
        <v>8</v>
      </c>
      <c r="Z468" t="s">
        <v>17</v>
      </c>
      <c r="AA468" t="s">
        <v>794</v>
      </c>
      <c r="AB468" t="s">
        <v>11</v>
      </c>
      <c r="AC468" t="s">
        <v>11</v>
      </c>
      <c r="AD468" t="s">
        <v>11</v>
      </c>
      <c r="AE468" s="2">
        <v>45848</v>
      </c>
      <c r="AF468" s="2">
        <v>45974</v>
      </c>
      <c r="AG468" t="s">
        <v>39</v>
      </c>
      <c r="AH468" s="14" t="e">
        <f>VLOOKUP(M468,'[1]INDIAN ENTERPRISES'!$D:$D,1,0)</f>
        <v>#N/A</v>
      </c>
      <c r="AI468" t="str">
        <f>VLOOKUP(M468,'[2]CN Not in Customer books'!$D:$J,7,0)</f>
        <v>Invoice &amp; CN both not received &amp; booked</v>
      </c>
      <c r="AJ468" s="15" t="e">
        <f>VLOOKUP(M468,'[1]INDIAN ENTERPRISES'!$D:$L,9,0)</f>
        <v>#N/A</v>
      </c>
    </row>
    <row r="469" spans="1:36" hidden="1" outlineLevel="2" x14ac:dyDescent="0.25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128</v>
      </c>
      <c r="G469" s="2">
        <v>45848</v>
      </c>
      <c r="H469" t="s">
        <v>863</v>
      </c>
      <c r="I469" t="s">
        <v>98</v>
      </c>
      <c r="J469" s="2">
        <v>45848</v>
      </c>
      <c r="K469" s="2">
        <v>45854</v>
      </c>
      <c r="L469" t="s">
        <v>8</v>
      </c>
      <c r="M469" s="14">
        <v>256779421276</v>
      </c>
      <c r="N469" t="s">
        <v>9</v>
      </c>
      <c r="O469" t="s">
        <v>10</v>
      </c>
      <c r="P469" t="s">
        <v>11</v>
      </c>
      <c r="Q469" t="s">
        <v>42</v>
      </c>
      <c r="R469" t="s">
        <v>13</v>
      </c>
      <c r="S469" s="3">
        <v>-1.18</v>
      </c>
      <c r="T469" t="s">
        <v>14</v>
      </c>
      <c r="U469" s="3">
        <v>-101.48</v>
      </c>
      <c r="V469" t="s">
        <v>37</v>
      </c>
      <c r="W469" t="s">
        <v>16</v>
      </c>
      <c r="X469" t="s">
        <v>11</v>
      </c>
      <c r="Y469" t="s">
        <v>8</v>
      </c>
      <c r="Z469" t="s">
        <v>17</v>
      </c>
      <c r="AA469" t="s">
        <v>794</v>
      </c>
      <c r="AB469" t="s">
        <v>11</v>
      </c>
      <c r="AC469" t="s">
        <v>11</v>
      </c>
      <c r="AD469" t="s">
        <v>11</v>
      </c>
      <c r="AE469" s="2">
        <v>45848</v>
      </c>
      <c r="AF469" s="2">
        <v>45974</v>
      </c>
      <c r="AG469" t="s">
        <v>39</v>
      </c>
      <c r="AH469" s="14" t="e">
        <f>VLOOKUP(M469,'[1]INDIAN ENTERPRISES'!$D:$D,1,0)</f>
        <v>#N/A</v>
      </c>
      <c r="AI469" t="str">
        <f>VLOOKUP(M469,'[2]CN Not in Customer books'!$D:$J,7,0)</f>
        <v>Invoice &amp; CN both not received &amp; booked</v>
      </c>
      <c r="AJ469" s="15" t="e">
        <f>VLOOKUP(M469,'[1]INDIAN ENTERPRISES'!$D:$L,9,0)</f>
        <v>#N/A</v>
      </c>
    </row>
    <row r="470" spans="1:36" hidden="1" outlineLevel="2" x14ac:dyDescent="0.25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128</v>
      </c>
      <c r="G470" s="2">
        <v>45848</v>
      </c>
      <c r="H470" t="s">
        <v>864</v>
      </c>
      <c r="I470" t="s">
        <v>98</v>
      </c>
      <c r="J470" s="2">
        <v>45848</v>
      </c>
      <c r="K470" s="2">
        <v>45854</v>
      </c>
      <c r="L470" t="s">
        <v>8</v>
      </c>
      <c r="M470" s="14">
        <v>256779421277</v>
      </c>
      <c r="N470" t="s">
        <v>9</v>
      </c>
      <c r="O470" t="s">
        <v>10</v>
      </c>
      <c r="P470" t="s">
        <v>11</v>
      </c>
      <c r="Q470" t="s">
        <v>42</v>
      </c>
      <c r="R470" t="s">
        <v>13</v>
      </c>
      <c r="S470" s="3">
        <v>-29.5</v>
      </c>
      <c r="T470" t="s">
        <v>14</v>
      </c>
      <c r="U470" s="3">
        <v>-2537.02</v>
      </c>
      <c r="V470" t="s">
        <v>37</v>
      </c>
      <c r="W470" t="s">
        <v>16</v>
      </c>
      <c r="X470" t="s">
        <v>11</v>
      </c>
      <c r="Y470" t="s">
        <v>8</v>
      </c>
      <c r="Z470" t="s">
        <v>17</v>
      </c>
      <c r="AA470" t="s">
        <v>865</v>
      </c>
      <c r="AB470" t="s">
        <v>11</v>
      </c>
      <c r="AC470" t="s">
        <v>11</v>
      </c>
      <c r="AD470" t="s">
        <v>11</v>
      </c>
      <c r="AE470" s="2">
        <v>45848</v>
      </c>
      <c r="AF470" s="2">
        <v>45974</v>
      </c>
      <c r="AG470" t="s">
        <v>39</v>
      </c>
      <c r="AH470" s="14" t="e">
        <f>VLOOKUP(M470,'[1]INDIAN ENTERPRISES'!$D:$D,1,0)</f>
        <v>#N/A</v>
      </c>
      <c r="AI470" t="str">
        <f>VLOOKUP(M470,'[2]CN Not in Customer books'!$D:$J,7,0)</f>
        <v>Invoice &amp; CN both not received &amp; booked</v>
      </c>
      <c r="AJ470" s="15" t="e">
        <f>VLOOKUP(M470,'[1]INDIAN ENTERPRISES'!$D:$L,9,0)</f>
        <v>#N/A</v>
      </c>
    </row>
    <row r="471" spans="1:36" hidden="1" outlineLevel="2" x14ac:dyDescent="0.25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128</v>
      </c>
      <c r="G471" s="2">
        <v>45848</v>
      </c>
      <c r="H471" t="s">
        <v>866</v>
      </c>
      <c r="I471" t="s">
        <v>98</v>
      </c>
      <c r="J471" s="2">
        <v>45848</v>
      </c>
      <c r="K471" s="2">
        <v>45854</v>
      </c>
      <c r="L471" t="s">
        <v>8</v>
      </c>
      <c r="M471" s="14">
        <v>256779421278</v>
      </c>
      <c r="N471" t="s">
        <v>9</v>
      </c>
      <c r="O471" t="s">
        <v>10</v>
      </c>
      <c r="P471" t="s">
        <v>11</v>
      </c>
      <c r="Q471" t="s">
        <v>42</v>
      </c>
      <c r="R471" t="s">
        <v>13</v>
      </c>
      <c r="S471" s="3">
        <v>-29.5</v>
      </c>
      <c r="T471" t="s">
        <v>14</v>
      </c>
      <c r="U471" s="3">
        <v>-2537.02</v>
      </c>
      <c r="V471" t="s">
        <v>37</v>
      </c>
      <c r="W471" t="s">
        <v>16</v>
      </c>
      <c r="X471" t="s">
        <v>11</v>
      </c>
      <c r="Y471" t="s">
        <v>8</v>
      </c>
      <c r="Z471" t="s">
        <v>17</v>
      </c>
      <c r="AA471" t="s">
        <v>867</v>
      </c>
      <c r="AB471" t="s">
        <v>11</v>
      </c>
      <c r="AC471" t="s">
        <v>11</v>
      </c>
      <c r="AD471" t="s">
        <v>11</v>
      </c>
      <c r="AE471" s="2">
        <v>45848</v>
      </c>
      <c r="AF471" s="2">
        <v>45974</v>
      </c>
      <c r="AG471" t="s">
        <v>39</v>
      </c>
      <c r="AH471" s="14" t="e">
        <f>VLOOKUP(M471,'[1]INDIAN ENTERPRISES'!$D:$D,1,0)</f>
        <v>#N/A</v>
      </c>
      <c r="AI471" t="str">
        <f>VLOOKUP(M471,'[2]CN Not in Customer books'!$D:$J,7,0)</f>
        <v>Invoice &amp; CN both not received &amp; booked</v>
      </c>
      <c r="AJ471" s="15" t="e">
        <f>VLOOKUP(M471,'[1]INDIAN ENTERPRISES'!$D:$L,9,0)</f>
        <v>#N/A</v>
      </c>
    </row>
    <row r="472" spans="1:36" hidden="1" outlineLevel="2" x14ac:dyDescent="0.25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128</v>
      </c>
      <c r="G472" s="2">
        <v>45848</v>
      </c>
      <c r="H472" t="s">
        <v>868</v>
      </c>
      <c r="I472" t="s">
        <v>98</v>
      </c>
      <c r="J472" s="2">
        <v>45848</v>
      </c>
      <c r="K472" s="2">
        <v>45854</v>
      </c>
      <c r="L472" t="s">
        <v>8</v>
      </c>
      <c r="M472" s="14">
        <v>256779421279</v>
      </c>
      <c r="N472" t="s">
        <v>9</v>
      </c>
      <c r="O472" t="s">
        <v>10</v>
      </c>
      <c r="P472" t="s">
        <v>11</v>
      </c>
      <c r="Q472" t="s">
        <v>42</v>
      </c>
      <c r="R472" t="s">
        <v>13</v>
      </c>
      <c r="S472" s="3">
        <v>-20.65</v>
      </c>
      <c r="T472" t="s">
        <v>14</v>
      </c>
      <c r="U472" s="3">
        <v>-1775.91</v>
      </c>
      <c r="V472" t="s">
        <v>37</v>
      </c>
      <c r="W472" t="s">
        <v>16</v>
      </c>
      <c r="X472" t="s">
        <v>11</v>
      </c>
      <c r="Y472" t="s">
        <v>8</v>
      </c>
      <c r="Z472" t="s">
        <v>17</v>
      </c>
      <c r="AA472" t="s">
        <v>869</v>
      </c>
      <c r="AB472" t="s">
        <v>11</v>
      </c>
      <c r="AC472" t="s">
        <v>11</v>
      </c>
      <c r="AD472" t="s">
        <v>11</v>
      </c>
      <c r="AE472" s="2">
        <v>45848</v>
      </c>
      <c r="AF472" s="2">
        <v>45974</v>
      </c>
      <c r="AG472" t="s">
        <v>39</v>
      </c>
      <c r="AH472" s="14" t="e">
        <f>VLOOKUP(M472,'[1]INDIAN ENTERPRISES'!$D:$D,1,0)</f>
        <v>#N/A</v>
      </c>
      <c r="AI472" t="str">
        <f>VLOOKUP(M472,'[2]CN Not in Customer books'!$D:$J,7,0)</f>
        <v>Invoice &amp; CN both not received &amp; booked</v>
      </c>
      <c r="AJ472" s="15" t="e">
        <f>VLOOKUP(M472,'[1]INDIAN ENTERPRISES'!$D:$L,9,0)</f>
        <v>#N/A</v>
      </c>
    </row>
    <row r="473" spans="1:36" hidden="1" outlineLevel="2" x14ac:dyDescent="0.25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128</v>
      </c>
      <c r="G473" s="2">
        <v>45848</v>
      </c>
      <c r="H473" t="s">
        <v>870</v>
      </c>
      <c r="I473" t="s">
        <v>98</v>
      </c>
      <c r="J473" s="2">
        <v>45848</v>
      </c>
      <c r="K473" s="2">
        <v>45854</v>
      </c>
      <c r="L473" t="s">
        <v>8</v>
      </c>
      <c r="M473" s="14">
        <v>256779421280</v>
      </c>
      <c r="N473" t="s">
        <v>9</v>
      </c>
      <c r="O473" t="s">
        <v>10</v>
      </c>
      <c r="P473" t="s">
        <v>11</v>
      </c>
      <c r="Q473" t="s">
        <v>42</v>
      </c>
      <c r="R473" t="s">
        <v>13</v>
      </c>
      <c r="S473" s="3">
        <v>-23.6</v>
      </c>
      <c r="T473" t="s">
        <v>14</v>
      </c>
      <c r="U473" s="3">
        <v>-2029.62</v>
      </c>
      <c r="V473" t="s">
        <v>37</v>
      </c>
      <c r="W473" t="s">
        <v>16</v>
      </c>
      <c r="X473" t="s">
        <v>11</v>
      </c>
      <c r="Y473" t="s">
        <v>8</v>
      </c>
      <c r="Z473" t="s">
        <v>17</v>
      </c>
      <c r="AA473" t="s">
        <v>871</v>
      </c>
      <c r="AB473" t="s">
        <v>11</v>
      </c>
      <c r="AC473" t="s">
        <v>11</v>
      </c>
      <c r="AD473" t="s">
        <v>11</v>
      </c>
      <c r="AE473" s="2">
        <v>45848</v>
      </c>
      <c r="AF473" s="2">
        <v>45974</v>
      </c>
      <c r="AG473" t="s">
        <v>39</v>
      </c>
      <c r="AH473" s="14" t="e">
        <f>VLOOKUP(M473,'[1]INDIAN ENTERPRISES'!$D:$D,1,0)</f>
        <v>#N/A</v>
      </c>
      <c r="AI473" t="str">
        <f>VLOOKUP(M473,'[2]CN Not in Customer books'!$D:$J,7,0)</f>
        <v>CN not received</v>
      </c>
      <c r="AJ473" s="15" t="e">
        <f>VLOOKUP(M473,'[1]INDIAN ENTERPRISES'!$D:$L,9,0)</f>
        <v>#N/A</v>
      </c>
    </row>
    <row r="474" spans="1:36" hidden="1" outlineLevel="2" x14ac:dyDescent="0.25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128</v>
      </c>
      <c r="G474" s="2">
        <v>45848</v>
      </c>
      <c r="H474" t="s">
        <v>872</v>
      </c>
      <c r="I474" t="s">
        <v>98</v>
      </c>
      <c r="J474" s="2">
        <v>45848</v>
      </c>
      <c r="K474" s="2">
        <v>45854</v>
      </c>
      <c r="L474" t="s">
        <v>8</v>
      </c>
      <c r="M474" s="14">
        <v>256779421281</v>
      </c>
      <c r="N474" t="s">
        <v>9</v>
      </c>
      <c r="O474" t="s">
        <v>10</v>
      </c>
      <c r="P474" t="s">
        <v>11</v>
      </c>
      <c r="Q474" t="s">
        <v>42</v>
      </c>
      <c r="R474" t="s">
        <v>13</v>
      </c>
      <c r="S474" s="3">
        <v>-8.85</v>
      </c>
      <c r="T474" t="s">
        <v>14</v>
      </c>
      <c r="U474" s="3">
        <v>-761.11</v>
      </c>
      <c r="V474" t="s">
        <v>37</v>
      </c>
      <c r="W474" t="s">
        <v>16</v>
      </c>
      <c r="X474" t="s">
        <v>11</v>
      </c>
      <c r="Y474" t="s">
        <v>8</v>
      </c>
      <c r="Z474" t="s">
        <v>17</v>
      </c>
      <c r="AA474" t="s">
        <v>873</v>
      </c>
      <c r="AB474" t="s">
        <v>11</v>
      </c>
      <c r="AC474" t="s">
        <v>11</v>
      </c>
      <c r="AD474" t="s">
        <v>11</v>
      </c>
      <c r="AE474" s="2">
        <v>45848</v>
      </c>
      <c r="AF474" s="2">
        <v>45974</v>
      </c>
      <c r="AG474" t="s">
        <v>39</v>
      </c>
      <c r="AH474" s="14" t="e">
        <f>VLOOKUP(M474,'[1]INDIAN ENTERPRISES'!$D:$D,1,0)</f>
        <v>#N/A</v>
      </c>
      <c r="AI474" t="str">
        <f>VLOOKUP(M474,'[2]CN Not in Customer books'!$D:$J,7,0)</f>
        <v>Invoice &amp; CN both not received &amp; booked</v>
      </c>
      <c r="AJ474" s="15" t="e">
        <f>VLOOKUP(M474,'[1]INDIAN ENTERPRISES'!$D:$L,9,0)</f>
        <v>#N/A</v>
      </c>
    </row>
    <row r="475" spans="1:36" hidden="1" outlineLevel="2" x14ac:dyDescent="0.25">
      <c r="A475" t="s">
        <v>0</v>
      </c>
      <c r="B475" t="s">
        <v>1</v>
      </c>
      <c r="C475" t="s">
        <v>2</v>
      </c>
      <c r="D475" t="s">
        <v>3</v>
      </c>
      <c r="E475" t="s">
        <v>4</v>
      </c>
      <c r="F475" t="s">
        <v>128</v>
      </c>
      <c r="G475" s="2">
        <v>45848</v>
      </c>
      <c r="H475" t="s">
        <v>874</v>
      </c>
      <c r="I475" t="s">
        <v>98</v>
      </c>
      <c r="J475" s="2">
        <v>45848</v>
      </c>
      <c r="K475" s="2">
        <v>45854</v>
      </c>
      <c r="L475" t="s">
        <v>8</v>
      </c>
      <c r="M475" s="14">
        <v>256779421282</v>
      </c>
      <c r="N475" t="s">
        <v>9</v>
      </c>
      <c r="O475" t="s">
        <v>10</v>
      </c>
      <c r="P475" t="s">
        <v>11</v>
      </c>
      <c r="Q475" t="s">
        <v>42</v>
      </c>
      <c r="R475" t="s">
        <v>13</v>
      </c>
      <c r="S475" s="3">
        <v>-32.450000000000003</v>
      </c>
      <c r="T475" t="s">
        <v>14</v>
      </c>
      <c r="U475" s="3">
        <v>-2790.72</v>
      </c>
      <c r="V475" t="s">
        <v>37</v>
      </c>
      <c r="W475" t="s">
        <v>16</v>
      </c>
      <c r="X475" t="s">
        <v>11</v>
      </c>
      <c r="Y475" t="s">
        <v>8</v>
      </c>
      <c r="Z475" t="s">
        <v>17</v>
      </c>
      <c r="AA475" t="s">
        <v>875</v>
      </c>
      <c r="AB475" t="s">
        <v>11</v>
      </c>
      <c r="AC475" t="s">
        <v>11</v>
      </c>
      <c r="AD475" t="s">
        <v>11</v>
      </c>
      <c r="AE475" s="2">
        <v>45848</v>
      </c>
      <c r="AF475" s="2">
        <v>45974</v>
      </c>
      <c r="AG475" t="s">
        <v>39</v>
      </c>
      <c r="AH475" s="14" t="e">
        <f>VLOOKUP(M475,'[1]INDIAN ENTERPRISES'!$D:$D,1,0)</f>
        <v>#N/A</v>
      </c>
      <c r="AI475" t="str">
        <f>VLOOKUP(M475,'[2]CN Not in Customer books'!$D:$J,7,0)</f>
        <v>CN not received</v>
      </c>
      <c r="AJ475" s="15" t="e">
        <f>VLOOKUP(M475,'[1]INDIAN ENTERPRISES'!$D:$L,9,0)</f>
        <v>#N/A</v>
      </c>
    </row>
    <row r="476" spans="1:36" hidden="1" outlineLevel="2" x14ac:dyDescent="0.25">
      <c r="A476" t="s">
        <v>0</v>
      </c>
      <c r="B476" t="s">
        <v>1</v>
      </c>
      <c r="C476" t="s">
        <v>2</v>
      </c>
      <c r="D476" t="s">
        <v>3</v>
      </c>
      <c r="E476" t="s">
        <v>4</v>
      </c>
      <c r="F476" t="s">
        <v>128</v>
      </c>
      <c r="G476" s="2">
        <v>45848</v>
      </c>
      <c r="H476" t="s">
        <v>876</v>
      </c>
      <c r="I476" t="s">
        <v>98</v>
      </c>
      <c r="J476" s="2">
        <v>45848</v>
      </c>
      <c r="K476" s="2">
        <v>45854</v>
      </c>
      <c r="L476" t="s">
        <v>8</v>
      </c>
      <c r="M476" s="14">
        <v>256779421283</v>
      </c>
      <c r="N476" t="s">
        <v>9</v>
      </c>
      <c r="O476" t="s">
        <v>10</v>
      </c>
      <c r="P476" t="s">
        <v>11</v>
      </c>
      <c r="Q476" t="s">
        <v>42</v>
      </c>
      <c r="R476" t="s">
        <v>13</v>
      </c>
      <c r="S476" s="3">
        <v>-26.55</v>
      </c>
      <c r="T476" t="s">
        <v>14</v>
      </c>
      <c r="U476" s="3">
        <v>-2283.3200000000002</v>
      </c>
      <c r="V476" t="s">
        <v>37</v>
      </c>
      <c r="W476" t="s">
        <v>16</v>
      </c>
      <c r="X476" t="s">
        <v>11</v>
      </c>
      <c r="Y476" t="s">
        <v>8</v>
      </c>
      <c r="Z476" t="s">
        <v>17</v>
      </c>
      <c r="AA476" t="s">
        <v>877</v>
      </c>
      <c r="AB476" t="s">
        <v>11</v>
      </c>
      <c r="AC476" t="s">
        <v>11</v>
      </c>
      <c r="AD476" t="s">
        <v>11</v>
      </c>
      <c r="AE476" s="2">
        <v>45848</v>
      </c>
      <c r="AF476" s="2">
        <v>45974</v>
      </c>
      <c r="AG476" t="s">
        <v>39</v>
      </c>
      <c r="AH476" s="14" t="e">
        <f>VLOOKUP(M476,'[1]INDIAN ENTERPRISES'!$D:$D,1,0)</f>
        <v>#N/A</v>
      </c>
      <c r="AI476" t="str">
        <f>VLOOKUP(M476,'[2]CN Not in Customer books'!$D:$J,7,0)</f>
        <v>CN not received</v>
      </c>
      <c r="AJ476" s="15" t="e">
        <f>VLOOKUP(M476,'[1]INDIAN ENTERPRISES'!$D:$L,9,0)</f>
        <v>#N/A</v>
      </c>
    </row>
    <row r="477" spans="1:36" hidden="1" outlineLevel="2" x14ac:dyDescent="0.25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128</v>
      </c>
      <c r="G477" s="2">
        <v>45848</v>
      </c>
      <c r="H477" t="s">
        <v>878</v>
      </c>
      <c r="I477" t="s">
        <v>98</v>
      </c>
      <c r="J477" s="2">
        <v>45848</v>
      </c>
      <c r="K477" s="2">
        <v>45854</v>
      </c>
      <c r="L477" t="s">
        <v>8</v>
      </c>
      <c r="M477" s="14">
        <v>256779421284</v>
      </c>
      <c r="N477" t="s">
        <v>9</v>
      </c>
      <c r="O477" t="s">
        <v>10</v>
      </c>
      <c r="P477" t="s">
        <v>11</v>
      </c>
      <c r="Q477" t="s">
        <v>42</v>
      </c>
      <c r="R477" t="s">
        <v>13</v>
      </c>
      <c r="S477" s="3">
        <v>-20.100000000000001</v>
      </c>
      <c r="T477" t="s">
        <v>14</v>
      </c>
      <c r="U477" s="3">
        <v>-1728.61</v>
      </c>
      <c r="V477" t="s">
        <v>37</v>
      </c>
      <c r="W477" t="s">
        <v>16</v>
      </c>
      <c r="X477" t="s">
        <v>11</v>
      </c>
      <c r="Y477" t="s">
        <v>8</v>
      </c>
      <c r="Z477" t="s">
        <v>17</v>
      </c>
      <c r="AA477" t="s">
        <v>879</v>
      </c>
      <c r="AB477" t="s">
        <v>11</v>
      </c>
      <c r="AC477" t="s">
        <v>11</v>
      </c>
      <c r="AD477" t="s">
        <v>11</v>
      </c>
      <c r="AE477" s="2">
        <v>45848</v>
      </c>
      <c r="AF477" s="2">
        <v>45974</v>
      </c>
      <c r="AG477" t="s">
        <v>39</v>
      </c>
      <c r="AH477" s="14" t="e">
        <f>VLOOKUP(M477,'[1]INDIAN ENTERPRISES'!$D:$D,1,0)</f>
        <v>#N/A</v>
      </c>
      <c r="AI477" t="str">
        <f>VLOOKUP(M477,'[2]CN Not in Customer books'!$D:$J,7,0)</f>
        <v>Invoice &amp; CN both not received &amp; booked</v>
      </c>
      <c r="AJ477" s="15" t="e">
        <f>VLOOKUP(M477,'[1]INDIAN ENTERPRISES'!$D:$L,9,0)</f>
        <v>#N/A</v>
      </c>
    </row>
    <row r="478" spans="1:36" hidden="1" outlineLevel="2" x14ac:dyDescent="0.25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 t="s">
        <v>128</v>
      </c>
      <c r="G478" s="2">
        <v>45848</v>
      </c>
      <c r="H478" t="s">
        <v>880</v>
      </c>
      <c r="I478" t="s">
        <v>98</v>
      </c>
      <c r="J478" s="2">
        <v>45848</v>
      </c>
      <c r="K478" s="2">
        <v>45854</v>
      </c>
      <c r="L478" t="s">
        <v>8</v>
      </c>
      <c r="M478" s="14">
        <v>256779421285</v>
      </c>
      <c r="N478" t="s">
        <v>9</v>
      </c>
      <c r="O478" t="s">
        <v>10</v>
      </c>
      <c r="P478" t="s">
        <v>11</v>
      </c>
      <c r="Q478" t="s">
        <v>42</v>
      </c>
      <c r="R478" t="s">
        <v>13</v>
      </c>
      <c r="S478" s="3">
        <v>-183.99</v>
      </c>
      <c r="T478" t="s">
        <v>14</v>
      </c>
      <c r="U478" s="3">
        <v>-15823.26</v>
      </c>
      <c r="V478" t="s">
        <v>37</v>
      </c>
      <c r="W478" t="s">
        <v>16</v>
      </c>
      <c r="X478" t="s">
        <v>11</v>
      </c>
      <c r="Y478" t="s">
        <v>8</v>
      </c>
      <c r="Z478" t="s">
        <v>17</v>
      </c>
      <c r="AA478" t="s">
        <v>881</v>
      </c>
      <c r="AB478" t="s">
        <v>11</v>
      </c>
      <c r="AC478" t="s">
        <v>11</v>
      </c>
      <c r="AD478" t="s">
        <v>11</v>
      </c>
      <c r="AE478" s="2">
        <v>45848</v>
      </c>
      <c r="AF478" s="2">
        <v>45974</v>
      </c>
      <c r="AG478" t="s">
        <v>39</v>
      </c>
      <c r="AH478" s="14" t="e">
        <f>VLOOKUP(M478,'[1]INDIAN ENTERPRISES'!$D:$D,1,0)</f>
        <v>#N/A</v>
      </c>
      <c r="AI478" t="str">
        <f>VLOOKUP(M478,'[2]CN Not in Customer books'!$D:$J,7,0)</f>
        <v>Invoice &amp; CN both not received &amp; booked</v>
      </c>
      <c r="AJ478" s="15" t="e">
        <f>VLOOKUP(M478,'[1]INDIAN ENTERPRISES'!$D:$L,9,0)</f>
        <v>#N/A</v>
      </c>
    </row>
    <row r="479" spans="1:36" hidden="1" outlineLevel="2" x14ac:dyDescent="0.25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128</v>
      </c>
      <c r="G479" s="2">
        <v>45848</v>
      </c>
      <c r="H479" t="s">
        <v>882</v>
      </c>
      <c r="I479" t="s">
        <v>98</v>
      </c>
      <c r="J479" s="2">
        <v>45848</v>
      </c>
      <c r="K479" s="2">
        <v>45854</v>
      </c>
      <c r="L479" t="s">
        <v>8</v>
      </c>
      <c r="M479" s="14">
        <v>256779421286</v>
      </c>
      <c r="N479" t="s">
        <v>9</v>
      </c>
      <c r="O479" t="s">
        <v>10</v>
      </c>
      <c r="P479" t="s">
        <v>11</v>
      </c>
      <c r="Q479" t="s">
        <v>42</v>
      </c>
      <c r="R479" t="s">
        <v>13</v>
      </c>
      <c r="S479" s="3">
        <v>-236</v>
      </c>
      <c r="T479" t="s">
        <v>14</v>
      </c>
      <c r="U479" s="3">
        <v>-20296.16</v>
      </c>
      <c r="V479" t="s">
        <v>37</v>
      </c>
      <c r="W479" t="s">
        <v>16</v>
      </c>
      <c r="X479" t="s">
        <v>11</v>
      </c>
      <c r="Y479" t="s">
        <v>8</v>
      </c>
      <c r="Z479" t="s">
        <v>17</v>
      </c>
      <c r="AA479" t="s">
        <v>883</v>
      </c>
      <c r="AB479" t="s">
        <v>11</v>
      </c>
      <c r="AC479" t="s">
        <v>11</v>
      </c>
      <c r="AD479" t="s">
        <v>11</v>
      </c>
      <c r="AE479" s="2">
        <v>45848</v>
      </c>
      <c r="AF479" s="2">
        <v>45974</v>
      </c>
      <c r="AG479" t="s">
        <v>39</v>
      </c>
      <c r="AH479" s="14" t="e">
        <f>VLOOKUP(M479,'[1]INDIAN ENTERPRISES'!$D:$D,1,0)</f>
        <v>#N/A</v>
      </c>
      <c r="AI479" t="str">
        <f>VLOOKUP(M479,'[2]CN Not in Customer books'!$D:$J,7,0)</f>
        <v>Invoice &amp; CN both not received &amp; booked</v>
      </c>
      <c r="AJ479" s="15" t="e">
        <f>VLOOKUP(M479,'[1]INDIAN ENTERPRISES'!$D:$L,9,0)</f>
        <v>#N/A</v>
      </c>
    </row>
    <row r="480" spans="1:36" hidden="1" outlineLevel="2" x14ac:dyDescent="0.25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128</v>
      </c>
      <c r="G480" s="2">
        <v>45848</v>
      </c>
      <c r="H480" t="s">
        <v>884</v>
      </c>
      <c r="I480" t="s">
        <v>98</v>
      </c>
      <c r="J480" s="2">
        <v>45848</v>
      </c>
      <c r="K480" s="2">
        <v>45854</v>
      </c>
      <c r="L480" t="s">
        <v>8</v>
      </c>
      <c r="M480" s="14">
        <v>256779421287</v>
      </c>
      <c r="N480" t="s">
        <v>9</v>
      </c>
      <c r="O480" t="s">
        <v>10</v>
      </c>
      <c r="P480" t="s">
        <v>11</v>
      </c>
      <c r="Q480" t="s">
        <v>42</v>
      </c>
      <c r="R480" t="s">
        <v>13</v>
      </c>
      <c r="S480" s="3">
        <v>-70.8</v>
      </c>
      <c r="T480" t="s">
        <v>14</v>
      </c>
      <c r="U480" s="3">
        <v>-6088.85</v>
      </c>
      <c r="V480" t="s">
        <v>37</v>
      </c>
      <c r="W480" t="s">
        <v>16</v>
      </c>
      <c r="X480" t="s">
        <v>11</v>
      </c>
      <c r="Y480" t="s">
        <v>8</v>
      </c>
      <c r="Z480" t="s">
        <v>17</v>
      </c>
      <c r="AA480" t="s">
        <v>885</v>
      </c>
      <c r="AB480" t="s">
        <v>11</v>
      </c>
      <c r="AC480" t="s">
        <v>11</v>
      </c>
      <c r="AD480" t="s">
        <v>11</v>
      </c>
      <c r="AE480" s="2">
        <v>45848</v>
      </c>
      <c r="AF480" s="2">
        <v>45974</v>
      </c>
      <c r="AG480" t="s">
        <v>39</v>
      </c>
      <c r="AH480" s="14" t="e">
        <f>VLOOKUP(M480,'[1]INDIAN ENTERPRISES'!$D:$D,1,0)</f>
        <v>#N/A</v>
      </c>
      <c r="AI480" t="str">
        <f>VLOOKUP(M480,'[2]CN Not in Customer books'!$D:$J,7,0)</f>
        <v>Invoice &amp; CN both not received &amp; booked</v>
      </c>
      <c r="AJ480" s="15" t="e">
        <f>VLOOKUP(M480,'[1]INDIAN ENTERPRISES'!$D:$L,9,0)</f>
        <v>#N/A</v>
      </c>
    </row>
    <row r="481" spans="1:36" hidden="1" outlineLevel="2" x14ac:dyDescent="0.25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128</v>
      </c>
      <c r="G481" s="2">
        <v>45848</v>
      </c>
      <c r="H481" t="s">
        <v>886</v>
      </c>
      <c r="I481" t="s">
        <v>98</v>
      </c>
      <c r="J481" s="2">
        <v>45848</v>
      </c>
      <c r="K481" s="2">
        <v>45854</v>
      </c>
      <c r="L481" t="s">
        <v>8</v>
      </c>
      <c r="M481" s="14">
        <v>256779421288</v>
      </c>
      <c r="N481" t="s">
        <v>9</v>
      </c>
      <c r="O481" t="s">
        <v>10</v>
      </c>
      <c r="P481" t="s">
        <v>11</v>
      </c>
      <c r="Q481" t="s">
        <v>42</v>
      </c>
      <c r="R481" t="s">
        <v>13</v>
      </c>
      <c r="S481" s="3">
        <v>-25.22</v>
      </c>
      <c r="T481" t="s">
        <v>14</v>
      </c>
      <c r="U481" s="3">
        <v>-2168.94</v>
      </c>
      <c r="V481" t="s">
        <v>37</v>
      </c>
      <c r="W481" t="s">
        <v>16</v>
      </c>
      <c r="X481" t="s">
        <v>11</v>
      </c>
      <c r="Y481" t="s">
        <v>8</v>
      </c>
      <c r="Z481" t="s">
        <v>17</v>
      </c>
      <c r="AA481" t="s">
        <v>887</v>
      </c>
      <c r="AB481" t="s">
        <v>11</v>
      </c>
      <c r="AC481" t="s">
        <v>11</v>
      </c>
      <c r="AD481" t="s">
        <v>11</v>
      </c>
      <c r="AE481" s="2">
        <v>45848</v>
      </c>
      <c r="AF481" s="2">
        <v>45974</v>
      </c>
      <c r="AG481" t="s">
        <v>39</v>
      </c>
      <c r="AH481" s="14" t="e">
        <f>VLOOKUP(M481,'[1]INDIAN ENTERPRISES'!$D:$D,1,0)</f>
        <v>#N/A</v>
      </c>
      <c r="AI481" t="str">
        <f>VLOOKUP(M481,'[2]CN Not in Customer books'!$D:$J,7,0)</f>
        <v>Invoice &amp; CN both not received &amp; booked</v>
      </c>
      <c r="AJ481" s="15" t="e">
        <f>VLOOKUP(M481,'[1]INDIAN ENTERPRISES'!$D:$L,9,0)</f>
        <v>#N/A</v>
      </c>
    </row>
    <row r="482" spans="1:36" hidden="1" outlineLevel="2" x14ac:dyDescent="0.25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128</v>
      </c>
      <c r="G482" s="2">
        <v>45848</v>
      </c>
      <c r="H482" t="s">
        <v>888</v>
      </c>
      <c r="I482" t="s">
        <v>98</v>
      </c>
      <c r="J482" s="2">
        <v>45848</v>
      </c>
      <c r="K482" s="2">
        <v>45854</v>
      </c>
      <c r="L482" t="s">
        <v>8</v>
      </c>
      <c r="M482" s="14">
        <v>256779421289</v>
      </c>
      <c r="N482" t="s">
        <v>9</v>
      </c>
      <c r="O482" t="s">
        <v>10</v>
      </c>
      <c r="P482" t="s">
        <v>11</v>
      </c>
      <c r="Q482" t="s">
        <v>42</v>
      </c>
      <c r="R482" t="s">
        <v>13</v>
      </c>
      <c r="S482" s="3">
        <v>-84.96</v>
      </c>
      <c r="T482" t="s">
        <v>14</v>
      </c>
      <c r="U482" s="3">
        <v>-7306.62</v>
      </c>
      <c r="V482" t="s">
        <v>37</v>
      </c>
      <c r="W482" t="s">
        <v>16</v>
      </c>
      <c r="X482" t="s">
        <v>11</v>
      </c>
      <c r="Y482" t="s">
        <v>8</v>
      </c>
      <c r="Z482" t="s">
        <v>17</v>
      </c>
      <c r="AA482" t="s">
        <v>889</v>
      </c>
      <c r="AB482" t="s">
        <v>11</v>
      </c>
      <c r="AC482" t="s">
        <v>11</v>
      </c>
      <c r="AD482" t="s">
        <v>11</v>
      </c>
      <c r="AE482" s="2">
        <v>45848</v>
      </c>
      <c r="AF482" s="2">
        <v>45974</v>
      </c>
      <c r="AG482" t="s">
        <v>39</v>
      </c>
      <c r="AH482" s="14" t="e">
        <f>VLOOKUP(M482,'[1]INDIAN ENTERPRISES'!$D:$D,1,0)</f>
        <v>#N/A</v>
      </c>
      <c r="AI482" t="str">
        <f>VLOOKUP(M482,'[2]CN Not in Customer books'!$D:$J,7,0)</f>
        <v>Invoice &amp; CN both not received &amp; booked</v>
      </c>
      <c r="AJ482" s="15" t="e">
        <f>VLOOKUP(M482,'[1]INDIAN ENTERPRISES'!$D:$L,9,0)</f>
        <v>#N/A</v>
      </c>
    </row>
    <row r="483" spans="1:36" hidden="1" outlineLevel="2" x14ac:dyDescent="0.25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128</v>
      </c>
      <c r="G483" s="2">
        <v>45848</v>
      </c>
      <c r="H483" t="s">
        <v>890</v>
      </c>
      <c r="I483" t="s">
        <v>98</v>
      </c>
      <c r="J483" s="2">
        <v>45848</v>
      </c>
      <c r="K483" s="2">
        <v>45854</v>
      </c>
      <c r="L483" t="s">
        <v>8</v>
      </c>
      <c r="M483" s="14">
        <v>256779421290</v>
      </c>
      <c r="N483" t="s">
        <v>9</v>
      </c>
      <c r="O483" t="s">
        <v>10</v>
      </c>
      <c r="P483" t="s">
        <v>11</v>
      </c>
      <c r="Q483" t="s">
        <v>42</v>
      </c>
      <c r="R483" t="s">
        <v>13</v>
      </c>
      <c r="S483" s="3">
        <v>-244.58</v>
      </c>
      <c r="T483" t="s">
        <v>14</v>
      </c>
      <c r="U483" s="3">
        <v>-21034.04</v>
      </c>
      <c r="V483" t="s">
        <v>37</v>
      </c>
      <c r="W483" t="s">
        <v>16</v>
      </c>
      <c r="X483" t="s">
        <v>11</v>
      </c>
      <c r="Y483" t="s">
        <v>8</v>
      </c>
      <c r="Z483" t="s">
        <v>17</v>
      </c>
      <c r="AA483" t="s">
        <v>465</v>
      </c>
      <c r="AB483" t="s">
        <v>11</v>
      </c>
      <c r="AC483" t="s">
        <v>11</v>
      </c>
      <c r="AD483" t="s">
        <v>11</v>
      </c>
      <c r="AE483" s="2">
        <v>45848</v>
      </c>
      <c r="AF483" s="2">
        <v>45974</v>
      </c>
      <c r="AG483" t="s">
        <v>39</v>
      </c>
      <c r="AH483" s="14" t="e">
        <f>VLOOKUP(M483,'[1]INDIAN ENTERPRISES'!$D:$D,1,0)</f>
        <v>#N/A</v>
      </c>
      <c r="AI483" t="str">
        <f>VLOOKUP(M483,'[2]CN Not in Customer books'!$D:$J,7,0)</f>
        <v>Invoice &amp; CN both not received &amp; booked</v>
      </c>
      <c r="AJ483" s="15" t="e">
        <f>VLOOKUP(M483,'[1]INDIAN ENTERPRISES'!$D:$L,9,0)</f>
        <v>#N/A</v>
      </c>
    </row>
    <row r="484" spans="1:36" hidden="1" outlineLevel="2" x14ac:dyDescent="0.25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128</v>
      </c>
      <c r="G484" s="2">
        <v>45848</v>
      </c>
      <c r="H484" t="s">
        <v>891</v>
      </c>
      <c r="I484" t="s">
        <v>98</v>
      </c>
      <c r="J484" s="2">
        <v>45848</v>
      </c>
      <c r="K484" s="2">
        <v>45854</v>
      </c>
      <c r="L484" t="s">
        <v>8</v>
      </c>
      <c r="M484" s="14">
        <v>256779421291</v>
      </c>
      <c r="N484" t="s">
        <v>9</v>
      </c>
      <c r="O484" t="s">
        <v>10</v>
      </c>
      <c r="P484" t="s">
        <v>11</v>
      </c>
      <c r="Q484" t="s">
        <v>42</v>
      </c>
      <c r="R484" t="s">
        <v>13</v>
      </c>
      <c r="S484" s="3">
        <v>-113.28</v>
      </c>
      <c r="T484" t="s">
        <v>14</v>
      </c>
      <c r="U484" s="3">
        <v>-9742.16</v>
      </c>
      <c r="V484" t="s">
        <v>37</v>
      </c>
      <c r="W484" t="s">
        <v>16</v>
      </c>
      <c r="X484" t="s">
        <v>11</v>
      </c>
      <c r="Y484" t="s">
        <v>8</v>
      </c>
      <c r="Z484" t="s">
        <v>17</v>
      </c>
      <c r="AA484" t="s">
        <v>465</v>
      </c>
      <c r="AB484" t="s">
        <v>11</v>
      </c>
      <c r="AC484" t="s">
        <v>11</v>
      </c>
      <c r="AD484" t="s">
        <v>11</v>
      </c>
      <c r="AE484" s="2">
        <v>45848</v>
      </c>
      <c r="AF484" s="2">
        <v>45974</v>
      </c>
      <c r="AG484" t="s">
        <v>39</v>
      </c>
      <c r="AH484" s="14" t="e">
        <f>VLOOKUP(M484,'[1]INDIAN ENTERPRISES'!$D:$D,1,0)</f>
        <v>#N/A</v>
      </c>
      <c r="AI484" t="str">
        <f>VLOOKUP(M484,'[2]CN Not in Customer books'!$D:$J,7,0)</f>
        <v>Invoice &amp; CN both not received &amp; booked</v>
      </c>
      <c r="AJ484" s="15" t="e">
        <f>VLOOKUP(M484,'[1]INDIAN ENTERPRISES'!$D:$L,9,0)</f>
        <v>#N/A</v>
      </c>
    </row>
    <row r="485" spans="1:36" hidden="1" outlineLevel="2" x14ac:dyDescent="0.25">
      <c r="A485" t="s">
        <v>20</v>
      </c>
      <c r="B485" t="s">
        <v>1</v>
      </c>
      <c r="C485" t="s">
        <v>2</v>
      </c>
      <c r="D485" t="s">
        <v>3</v>
      </c>
      <c r="E485" t="s">
        <v>4</v>
      </c>
      <c r="F485" t="s">
        <v>96</v>
      </c>
      <c r="G485" s="2">
        <v>45805</v>
      </c>
      <c r="H485" t="s">
        <v>892</v>
      </c>
      <c r="I485" t="s">
        <v>7</v>
      </c>
      <c r="J485" s="2">
        <v>45805</v>
      </c>
      <c r="K485" s="2">
        <v>45805</v>
      </c>
      <c r="L485" t="s">
        <v>8</v>
      </c>
      <c r="M485" s="14">
        <v>256779413908</v>
      </c>
      <c r="N485" t="s">
        <v>9</v>
      </c>
      <c r="O485" t="s">
        <v>10</v>
      </c>
      <c r="P485" t="s">
        <v>11</v>
      </c>
      <c r="Q485" t="s">
        <v>12</v>
      </c>
      <c r="R485" t="s">
        <v>13</v>
      </c>
      <c r="S485" s="3">
        <v>3200.83</v>
      </c>
      <c r="T485" t="s">
        <v>14</v>
      </c>
      <c r="U485" s="3">
        <v>275219.21000000002</v>
      </c>
      <c r="V485" t="s">
        <v>15</v>
      </c>
      <c r="W485" t="s">
        <v>16</v>
      </c>
      <c r="X485" t="s">
        <v>11</v>
      </c>
      <c r="Y485" t="s">
        <v>8</v>
      </c>
      <c r="Z485" t="s">
        <v>17</v>
      </c>
      <c r="AA485" t="s">
        <v>893</v>
      </c>
      <c r="AB485" t="s">
        <v>11</v>
      </c>
      <c r="AC485" t="s">
        <v>11</v>
      </c>
      <c r="AD485" t="s">
        <v>11</v>
      </c>
      <c r="AE485" s="2">
        <v>45805</v>
      </c>
      <c r="AF485" s="2"/>
      <c r="AG485" t="s">
        <v>11</v>
      </c>
      <c r="AH485" s="14">
        <f>VLOOKUP(M485,'[1]INDIAN ENTERPRISES'!$D:$D,1,0)</f>
        <v>256779413908</v>
      </c>
      <c r="AJ485" s="15">
        <f>VLOOKUP(M485,'[1]INDIAN ENTERPRISES'!$D:$L,9,0)</f>
        <v>46022</v>
      </c>
    </row>
    <row r="486" spans="1:36" hidden="1" outlineLevel="2" x14ac:dyDescent="0.25">
      <c r="A486" t="s">
        <v>20</v>
      </c>
      <c r="B486" t="s">
        <v>1</v>
      </c>
      <c r="C486" t="s">
        <v>2</v>
      </c>
      <c r="D486" t="s">
        <v>3</v>
      </c>
      <c r="E486" t="s">
        <v>4</v>
      </c>
      <c r="F486" t="s">
        <v>128</v>
      </c>
      <c r="G486" s="2">
        <v>45856</v>
      </c>
      <c r="H486" t="s">
        <v>894</v>
      </c>
      <c r="I486" t="s">
        <v>7</v>
      </c>
      <c r="J486" s="2">
        <v>45856</v>
      </c>
      <c r="K486" s="2">
        <v>45859</v>
      </c>
      <c r="L486" t="s">
        <v>8</v>
      </c>
      <c r="M486" s="14">
        <v>256779415426</v>
      </c>
      <c r="N486" t="s">
        <v>9</v>
      </c>
      <c r="O486" t="s">
        <v>10</v>
      </c>
      <c r="P486" t="s">
        <v>11</v>
      </c>
      <c r="Q486" t="s">
        <v>12</v>
      </c>
      <c r="R486" t="s">
        <v>13</v>
      </c>
      <c r="S486" s="3">
        <v>464.73</v>
      </c>
      <c r="T486" t="s">
        <v>14</v>
      </c>
      <c r="U486" s="3">
        <v>39967.089999999997</v>
      </c>
      <c r="V486" t="s">
        <v>15</v>
      </c>
      <c r="W486" t="s">
        <v>16</v>
      </c>
      <c r="X486" t="s">
        <v>11</v>
      </c>
      <c r="Y486" t="s">
        <v>8</v>
      </c>
      <c r="Z486" t="s">
        <v>17</v>
      </c>
      <c r="AA486" t="s">
        <v>895</v>
      </c>
      <c r="AB486" t="s">
        <v>11</v>
      </c>
      <c r="AC486" t="s">
        <v>11</v>
      </c>
      <c r="AD486" t="s">
        <v>11</v>
      </c>
      <c r="AE486" s="2">
        <v>45856</v>
      </c>
      <c r="AF486" s="2"/>
      <c r="AG486" t="s">
        <v>11</v>
      </c>
      <c r="AH486" s="14">
        <f>VLOOKUP(M486,'[1]INDIAN ENTERPRISES'!$D:$D,1,0)</f>
        <v>256779415426</v>
      </c>
      <c r="AJ486" s="15">
        <f>VLOOKUP(M486,'[1]INDIAN ENTERPRISES'!$D:$L,9,0)</f>
        <v>45991</v>
      </c>
    </row>
    <row r="487" spans="1:36" hidden="1" outlineLevel="2" x14ac:dyDescent="0.25">
      <c r="A487" t="s">
        <v>20</v>
      </c>
      <c r="B487" t="s">
        <v>1</v>
      </c>
      <c r="C487" t="s">
        <v>2</v>
      </c>
      <c r="D487" t="s">
        <v>3</v>
      </c>
      <c r="E487" t="s">
        <v>4</v>
      </c>
      <c r="F487" t="s">
        <v>128</v>
      </c>
      <c r="G487" s="2">
        <v>45856</v>
      </c>
      <c r="H487" t="s">
        <v>896</v>
      </c>
      <c r="I487" t="s">
        <v>7</v>
      </c>
      <c r="J487" s="2">
        <v>45856</v>
      </c>
      <c r="K487" s="2">
        <v>45859</v>
      </c>
      <c r="L487" t="s">
        <v>8</v>
      </c>
      <c r="M487" s="14">
        <v>256779415442</v>
      </c>
      <c r="N487" t="s">
        <v>9</v>
      </c>
      <c r="O487" t="s">
        <v>10</v>
      </c>
      <c r="P487" t="s">
        <v>11</v>
      </c>
      <c r="Q487" t="s">
        <v>12</v>
      </c>
      <c r="R487" t="s">
        <v>13</v>
      </c>
      <c r="S487" s="3">
        <v>1.59</v>
      </c>
      <c r="T487" t="s">
        <v>14</v>
      </c>
      <c r="U487" s="3">
        <v>136.74</v>
      </c>
      <c r="V487" t="s">
        <v>15</v>
      </c>
      <c r="W487" t="s">
        <v>16</v>
      </c>
      <c r="X487" t="s">
        <v>11</v>
      </c>
      <c r="Y487" t="s">
        <v>8</v>
      </c>
      <c r="Z487" t="s">
        <v>17</v>
      </c>
      <c r="AA487" t="s">
        <v>897</v>
      </c>
      <c r="AB487" t="s">
        <v>11</v>
      </c>
      <c r="AC487" t="s">
        <v>11</v>
      </c>
      <c r="AD487" t="s">
        <v>11</v>
      </c>
      <c r="AE487" s="2">
        <v>45856</v>
      </c>
      <c r="AF487" s="2"/>
      <c r="AG487" t="s">
        <v>11</v>
      </c>
      <c r="AH487" s="14">
        <f>VLOOKUP(M487,'[1]INDIAN ENTERPRISES'!$D:$D,1,0)</f>
        <v>256779415442</v>
      </c>
      <c r="AJ487" s="15">
        <f>VLOOKUP(M487,'[1]INDIAN ENTERPRISES'!$D:$L,9,0)</f>
        <v>45991</v>
      </c>
    </row>
    <row r="488" spans="1:36" hidden="1" outlineLevel="2" x14ac:dyDescent="0.25">
      <c r="A488" t="s">
        <v>20</v>
      </c>
      <c r="B488" t="s">
        <v>1</v>
      </c>
      <c r="C488" t="s">
        <v>2</v>
      </c>
      <c r="D488" t="s">
        <v>3</v>
      </c>
      <c r="E488" t="s">
        <v>4</v>
      </c>
      <c r="F488" t="s">
        <v>128</v>
      </c>
      <c r="G488" s="2">
        <v>45856</v>
      </c>
      <c r="H488" t="s">
        <v>898</v>
      </c>
      <c r="I488" t="s">
        <v>7</v>
      </c>
      <c r="J488" s="2">
        <v>45856</v>
      </c>
      <c r="K488" s="2">
        <v>45859</v>
      </c>
      <c r="L488" t="s">
        <v>8</v>
      </c>
      <c r="M488" s="14">
        <v>256779415453</v>
      </c>
      <c r="N488" t="s">
        <v>9</v>
      </c>
      <c r="O488" t="s">
        <v>10</v>
      </c>
      <c r="P488" t="s">
        <v>11</v>
      </c>
      <c r="Q488" t="s">
        <v>12</v>
      </c>
      <c r="R488" t="s">
        <v>13</v>
      </c>
      <c r="S488" s="3">
        <v>293.45999999999998</v>
      </c>
      <c r="T488" t="s">
        <v>14</v>
      </c>
      <c r="U488" s="3">
        <v>25237.759999999998</v>
      </c>
      <c r="V488" t="s">
        <v>15</v>
      </c>
      <c r="W488" t="s">
        <v>16</v>
      </c>
      <c r="X488" t="s">
        <v>11</v>
      </c>
      <c r="Y488" t="s">
        <v>8</v>
      </c>
      <c r="Z488" t="s">
        <v>17</v>
      </c>
      <c r="AA488" t="s">
        <v>899</v>
      </c>
      <c r="AB488" t="s">
        <v>11</v>
      </c>
      <c r="AC488" t="s">
        <v>11</v>
      </c>
      <c r="AD488" t="s">
        <v>11</v>
      </c>
      <c r="AE488" s="2">
        <v>45856</v>
      </c>
      <c r="AF488" s="2"/>
      <c r="AG488" t="s">
        <v>11</v>
      </c>
      <c r="AH488" s="14">
        <f>VLOOKUP(M488,'[1]INDIAN ENTERPRISES'!$D:$D,1,0)</f>
        <v>256779415453</v>
      </c>
      <c r="AJ488" s="15">
        <f>VLOOKUP(M488,'[1]INDIAN ENTERPRISES'!$D:$L,9,0)</f>
        <v>45991</v>
      </c>
    </row>
    <row r="489" spans="1:36" hidden="1" outlineLevel="2" x14ac:dyDescent="0.25">
      <c r="A489" t="s">
        <v>20</v>
      </c>
      <c r="B489" t="s">
        <v>1</v>
      </c>
      <c r="C489" t="s">
        <v>2</v>
      </c>
      <c r="D489" t="s">
        <v>3</v>
      </c>
      <c r="E489" t="s">
        <v>4</v>
      </c>
      <c r="F489" t="s">
        <v>128</v>
      </c>
      <c r="G489" s="2">
        <v>45856</v>
      </c>
      <c r="H489" t="s">
        <v>900</v>
      </c>
      <c r="I489" t="s">
        <v>7</v>
      </c>
      <c r="J489" s="2">
        <v>45856</v>
      </c>
      <c r="K489" s="2">
        <v>45859</v>
      </c>
      <c r="L489" t="s">
        <v>8</v>
      </c>
      <c r="M489" s="14">
        <v>256779415474</v>
      </c>
      <c r="N489" t="s">
        <v>9</v>
      </c>
      <c r="O489" t="s">
        <v>10</v>
      </c>
      <c r="P489" t="s">
        <v>11</v>
      </c>
      <c r="Q489" t="s">
        <v>12</v>
      </c>
      <c r="R489" t="s">
        <v>13</v>
      </c>
      <c r="S489" s="3">
        <v>608.41</v>
      </c>
      <c r="T489" t="s">
        <v>14</v>
      </c>
      <c r="U489" s="3">
        <v>52323.67</v>
      </c>
      <c r="V489" t="s">
        <v>15</v>
      </c>
      <c r="W489" t="s">
        <v>16</v>
      </c>
      <c r="X489" t="s">
        <v>11</v>
      </c>
      <c r="Y489" t="s">
        <v>8</v>
      </c>
      <c r="Z489" t="s">
        <v>17</v>
      </c>
      <c r="AA489" t="s">
        <v>901</v>
      </c>
      <c r="AB489" t="s">
        <v>11</v>
      </c>
      <c r="AC489" t="s">
        <v>11</v>
      </c>
      <c r="AD489" t="s">
        <v>11</v>
      </c>
      <c r="AE489" s="2">
        <v>45856</v>
      </c>
      <c r="AF489" s="2"/>
      <c r="AG489" t="s">
        <v>11</v>
      </c>
      <c r="AH489" s="14">
        <f>VLOOKUP(M489,'[1]INDIAN ENTERPRISES'!$D:$D,1,0)</f>
        <v>256779415474</v>
      </c>
      <c r="AJ489" s="15">
        <f>VLOOKUP(M489,'[1]INDIAN ENTERPRISES'!$D:$L,9,0)</f>
        <v>45991</v>
      </c>
    </row>
    <row r="490" spans="1:36" hidden="1" outlineLevel="2" x14ac:dyDescent="0.25">
      <c r="A490" t="s">
        <v>20</v>
      </c>
      <c r="B490" t="s">
        <v>1</v>
      </c>
      <c r="C490" t="s">
        <v>2</v>
      </c>
      <c r="D490" t="s">
        <v>3</v>
      </c>
      <c r="E490" t="s">
        <v>4</v>
      </c>
      <c r="F490" t="s">
        <v>128</v>
      </c>
      <c r="G490" s="2">
        <v>45856</v>
      </c>
      <c r="H490" t="s">
        <v>902</v>
      </c>
      <c r="I490" t="s">
        <v>7</v>
      </c>
      <c r="J490" s="2">
        <v>45856</v>
      </c>
      <c r="K490" s="2">
        <v>45859</v>
      </c>
      <c r="L490" t="s">
        <v>8</v>
      </c>
      <c r="M490" s="14">
        <v>256779415517</v>
      </c>
      <c r="N490" t="s">
        <v>9</v>
      </c>
      <c r="O490" t="s">
        <v>10</v>
      </c>
      <c r="P490" t="s">
        <v>11</v>
      </c>
      <c r="Q490" t="s">
        <v>12</v>
      </c>
      <c r="R490" t="s">
        <v>13</v>
      </c>
      <c r="S490" s="3">
        <v>116.74</v>
      </c>
      <c r="T490" t="s">
        <v>14</v>
      </c>
      <c r="U490" s="3">
        <v>10039.719999999999</v>
      </c>
      <c r="V490" t="s">
        <v>15</v>
      </c>
      <c r="W490" t="s">
        <v>16</v>
      </c>
      <c r="X490" t="s">
        <v>11</v>
      </c>
      <c r="Y490" t="s">
        <v>8</v>
      </c>
      <c r="Z490" t="s">
        <v>17</v>
      </c>
      <c r="AA490" t="s">
        <v>903</v>
      </c>
      <c r="AB490" t="s">
        <v>11</v>
      </c>
      <c r="AC490" t="s">
        <v>11</v>
      </c>
      <c r="AD490" t="s">
        <v>11</v>
      </c>
      <c r="AE490" s="2">
        <v>45856</v>
      </c>
      <c r="AF490" s="2"/>
      <c r="AG490" t="s">
        <v>11</v>
      </c>
      <c r="AH490" s="14">
        <f>VLOOKUP(M490,'[1]INDIAN ENTERPRISES'!$D:$D,1,0)</f>
        <v>256779415517</v>
      </c>
      <c r="AJ490" s="15">
        <f>VLOOKUP(M490,'[1]INDIAN ENTERPRISES'!$D:$L,9,0)</f>
        <v>45991</v>
      </c>
    </row>
    <row r="491" spans="1:36" hidden="1" outlineLevel="2" x14ac:dyDescent="0.25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128</v>
      </c>
      <c r="G491" s="2">
        <v>45856</v>
      </c>
      <c r="H491" t="s">
        <v>904</v>
      </c>
      <c r="I491" t="s">
        <v>7</v>
      </c>
      <c r="J491" s="2">
        <v>45856</v>
      </c>
      <c r="K491" s="2">
        <v>45859</v>
      </c>
      <c r="L491" t="s">
        <v>8</v>
      </c>
      <c r="M491" s="14">
        <v>256779415792</v>
      </c>
      <c r="N491" t="s">
        <v>9</v>
      </c>
      <c r="O491" t="s">
        <v>10</v>
      </c>
      <c r="P491" t="s">
        <v>11</v>
      </c>
      <c r="Q491" t="s">
        <v>12</v>
      </c>
      <c r="R491" t="s">
        <v>13</v>
      </c>
      <c r="S491" s="3">
        <v>608.41</v>
      </c>
      <c r="T491" t="s">
        <v>14</v>
      </c>
      <c r="U491" s="3">
        <v>52323.67</v>
      </c>
      <c r="V491" t="s">
        <v>15</v>
      </c>
      <c r="W491" t="s">
        <v>16</v>
      </c>
      <c r="X491" t="s">
        <v>11</v>
      </c>
      <c r="Y491" t="s">
        <v>8</v>
      </c>
      <c r="Z491" t="s">
        <v>17</v>
      </c>
      <c r="AA491" t="s">
        <v>901</v>
      </c>
      <c r="AB491" t="s">
        <v>11</v>
      </c>
      <c r="AC491" t="s">
        <v>11</v>
      </c>
      <c r="AD491" t="s">
        <v>11</v>
      </c>
      <c r="AE491" s="2">
        <v>45856</v>
      </c>
      <c r="AF491" s="2">
        <v>45974</v>
      </c>
      <c r="AG491" t="s">
        <v>39</v>
      </c>
      <c r="AH491" s="14" t="e">
        <f>VLOOKUP(M491,'[1]INDIAN ENTERPRISES'!$D:$D,1,0)</f>
        <v>#N/A</v>
      </c>
      <c r="AI491" t="str">
        <f>VLOOKUP(M491,'[2]Invoices Not in Customer Books'!$E:$K,7,0)</f>
        <v>Invoice &amp; CN both not received &amp; booked</v>
      </c>
      <c r="AJ491" s="15" t="e">
        <f>VLOOKUP(M491,'[1]INDIAN ENTERPRISES'!$D:$L,9,0)</f>
        <v>#N/A</v>
      </c>
    </row>
    <row r="492" spans="1:36" hidden="1" outlineLevel="2" x14ac:dyDescent="0.25">
      <c r="A492" t="s">
        <v>20</v>
      </c>
      <c r="B492" t="s">
        <v>1</v>
      </c>
      <c r="C492" t="s">
        <v>2</v>
      </c>
      <c r="D492" t="s">
        <v>3</v>
      </c>
      <c r="E492" t="s">
        <v>4</v>
      </c>
      <c r="F492" t="s">
        <v>29</v>
      </c>
      <c r="G492" s="2">
        <v>45729</v>
      </c>
      <c r="H492" t="s">
        <v>905</v>
      </c>
      <c r="I492" t="s">
        <v>7</v>
      </c>
      <c r="J492" s="2">
        <v>45729</v>
      </c>
      <c r="K492" s="2">
        <v>45733</v>
      </c>
      <c r="L492" t="s">
        <v>8</v>
      </c>
      <c r="M492" s="14">
        <v>246779411312</v>
      </c>
      <c r="N492" t="s">
        <v>9</v>
      </c>
      <c r="O492" t="s">
        <v>10</v>
      </c>
      <c r="P492" t="s">
        <v>11</v>
      </c>
      <c r="Q492" t="s">
        <v>12</v>
      </c>
      <c r="R492" t="s">
        <v>13</v>
      </c>
      <c r="S492" s="3">
        <v>27</v>
      </c>
      <c r="T492" t="s">
        <v>14</v>
      </c>
      <c r="U492" s="3">
        <v>2340.66</v>
      </c>
      <c r="V492" t="s">
        <v>15</v>
      </c>
      <c r="W492" t="s">
        <v>16</v>
      </c>
      <c r="X492" t="s">
        <v>11</v>
      </c>
      <c r="Y492" t="s">
        <v>8</v>
      </c>
      <c r="Z492" t="s">
        <v>17</v>
      </c>
      <c r="AA492" t="s">
        <v>906</v>
      </c>
      <c r="AB492" t="s">
        <v>11</v>
      </c>
      <c r="AC492" t="s">
        <v>11</v>
      </c>
      <c r="AD492" t="s">
        <v>11</v>
      </c>
      <c r="AE492" s="2">
        <v>45729</v>
      </c>
      <c r="AF492" s="2"/>
      <c r="AG492" t="s">
        <v>11</v>
      </c>
      <c r="AH492" s="14">
        <f>VLOOKUP(M492,'[1]INDIAN ENTERPRISES'!$D:$D,1,0)</f>
        <v>246779411312</v>
      </c>
      <c r="AJ492" s="15">
        <f>VLOOKUP(M492,'[1]INDIAN ENTERPRISES'!$D:$L,9,0)</f>
        <v>45838</v>
      </c>
    </row>
    <row r="493" spans="1:36" hidden="1" outlineLevel="2" x14ac:dyDescent="0.25">
      <c r="A493" t="s">
        <v>20</v>
      </c>
      <c r="B493" t="s">
        <v>1</v>
      </c>
      <c r="C493" t="s">
        <v>2</v>
      </c>
      <c r="D493" t="s">
        <v>3</v>
      </c>
      <c r="E493" t="s">
        <v>4</v>
      </c>
      <c r="F493" t="s">
        <v>29</v>
      </c>
      <c r="G493" s="2">
        <v>45736</v>
      </c>
      <c r="H493" t="s">
        <v>907</v>
      </c>
      <c r="I493" t="s">
        <v>7</v>
      </c>
      <c r="J493" s="2">
        <v>45736</v>
      </c>
      <c r="K493" s="2">
        <v>45736</v>
      </c>
      <c r="L493" t="s">
        <v>8</v>
      </c>
      <c r="M493" s="14">
        <v>246779413730</v>
      </c>
      <c r="N493" t="s">
        <v>9</v>
      </c>
      <c r="O493" t="s">
        <v>10</v>
      </c>
      <c r="P493" t="s">
        <v>11</v>
      </c>
      <c r="Q493" t="s">
        <v>12</v>
      </c>
      <c r="R493" t="s">
        <v>13</v>
      </c>
      <c r="S493" s="3">
        <v>3.2</v>
      </c>
      <c r="T493" t="s">
        <v>14</v>
      </c>
      <c r="U493" s="3">
        <v>277.41000000000003</v>
      </c>
      <c r="V493" t="s">
        <v>15</v>
      </c>
      <c r="W493" t="s">
        <v>16</v>
      </c>
      <c r="X493" t="s">
        <v>11</v>
      </c>
      <c r="Y493" t="s">
        <v>8</v>
      </c>
      <c r="Z493" t="s">
        <v>17</v>
      </c>
      <c r="AA493" t="s">
        <v>443</v>
      </c>
      <c r="AB493" t="s">
        <v>11</v>
      </c>
      <c r="AC493" t="s">
        <v>11</v>
      </c>
      <c r="AD493" t="s">
        <v>11</v>
      </c>
      <c r="AE493" s="2">
        <v>45736</v>
      </c>
      <c r="AF493" s="2"/>
      <c r="AG493" t="s">
        <v>11</v>
      </c>
      <c r="AH493" s="14">
        <f>VLOOKUP(M493,'[1]INDIAN ENTERPRISES'!$D:$D,1,0)</f>
        <v>246779413730</v>
      </c>
      <c r="AJ493" s="15">
        <f>VLOOKUP(M493,'[1]INDIAN ENTERPRISES'!$D:$L,9,0)</f>
        <v>45838</v>
      </c>
    </row>
    <row r="494" spans="1:36" hidden="1" outlineLevel="2" x14ac:dyDescent="0.25">
      <c r="A494" t="s">
        <v>20</v>
      </c>
      <c r="B494" t="s">
        <v>1</v>
      </c>
      <c r="C494" t="s">
        <v>2</v>
      </c>
      <c r="D494" t="s">
        <v>3</v>
      </c>
      <c r="E494" t="s">
        <v>4</v>
      </c>
      <c r="F494" t="s">
        <v>29</v>
      </c>
      <c r="G494" s="2">
        <v>45736</v>
      </c>
      <c r="H494" t="s">
        <v>908</v>
      </c>
      <c r="I494" t="s">
        <v>7</v>
      </c>
      <c r="J494" s="2">
        <v>45736</v>
      </c>
      <c r="K494" s="2">
        <v>45736</v>
      </c>
      <c r="L494" t="s">
        <v>8</v>
      </c>
      <c r="M494" s="14">
        <v>246779413747</v>
      </c>
      <c r="N494" t="s">
        <v>9</v>
      </c>
      <c r="O494" t="s">
        <v>10</v>
      </c>
      <c r="P494" t="s">
        <v>11</v>
      </c>
      <c r="Q494" t="s">
        <v>12</v>
      </c>
      <c r="R494" t="s">
        <v>13</v>
      </c>
      <c r="S494" s="3">
        <v>2.74</v>
      </c>
      <c r="T494" t="s">
        <v>14</v>
      </c>
      <c r="U494" s="3">
        <v>237.53</v>
      </c>
      <c r="V494" t="s">
        <v>15</v>
      </c>
      <c r="W494" t="s">
        <v>16</v>
      </c>
      <c r="X494" t="s">
        <v>11</v>
      </c>
      <c r="Y494" t="s">
        <v>8</v>
      </c>
      <c r="Z494" t="s">
        <v>17</v>
      </c>
      <c r="AA494" t="s">
        <v>708</v>
      </c>
      <c r="AB494" t="s">
        <v>11</v>
      </c>
      <c r="AC494" t="s">
        <v>11</v>
      </c>
      <c r="AD494" t="s">
        <v>11</v>
      </c>
      <c r="AE494" s="2">
        <v>45736</v>
      </c>
      <c r="AF494" s="2"/>
      <c r="AG494" t="s">
        <v>11</v>
      </c>
      <c r="AH494" s="14">
        <f>VLOOKUP(M494,'[1]INDIAN ENTERPRISES'!$D:$D,1,0)</f>
        <v>246779413747</v>
      </c>
      <c r="AJ494" s="15">
        <f>VLOOKUP(M494,'[1]INDIAN ENTERPRISES'!$D:$L,9,0)</f>
        <v>45991</v>
      </c>
    </row>
    <row r="495" spans="1:36" hidden="1" outlineLevel="2" x14ac:dyDescent="0.25">
      <c r="A495" t="s">
        <v>20</v>
      </c>
      <c r="B495" t="s">
        <v>1</v>
      </c>
      <c r="C495" t="s">
        <v>2</v>
      </c>
      <c r="D495" t="s">
        <v>3</v>
      </c>
      <c r="E495" t="s">
        <v>4</v>
      </c>
      <c r="F495" t="s">
        <v>29</v>
      </c>
      <c r="G495" s="2">
        <v>45736</v>
      </c>
      <c r="H495" t="s">
        <v>909</v>
      </c>
      <c r="I495" t="s">
        <v>7</v>
      </c>
      <c r="J495" s="2">
        <v>45736</v>
      </c>
      <c r="K495" s="2">
        <v>45737</v>
      </c>
      <c r="L495" t="s">
        <v>8</v>
      </c>
      <c r="M495" s="14">
        <v>246779413815</v>
      </c>
      <c r="N495" t="s">
        <v>9</v>
      </c>
      <c r="O495" t="s">
        <v>10</v>
      </c>
      <c r="P495" t="s">
        <v>11</v>
      </c>
      <c r="Q495" t="s">
        <v>12</v>
      </c>
      <c r="R495" t="s">
        <v>13</v>
      </c>
      <c r="S495" s="3">
        <v>50</v>
      </c>
      <c r="T495" t="s">
        <v>14</v>
      </c>
      <c r="U495" s="3">
        <v>4334.5600000000004</v>
      </c>
      <c r="V495" t="s">
        <v>15</v>
      </c>
      <c r="W495" t="s">
        <v>16</v>
      </c>
      <c r="X495" t="s">
        <v>11</v>
      </c>
      <c r="Y495" t="s">
        <v>8</v>
      </c>
      <c r="Z495" t="s">
        <v>17</v>
      </c>
      <c r="AA495" t="s">
        <v>910</v>
      </c>
      <c r="AB495" t="s">
        <v>11</v>
      </c>
      <c r="AC495" t="s">
        <v>11</v>
      </c>
      <c r="AD495" t="s">
        <v>11</v>
      </c>
      <c r="AE495" s="2">
        <v>45736</v>
      </c>
      <c r="AF495" s="2"/>
      <c r="AG495" t="s">
        <v>11</v>
      </c>
      <c r="AH495" s="14">
        <f>VLOOKUP(M495,'[1]INDIAN ENTERPRISES'!$D:$D,1,0)</f>
        <v>246779413815</v>
      </c>
      <c r="AJ495" s="15">
        <f>VLOOKUP(M495,'[1]INDIAN ENTERPRISES'!$D:$L,9,0)</f>
        <v>45869</v>
      </c>
    </row>
    <row r="496" spans="1:36" hidden="1" outlineLevel="2" x14ac:dyDescent="0.25">
      <c r="A496" t="s">
        <v>20</v>
      </c>
      <c r="B496" t="s">
        <v>1</v>
      </c>
      <c r="C496" t="s">
        <v>2</v>
      </c>
      <c r="D496" t="s">
        <v>3</v>
      </c>
      <c r="E496" t="s">
        <v>4</v>
      </c>
      <c r="F496" t="s">
        <v>29</v>
      </c>
      <c r="G496" s="2">
        <v>45736</v>
      </c>
      <c r="H496" t="s">
        <v>911</v>
      </c>
      <c r="I496" t="s">
        <v>7</v>
      </c>
      <c r="J496" s="2">
        <v>45736</v>
      </c>
      <c r="K496" s="2">
        <v>45737</v>
      </c>
      <c r="L496" t="s">
        <v>8</v>
      </c>
      <c r="M496" s="14">
        <v>246779413920</v>
      </c>
      <c r="N496" t="s">
        <v>9</v>
      </c>
      <c r="O496" t="s">
        <v>10</v>
      </c>
      <c r="P496" t="s">
        <v>11</v>
      </c>
      <c r="Q496" t="s">
        <v>12</v>
      </c>
      <c r="R496" t="s">
        <v>13</v>
      </c>
      <c r="S496" s="3">
        <v>22.5</v>
      </c>
      <c r="T496" t="s">
        <v>14</v>
      </c>
      <c r="U496" s="3">
        <v>1950.55</v>
      </c>
      <c r="V496" t="s">
        <v>15</v>
      </c>
      <c r="W496" t="s">
        <v>16</v>
      </c>
      <c r="X496" t="s">
        <v>11</v>
      </c>
      <c r="Y496" t="s">
        <v>8</v>
      </c>
      <c r="Z496" t="s">
        <v>17</v>
      </c>
      <c r="AA496" t="s">
        <v>708</v>
      </c>
      <c r="AB496" t="s">
        <v>11</v>
      </c>
      <c r="AC496" t="s">
        <v>11</v>
      </c>
      <c r="AD496" t="s">
        <v>11</v>
      </c>
      <c r="AE496" s="2">
        <v>45736</v>
      </c>
      <c r="AF496" s="2"/>
      <c r="AG496" t="s">
        <v>11</v>
      </c>
      <c r="AH496" s="14">
        <f>VLOOKUP(M496,'[1]INDIAN ENTERPRISES'!$D:$D,1,0)</f>
        <v>246779413920</v>
      </c>
      <c r="AJ496" s="15">
        <f>VLOOKUP(M496,'[1]INDIAN ENTERPRISES'!$D:$L,9,0)</f>
        <v>45869</v>
      </c>
    </row>
    <row r="497" spans="1:36" hidden="1" outlineLevel="2" x14ac:dyDescent="0.25">
      <c r="A497" t="s">
        <v>20</v>
      </c>
      <c r="B497" t="s">
        <v>1</v>
      </c>
      <c r="C497" t="s">
        <v>2</v>
      </c>
      <c r="D497" t="s">
        <v>3</v>
      </c>
      <c r="E497" t="s">
        <v>4</v>
      </c>
      <c r="F497" t="s">
        <v>29</v>
      </c>
      <c r="G497" s="2">
        <v>45736</v>
      </c>
      <c r="H497" t="s">
        <v>912</v>
      </c>
      <c r="I497" t="s">
        <v>7</v>
      </c>
      <c r="J497" s="2">
        <v>45736</v>
      </c>
      <c r="K497" s="2">
        <v>45737</v>
      </c>
      <c r="L497" t="s">
        <v>8</v>
      </c>
      <c r="M497" s="14">
        <v>246779413936</v>
      </c>
      <c r="N497" t="s">
        <v>9</v>
      </c>
      <c r="O497" t="s">
        <v>10</v>
      </c>
      <c r="P497" t="s">
        <v>11</v>
      </c>
      <c r="Q497" t="s">
        <v>12</v>
      </c>
      <c r="R497" t="s">
        <v>13</v>
      </c>
      <c r="S497" s="3">
        <v>27.5</v>
      </c>
      <c r="T497" t="s">
        <v>14</v>
      </c>
      <c r="U497" s="3">
        <v>2384.0100000000002</v>
      </c>
      <c r="V497" t="s">
        <v>15</v>
      </c>
      <c r="W497" t="s">
        <v>16</v>
      </c>
      <c r="X497" t="s">
        <v>11</v>
      </c>
      <c r="Y497" t="s">
        <v>8</v>
      </c>
      <c r="Z497" t="s">
        <v>17</v>
      </c>
      <c r="AA497" t="s">
        <v>708</v>
      </c>
      <c r="AB497" t="s">
        <v>11</v>
      </c>
      <c r="AC497" t="s">
        <v>11</v>
      </c>
      <c r="AD497" t="s">
        <v>11</v>
      </c>
      <c r="AE497" s="2">
        <v>45736</v>
      </c>
      <c r="AF497" s="2"/>
      <c r="AG497" t="s">
        <v>11</v>
      </c>
      <c r="AH497" s="14">
        <f>VLOOKUP(M497,'[1]INDIAN ENTERPRISES'!$D:$D,1,0)</f>
        <v>246779413936</v>
      </c>
      <c r="AJ497" s="15">
        <f>VLOOKUP(M497,'[1]INDIAN ENTERPRISES'!$D:$L,9,0)</f>
        <v>45869</v>
      </c>
    </row>
    <row r="498" spans="1:36" hidden="1" outlineLevel="2" x14ac:dyDescent="0.25">
      <c r="A498" t="s">
        <v>20</v>
      </c>
      <c r="B498" t="s">
        <v>1</v>
      </c>
      <c r="C498" t="s">
        <v>2</v>
      </c>
      <c r="D498" t="s">
        <v>3</v>
      </c>
      <c r="E498" t="s">
        <v>4</v>
      </c>
      <c r="F498" t="s">
        <v>29</v>
      </c>
      <c r="G498" s="2">
        <v>45736</v>
      </c>
      <c r="H498" t="s">
        <v>913</v>
      </c>
      <c r="I498" t="s">
        <v>7</v>
      </c>
      <c r="J498" s="2">
        <v>45736</v>
      </c>
      <c r="K498" s="2">
        <v>45737</v>
      </c>
      <c r="L498" t="s">
        <v>8</v>
      </c>
      <c r="M498" s="14">
        <v>246779413941</v>
      </c>
      <c r="N498" t="s">
        <v>9</v>
      </c>
      <c r="O498" t="s">
        <v>10</v>
      </c>
      <c r="P498" t="s">
        <v>11</v>
      </c>
      <c r="Q498" t="s">
        <v>12</v>
      </c>
      <c r="R498" t="s">
        <v>13</v>
      </c>
      <c r="S498" s="3">
        <v>30</v>
      </c>
      <c r="T498" t="s">
        <v>14</v>
      </c>
      <c r="U498" s="3">
        <v>2600.7399999999998</v>
      </c>
      <c r="V498" t="s">
        <v>15</v>
      </c>
      <c r="W498" t="s">
        <v>16</v>
      </c>
      <c r="X498" t="s">
        <v>11</v>
      </c>
      <c r="Y498" t="s">
        <v>8</v>
      </c>
      <c r="Z498" t="s">
        <v>17</v>
      </c>
      <c r="AA498" t="s">
        <v>708</v>
      </c>
      <c r="AB498" t="s">
        <v>11</v>
      </c>
      <c r="AC498" t="s">
        <v>11</v>
      </c>
      <c r="AD498" t="s">
        <v>11</v>
      </c>
      <c r="AE498" s="2">
        <v>45736</v>
      </c>
      <c r="AF498" s="2"/>
      <c r="AG498" t="s">
        <v>11</v>
      </c>
      <c r="AH498" s="14">
        <f>VLOOKUP(M498,'[1]INDIAN ENTERPRISES'!$D:$D,1,0)</f>
        <v>246779413941</v>
      </c>
      <c r="AJ498" s="15">
        <f>VLOOKUP(M498,'[1]INDIAN ENTERPRISES'!$D:$L,9,0)</f>
        <v>45869</v>
      </c>
    </row>
    <row r="499" spans="1:36" hidden="1" outlineLevel="2" x14ac:dyDescent="0.25">
      <c r="A499" t="s">
        <v>20</v>
      </c>
      <c r="B499" t="s">
        <v>1</v>
      </c>
      <c r="C499" t="s">
        <v>2</v>
      </c>
      <c r="D499" t="s">
        <v>3</v>
      </c>
      <c r="E499" t="s">
        <v>4</v>
      </c>
      <c r="F499" t="s">
        <v>29</v>
      </c>
      <c r="G499" s="2">
        <v>45736</v>
      </c>
      <c r="H499" t="s">
        <v>914</v>
      </c>
      <c r="I499" t="s">
        <v>7</v>
      </c>
      <c r="J499" s="2">
        <v>45736</v>
      </c>
      <c r="K499" s="2">
        <v>45737</v>
      </c>
      <c r="L499" t="s">
        <v>8</v>
      </c>
      <c r="M499" s="14">
        <v>246779414384</v>
      </c>
      <c r="N499" t="s">
        <v>9</v>
      </c>
      <c r="O499" t="s">
        <v>10</v>
      </c>
      <c r="P499" t="s">
        <v>11</v>
      </c>
      <c r="Q499" t="s">
        <v>12</v>
      </c>
      <c r="R499" t="s">
        <v>13</v>
      </c>
      <c r="S499" s="3">
        <v>182.5</v>
      </c>
      <c r="T499" t="s">
        <v>14</v>
      </c>
      <c r="U499" s="3">
        <v>15821.15</v>
      </c>
      <c r="V499" t="s">
        <v>15</v>
      </c>
      <c r="W499" t="s">
        <v>16</v>
      </c>
      <c r="X499" t="s">
        <v>11</v>
      </c>
      <c r="Y499" t="s">
        <v>8</v>
      </c>
      <c r="Z499" t="s">
        <v>17</v>
      </c>
      <c r="AA499" t="s">
        <v>915</v>
      </c>
      <c r="AB499" t="s">
        <v>11</v>
      </c>
      <c r="AC499" t="s">
        <v>11</v>
      </c>
      <c r="AD499" t="s">
        <v>11</v>
      </c>
      <c r="AE499" s="2">
        <v>45736</v>
      </c>
      <c r="AF499" s="2"/>
      <c r="AG499" t="s">
        <v>11</v>
      </c>
      <c r="AH499" s="14">
        <f>VLOOKUP(M499,'[1]INDIAN ENTERPRISES'!$D:$D,1,0)</f>
        <v>246779414384</v>
      </c>
      <c r="AJ499" s="15">
        <f>VLOOKUP(M499,'[1]INDIAN ENTERPRISES'!$D:$L,9,0)</f>
        <v>45869</v>
      </c>
    </row>
    <row r="500" spans="1:36" hidden="1" outlineLevel="2" x14ac:dyDescent="0.25">
      <c r="A500" t="s">
        <v>20</v>
      </c>
      <c r="B500" t="s">
        <v>1</v>
      </c>
      <c r="C500" t="s">
        <v>2</v>
      </c>
      <c r="D500" t="s">
        <v>3</v>
      </c>
      <c r="E500" t="s">
        <v>4</v>
      </c>
      <c r="F500" t="s">
        <v>29</v>
      </c>
      <c r="G500" s="2">
        <v>45736</v>
      </c>
      <c r="H500" t="s">
        <v>916</v>
      </c>
      <c r="I500" t="s">
        <v>7</v>
      </c>
      <c r="J500" s="2">
        <v>45736</v>
      </c>
      <c r="K500" s="2">
        <v>45737</v>
      </c>
      <c r="L500" t="s">
        <v>8</v>
      </c>
      <c r="M500" s="14">
        <v>246779414385</v>
      </c>
      <c r="N500" t="s">
        <v>9</v>
      </c>
      <c r="O500" t="s">
        <v>10</v>
      </c>
      <c r="P500" t="s">
        <v>11</v>
      </c>
      <c r="Q500" t="s">
        <v>12</v>
      </c>
      <c r="R500" t="s">
        <v>13</v>
      </c>
      <c r="S500" s="3">
        <v>240</v>
      </c>
      <c r="T500" t="s">
        <v>14</v>
      </c>
      <c r="U500" s="3">
        <v>20805.900000000001</v>
      </c>
      <c r="V500" t="s">
        <v>15</v>
      </c>
      <c r="W500" t="s">
        <v>16</v>
      </c>
      <c r="X500" t="s">
        <v>11</v>
      </c>
      <c r="Y500" t="s">
        <v>8</v>
      </c>
      <c r="Z500" t="s">
        <v>17</v>
      </c>
      <c r="AA500" t="s">
        <v>917</v>
      </c>
      <c r="AB500" t="s">
        <v>11</v>
      </c>
      <c r="AC500" t="s">
        <v>11</v>
      </c>
      <c r="AD500" t="s">
        <v>11</v>
      </c>
      <c r="AE500" s="2">
        <v>45736</v>
      </c>
      <c r="AF500" s="2"/>
      <c r="AG500" t="s">
        <v>11</v>
      </c>
      <c r="AH500" s="14">
        <f>VLOOKUP(M500,'[1]INDIAN ENTERPRISES'!$D:$D,1,0)</f>
        <v>246779414385</v>
      </c>
      <c r="AJ500" s="15">
        <f>VLOOKUP(M500,'[1]INDIAN ENTERPRISES'!$D:$L,9,0)</f>
        <v>45838</v>
      </c>
    </row>
    <row r="501" spans="1:36" hidden="1" outlineLevel="2" x14ac:dyDescent="0.25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29</v>
      </c>
      <c r="G501" s="2">
        <v>45736</v>
      </c>
      <c r="H501" t="s">
        <v>918</v>
      </c>
      <c r="I501" t="s">
        <v>7</v>
      </c>
      <c r="J501" s="2">
        <v>45736</v>
      </c>
      <c r="K501" s="2">
        <v>45737</v>
      </c>
      <c r="L501" t="s">
        <v>8</v>
      </c>
      <c r="M501" s="14">
        <v>246779414057</v>
      </c>
      <c r="N501" t="s">
        <v>9</v>
      </c>
      <c r="O501" t="s">
        <v>10</v>
      </c>
      <c r="P501" t="s">
        <v>11</v>
      </c>
      <c r="Q501" t="s">
        <v>12</v>
      </c>
      <c r="R501" t="s">
        <v>13</v>
      </c>
      <c r="S501" s="3">
        <v>43.07</v>
      </c>
      <c r="T501" t="s">
        <v>14</v>
      </c>
      <c r="U501" s="3">
        <v>3733.79</v>
      </c>
      <c r="V501" t="s">
        <v>37</v>
      </c>
      <c r="W501" t="s">
        <v>16</v>
      </c>
      <c r="X501" t="s">
        <v>11</v>
      </c>
      <c r="Y501" t="s">
        <v>8</v>
      </c>
      <c r="Z501" t="s">
        <v>17</v>
      </c>
      <c r="AA501" t="s">
        <v>448</v>
      </c>
      <c r="AB501" t="s">
        <v>11</v>
      </c>
      <c r="AC501" t="s">
        <v>11</v>
      </c>
      <c r="AD501" t="s">
        <v>11</v>
      </c>
      <c r="AE501" s="2">
        <v>45736</v>
      </c>
      <c r="AF501" s="2">
        <v>45974</v>
      </c>
      <c r="AG501" t="s">
        <v>39</v>
      </c>
      <c r="AH501" s="14" t="e">
        <f>VLOOKUP(M501,'[1]INDIAN ENTERPRISES'!$D:$D,1,0)</f>
        <v>#N/A</v>
      </c>
      <c r="AI501" t="str">
        <f>VLOOKUP(M501,'[2]Invoices Not in Customer Books'!$E:$K,7,0)</f>
        <v>Invoice &amp; CN both not received &amp; booked</v>
      </c>
      <c r="AJ501" s="15" t="e">
        <f>VLOOKUP(M501,'[1]INDIAN ENTERPRISES'!$D:$L,9,0)</f>
        <v>#N/A</v>
      </c>
    </row>
    <row r="502" spans="1:36" hidden="1" outlineLevel="2" x14ac:dyDescent="0.25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29</v>
      </c>
      <c r="G502" s="2">
        <v>45736</v>
      </c>
      <c r="H502" t="s">
        <v>919</v>
      </c>
      <c r="I502" t="s">
        <v>7</v>
      </c>
      <c r="J502" s="2">
        <v>45736</v>
      </c>
      <c r="K502" s="2">
        <v>45737</v>
      </c>
      <c r="L502" t="s">
        <v>8</v>
      </c>
      <c r="M502" s="14">
        <v>246779414058</v>
      </c>
      <c r="N502" t="s">
        <v>9</v>
      </c>
      <c r="O502" t="s">
        <v>10</v>
      </c>
      <c r="P502" t="s">
        <v>11</v>
      </c>
      <c r="Q502" t="s">
        <v>12</v>
      </c>
      <c r="R502" t="s">
        <v>13</v>
      </c>
      <c r="S502" s="3">
        <v>398.23</v>
      </c>
      <c r="T502" t="s">
        <v>14</v>
      </c>
      <c r="U502" s="3">
        <v>34523.06</v>
      </c>
      <c r="V502" t="s">
        <v>37</v>
      </c>
      <c r="W502" t="s">
        <v>16</v>
      </c>
      <c r="X502" t="s">
        <v>11</v>
      </c>
      <c r="Y502" t="s">
        <v>8</v>
      </c>
      <c r="Z502" t="s">
        <v>17</v>
      </c>
      <c r="AA502" t="s">
        <v>448</v>
      </c>
      <c r="AB502" t="s">
        <v>11</v>
      </c>
      <c r="AC502" t="s">
        <v>11</v>
      </c>
      <c r="AD502" t="s">
        <v>11</v>
      </c>
      <c r="AE502" s="2">
        <v>45736</v>
      </c>
      <c r="AF502" s="2">
        <v>45974</v>
      </c>
      <c r="AG502" t="s">
        <v>39</v>
      </c>
      <c r="AH502" s="14" t="e">
        <f>VLOOKUP(M502,'[1]INDIAN ENTERPRISES'!$D:$D,1,0)</f>
        <v>#N/A</v>
      </c>
      <c r="AI502" t="str">
        <f>VLOOKUP(M502,'[2]Invoices Not in Customer Books'!$E:$K,7,0)</f>
        <v>Invoice &amp; CN both not received &amp; booked</v>
      </c>
      <c r="AJ502" s="15" t="e">
        <f>VLOOKUP(M502,'[1]INDIAN ENTERPRISES'!$D:$L,9,0)</f>
        <v>#N/A</v>
      </c>
    </row>
    <row r="503" spans="1:36" hidden="1" outlineLevel="2" x14ac:dyDescent="0.25">
      <c r="A503" t="s">
        <v>0</v>
      </c>
      <c r="B503" t="s">
        <v>1</v>
      </c>
      <c r="C503" t="s">
        <v>2</v>
      </c>
      <c r="D503" t="s">
        <v>3</v>
      </c>
      <c r="E503" t="s">
        <v>4</v>
      </c>
      <c r="F503" t="s">
        <v>29</v>
      </c>
      <c r="G503" s="2">
        <v>45736</v>
      </c>
      <c r="H503" t="s">
        <v>920</v>
      </c>
      <c r="I503" t="s">
        <v>7</v>
      </c>
      <c r="J503" s="2">
        <v>45736</v>
      </c>
      <c r="K503" s="2">
        <v>45737</v>
      </c>
      <c r="L503" t="s">
        <v>8</v>
      </c>
      <c r="M503" s="14">
        <v>246779414120</v>
      </c>
      <c r="N503" t="s">
        <v>9</v>
      </c>
      <c r="O503" t="s">
        <v>10</v>
      </c>
      <c r="P503" t="s">
        <v>11</v>
      </c>
      <c r="Q503" t="s">
        <v>12</v>
      </c>
      <c r="R503" t="s">
        <v>13</v>
      </c>
      <c r="S503" s="3">
        <v>250.75</v>
      </c>
      <c r="T503" t="s">
        <v>14</v>
      </c>
      <c r="U503" s="3">
        <v>21737.83</v>
      </c>
      <c r="V503" t="s">
        <v>37</v>
      </c>
      <c r="W503" t="s">
        <v>16</v>
      </c>
      <c r="X503" t="s">
        <v>11</v>
      </c>
      <c r="Y503" t="s">
        <v>8</v>
      </c>
      <c r="Z503" t="s">
        <v>17</v>
      </c>
      <c r="AA503" t="s">
        <v>504</v>
      </c>
      <c r="AB503" t="s">
        <v>11</v>
      </c>
      <c r="AC503" t="s">
        <v>11</v>
      </c>
      <c r="AD503" t="s">
        <v>11</v>
      </c>
      <c r="AE503" s="2">
        <v>45736</v>
      </c>
      <c r="AF503" s="2">
        <v>45974</v>
      </c>
      <c r="AG503" t="s">
        <v>39</v>
      </c>
      <c r="AH503" s="14" t="e">
        <f>VLOOKUP(M503,'[1]INDIAN ENTERPRISES'!$D:$D,1,0)</f>
        <v>#N/A</v>
      </c>
      <c r="AI503" t="str">
        <f>VLOOKUP(M503,'[2]Invoices Not in Customer Books'!$E:$K,7,0)</f>
        <v>Invoice &amp; CN both not received &amp; booked</v>
      </c>
      <c r="AJ503" s="15" t="e">
        <f>VLOOKUP(M503,'[1]INDIAN ENTERPRISES'!$D:$L,9,0)</f>
        <v>#N/A</v>
      </c>
    </row>
    <row r="504" spans="1:36" hidden="1" outlineLevel="2" x14ac:dyDescent="0.25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29</v>
      </c>
      <c r="G504" s="2">
        <v>45736</v>
      </c>
      <c r="H504" t="s">
        <v>921</v>
      </c>
      <c r="I504" t="s">
        <v>7</v>
      </c>
      <c r="J504" s="2">
        <v>45736</v>
      </c>
      <c r="K504" s="2">
        <v>45737</v>
      </c>
      <c r="L504" t="s">
        <v>8</v>
      </c>
      <c r="M504" s="14">
        <v>246779414121</v>
      </c>
      <c r="N504" t="s">
        <v>9</v>
      </c>
      <c r="O504" t="s">
        <v>10</v>
      </c>
      <c r="P504" t="s">
        <v>11</v>
      </c>
      <c r="Q504" t="s">
        <v>12</v>
      </c>
      <c r="R504" t="s">
        <v>13</v>
      </c>
      <c r="S504" s="3">
        <v>226.56</v>
      </c>
      <c r="T504" t="s">
        <v>14</v>
      </c>
      <c r="U504" s="3">
        <v>19640.77</v>
      </c>
      <c r="V504" t="s">
        <v>37</v>
      </c>
      <c r="W504" t="s">
        <v>16</v>
      </c>
      <c r="X504" t="s">
        <v>11</v>
      </c>
      <c r="Y504" t="s">
        <v>8</v>
      </c>
      <c r="Z504" t="s">
        <v>17</v>
      </c>
      <c r="AA504" t="s">
        <v>702</v>
      </c>
      <c r="AB504" t="s">
        <v>11</v>
      </c>
      <c r="AC504" t="s">
        <v>11</v>
      </c>
      <c r="AD504" t="s">
        <v>11</v>
      </c>
      <c r="AE504" s="2">
        <v>45736</v>
      </c>
      <c r="AF504" s="2">
        <v>45974</v>
      </c>
      <c r="AG504" t="s">
        <v>39</v>
      </c>
      <c r="AH504" s="14" t="e">
        <f>VLOOKUP(M504,'[1]INDIAN ENTERPRISES'!$D:$D,1,0)</f>
        <v>#N/A</v>
      </c>
      <c r="AI504" t="str">
        <f>VLOOKUP(M504,'[2]Invoices Not in Customer Books'!$E:$K,7,0)</f>
        <v>Invoice &amp; CN both not received &amp; booked</v>
      </c>
      <c r="AJ504" s="15" t="e">
        <f>VLOOKUP(M504,'[1]INDIAN ENTERPRISES'!$D:$L,9,0)</f>
        <v>#N/A</v>
      </c>
    </row>
    <row r="505" spans="1:36" hidden="1" outlineLevel="2" x14ac:dyDescent="0.25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29</v>
      </c>
      <c r="G505" s="2">
        <v>45736</v>
      </c>
      <c r="H505" t="s">
        <v>922</v>
      </c>
      <c r="I505" t="s">
        <v>7</v>
      </c>
      <c r="J505" s="2">
        <v>45736</v>
      </c>
      <c r="K505" s="2">
        <v>45737</v>
      </c>
      <c r="L505" t="s">
        <v>8</v>
      </c>
      <c r="M505" s="14">
        <v>246779414122</v>
      </c>
      <c r="N505" t="s">
        <v>9</v>
      </c>
      <c r="O505" t="s">
        <v>10</v>
      </c>
      <c r="P505" t="s">
        <v>11</v>
      </c>
      <c r="Q505" t="s">
        <v>12</v>
      </c>
      <c r="R505" t="s">
        <v>13</v>
      </c>
      <c r="S505" s="3">
        <v>35.4</v>
      </c>
      <c r="T505" t="s">
        <v>14</v>
      </c>
      <c r="U505" s="3">
        <v>3068.87</v>
      </c>
      <c r="V505" t="s">
        <v>37</v>
      </c>
      <c r="W505" t="s">
        <v>16</v>
      </c>
      <c r="X505" t="s">
        <v>11</v>
      </c>
      <c r="Y505" t="s">
        <v>8</v>
      </c>
      <c r="Z505" t="s">
        <v>17</v>
      </c>
      <c r="AA505" t="s">
        <v>441</v>
      </c>
      <c r="AB505" t="s">
        <v>11</v>
      </c>
      <c r="AC505" t="s">
        <v>11</v>
      </c>
      <c r="AD505" t="s">
        <v>11</v>
      </c>
      <c r="AE505" s="2">
        <v>45736</v>
      </c>
      <c r="AF505" s="2">
        <v>45974</v>
      </c>
      <c r="AG505" t="s">
        <v>39</v>
      </c>
      <c r="AH505" s="14" t="e">
        <f>VLOOKUP(M505,'[1]INDIAN ENTERPRISES'!$D:$D,1,0)</f>
        <v>#N/A</v>
      </c>
      <c r="AI505" t="str">
        <f>VLOOKUP(M505,'[2]Invoices Not in Customer Books'!$E:$K,7,0)</f>
        <v>Invoice &amp; CN both not received &amp; booked</v>
      </c>
      <c r="AJ505" s="15" t="e">
        <f>VLOOKUP(M505,'[1]INDIAN ENTERPRISES'!$D:$L,9,0)</f>
        <v>#N/A</v>
      </c>
    </row>
    <row r="506" spans="1:36" hidden="1" outlineLevel="2" x14ac:dyDescent="0.25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29</v>
      </c>
      <c r="G506" s="2">
        <v>45736</v>
      </c>
      <c r="H506" t="s">
        <v>923</v>
      </c>
      <c r="I506" t="s">
        <v>7</v>
      </c>
      <c r="J506" s="2">
        <v>45736</v>
      </c>
      <c r="K506" s="2">
        <v>45737</v>
      </c>
      <c r="L506" t="s">
        <v>8</v>
      </c>
      <c r="M506" s="14">
        <v>246779414204</v>
      </c>
      <c r="N506" t="s">
        <v>9</v>
      </c>
      <c r="O506" t="s">
        <v>10</v>
      </c>
      <c r="P506" t="s">
        <v>11</v>
      </c>
      <c r="Q506" t="s">
        <v>12</v>
      </c>
      <c r="R506" t="s">
        <v>13</v>
      </c>
      <c r="S506" s="3">
        <v>249.87</v>
      </c>
      <c r="T506" t="s">
        <v>14</v>
      </c>
      <c r="U506" s="3">
        <v>21661.55</v>
      </c>
      <c r="V506" t="s">
        <v>37</v>
      </c>
      <c r="W506" t="s">
        <v>16</v>
      </c>
      <c r="X506" t="s">
        <v>11</v>
      </c>
      <c r="Y506" t="s">
        <v>8</v>
      </c>
      <c r="Z506" t="s">
        <v>17</v>
      </c>
      <c r="AA506" t="s">
        <v>704</v>
      </c>
      <c r="AB506" t="s">
        <v>11</v>
      </c>
      <c r="AC506" t="s">
        <v>11</v>
      </c>
      <c r="AD506" t="s">
        <v>11</v>
      </c>
      <c r="AE506" s="2">
        <v>45736</v>
      </c>
      <c r="AF506" s="2">
        <v>45974</v>
      </c>
      <c r="AG506" t="s">
        <v>39</v>
      </c>
      <c r="AH506" s="14" t="e">
        <f>VLOOKUP(M506,'[1]INDIAN ENTERPRISES'!$D:$D,1,0)</f>
        <v>#N/A</v>
      </c>
      <c r="AI506" t="str">
        <f>VLOOKUP(M506,'[2]Invoices Not in Customer Books'!$E:$K,7,0)</f>
        <v>Invoice &amp; CN both not received &amp; booked</v>
      </c>
      <c r="AJ506" s="15" t="e">
        <f>VLOOKUP(M506,'[1]INDIAN ENTERPRISES'!$D:$L,9,0)</f>
        <v>#N/A</v>
      </c>
    </row>
    <row r="507" spans="1:36" hidden="1" outlineLevel="2" x14ac:dyDescent="0.25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29</v>
      </c>
      <c r="G507" s="2">
        <v>45736</v>
      </c>
      <c r="H507" t="s">
        <v>924</v>
      </c>
      <c r="I507" t="s">
        <v>7</v>
      </c>
      <c r="J507" s="2">
        <v>45736</v>
      </c>
      <c r="K507" s="2">
        <v>45737</v>
      </c>
      <c r="L507" t="s">
        <v>8</v>
      </c>
      <c r="M507" s="14">
        <v>246779414460</v>
      </c>
      <c r="N507" t="s">
        <v>9</v>
      </c>
      <c r="O507" t="s">
        <v>10</v>
      </c>
      <c r="P507" t="s">
        <v>11</v>
      </c>
      <c r="Q507" t="s">
        <v>12</v>
      </c>
      <c r="R507" t="s">
        <v>13</v>
      </c>
      <c r="S507" s="3">
        <v>173.05</v>
      </c>
      <c r="T507" t="s">
        <v>14</v>
      </c>
      <c r="U507" s="3">
        <v>15001.92</v>
      </c>
      <c r="V507" t="s">
        <v>37</v>
      </c>
      <c r="W507" t="s">
        <v>16</v>
      </c>
      <c r="X507" t="s">
        <v>11</v>
      </c>
      <c r="Y507" t="s">
        <v>8</v>
      </c>
      <c r="Z507" t="s">
        <v>17</v>
      </c>
      <c r="AA507" t="s">
        <v>448</v>
      </c>
      <c r="AB507" t="s">
        <v>11</v>
      </c>
      <c r="AC507" t="s">
        <v>11</v>
      </c>
      <c r="AD507" t="s">
        <v>11</v>
      </c>
      <c r="AE507" s="2">
        <v>45736</v>
      </c>
      <c r="AF507" s="2">
        <v>45974</v>
      </c>
      <c r="AG507" t="s">
        <v>39</v>
      </c>
      <c r="AH507" s="14" t="e">
        <f>VLOOKUP(M507,'[1]INDIAN ENTERPRISES'!$D:$D,1,0)</f>
        <v>#N/A</v>
      </c>
      <c r="AI507" t="str">
        <f>VLOOKUP(M507,'[2]Invoices Not in Customer Books'!$E:$K,7,0)</f>
        <v>Invoice &amp; CN both not received &amp; booked</v>
      </c>
      <c r="AJ507" s="15" t="e">
        <f>VLOOKUP(M507,'[1]INDIAN ENTERPRISES'!$D:$L,9,0)</f>
        <v>#N/A</v>
      </c>
    </row>
    <row r="508" spans="1:36" hidden="1" outlineLevel="2" x14ac:dyDescent="0.25">
      <c r="A508" t="s">
        <v>0</v>
      </c>
      <c r="B508" t="s">
        <v>1</v>
      </c>
      <c r="C508" t="s">
        <v>2</v>
      </c>
      <c r="D508" t="s">
        <v>3</v>
      </c>
      <c r="E508" t="s">
        <v>4</v>
      </c>
      <c r="F508" t="s">
        <v>29</v>
      </c>
      <c r="G508" s="2">
        <v>45736</v>
      </c>
      <c r="H508" t="s">
        <v>925</v>
      </c>
      <c r="I508" t="s">
        <v>7</v>
      </c>
      <c r="J508" s="2">
        <v>45736</v>
      </c>
      <c r="K508" s="2">
        <v>45737</v>
      </c>
      <c r="L508" t="s">
        <v>8</v>
      </c>
      <c r="M508" s="14">
        <v>246779414461</v>
      </c>
      <c r="N508" t="s">
        <v>9</v>
      </c>
      <c r="O508" t="s">
        <v>10</v>
      </c>
      <c r="P508" t="s">
        <v>11</v>
      </c>
      <c r="Q508" t="s">
        <v>12</v>
      </c>
      <c r="R508" t="s">
        <v>13</v>
      </c>
      <c r="S508" s="3">
        <v>226.56</v>
      </c>
      <c r="T508" t="s">
        <v>14</v>
      </c>
      <c r="U508" s="3">
        <v>19640.77</v>
      </c>
      <c r="V508" t="s">
        <v>37</v>
      </c>
      <c r="W508" t="s">
        <v>16</v>
      </c>
      <c r="X508" t="s">
        <v>11</v>
      </c>
      <c r="Y508" t="s">
        <v>8</v>
      </c>
      <c r="Z508" t="s">
        <v>17</v>
      </c>
      <c r="AA508" t="s">
        <v>429</v>
      </c>
      <c r="AB508" t="s">
        <v>11</v>
      </c>
      <c r="AC508" t="s">
        <v>11</v>
      </c>
      <c r="AD508" t="s">
        <v>11</v>
      </c>
      <c r="AE508" s="2">
        <v>45736</v>
      </c>
      <c r="AF508" s="2">
        <v>45974</v>
      </c>
      <c r="AG508" t="s">
        <v>39</v>
      </c>
      <c r="AH508" s="14" t="e">
        <f>VLOOKUP(M508,'[1]INDIAN ENTERPRISES'!$D:$D,1,0)</f>
        <v>#N/A</v>
      </c>
      <c r="AI508" t="str">
        <f>VLOOKUP(M508,'[2]Invoices Not in Customer Books'!$E:$K,7,0)</f>
        <v>Invoice &amp; CN both not received &amp; booked</v>
      </c>
      <c r="AJ508" s="15" t="e">
        <f>VLOOKUP(M508,'[1]INDIAN ENTERPRISES'!$D:$L,9,0)</f>
        <v>#N/A</v>
      </c>
    </row>
    <row r="509" spans="1:36" hidden="1" outlineLevel="2" x14ac:dyDescent="0.25">
      <c r="A509" t="s">
        <v>0</v>
      </c>
      <c r="B509" t="s">
        <v>1</v>
      </c>
      <c r="C509" t="s">
        <v>2</v>
      </c>
      <c r="D509" t="s">
        <v>3</v>
      </c>
      <c r="E509" t="s">
        <v>4</v>
      </c>
      <c r="F509" t="s">
        <v>29</v>
      </c>
      <c r="G509" s="2">
        <v>45736</v>
      </c>
      <c r="H509" t="s">
        <v>926</v>
      </c>
      <c r="I509" t="s">
        <v>7</v>
      </c>
      <c r="J509" s="2">
        <v>45736</v>
      </c>
      <c r="K509" s="2">
        <v>45737</v>
      </c>
      <c r="L509" t="s">
        <v>8</v>
      </c>
      <c r="M509" s="14">
        <v>246779414525</v>
      </c>
      <c r="N509" t="s">
        <v>9</v>
      </c>
      <c r="O509" t="s">
        <v>10</v>
      </c>
      <c r="P509" t="s">
        <v>11</v>
      </c>
      <c r="Q509" t="s">
        <v>12</v>
      </c>
      <c r="R509" t="s">
        <v>13</v>
      </c>
      <c r="S509" s="3">
        <v>211.39</v>
      </c>
      <c r="T509" t="s">
        <v>14</v>
      </c>
      <c r="U509" s="3">
        <v>18325.669999999998</v>
      </c>
      <c r="V509" t="s">
        <v>37</v>
      </c>
      <c r="W509" t="s">
        <v>16</v>
      </c>
      <c r="X509" t="s">
        <v>11</v>
      </c>
      <c r="Y509" t="s">
        <v>8</v>
      </c>
      <c r="Z509" t="s">
        <v>17</v>
      </c>
      <c r="AA509" t="s">
        <v>56</v>
      </c>
      <c r="AB509" t="s">
        <v>11</v>
      </c>
      <c r="AC509" t="s">
        <v>11</v>
      </c>
      <c r="AD509" t="s">
        <v>11</v>
      </c>
      <c r="AE509" s="2">
        <v>45736</v>
      </c>
      <c r="AF509" s="2">
        <v>45974</v>
      </c>
      <c r="AG509" t="s">
        <v>39</v>
      </c>
      <c r="AH509" s="14" t="e">
        <f>VLOOKUP(M509,'[1]INDIAN ENTERPRISES'!$D:$D,1,0)</f>
        <v>#N/A</v>
      </c>
      <c r="AI509" t="str">
        <f>VLOOKUP(M509,'[2]Invoices Not in Customer Books'!$E:$K,7,0)</f>
        <v>Invoice &amp; CN both not received &amp; booked</v>
      </c>
      <c r="AJ509" s="15" t="e">
        <f>VLOOKUP(M509,'[1]INDIAN ENTERPRISES'!$D:$L,9,0)</f>
        <v>#N/A</v>
      </c>
    </row>
    <row r="510" spans="1:36" hidden="1" outlineLevel="2" x14ac:dyDescent="0.25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29</v>
      </c>
      <c r="G510" s="2">
        <v>45736</v>
      </c>
      <c r="H510" t="s">
        <v>927</v>
      </c>
      <c r="I510" t="s">
        <v>7</v>
      </c>
      <c r="J510" s="2">
        <v>45736</v>
      </c>
      <c r="K510" s="2">
        <v>45737</v>
      </c>
      <c r="L510" t="s">
        <v>8</v>
      </c>
      <c r="M510" s="14">
        <v>246779414526</v>
      </c>
      <c r="N510" t="s">
        <v>9</v>
      </c>
      <c r="O510" t="s">
        <v>10</v>
      </c>
      <c r="P510" t="s">
        <v>11</v>
      </c>
      <c r="Q510" t="s">
        <v>12</v>
      </c>
      <c r="R510" t="s">
        <v>13</v>
      </c>
      <c r="S510" s="3">
        <v>141.6</v>
      </c>
      <c r="T510" t="s">
        <v>14</v>
      </c>
      <c r="U510" s="3">
        <v>12275.48</v>
      </c>
      <c r="V510" t="s">
        <v>37</v>
      </c>
      <c r="W510" t="s">
        <v>16</v>
      </c>
      <c r="X510" t="s">
        <v>11</v>
      </c>
      <c r="Y510" t="s">
        <v>8</v>
      </c>
      <c r="Z510" t="s">
        <v>17</v>
      </c>
      <c r="AA510" t="s">
        <v>455</v>
      </c>
      <c r="AB510" t="s">
        <v>11</v>
      </c>
      <c r="AC510" t="s">
        <v>11</v>
      </c>
      <c r="AD510" t="s">
        <v>11</v>
      </c>
      <c r="AE510" s="2">
        <v>45736</v>
      </c>
      <c r="AF510" s="2">
        <v>45974</v>
      </c>
      <c r="AG510" t="s">
        <v>39</v>
      </c>
      <c r="AH510" s="14" t="e">
        <f>VLOOKUP(M510,'[1]INDIAN ENTERPRISES'!$D:$D,1,0)</f>
        <v>#N/A</v>
      </c>
      <c r="AI510" t="str">
        <f>VLOOKUP(M510,'[2]Invoices Not in Customer Books'!$E:$K,7,0)</f>
        <v>Invoice &amp; CN both not received &amp; booked</v>
      </c>
      <c r="AJ510" s="15" t="e">
        <f>VLOOKUP(M510,'[1]INDIAN ENTERPRISES'!$D:$L,9,0)</f>
        <v>#N/A</v>
      </c>
    </row>
    <row r="511" spans="1:36" hidden="1" outlineLevel="2" x14ac:dyDescent="0.25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29</v>
      </c>
      <c r="G511" s="2">
        <v>45736</v>
      </c>
      <c r="H511" t="s">
        <v>928</v>
      </c>
      <c r="I511" t="s">
        <v>7</v>
      </c>
      <c r="J511" s="2">
        <v>45736</v>
      </c>
      <c r="K511" s="2">
        <v>45737</v>
      </c>
      <c r="L511" t="s">
        <v>8</v>
      </c>
      <c r="M511" s="14">
        <v>246779414527</v>
      </c>
      <c r="N511" t="s">
        <v>9</v>
      </c>
      <c r="O511" t="s">
        <v>10</v>
      </c>
      <c r="P511" t="s">
        <v>11</v>
      </c>
      <c r="Q511" t="s">
        <v>12</v>
      </c>
      <c r="R511" t="s">
        <v>13</v>
      </c>
      <c r="S511" s="3">
        <v>70.8</v>
      </c>
      <c r="T511" t="s">
        <v>14</v>
      </c>
      <c r="U511" s="3">
        <v>6137.74</v>
      </c>
      <c r="V511" t="s">
        <v>37</v>
      </c>
      <c r="W511" t="s">
        <v>16</v>
      </c>
      <c r="X511" t="s">
        <v>11</v>
      </c>
      <c r="Y511" t="s">
        <v>8</v>
      </c>
      <c r="Z511" t="s">
        <v>17</v>
      </c>
      <c r="AA511" t="s">
        <v>457</v>
      </c>
      <c r="AB511" t="s">
        <v>11</v>
      </c>
      <c r="AC511" t="s">
        <v>11</v>
      </c>
      <c r="AD511" t="s">
        <v>11</v>
      </c>
      <c r="AE511" s="2">
        <v>45736</v>
      </c>
      <c r="AF511" s="2">
        <v>45974</v>
      </c>
      <c r="AG511" t="s">
        <v>39</v>
      </c>
      <c r="AH511" s="14" t="e">
        <f>VLOOKUP(M511,'[1]INDIAN ENTERPRISES'!$D:$D,1,0)</f>
        <v>#N/A</v>
      </c>
      <c r="AI511" t="str">
        <f>VLOOKUP(M511,'[2]Invoices Not in Customer Books'!$E:$K,7,0)</f>
        <v>Invoice &amp; CN both not received &amp; booked</v>
      </c>
      <c r="AJ511" s="15" t="e">
        <f>VLOOKUP(M511,'[1]INDIAN ENTERPRISES'!$D:$L,9,0)</f>
        <v>#N/A</v>
      </c>
    </row>
    <row r="512" spans="1:36" hidden="1" outlineLevel="2" x14ac:dyDescent="0.25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29</v>
      </c>
      <c r="G512" s="2">
        <v>45736</v>
      </c>
      <c r="H512" t="s">
        <v>929</v>
      </c>
      <c r="I512" t="s">
        <v>7</v>
      </c>
      <c r="J512" s="2">
        <v>45736</v>
      </c>
      <c r="K512" s="2">
        <v>45737</v>
      </c>
      <c r="L512" t="s">
        <v>8</v>
      </c>
      <c r="M512" s="14">
        <v>246779414528</v>
      </c>
      <c r="N512" t="s">
        <v>9</v>
      </c>
      <c r="O512" t="s">
        <v>10</v>
      </c>
      <c r="P512" t="s">
        <v>11</v>
      </c>
      <c r="Q512" t="s">
        <v>12</v>
      </c>
      <c r="R512" t="s">
        <v>13</v>
      </c>
      <c r="S512" s="3">
        <v>236</v>
      </c>
      <c r="T512" t="s">
        <v>14</v>
      </c>
      <c r="U512" s="3">
        <v>20459.14</v>
      </c>
      <c r="V512" t="s">
        <v>37</v>
      </c>
      <c r="W512" t="s">
        <v>16</v>
      </c>
      <c r="X512" t="s">
        <v>11</v>
      </c>
      <c r="Y512" t="s">
        <v>8</v>
      </c>
      <c r="Z512" t="s">
        <v>17</v>
      </c>
      <c r="AA512" t="s">
        <v>459</v>
      </c>
      <c r="AB512" t="s">
        <v>11</v>
      </c>
      <c r="AC512" t="s">
        <v>11</v>
      </c>
      <c r="AD512" t="s">
        <v>11</v>
      </c>
      <c r="AE512" s="2">
        <v>45736</v>
      </c>
      <c r="AF512" s="2">
        <v>45974</v>
      </c>
      <c r="AG512" t="s">
        <v>39</v>
      </c>
      <c r="AH512" s="14" t="e">
        <f>VLOOKUP(M512,'[1]INDIAN ENTERPRISES'!$D:$D,1,0)</f>
        <v>#N/A</v>
      </c>
      <c r="AI512" t="str">
        <f>VLOOKUP(M512,'[2]Invoices Not in Customer Books'!$E:$K,7,0)</f>
        <v>Invoice &amp; CN both not received &amp; booked</v>
      </c>
      <c r="AJ512" s="15" t="e">
        <f>VLOOKUP(M512,'[1]INDIAN ENTERPRISES'!$D:$L,9,0)</f>
        <v>#N/A</v>
      </c>
    </row>
    <row r="513" spans="1:36" hidden="1" outlineLevel="2" x14ac:dyDescent="0.25">
      <c r="A513" t="s">
        <v>0</v>
      </c>
      <c r="B513" t="s">
        <v>1</v>
      </c>
      <c r="C513" t="s">
        <v>2</v>
      </c>
      <c r="D513" t="s">
        <v>3</v>
      </c>
      <c r="E513" t="s">
        <v>4</v>
      </c>
      <c r="F513" t="s">
        <v>29</v>
      </c>
      <c r="G513" s="2">
        <v>45736</v>
      </c>
      <c r="H513" t="s">
        <v>930</v>
      </c>
      <c r="I513" t="s">
        <v>7</v>
      </c>
      <c r="J513" s="2">
        <v>45736</v>
      </c>
      <c r="K513" s="2">
        <v>45737</v>
      </c>
      <c r="L513" t="s">
        <v>8</v>
      </c>
      <c r="M513" s="14">
        <v>246779414781</v>
      </c>
      <c r="N513" t="s">
        <v>9</v>
      </c>
      <c r="O513" t="s">
        <v>10</v>
      </c>
      <c r="P513" t="s">
        <v>11</v>
      </c>
      <c r="Q513" t="s">
        <v>12</v>
      </c>
      <c r="R513" t="s">
        <v>13</v>
      </c>
      <c r="S513" s="3">
        <v>218.36</v>
      </c>
      <c r="T513" t="s">
        <v>14</v>
      </c>
      <c r="U513" s="3">
        <v>18929.900000000001</v>
      </c>
      <c r="V513" t="s">
        <v>37</v>
      </c>
      <c r="W513" t="s">
        <v>16</v>
      </c>
      <c r="X513" t="s">
        <v>11</v>
      </c>
      <c r="Y513" t="s">
        <v>8</v>
      </c>
      <c r="Z513" t="s">
        <v>17</v>
      </c>
      <c r="AA513" t="s">
        <v>708</v>
      </c>
      <c r="AB513" t="s">
        <v>11</v>
      </c>
      <c r="AC513" t="s">
        <v>11</v>
      </c>
      <c r="AD513" t="s">
        <v>11</v>
      </c>
      <c r="AE513" s="2">
        <v>45736</v>
      </c>
      <c r="AF513" s="2">
        <v>45974</v>
      </c>
      <c r="AG513" t="s">
        <v>39</v>
      </c>
      <c r="AH513" s="14" t="e">
        <f>VLOOKUP(M513,'[1]INDIAN ENTERPRISES'!$D:$D,1,0)</f>
        <v>#N/A</v>
      </c>
      <c r="AI513" t="str">
        <f>VLOOKUP(M513,'[2]Invoices Not in Customer Books'!$E:$K,7,0)</f>
        <v>Invoice &amp; CN both not received &amp; booked</v>
      </c>
      <c r="AJ513" s="15" t="e">
        <f>VLOOKUP(M513,'[1]INDIAN ENTERPRISES'!$D:$L,9,0)</f>
        <v>#N/A</v>
      </c>
    </row>
    <row r="514" spans="1:36" hidden="1" outlineLevel="2" x14ac:dyDescent="0.25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29</v>
      </c>
      <c r="G514" s="2">
        <v>45736</v>
      </c>
      <c r="H514" t="s">
        <v>931</v>
      </c>
      <c r="I514" t="s">
        <v>7</v>
      </c>
      <c r="J514" s="2">
        <v>45736</v>
      </c>
      <c r="K514" s="2">
        <v>45737</v>
      </c>
      <c r="L514" t="s">
        <v>8</v>
      </c>
      <c r="M514" s="14">
        <v>246779414863</v>
      </c>
      <c r="N514" t="s">
        <v>9</v>
      </c>
      <c r="O514" t="s">
        <v>10</v>
      </c>
      <c r="P514" t="s">
        <v>11</v>
      </c>
      <c r="Q514" t="s">
        <v>12</v>
      </c>
      <c r="R514" t="s">
        <v>13</v>
      </c>
      <c r="S514" s="3">
        <v>23.6</v>
      </c>
      <c r="T514" t="s">
        <v>14</v>
      </c>
      <c r="U514" s="3">
        <v>2045.91</v>
      </c>
      <c r="V514" t="s">
        <v>37</v>
      </c>
      <c r="W514" t="s">
        <v>16</v>
      </c>
      <c r="X514" t="s">
        <v>11</v>
      </c>
      <c r="Y514" t="s">
        <v>8</v>
      </c>
      <c r="Z514" t="s">
        <v>17</v>
      </c>
      <c r="AA514" t="s">
        <v>443</v>
      </c>
      <c r="AB514" t="s">
        <v>11</v>
      </c>
      <c r="AC514" t="s">
        <v>11</v>
      </c>
      <c r="AD514" t="s">
        <v>11</v>
      </c>
      <c r="AE514" s="2">
        <v>45736</v>
      </c>
      <c r="AF514" s="2">
        <v>45974</v>
      </c>
      <c r="AG514" t="s">
        <v>39</v>
      </c>
      <c r="AH514" s="14" t="e">
        <f>VLOOKUP(M514,'[1]INDIAN ENTERPRISES'!$D:$D,1,0)</f>
        <v>#N/A</v>
      </c>
      <c r="AI514" t="str">
        <f>VLOOKUP(M514,'[2]Invoices Not in Customer Books'!$E:$K,7,0)</f>
        <v>Invoice &amp; CN both not received &amp; booked</v>
      </c>
      <c r="AJ514" s="15" t="e">
        <f>VLOOKUP(M514,'[1]INDIAN ENTERPRISES'!$D:$L,9,0)</f>
        <v>#N/A</v>
      </c>
    </row>
    <row r="515" spans="1:36" hidden="1" outlineLevel="2" x14ac:dyDescent="0.25">
      <c r="A515" t="s">
        <v>0</v>
      </c>
      <c r="B515" t="s">
        <v>1</v>
      </c>
      <c r="C515" t="s">
        <v>2</v>
      </c>
      <c r="D515" t="s">
        <v>3</v>
      </c>
      <c r="E515" t="s">
        <v>4</v>
      </c>
      <c r="F515" t="s">
        <v>29</v>
      </c>
      <c r="G515" s="2">
        <v>45736</v>
      </c>
      <c r="H515" t="s">
        <v>932</v>
      </c>
      <c r="I515" t="s">
        <v>7</v>
      </c>
      <c r="J515" s="2">
        <v>45736</v>
      </c>
      <c r="K515" s="2">
        <v>45737</v>
      </c>
      <c r="L515" t="s">
        <v>8</v>
      </c>
      <c r="M515" s="14">
        <v>246779414864</v>
      </c>
      <c r="N515" t="s">
        <v>9</v>
      </c>
      <c r="O515" t="s">
        <v>10</v>
      </c>
      <c r="P515" t="s">
        <v>11</v>
      </c>
      <c r="Q515" t="s">
        <v>12</v>
      </c>
      <c r="R515" t="s">
        <v>13</v>
      </c>
      <c r="S515" s="3">
        <v>26.55</v>
      </c>
      <c r="T515" t="s">
        <v>14</v>
      </c>
      <c r="U515" s="3">
        <v>2301.65</v>
      </c>
      <c r="V515" t="s">
        <v>37</v>
      </c>
      <c r="W515" t="s">
        <v>16</v>
      </c>
      <c r="X515" t="s">
        <v>11</v>
      </c>
      <c r="Y515" t="s">
        <v>8</v>
      </c>
      <c r="Z515" t="s">
        <v>17</v>
      </c>
      <c r="AA515" t="s">
        <v>443</v>
      </c>
      <c r="AB515" t="s">
        <v>11</v>
      </c>
      <c r="AC515" t="s">
        <v>11</v>
      </c>
      <c r="AD515" t="s">
        <v>11</v>
      </c>
      <c r="AE515" s="2">
        <v>45736</v>
      </c>
      <c r="AF515" s="2">
        <v>45974</v>
      </c>
      <c r="AG515" t="s">
        <v>39</v>
      </c>
      <c r="AH515" s="14" t="e">
        <f>VLOOKUP(M515,'[1]INDIAN ENTERPRISES'!$D:$D,1,0)</f>
        <v>#N/A</v>
      </c>
      <c r="AI515" t="str">
        <f>VLOOKUP(M515,'[2]Invoices Not in Customer Books'!$E:$K,7,0)</f>
        <v>Invoice &amp; CN both not received &amp; booked</v>
      </c>
      <c r="AJ515" s="15" t="e">
        <f>VLOOKUP(M515,'[1]INDIAN ENTERPRISES'!$D:$L,9,0)</f>
        <v>#N/A</v>
      </c>
    </row>
    <row r="516" spans="1:36" hidden="1" outlineLevel="2" x14ac:dyDescent="0.25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29</v>
      </c>
      <c r="G516" s="2">
        <v>45736</v>
      </c>
      <c r="H516" t="s">
        <v>933</v>
      </c>
      <c r="I516" t="s">
        <v>7</v>
      </c>
      <c r="J516" s="2">
        <v>45736</v>
      </c>
      <c r="K516" s="2">
        <v>45737</v>
      </c>
      <c r="L516" t="s">
        <v>8</v>
      </c>
      <c r="M516" s="14">
        <v>246779414865</v>
      </c>
      <c r="N516" t="s">
        <v>9</v>
      </c>
      <c r="O516" t="s">
        <v>10</v>
      </c>
      <c r="P516" t="s">
        <v>11</v>
      </c>
      <c r="Q516" t="s">
        <v>12</v>
      </c>
      <c r="R516" t="s">
        <v>13</v>
      </c>
      <c r="S516" s="3">
        <v>32.450000000000003</v>
      </c>
      <c r="T516" t="s">
        <v>14</v>
      </c>
      <c r="U516" s="3">
        <v>2813.13</v>
      </c>
      <c r="V516" t="s">
        <v>37</v>
      </c>
      <c r="W516" t="s">
        <v>16</v>
      </c>
      <c r="X516" t="s">
        <v>11</v>
      </c>
      <c r="Y516" t="s">
        <v>8</v>
      </c>
      <c r="Z516" t="s">
        <v>17</v>
      </c>
      <c r="AA516" t="s">
        <v>443</v>
      </c>
      <c r="AB516" t="s">
        <v>11</v>
      </c>
      <c r="AC516" t="s">
        <v>11</v>
      </c>
      <c r="AD516" t="s">
        <v>11</v>
      </c>
      <c r="AE516" s="2">
        <v>45736</v>
      </c>
      <c r="AF516" s="2">
        <v>45974</v>
      </c>
      <c r="AG516" t="s">
        <v>39</v>
      </c>
      <c r="AH516" s="14" t="e">
        <f>VLOOKUP(M516,'[1]INDIAN ENTERPRISES'!$D:$D,1,0)</f>
        <v>#N/A</v>
      </c>
      <c r="AI516" t="str">
        <f>VLOOKUP(M516,'[2]Invoices Not in Customer Books'!$E:$K,7,0)</f>
        <v>Invoice &amp; CN both not received &amp; booked</v>
      </c>
      <c r="AJ516" s="15" t="e">
        <f>VLOOKUP(M516,'[1]INDIAN ENTERPRISES'!$D:$L,9,0)</f>
        <v>#N/A</v>
      </c>
    </row>
    <row r="517" spans="1:36" hidden="1" outlineLevel="2" x14ac:dyDescent="0.25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29</v>
      </c>
      <c r="G517" s="2">
        <v>45736</v>
      </c>
      <c r="H517" t="s">
        <v>934</v>
      </c>
      <c r="I517" t="s">
        <v>7</v>
      </c>
      <c r="J517" s="2">
        <v>45736</v>
      </c>
      <c r="K517" s="2">
        <v>45737</v>
      </c>
      <c r="L517" t="s">
        <v>8</v>
      </c>
      <c r="M517" s="14">
        <v>246779414866</v>
      </c>
      <c r="N517" t="s">
        <v>9</v>
      </c>
      <c r="O517" t="s">
        <v>10</v>
      </c>
      <c r="P517" t="s">
        <v>11</v>
      </c>
      <c r="Q517" t="s">
        <v>12</v>
      </c>
      <c r="R517" t="s">
        <v>13</v>
      </c>
      <c r="S517" s="3">
        <v>26.55</v>
      </c>
      <c r="T517" t="s">
        <v>14</v>
      </c>
      <c r="U517" s="3">
        <v>2301.65</v>
      </c>
      <c r="V517" t="s">
        <v>37</v>
      </c>
      <c r="W517" t="s">
        <v>16</v>
      </c>
      <c r="X517" t="s">
        <v>11</v>
      </c>
      <c r="Y517" t="s">
        <v>8</v>
      </c>
      <c r="Z517" t="s">
        <v>17</v>
      </c>
      <c r="AA517" t="s">
        <v>443</v>
      </c>
      <c r="AB517" t="s">
        <v>11</v>
      </c>
      <c r="AC517" t="s">
        <v>11</v>
      </c>
      <c r="AD517" t="s">
        <v>11</v>
      </c>
      <c r="AE517" s="2">
        <v>45736</v>
      </c>
      <c r="AF517" s="2">
        <v>45974</v>
      </c>
      <c r="AG517" t="s">
        <v>39</v>
      </c>
      <c r="AH517" s="14" t="e">
        <f>VLOOKUP(M517,'[1]INDIAN ENTERPRISES'!$D:$D,1,0)</f>
        <v>#N/A</v>
      </c>
      <c r="AI517" t="str">
        <f>VLOOKUP(M517,'[2]Invoices Not in Customer Books'!$E:$K,7,0)</f>
        <v>Invoice &amp; CN both not received &amp; booked</v>
      </c>
      <c r="AJ517" s="15" t="e">
        <f>VLOOKUP(M517,'[1]INDIAN ENTERPRISES'!$D:$L,9,0)</f>
        <v>#N/A</v>
      </c>
    </row>
    <row r="518" spans="1:36" hidden="1" outlineLevel="2" x14ac:dyDescent="0.25">
      <c r="A518" t="s">
        <v>0</v>
      </c>
      <c r="B518" t="s">
        <v>1</v>
      </c>
      <c r="C518" t="s">
        <v>2</v>
      </c>
      <c r="D518" t="s">
        <v>3</v>
      </c>
      <c r="E518" t="s">
        <v>4</v>
      </c>
      <c r="F518" t="s">
        <v>29</v>
      </c>
      <c r="G518" s="2">
        <v>45736</v>
      </c>
      <c r="H518" t="s">
        <v>935</v>
      </c>
      <c r="I518" t="s">
        <v>7</v>
      </c>
      <c r="J518" s="2">
        <v>45736</v>
      </c>
      <c r="K518" s="2">
        <v>45737</v>
      </c>
      <c r="L518" t="s">
        <v>8</v>
      </c>
      <c r="M518" s="14">
        <v>246779414867</v>
      </c>
      <c r="N518" t="s">
        <v>9</v>
      </c>
      <c r="O518" t="s">
        <v>10</v>
      </c>
      <c r="P518" t="s">
        <v>11</v>
      </c>
      <c r="Q518" t="s">
        <v>12</v>
      </c>
      <c r="R518" t="s">
        <v>13</v>
      </c>
      <c r="S518" s="3">
        <v>26.55</v>
      </c>
      <c r="T518" t="s">
        <v>14</v>
      </c>
      <c r="U518" s="3">
        <v>2301.65</v>
      </c>
      <c r="V518" t="s">
        <v>37</v>
      </c>
      <c r="W518" t="s">
        <v>16</v>
      </c>
      <c r="X518" t="s">
        <v>11</v>
      </c>
      <c r="Y518" t="s">
        <v>8</v>
      </c>
      <c r="Z518" t="s">
        <v>17</v>
      </c>
      <c r="AA518" t="s">
        <v>443</v>
      </c>
      <c r="AB518" t="s">
        <v>11</v>
      </c>
      <c r="AC518" t="s">
        <v>11</v>
      </c>
      <c r="AD518" t="s">
        <v>11</v>
      </c>
      <c r="AE518" s="2">
        <v>45736</v>
      </c>
      <c r="AF518" s="2">
        <v>45974</v>
      </c>
      <c r="AG518" t="s">
        <v>39</v>
      </c>
      <c r="AH518" s="14" t="e">
        <f>VLOOKUP(M518,'[1]INDIAN ENTERPRISES'!$D:$D,1,0)</f>
        <v>#N/A</v>
      </c>
      <c r="AI518" t="str">
        <f>VLOOKUP(M518,'[2]Invoices Not in Customer Books'!$E:$K,7,0)</f>
        <v>Invoice &amp; CN both not received &amp; booked</v>
      </c>
      <c r="AJ518" s="15" t="e">
        <f>VLOOKUP(M518,'[1]INDIAN ENTERPRISES'!$D:$L,9,0)</f>
        <v>#N/A</v>
      </c>
    </row>
    <row r="519" spans="1:36" hidden="1" outlineLevel="2" x14ac:dyDescent="0.25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29</v>
      </c>
      <c r="G519" s="2">
        <v>45736</v>
      </c>
      <c r="H519" t="s">
        <v>936</v>
      </c>
      <c r="I519" t="s">
        <v>7</v>
      </c>
      <c r="J519" s="2">
        <v>45736</v>
      </c>
      <c r="K519" s="2">
        <v>45737</v>
      </c>
      <c r="L519" t="s">
        <v>8</v>
      </c>
      <c r="M519" s="14">
        <v>246779414868</v>
      </c>
      <c r="N519" t="s">
        <v>9</v>
      </c>
      <c r="O519" t="s">
        <v>10</v>
      </c>
      <c r="P519" t="s">
        <v>11</v>
      </c>
      <c r="Q519" t="s">
        <v>12</v>
      </c>
      <c r="R519" t="s">
        <v>13</v>
      </c>
      <c r="S519" s="3">
        <v>2.95</v>
      </c>
      <c r="T519" t="s">
        <v>14</v>
      </c>
      <c r="U519" s="3">
        <v>255.74</v>
      </c>
      <c r="V519" t="s">
        <v>37</v>
      </c>
      <c r="W519" t="s">
        <v>16</v>
      </c>
      <c r="X519" t="s">
        <v>11</v>
      </c>
      <c r="Y519" t="s">
        <v>8</v>
      </c>
      <c r="Z519" t="s">
        <v>17</v>
      </c>
      <c r="AA519" t="s">
        <v>443</v>
      </c>
      <c r="AB519" t="s">
        <v>11</v>
      </c>
      <c r="AC519" t="s">
        <v>11</v>
      </c>
      <c r="AD519" t="s">
        <v>11</v>
      </c>
      <c r="AE519" s="2">
        <v>45736</v>
      </c>
      <c r="AF519" s="2">
        <v>45974</v>
      </c>
      <c r="AG519" t="s">
        <v>39</v>
      </c>
      <c r="AH519" s="14" t="e">
        <f>VLOOKUP(M519,'[1]INDIAN ENTERPRISES'!$D:$D,1,0)</f>
        <v>#N/A</v>
      </c>
      <c r="AI519" t="str">
        <f>VLOOKUP(M519,'[2]Invoices Not in Customer Books'!$E:$K,7,0)</f>
        <v>Invoice &amp; CN both not received &amp; booked</v>
      </c>
      <c r="AJ519" s="15" t="e">
        <f>VLOOKUP(M519,'[1]INDIAN ENTERPRISES'!$D:$L,9,0)</f>
        <v>#N/A</v>
      </c>
    </row>
    <row r="520" spans="1:36" hidden="1" outlineLevel="2" x14ac:dyDescent="0.25">
      <c r="A520" t="s">
        <v>0</v>
      </c>
      <c r="B520" t="s">
        <v>1</v>
      </c>
      <c r="C520" t="s">
        <v>2</v>
      </c>
      <c r="D520" t="s">
        <v>3</v>
      </c>
      <c r="E520" t="s">
        <v>4</v>
      </c>
      <c r="F520" t="s">
        <v>29</v>
      </c>
      <c r="G520" s="2">
        <v>45736</v>
      </c>
      <c r="H520" t="s">
        <v>937</v>
      </c>
      <c r="I520" t="s">
        <v>7</v>
      </c>
      <c r="J520" s="2">
        <v>45736</v>
      </c>
      <c r="K520" s="2">
        <v>45737</v>
      </c>
      <c r="L520" t="s">
        <v>8</v>
      </c>
      <c r="M520" s="14">
        <v>246779414869</v>
      </c>
      <c r="N520" t="s">
        <v>9</v>
      </c>
      <c r="O520" t="s">
        <v>10</v>
      </c>
      <c r="P520" t="s">
        <v>11</v>
      </c>
      <c r="Q520" t="s">
        <v>12</v>
      </c>
      <c r="R520" t="s">
        <v>13</v>
      </c>
      <c r="S520" s="3">
        <v>35.4</v>
      </c>
      <c r="T520" t="s">
        <v>14</v>
      </c>
      <c r="U520" s="3">
        <v>3068.87</v>
      </c>
      <c r="V520" t="s">
        <v>37</v>
      </c>
      <c r="W520" t="s">
        <v>16</v>
      </c>
      <c r="X520" t="s">
        <v>11</v>
      </c>
      <c r="Y520" t="s">
        <v>8</v>
      </c>
      <c r="Z520" t="s">
        <v>17</v>
      </c>
      <c r="AA520" t="s">
        <v>443</v>
      </c>
      <c r="AB520" t="s">
        <v>11</v>
      </c>
      <c r="AC520" t="s">
        <v>11</v>
      </c>
      <c r="AD520" t="s">
        <v>11</v>
      </c>
      <c r="AE520" s="2">
        <v>45736</v>
      </c>
      <c r="AF520" s="2">
        <v>45974</v>
      </c>
      <c r="AG520" t="s">
        <v>39</v>
      </c>
      <c r="AH520" s="14" t="e">
        <f>VLOOKUP(M520,'[1]INDIAN ENTERPRISES'!$D:$D,1,0)</f>
        <v>#N/A</v>
      </c>
      <c r="AI520" t="str">
        <f>VLOOKUP(M520,'[2]Invoices Not in Customer Books'!$E:$K,7,0)</f>
        <v>Invoice &amp; CN both not received &amp; booked</v>
      </c>
      <c r="AJ520" s="15" t="e">
        <f>VLOOKUP(M520,'[1]INDIAN ENTERPRISES'!$D:$L,9,0)</f>
        <v>#N/A</v>
      </c>
    </row>
    <row r="521" spans="1:36" hidden="1" outlineLevel="2" x14ac:dyDescent="0.25">
      <c r="A521" t="s">
        <v>20</v>
      </c>
      <c r="B521" t="s">
        <v>1</v>
      </c>
      <c r="C521" t="s">
        <v>2</v>
      </c>
      <c r="D521" t="s">
        <v>3</v>
      </c>
      <c r="E521" t="s">
        <v>4</v>
      </c>
      <c r="F521" t="s">
        <v>29</v>
      </c>
      <c r="G521" s="2">
        <v>45736</v>
      </c>
      <c r="H521" t="s">
        <v>938</v>
      </c>
      <c r="I521" t="s">
        <v>7</v>
      </c>
      <c r="J521" s="2">
        <v>45736</v>
      </c>
      <c r="K521" s="2">
        <v>45737</v>
      </c>
      <c r="L521" t="s">
        <v>8</v>
      </c>
      <c r="M521" s="14">
        <v>246779413889</v>
      </c>
      <c r="N521" t="s">
        <v>9</v>
      </c>
      <c r="O521" t="s">
        <v>10</v>
      </c>
      <c r="P521" t="s">
        <v>11</v>
      </c>
      <c r="Q521" t="s">
        <v>12</v>
      </c>
      <c r="R521" t="s">
        <v>13</v>
      </c>
      <c r="S521" s="3">
        <v>42.5</v>
      </c>
      <c r="T521" t="s">
        <v>14</v>
      </c>
      <c r="U521" s="3">
        <v>3684.38</v>
      </c>
      <c r="V521" t="s">
        <v>15</v>
      </c>
      <c r="W521" t="s">
        <v>16</v>
      </c>
      <c r="X521" t="s">
        <v>11</v>
      </c>
      <c r="Y521" t="s">
        <v>8</v>
      </c>
      <c r="Z521" t="s">
        <v>17</v>
      </c>
      <c r="AA521" t="s">
        <v>708</v>
      </c>
      <c r="AB521" t="s">
        <v>11</v>
      </c>
      <c r="AC521" t="s">
        <v>11</v>
      </c>
      <c r="AD521" t="s">
        <v>11</v>
      </c>
      <c r="AE521" s="2">
        <v>45736</v>
      </c>
      <c r="AF521" s="2"/>
      <c r="AG521" t="s">
        <v>11</v>
      </c>
      <c r="AH521" s="14">
        <f>VLOOKUP(M521,'[1]INDIAN ENTERPRISES'!$D:$D,1,0)</f>
        <v>246779413889</v>
      </c>
      <c r="AJ521" s="15">
        <f>VLOOKUP(M521,'[1]INDIAN ENTERPRISES'!$D:$L,9,0)</f>
        <v>45869</v>
      </c>
    </row>
    <row r="522" spans="1:36" hidden="1" outlineLevel="2" x14ac:dyDescent="0.25">
      <c r="A522" t="s">
        <v>20</v>
      </c>
      <c r="B522" t="s">
        <v>1</v>
      </c>
      <c r="C522" t="s">
        <v>2</v>
      </c>
      <c r="D522" t="s">
        <v>3</v>
      </c>
      <c r="E522" t="s">
        <v>4</v>
      </c>
      <c r="F522" t="s">
        <v>29</v>
      </c>
      <c r="G522" s="2">
        <v>45736</v>
      </c>
      <c r="H522" t="s">
        <v>939</v>
      </c>
      <c r="I522" t="s">
        <v>7</v>
      </c>
      <c r="J522" s="2">
        <v>45736</v>
      </c>
      <c r="K522" s="2">
        <v>45737</v>
      </c>
      <c r="L522" t="s">
        <v>8</v>
      </c>
      <c r="M522" s="14">
        <v>246779414662</v>
      </c>
      <c r="N522" t="s">
        <v>9</v>
      </c>
      <c r="O522" t="s">
        <v>10</v>
      </c>
      <c r="P522" t="s">
        <v>11</v>
      </c>
      <c r="Q522" t="s">
        <v>12</v>
      </c>
      <c r="R522" t="s">
        <v>13</v>
      </c>
      <c r="S522" s="3">
        <v>275</v>
      </c>
      <c r="T522" t="s">
        <v>14</v>
      </c>
      <c r="U522" s="3">
        <v>23840.1</v>
      </c>
      <c r="V522" t="s">
        <v>15</v>
      </c>
      <c r="W522" t="s">
        <v>16</v>
      </c>
      <c r="X522" t="s">
        <v>11</v>
      </c>
      <c r="Y522" t="s">
        <v>8</v>
      </c>
      <c r="Z522" t="s">
        <v>17</v>
      </c>
      <c r="AA522" t="s">
        <v>940</v>
      </c>
      <c r="AB522" t="s">
        <v>11</v>
      </c>
      <c r="AC522" t="s">
        <v>11</v>
      </c>
      <c r="AD522" t="s">
        <v>11</v>
      </c>
      <c r="AE522" s="2">
        <v>45736</v>
      </c>
      <c r="AF522" s="2"/>
      <c r="AG522" t="s">
        <v>11</v>
      </c>
      <c r="AH522" s="14">
        <f>VLOOKUP(M522,'[1]INDIAN ENTERPRISES'!$D:$D,1,0)</f>
        <v>246779414662</v>
      </c>
      <c r="AJ522" s="15">
        <f>VLOOKUP(M522,'[1]INDIAN ENTERPRISES'!$D:$L,9,0)</f>
        <v>45838</v>
      </c>
    </row>
    <row r="523" spans="1:36" hidden="1" outlineLevel="2" x14ac:dyDescent="0.25">
      <c r="A523" t="s">
        <v>20</v>
      </c>
      <c r="B523" t="s">
        <v>1</v>
      </c>
      <c r="C523" t="s">
        <v>2</v>
      </c>
      <c r="D523" t="s">
        <v>3</v>
      </c>
      <c r="E523" t="s">
        <v>4</v>
      </c>
      <c r="F523" t="s">
        <v>29</v>
      </c>
      <c r="G523" s="2">
        <v>45736</v>
      </c>
      <c r="H523" t="s">
        <v>941</v>
      </c>
      <c r="I523" t="s">
        <v>7</v>
      </c>
      <c r="J523" s="2">
        <v>45736</v>
      </c>
      <c r="K523" s="2">
        <v>45737</v>
      </c>
      <c r="L523" t="s">
        <v>8</v>
      </c>
      <c r="M523" s="14">
        <v>246779414663</v>
      </c>
      <c r="N523" t="s">
        <v>9</v>
      </c>
      <c r="O523" t="s">
        <v>10</v>
      </c>
      <c r="P523" t="s">
        <v>11</v>
      </c>
      <c r="Q523" t="s">
        <v>12</v>
      </c>
      <c r="R523" t="s">
        <v>13</v>
      </c>
      <c r="S523" s="3">
        <v>45</v>
      </c>
      <c r="T523" t="s">
        <v>14</v>
      </c>
      <c r="U523" s="3">
        <v>3901.11</v>
      </c>
      <c r="V523" t="s">
        <v>15</v>
      </c>
      <c r="W523" t="s">
        <v>16</v>
      </c>
      <c r="X523" t="s">
        <v>11</v>
      </c>
      <c r="Y523" t="s">
        <v>8</v>
      </c>
      <c r="Z523" t="s">
        <v>17</v>
      </c>
      <c r="AA523" t="s">
        <v>942</v>
      </c>
      <c r="AB523" t="s">
        <v>11</v>
      </c>
      <c r="AC523" t="s">
        <v>11</v>
      </c>
      <c r="AD523" t="s">
        <v>11</v>
      </c>
      <c r="AE523" s="2">
        <v>45736</v>
      </c>
      <c r="AF523" s="2"/>
      <c r="AG523" t="s">
        <v>11</v>
      </c>
      <c r="AH523" s="14">
        <f>VLOOKUP(M523,'[1]INDIAN ENTERPRISES'!$D:$D,1,0)</f>
        <v>246779414663</v>
      </c>
      <c r="AJ523" s="15">
        <f>VLOOKUP(M523,'[1]INDIAN ENTERPRISES'!$D:$L,9,0)</f>
        <v>45838</v>
      </c>
    </row>
    <row r="524" spans="1:36" hidden="1" outlineLevel="2" x14ac:dyDescent="0.25">
      <c r="A524" t="s">
        <v>0</v>
      </c>
      <c r="B524" t="s">
        <v>1</v>
      </c>
      <c r="C524" t="s">
        <v>2</v>
      </c>
      <c r="D524" t="s">
        <v>3</v>
      </c>
      <c r="E524" t="s">
        <v>4</v>
      </c>
      <c r="F524" t="s">
        <v>29</v>
      </c>
      <c r="G524" s="2">
        <v>45736</v>
      </c>
      <c r="H524" t="s">
        <v>943</v>
      </c>
      <c r="I524" t="s">
        <v>7</v>
      </c>
      <c r="J524" s="2">
        <v>45736</v>
      </c>
      <c r="K524" s="2">
        <v>45737</v>
      </c>
      <c r="L524" t="s">
        <v>8</v>
      </c>
      <c r="M524" s="14">
        <v>246779414590</v>
      </c>
      <c r="N524" t="s">
        <v>9</v>
      </c>
      <c r="O524" t="s">
        <v>10</v>
      </c>
      <c r="P524" t="s">
        <v>11</v>
      </c>
      <c r="Q524" t="s">
        <v>12</v>
      </c>
      <c r="R524" t="s">
        <v>13</v>
      </c>
      <c r="S524" s="3">
        <v>300.49</v>
      </c>
      <c r="T524" t="s">
        <v>14</v>
      </c>
      <c r="U524" s="3">
        <v>26049.86</v>
      </c>
      <c r="V524" t="s">
        <v>37</v>
      </c>
      <c r="W524" t="s">
        <v>16</v>
      </c>
      <c r="X524" t="s">
        <v>11</v>
      </c>
      <c r="Y524" t="s">
        <v>8</v>
      </c>
      <c r="Z524" t="s">
        <v>17</v>
      </c>
      <c r="AA524" t="s">
        <v>461</v>
      </c>
      <c r="AB524" t="s">
        <v>11</v>
      </c>
      <c r="AC524" t="s">
        <v>11</v>
      </c>
      <c r="AD524" t="s">
        <v>11</v>
      </c>
      <c r="AE524" s="2">
        <v>45736</v>
      </c>
      <c r="AF524" s="2">
        <v>45974</v>
      </c>
      <c r="AG524" t="s">
        <v>39</v>
      </c>
      <c r="AH524" s="14" t="e">
        <f>VLOOKUP(M524,'[1]INDIAN ENTERPRISES'!$D:$D,1,0)</f>
        <v>#N/A</v>
      </c>
      <c r="AI524" t="str">
        <f>VLOOKUP(M524,'[2]Invoices Not in Customer Books'!$E:$K,7,0)</f>
        <v>Invoice &amp; CN both not received &amp; booked</v>
      </c>
      <c r="AJ524" s="15" t="e">
        <f>VLOOKUP(M524,'[1]INDIAN ENTERPRISES'!$D:$L,9,0)</f>
        <v>#N/A</v>
      </c>
    </row>
    <row r="525" spans="1:36" hidden="1" outlineLevel="2" x14ac:dyDescent="0.25">
      <c r="A525" t="s">
        <v>0</v>
      </c>
      <c r="B525" t="s">
        <v>1</v>
      </c>
      <c r="C525" t="s">
        <v>2</v>
      </c>
      <c r="D525" t="s">
        <v>3</v>
      </c>
      <c r="E525" t="s">
        <v>4</v>
      </c>
      <c r="F525" t="s">
        <v>29</v>
      </c>
      <c r="G525" s="2">
        <v>45736</v>
      </c>
      <c r="H525" t="s">
        <v>944</v>
      </c>
      <c r="I525" t="s">
        <v>7</v>
      </c>
      <c r="J525" s="2">
        <v>45736</v>
      </c>
      <c r="K525" s="2">
        <v>45737</v>
      </c>
      <c r="L525" t="s">
        <v>8</v>
      </c>
      <c r="M525" s="14">
        <v>246779414726</v>
      </c>
      <c r="N525" t="s">
        <v>9</v>
      </c>
      <c r="O525" t="s">
        <v>10</v>
      </c>
      <c r="P525" t="s">
        <v>11</v>
      </c>
      <c r="Q525" t="s">
        <v>12</v>
      </c>
      <c r="R525" t="s">
        <v>13</v>
      </c>
      <c r="S525" s="3">
        <v>165.4</v>
      </c>
      <c r="T525" t="s">
        <v>14</v>
      </c>
      <c r="U525" s="3">
        <v>14338.73</v>
      </c>
      <c r="V525" t="s">
        <v>37</v>
      </c>
      <c r="W525" t="s">
        <v>16</v>
      </c>
      <c r="X525" t="s">
        <v>11</v>
      </c>
      <c r="Y525" t="s">
        <v>8</v>
      </c>
      <c r="Z525" t="s">
        <v>17</v>
      </c>
      <c r="AA525" t="s">
        <v>443</v>
      </c>
      <c r="AB525" t="s">
        <v>11</v>
      </c>
      <c r="AC525" t="s">
        <v>11</v>
      </c>
      <c r="AD525" t="s">
        <v>11</v>
      </c>
      <c r="AE525" s="2">
        <v>45736</v>
      </c>
      <c r="AF525" s="2">
        <v>45974</v>
      </c>
      <c r="AG525" t="s">
        <v>39</v>
      </c>
      <c r="AH525" s="14" t="e">
        <f>VLOOKUP(M525,'[1]INDIAN ENTERPRISES'!$D:$D,1,0)</f>
        <v>#N/A</v>
      </c>
      <c r="AI525" t="str">
        <f>VLOOKUP(M525,'[2]Invoices Not in Customer Books'!$E:$K,7,0)</f>
        <v>Invoice &amp; CN both not received &amp; booked</v>
      </c>
      <c r="AJ525" s="15" t="e">
        <f>VLOOKUP(M525,'[1]INDIAN ENTERPRISES'!$D:$L,9,0)</f>
        <v>#N/A</v>
      </c>
    </row>
    <row r="526" spans="1:36" hidden="1" outlineLevel="2" x14ac:dyDescent="0.25">
      <c r="A526" t="s">
        <v>20</v>
      </c>
      <c r="B526" t="s">
        <v>1</v>
      </c>
      <c r="C526" t="s">
        <v>2</v>
      </c>
      <c r="D526" t="s">
        <v>3</v>
      </c>
      <c r="E526" t="s">
        <v>4</v>
      </c>
      <c r="F526" t="s">
        <v>200</v>
      </c>
      <c r="G526" s="2">
        <v>45708</v>
      </c>
      <c r="H526" t="s">
        <v>945</v>
      </c>
      <c r="I526" t="s">
        <v>7</v>
      </c>
      <c r="J526" s="2">
        <v>45708</v>
      </c>
      <c r="K526" s="2">
        <v>45708</v>
      </c>
      <c r="L526" t="s">
        <v>8</v>
      </c>
      <c r="M526" s="14">
        <v>246779410010</v>
      </c>
      <c r="N526" t="s">
        <v>9</v>
      </c>
      <c r="O526" t="s">
        <v>10</v>
      </c>
      <c r="P526" t="s">
        <v>11</v>
      </c>
      <c r="Q526" t="s">
        <v>12</v>
      </c>
      <c r="R526" t="s">
        <v>13</v>
      </c>
      <c r="S526" s="3">
        <v>2380.9499999999998</v>
      </c>
      <c r="T526" t="s">
        <v>14</v>
      </c>
      <c r="U526" s="3">
        <v>205484.7</v>
      </c>
      <c r="V526" t="s">
        <v>15</v>
      </c>
      <c r="W526" t="s">
        <v>16</v>
      </c>
      <c r="X526" t="s">
        <v>11</v>
      </c>
      <c r="Y526" t="s">
        <v>8</v>
      </c>
      <c r="Z526" t="s">
        <v>17</v>
      </c>
      <c r="AA526" t="s">
        <v>946</v>
      </c>
      <c r="AB526" t="s">
        <v>11</v>
      </c>
      <c r="AC526" t="s">
        <v>11</v>
      </c>
      <c r="AD526" t="s">
        <v>11</v>
      </c>
      <c r="AE526" s="2">
        <v>45708</v>
      </c>
      <c r="AF526" s="2"/>
      <c r="AG526" t="s">
        <v>11</v>
      </c>
      <c r="AH526" s="14">
        <f>VLOOKUP(M526,'[1]INDIAN ENTERPRISES'!$D:$D,1,0)</f>
        <v>246779410010</v>
      </c>
      <c r="AJ526" s="15">
        <f>VLOOKUP(M526,'[1]INDIAN ENTERPRISES'!$D:$L,9,0)</f>
        <v>45869</v>
      </c>
    </row>
    <row r="527" spans="1:36" hidden="1" outlineLevel="2" x14ac:dyDescent="0.25">
      <c r="A527" t="s">
        <v>20</v>
      </c>
      <c r="B527" t="s">
        <v>1</v>
      </c>
      <c r="C527" t="s">
        <v>2</v>
      </c>
      <c r="D527" t="s">
        <v>3</v>
      </c>
      <c r="E527" t="s">
        <v>4</v>
      </c>
      <c r="F527" t="s">
        <v>200</v>
      </c>
      <c r="G527" s="2">
        <v>45708</v>
      </c>
      <c r="H527" t="s">
        <v>947</v>
      </c>
      <c r="I527" t="s">
        <v>7</v>
      </c>
      <c r="J527" s="2">
        <v>45708</v>
      </c>
      <c r="K527" s="2">
        <v>45708</v>
      </c>
      <c r="L527" t="s">
        <v>8</v>
      </c>
      <c r="M527" s="14">
        <v>246779410030</v>
      </c>
      <c r="N527" t="s">
        <v>9</v>
      </c>
      <c r="O527" t="s">
        <v>10</v>
      </c>
      <c r="P527" t="s">
        <v>11</v>
      </c>
      <c r="Q527" t="s">
        <v>12</v>
      </c>
      <c r="R527" t="s">
        <v>13</v>
      </c>
      <c r="S527" s="3">
        <v>2380.9499999999998</v>
      </c>
      <c r="T527" t="s">
        <v>14</v>
      </c>
      <c r="U527" s="3">
        <v>205484.7</v>
      </c>
      <c r="V527" t="s">
        <v>15</v>
      </c>
      <c r="W527" t="s">
        <v>16</v>
      </c>
      <c r="X527" t="s">
        <v>11</v>
      </c>
      <c r="Y527" t="s">
        <v>8</v>
      </c>
      <c r="Z527" t="s">
        <v>17</v>
      </c>
      <c r="AA527" t="s">
        <v>948</v>
      </c>
      <c r="AB527" t="s">
        <v>11</v>
      </c>
      <c r="AC527" t="s">
        <v>11</v>
      </c>
      <c r="AD527" t="s">
        <v>11</v>
      </c>
      <c r="AE527" s="2">
        <v>45708</v>
      </c>
      <c r="AF527" s="2"/>
      <c r="AG527" t="s">
        <v>11</v>
      </c>
      <c r="AH527" s="14">
        <f>VLOOKUP(M527,'[1]INDIAN ENTERPRISES'!$D:$D,1,0)</f>
        <v>246779410030</v>
      </c>
      <c r="AJ527" s="15">
        <f>VLOOKUP(M527,'[1]INDIAN ENTERPRISES'!$D:$L,9,0)</f>
        <v>45869</v>
      </c>
    </row>
    <row r="528" spans="1:36" hidden="1" outlineLevel="2" x14ac:dyDescent="0.25">
      <c r="A528" t="s">
        <v>20</v>
      </c>
      <c r="B528" t="s">
        <v>1</v>
      </c>
      <c r="C528" t="s">
        <v>2</v>
      </c>
      <c r="D528" t="s">
        <v>3</v>
      </c>
      <c r="E528" t="s">
        <v>4</v>
      </c>
      <c r="F528" t="s">
        <v>200</v>
      </c>
      <c r="G528" s="2">
        <v>45708</v>
      </c>
      <c r="H528" t="s">
        <v>949</v>
      </c>
      <c r="I528" t="s">
        <v>7</v>
      </c>
      <c r="J528" s="2">
        <v>45708</v>
      </c>
      <c r="K528" s="2">
        <v>45708</v>
      </c>
      <c r="L528" t="s">
        <v>8</v>
      </c>
      <c r="M528" s="14">
        <v>246779410063</v>
      </c>
      <c r="N528" t="s">
        <v>9</v>
      </c>
      <c r="O528" t="s">
        <v>10</v>
      </c>
      <c r="P528" t="s">
        <v>11</v>
      </c>
      <c r="Q528" t="s">
        <v>12</v>
      </c>
      <c r="R528" t="s">
        <v>13</v>
      </c>
      <c r="S528" s="3">
        <v>95.24</v>
      </c>
      <c r="T528" t="s">
        <v>14</v>
      </c>
      <c r="U528" s="3">
        <v>8219.56</v>
      </c>
      <c r="V528" t="s">
        <v>15</v>
      </c>
      <c r="W528" t="s">
        <v>16</v>
      </c>
      <c r="X528" t="s">
        <v>11</v>
      </c>
      <c r="Y528" t="s">
        <v>8</v>
      </c>
      <c r="Z528" t="s">
        <v>17</v>
      </c>
      <c r="AA528" t="s">
        <v>950</v>
      </c>
      <c r="AB528" t="s">
        <v>11</v>
      </c>
      <c r="AC528" t="s">
        <v>11</v>
      </c>
      <c r="AD528" t="s">
        <v>11</v>
      </c>
      <c r="AE528" s="2">
        <v>45708</v>
      </c>
      <c r="AF528" s="2"/>
      <c r="AG528" t="s">
        <v>11</v>
      </c>
      <c r="AH528" s="14">
        <f>VLOOKUP(M528,'[1]INDIAN ENTERPRISES'!$D:$D,1,0)</f>
        <v>246779410063</v>
      </c>
      <c r="AJ528" s="15">
        <f>VLOOKUP(M528,'[1]INDIAN ENTERPRISES'!$D:$L,9,0)</f>
        <v>45869</v>
      </c>
    </row>
    <row r="529" spans="1:36" hidden="1" outlineLevel="2" x14ac:dyDescent="0.25">
      <c r="A529" t="s">
        <v>20</v>
      </c>
      <c r="B529" t="s">
        <v>1</v>
      </c>
      <c r="C529" t="s">
        <v>2</v>
      </c>
      <c r="D529" t="s">
        <v>3</v>
      </c>
      <c r="E529" t="s">
        <v>4</v>
      </c>
      <c r="F529" t="s">
        <v>200</v>
      </c>
      <c r="G529" s="2">
        <v>45708</v>
      </c>
      <c r="H529" t="s">
        <v>951</v>
      </c>
      <c r="I529" t="s">
        <v>7</v>
      </c>
      <c r="J529" s="2">
        <v>45708</v>
      </c>
      <c r="K529" s="2">
        <v>45708</v>
      </c>
      <c r="L529" t="s">
        <v>8</v>
      </c>
      <c r="M529" s="14">
        <v>246779410064</v>
      </c>
      <c r="N529" t="s">
        <v>9</v>
      </c>
      <c r="O529" t="s">
        <v>10</v>
      </c>
      <c r="P529" t="s">
        <v>11</v>
      </c>
      <c r="Q529" t="s">
        <v>12</v>
      </c>
      <c r="R529" t="s">
        <v>13</v>
      </c>
      <c r="S529" s="3">
        <v>52.38</v>
      </c>
      <c r="T529" t="s">
        <v>14</v>
      </c>
      <c r="U529" s="3">
        <v>4520.59</v>
      </c>
      <c r="V529" t="s">
        <v>15</v>
      </c>
      <c r="W529" t="s">
        <v>16</v>
      </c>
      <c r="X529" t="s">
        <v>11</v>
      </c>
      <c r="Y529" t="s">
        <v>8</v>
      </c>
      <c r="Z529" t="s">
        <v>17</v>
      </c>
      <c r="AA529" t="s">
        <v>952</v>
      </c>
      <c r="AB529" t="s">
        <v>11</v>
      </c>
      <c r="AC529" t="s">
        <v>11</v>
      </c>
      <c r="AD529" t="s">
        <v>11</v>
      </c>
      <c r="AE529" s="2">
        <v>45708</v>
      </c>
      <c r="AF529" s="2"/>
      <c r="AG529" t="s">
        <v>11</v>
      </c>
      <c r="AH529" s="14">
        <f>VLOOKUP(M529,'[1]INDIAN ENTERPRISES'!$D:$D,1,0)</f>
        <v>246779410064</v>
      </c>
      <c r="AJ529" s="15">
        <f>VLOOKUP(M529,'[1]INDIAN ENTERPRISES'!$D:$L,9,0)</f>
        <v>45869</v>
      </c>
    </row>
    <row r="530" spans="1:36" hidden="1" outlineLevel="2" x14ac:dyDescent="0.25">
      <c r="A530" t="s">
        <v>20</v>
      </c>
      <c r="B530" t="s">
        <v>1</v>
      </c>
      <c r="C530" t="s">
        <v>2</v>
      </c>
      <c r="D530" t="s">
        <v>3</v>
      </c>
      <c r="E530" t="s">
        <v>4</v>
      </c>
      <c r="F530" t="s">
        <v>200</v>
      </c>
      <c r="G530" s="2">
        <v>45708</v>
      </c>
      <c r="H530" t="s">
        <v>953</v>
      </c>
      <c r="I530" t="s">
        <v>7</v>
      </c>
      <c r="J530" s="2">
        <v>45708</v>
      </c>
      <c r="K530" s="2">
        <v>45708</v>
      </c>
      <c r="L530" t="s">
        <v>8</v>
      </c>
      <c r="M530" s="14">
        <v>246779410080</v>
      </c>
      <c r="N530" t="s">
        <v>9</v>
      </c>
      <c r="O530" t="s">
        <v>10</v>
      </c>
      <c r="P530" t="s">
        <v>11</v>
      </c>
      <c r="Q530" t="s">
        <v>12</v>
      </c>
      <c r="R530" t="s">
        <v>13</v>
      </c>
      <c r="S530" s="3">
        <v>95.24</v>
      </c>
      <c r="T530" t="s">
        <v>14</v>
      </c>
      <c r="U530" s="3">
        <v>8219.56</v>
      </c>
      <c r="V530" t="s">
        <v>15</v>
      </c>
      <c r="W530" t="s">
        <v>16</v>
      </c>
      <c r="X530" t="s">
        <v>11</v>
      </c>
      <c r="Y530" t="s">
        <v>8</v>
      </c>
      <c r="Z530" t="s">
        <v>17</v>
      </c>
      <c r="AA530" t="s">
        <v>954</v>
      </c>
      <c r="AB530" t="s">
        <v>11</v>
      </c>
      <c r="AC530" t="s">
        <v>11</v>
      </c>
      <c r="AD530" t="s">
        <v>11</v>
      </c>
      <c r="AE530" s="2">
        <v>45708</v>
      </c>
      <c r="AF530" s="2"/>
      <c r="AG530" t="s">
        <v>11</v>
      </c>
      <c r="AH530" s="14">
        <f>VLOOKUP(M530,'[1]INDIAN ENTERPRISES'!$D:$D,1,0)</f>
        <v>246779410080</v>
      </c>
      <c r="AJ530" s="15">
        <f>VLOOKUP(M530,'[1]INDIAN ENTERPRISES'!$D:$L,9,0)</f>
        <v>45869</v>
      </c>
    </row>
    <row r="531" spans="1:36" hidden="1" outlineLevel="2" x14ac:dyDescent="0.25">
      <c r="A531" t="s">
        <v>20</v>
      </c>
      <c r="B531" t="s">
        <v>1</v>
      </c>
      <c r="C531" t="s">
        <v>2</v>
      </c>
      <c r="D531" t="s">
        <v>3</v>
      </c>
      <c r="E531" t="s">
        <v>4</v>
      </c>
      <c r="F531" t="s">
        <v>200</v>
      </c>
      <c r="G531" s="2">
        <v>45708</v>
      </c>
      <c r="H531" t="s">
        <v>955</v>
      </c>
      <c r="I531" t="s">
        <v>7</v>
      </c>
      <c r="J531" s="2">
        <v>45708</v>
      </c>
      <c r="K531" s="2">
        <v>45708</v>
      </c>
      <c r="L531" t="s">
        <v>8</v>
      </c>
      <c r="M531" s="14">
        <v>246779410098</v>
      </c>
      <c r="N531" t="s">
        <v>9</v>
      </c>
      <c r="O531" t="s">
        <v>10</v>
      </c>
      <c r="P531" t="s">
        <v>11</v>
      </c>
      <c r="Q531" t="s">
        <v>12</v>
      </c>
      <c r="R531" t="s">
        <v>13</v>
      </c>
      <c r="S531" s="3">
        <v>2380.9499999999998</v>
      </c>
      <c r="T531" t="s">
        <v>14</v>
      </c>
      <c r="U531" s="3">
        <v>205484.7</v>
      </c>
      <c r="V531" t="s">
        <v>15</v>
      </c>
      <c r="W531" t="s">
        <v>16</v>
      </c>
      <c r="X531" t="s">
        <v>11</v>
      </c>
      <c r="Y531" t="s">
        <v>8</v>
      </c>
      <c r="Z531" t="s">
        <v>17</v>
      </c>
      <c r="AA531" t="s">
        <v>956</v>
      </c>
      <c r="AB531" t="s">
        <v>11</v>
      </c>
      <c r="AC531" t="s">
        <v>11</v>
      </c>
      <c r="AD531" t="s">
        <v>11</v>
      </c>
      <c r="AE531" s="2">
        <v>45708</v>
      </c>
      <c r="AF531" s="2"/>
      <c r="AG531" t="s">
        <v>11</v>
      </c>
      <c r="AH531" s="14">
        <f>VLOOKUP(M531,'[1]INDIAN ENTERPRISES'!$D:$D,1,0)</f>
        <v>246779410098</v>
      </c>
      <c r="AJ531" s="15">
        <f>VLOOKUP(M531,'[1]INDIAN ENTERPRISES'!$D:$L,9,0)</f>
        <v>45838</v>
      </c>
    </row>
    <row r="532" spans="1:36" hidden="1" outlineLevel="2" x14ac:dyDescent="0.25">
      <c r="A532" t="s">
        <v>20</v>
      </c>
      <c r="B532" t="s">
        <v>1</v>
      </c>
      <c r="C532" t="s">
        <v>2</v>
      </c>
      <c r="D532" t="s">
        <v>3</v>
      </c>
      <c r="E532" t="s">
        <v>4</v>
      </c>
      <c r="F532" t="s">
        <v>200</v>
      </c>
      <c r="G532" s="2">
        <v>45708</v>
      </c>
      <c r="H532" t="s">
        <v>957</v>
      </c>
      <c r="I532" t="s">
        <v>7</v>
      </c>
      <c r="J532" s="2">
        <v>45708</v>
      </c>
      <c r="K532" s="2">
        <v>45708</v>
      </c>
      <c r="L532" t="s">
        <v>8</v>
      </c>
      <c r="M532" s="14">
        <v>246779410131</v>
      </c>
      <c r="N532" t="s">
        <v>9</v>
      </c>
      <c r="O532" t="s">
        <v>10</v>
      </c>
      <c r="P532" t="s">
        <v>11</v>
      </c>
      <c r="Q532" t="s">
        <v>12</v>
      </c>
      <c r="R532" t="s">
        <v>13</v>
      </c>
      <c r="S532" s="3">
        <v>95.24</v>
      </c>
      <c r="T532" t="s">
        <v>14</v>
      </c>
      <c r="U532" s="3">
        <v>8219.56</v>
      </c>
      <c r="V532" t="s">
        <v>15</v>
      </c>
      <c r="W532" t="s">
        <v>16</v>
      </c>
      <c r="X532" t="s">
        <v>11</v>
      </c>
      <c r="Y532" t="s">
        <v>8</v>
      </c>
      <c r="Z532" t="s">
        <v>17</v>
      </c>
      <c r="AA532" t="s">
        <v>958</v>
      </c>
      <c r="AB532" t="s">
        <v>11</v>
      </c>
      <c r="AC532" t="s">
        <v>11</v>
      </c>
      <c r="AD532" t="s">
        <v>11</v>
      </c>
      <c r="AE532" s="2">
        <v>45708</v>
      </c>
      <c r="AF532" s="2"/>
      <c r="AG532" t="s">
        <v>11</v>
      </c>
      <c r="AH532" s="14">
        <f>VLOOKUP(M532,'[1]INDIAN ENTERPRISES'!$D:$D,1,0)</f>
        <v>246779410131</v>
      </c>
      <c r="AJ532" s="15">
        <f>VLOOKUP(M532,'[1]INDIAN ENTERPRISES'!$D:$L,9,0)</f>
        <v>45838</v>
      </c>
    </row>
    <row r="533" spans="1:36" hidden="1" outlineLevel="2" x14ac:dyDescent="0.25">
      <c r="A533" t="s">
        <v>20</v>
      </c>
      <c r="B533" t="s">
        <v>1</v>
      </c>
      <c r="C533" t="s">
        <v>2</v>
      </c>
      <c r="D533" t="s">
        <v>3</v>
      </c>
      <c r="E533" t="s">
        <v>4</v>
      </c>
      <c r="F533" t="s">
        <v>200</v>
      </c>
      <c r="G533" s="2">
        <v>45708</v>
      </c>
      <c r="H533" t="s">
        <v>959</v>
      </c>
      <c r="I533" t="s">
        <v>7</v>
      </c>
      <c r="J533" s="2">
        <v>45708</v>
      </c>
      <c r="K533" s="2">
        <v>45708</v>
      </c>
      <c r="L533" t="s">
        <v>8</v>
      </c>
      <c r="M533" s="14">
        <v>246779410132</v>
      </c>
      <c r="N533" t="s">
        <v>9</v>
      </c>
      <c r="O533" t="s">
        <v>10</v>
      </c>
      <c r="P533" t="s">
        <v>11</v>
      </c>
      <c r="Q533" t="s">
        <v>12</v>
      </c>
      <c r="R533" t="s">
        <v>13</v>
      </c>
      <c r="S533" s="3">
        <v>52.38</v>
      </c>
      <c r="T533" t="s">
        <v>14</v>
      </c>
      <c r="U533" s="3">
        <v>4520.59</v>
      </c>
      <c r="V533" t="s">
        <v>15</v>
      </c>
      <c r="W533" t="s">
        <v>16</v>
      </c>
      <c r="X533" t="s">
        <v>11</v>
      </c>
      <c r="Y533" t="s">
        <v>8</v>
      </c>
      <c r="Z533" t="s">
        <v>17</v>
      </c>
      <c r="AA533" t="s">
        <v>960</v>
      </c>
      <c r="AB533" t="s">
        <v>11</v>
      </c>
      <c r="AC533" t="s">
        <v>11</v>
      </c>
      <c r="AD533" t="s">
        <v>11</v>
      </c>
      <c r="AE533" s="2">
        <v>45708</v>
      </c>
      <c r="AF533" s="2"/>
      <c r="AG533" t="s">
        <v>11</v>
      </c>
      <c r="AH533" s="14">
        <f>VLOOKUP(M533,'[1]INDIAN ENTERPRISES'!$D:$D,1,0)</f>
        <v>246779410132</v>
      </c>
      <c r="AJ533" s="15">
        <f>VLOOKUP(M533,'[1]INDIAN ENTERPRISES'!$D:$L,9,0)</f>
        <v>45838</v>
      </c>
    </row>
    <row r="534" spans="1:36" hidden="1" outlineLevel="2" x14ac:dyDescent="0.25">
      <c r="A534" t="s">
        <v>20</v>
      </c>
      <c r="B534" t="s">
        <v>1</v>
      </c>
      <c r="C534" t="s">
        <v>2</v>
      </c>
      <c r="D534" t="s">
        <v>3</v>
      </c>
      <c r="E534" t="s">
        <v>4</v>
      </c>
      <c r="F534" t="s">
        <v>200</v>
      </c>
      <c r="G534" s="2">
        <v>45708</v>
      </c>
      <c r="H534" t="s">
        <v>961</v>
      </c>
      <c r="I534" t="s">
        <v>7</v>
      </c>
      <c r="J534" s="2">
        <v>45708</v>
      </c>
      <c r="K534" s="2">
        <v>45708</v>
      </c>
      <c r="L534" t="s">
        <v>8</v>
      </c>
      <c r="M534" s="14">
        <v>246779410141</v>
      </c>
      <c r="N534" t="s">
        <v>9</v>
      </c>
      <c r="O534" t="s">
        <v>10</v>
      </c>
      <c r="P534" t="s">
        <v>11</v>
      </c>
      <c r="Q534" t="s">
        <v>12</v>
      </c>
      <c r="R534" t="s">
        <v>13</v>
      </c>
      <c r="S534" s="3">
        <v>2380.9499999999998</v>
      </c>
      <c r="T534" t="s">
        <v>14</v>
      </c>
      <c r="U534" s="3">
        <v>205484.7</v>
      </c>
      <c r="V534" t="s">
        <v>15</v>
      </c>
      <c r="W534" t="s">
        <v>16</v>
      </c>
      <c r="X534" t="s">
        <v>11</v>
      </c>
      <c r="Y534" t="s">
        <v>8</v>
      </c>
      <c r="Z534" t="s">
        <v>17</v>
      </c>
      <c r="AA534" t="s">
        <v>962</v>
      </c>
      <c r="AB534" t="s">
        <v>11</v>
      </c>
      <c r="AC534" t="s">
        <v>11</v>
      </c>
      <c r="AD534" t="s">
        <v>11</v>
      </c>
      <c r="AE534" s="2">
        <v>45708</v>
      </c>
      <c r="AF534" s="2"/>
      <c r="AG534" t="s">
        <v>11</v>
      </c>
      <c r="AH534" s="14">
        <f>VLOOKUP(M534,'[1]INDIAN ENTERPRISES'!$D:$D,1,0)</f>
        <v>246779410141</v>
      </c>
      <c r="AJ534" s="15">
        <f>VLOOKUP(M534,'[1]INDIAN ENTERPRISES'!$D:$L,9,0)</f>
        <v>45838</v>
      </c>
    </row>
    <row r="535" spans="1:36" hidden="1" outlineLevel="2" x14ac:dyDescent="0.25">
      <c r="A535" t="s">
        <v>20</v>
      </c>
      <c r="B535" t="s">
        <v>1</v>
      </c>
      <c r="C535" t="s">
        <v>2</v>
      </c>
      <c r="D535" t="s">
        <v>3</v>
      </c>
      <c r="E535" t="s">
        <v>4</v>
      </c>
      <c r="F535" t="s">
        <v>200</v>
      </c>
      <c r="G535" s="2">
        <v>45708</v>
      </c>
      <c r="H535" t="s">
        <v>963</v>
      </c>
      <c r="I535" t="s">
        <v>7</v>
      </c>
      <c r="J535" s="2">
        <v>45708</v>
      </c>
      <c r="K535" s="2">
        <v>45708</v>
      </c>
      <c r="L535" t="s">
        <v>8</v>
      </c>
      <c r="M535" s="14">
        <v>246779410174</v>
      </c>
      <c r="N535" t="s">
        <v>9</v>
      </c>
      <c r="O535" t="s">
        <v>10</v>
      </c>
      <c r="P535" t="s">
        <v>11</v>
      </c>
      <c r="Q535" t="s">
        <v>12</v>
      </c>
      <c r="R535" t="s">
        <v>13</v>
      </c>
      <c r="S535" s="3">
        <v>95.24</v>
      </c>
      <c r="T535" t="s">
        <v>14</v>
      </c>
      <c r="U535" s="3">
        <v>8219.56</v>
      </c>
      <c r="V535" t="s">
        <v>15</v>
      </c>
      <c r="W535" t="s">
        <v>16</v>
      </c>
      <c r="X535" t="s">
        <v>11</v>
      </c>
      <c r="Y535" t="s">
        <v>8</v>
      </c>
      <c r="Z535" t="s">
        <v>17</v>
      </c>
      <c r="AA535" t="s">
        <v>964</v>
      </c>
      <c r="AB535" t="s">
        <v>11</v>
      </c>
      <c r="AC535" t="s">
        <v>11</v>
      </c>
      <c r="AD535" t="s">
        <v>11</v>
      </c>
      <c r="AE535" s="2">
        <v>45708</v>
      </c>
      <c r="AF535" s="2"/>
      <c r="AG535" t="s">
        <v>11</v>
      </c>
      <c r="AH535" s="14">
        <f>VLOOKUP(M535,'[1]INDIAN ENTERPRISES'!$D:$D,1,0)</f>
        <v>246779410174</v>
      </c>
      <c r="AJ535" s="15">
        <f>VLOOKUP(M535,'[1]INDIAN ENTERPRISES'!$D:$L,9,0)</f>
        <v>45838</v>
      </c>
    </row>
    <row r="536" spans="1:36" hidden="1" outlineLevel="2" x14ac:dyDescent="0.25">
      <c r="A536" t="s">
        <v>20</v>
      </c>
      <c r="B536" t="s">
        <v>1</v>
      </c>
      <c r="C536" t="s">
        <v>2</v>
      </c>
      <c r="D536" t="s">
        <v>3</v>
      </c>
      <c r="E536" t="s">
        <v>4</v>
      </c>
      <c r="F536" t="s">
        <v>200</v>
      </c>
      <c r="G536" s="2">
        <v>45708</v>
      </c>
      <c r="H536" t="s">
        <v>965</v>
      </c>
      <c r="I536" t="s">
        <v>7</v>
      </c>
      <c r="J536" s="2">
        <v>45708</v>
      </c>
      <c r="K536" s="2">
        <v>45708</v>
      </c>
      <c r="L536" t="s">
        <v>8</v>
      </c>
      <c r="M536" s="14">
        <v>246779410175</v>
      </c>
      <c r="N536" t="s">
        <v>9</v>
      </c>
      <c r="O536" t="s">
        <v>10</v>
      </c>
      <c r="P536" t="s">
        <v>11</v>
      </c>
      <c r="Q536" t="s">
        <v>12</v>
      </c>
      <c r="R536" t="s">
        <v>13</v>
      </c>
      <c r="S536" s="3">
        <v>52.38</v>
      </c>
      <c r="T536" t="s">
        <v>14</v>
      </c>
      <c r="U536" s="3">
        <v>4520.59</v>
      </c>
      <c r="V536" t="s">
        <v>15</v>
      </c>
      <c r="W536" t="s">
        <v>16</v>
      </c>
      <c r="X536" t="s">
        <v>11</v>
      </c>
      <c r="Y536" t="s">
        <v>8</v>
      </c>
      <c r="Z536" t="s">
        <v>17</v>
      </c>
      <c r="AA536" t="s">
        <v>966</v>
      </c>
      <c r="AB536" t="s">
        <v>11</v>
      </c>
      <c r="AC536" t="s">
        <v>11</v>
      </c>
      <c r="AD536" t="s">
        <v>11</v>
      </c>
      <c r="AE536" s="2">
        <v>45708</v>
      </c>
      <c r="AF536" s="2"/>
      <c r="AG536" t="s">
        <v>11</v>
      </c>
      <c r="AH536" s="14">
        <f>VLOOKUP(M536,'[1]INDIAN ENTERPRISES'!$D:$D,1,0)</f>
        <v>246779410175</v>
      </c>
      <c r="AJ536" s="15">
        <f>VLOOKUP(M536,'[1]INDIAN ENTERPRISES'!$D:$L,9,0)</f>
        <v>45838</v>
      </c>
    </row>
    <row r="537" spans="1:36" hidden="1" outlineLevel="2" x14ac:dyDescent="0.25">
      <c r="A537" t="s">
        <v>20</v>
      </c>
      <c r="B537" t="s">
        <v>1</v>
      </c>
      <c r="C537" t="s">
        <v>2</v>
      </c>
      <c r="D537" t="s">
        <v>3</v>
      </c>
      <c r="E537" t="s">
        <v>4</v>
      </c>
      <c r="F537" t="s">
        <v>200</v>
      </c>
      <c r="G537" s="2">
        <v>45708</v>
      </c>
      <c r="H537" t="s">
        <v>967</v>
      </c>
      <c r="I537" t="s">
        <v>7</v>
      </c>
      <c r="J537" s="2">
        <v>45708</v>
      </c>
      <c r="K537" s="2">
        <v>45708</v>
      </c>
      <c r="L537" t="s">
        <v>8</v>
      </c>
      <c r="M537" s="14">
        <v>246779410184</v>
      </c>
      <c r="N537" t="s">
        <v>9</v>
      </c>
      <c r="O537" t="s">
        <v>10</v>
      </c>
      <c r="P537" t="s">
        <v>11</v>
      </c>
      <c r="Q537" t="s">
        <v>12</v>
      </c>
      <c r="R537" t="s">
        <v>13</v>
      </c>
      <c r="S537" s="3">
        <v>2333.1799999999998</v>
      </c>
      <c r="T537" t="s">
        <v>14</v>
      </c>
      <c r="U537" s="3">
        <v>201361.97</v>
      </c>
      <c r="V537" t="s">
        <v>15</v>
      </c>
      <c r="W537" t="s">
        <v>16</v>
      </c>
      <c r="X537" t="s">
        <v>11</v>
      </c>
      <c r="Y537" t="s">
        <v>8</v>
      </c>
      <c r="Z537" t="s">
        <v>17</v>
      </c>
      <c r="AA537" t="s">
        <v>18</v>
      </c>
      <c r="AB537" t="s">
        <v>11</v>
      </c>
      <c r="AC537" t="s">
        <v>11</v>
      </c>
      <c r="AD537" t="s">
        <v>11</v>
      </c>
      <c r="AE537" s="2">
        <v>45708</v>
      </c>
      <c r="AF537" s="2"/>
      <c r="AG537" t="s">
        <v>11</v>
      </c>
      <c r="AH537" s="14">
        <f>VLOOKUP(M537,'[1]INDIAN ENTERPRISES'!$D:$D,1,0)</f>
        <v>246779410184</v>
      </c>
      <c r="AJ537" s="15">
        <f>VLOOKUP(M537,'[1]INDIAN ENTERPRISES'!$D:$L,9,0)</f>
        <v>45838</v>
      </c>
    </row>
    <row r="538" spans="1:36" hidden="1" outlineLevel="2" x14ac:dyDescent="0.25">
      <c r="A538" t="s">
        <v>20</v>
      </c>
      <c r="B538" t="s">
        <v>1</v>
      </c>
      <c r="C538" t="s">
        <v>2</v>
      </c>
      <c r="D538" t="s">
        <v>3</v>
      </c>
      <c r="E538" t="s">
        <v>4</v>
      </c>
      <c r="F538" t="s">
        <v>200</v>
      </c>
      <c r="G538" s="2">
        <v>45708</v>
      </c>
      <c r="H538" t="s">
        <v>968</v>
      </c>
      <c r="I538" t="s">
        <v>7</v>
      </c>
      <c r="J538" s="2">
        <v>45708</v>
      </c>
      <c r="K538" s="2">
        <v>45708</v>
      </c>
      <c r="L538" t="s">
        <v>8</v>
      </c>
      <c r="M538" s="14">
        <v>246779410217</v>
      </c>
      <c r="N538" t="s">
        <v>9</v>
      </c>
      <c r="O538" t="s">
        <v>10</v>
      </c>
      <c r="P538" t="s">
        <v>11</v>
      </c>
      <c r="Q538" t="s">
        <v>12</v>
      </c>
      <c r="R538" t="s">
        <v>13</v>
      </c>
      <c r="S538" s="3">
        <v>93.33</v>
      </c>
      <c r="T538" t="s">
        <v>14</v>
      </c>
      <c r="U538" s="3">
        <v>8054.72</v>
      </c>
      <c r="V538" t="s">
        <v>15</v>
      </c>
      <c r="W538" t="s">
        <v>16</v>
      </c>
      <c r="X538" t="s">
        <v>11</v>
      </c>
      <c r="Y538" t="s">
        <v>8</v>
      </c>
      <c r="Z538" t="s">
        <v>17</v>
      </c>
      <c r="AA538" t="s">
        <v>969</v>
      </c>
      <c r="AB538" t="s">
        <v>11</v>
      </c>
      <c r="AC538" t="s">
        <v>11</v>
      </c>
      <c r="AD538" t="s">
        <v>11</v>
      </c>
      <c r="AE538" s="2">
        <v>45708</v>
      </c>
      <c r="AF538" s="2"/>
      <c r="AG538" t="s">
        <v>11</v>
      </c>
      <c r="AH538" s="14">
        <f>VLOOKUP(M538,'[1]INDIAN ENTERPRISES'!$D:$D,1,0)</f>
        <v>246779410217</v>
      </c>
      <c r="AJ538" s="15">
        <f>VLOOKUP(M538,'[1]INDIAN ENTERPRISES'!$D:$L,9,0)</f>
        <v>45838</v>
      </c>
    </row>
    <row r="539" spans="1:36" hidden="1" outlineLevel="2" x14ac:dyDescent="0.25">
      <c r="A539" t="s">
        <v>20</v>
      </c>
      <c r="B539" t="s">
        <v>1</v>
      </c>
      <c r="C539" t="s">
        <v>2</v>
      </c>
      <c r="D539" t="s">
        <v>3</v>
      </c>
      <c r="E539" t="s">
        <v>4</v>
      </c>
      <c r="F539" t="s">
        <v>200</v>
      </c>
      <c r="G539" s="2">
        <v>45708</v>
      </c>
      <c r="H539" t="s">
        <v>970</v>
      </c>
      <c r="I539" t="s">
        <v>7</v>
      </c>
      <c r="J539" s="2">
        <v>45708</v>
      </c>
      <c r="K539" s="2">
        <v>45708</v>
      </c>
      <c r="L539" t="s">
        <v>8</v>
      </c>
      <c r="M539" s="14">
        <v>246779410218</v>
      </c>
      <c r="N539" t="s">
        <v>9</v>
      </c>
      <c r="O539" t="s">
        <v>10</v>
      </c>
      <c r="P539" t="s">
        <v>11</v>
      </c>
      <c r="Q539" t="s">
        <v>12</v>
      </c>
      <c r="R539" t="s">
        <v>13</v>
      </c>
      <c r="S539" s="3">
        <v>51.33</v>
      </c>
      <c r="T539" t="s">
        <v>14</v>
      </c>
      <c r="U539" s="3">
        <v>4429.97</v>
      </c>
      <c r="V539" t="s">
        <v>15</v>
      </c>
      <c r="W539" t="s">
        <v>16</v>
      </c>
      <c r="X539" t="s">
        <v>11</v>
      </c>
      <c r="Y539" t="s">
        <v>8</v>
      </c>
      <c r="Z539" t="s">
        <v>17</v>
      </c>
      <c r="AA539" t="s">
        <v>971</v>
      </c>
      <c r="AB539" t="s">
        <v>11</v>
      </c>
      <c r="AC539" t="s">
        <v>11</v>
      </c>
      <c r="AD539" t="s">
        <v>11</v>
      </c>
      <c r="AE539" s="2">
        <v>45708</v>
      </c>
      <c r="AF539" s="2"/>
      <c r="AG539" t="s">
        <v>11</v>
      </c>
      <c r="AH539" s="14">
        <f>VLOOKUP(M539,'[1]INDIAN ENTERPRISES'!$D:$D,1,0)</f>
        <v>246779410218</v>
      </c>
      <c r="AJ539" s="15">
        <f>VLOOKUP(M539,'[1]INDIAN ENTERPRISES'!$D:$L,9,0)</f>
        <v>45838</v>
      </c>
    </row>
    <row r="540" spans="1:36" hidden="1" outlineLevel="2" x14ac:dyDescent="0.25">
      <c r="A540" t="s">
        <v>20</v>
      </c>
      <c r="B540" t="s">
        <v>1</v>
      </c>
      <c r="C540" t="s">
        <v>2</v>
      </c>
      <c r="D540" t="s">
        <v>3</v>
      </c>
      <c r="E540" t="s">
        <v>4</v>
      </c>
      <c r="F540" t="s">
        <v>200</v>
      </c>
      <c r="G540" s="2">
        <v>45708</v>
      </c>
      <c r="H540" t="s">
        <v>972</v>
      </c>
      <c r="I540" t="s">
        <v>7</v>
      </c>
      <c r="J540" s="2">
        <v>45708</v>
      </c>
      <c r="K540" s="2">
        <v>45708</v>
      </c>
      <c r="L540" t="s">
        <v>8</v>
      </c>
      <c r="M540" s="14">
        <v>246779410260</v>
      </c>
      <c r="N540" t="s">
        <v>9</v>
      </c>
      <c r="O540" t="s">
        <v>10</v>
      </c>
      <c r="P540" t="s">
        <v>11</v>
      </c>
      <c r="Q540" t="s">
        <v>12</v>
      </c>
      <c r="R540" t="s">
        <v>13</v>
      </c>
      <c r="S540" s="3">
        <v>91.45</v>
      </c>
      <c r="T540" t="s">
        <v>14</v>
      </c>
      <c r="U540" s="3">
        <v>7892.47</v>
      </c>
      <c r="V540" t="s">
        <v>15</v>
      </c>
      <c r="W540" t="s">
        <v>16</v>
      </c>
      <c r="X540" t="s">
        <v>11</v>
      </c>
      <c r="Y540" t="s">
        <v>8</v>
      </c>
      <c r="Z540" t="s">
        <v>17</v>
      </c>
      <c r="AA540" t="s">
        <v>973</v>
      </c>
      <c r="AB540" t="s">
        <v>11</v>
      </c>
      <c r="AC540" t="s">
        <v>11</v>
      </c>
      <c r="AD540" t="s">
        <v>11</v>
      </c>
      <c r="AE540" s="2">
        <v>45708</v>
      </c>
      <c r="AF540" s="2"/>
      <c r="AG540" t="s">
        <v>11</v>
      </c>
      <c r="AH540" s="14">
        <f>VLOOKUP(M540,'[1]INDIAN ENTERPRISES'!$D:$D,1,0)</f>
        <v>246779410260</v>
      </c>
      <c r="AJ540" s="15">
        <f>VLOOKUP(M540,'[1]INDIAN ENTERPRISES'!$D:$L,9,0)</f>
        <v>45869</v>
      </c>
    </row>
    <row r="541" spans="1:36" hidden="1" outlineLevel="2" x14ac:dyDescent="0.25">
      <c r="A541" t="s">
        <v>20</v>
      </c>
      <c r="B541" t="s">
        <v>1</v>
      </c>
      <c r="C541" t="s">
        <v>2</v>
      </c>
      <c r="D541" t="s">
        <v>3</v>
      </c>
      <c r="E541" t="s">
        <v>4</v>
      </c>
      <c r="F541" t="s">
        <v>200</v>
      </c>
      <c r="G541" s="2">
        <v>45708</v>
      </c>
      <c r="H541" t="s">
        <v>974</v>
      </c>
      <c r="I541" t="s">
        <v>7</v>
      </c>
      <c r="J541" s="2">
        <v>45708</v>
      </c>
      <c r="K541" s="2">
        <v>45708</v>
      </c>
      <c r="L541" t="s">
        <v>8</v>
      </c>
      <c r="M541" s="14">
        <v>246779410261</v>
      </c>
      <c r="N541" t="s">
        <v>9</v>
      </c>
      <c r="O541" t="s">
        <v>10</v>
      </c>
      <c r="P541" t="s">
        <v>11</v>
      </c>
      <c r="Q541" t="s">
        <v>12</v>
      </c>
      <c r="R541" t="s">
        <v>13</v>
      </c>
      <c r="S541" s="3">
        <v>50.3</v>
      </c>
      <c r="T541" t="s">
        <v>14</v>
      </c>
      <c r="U541" s="3">
        <v>4341.07</v>
      </c>
      <c r="V541" t="s">
        <v>15</v>
      </c>
      <c r="W541" t="s">
        <v>16</v>
      </c>
      <c r="X541" t="s">
        <v>11</v>
      </c>
      <c r="Y541" t="s">
        <v>8</v>
      </c>
      <c r="Z541" t="s">
        <v>17</v>
      </c>
      <c r="AA541" t="s">
        <v>975</v>
      </c>
      <c r="AB541" t="s">
        <v>11</v>
      </c>
      <c r="AC541" t="s">
        <v>11</v>
      </c>
      <c r="AD541" t="s">
        <v>11</v>
      </c>
      <c r="AE541" s="2">
        <v>45708</v>
      </c>
      <c r="AF541" s="2"/>
      <c r="AG541" t="s">
        <v>11</v>
      </c>
      <c r="AH541" s="14">
        <f>VLOOKUP(M541,'[1]INDIAN ENTERPRISES'!$D:$D,1,0)</f>
        <v>246779410261</v>
      </c>
      <c r="AJ541" s="15">
        <f>VLOOKUP(M541,'[1]INDIAN ENTERPRISES'!$D:$L,9,0)</f>
        <v>45869</v>
      </c>
    </row>
    <row r="542" spans="1:36" hidden="1" outlineLevel="2" x14ac:dyDescent="0.25">
      <c r="A542" t="s">
        <v>20</v>
      </c>
      <c r="B542" t="s">
        <v>1</v>
      </c>
      <c r="C542" t="s">
        <v>2</v>
      </c>
      <c r="D542" t="s">
        <v>3</v>
      </c>
      <c r="E542" t="s">
        <v>4</v>
      </c>
      <c r="F542" t="s">
        <v>200</v>
      </c>
      <c r="G542" s="2">
        <v>45708</v>
      </c>
      <c r="H542" t="s">
        <v>976</v>
      </c>
      <c r="I542" t="s">
        <v>7</v>
      </c>
      <c r="J542" s="2">
        <v>45708</v>
      </c>
      <c r="K542" s="2">
        <v>45709</v>
      </c>
      <c r="L542" t="s">
        <v>8</v>
      </c>
      <c r="M542" s="14">
        <v>246779410311</v>
      </c>
      <c r="N542" t="s">
        <v>9</v>
      </c>
      <c r="O542" t="s">
        <v>10</v>
      </c>
      <c r="P542" t="s">
        <v>11</v>
      </c>
      <c r="Q542" t="s">
        <v>12</v>
      </c>
      <c r="R542" t="s">
        <v>13</v>
      </c>
      <c r="S542" s="3">
        <v>95.24</v>
      </c>
      <c r="T542" t="s">
        <v>14</v>
      </c>
      <c r="U542" s="3">
        <v>8219.56</v>
      </c>
      <c r="V542" t="s">
        <v>15</v>
      </c>
      <c r="W542" t="s">
        <v>16</v>
      </c>
      <c r="X542" t="s">
        <v>11</v>
      </c>
      <c r="Y542" t="s">
        <v>8</v>
      </c>
      <c r="Z542" t="s">
        <v>17</v>
      </c>
      <c r="AA542" t="s">
        <v>977</v>
      </c>
      <c r="AB542" t="s">
        <v>11</v>
      </c>
      <c r="AC542" t="s">
        <v>11</v>
      </c>
      <c r="AD542" t="s">
        <v>11</v>
      </c>
      <c r="AE542" s="2">
        <v>45708</v>
      </c>
      <c r="AF542" s="2"/>
      <c r="AG542" t="s">
        <v>11</v>
      </c>
      <c r="AH542" s="14">
        <f>VLOOKUP(M542,'[1]INDIAN ENTERPRISES'!$D:$D,1,0)</f>
        <v>246779410311</v>
      </c>
      <c r="AJ542" s="15">
        <f>VLOOKUP(M542,'[1]INDIAN ENTERPRISES'!$D:$L,9,0)</f>
        <v>45991</v>
      </c>
    </row>
    <row r="543" spans="1:36" hidden="1" outlineLevel="2" x14ac:dyDescent="0.25">
      <c r="A543" t="s">
        <v>20</v>
      </c>
      <c r="B543" t="s">
        <v>1</v>
      </c>
      <c r="C543" t="s">
        <v>2</v>
      </c>
      <c r="D543" t="s">
        <v>3</v>
      </c>
      <c r="E543" t="s">
        <v>4</v>
      </c>
      <c r="F543" t="s">
        <v>200</v>
      </c>
      <c r="G543" s="2">
        <v>45708</v>
      </c>
      <c r="H543" t="s">
        <v>978</v>
      </c>
      <c r="I543" t="s">
        <v>7</v>
      </c>
      <c r="J543" s="2">
        <v>45708</v>
      </c>
      <c r="K543" s="2">
        <v>45709</v>
      </c>
      <c r="L543" t="s">
        <v>8</v>
      </c>
      <c r="M543" s="14">
        <v>246779410312</v>
      </c>
      <c r="N543" t="s">
        <v>9</v>
      </c>
      <c r="O543" t="s">
        <v>10</v>
      </c>
      <c r="P543" t="s">
        <v>11</v>
      </c>
      <c r="Q543" t="s">
        <v>12</v>
      </c>
      <c r="R543" t="s">
        <v>13</v>
      </c>
      <c r="S543" s="3">
        <v>52.38</v>
      </c>
      <c r="T543" t="s">
        <v>14</v>
      </c>
      <c r="U543" s="3">
        <v>4520.59</v>
      </c>
      <c r="V543" t="s">
        <v>15</v>
      </c>
      <c r="W543" t="s">
        <v>16</v>
      </c>
      <c r="X543" t="s">
        <v>11</v>
      </c>
      <c r="Y543" t="s">
        <v>8</v>
      </c>
      <c r="Z543" t="s">
        <v>17</v>
      </c>
      <c r="AA543" t="s">
        <v>979</v>
      </c>
      <c r="AB543" t="s">
        <v>11</v>
      </c>
      <c r="AC543" t="s">
        <v>11</v>
      </c>
      <c r="AD543" t="s">
        <v>11</v>
      </c>
      <c r="AE543" s="2">
        <v>45708</v>
      </c>
      <c r="AF543" s="2"/>
      <c r="AG543" t="s">
        <v>11</v>
      </c>
      <c r="AH543" s="14">
        <f>VLOOKUP(M543,'[1]INDIAN ENTERPRISES'!$D:$D,1,0)</f>
        <v>246779410312</v>
      </c>
      <c r="AJ543" s="15">
        <f>VLOOKUP(M543,'[1]INDIAN ENTERPRISES'!$D:$L,9,0)</f>
        <v>45838</v>
      </c>
    </row>
    <row r="544" spans="1:36" hidden="1" outlineLevel="2" x14ac:dyDescent="0.25">
      <c r="A544" t="s">
        <v>20</v>
      </c>
      <c r="B544" t="s">
        <v>1</v>
      </c>
      <c r="C544" t="s">
        <v>2</v>
      </c>
      <c r="D544" t="s">
        <v>3</v>
      </c>
      <c r="E544" t="s">
        <v>4</v>
      </c>
      <c r="F544" t="s">
        <v>200</v>
      </c>
      <c r="G544" s="2">
        <v>45708</v>
      </c>
      <c r="H544" t="s">
        <v>980</v>
      </c>
      <c r="I544" t="s">
        <v>7</v>
      </c>
      <c r="J544" s="2">
        <v>45708</v>
      </c>
      <c r="K544" s="2">
        <v>45709</v>
      </c>
      <c r="L544" t="s">
        <v>8</v>
      </c>
      <c r="M544" s="14">
        <v>246779410315</v>
      </c>
      <c r="N544" t="s">
        <v>9</v>
      </c>
      <c r="O544" t="s">
        <v>10</v>
      </c>
      <c r="P544" t="s">
        <v>11</v>
      </c>
      <c r="Q544" t="s">
        <v>12</v>
      </c>
      <c r="R544" t="s">
        <v>13</v>
      </c>
      <c r="S544" s="3">
        <v>2380.9499999999998</v>
      </c>
      <c r="T544" t="s">
        <v>14</v>
      </c>
      <c r="U544" s="3">
        <v>205484.7</v>
      </c>
      <c r="V544" t="s">
        <v>15</v>
      </c>
      <c r="W544" t="s">
        <v>16</v>
      </c>
      <c r="X544" t="s">
        <v>11</v>
      </c>
      <c r="Y544" t="s">
        <v>8</v>
      </c>
      <c r="Z544" t="s">
        <v>17</v>
      </c>
      <c r="AA544" t="s">
        <v>981</v>
      </c>
      <c r="AB544" t="s">
        <v>11</v>
      </c>
      <c r="AC544" t="s">
        <v>11</v>
      </c>
      <c r="AD544" t="s">
        <v>11</v>
      </c>
      <c r="AE544" s="2">
        <v>45708</v>
      </c>
      <c r="AF544" s="2"/>
      <c r="AG544" t="s">
        <v>11</v>
      </c>
      <c r="AH544" s="14">
        <f>VLOOKUP(M544,'[1]INDIAN ENTERPRISES'!$D:$D,1,0)</f>
        <v>246779410315</v>
      </c>
      <c r="AJ544" s="15">
        <f>VLOOKUP(M544,'[1]INDIAN ENTERPRISES'!$D:$L,9,0)</f>
        <v>45838</v>
      </c>
    </row>
    <row r="545" spans="1:36" hidden="1" outlineLevel="2" x14ac:dyDescent="0.25">
      <c r="A545" t="s">
        <v>0</v>
      </c>
      <c r="B545" t="s">
        <v>1</v>
      </c>
      <c r="C545" t="s">
        <v>2</v>
      </c>
      <c r="D545" t="s">
        <v>3</v>
      </c>
      <c r="E545" t="s">
        <v>4</v>
      </c>
      <c r="F545" t="s">
        <v>200</v>
      </c>
      <c r="G545" s="2">
        <v>45708</v>
      </c>
      <c r="H545" t="s">
        <v>982</v>
      </c>
      <c r="I545" t="s">
        <v>7</v>
      </c>
      <c r="J545" s="2">
        <v>45708</v>
      </c>
      <c r="K545" s="2">
        <v>45708</v>
      </c>
      <c r="L545" t="s">
        <v>8</v>
      </c>
      <c r="M545" s="14">
        <v>246779410227</v>
      </c>
      <c r="N545" t="s">
        <v>9</v>
      </c>
      <c r="O545" t="s">
        <v>10</v>
      </c>
      <c r="P545" t="s">
        <v>11</v>
      </c>
      <c r="Q545" t="s">
        <v>12</v>
      </c>
      <c r="R545" t="s">
        <v>13</v>
      </c>
      <c r="S545" s="3">
        <v>2286.2399999999998</v>
      </c>
      <c r="T545" t="s">
        <v>14</v>
      </c>
      <c r="U545" s="3">
        <v>197310.88</v>
      </c>
      <c r="V545" t="s">
        <v>15</v>
      </c>
      <c r="W545" t="s">
        <v>16</v>
      </c>
      <c r="X545" t="s">
        <v>11</v>
      </c>
      <c r="Y545" t="s">
        <v>8</v>
      </c>
      <c r="Z545" t="s">
        <v>17</v>
      </c>
      <c r="AA545" t="s">
        <v>983</v>
      </c>
      <c r="AB545" t="s">
        <v>11</v>
      </c>
      <c r="AC545" t="s">
        <v>11</v>
      </c>
      <c r="AD545" t="s">
        <v>11</v>
      </c>
      <c r="AE545" s="2">
        <v>45708</v>
      </c>
      <c r="AF545" s="2">
        <v>45974</v>
      </c>
      <c r="AG545" t="s">
        <v>39</v>
      </c>
      <c r="AH545" s="14">
        <f>VLOOKUP(M545,'[1]INDIAN ENTERPRISES'!$D:$D,1,0)</f>
        <v>246779410227</v>
      </c>
      <c r="AJ545" s="15">
        <f>VLOOKUP(M545,'[1]INDIAN ENTERPRISES'!$D:$L,9,0)</f>
        <v>45869</v>
      </c>
    </row>
    <row r="546" spans="1:36" hidden="1" outlineLevel="2" x14ac:dyDescent="0.25">
      <c r="A546" t="s">
        <v>20</v>
      </c>
      <c r="B546" t="s">
        <v>1</v>
      </c>
      <c r="C546" t="s">
        <v>2</v>
      </c>
      <c r="D546" t="s">
        <v>3</v>
      </c>
      <c r="E546" t="s">
        <v>4</v>
      </c>
      <c r="F546" t="s">
        <v>639</v>
      </c>
      <c r="G546" s="2">
        <v>45889</v>
      </c>
      <c r="H546" t="s">
        <v>984</v>
      </c>
      <c r="I546" t="s">
        <v>7</v>
      </c>
      <c r="J546" s="2">
        <v>45889</v>
      </c>
      <c r="K546" s="2">
        <v>45890</v>
      </c>
      <c r="L546" t="s">
        <v>8</v>
      </c>
      <c r="M546" s="14">
        <v>256779416593</v>
      </c>
      <c r="N546" t="s">
        <v>9</v>
      </c>
      <c r="O546" t="s">
        <v>10</v>
      </c>
      <c r="P546" t="s">
        <v>11</v>
      </c>
      <c r="Q546" t="s">
        <v>12</v>
      </c>
      <c r="R546" t="s">
        <v>13</v>
      </c>
      <c r="S546" s="3">
        <v>810</v>
      </c>
      <c r="T546" t="s">
        <v>14</v>
      </c>
      <c r="U546" s="3">
        <v>69684.399999999994</v>
      </c>
      <c r="V546" t="s">
        <v>15</v>
      </c>
      <c r="W546" t="s">
        <v>16</v>
      </c>
      <c r="X546" t="s">
        <v>11</v>
      </c>
      <c r="Y546" t="s">
        <v>8</v>
      </c>
      <c r="Z546" t="s">
        <v>17</v>
      </c>
      <c r="AA546" t="s">
        <v>985</v>
      </c>
      <c r="AB546" t="s">
        <v>11</v>
      </c>
      <c r="AC546" t="s">
        <v>11</v>
      </c>
      <c r="AD546" t="s">
        <v>11</v>
      </c>
      <c r="AE546" s="2">
        <v>45889</v>
      </c>
      <c r="AF546" s="2"/>
      <c r="AG546" t="s">
        <v>11</v>
      </c>
      <c r="AH546" s="14" t="e">
        <f>VLOOKUP(M546,'[1]INDIAN ENTERPRISES'!$D:$D,1,0)</f>
        <v>#N/A</v>
      </c>
      <c r="AI546" t="str">
        <f>VLOOKUP(M546,'[2]Invoices Not in Customer Books'!$E:$K,7,0)</f>
        <v>Invoice under booking</v>
      </c>
      <c r="AJ546" s="15" t="e">
        <f>VLOOKUP(M546,'[1]INDIAN ENTERPRISES'!$D:$L,9,0)</f>
        <v>#N/A</v>
      </c>
    </row>
    <row r="547" spans="1:36" hidden="1" outlineLevel="2" x14ac:dyDescent="0.25">
      <c r="A547" t="s">
        <v>20</v>
      </c>
      <c r="B547" t="s">
        <v>1</v>
      </c>
      <c r="C547" t="s">
        <v>2</v>
      </c>
      <c r="D547" t="s">
        <v>3</v>
      </c>
      <c r="E547" t="s">
        <v>4</v>
      </c>
      <c r="F547" t="s">
        <v>639</v>
      </c>
      <c r="G547" s="2">
        <v>45889</v>
      </c>
      <c r="H547" t="s">
        <v>986</v>
      </c>
      <c r="I547" t="s">
        <v>7</v>
      </c>
      <c r="J547" s="2">
        <v>45889</v>
      </c>
      <c r="K547" s="2">
        <v>45891</v>
      </c>
      <c r="L547" t="s">
        <v>8</v>
      </c>
      <c r="M547" s="14">
        <v>256779416600</v>
      </c>
      <c r="N547" t="s">
        <v>9</v>
      </c>
      <c r="O547" t="s">
        <v>10</v>
      </c>
      <c r="P547" t="s">
        <v>11</v>
      </c>
      <c r="Q547" t="s">
        <v>12</v>
      </c>
      <c r="R547" t="s">
        <v>13</v>
      </c>
      <c r="S547" s="3">
        <v>737.41</v>
      </c>
      <c r="T547" t="s">
        <v>14</v>
      </c>
      <c r="U547" s="3">
        <v>63439.47</v>
      </c>
      <c r="V547" t="s">
        <v>15</v>
      </c>
      <c r="W547" t="s">
        <v>16</v>
      </c>
      <c r="X547" t="s">
        <v>11</v>
      </c>
      <c r="Y547" t="s">
        <v>8</v>
      </c>
      <c r="Z547" t="s">
        <v>17</v>
      </c>
      <c r="AA547" t="s">
        <v>987</v>
      </c>
      <c r="AB547" t="s">
        <v>11</v>
      </c>
      <c r="AC547" t="s">
        <v>11</v>
      </c>
      <c r="AD547" t="s">
        <v>11</v>
      </c>
      <c r="AE547" s="2">
        <v>45889</v>
      </c>
      <c r="AF547" s="2"/>
      <c r="AG547" t="s">
        <v>11</v>
      </c>
      <c r="AH547" s="14">
        <f>VLOOKUP(M547,'[1]INDIAN ENTERPRISES'!$D:$D,1,0)</f>
        <v>256779416600</v>
      </c>
      <c r="AJ547" s="15">
        <f>VLOOKUP(M547,'[1]INDIAN ENTERPRISES'!$D:$L,9,0)</f>
        <v>46071</v>
      </c>
    </row>
    <row r="548" spans="1:36" hidden="1" outlineLevel="2" x14ac:dyDescent="0.25">
      <c r="A548" t="s">
        <v>20</v>
      </c>
      <c r="B548" t="s">
        <v>1</v>
      </c>
      <c r="C548" t="s">
        <v>2</v>
      </c>
      <c r="D548" t="s">
        <v>3</v>
      </c>
      <c r="E548" t="s">
        <v>4</v>
      </c>
      <c r="F548" t="s">
        <v>639</v>
      </c>
      <c r="G548" s="2">
        <v>45889</v>
      </c>
      <c r="H548" t="s">
        <v>988</v>
      </c>
      <c r="I548" t="s">
        <v>7</v>
      </c>
      <c r="J548" s="2">
        <v>45889</v>
      </c>
      <c r="K548" s="2">
        <v>45891</v>
      </c>
      <c r="L548" t="s">
        <v>8</v>
      </c>
      <c r="M548" s="14">
        <v>256779416801</v>
      </c>
      <c r="N548" t="s">
        <v>9</v>
      </c>
      <c r="O548" t="s">
        <v>10</v>
      </c>
      <c r="P548" t="s">
        <v>11</v>
      </c>
      <c r="Q548" t="s">
        <v>12</v>
      </c>
      <c r="R548" t="s">
        <v>13</v>
      </c>
      <c r="S548" s="3">
        <v>110</v>
      </c>
      <c r="T548" t="s">
        <v>14</v>
      </c>
      <c r="U548" s="3">
        <v>9463.31</v>
      </c>
      <c r="V548" t="s">
        <v>15</v>
      </c>
      <c r="W548" t="s">
        <v>16</v>
      </c>
      <c r="X548" t="s">
        <v>11</v>
      </c>
      <c r="Y548" t="s">
        <v>8</v>
      </c>
      <c r="Z548" t="s">
        <v>17</v>
      </c>
      <c r="AA548" t="s">
        <v>989</v>
      </c>
      <c r="AB548" t="s">
        <v>11</v>
      </c>
      <c r="AC548" t="s">
        <v>11</v>
      </c>
      <c r="AD548" t="s">
        <v>11</v>
      </c>
      <c r="AE548" s="2">
        <v>45889</v>
      </c>
      <c r="AF548" s="2"/>
      <c r="AG548" t="s">
        <v>11</v>
      </c>
      <c r="AH548" s="14" t="e">
        <f>VLOOKUP(M548,'[1]INDIAN ENTERPRISES'!$D:$D,1,0)</f>
        <v>#N/A</v>
      </c>
      <c r="AI548" t="str">
        <f>VLOOKUP(M548,'[2]Invoices Not in Customer Books'!$E:$K,7,0)</f>
        <v>Invoice under booking</v>
      </c>
      <c r="AJ548" s="15" t="e">
        <f>VLOOKUP(M548,'[1]INDIAN ENTERPRISES'!$D:$L,9,0)</f>
        <v>#N/A</v>
      </c>
    </row>
    <row r="549" spans="1:36" hidden="1" outlineLevel="2" x14ac:dyDescent="0.25">
      <c r="A549" t="s">
        <v>20</v>
      </c>
      <c r="B549" t="s">
        <v>1</v>
      </c>
      <c r="C549" t="s">
        <v>2</v>
      </c>
      <c r="D549" t="s">
        <v>3</v>
      </c>
      <c r="E549" t="s">
        <v>4</v>
      </c>
      <c r="F549" t="s">
        <v>639</v>
      </c>
      <c r="G549" s="2">
        <v>45889</v>
      </c>
      <c r="H549" t="s">
        <v>990</v>
      </c>
      <c r="I549" t="s">
        <v>7</v>
      </c>
      <c r="J549" s="2">
        <v>45889</v>
      </c>
      <c r="K549" s="2">
        <v>45891</v>
      </c>
      <c r="L549" t="s">
        <v>8</v>
      </c>
      <c r="M549" s="14">
        <v>256779416807</v>
      </c>
      <c r="N549" t="s">
        <v>9</v>
      </c>
      <c r="O549" t="s">
        <v>10</v>
      </c>
      <c r="P549" t="s">
        <v>11</v>
      </c>
      <c r="Q549" t="s">
        <v>12</v>
      </c>
      <c r="R549" t="s">
        <v>13</v>
      </c>
      <c r="S549" s="3">
        <v>248.96</v>
      </c>
      <c r="T549" t="s">
        <v>14</v>
      </c>
      <c r="U549" s="3">
        <v>21418.06</v>
      </c>
      <c r="V549" t="s">
        <v>15</v>
      </c>
      <c r="W549" t="s">
        <v>16</v>
      </c>
      <c r="X549" t="s">
        <v>11</v>
      </c>
      <c r="Y549" t="s">
        <v>8</v>
      </c>
      <c r="Z549" t="s">
        <v>17</v>
      </c>
      <c r="AA549" t="s">
        <v>991</v>
      </c>
      <c r="AB549" t="s">
        <v>11</v>
      </c>
      <c r="AC549" t="s">
        <v>11</v>
      </c>
      <c r="AD549" t="s">
        <v>11</v>
      </c>
      <c r="AE549" s="2">
        <v>45889</v>
      </c>
      <c r="AF549" s="2"/>
      <c r="AG549" t="s">
        <v>11</v>
      </c>
      <c r="AH549" s="14" t="e">
        <f>VLOOKUP(M549,'[1]INDIAN ENTERPRISES'!$D:$D,1,0)</f>
        <v>#N/A</v>
      </c>
      <c r="AI549" t="str">
        <f>VLOOKUP(M549,'[2]Invoices Not in Customer Books'!$E:$K,7,0)</f>
        <v>Invoice under booking</v>
      </c>
      <c r="AJ549" s="15" t="e">
        <f>VLOOKUP(M549,'[1]INDIAN ENTERPRISES'!$D:$L,9,0)</f>
        <v>#N/A</v>
      </c>
    </row>
    <row r="550" spans="1:36" hidden="1" outlineLevel="2" x14ac:dyDescent="0.25">
      <c r="A550" t="s">
        <v>20</v>
      </c>
      <c r="B550" t="s">
        <v>1</v>
      </c>
      <c r="C550" t="s">
        <v>2</v>
      </c>
      <c r="D550" t="s">
        <v>3</v>
      </c>
      <c r="E550" t="s">
        <v>4</v>
      </c>
      <c r="F550" t="s">
        <v>639</v>
      </c>
      <c r="G550" s="2">
        <v>45889</v>
      </c>
      <c r="H550" t="s">
        <v>992</v>
      </c>
      <c r="I550" t="s">
        <v>7</v>
      </c>
      <c r="J550" s="2">
        <v>45889</v>
      </c>
      <c r="K550" s="2">
        <v>45891</v>
      </c>
      <c r="L550" t="s">
        <v>8</v>
      </c>
      <c r="M550" s="14">
        <v>256779416814</v>
      </c>
      <c r="N550" t="s">
        <v>9</v>
      </c>
      <c r="O550" t="s">
        <v>10</v>
      </c>
      <c r="P550" t="s">
        <v>11</v>
      </c>
      <c r="Q550" t="s">
        <v>12</v>
      </c>
      <c r="R550" t="s">
        <v>13</v>
      </c>
      <c r="S550" s="3">
        <v>230</v>
      </c>
      <c r="T550" t="s">
        <v>14</v>
      </c>
      <c r="U550" s="3">
        <v>19786.93</v>
      </c>
      <c r="V550" t="s">
        <v>15</v>
      </c>
      <c r="W550" t="s">
        <v>16</v>
      </c>
      <c r="X550" t="s">
        <v>11</v>
      </c>
      <c r="Y550" t="s">
        <v>8</v>
      </c>
      <c r="Z550" t="s">
        <v>17</v>
      </c>
      <c r="AA550" t="s">
        <v>993</v>
      </c>
      <c r="AB550" t="s">
        <v>11</v>
      </c>
      <c r="AC550" t="s">
        <v>11</v>
      </c>
      <c r="AD550" t="s">
        <v>11</v>
      </c>
      <c r="AE550" s="2">
        <v>45889</v>
      </c>
      <c r="AF550" s="2"/>
      <c r="AG550" t="s">
        <v>11</v>
      </c>
      <c r="AH550" s="14" t="e">
        <f>VLOOKUP(M550,'[1]INDIAN ENTERPRISES'!$D:$D,1,0)</f>
        <v>#N/A</v>
      </c>
      <c r="AI550" t="str">
        <f>VLOOKUP(M550,'[2]Invoices Not in Customer Books'!$E:$K,7,0)</f>
        <v>Invoice under booking</v>
      </c>
      <c r="AJ550" s="15" t="e">
        <f>VLOOKUP(M550,'[1]INDIAN ENTERPRISES'!$D:$L,9,0)</f>
        <v>#N/A</v>
      </c>
    </row>
    <row r="551" spans="1:36" hidden="1" outlineLevel="2" x14ac:dyDescent="0.25">
      <c r="A551" t="s">
        <v>20</v>
      </c>
      <c r="B551" t="s">
        <v>1</v>
      </c>
      <c r="C551" t="s">
        <v>2</v>
      </c>
      <c r="D551" t="s">
        <v>3</v>
      </c>
      <c r="E551" t="s">
        <v>4</v>
      </c>
      <c r="F551" t="s">
        <v>639</v>
      </c>
      <c r="G551" s="2">
        <v>45889</v>
      </c>
      <c r="H551" t="s">
        <v>994</v>
      </c>
      <c r="I551" t="s">
        <v>7</v>
      </c>
      <c r="J551" s="2">
        <v>45889</v>
      </c>
      <c r="K551" s="2">
        <v>45891</v>
      </c>
      <c r="L551" t="s">
        <v>8</v>
      </c>
      <c r="M551" s="14">
        <v>256779416838</v>
      </c>
      <c r="N551" t="s">
        <v>9</v>
      </c>
      <c r="O551" t="s">
        <v>10</v>
      </c>
      <c r="P551" t="s">
        <v>11</v>
      </c>
      <c r="Q551" t="s">
        <v>12</v>
      </c>
      <c r="R551" t="s">
        <v>13</v>
      </c>
      <c r="S551" s="3">
        <v>685.03</v>
      </c>
      <c r="T551" t="s">
        <v>14</v>
      </c>
      <c r="U551" s="3">
        <v>58933.21</v>
      </c>
      <c r="V551" t="s">
        <v>15</v>
      </c>
      <c r="W551" t="s">
        <v>16</v>
      </c>
      <c r="X551" t="s">
        <v>11</v>
      </c>
      <c r="Y551" t="s">
        <v>8</v>
      </c>
      <c r="Z551" t="s">
        <v>17</v>
      </c>
      <c r="AA551" t="s">
        <v>995</v>
      </c>
      <c r="AB551" t="s">
        <v>11</v>
      </c>
      <c r="AC551" t="s">
        <v>11</v>
      </c>
      <c r="AD551" t="s">
        <v>11</v>
      </c>
      <c r="AE551" s="2">
        <v>45889</v>
      </c>
      <c r="AF551" s="2"/>
      <c r="AG551" t="s">
        <v>11</v>
      </c>
      <c r="AH551" s="14">
        <f>VLOOKUP(M551,'[1]INDIAN ENTERPRISES'!$D:$D,1,0)</f>
        <v>256779416838</v>
      </c>
      <c r="AJ551" s="15">
        <f>VLOOKUP(M551,'[1]INDIAN ENTERPRISES'!$D:$L,9,0)</f>
        <v>46053</v>
      </c>
    </row>
    <row r="552" spans="1:36" hidden="1" outlineLevel="2" x14ac:dyDescent="0.25">
      <c r="A552" t="s">
        <v>20</v>
      </c>
      <c r="B552" t="s">
        <v>1</v>
      </c>
      <c r="C552" t="s">
        <v>2</v>
      </c>
      <c r="D552" t="s">
        <v>3</v>
      </c>
      <c r="E552" t="s">
        <v>4</v>
      </c>
      <c r="F552" t="s">
        <v>639</v>
      </c>
      <c r="G552" s="2">
        <v>45889</v>
      </c>
      <c r="H552" t="s">
        <v>996</v>
      </c>
      <c r="I552" t="s">
        <v>7</v>
      </c>
      <c r="J552" s="2">
        <v>45889</v>
      </c>
      <c r="K552" s="2">
        <v>45891</v>
      </c>
      <c r="L552" t="s">
        <v>8</v>
      </c>
      <c r="M552" s="14">
        <v>256779416869</v>
      </c>
      <c r="N552" t="s">
        <v>9</v>
      </c>
      <c r="O552" t="s">
        <v>10</v>
      </c>
      <c r="P552" t="s">
        <v>11</v>
      </c>
      <c r="Q552" t="s">
        <v>12</v>
      </c>
      <c r="R552" t="s">
        <v>13</v>
      </c>
      <c r="S552" s="3">
        <v>115.98</v>
      </c>
      <c r="T552" t="s">
        <v>14</v>
      </c>
      <c r="U552" s="3">
        <v>9977.77</v>
      </c>
      <c r="V552" t="s">
        <v>15</v>
      </c>
      <c r="W552" t="s">
        <v>16</v>
      </c>
      <c r="X552" t="s">
        <v>11</v>
      </c>
      <c r="Y552" t="s">
        <v>8</v>
      </c>
      <c r="Z552" t="s">
        <v>17</v>
      </c>
      <c r="AA552" t="s">
        <v>997</v>
      </c>
      <c r="AB552" t="s">
        <v>11</v>
      </c>
      <c r="AC552" t="s">
        <v>11</v>
      </c>
      <c r="AD552" t="s">
        <v>11</v>
      </c>
      <c r="AE552" s="2">
        <v>45889</v>
      </c>
      <c r="AF552" s="2"/>
      <c r="AG552" t="s">
        <v>11</v>
      </c>
      <c r="AH552" s="14">
        <f>VLOOKUP(M552,'[1]INDIAN ENTERPRISES'!$D:$D,1,0)</f>
        <v>256779416869</v>
      </c>
      <c r="AJ552" s="15">
        <f>VLOOKUP(M552,'[1]INDIAN ENTERPRISES'!$D:$L,9,0)</f>
        <v>46053</v>
      </c>
    </row>
    <row r="553" spans="1:36" hidden="1" outlineLevel="2" x14ac:dyDescent="0.25">
      <c r="A553" t="s">
        <v>20</v>
      </c>
      <c r="B553" t="s">
        <v>1</v>
      </c>
      <c r="C553" t="s">
        <v>2</v>
      </c>
      <c r="D553" t="s">
        <v>3</v>
      </c>
      <c r="E553" t="s">
        <v>4</v>
      </c>
      <c r="F553" t="s">
        <v>89</v>
      </c>
      <c r="G553" s="2">
        <v>45999</v>
      </c>
      <c r="H553" t="s">
        <v>998</v>
      </c>
      <c r="I553" t="s">
        <v>7</v>
      </c>
      <c r="J553" s="2">
        <v>45999</v>
      </c>
      <c r="K553" s="2">
        <v>46000</v>
      </c>
      <c r="L553" t="s">
        <v>8</v>
      </c>
      <c r="M553" s="14">
        <v>256779419858</v>
      </c>
      <c r="N553" t="s">
        <v>9</v>
      </c>
      <c r="O553" t="s">
        <v>10</v>
      </c>
      <c r="P553" t="s">
        <v>11</v>
      </c>
      <c r="Q553" t="s">
        <v>12</v>
      </c>
      <c r="R553" t="s">
        <v>13</v>
      </c>
      <c r="S553" s="3">
        <v>147.37</v>
      </c>
      <c r="T553" t="s">
        <v>14</v>
      </c>
      <c r="U553" s="3">
        <v>13071.74</v>
      </c>
      <c r="V553" t="s">
        <v>15</v>
      </c>
      <c r="W553" t="s">
        <v>16</v>
      </c>
      <c r="X553" t="s">
        <v>11</v>
      </c>
      <c r="Y553" t="s">
        <v>999</v>
      </c>
      <c r="Z553" t="s">
        <v>17</v>
      </c>
      <c r="AA553" t="s">
        <v>1000</v>
      </c>
      <c r="AB553" t="s">
        <v>11</v>
      </c>
      <c r="AC553" t="s">
        <v>11</v>
      </c>
      <c r="AD553" t="s">
        <v>11</v>
      </c>
      <c r="AE553" s="2">
        <v>45999</v>
      </c>
      <c r="AF553" s="2"/>
      <c r="AG553" t="s">
        <v>11</v>
      </c>
      <c r="AH553" s="14">
        <f>VLOOKUP(M553,'[1]INDIAN ENTERPRISES'!$D:$D,1,0)</f>
        <v>256779419858</v>
      </c>
      <c r="AJ553" s="15">
        <f>VLOOKUP(M553,'[1]INDIAN ENTERPRISES'!$D:$L,9,0)</f>
        <v>46053</v>
      </c>
    </row>
    <row r="554" spans="1:36" hidden="1" outlineLevel="2" x14ac:dyDescent="0.25">
      <c r="A554" t="s">
        <v>20</v>
      </c>
      <c r="B554" t="s">
        <v>1</v>
      </c>
      <c r="C554" t="s">
        <v>2</v>
      </c>
      <c r="D554" t="s">
        <v>3</v>
      </c>
      <c r="E554" t="s">
        <v>4</v>
      </c>
      <c r="F554" t="s">
        <v>200</v>
      </c>
      <c r="G554" s="2">
        <v>45707</v>
      </c>
      <c r="H554" t="s">
        <v>1001</v>
      </c>
      <c r="I554" t="s">
        <v>7</v>
      </c>
      <c r="J554" s="2">
        <v>45707</v>
      </c>
      <c r="K554" s="2">
        <v>45708</v>
      </c>
      <c r="L554" t="s">
        <v>8</v>
      </c>
      <c r="M554" s="14">
        <v>246779410081</v>
      </c>
      <c r="N554" t="s">
        <v>9</v>
      </c>
      <c r="O554" t="s">
        <v>10</v>
      </c>
      <c r="P554" t="s">
        <v>11</v>
      </c>
      <c r="Q554" t="s">
        <v>12</v>
      </c>
      <c r="R554" t="s">
        <v>13</v>
      </c>
      <c r="S554" s="3">
        <v>52.38</v>
      </c>
      <c r="T554" t="s">
        <v>14</v>
      </c>
      <c r="U554" s="3">
        <v>4520.59</v>
      </c>
      <c r="V554" t="s">
        <v>15</v>
      </c>
      <c r="W554" t="s">
        <v>16</v>
      </c>
      <c r="X554" t="s">
        <v>11</v>
      </c>
      <c r="Y554" t="s">
        <v>8</v>
      </c>
      <c r="Z554" t="s">
        <v>17</v>
      </c>
      <c r="AA554" t="s">
        <v>1002</v>
      </c>
      <c r="AB554" t="s">
        <v>11</v>
      </c>
      <c r="AC554" t="s">
        <v>11</v>
      </c>
      <c r="AD554" t="s">
        <v>11</v>
      </c>
      <c r="AE554" s="2">
        <v>45707</v>
      </c>
      <c r="AF554" s="2"/>
      <c r="AG554" t="s">
        <v>11</v>
      </c>
      <c r="AH554" s="14">
        <f>VLOOKUP(M554,'[1]INDIAN ENTERPRISES'!$D:$D,1,0)</f>
        <v>246779410081</v>
      </c>
      <c r="AJ554" s="15">
        <f>VLOOKUP(M554,'[1]INDIAN ENTERPRISES'!$D:$L,9,0)</f>
        <v>45869</v>
      </c>
    </row>
    <row r="555" spans="1:36" hidden="1" outlineLevel="2" x14ac:dyDescent="0.25">
      <c r="A555" t="s">
        <v>20</v>
      </c>
      <c r="B555" t="s">
        <v>1</v>
      </c>
      <c r="C555" t="s">
        <v>2</v>
      </c>
      <c r="D555" t="s">
        <v>3</v>
      </c>
      <c r="E555" t="s">
        <v>4</v>
      </c>
      <c r="F555" t="s">
        <v>96</v>
      </c>
      <c r="G555" s="2">
        <v>45797</v>
      </c>
      <c r="H555" t="s">
        <v>1003</v>
      </c>
      <c r="I555" t="s">
        <v>7</v>
      </c>
      <c r="J555" s="2">
        <v>45797</v>
      </c>
      <c r="K555" s="2">
        <v>45805</v>
      </c>
      <c r="L555" t="s">
        <v>8</v>
      </c>
      <c r="M555" s="14">
        <v>256779413835</v>
      </c>
      <c r="N555" t="s">
        <v>9</v>
      </c>
      <c r="O555" t="s">
        <v>10</v>
      </c>
      <c r="P555" t="s">
        <v>11</v>
      </c>
      <c r="Q555" t="s">
        <v>12</v>
      </c>
      <c r="R555" t="s">
        <v>13</v>
      </c>
      <c r="S555" s="3">
        <v>206.02</v>
      </c>
      <c r="T555" t="s">
        <v>14</v>
      </c>
      <c r="U555" s="3">
        <v>17714.36</v>
      </c>
      <c r="V555" t="s">
        <v>15</v>
      </c>
      <c r="W555" t="s">
        <v>16</v>
      </c>
      <c r="X555" t="s">
        <v>11</v>
      </c>
      <c r="Y555" t="s">
        <v>11</v>
      </c>
      <c r="Z555" t="s">
        <v>17</v>
      </c>
      <c r="AA555" t="s">
        <v>1004</v>
      </c>
      <c r="AB555" t="s">
        <v>11</v>
      </c>
      <c r="AC555" t="s">
        <v>11</v>
      </c>
      <c r="AD555" t="s">
        <v>11</v>
      </c>
      <c r="AE555" s="2">
        <v>45797</v>
      </c>
      <c r="AF555" s="2"/>
      <c r="AG555" t="s">
        <v>11</v>
      </c>
      <c r="AH555" s="14" t="e">
        <f>VLOOKUP(M555,'[1]INDIAN ENTERPRISES'!$D:$D,1,0)</f>
        <v>#N/A</v>
      </c>
      <c r="AI555" t="str">
        <f>VLOOKUP(M555,'[2]Invoices Not in Customer Books'!$E:$K,7,0)</f>
        <v>Invoice not received</v>
      </c>
      <c r="AJ555" s="15" t="e">
        <f>VLOOKUP(M555,'[1]INDIAN ENTERPRISES'!$D:$L,9,0)</f>
        <v>#N/A</v>
      </c>
    </row>
    <row r="556" spans="1:36" hidden="1" outlineLevel="2" x14ac:dyDescent="0.25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96</v>
      </c>
      <c r="G556" s="2">
        <v>45797</v>
      </c>
      <c r="H556" t="s">
        <v>1005</v>
      </c>
      <c r="I556" t="s">
        <v>7</v>
      </c>
      <c r="J556" s="2">
        <v>45797</v>
      </c>
      <c r="K556" s="2">
        <v>45805</v>
      </c>
      <c r="L556" t="s">
        <v>8</v>
      </c>
      <c r="M556" s="14">
        <v>256779413480</v>
      </c>
      <c r="N556" t="s">
        <v>9</v>
      </c>
      <c r="O556" t="s">
        <v>10</v>
      </c>
      <c r="P556" t="s">
        <v>11</v>
      </c>
      <c r="Q556" t="s">
        <v>12</v>
      </c>
      <c r="R556" t="s">
        <v>13</v>
      </c>
      <c r="S556" s="3">
        <v>183.84</v>
      </c>
      <c r="T556" t="s">
        <v>14</v>
      </c>
      <c r="U556" s="3">
        <v>15807.24</v>
      </c>
      <c r="V556" t="s">
        <v>37</v>
      </c>
      <c r="W556" t="s">
        <v>136</v>
      </c>
      <c r="X556" t="s">
        <v>11</v>
      </c>
      <c r="Y556" t="s">
        <v>8</v>
      </c>
      <c r="Z556" t="s">
        <v>17</v>
      </c>
      <c r="AA556" t="s">
        <v>1006</v>
      </c>
      <c r="AB556" t="s">
        <v>11</v>
      </c>
      <c r="AC556" t="s">
        <v>11</v>
      </c>
      <c r="AD556" t="s">
        <v>11</v>
      </c>
      <c r="AE556" s="2">
        <v>45797</v>
      </c>
      <c r="AF556" s="2">
        <v>45974</v>
      </c>
      <c r="AG556" t="s">
        <v>39</v>
      </c>
      <c r="AH556" s="14" t="e">
        <f>VLOOKUP(M556,'[1]INDIAN ENTERPRISES'!$D:$D,1,0)</f>
        <v>#N/A</v>
      </c>
      <c r="AI556" t="str">
        <f>VLOOKUP(M556,'[2]Invoices Not in Customer Books'!$E:$K,7,0)</f>
        <v>Invoice &amp; CN both not received &amp; booked</v>
      </c>
      <c r="AJ556" s="15" t="e">
        <f>VLOOKUP(M556,'[1]INDIAN ENTERPRISES'!$D:$L,9,0)</f>
        <v>#N/A</v>
      </c>
    </row>
    <row r="557" spans="1:36" hidden="1" outlineLevel="2" x14ac:dyDescent="0.25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96</v>
      </c>
      <c r="G557" s="2">
        <v>45797</v>
      </c>
      <c r="H557" t="s">
        <v>1007</v>
      </c>
      <c r="I557" t="s">
        <v>7</v>
      </c>
      <c r="J557" s="2">
        <v>45797</v>
      </c>
      <c r="K557" s="2">
        <v>45805</v>
      </c>
      <c r="L557" t="s">
        <v>8</v>
      </c>
      <c r="M557" s="14">
        <v>256779413879</v>
      </c>
      <c r="N557" t="s">
        <v>9</v>
      </c>
      <c r="O557" t="s">
        <v>10</v>
      </c>
      <c r="P557" t="s">
        <v>11</v>
      </c>
      <c r="Q557" t="s">
        <v>12</v>
      </c>
      <c r="R557" t="s">
        <v>13</v>
      </c>
      <c r="S557" s="3">
        <v>37.17</v>
      </c>
      <c r="T557" t="s">
        <v>14</v>
      </c>
      <c r="U557" s="3">
        <v>3196.01</v>
      </c>
      <c r="V557" t="s">
        <v>37</v>
      </c>
      <c r="W557" t="s">
        <v>136</v>
      </c>
      <c r="X557" t="s">
        <v>11</v>
      </c>
      <c r="Y557" t="s">
        <v>8</v>
      </c>
      <c r="Z557" t="s">
        <v>17</v>
      </c>
      <c r="AA557" t="s">
        <v>1008</v>
      </c>
      <c r="AB557" t="s">
        <v>11</v>
      </c>
      <c r="AC557" t="s">
        <v>11</v>
      </c>
      <c r="AD557" t="s">
        <v>11</v>
      </c>
      <c r="AE557" s="2">
        <v>45797</v>
      </c>
      <c r="AF557" s="2">
        <v>45974</v>
      </c>
      <c r="AG557" t="s">
        <v>39</v>
      </c>
      <c r="AH557" s="14" t="e">
        <f>VLOOKUP(M557,'[1]INDIAN ENTERPRISES'!$D:$D,1,0)</f>
        <v>#N/A</v>
      </c>
      <c r="AI557" t="str">
        <f>VLOOKUP(M557,'[2]Invoices Not in Customer Books'!$E:$K,7,0)</f>
        <v>Invoice &amp; CN both not received &amp; booked</v>
      </c>
      <c r="AJ557" s="15" t="e">
        <f>VLOOKUP(M557,'[1]INDIAN ENTERPRISES'!$D:$L,9,0)</f>
        <v>#N/A</v>
      </c>
    </row>
    <row r="558" spans="1:36" hidden="1" outlineLevel="2" x14ac:dyDescent="0.25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639</v>
      </c>
      <c r="G558" s="2">
        <v>45873</v>
      </c>
      <c r="H558" t="s">
        <v>1009</v>
      </c>
      <c r="I558" t="s">
        <v>98</v>
      </c>
      <c r="J558" s="2">
        <v>45873</v>
      </c>
      <c r="K558" s="2">
        <v>45873</v>
      </c>
      <c r="L558" t="s">
        <v>8</v>
      </c>
      <c r="M558" s="14">
        <v>256779421623</v>
      </c>
      <c r="N558" t="s">
        <v>9</v>
      </c>
      <c r="O558" t="s">
        <v>10</v>
      </c>
      <c r="P558" t="s">
        <v>11</v>
      </c>
      <c r="Q558" t="s">
        <v>42</v>
      </c>
      <c r="R558" t="s">
        <v>13</v>
      </c>
      <c r="S558" s="3">
        <v>-608.41</v>
      </c>
      <c r="T558" t="s">
        <v>14</v>
      </c>
      <c r="U558" s="3">
        <v>-52323.67</v>
      </c>
      <c r="V558" t="s">
        <v>15</v>
      </c>
      <c r="W558" t="s">
        <v>16</v>
      </c>
      <c r="X558" t="s">
        <v>11</v>
      </c>
      <c r="Y558" t="s">
        <v>8</v>
      </c>
      <c r="Z558" t="s">
        <v>17</v>
      </c>
      <c r="AA558" t="s">
        <v>1010</v>
      </c>
      <c r="AB558" t="s">
        <v>11</v>
      </c>
      <c r="AC558" t="s">
        <v>11</v>
      </c>
      <c r="AD558" t="s">
        <v>11</v>
      </c>
      <c r="AE558" s="2">
        <v>45873</v>
      </c>
      <c r="AF558" s="2">
        <v>45974</v>
      </c>
      <c r="AG558" t="s">
        <v>39</v>
      </c>
      <c r="AH558" s="14" t="e">
        <f>VLOOKUP(M558,'[1]INDIAN ENTERPRISES'!$D:$D,1,0)</f>
        <v>#N/A</v>
      </c>
      <c r="AI558" t="str">
        <f>VLOOKUP(M558,'[2]CN Not in Customer books'!$D:$J,7,0)</f>
        <v>Invoice &amp; CN both not received &amp; booked</v>
      </c>
      <c r="AJ558" s="15" t="e">
        <f>VLOOKUP(M558,'[1]INDIAN ENTERPRISES'!$D:$L,9,0)</f>
        <v>#N/A</v>
      </c>
    </row>
    <row r="559" spans="1:36" hidden="1" outlineLevel="2" x14ac:dyDescent="0.25">
      <c r="A559" t="s">
        <v>20</v>
      </c>
      <c r="B559" t="s">
        <v>1</v>
      </c>
      <c r="C559" t="s">
        <v>2</v>
      </c>
      <c r="D559" t="s">
        <v>3</v>
      </c>
      <c r="E559" t="s">
        <v>4</v>
      </c>
      <c r="F559" t="s">
        <v>54</v>
      </c>
      <c r="G559" s="2">
        <v>45750</v>
      </c>
      <c r="H559" t="s">
        <v>1011</v>
      </c>
      <c r="I559" t="s">
        <v>7</v>
      </c>
      <c r="J559" s="2">
        <v>45750</v>
      </c>
      <c r="K559" s="2">
        <v>45752</v>
      </c>
      <c r="L559" t="s">
        <v>8</v>
      </c>
      <c r="M559" s="14">
        <v>256779410196</v>
      </c>
      <c r="N559" t="s">
        <v>9</v>
      </c>
      <c r="O559" t="s">
        <v>10</v>
      </c>
      <c r="P559" t="s">
        <v>11</v>
      </c>
      <c r="Q559" t="s">
        <v>12</v>
      </c>
      <c r="R559" t="s">
        <v>13</v>
      </c>
      <c r="S559" s="3">
        <v>246.52</v>
      </c>
      <c r="T559" t="s">
        <v>14</v>
      </c>
      <c r="U559" s="3">
        <v>21427.97</v>
      </c>
      <c r="V559" t="s">
        <v>15</v>
      </c>
      <c r="W559" t="s">
        <v>11</v>
      </c>
      <c r="X559" t="s">
        <v>11</v>
      </c>
      <c r="Y559" t="s">
        <v>8</v>
      </c>
      <c r="Z559" t="s">
        <v>17</v>
      </c>
      <c r="AA559" t="s">
        <v>1012</v>
      </c>
      <c r="AB559" t="s">
        <v>11</v>
      </c>
      <c r="AC559" t="s">
        <v>11</v>
      </c>
      <c r="AD559" t="s">
        <v>11</v>
      </c>
      <c r="AE559" s="2">
        <v>45750</v>
      </c>
      <c r="AF559" s="2"/>
      <c r="AG559" t="s">
        <v>11</v>
      </c>
      <c r="AH559" s="14">
        <f>VLOOKUP(M559,'[1]INDIAN ENTERPRISES'!$D:$D,1,0)</f>
        <v>256779410196</v>
      </c>
      <c r="AJ559" s="15">
        <f>VLOOKUP(M559,'[1]INDIAN ENTERPRISES'!$D:$L,9,0)</f>
        <v>45869</v>
      </c>
    </row>
    <row r="560" spans="1:36" hidden="1" outlineLevel="2" x14ac:dyDescent="0.25">
      <c r="A560" t="s">
        <v>20</v>
      </c>
      <c r="B560" t="s">
        <v>1</v>
      </c>
      <c r="C560" t="s">
        <v>2</v>
      </c>
      <c r="D560" t="s">
        <v>3</v>
      </c>
      <c r="E560" t="s">
        <v>4</v>
      </c>
      <c r="F560" t="s">
        <v>54</v>
      </c>
      <c r="G560" s="2">
        <v>45750</v>
      </c>
      <c r="H560" t="s">
        <v>1013</v>
      </c>
      <c r="I560" t="s">
        <v>7</v>
      </c>
      <c r="J560" s="2">
        <v>45750</v>
      </c>
      <c r="K560" s="2">
        <v>45752</v>
      </c>
      <c r="L560" t="s">
        <v>8</v>
      </c>
      <c r="M560" s="14">
        <v>256779410262</v>
      </c>
      <c r="N560" t="s">
        <v>9</v>
      </c>
      <c r="O560" t="s">
        <v>10</v>
      </c>
      <c r="P560" t="s">
        <v>11</v>
      </c>
      <c r="Q560" t="s">
        <v>12</v>
      </c>
      <c r="R560" t="s">
        <v>13</v>
      </c>
      <c r="S560" s="3">
        <v>93.33</v>
      </c>
      <c r="T560" t="s">
        <v>14</v>
      </c>
      <c r="U560" s="3">
        <v>8112.41</v>
      </c>
      <c r="V560" t="s">
        <v>15</v>
      </c>
      <c r="W560" t="s">
        <v>11</v>
      </c>
      <c r="X560" t="s">
        <v>11</v>
      </c>
      <c r="Y560" t="s">
        <v>8</v>
      </c>
      <c r="Z560" t="s">
        <v>17</v>
      </c>
      <c r="AA560" t="s">
        <v>969</v>
      </c>
      <c r="AB560" t="s">
        <v>11</v>
      </c>
      <c r="AC560" t="s">
        <v>11</v>
      </c>
      <c r="AD560" t="s">
        <v>11</v>
      </c>
      <c r="AE560" s="2">
        <v>45750</v>
      </c>
      <c r="AF560" s="2"/>
      <c r="AG560" t="s">
        <v>11</v>
      </c>
      <c r="AH560" s="14">
        <f>VLOOKUP(M560,'[1]INDIAN ENTERPRISES'!$D:$D,1,0)</f>
        <v>256779410262</v>
      </c>
      <c r="AJ560" s="15">
        <f>VLOOKUP(M560,'[1]INDIAN ENTERPRISES'!$D:$L,9,0)</f>
        <v>45939</v>
      </c>
    </row>
    <row r="561" spans="1:36" hidden="1" outlineLevel="2" x14ac:dyDescent="0.25">
      <c r="A561" t="s">
        <v>20</v>
      </c>
      <c r="B561" t="s">
        <v>1</v>
      </c>
      <c r="C561" t="s">
        <v>2</v>
      </c>
      <c r="D561" t="s">
        <v>3</v>
      </c>
      <c r="E561" t="s">
        <v>4</v>
      </c>
      <c r="F561" t="s">
        <v>54</v>
      </c>
      <c r="G561" s="2">
        <v>45750</v>
      </c>
      <c r="H561" t="s">
        <v>1014</v>
      </c>
      <c r="I561" t="s">
        <v>7</v>
      </c>
      <c r="J561" s="2">
        <v>45750</v>
      </c>
      <c r="K561" s="2">
        <v>45752</v>
      </c>
      <c r="L561" t="s">
        <v>8</v>
      </c>
      <c r="M561" s="14">
        <v>256779410263</v>
      </c>
      <c r="N561" t="s">
        <v>9</v>
      </c>
      <c r="O561" t="s">
        <v>10</v>
      </c>
      <c r="P561" t="s">
        <v>11</v>
      </c>
      <c r="Q561" t="s">
        <v>12</v>
      </c>
      <c r="R561" t="s">
        <v>13</v>
      </c>
      <c r="S561" s="3">
        <v>51.33</v>
      </c>
      <c r="T561" t="s">
        <v>14</v>
      </c>
      <c r="U561" s="3">
        <v>4461.7</v>
      </c>
      <c r="V561" t="s">
        <v>15</v>
      </c>
      <c r="W561" t="s">
        <v>11</v>
      </c>
      <c r="X561" t="s">
        <v>11</v>
      </c>
      <c r="Y561" t="s">
        <v>8</v>
      </c>
      <c r="Z561" t="s">
        <v>17</v>
      </c>
      <c r="AA561" t="s">
        <v>971</v>
      </c>
      <c r="AB561" t="s">
        <v>11</v>
      </c>
      <c r="AC561" t="s">
        <v>11</v>
      </c>
      <c r="AD561" t="s">
        <v>11</v>
      </c>
      <c r="AE561" s="2">
        <v>45750</v>
      </c>
      <c r="AF561" s="2"/>
      <c r="AG561" t="s">
        <v>11</v>
      </c>
      <c r="AH561" s="14">
        <f>VLOOKUP(M561,'[1]INDIAN ENTERPRISES'!$D:$D,1,0)</f>
        <v>256779410263</v>
      </c>
      <c r="AJ561" s="15">
        <f>VLOOKUP(M561,'[1]INDIAN ENTERPRISES'!$D:$L,9,0)</f>
        <v>45939</v>
      </c>
    </row>
    <row r="562" spans="1:36" hidden="1" outlineLevel="2" x14ac:dyDescent="0.25">
      <c r="A562" t="s">
        <v>20</v>
      </c>
      <c r="B562" t="s">
        <v>1</v>
      </c>
      <c r="C562" t="s">
        <v>2</v>
      </c>
      <c r="D562" t="s">
        <v>3</v>
      </c>
      <c r="E562" t="s">
        <v>4</v>
      </c>
      <c r="F562" t="s">
        <v>54</v>
      </c>
      <c r="G562" s="2">
        <v>45750</v>
      </c>
      <c r="H562" t="s">
        <v>1015</v>
      </c>
      <c r="I562" t="s">
        <v>7</v>
      </c>
      <c r="J562" s="2">
        <v>45750</v>
      </c>
      <c r="K562" s="2">
        <v>45752</v>
      </c>
      <c r="L562" t="s">
        <v>8</v>
      </c>
      <c r="M562" s="14">
        <v>256779410272</v>
      </c>
      <c r="N562" t="s">
        <v>9</v>
      </c>
      <c r="O562" t="s">
        <v>10</v>
      </c>
      <c r="P562" t="s">
        <v>11</v>
      </c>
      <c r="Q562" t="s">
        <v>12</v>
      </c>
      <c r="R562" t="s">
        <v>13</v>
      </c>
      <c r="S562" s="3">
        <v>2286.2399999999998</v>
      </c>
      <c r="T562" t="s">
        <v>14</v>
      </c>
      <c r="U562" s="3">
        <v>198724.14</v>
      </c>
      <c r="V562" t="s">
        <v>15</v>
      </c>
      <c r="W562" t="s">
        <v>11</v>
      </c>
      <c r="X562" t="s">
        <v>11</v>
      </c>
      <c r="Y562" t="s">
        <v>8</v>
      </c>
      <c r="Z562" t="s">
        <v>17</v>
      </c>
      <c r="AA562" t="s">
        <v>983</v>
      </c>
      <c r="AB562" t="s">
        <v>11</v>
      </c>
      <c r="AC562" t="s">
        <v>11</v>
      </c>
      <c r="AD562" t="s">
        <v>11</v>
      </c>
      <c r="AE562" s="2">
        <v>45750</v>
      </c>
      <c r="AF562" s="2"/>
      <c r="AG562" t="s">
        <v>11</v>
      </c>
      <c r="AH562" s="14" t="e">
        <f>VLOOKUP(M562,'[1]INDIAN ENTERPRISES'!$D:$D,1,0)</f>
        <v>#N/A</v>
      </c>
      <c r="AI562" t="str">
        <f>VLOOKUP(M562,'[2]Invoices Not in Customer Books'!$E:$K,7,0)</f>
        <v>Invoice &amp; CN both not received &amp; booked</v>
      </c>
      <c r="AJ562" s="15" t="e">
        <f>VLOOKUP(M562,'[1]INDIAN ENTERPRISES'!$D:$L,9,0)</f>
        <v>#N/A</v>
      </c>
    </row>
    <row r="563" spans="1:36" hidden="1" outlineLevel="2" x14ac:dyDescent="0.25">
      <c r="A563" t="s">
        <v>20</v>
      </c>
      <c r="B563" t="s">
        <v>1</v>
      </c>
      <c r="C563" t="s">
        <v>2</v>
      </c>
      <c r="D563" t="s">
        <v>3</v>
      </c>
      <c r="E563" t="s">
        <v>4</v>
      </c>
      <c r="F563" t="s">
        <v>54</v>
      </c>
      <c r="G563" s="2">
        <v>45750</v>
      </c>
      <c r="H563" t="s">
        <v>1016</v>
      </c>
      <c r="I563" t="s">
        <v>7</v>
      </c>
      <c r="J563" s="2">
        <v>45750</v>
      </c>
      <c r="K563" s="2">
        <v>45752</v>
      </c>
      <c r="L563" t="s">
        <v>8</v>
      </c>
      <c r="M563" s="14">
        <v>256779410303</v>
      </c>
      <c r="N563" t="s">
        <v>9</v>
      </c>
      <c r="O563" t="s">
        <v>10</v>
      </c>
      <c r="P563" t="s">
        <v>11</v>
      </c>
      <c r="Q563" t="s">
        <v>12</v>
      </c>
      <c r="R563" t="s">
        <v>13</v>
      </c>
      <c r="S563" s="3">
        <v>91.45</v>
      </c>
      <c r="T563" t="s">
        <v>14</v>
      </c>
      <c r="U563" s="3">
        <v>7949</v>
      </c>
      <c r="V563" t="s">
        <v>15</v>
      </c>
      <c r="W563" t="s">
        <v>11</v>
      </c>
      <c r="X563" t="s">
        <v>11</v>
      </c>
      <c r="Y563" t="s">
        <v>8</v>
      </c>
      <c r="Z563" t="s">
        <v>17</v>
      </c>
      <c r="AA563" t="s">
        <v>973</v>
      </c>
      <c r="AB563" t="s">
        <v>11</v>
      </c>
      <c r="AC563" t="s">
        <v>11</v>
      </c>
      <c r="AD563" t="s">
        <v>11</v>
      </c>
      <c r="AE563" s="2">
        <v>45750</v>
      </c>
      <c r="AF563" s="2"/>
      <c r="AG563" t="s">
        <v>11</v>
      </c>
      <c r="AH563" s="14">
        <f>VLOOKUP(M563,'[1]INDIAN ENTERPRISES'!$D:$D,1,0)</f>
        <v>256779410303</v>
      </c>
      <c r="AJ563" s="15">
        <f>VLOOKUP(M563,'[1]INDIAN ENTERPRISES'!$D:$L,9,0)</f>
        <v>45869</v>
      </c>
    </row>
    <row r="564" spans="1:36" hidden="1" outlineLevel="2" x14ac:dyDescent="0.25">
      <c r="A564" t="s">
        <v>20</v>
      </c>
      <c r="B564" t="s">
        <v>1</v>
      </c>
      <c r="C564" t="s">
        <v>2</v>
      </c>
      <c r="D564" t="s">
        <v>3</v>
      </c>
      <c r="E564" t="s">
        <v>4</v>
      </c>
      <c r="F564" t="s">
        <v>54</v>
      </c>
      <c r="G564" s="2">
        <v>45750</v>
      </c>
      <c r="H564" t="s">
        <v>1017</v>
      </c>
      <c r="I564" t="s">
        <v>7</v>
      </c>
      <c r="J564" s="2">
        <v>45750</v>
      </c>
      <c r="K564" s="2">
        <v>45752</v>
      </c>
      <c r="L564" t="s">
        <v>8</v>
      </c>
      <c r="M564" s="14">
        <v>256779410304</v>
      </c>
      <c r="N564" t="s">
        <v>9</v>
      </c>
      <c r="O564" t="s">
        <v>10</v>
      </c>
      <c r="P564" t="s">
        <v>11</v>
      </c>
      <c r="Q564" t="s">
        <v>12</v>
      </c>
      <c r="R564" t="s">
        <v>13</v>
      </c>
      <c r="S564" s="3">
        <v>50.3</v>
      </c>
      <c r="T564" t="s">
        <v>14</v>
      </c>
      <c r="U564" s="3">
        <v>4372.17</v>
      </c>
      <c r="V564" t="s">
        <v>15</v>
      </c>
      <c r="W564" t="s">
        <v>11</v>
      </c>
      <c r="X564" t="s">
        <v>11</v>
      </c>
      <c r="Y564" t="s">
        <v>8</v>
      </c>
      <c r="Z564" t="s">
        <v>17</v>
      </c>
      <c r="AA564" t="s">
        <v>975</v>
      </c>
      <c r="AB564" t="s">
        <v>11</v>
      </c>
      <c r="AC564" t="s">
        <v>11</v>
      </c>
      <c r="AD564" t="s">
        <v>11</v>
      </c>
      <c r="AE564" s="2">
        <v>45750</v>
      </c>
      <c r="AF564" s="2"/>
      <c r="AG564" t="s">
        <v>11</v>
      </c>
      <c r="AH564" s="14">
        <f>VLOOKUP(M564,'[1]INDIAN ENTERPRISES'!$D:$D,1,0)</f>
        <v>256779410304</v>
      </c>
      <c r="AJ564" s="15">
        <f>VLOOKUP(M564,'[1]INDIAN ENTERPRISES'!$D:$L,9,0)</f>
        <v>45869</v>
      </c>
    </row>
    <row r="565" spans="1:36" hidden="1" outlineLevel="2" x14ac:dyDescent="0.25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54</v>
      </c>
      <c r="G565" s="2">
        <v>45750</v>
      </c>
      <c r="H565" t="s">
        <v>1018</v>
      </c>
      <c r="I565" t="s">
        <v>7</v>
      </c>
      <c r="J565" s="2">
        <v>45750</v>
      </c>
      <c r="K565" s="2">
        <v>45752</v>
      </c>
      <c r="L565" t="s">
        <v>8</v>
      </c>
      <c r="M565" s="14">
        <v>256779410076</v>
      </c>
      <c r="N565" t="s">
        <v>9</v>
      </c>
      <c r="O565" t="s">
        <v>10</v>
      </c>
      <c r="P565" t="s">
        <v>11</v>
      </c>
      <c r="Q565" t="s">
        <v>12</v>
      </c>
      <c r="R565" t="s">
        <v>13</v>
      </c>
      <c r="S565" s="3">
        <v>25.22</v>
      </c>
      <c r="T565" t="s">
        <v>14</v>
      </c>
      <c r="U565" s="3">
        <v>2192.17</v>
      </c>
      <c r="V565" t="s">
        <v>37</v>
      </c>
      <c r="W565" t="s">
        <v>11</v>
      </c>
      <c r="X565" t="s">
        <v>11</v>
      </c>
      <c r="Y565" t="s">
        <v>8</v>
      </c>
      <c r="Z565" t="s">
        <v>17</v>
      </c>
      <c r="AA565" t="s">
        <v>739</v>
      </c>
      <c r="AB565" t="s">
        <v>11</v>
      </c>
      <c r="AC565" t="s">
        <v>11</v>
      </c>
      <c r="AD565" t="s">
        <v>11</v>
      </c>
      <c r="AE565" s="2">
        <v>45750</v>
      </c>
      <c r="AF565" s="2">
        <v>45974</v>
      </c>
      <c r="AG565" t="s">
        <v>39</v>
      </c>
      <c r="AH565" s="14" t="e">
        <f>VLOOKUP(M565,'[1]INDIAN ENTERPRISES'!$D:$D,1,0)</f>
        <v>#N/A</v>
      </c>
      <c r="AI565" t="str">
        <f>VLOOKUP(M565,'[2]Invoices Not in Customer Books'!$E:$K,7,0)</f>
        <v>Invoice &amp; CN both not received &amp; booked</v>
      </c>
      <c r="AJ565" s="15" t="e">
        <f>VLOOKUP(M565,'[1]INDIAN ENTERPRISES'!$D:$L,9,0)</f>
        <v>#N/A</v>
      </c>
    </row>
    <row r="566" spans="1:36" hidden="1" outlineLevel="2" x14ac:dyDescent="0.25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54</v>
      </c>
      <c r="G566" s="2">
        <v>45750</v>
      </c>
      <c r="H566" t="s">
        <v>1019</v>
      </c>
      <c r="I566" t="s">
        <v>7</v>
      </c>
      <c r="J566" s="2">
        <v>45750</v>
      </c>
      <c r="K566" s="2">
        <v>45752</v>
      </c>
      <c r="L566" t="s">
        <v>8</v>
      </c>
      <c r="M566" s="14">
        <v>256779410077</v>
      </c>
      <c r="N566" t="s">
        <v>9</v>
      </c>
      <c r="O566" t="s">
        <v>10</v>
      </c>
      <c r="P566" t="s">
        <v>11</v>
      </c>
      <c r="Q566" t="s">
        <v>12</v>
      </c>
      <c r="R566" t="s">
        <v>13</v>
      </c>
      <c r="S566" s="3">
        <v>84.96</v>
      </c>
      <c r="T566" t="s">
        <v>14</v>
      </c>
      <c r="U566" s="3">
        <v>7384.88</v>
      </c>
      <c r="V566" t="s">
        <v>37</v>
      </c>
      <c r="W566" t="s">
        <v>11</v>
      </c>
      <c r="X566" t="s">
        <v>11</v>
      </c>
      <c r="Y566" t="s">
        <v>8</v>
      </c>
      <c r="Z566" t="s">
        <v>17</v>
      </c>
      <c r="AA566" t="s">
        <v>741</v>
      </c>
      <c r="AB566" t="s">
        <v>11</v>
      </c>
      <c r="AC566" t="s">
        <v>11</v>
      </c>
      <c r="AD566" t="s">
        <v>11</v>
      </c>
      <c r="AE566" s="2">
        <v>45750</v>
      </c>
      <c r="AF566" s="2">
        <v>45974</v>
      </c>
      <c r="AG566" t="s">
        <v>39</v>
      </c>
      <c r="AH566" s="14" t="e">
        <f>VLOOKUP(M566,'[1]INDIAN ENTERPRISES'!$D:$D,1,0)</f>
        <v>#N/A</v>
      </c>
      <c r="AI566" t="str">
        <f>VLOOKUP(M566,'[2]Invoices Not in Customer Books'!$E:$K,7,0)</f>
        <v>Invoice &amp; CN both not received &amp; booked</v>
      </c>
      <c r="AJ566" s="15" t="e">
        <f>VLOOKUP(M566,'[1]INDIAN ENTERPRISES'!$D:$L,9,0)</f>
        <v>#N/A</v>
      </c>
    </row>
    <row r="567" spans="1:36" hidden="1" outlineLevel="2" x14ac:dyDescent="0.25">
      <c r="A567" t="s">
        <v>0</v>
      </c>
      <c r="B567" t="s">
        <v>1</v>
      </c>
      <c r="C567" t="s">
        <v>2</v>
      </c>
      <c r="D567" t="s">
        <v>3</v>
      </c>
      <c r="E567" t="s">
        <v>4</v>
      </c>
      <c r="F567" t="s">
        <v>54</v>
      </c>
      <c r="G567" s="2">
        <v>45750</v>
      </c>
      <c r="H567" t="s">
        <v>1020</v>
      </c>
      <c r="I567" t="s">
        <v>7</v>
      </c>
      <c r="J567" s="2">
        <v>45750</v>
      </c>
      <c r="K567" s="2">
        <v>45752</v>
      </c>
      <c r="L567" t="s">
        <v>8</v>
      </c>
      <c r="M567" s="14">
        <v>256779410127</v>
      </c>
      <c r="N567" t="s">
        <v>9</v>
      </c>
      <c r="O567" t="s">
        <v>10</v>
      </c>
      <c r="P567" t="s">
        <v>11</v>
      </c>
      <c r="Q567" t="s">
        <v>12</v>
      </c>
      <c r="R567" t="s">
        <v>13</v>
      </c>
      <c r="S567" s="3">
        <v>183.99</v>
      </c>
      <c r="T567" t="s">
        <v>14</v>
      </c>
      <c r="U567" s="3">
        <v>15992.75</v>
      </c>
      <c r="V567" t="s">
        <v>37</v>
      </c>
      <c r="W567" t="s">
        <v>11</v>
      </c>
      <c r="X567" t="s">
        <v>11</v>
      </c>
      <c r="Y567" t="s">
        <v>8</v>
      </c>
      <c r="Z567" t="s">
        <v>17</v>
      </c>
      <c r="AA567" t="s">
        <v>734</v>
      </c>
      <c r="AB567" t="s">
        <v>11</v>
      </c>
      <c r="AC567" t="s">
        <v>11</v>
      </c>
      <c r="AD567" t="s">
        <v>11</v>
      </c>
      <c r="AE567" s="2">
        <v>45750</v>
      </c>
      <c r="AF567" s="2">
        <v>45974</v>
      </c>
      <c r="AG567" t="s">
        <v>39</v>
      </c>
      <c r="AH567" s="14" t="e">
        <f>VLOOKUP(M567,'[1]INDIAN ENTERPRISES'!$D:$D,1,0)</f>
        <v>#N/A</v>
      </c>
      <c r="AI567" t="str">
        <f>VLOOKUP(M567,'[2]Invoices Not in Customer Books'!$E:$K,7,0)</f>
        <v>Invoice &amp; CN both not received &amp; booked</v>
      </c>
      <c r="AJ567" s="15" t="e">
        <f>VLOOKUP(M567,'[1]INDIAN ENTERPRISES'!$D:$L,9,0)</f>
        <v>#N/A</v>
      </c>
    </row>
    <row r="568" spans="1:36" hidden="1" outlineLevel="2" x14ac:dyDescent="0.25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54</v>
      </c>
      <c r="G568" s="2">
        <v>45750</v>
      </c>
      <c r="H568" t="s">
        <v>1021</v>
      </c>
      <c r="I568" t="s">
        <v>7</v>
      </c>
      <c r="J568" s="2">
        <v>45750</v>
      </c>
      <c r="K568" s="2">
        <v>45752</v>
      </c>
      <c r="L568" t="s">
        <v>8</v>
      </c>
      <c r="M568" s="14">
        <v>256779410213</v>
      </c>
      <c r="N568" t="s">
        <v>9</v>
      </c>
      <c r="O568" t="s">
        <v>10</v>
      </c>
      <c r="P568" t="s">
        <v>11</v>
      </c>
      <c r="Q568" t="s">
        <v>12</v>
      </c>
      <c r="R568" t="s">
        <v>13</v>
      </c>
      <c r="S568" s="3">
        <v>236</v>
      </c>
      <c r="T568" t="s">
        <v>14</v>
      </c>
      <c r="U568" s="3">
        <v>20513.55</v>
      </c>
      <c r="V568" t="s">
        <v>37</v>
      </c>
      <c r="W568" t="s">
        <v>11</v>
      </c>
      <c r="X568" t="s">
        <v>11</v>
      </c>
      <c r="Y568" t="s">
        <v>8</v>
      </c>
      <c r="Z568" t="s">
        <v>17</v>
      </c>
      <c r="AA568" t="s">
        <v>450</v>
      </c>
      <c r="AB568" t="s">
        <v>11</v>
      </c>
      <c r="AC568" t="s">
        <v>11</v>
      </c>
      <c r="AD568" t="s">
        <v>11</v>
      </c>
      <c r="AE568" s="2">
        <v>45750</v>
      </c>
      <c r="AF568" s="2">
        <v>45974</v>
      </c>
      <c r="AG568" t="s">
        <v>39</v>
      </c>
      <c r="AH568" s="14" t="e">
        <f>VLOOKUP(M568,'[1]INDIAN ENTERPRISES'!$D:$D,1,0)</f>
        <v>#N/A</v>
      </c>
      <c r="AI568" t="str">
        <f>VLOOKUP(M568,'[2]Invoices Not in Customer Books'!$E:$K,7,0)</f>
        <v>Invoice &amp; CN both not received &amp; booked</v>
      </c>
      <c r="AJ568" s="15" t="e">
        <f>VLOOKUP(M568,'[1]INDIAN ENTERPRISES'!$D:$L,9,0)</f>
        <v>#N/A</v>
      </c>
    </row>
    <row r="569" spans="1:36" hidden="1" outlineLevel="2" x14ac:dyDescent="0.25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54</v>
      </c>
      <c r="G569" s="2">
        <v>45750</v>
      </c>
      <c r="H569" t="s">
        <v>1022</v>
      </c>
      <c r="I569" t="s">
        <v>7</v>
      </c>
      <c r="J569" s="2">
        <v>45750</v>
      </c>
      <c r="K569" s="2">
        <v>45752</v>
      </c>
      <c r="L569" t="s">
        <v>8</v>
      </c>
      <c r="M569" s="14">
        <v>256779410214</v>
      </c>
      <c r="N569" t="s">
        <v>9</v>
      </c>
      <c r="O569" t="s">
        <v>10</v>
      </c>
      <c r="P569" t="s">
        <v>11</v>
      </c>
      <c r="Q569" t="s">
        <v>12</v>
      </c>
      <c r="R569" t="s">
        <v>13</v>
      </c>
      <c r="S569" s="3">
        <v>70.8</v>
      </c>
      <c r="T569" t="s">
        <v>14</v>
      </c>
      <c r="U569" s="3">
        <v>6154.06</v>
      </c>
      <c r="V569" t="s">
        <v>37</v>
      </c>
      <c r="W569" t="s">
        <v>11</v>
      </c>
      <c r="X569" t="s">
        <v>11</v>
      </c>
      <c r="Y569" t="s">
        <v>8</v>
      </c>
      <c r="Z569" t="s">
        <v>17</v>
      </c>
      <c r="AA569" t="s">
        <v>737</v>
      </c>
      <c r="AB569" t="s">
        <v>11</v>
      </c>
      <c r="AC569" t="s">
        <v>11</v>
      </c>
      <c r="AD569" t="s">
        <v>11</v>
      </c>
      <c r="AE569" s="2">
        <v>45750</v>
      </c>
      <c r="AF569" s="2">
        <v>45974</v>
      </c>
      <c r="AG569" t="s">
        <v>39</v>
      </c>
      <c r="AH569" s="14" t="e">
        <f>VLOOKUP(M569,'[1]INDIAN ENTERPRISES'!$D:$D,1,0)</f>
        <v>#N/A</v>
      </c>
      <c r="AI569" t="str">
        <f>VLOOKUP(M569,'[2]Invoices Not in Customer Books'!$E:$K,7,0)</f>
        <v>Invoice &amp; CN both not received &amp; booked</v>
      </c>
      <c r="AJ569" s="15" t="e">
        <f>VLOOKUP(M569,'[1]INDIAN ENTERPRISES'!$D:$L,9,0)</f>
        <v>#N/A</v>
      </c>
    </row>
    <row r="570" spans="1:36" hidden="1" outlineLevel="2" x14ac:dyDescent="0.25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54</v>
      </c>
      <c r="G570" s="2">
        <v>45750</v>
      </c>
      <c r="H570" t="s">
        <v>1023</v>
      </c>
      <c r="I570" t="s">
        <v>7</v>
      </c>
      <c r="J570" s="2">
        <v>45750</v>
      </c>
      <c r="K570" s="2">
        <v>45752</v>
      </c>
      <c r="L570" t="s">
        <v>8</v>
      </c>
      <c r="M570" s="14">
        <v>256779410231</v>
      </c>
      <c r="N570" t="s">
        <v>9</v>
      </c>
      <c r="O570" t="s">
        <v>10</v>
      </c>
      <c r="P570" t="s">
        <v>11</v>
      </c>
      <c r="Q570" t="s">
        <v>12</v>
      </c>
      <c r="R570" t="s">
        <v>13</v>
      </c>
      <c r="S570" s="3">
        <v>2333.1799999999998</v>
      </c>
      <c r="T570" t="s">
        <v>14</v>
      </c>
      <c r="U570" s="3">
        <v>202804.25</v>
      </c>
      <c r="V570" t="s">
        <v>15</v>
      </c>
      <c r="W570" t="s">
        <v>11</v>
      </c>
      <c r="X570" t="s">
        <v>11</v>
      </c>
      <c r="Y570" t="s">
        <v>8</v>
      </c>
      <c r="Z570" t="s">
        <v>17</v>
      </c>
      <c r="AA570" t="s">
        <v>18</v>
      </c>
      <c r="AB570" t="s">
        <v>11</v>
      </c>
      <c r="AC570" t="s">
        <v>11</v>
      </c>
      <c r="AD570" t="s">
        <v>11</v>
      </c>
      <c r="AE570" s="2">
        <v>45750</v>
      </c>
      <c r="AF570" s="2">
        <v>45974</v>
      </c>
      <c r="AG570" t="s">
        <v>39</v>
      </c>
      <c r="AH570" s="14" t="e">
        <f>VLOOKUP(M570,'[1]INDIAN ENTERPRISES'!$D:$D,1,0)</f>
        <v>#N/A</v>
      </c>
      <c r="AI570" t="str">
        <f>VLOOKUP(M570,'[2]Invoices Not in Customer Books'!$E:$K,7,0)</f>
        <v>Invoice &amp; CN both not received &amp; booked</v>
      </c>
      <c r="AJ570" s="15" t="e">
        <f>VLOOKUP(M570,'[1]INDIAN ENTERPRISES'!$D:$L,9,0)</f>
        <v>#N/A</v>
      </c>
    </row>
    <row r="571" spans="1:36" hidden="1" outlineLevel="2" x14ac:dyDescent="0.25">
      <c r="A571" t="s">
        <v>20</v>
      </c>
      <c r="B571" t="s">
        <v>1</v>
      </c>
      <c r="C571" t="s">
        <v>2</v>
      </c>
      <c r="D571" t="s">
        <v>3</v>
      </c>
      <c r="E571" t="s">
        <v>4</v>
      </c>
      <c r="F571" t="s">
        <v>21</v>
      </c>
      <c r="G571" s="2">
        <v>45950</v>
      </c>
      <c r="H571" t="s">
        <v>1024</v>
      </c>
      <c r="I571" t="s">
        <v>7</v>
      </c>
      <c r="J571" s="2">
        <v>45950</v>
      </c>
      <c r="K571" s="2">
        <v>45951</v>
      </c>
      <c r="L571" t="s">
        <v>8</v>
      </c>
      <c r="M571" s="14">
        <v>256779418653</v>
      </c>
      <c r="N571" t="s">
        <v>9</v>
      </c>
      <c r="O571" t="s">
        <v>10</v>
      </c>
      <c r="P571" t="s">
        <v>11</v>
      </c>
      <c r="Q571" t="s">
        <v>12</v>
      </c>
      <c r="R571" t="s">
        <v>13</v>
      </c>
      <c r="S571" s="3">
        <v>170.68</v>
      </c>
      <c r="T571" t="s">
        <v>14</v>
      </c>
      <c r="U571" s="3">
        <v>15052.4</v>
      </c>
      <c r="V571" t="s">
        <v>15</v>
      </c>
      <c r="W571" t="s">
        <v>16</v>
      </c>
      <c r="X571" t="s">
        <v>11</v>
      </c>
      <c r="Y571" t="s">
        <v>1025</v>
      </c>
      <c r="Z571" t="s">
        <v>17</v>
      </c>
      <c r="AA571" t="s">
        <v>1026</v>
      </c>
      <c r="AB571" t="s">
        <v>11</v>
      </c>
      <c r="AC571" t="s">
        <v>11</v>
      </c>
      <c r="AD571" t="s">
        <v>11</v>
      </c>
      <c r="AE571" s="2">
        <v>45950</v>
      </c>
      <c r="AF571" s="2"/>
      <c r="AG571" t="s">
        <v>11</v>
      </c>
      <c r="AH571" s="14">
        <f>VLOOKUP(M571,'[1]INDIAN ENTERPRISES'!$D:$D,1,0)</f>
        <v>256779418653</v>
      </c>
      <c r="AJ571" s="15">
        <f>VLOOKUP(M571,'[1]INDIAN ENTERPRISES'!$D:$L,9,0)</f>
        <v>46053</v>
      </c>
    </row>
    <row r="572" spans="1:36" hidden="1" outlineLevel="2" x14ac:dyDescent="0.25">
      <c r="A572" t="s">
        <v>20</v>
      </c>
      <c r="B572" t="s">
        <v>1</v>
      </c>
      <c r="C572" t="s">
        <v>2</v>
      </c>
      <c r="D572" t="s">
        <v>3</v>
      </c>
      <c r="E572" t="s">
        <v>4</v>
      </c>
      <c r="F572" t="s">
        <v>21</v>
      </c>
      <c r="G572" s="2">
        <v>45950</v>
      </c>
      <c r="H572" t="s">
        <v>1027</v>
      </c>
      <c r="I572" t="s">
        <v>7</v>
      </c>
      <c r="J572" s="2">
        <v>45950</v>
      </c>
      <c r="K572" s="2">
        <v>45951</v>
      </c>
      <c r="L572" t="s">
        <v>8</v>
      </c>
      <c r="M572" s="14">
        <v>256779418692</v>
      </c>
      <c r="N572" t="s">
        <v>9</v>
      </c>
      <c r="O572" t="s">
        <v>10</v>
      </c>
      <c r="P572" t="s">
        <v>11</v>
      </c>
      <c r="Q572" t="s">
        <v>12</v>
      </c>
      <c r="R572" t="s">
        <v>13</v>
      </c>
      <c r="S572" s="3">
        <v>531.26</v>
      </c>
      <c r="T572" t="s">
        <v>14</v>
      </c>
      <c r="U572" s="3">
        <v>46852.23</v>
      </c>
      <c r="V572" t="s">
        <v>15</v>
      </c>
      <c r="W572" t="s">
        <v>16</v>
      </c>
      <c r="X572" t="s">
        <v>11</v>
      </c>
      <c r="Y572" t="s">
        <v>1028</v>
      </c>
      <c r="Z572" t="s">
        <v>17</v>
      </c>
      <c r="AA572" t="s">
        <v>1029</v>
      </c>
      <c r="AB572" t="s">
        <v>11</v>
      </c>
      <c r="AC572" t="s">
        <v>11</v>
      </c>
      <c r="AD572" t="s">
        <v>11</v>
      </c>
      <c r="AE572" s="2">
        <v>45950</v>
      </c>
      <c r="AF572" s="2"/>
      <c r="AG572" t="s">
        <v>11</v>
      </c>
      <c r="AH572" s="14">
        <f>VLOOKUP(M572,'[1]INDIAN ENTERPRISES'!$D:$D,1,0)</f>
        <v>256779418692</v>
      </c>
      <c r="AJ572" s="15">
        <f>VLOOKUP(M572,'[1]INDIAN ENTERPRISES'!$D:$L,9,0)</f>
        <v>46071</v>
      </c>
    </row>
    <row r="573" spans="1:36" hidden="1" outlineLevel="2" x14ac:dyDescent="0.25">
      <c r="A573" t="s">
        <v>20</v>
      </c>
      <c r="B573" t="s">
        <v>1</v>
      </c>
      <c r="C573" t="s">
        <v>2</v>
      </c>
      <c r="D573" t="s">
        <v>3</v>
      </c>
      <c r="E573" t="s">
        <v>4</v>
      </c>
      <c r="F573" t="s">
        <v>54</v>
      </c>
      <c r="G573" s="2">
        <v>45768</v>
      </c>
      <c r="H573" t="s">
        <v>1030</v>
      </c>
      <c r="I573" t="s">
        <v>7</v>
      </c>
      <c r="J573" s="2">
        <v>45768</v>
      </c>
      <c r="K573" s="2">
        <v>45769</v>
      </c>
      <c r="L573" t="s">
        <v>8</v>
      </c>
      <c r="M573" s="14">
        <v>256779412155</v>
      </c>
      <c r="N573" t="s">
        <v>9</v>
      </c>
      <c r="O573" t="s">
        <v>10</v>
      </c>
      <c r="P573" t="s">
        <v>11</v>
      </c>
      <c r="Q573" t="s">
        <v>12</v>
      </c>
      <c r="R573" t="s">
        <v>13</v>
      </c>
      <c r="S573" s="3">
        <v>2330.73</v>
      </c>
      <c r="T573" t="s">
        <v>14</v>
      </c>
      <c r="U573" s="3">
        <v>199999.94</v>
      </c>
      <c r="V573" t="s">
        <v>15</v>
      </c>
      <c r="W573" t="s">
        <v>16</v>
      </c>
      <c r="X573" t="s">
        <v>11</v>
      </c>
      <c r="Y573" t="s">
        <v>8</v>
      </c>
      <c r="Z573" t="s">
        <v>17</v>
      </c>
      <c r="AA573" t="s">
        <v>1031</v>
      </c>
      <c r="AB573" t="s">
        <v>11</v>
      </c>
      <c r="AC573" t="s">
        <v>11</v>
      </c>
      <c r="AD573" t="s">
        <v>11</v>
      </c>
      <c r="AE573" s="2">
        <v>45768</v>
      </c>
      <c r="AF573" s="2"/>
      <c r="AG573" t="s">
        <v>11</v>
      </c>
      <c r="AH573" s="14">
        <f>VLOOKUP(M573,'[1]INDIAN ENTERPRISES'!$D:$D,1,0)</f>
        <v>256779412155</v>
      </c>
      <c r="AJ573" s="15">
        <f>VLOOKUP(M573,'[1]INDIAN ENTERPRISES'!$D:$L,9,0)</f>
        <v>45869</v>
      </c>
    </row>
    <row r="574" spans="1:36" hidden="1" outlineLevel="2" x14ac:dyDescent="0.25">
      <c r="A574" t="s">
        <v>20</v>
      </c>
      <c r="B574" t="s">
        <v>1</v>
      </c>
      <c r="C574" t="s">
        <v>2</v>
      </c>
      <c r="D574" t="s">
        <v>3</v>
      </c>
      <c r="E574" t="s">
        <v>4</v>
      </c>
      <c r="F574" t="s">
        <v>54</v>
      </c>
      <c r="G574" s="2">
        <v>45768</v>
      </c>
      <c r="H574" t="s">
        <v>1032</v>
      </c>
      <c r="I574" t="s">
        <v>7</v>
      </c>
      <c r="J574" s="2">
        <v>45768</v>
      </c>
      <c r="K574" s="2">
        <v>45769</v>
      </c>
      <c r="L574" t="s">
        <v>8</v>
      </c>
      <c r="M574" s="14">
        <v>256779412184</v>
      </c>
      <c r="N574" t="s">
        <v>9</v>
      </c>
      <c r="O574" t="s">
        <v>10</v>
      </c>
      <c r="P574" t="s">
        <v>11</v>
      </c>
      <c r="Q574" t="s">
        <v>12</v>
      </c>
      <c r="R574" t="s">
        <v>13</v>
      </c>
      <c r="S574" s="3">
        <v>93.23</v>
      </c>
      <c r="T574" t="s">
        <v>14</v>
      </c>
      <c r="U574" s="3">
        <v>8000.07</v>
      </c>
      <c r="V574" t="s">
        <v>15</v>
      </c>
      <c r="W574" t="s">
        <v>16</v>
      </c>
      <c r="X574" t="s">
        <v>11</v>
      </c>
      <c r="Y574" t="s">
        <v>8</v>
      </c>
      <c r="Z574" t="s">
        <v>17</v>
      </c>
      <c r="AA574" t="s">
        <v>1031</v>
      </c>
      <c r="AB574" t="s">
        <v>11</v>
      </c>
      <c r="AC574" t="s">
        <v>11</v>
      </c>
      <c r="AD574" t="s">
        <v>11</v>
      </c>
      <c r="AE574" s="2">
        <v>45768</v>
      </c>
      <c r="AF574" s="2"/>
      <c r="AG574" t="s">
        <v>11</v>
      </c>
      <c r="AH574" s="14">
        <f>VLOOKUP(M574,'[1]INDIAN ENTERPRISES'!$D:$D,1,0)</f>
        <v>256779412184</v>
      </c>
      <c r="AJ574" s="15">
        <f>VLOOKUP(M574,'[1]INDIAN ENTERPRISES'!$D:$L,9,0)</f>
        <v>45869</v>
      </c>
    </row>
    <row r="575" spans="1:36" hidden="1" outlineLevel="2" x14ac:dyDescent="0.25">
      <c r="A575" t="s">
        <v>20</v>
      </c>
      <c r="B575" t="s">
        <v>1</v>
      </c>
      <c r="C575" t="s">
        <v>2</v>
      </c>
      <c r="D575" t="s">
        <v>3</v>
      </c>
      <c r="E575" t="s">
        <v>4</v>
      </c>
      <c r="F575" t="s">
        <v>54</v>
      </c>
      <c r="G575" s="2">
        <v>45768</v>
      </c>
      <c r="H575" t="s">
        <v>1033</v>
      </c>
      <c r="I575" t="s">
        <v>7</v>
      </c>
      <c r="J575" s="2">
        <v>45768</v>
      </c>
      <c r="K575" s="2">
        <v>45769</v>
      </c>
      <c r="L575" t="s">
        <v>8</v>
      </c>
      <c r="M575" s="14">
        <v>256779412185</v>
      </c>
      <c r="N575" t="s">
        <v>9</v>
      </c>
      <c r="O575" t="s">
        <v>10</v>
      </c>
      <c r="P575" t="s">
        <v>11</v>
      </c>
      <c r="Q575" t="s">
        <v>12</v>
      </c>
      <c r="R575" t="s">
        <v>13</v>
      </c>
      <c r="S575" s="3">
        <v>51.28</v>
      </c>
      <c r="T575" t="s">
        <v>14</v>
      </c>
      <c r="U575" s="3">
        <v>4400.34</v>
      </c>
      <c r="V575" t="s">
        <v>15</v>
      </c>
      <c r="W575" t="s">
        <v>16</v>
      </c>
      <c r="X575" t="s">
        <v>11</v>
      </c>
      <c r="Y575" t="s">
        <v>8</v>
      </c>
      <c r="Z575" t="s">
        <v>17</v>
      </c>
      <c r="AA575" t="s">
        <v>1031</v>
      </c>
      <c r="AB575" t="s">
        <v>11</v>
      </c>
      <c r="AC575" t="s">
        <v>11</v>
      </c>
      <c r="AD575" t="s">
        <v>11</v>
      </c>
      <c r="AE575" s="2">
        <v>45768</v>
      </c>
      <c r="AF575" s="2"/>
      <c r="AG575" t="s">
        <v>11</v>
      </c>
      <c r="AH575" s="14">
        <f>VLOOKUP(M575,'[1]INDIAN ENTERPRISES'!$D:$D,1,0)</f>
        <v>256779412185</v>
      </c>
      <c r="AJ575" s="15">
        <f>VLOOKUP(M575,'[1]INDIAN ENTERPRISES'!$D:$L,9,0)</f>
        <v>45869</v>
      </c>
    </row>
    <row r="576" spans="1:36" hidden="1" outlineLevel="2" x14ac:dyDescent="0.25">
      <c r="A576" t="s">
        <v>20</v>
      </c>
      <c r="B576" t="s">
        <v>1</v>
      </c>
      <c r="C576" t="s">
        <v>2</v>
      </c>
      <c r="D576" t="s">
        <v>3</v>
      </c>
      <c r="E576" t="s">
        <v>4</v>
      </c>
      <c r="F576" t="s">
        <v>54</v>
      </c>
      <c r="G576" s="2">
        <v>45768</v>
      </c>
      <c r="H576" t="s">
        <v>1034</v>
      </c>
      <c r="I576" t="s">
        <v>7</v>
      </c>
      <c r="J576" s="2">
        <v>45768</v>
      </c>
      <c r="K576" s="2">
        <v>45769</v>
      </c>
      <c r="L576" t="s">
        <v>8</v>
      </c>
      <c r="M576" s="14">
        <v>256779412189</v>
      </c>
      <c r="N576" t="s">
        <v>9</v>
      </c>
      <c r="O576" t="s">
        <v>10</v>
      </c>
      <c r="P576" t="s">
        <v>11</v>
      </c>
      <c r="Q576" t="s">
        <v>12</v>
      </c>
      <c r="R576" t="s">
        <v>14</v>
      </c>
      <c r="S576" s="3">
        <v>262.20999999999998</v>
      </c>
      <c r="T576" t="s">
        <v>14</v>
      </c>
      <c r="U576" s="3">
        <v>262.20999999999998</v>
      </c>
      <c r="V576" t="s">
        <v>15</v>
      </c>
      <c r="W576" t="s">
        <v>16</v>
      </c>
      <c r="X576" t="s">
        <v>11</v>
      </c>
      <c r="Y576" t="s">
        <v>8</v>
      </c>
      <c r="Z576" t="s">
        <v>17</v>
      </c>
      <c r="AA576" t="s">
        <v>1031</v>
      </c>
      <c r="AB576" t="s">
        <v>11</v>
      </c>
      <c r="AC576" t="s">
        <v>11</v>
      </c>
      <c r="AD576" t="s">
        <v>11</v>
      </c>
      <c r="AE576" s="2">
        <v>45768</v>
      </c>
      <c r="AF576" s="2"/>
      <c r="AG576" t="s">
        <v>11</v>
      </c>
      <c r="AH576" s="14">
        <f>VLOOKUP(M576,'[1]INDIAN ENTERPRISES'!$D:$D,1,0)</f>
        <v>256779412189</v>
      </c>
      <c r="AJ576" s="15">
        <f>VLOOKUP(M576,'[1]INDIAN ENTERPRISES'!$D:$L,9,0)</f>
        <v>45939</v>
      </c>
    </row>
    <row r="577" spans="1:36" hidden="1" outlineLevel="2" x14ac:dyDescent="0.25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128</v>
      </c>
      <c r="G577" s="2">
        <v>45862</v>
      </c>
      <c r="H577" t="s">
        <v>1035</v>
      </c>
      <c r="I577" t="s">
        <v>98</v>
      </c>
      <c r="J577" s="2">
        <v>45862</v>
      </c>
      <c r="K577" s="2">
        <v>45862</v>
      </c>
      <c r="L577" t="s">
        <v>8</v>
      </c>
      <c r="M577" s="14">
        <v>256779421498</v>
      </c>
      <c r="N577" t="s">
        <v>9</v>
      </c>
      <c r="O577" t="s">
        <v>10</v>
      </c>
      <c r="P577" t="s">
        <v>11</v>
      </c>
      <c r="Q577" t="s">
        <v>42</v>
      </c>
      <c r="R577" t="s">
        <v>13</v>
      </c>
      <c r="S577" s="3">
        <v>-95.24</v>
      </c>
      <c r="T577" t="s">
        <v>14</v>
      </c>
      <c r="U577" s="3">
        <v>-8190.7</v>
      </c>
      <c r="V577" t="s">
        <v>15</v>
      </c>
      <c r="W577" t="s">
        <v>16</v>
      </c>
      <c r="X577" t="s">
        <v>11</v>
      </c>
      <c r="Y577" t="s">
        <v>8</v>
      </c>
      <c r="Z577" t="s">
        <v>17</v>
      </c>
      <c r="AA577" t="s">
        <v>1036</v>
      </c>
      <c r="AB577" t="s">
        <v>11</v>
      </c>
      <c r="AC577" t="s">
        <v>11</v>
      </c>
      <c r="AD577" t="s">
        <v>11</v>
      </c>
      <c r="AE577" s="2">
        <v>45862</v>
      </c>
      <c r="AF577" s="2">
        <v>45902</v>
      </c>
      <c r="AG577" t="s">
        <v>19</v>
      </c>
      <c r="AH577" s="14" t="e">
        <f>VLOOKUP(M577,'[1]INDIAN ENTERPRISES'!$D:$D,1,0)</f>
        <v>#N/A</v>
      </c>
      <c r="AI577" t="str">
        <f>VLOOKUP(M577,'[2]CN Not in Customer books'!$D:$J,7,0)</f>
        <v>Invoice &amp; CN both not received &amp; booked</v>
      </c>
      <c r="AJ577" s="15" t="e">
        <f>VLOOKUP(M577,'[1]INDIAN ENTERPRISES'!$D:$L,9,0)</f>
        <v>#N/A</v>
      </c>
    </row>
    <row r="578" spans="1:36" hidden="1" outlineLevel="2" x14ac:dyDescent="0.25">
      <c r="A578" t="s">
        <v>0</v>
      </c>
      <c r="B578" t="s">
        <v>1</v>
      </c>
      <c r="C578" t="s">
        <v>2</v>
      </c>
      <c r="D578" t="s">
        <v>3</v>
      </c>
      <c r="E578" t="s">
        <v>4</v>
      </c>
      <c r="F578" t="s">
        <v>128</v>
      </c>
      <c r="G578" s="2">
        <v>45862</v>
      </c>
      <c r="H578" t="s">
        <v>1037</v>
      </c>
      <c r="I578" t="s">
        <v>98</v>
      </c>
      <c r="J578" s="2">
        <v>45862</v>
      </c>
      <c r="K578" s="2">
        <v>45862</v>
      </c>
      <c r="L578" t="s">
        <v>8</v>
      </c>
      <c r="M578" s="14">
        <v>256779421512</v>
      </c>
      <c r="N578" t="s">
        <v>9</v>
      </c>
      <c r="O578" t="s">
        <v>10</v>
      </c>
      <c r="P578" t="s">
        <v>11</v>
      </c>
      <c r="Q578" t="s">
        <v>42</v>
      </c>
      <c r="R578" t="s">
        <v>13</v>
      </c>
      <c r="S578" s="3">
        <v>-2333.1799999999998</v>
      </c>
      <c r="T578" t="s">
        <v>14</v>
      </c>
      <c r="U578" s="3">
        <v>-200655.04</v>
      </c>
      <c r="V578" t="s">
        <v>15</v>
      </c>
      <c r="W578" t="s">
        <v>16</v>
      </c>
      <c r="X578" t="s">
        <v>11</v>
      </c>
      <c r="Y578" t="s">
        <v>8</v>
      </c>
      <c r="Z578" t="s">
        <v>17</v>
      </c>
      <c r="AA578" t="s">
        <v>1038</v>
      </c>
      <c r="AB578" t="s">
        <v>11</v>
      </c>
      <c r="AC578" t="s">
        <v>11</v>
      </c>
      <c r="AD578" t="s">
        <v>11</v>
      </c>
      <c r="AE578" s="2">
        <v>45862</v>
      </c>
      <c r="AF578" s="2">
        <v>45902</v>
      </c>
      <c r="AG578" t="s">
        <v>19</v>
      </c>
      <c r="AH578" s="14" t="e">
        <f>VLOOKUP(M578,'[1]INDIAN ENTERPRISES'!$D:$D,1,0)</f>
        <v>#N/A</v>
      </c>
      <c r="AI578" t="str">
        <f>VLOOKUP(M578,'[2]CN Not in Customer books'!$D:$J,7,0)</f>
        <v>Invoice &amp; CN both not received &amp; booked</v>
      </c>
      <c r="AJ578" s="15" t="e">
        <f>VLOOKUP(M578,'[1]INDIAN ENTERPRISES'!$D:$L,9,0)</f>
        <v>#N/A</v>
      </c>
    </row>
    <row r="579" spans="1:36" hidden="1" outlineLevel="2" x14ac:dyDescent="0.25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96</v>
      </c>
      <c r="G579" s="2">
        <v>45800</v>
      </c>
      <c r="H579" t="s">
        <v>1039</v>
      </c>
      <c r="I579" t="s">
        <v>98</v>
      </c>
      <c r="J579" s="2">
        <v>45800</v>
      </c>
      <c r="K579" s="2">
        <v>45800</v>
      </c>
      <c r="L579" t="s">
        <v>8</v>
      </c>
      <c r="M579" s="14">
        <v>256779421106</v>
      </c>
      <c r="N579" t="s">
        <v>9</v>
      </c>
      <c r="O579" t="s">
        <v>10</v>
      </c>
      <c r="P579" t="s">
        <v>11</v>
      </c>
      <c r="Q579" t="s">
        <v>42</v>
      </c>
      <c r="R579" t="s">
        <v>13</v>
      </c>
      <c r="S579" s="3">
        <v>-707.71</v>
      </c>
      <c r="T579" t="s">
        <v>14</v>
      </c>
      <c r="U579" s="3">
        <v>-60851.519999999997</v>
      </c>
      <c r="V579" t="s">
        <v>37</v>
      </c>
      <c r="W579" t="s">
        <v>16</v>
      </c>
      <c r="X579" t="s">
        <v>11</v>
      </c>
      <c r="Y579" t="s">
        <v>8</v>
      </c>
      <c r="Z579" t="s">
        <v>17</v>
      </c>
      <c r="AA579" t="s">
        <v>1040</v>
      </c>
      <c r="AB579" t="s">
        <v>11</v>
      </c>
      <c r="AC579" t="s">
        <v>11</v>
      </c>
      <c r="AD579" t="s">
        <v>11</v>
      </c>
      <c r="AE579" s="2">
        <v>45800</v>
      </c>
      <c r="AF579" s="2">
        <v>45974</v>
      </c>
      <c r="AG579" t="s">
        <v>39</v>
      </c>
      <c r="AH579" s="14" t="e">
        <f>VLOOKUP(M579,'[1]INDIAN ENTERPRISES'!$D:$D,1,0)</f>
        <v>#N/A</v>
      </c>
      <c r="AI579" t="str">
        <f>VLOOKUP(M579,'[2]CN Not in Customer books'!$D:$J,7,0)</f>
        <v>Invoice &amp; CN both not received &amp; booked</v>
      </c>
      <c r="AJ579" s="15" t="e">
        <f>VLOOKUP(M579,'[1]INDIAN ENTERPRISES'!$D:$L,9,0)</f>
        <v>#N/A</v>
      </c>
    </row>
    <row r="580" spans="1:36" hidden="1" outlineLevel="2" x14ac:dyDescent="0.25">
      <c r="A580" t="s">
        <v>0</v>
      </c>
      <c r="B580" t="s">
        <v>1</v>
      </c>
      <c r="C580" t="s">
        <v>2</v>
      </c>
      <c r="D580" t="s">
        <v>3</v>
      </c>
      <c r="E580" t="s">
        <v>4</v>
      </c>
      <c r="F580" t="s">
        <v>96</v>
      </c>
      <c r="G580" s="2">
        <v>45800</v>
      </c>
      <c r="H580" t="s">
        <v>1041</v>
      </c>
      <c r="I580" t="s">
        <v>98</v>
      </c>
      <c r="J580" s="2">
        <v>45800</v>
      </c>
      <c r="K580" s="2">
        <v>45800</v>
      </c>
      <c r="L580" t="s">
        <v>8</v>
      </c>
      <c r="M580" s="14">
        <v>256779421109</v>
      </c>
      <c r="N580" t="s">
        <v>9</v>
      </c>
      <c r="O580" t="s">
        <v>10</v>
      </c>
      <c r="P580" t="s">
        <v>11</v>
      </c>
      <c r="Q580" t="s">
        <v>42</v>
      </c>
      <c r="R580" t="s">
        <v>13</v>
      </c>
      <c r="S580" s="3">
        <v>-3.78</v>
      </c>
      <c r="T580" t="s">
        <v>14</v>
      </c>
      <c r="U580" s="3">
        <v>-325.02</v>
      </c>
      <c r="V580" t="s">
        <v>37</v>
      </c>
      <c r="W580" t="s">
        <v>16</v>
      </c>
      <c r="X580" t="s">
        <v>11</v>
      </c>
      <c r="Y580" t="s">
        <v>8</v>
      </c>
      <c r="Z580" t="s">
        <v>17</v>
      </c>
      <c r="AA580" t="s">
        <v>1042</v>
      </c>
      <c r="AB580" t="s">
        <v>11</v>
      </c>
      <c r="AC580" t="s">
        <v>11</v>
      </c>
      <c r="AD580" t="s">
        <v>11</v>
      </c>
      <c r="AE580" s="2">
        <v>45800</v>
      </c>
      <c r="AF580" s="2">
        <v>45974</v>
      </c>
      <c r="AG580" t="s">
        <v>39</v>
      </c>
      <c r="AH580" s="14" t="e">
        <f>VLOOKUP(M580,'[1]INDIAN ENTERPRISES'!$D:$D,1,0)</f>
        <v>#N/A</v>
      </c>
      <c r="AI580" t="str">
        <f>VLOOKUP(M580,'[2]CN Not in Customer books'!$D:$J,7,0)</f>
        <v>Invoice &amp; CN both not received &amp; booked</v>
      </c>
      <c r="AJ580" s="15" t="e">
        <f>VLOOKUP(M580,'[1]INDIAN ENTERPRISES'!$D:$L,9,0)</f>
        <v>#N/A</v>
      </c>
    </row>
    <row r="581" spans="1:36" hidden="1" outlineLevel="2" x14ac:dyDescent="0.25">
      <c r="A581" t="s">
        <v>20</v>
      </c>
      <c r="B581" t="s">
        <v>1</v>
      </c>
      <c r="C581" t="s">
        <v>2</v>
      </c>
      <c r="D581" t="s">
        <v>3</v>
      </c>
      <c r="E581" t="s">
        <v>4</v>
      </c>
      <c r="F581" t="s">
        <v>96</v>
      </c>
      <c r="G581" s="2">
        <v>45798</v>
      </c>
      <c r="H581" t="s">
        <v>1043</v>
      </c>
      <c r="I581" t="s">
        <v>7</v>
      </c>
      <c r="J581" s="2">
        <v>45798</v>
      </c>
      <c r="K581" s="2">
        <v>45800</v>
      </c>
      <c r="L581" t="s">
        <v>8</v>
      </c>
      <c r="M581" s="14">
        <v>256779413391</v>
      </c>
      <c r="N581" t="s">
        <v>9</v>
      </c>
      <c r="O581" t="s">
        <v>10</v>
      </c>
      <c r="P581" t="s">
        <v>11</v>
      </c>
      <c r="Q581" t="s">
        <v>12</v>
      </c>
      <c r="R581" t="s">
        <v>13</v>
      </c>
      <c r="S581" s="3">
        <v>253.29</v>
      </c>
      <c r="T581" t="s">
        <v>14</v>
      </c>
      <c r="U581" s="3">
        <v>21778.81</v>
      </c>
      <c r="V581" t="s">
        <v>15</v>
      </c>
      <c r="W581" t="s">
        <v>16</v>
      </c>
      <c r="X581" t="s">
        <v>11</v>
      </c>
      <c r="Y581" t="s">
        <v>8</v>
      </c>
      <c r="Z581" t="s">
        <v>17</v>
      </c>
      <c r="AA581" t="s">
        <v>1044</v>
      </c>
      <c r="AB581" t="s">
        <v>11</v>
      </c>
      <c r="AC581" t="s">
        <v>11</v>
      </c>
      <c r="AD581" t="s">
        <v>11</v>
      </c>
      <c r="AE581" s="2">
        <v>45798</v>
      </c>
      <c r="AF581" s="2"/>
      <c r="AG581" t="s">
        <v>11</v>
      </c>
      <c r="AH581" s="14">
        <f>VLOOKUP(M581,'[1]INDIAN ENTERPRISES'!$D:$D,1,0)</f>
        <v>256779413391</v>
      </c>
      <c r="AJ581" s="15">
        <f>VLOOKUP(M581,'[1]INDIAN ENTERPRISES'!$D:$L,9,0)</f>
        <v>45991</v>
      </c>
    </row>
    <row r="582" spans="1:36" hidden="1" outlineLevel="2" x14ac:dyDescent="0.25">
      <c r="A582" t="s">
        <v>20</v>
      </c>
      <c r="B582" t="s">
        <v>1</v>
      </c>
      <c r="C582" t="s">
        <v>2</v>
      </c>
      <c r="D582" t="s">
        <v>3</v>
      </c>
      <c r="E582" t="s">
        <v>4</v>
      </c>
      <c r="F582" t="s">
        <v>96</v>
      </c>
      <c r="G582" s="2">
        <v>45798</v>
      </c>
      <c r="H582" t="s">
        <v>1045</v>
      </c>
      <c r="I582" t="s">
        <v>7</v>
      </c>
      <c r="J582" s="2">
        <v>45798</v>
      </c>
      <c r="K582" s="2">
        <v>45800</v>
      </c>
      <c r="L582" t="s">
        <v>8</v>
      </c>
      <c r="M582" s="14">
        <v>256779413392</v>
      </c>
      <c r="N582" t="s">
        <v>9</v>
      </c>
      <c r="O582" t="s">
        <v>10</v>
      </c>
      <c r="P582" t="s">
        <v>11</v>
      </c>
      <c r="Q582" t="s">
        <v>12</v>
      </c>
      <c r="R582" t="s">
        <v>13</v>
      </c>
      <c r="S582" s="3">
        <v>218.17</v>
      </c>
      <c r="T582" t="s">
        <v>14</v>
      </c>
      <c r="U582" s="3">
        <v>18759.060000000001</v>
      </c>
      <c r="V582" t="s">
        <v>15</v>
      </c>
      <c r="W582" t="s">
        <v>16</v>
      </c>
      <c r="X582" t="s">
        <v>11</v>
      </c>
      <c r="Y582" t="s">
        <v>8</v>
      </c>
      <c r="Z582" t="s">
        <v>17</v>
      </c>
      <c r="AA582" t="s">
        <v>1044</v>
      </c>
      <c r="AB582" t="s">
        <v>11</v>
      </c>
      <c r="AC582" t="s">
        <v>11</v>
      </c>
      <c r="AD582" t="s">
        <v>11</v>
      </c>
      <c r="AE582" s="2">
        <v>45798</v>
      </c>
      <c r="AF582" s="2"/>
      <c r="AG582" t="s">
        <v>11</v>
      </c>
      <c r="AH582" s="14">
        <f>VLOOKUP(M582,'[1]INDIAN ENTERPRISES'!$D:$D,1,0)</f>
        <v>256779413392</v>
      </c>
      <c r="AJ582" s="15">
        <f>VLOOKUP(M582,'[1]INDIAN ENTERPRISES'!$D:$L,9,0)</f>
        <v>45991</v>
      </c>
    </row>
    <row r="583" spans="1:36" hidden="1" outlineLevel="2" x14ac:dyDescent="0.25">
      <c r="A583" t="s">
        <v>20</v>
      </c>
      <c r="B583" t="s">
        <v>1</v>
      </c>
      <c r="C583" t="s">
        <v>2</v>
      </c>
      <c r="D583" t="s">
        <v>3</v>
      </c>
      <c r="E583" t="s">
        <v>4</v>
      </c>
      <c r="F583" t="s">
        <v>96</v>
      </c>
      <c r="G583" s="2">
        <v>45798</v>
      </c>
      <c r="H583" t="s">
        <v>1046</v>
      </c>
      <c r="I583" t="s">
        <v>7</v>
      </c>
      <c r="J583" s="2">
        <v>45798</v>
      </c>
      <c r="K583" s="2">
        <v>45800</v>
      </c>
      <c r="L583" t="s">
        <v>8</v>
      </c>
      <c r="M583" s="14">
        <v>256779413393</v>
      </c>
      <c r="N583" t="s">
        <v>9</v>
      </c>
      <c r="O583" t="s">
        <v>10</v>
      </c>
      <c r="P583" t="s">
        <v>11</v>
      </c>
      <c r="Q583" t="s">
        <v>12</v>
      </c>
      <c r="R583" t="s">
        <v>13</v>
      </c>
      <c r="S583" s="3">
        <v>229.87</v>
      </c>
      <c r="T583" t="s">
        <v>14</v>
      </c>
      <c r="U583" s="3">
        <v>19765.07</v>
      </c>
      <c r="V583" t="s">
        <v>15</v>
      </c>
      <c r="W583" t="s">
        <v>16</v>
      </c>
      <c r="X583" t="s">
        <v>11</v>
      </c>
      <c r="Y583" t="s">
        <v>8</v>
      </c>
      <c r="Z583" t="s">
        <v>17</v>
      </c>
      <c r="AA583" t="s">
        <v>1044</v>
      </c>
      <c r="AB583" t="s">
        <v>11</v>
      </c>
      <c r="AC583" t="s">
        <v>11</v>
      </c>
      <c r="AD583" t="s">
        <v>11</v>
      </c>
      <c r="AE583" s="2">
        <v>45798</v>
      </c>
      <c r="AF583" s="2"/>
      <c r="AG583" t="s">
        <v>11</v>
      </c>
      <c r="AH583" s="14">
        <f>VLOOKUP(M583,'[1]INDIAN ENTERPRISES'!$D:$D,1,0)</f>
        <v>256779413393</v>
      </c>
      <c r="AJ583" s="15">
        <f>VLOOKUP(M583,'[1]INDIAN ENTERPRISES'!$D:$L,9,0)</f>
        <v>45869</v>
      </c>
    </row>
    <row r="584" spans="1:36" hidden="1" outlineLevel="2" x14ac:dyDescent="0.25">
      <c r="A584" t="s">
        <v>20</v>
      </c>
      <c r="B584" t="s">
        <v>1</v>
      </c>
      <c r="C584" t="s">
        <v>2</v>
      </c>
      <c r="D584" t="s">
        <v>3</v>
      </c>
      <c r="E584" t="s">
        <v>4</v>
      </c>
      <c r="F584" t="s">
        <v>96</v>
      </c>
      <c r="G584" s="2">
        <v>45798</v>
      </c>
      <c r="H584" t="s">
        <v>1047</v>
      </c>
      <c r="I584" t="s">
        <v>7</v>
      </c>
      <c r="J584" s="2">
        <v>45798</v>
      </c>
      <c r="K584" s="2">
        <v>45800</v>
      </c>
      <c r="L584" t="s">
        <v>8</v>
      </c>
      <c r="M584" s="14">
        <v>256779413394</v>
      </c>
      <c r="N584" t="s">
        <v>9</v>
      </c>
      <c r="O584" t="s">
        <v>10</v>
      </c>
      <c r="P584" t="s">
        <v>11</v>
      </c>
      <c r="Q584" t="s">
        <v>12</v>
      </c>
      <c r="R584" t="s">
        <v>13</v>
      </c>
      <c r="S584" s="3">
        <v>218.17</v>
      </c>
      <c r="T584" t="s">
        <v>14</v>
      </c>
      <c r="U584" s="3">
        <v>18759.060000000001</v>
      </c>
      <c r="V584" t="s">
        <v>15</v>
      </c>
      <c r="W584" t="s">
        <v>16</v>
      </c>
      <c r="X584" t="s">
        <v>11</v>
      </c>
      <c r="Y584" t="s">
        <v>8</v>
      </c>
      <c r="Z584" t="s">
        <v>17</v>
      </c>
      <c r="AA584" t="s">
        <v>1044</v>
      </c>
      <c r="AB584" t="s">
        <v>11</v>
      </c>
      <c r="AC584" t="s">
        <v>11</v>
      </c>
      <c r="AD584" t="s">
        <v>11</v>
      </c>
      <c r="AE584" s="2">
        <v>45798</v>
      </c>
      <c r="AF584" s="2"/>
      <c r="AG584" t="s">
        <v>11</v>
      </c>
      <c r="AH584" s="14">
        <f>VLOOKUP(M584,'[1]INDIAN ENTERPRISES'!$D:$D,1,0)</f>
        <v>256779413394</v>
      </c>
      <c r="AJ584" s="15">
        <f>VLOOKUP(M584,'[1]INDIAN ENTERPRISES'!$D:$L,9,0)</f>
        <v>45869</v>
      </c>
    </row>
    <row r="585" spans="1:36" hidden="1" outlineLevel="2" x14ac:dyDescent="0.25">
      <c r="A585" t="s">
        <v>20</v>
      </c>
      <c r="B585" t="s">
        <v>1</v>
      </c>
      <c r="C585" t="s">
        <v>2</v>
      </c>
      <c r="D585" t="s">
        <v>3</v>
      </c>
      <c r="E585" t="s">
        <v>4</v>
      </c>
      <c r="F585" t="s">
        <v>96</v>
      </c>
      <c r="G585" s="2">
        <v>45798</v>
      </c>
      <c r="H585" t="s">
        <v>1048</v>
      </c>
      <c r="I585" t="s">
        <v>7</v>
      </c>
      <c r="J585" s="2">
        <v>45798</v>
      </c>
      <c r="K585" s="2">
        <v>45800</v>
      </c>
      <c r="L585" t="s">
        <v>8</v>
      </c>
      <c r="M585" s="14">
        <v>256779413395</v>
      </c>
      <c r="N585" t="s">
        <v>9</v>
      </c>
      <c r="O585" t="s">
        <v>10</v>
      </c>
      <c r="P585" t="s">
        <v>11</v>
      </c>
      <c r="Q585" t="s">
        <v>12</v>
      </c>
      <c r="R585" t="s">
        <v>13</v>
      </c>
      <c r="S585" s="3">
        <v>264.98</v>
      </c>
      <c r="T585" t="s">
        <v>14</v>
      </c>
      <c r="U585" s="3">
        <v>22783.96</v>
      </c>
      <c r="V585" t="s">
        <v>15</v>
      </c>
      <c r="W585" t="s">
        <v>16</v>
      </c>
      <c r="X585" t="s">
        <v>11</v>
      </c>
      <c r="Y585" t="s">
        <v>8</v>
      </c>
      <c r="Z585" t="s">
        <v>17</v>
      </c>
      <c r="AA585" t="s">
        <v>1049</v>
      </c>
      <c r="AB585" t="s">
        <v>11</v>
      </c>
      <c r="AC585" t="s">
        <v>11</v>
      </c>
      <c r="AD585" t="s">
        <v>11</v>
      </c>
      <c r="AE585" s="2">
        <v>45798</v>
      </c>
      <c r="AF585" s="2"/>
      <c r="AG585" t="s">
        <v>11</v>
      </c>
      <c r="AH585" s="14">
        <f>VLOOKUP(M585,'[1]INDIAN ENTERPRISES'!$D:$D,1,0)</f>
        <v>256779413395</v>
      </c>
      <c r="AJ585" s="15">
        <f>VLOOKUP(M585,'[1]INDIAN ENTERPRISES'!$D:$L,9,0)</f>
        <v>45869</v>
      </c>
    </row>
    <row r="586" spans="1:36" hidden="1" outlineLevel="2" x14ac:dyDescent="0.25">
      <c r="A586" t="s">
        <v>20</v>
      </c>
      <c r="B586" t="s">
        <v>1</v>
      </c>
      <c r="C586" t="s">
        <v>2</v>
      </c>
      <c r="D586" t="s">
        <v>3</v>
      </c>
      <c r="E586" t="s">
        <v>4</v>
      </c>
      <c r="F586" t="s">
        <v>96</v>
      </c>
      <c r="G586" s="2">
        <v>45798</v>
      </c>
      <c r="H586" t="s">
        <v>1050</v>
      </c>
      <c r="I586" t="s">
        <v>7</v>
      </c>
      <c r="J586" s="2">
        <v>45798</v>
      </c>
      <c r="K586" s="2">
        <v>45800</v>
      </c>
      <c r="L586" t="s">
        <v>8</v>
      </c>
      <c r="M586" s="14">
        <v>256779413396</v>
      </c>
      <c r="N586" t="s">
        <v>9</v>
      </c>
      <c r="O586" t="s">
        <v>10</v>
      </c>
      <c r="P586" t="s">
        <v>11</v>
      </c>
      <c r="Q586" t="s">
        <v>12</v>
      </c>
      <c r="R586" t="s">
        <v>13</v>
      </c>
      <c r="S586" s="3">
        <v>218.17</v>
      </c>
      <c r="T586" t="s">
        <v>14</v>
      </c>
      <c r="U586" s="3">
        <v>18759.060000000001</v>
      </c>
      <c r="V586" t="s">
        <v>15</v>
      </c>
      <c r="W586" t="s">
        <v>16</v>
      </c>
      <c r="X586" t="s">
        <v>11</v>
      </c>
      <c r="Y586" t="s">
        <v>8</v>
      </c>
      <c r="Z586" t="s">
        <v>17</v>
      </c>
      <c r="AA586" t="s">
        <v>1049</v>
      </c>
      <c r="AB586" t="s">
        <v>11</v>
      </c>
      <c r="AC586" t="s">
        <v>11</v>
      </c>
      <c r="AD586" t="s">
        <v>11</v>
      </c>
      <c r="AE586" s="2">
        <v>45798</v>
      </c>
      <c r="AF586" s="2"/>
      <c r="AG586" t="s">
        <v>11</v>
      </c>
      <c r="AH586" s="14">
        <f>VLOOKUP(M586,'[1]INDIAN ENTERPRISES'!$D:$D,1,0)</f>
        <v>256779413396</v>
      </c>
      <c r="AJ586" s="15">
        <f>VLOOKUP(M586,'[1]INDIAN ENTERPRISES'!$D:$L,9,0)</f>
        <v>45869</v>
      </c>
    </row>
    <row r="587" spans="1:36" hidden="1" outlineLevel="2" x14ac:dyDescent="0.25">
      <c r="A587" t="s">
        <v>20</v>
      </c>
      <c r="B587" t="s">
        <v>1</v>
      </c>
      <c r="C587" t="s">
        <v>2</v>
      </c>
      <c r="D587" t="s">
        <v>3</v>
      </c>
      <c r="E587" t="s">
        <v>4</v>
      </c>
      <c r="F587" t="s">
        <v>96</v>
      </c>
      <c r="G587" s="2">
        <v>45798</v>
      </c>
      <c r="H587" t="s">
        <v>1051</v>
      </c>
      <c r="I587" t="s">
        <v>7</v>
      </c>
      <c r="J587" s="2">
        <v>45798</v>
      </c>
      <c r="K587" s="2">
        <v>45800</v>
      </c>
      <c r="L587" t="s">
        <v>8</v>
      </c>
      <c r="M587" s="14">
        <v>256779413397</v>
      </c>
      <c r="N587" t="s">
        <v>9</v>
      </c>
      <c r="O587" t="s">
        <v>10</v>
      </c>
      <c r="P587" t="s">
        <v>11</v>
      </c>
      <c r="Q587" t="s">
        <v>12</v>
      </c>
      <c r="R587" t="s">
        <v>13</v>
      </c>
      <c r="S587" s="3">
        <v>229.87</v>
      </c>
      <c r="T587" t="s">
        <v>14</v>
      </c>
      <c r="U587" s="3">
        <v>19765.07</v>
      </c>
      <c r="V587" t="s">
        <v>15</v>
      </c>
      <c r="W587" t="s">
        <v>16</v>
      </c>
      <c r="X587" t="s">
        <v>11</v>
      </c>
      <c r="Y587" t="s">
        <v>8</v>
      </c>
      <c r="Z587" t="s">
        <v>17</v>
      </c>
      <c r="AA587" t="s">
        <v>1049</v>
      </c>
      <c r="AB587" t="s">
        <v>11</v>
      </c>
      <c r="AC587" t="s">
        <v>11</v>
      </c>
      <c r="AD587" t="s">
        <v>11</v>
      </c>
      <c r="AE587" s="2">
        <v>45798</v>
      </c>
      <c r="AF587" s="2"/>
      <c r="AG587" t="s">
        <v>11</v>
      </c>
      <c r="AH587" s="14">
        <f>VLOOKUP(M587,'[1]INDIAN ENTERPRISES'!$D:$D,1,0)</f>
        <v>256779413397</v>
      </c>
      <c r="AJ587" s="15">
        <f>VLOOKUP(M587,'[1]INDIAN ENTERPRISES'!$D:$L,9,0)</f>
        <v>45869</v>
      </c>
    </row>
    <row r="588" spans="1:36" hidden="1" outlineLevel="2" x14ac:dyDescent="0.25">
      <c r="A588" t="s">
        <v>20</v>
      </c>
      <c r="B588" t="s">
        <v>1</v>
      </c>
      <c r="C588" t="s">
        <v>2</v>
      </c>
      <c r="D588" t="s">
        <v>3</v>
      </c>
      <c r="E588" t="s">
        <v>4</v>
      </c>
      <c r="F588" t="s">
        <v>96</v>
      </c>
      <c r="G588" s="2">
        <v>45798</v>
      </c>
      <c r="H588" t="s">
        <v>1052</v>
      </c>
      <c r="I588" t="s">
        <v>7</v>
      </c>
      <c r="J588" s="2">
        <v>45798</v>
      </c>
      <c r="K588" s="2">
        <v>45800</v>
      </c>
      <c r="L588" t="s">
        <v>8</v>
      </c>
      <c r="M588" s="14">
        <v>256779413398</v>
      </c>
      <c r="N588" t="s">
        <v>9</v>
      </c>
      <c r="O588" t="s">
        <v>10</v>
      </c>
      <c r="P588" t="s">
        <v>11</v>
      </c>
      <c r="Q588" t="s">
        <v>12</v>
      </c>
      <c r="R588" t="s">
        <v>13</v>
      </c>
      <c r="S588" s="3">
        <v>218.17</v>
      </c>
      <c r="T588" t="s">
        <v>14</v>
      </c>
      <c r="U588" s="3">
        <v>18759.060000000001</v>
      </c>
      <c r="V588" t="s">
        <v>15</v>
      </c>
      <c r="W588" t="s">
        <v>16</v>
      </c>
      <c r="X588" t="s">
        <v>11</v>
      </c>
      <c r="Y588" t="s">
        <v>8</v>
      </c>
      <c r="Z588" t="s">
        <v>17</v>
      </c>
      <c r="AA588" t="s">
        <v>1049</v>
      </c>
      <c r="AB588" t="s">
        <v>11</v>
      </c>
      <c r="AC588" t="s">
        <v>11</v>
      </c>
      <c r="AD588" t="s">
        <v>11</v>
      </c>
      <c r="AE588" s="2">
        <v>45798</v>
      </c>
      <c r="AF588" s="2"/>
      <c r="AG588" t="s">
        <v>11</v>
      </c>
      <c r="AH588" s="14">
        <f>VLOOKUP(M588,'[1]INDIAN ENTERPRISES'!$D:$D,1,0)</f>
        <v>256779413398</v>
      </c>
      <c r="AJ588" s="15">
        <f>VLOOKUP(M588,'[1]INDIAN ENTERPRISES'!$D:$L,9,0)</f>
        <v>45869</v>
      </c>
    </row>
    <row r="589" spans="1:36" hidden="1" outlineLevel="2" x14ac:dyDescent="0.25">
      <c r="A589" t="s">
        <v>20</v>
      </c>
      <c r="B589" t="s">
        <v>1</v>
      </c>
      <c r="C589" t="s">
        <v>2</v>
      </c>
      <c r="D589" t="s">
        <v>3</v>
      </c>
      <c r="E589" t="s">
        <v>4</v>
      </c>
      <c r="F589" t="s">
        <v>96</v>
      </c>
      <c r="G589" s="2">
        <v>45798</v>
      </c>
      <c r="H589" t="s">
        <v>1053</v>
      </c>
      <c r="I589" t="s">
        <v>7</v>
      </c>
      <c r="J589" s="2">
        <v>45798</v>
      </c>
      <c r="K589" s="2">
        <v>45800</v>
      </c>
      <c r="L589" t="s">
        <v>8</v>
      </c>
      <c r="M589" s="14">
        <v>256779413399</v>
      </c>
      <c r="N589" t="s">
        <v>9</v>
      </c>
      <c r="O589" t="s">
        <v>10</v>
      </c>
      <c r="P589" t="s">
        <v>11</v>
      </c>
      <c r="Q589" t="s">
        <v>12</v>
      </c>
      <c r="R589" t="s">
        <v>13</v>
      </c>
      <c r="S589" s="3">
        <v>229.87</v>
      </c>
      <c r="T589" t="s">
        <v>14</v>
      </c>
      <c r="U589" s="3">
        <v>19765.07</v>
      </c>
      <c r="V589" t="s">
        <v>15</v>
      </c>
      <c r="W589" t="s">
        <v>16</v>
      </c>
      <c r="X589" t="s">
        <v>11</v>
      </c>
      <c r="Y589" t="s">
        <v>8</v>
      </c>
      <c r="Z589" t="s">
        <v>17</v>
      </c>
      <c r="AA589" t="s">
        <v>1049</v>
      </c>
      <c r="AB589" t="s">
        <v>11</v>
      </c>
      <c r="AC589" t="s">
        <v>11</v>
      </c>
      <c r="AD589" t="s">
        <v>11</v>
      </c>
      <c r="AE589" s="2">
        <v>45798</v>
      </c>
      <c r="AF589" s="2"/>
      <c r="AG589" t="s">
        <v>11</v>
      </c>
      <c r="AH589" s="14">
        <f>VLOOKUP(M589,'[1]INDIAN ENTERPRISES'!$D:$D,1,0)</f>
        <v>256779413399</v>
      </c>
      <c r="AJ589" s="15">
        <f>VLOOKUP(M589,'[1]INDIAN ENTERPRISES'!$D:$L,9,0)</f>
        <v>45869</v>
      </c>
    </row>
    <row r="590" spans="1:36" hidden="1" outlineLevel="2" x14ac:dyDescent="0.25">
      <c r="A590" t="s">
        <v>20</v>
      </c>
      <c r="B590" t="s">
        <v>1</v>
      </c>
      <c r="C590" t="s">
        <v>2</v>
      </c>
      <c r="D590" t="s">
        <v>3</v>
      </c>
      <c r="E590" t="s">
        <v>4</v>
      </c>
      <c r="F590" t="s">
        <v>96</v>
      </c>
      <c r="G590" s="2">
        <v>45798</v>
      </c>
      <c r="H590" t="s">
        <v>1054</v>
      </c>
      <c r="I590" t="s">
        <v>7</v>
      </c>
      <c r="J590" s="2">
        <v>45798</v>
      </c>
      <c r="K590" s="2">
        <v>45800</v>
      </c>
      <c r="L590" t="s">
        <v>8</v>
      </c>
      <c r="M590" s="14">
        <v>256779413400</v>
      </c>
      <c r="N590" t="s">
        <v>9</v>
      </c>
      <c r="O590" t="s">
        <v>10</v>
      </c>
      <c r="P590" t="s">
        <v>11</v>
      </c>
      <c r="Q590" t="s">
        <v>12</v>
      </c>
      <c r="R590" t="s">
        <v>13</v>
      </c>
      <c r="S590" s="3">
        <v>218.17</v>
      </c>
      <c r="T590" t="s">
        <v>14</v>
      </c>
      <c r="U590" s="3">
        <v>18759.060000000001</v>
      </c>
      <c r="V590" t="s">
        <v>15</v>
      </c>
      <c r="W590" t="s">
        <v>16</v>
      </c>
      <c r="X590" t="s">
        <v>11</v>
      </c>
      <c r="Y590" t="s">
        <v>8</v>
      </c>
      <c r="Z590" t="s">
        <v>17</v>
      </c>
      <c r="AA590" t="s">
        <v>1049</v>
      </c>
      <c r="AB590" t="s">
        <v>11</v>
      </c>
      <c r="AC590" t="s">
        <v>11</v>
      </c>
      <c r="AD590" t="s">
        <v>11</v>
      </c>
      <c r="AE590" s="2">
        <v>45798</v>
      </c>
      <c r="AF590" s="2"/>
      <c r="AG590" t="s">
        <v>11</v>
      </c>
      <c r="AH590" s="14">
        <f>VLOOKUP(M590,'[1]INDIAN ENTERPRISES'!$D:$D,1,0)</f>
        <v>256779413400</v>
      </c>
      <c r="AJ590" s="15">
        <f>VLOOKUP(M590,'[1]INDIAN ENTERPRISES'!$D:$L,9,0)</f>
        <v>45869</v>
      </c>
    </row>
    <row r="591" spans="1:36" hidden="1" outlineLevel="2" x14ac:dyDescent="0.25">
      <c r="A591" t="s">
        <v>20</v>
      </c>
      <c r="B591" t="s">
        <v>1</v>
      </c>
      <c r="C591" t="s">
        <v>2</v>
      </c>
      <c r="D591" t="s">
        <v>3</v>
      </c>
      <c r="E591" t="s">
        <v>4</v>
      </c>
      <c r="F591" t="s">
        <v>96</v>
      </c>
      <c r="G591" s="2">
        <v>45798</v>
      </c>
      <c r="H591" t="s">
        <v>1055</v>
      </c>
      <c r="I591" t="s">
        <v>7</v>
      </c>
      <c r="J591" s="2">
        <v>45798</v>
      </c>
      <c r="K591" s="2">
        <v>45800</v>
      </c>
      <c r="L591" t="s">
        <v>8</v>
      </c>
      <c r="M591" s="14">
        <v>256779413401</v>
      </c>
      <c r="N591" t="s">
        <v>9</v>
      </c>
      <c r="O591" t="s">
        <v>10</v>
      </c>
      <c r="P591" t="s">
        <v>11</v>
      </c>
      <c r="Q591" t="s">
        <v>12</v>
      </c>
      <c r="R591" t="s">
        <v>13</v>
      </c>
      <c r="S591" s="3">
        <v>229.87</v>
      </c>
      <c r="T591" t="s">
        <v>14</v>
      </c>
      <c r="U591" s="3">
        <v>19765.07</v>
      </c>
      <c r="V591" t="s">
        <v>15</v>
      </c>
      <c r="W591" t="s">
        <v>16</v>
      </c>
      <c r="X591" t="s">
        <v>11</v>
      </c>
      <c r="Y591" t="s">
        <v>8</v>
      </c>
      <c r="Z591" t="s">
        <v>17</v>
      </c>
      <c r="AA591" t="s">
        <v>1049</v>
      </c>
      <c r="AB591" t="s">
        <v>11</v>
      </c>
      <c r="AC591" t="s">
        <v>11</v>
      </c>
      <c r="AD591" t="s">
        <v>11</v>
      </c>
      <c r="AE591" s="2">
        <v>45798</v>
      </c>
      <c r="AF591" s="2"/>
      <c r="AG591" t="s">
        <v>11</v>
      </c>
      <c r="AH591" s="14">
        <f>VLOOKUP(M591,'[1]INDIAN ENTERPRISES'!$D:$D,1,0)</f>
        <v>256779413401</v>
      </c>
      <c r="AJ591" s="15">
        <f>VLOOKUP(M591,'[1]INDIAN ENTERPRISES'!$D:$L,9,0)</f>
        <v>45869</v>
      </c>
    </row>
    <row r="592" spans="1:36" hidden="1" outlineLevel="2" x14ac:dyDescent="0.25">
      <c r="A592" t="s">
        <v>20</v>
      </c>
      <c r="B592" t="s">
        <v>1</v>
      </c>
      <c r="C592" t="s">
        <v>2</v>
      </c>
      <c r="D592" t="s">
        <v>3</v>
      </c>
      <c r="E592" t="s">
        <v>4</v>
      </c>
      <c r="F592" t="s">
        <v>96</v>
      </c>
      <c r="G592" s="2">
        <v>45798</v>
      </c>
      <c r="H592" t="s">
        <v>1056</v>
      </c>
      <c r="I592" t="s">
        <v>7</v>
      </c>
      <c r="J592" s="2">
        <v>45798</v>
      </c>
      <c r="K592" s="2">
        <v>45800</v>
      </c>
      <c r="L592" t="s">
        <v>8</v>
      </c>
      <c r="M592" s="14">
        <v>256779413402</v>
      </c>
      <c r="N592" t="s">
        <v>9</v>
      </c>
      <c r="O592" t="s">
        <v>10</v>
      </c>
      <c r="P592" t="s">
        <v>11</v>
      </c>
      <c r="Q592" t="s">
        <v>12</v>
      </c>
      <c r="R592" t="s">
        <v>13</v>
      </c>
      <c r="S592" s="3">
        <v>229.87</v>
      </c>
      <c r="T592" t="s">
        <v>14</v>
      </c>
      <c r="U592" s="3">
        <v>19765.07</v>
      </c>
      <c r="V592" t="s">
        <v>15</v>
      </c>
      <c r="W592" t="s">
        <v>16</v>
      </c>
      <c r="X592" t="s">
        <v>11</v>
      </c>
      <c r="Y592" t="s">
        <v>8</v>
      </c>
      <c r="Z592" t="s">
        <v>17</v>
      </c>
      <c r="AA592" t="s">
        <v>1049</v>
      </c>
      <c r="AB592" t="s">
        <v>11</v>
      </c>
      <c r="AC592" t="s">
        <v>11</v>
      </c>
      <c r="AD592" t="s">
        <v>11</v>
      </c>
      <c r="AE592" s="2">
        <v>45798</v>
      </c>
      <c r="AF592" s="2"/>
      <c r="AG592" t="s">
        <v>11</v>
      </c>
      <c r="AH592" s="14">
        <f>VLOOKUP(M592,'[1]INDIAN ENTERPRISES'!$D:$D,1,0)</f>
        <v>256779413402</v>
      </c>
      <c r="AJ592" s="15">
        <f>VLOOKUP(M592,'[1]INDIAN ENTERPRISES'!$D:$L,9,0)</f>
        <v>45869</v>
      </c>
    </row>
    <row r="593" spans="1:36" hidden="1" outlineLevel="2" x14ac:dyDescent="0.25">
      <c r="A593" t="s">
        <v>20</v>
      </c>
      <c r="B593" t="s">
        <v>1</v>
      </c>
      <c r="C593" t="s">
        <v>2</v>
      </c>
      <c r="D593" t="s">
        <v>3</v>
      </c>
      <c r="E593" t="s">
        <v>4</v>
      </c>
      <c r="F593" t="s">
        <v>96</v>
      </c>
      <c r="G593" s="2">
        <v>45798</v>
      </c>
      <c r="H593" t="s">
        <v>1057</v>
      </c>
      <c r="I593" t="s">
        <v>7</v>
      </c>
      <c r="J593" s="2">
        <v>45798</v>
      </c>
      <c r="K593" s="2">
        <v>45800</v>
      </c>
      <c r="L593" t="s">
        <v>8</v>
      </c>
      <c r="M593" s="14">
        <v>256779413403</v>
      </c>
      <c r="N593" t="s">
        <v>9</v>
      </c>
      <c r="O593" t="s">
        <v>10</v>
      </c>
      <c r="P593" t="s">
        <v>11</v>
      </c>
      <c r="Q593" t="s">
        <v>12</v>
      </c>
      <c r="R593" t="s">
        <v>13</v>
      </c>
      <c r="S593" s="3">
        <v>402.88</v>
      </c>
      <c r="T593" t="s">
        <v>14</v>
      </c>
      <c r="U593" s="3">
        <v>34641.11</v>
      </c>
      <c r="V593" t="s">
        <v>15</v>
      </c>
      <c r="W593" t="s">
        <v>16</v>
      </c>
      <c r="X593" t="s">
        <v>11</v>
      </c>
      <c r="Y593" t="s">
        <v>8</v>
      </c>
      <c r="Z593" t="s">
        <v>17</v>
      </c>
      <c r="AA593" t="s">
        <v>1058</v>
      </c>
      <c r="AB593" t="s">
        <v>11</v>
      </c>
      <c r="AC593" t="s">
        <v>11</v>
      </c>
      <c r="AD593" t="s">
        <v>11</v>
      </c>
      <c r="AE593" s="2">
        <v>45798</v>
      </c>
      <c r="AF593" s="2"/>
      <c r="AG593" t="s">
        <v>11</v>
      </c>
      <c r="AH593" s="14">
        <f>VLOOKUP(M593,'[1]INDIAN ENTERPRISES'!$D:$D,1,0)</f>
        <v>256779413403</v>
      </c>
      <c r="AJ593" s="15">
        <f>VLOOKUP(M593,'[1]INDIAN ENTERPRISES'!$D:$L,9,0)</f>
        <v>45869</v>
      </c>
    </row>
    <row r="594" spans="1:36" hidden="1" outlineLevel="2" x14ac:dyDescent="0.25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639</v>
      </c>
      <c r="G594" s="2">
        <v>45890</v>
      </c>
      <c r="H594" t="s">
        <v>1059</v>
      </c>
      <c r="I594" t="s">
        <v>98</v>
      </c>
      <c r="J594" s="2">
        <v>45890</v>
      </c>
      <c r="K594" s="2">
        <v>45890</v>
      </c>
      <c r="L594" t="s">
        <v>8</v>
      </c>
      <c r="M594" s="14">
        <v>256779421698</v>
      </c>
      <c r="N594" t="s">
        <v>9</v>
      </c>
      <c r="O594" t="s">
        <v>10</v>
      </c>
      <c r="P594" t="s">
        <v>11</v>
      </c>
      <c r="Q594" t="s">
        <v>42</v>
      </c>
      <c r="R594" t="s">
        <v>13</v>
      </c>
      <c r="S594" s="3">
        <v>-30</v>
      </c>
      <c r="T594" t="s">
        <v>14</v>
      </c>
      <c r="U594" s="3">
        <v>-2580.9</v>
      </c>
      <c r="V594" t="s">
        <v>15</v>
      </c>
      <c r="W594" t="s">
        <v>16</v>
      </c>
      <c r="X594" t="s">
        <v>11</v>
      </c>
      <c r="Y594" t="s">
        <v>8</v>
      </c>
      <c r="Z594" t="s">
        <v>17</v>
      </c>
      <c r="AA594" t="s">
        <v>1060</v>
      </c>
      <c r="AB594" t="s">
        <v>11</v>
      </c>
      <c r="AC594" t="s">
        <v>11</v>
      </c>
      <c r="AD594" t="s">
        <v>11</v>
      </c>
      <c r="AE594" s="2">
        <v>45890</v>
      </c>
      <c r="AF594" s="2">
        <v>45974</v>
      </c>
      <c r="AG594" t="s">
        <v>39</v>
      </c>
      <c r="AH594" s="14" t="e">
        <f>VLOOKUP(M594,'[1]INDIAN ENTERPRISES'!$D:$D,1,0)</f>
        <v>#N/A</v>
      </c>
      <c r="AI594" t="str">
        <f>VLOOKUP(M594,'[2]CN Not in Customer books'!$D:$J,7,0)</f>
        <v>CN under booking</v>
      </c>
      <c r="AJ594" s="15" t="e">
        <f>VLOOKUP(M594,'[1]INDIAN ENTERPRISES'!$D:$L,9,0)</f>
        <v>#N/A</v>
      </c>
    </row>
    <row r="595" spans="1:36" hidden="1" outlineLevel="2" x14ac:dyDescent="0.25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 t="s">
        <v>639</v>
      </c>
      <c r="G595" s="2">
        <v>45890</v>
      </c>
      <c r="H595" t="s">
        <v>1061</v>
      </c>
      <c r="I595" t="s">
        <v>98</v>
      </c>
      <c r="J595" s="2">
        <v>45890</v>
      </c>
      <c r="K595" s="2">
        <v>45890</v>
      </c>
      <c r="L595" t="s">
        <v>8</v>
      </c>
      <c r="M595" s="14">
        <v>256779421699</v>
      </c>
      <c r="N595" t="s">
        <v>9</v>
      </c>
      <c r="O595" t="s">
        <v>10</v>
      </c>
      <c r="P595" t="s">
        <v>11</v>
      </c>
      <c r="Q595" t="s">
        <v>42</v>
      </c>
      <c r="R595" t="s">
        <v>13</v>
      </c>
      <c r="S595" s="3">
        <v>-30</v>
      </c>
      <c r="T595" t="s">
        <v>14</v>
      </c>
      <c r="U595" s="3">
        <v>-2580.9</v>
      </c>
      <c r="V595" t="s">
        <v>15</v>
      </c>
      <c r="W595" t="s">
        <v>16</v>
      </c>
      <c r="X595" t="s">
        <v>11</v>
      </c>
      <c r="Y595" t="s">
        <v>8</v>
      </c>
      <c r="Z595" t="s">
        <v>17</v>
      </c>
      <c r="AA595" t="s">
        <v>1062</v>
      </c>
      <c r="AB595" t="s">
        <v>11</v>
      </c>
      <c r="AC595" t="s">
        <v>11</v>
      </c>
      <c r="AD595" t="s">
        <v>11</v>
      </c>
      <c r="AE595" s="2">
        <v>45890</v>
      </c>
      <c r="AF595" s="2">
        <v>45974</v>
      </c>
      <c r="AG595" t="s">
        <v>39</v>
      </c>
      <c r="AH595" s="14" t="e">
        <f>VLOOKUP(M595,'[1]INDIAN ENTERPRISES'!$D:$D,1,0)</f>
        <v>#N/A</v>
      </c>
      <c r="AI595" t="str">
        <f>VLOOKUP(M595,'[2]CN Not in Customer books'!$D:$J,7,0)</f>
        <v>CN under booking</v>
      </c>
      <c r="AJ595" s="15" t="e">
        <f>VLOOKUP(M595,'[1]INDIAN ENTERPRISES'!$D:$L,9,0)</f>
        <v>#N/A</v>
      </c>
    </row>
    <row r="596" spans="1:36" hidden="1" outlineLevel="2" x14ac:dyDescent="0.25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639</v>
      </c>
      <c r="G596" s="2">
        <v>45890</v>
      </c>
      <c r="H596" t="s">
        <v>1063</v>
      </c>
      <c r="I596" t="s">
        <v>98</v>
      </c>
      <c r="J596" s="2">
        <v>45890</v>
      </c>
      <c r="K596" s="2">
        <v>45890</v>
      </c>
      <c r="L596" t="s">
        <v>8</v>
      </c>
      <c r="M596" s="14">
        <v>256779421700</v>
      </c>
      <c r="N596" t="s">
        <v>9</v>
      </c>
      <c r="O596" t="s">
        <v>10</v>
      </c>
      <c r="P596" t="s">
        <v>11</v>
      </c>
      <c r="Q596" t="s">
        <v>42</v>
      </c>
      <c r="R596" t="s">
        <v>13</v>
      </c>
      <c r="S596" s="3">
        <v>-30</v>
      </c>
      <c r="T596" t="s">
        <v>14</v>
      </c>
      <c r="U596" s="3">
        <v>-2580.9</v>
      </c>
      <c r="V596" t="s">
        <v>15</v>
      </c>
      <c r="W596" t="s">
        <v>16</v>
      </c>
      <c r="X596" t="s">
        <v>11</v>
      </c>
      <c r="Y596" t="s">
        <v>8</v>
      </c>
      <c r="Z596" t="s">
        <v>17</v>
      </c>
      <c r="AA596" t="s">
        <v>1064</v>
      </c>
      <c r="AB596" t="s">
        <v>11</v>
      </c>
      <c r="AC596" t="s">
        <v>11</v>
      </c>
      <c r="AD596" t="s">
        <v>11</v>
      </c>
      <c r="AE596" s="2">
        <v>45890</v>
      </c>
      <c r="AF596" s="2">
        <v>45974</v>
      </c>
      <c r="AG596" t="s">
        <v>39</v>
      </c>
      <c r="AH596" s="14" t="e">
        <f>VLOOKUP(M596,'[1]INDIAN ENTERPRISES'!$D:$D,1,0)</f>
        <v>#N/A</v>
      </c>
      <c r="AI596" t="str">
        <f>VLOOKUP(M596,'[2]CN Not in Customer books'!$D:$J,7,0)</f>
        <v>CN under booking</v>
      </c>
      <c r="AJ596" s="15" t="e">
        <f>VLOOKUP(M596,'[1]INDIAN ENTERPRISES'!$D:$L,9,0)</f>
        <v>#N/A</v>
      </c>
    </row>
    <row r="597" spans="1:36" hidden="1" outlineLevel="2" x14ac:dyDescent="0.25">
      <c r="A597" t="s">
        <v>0</v>
      </c>
      <c r="B597" t="s">
        <v>1</v>
      </c>
      <c r="C597" t="s">
        <v>2</v>
      </c>
      <c r="D597" t="s">
        <v>3</v>
      </c>
      <c r="E597" t="s">
        <v>4</v>
      </c>
      <c r="F597" t="s">
        <v>639</v>
      </c>
      <c r="G597" s="2">
        <v>45890</v>
      </c>
      <c r="H597" t="s">
        <v>1065</v>
      </c>
      <c r="I597" t="s">
        <v>98</v>
      </c>
      <c r="J597" s="2">
        <v>45890</v>
      </c>
      <c r="K597" s="2">
        <v>45890</v>
      </c>
      <c r="L597" t="s">
        <v>8</v>
      </c>
      <c r="M597" s="14">
        <v>256779421701</v>
      </c>
      <c r="N597" t="s">
        <v>9</v>
      </c>
      <c r="O597" t="s">
        <v>10</v>
      </c>
      <c r="P597" t="s">
        <v>11</v>
      </c>
      <c r="Q597" t="s">
        <v>42</v>
      </c>
      <c r="R597" t="s">
        <v>13</v>
      </c>
      <c r="S597" s="3">
        <v>-30</v>
      </c>
      <c r="T597" t="s">
        <v>14</v>
      </c>
      <c r="U597" s="3">
        <v>-2580.9</v>
      </c>
      <c r="V597" t="s">
        <v>15</v>
      </c>
      <c r="W597" t="s">
        <v>16</v>
      </c>
      <c r="X597" t="s">
        <v>11</v>
      </c>
      <c r="Y597" t="s">
        <v>8</v>
      </c>
      <c r="Z597" t="s">
        <v>17</v>
      </c>
      <c r="AA597" t="s">
        <v>1066</v>
      </c>
      <c r="AB597" t="s">
        <v>11</v>
      </c>
      <c r="AC597" t="s">
        <v>11</v>
      </c>
      <c r="AD597" t="s">
        <v>11</v>
      </c>
      <c r="AE597" s="2">
        <v>45890</v>
      </c>
      <c r="AF597" s="2">
        <v>45974</v>
      </c>
      <c r="AG597" t="s">
        <v>39</v>
      </c>
      <c r="AH597" s="14" t="e">
        <f>VLOOKUP(M597,'[1]INDIAN ENTERPRISES'!$D:$D,1,0)</f>
        <v>#N/A</v>
      </c>
      <c r="AI597" t="str">
        <f>VLOOKUP(M597,'[2]CN Not in Customer books'!$D:$J,7,0)</f>
        <v>CN under booking</v>
      </c>
      <c r="AJ597" s="15" t="e">
        <f>VLOOKUP(M597,'[1]INDIAN ENTERPRISES'!$D:$L,9,0)</f>
        <v>#N/A</v>
      </c>
    </row>
    <row r="598" spans="1:36" hidden="1" outlineLevel="2" x14ac:dyDescent="0.25">
      <c r="A598" t="s">
        <v>0</v>
      </c>
      <c r="B598" t="s">
        <v>1</v>
      </c>
      <c r="C598" t="s">
        <v>2</v>
      </c>
      <c r="D598" t="s">
        <v>3</v>
      </c>
      <c r="E598" t="s">
        <v>4</v>
      </c>
      <c r="F598" t="s">
        <v>639</v>
      </c>
      <c r="G598" s="2">
        <v>45890</v>
      </c>
      <c r="H598" t="s">
        <v>1067</v>
      </c>
      <c r="I598" t="s">
        <v>98</v>
      </c>
      <c r="J598" s="2">
        <v>45890</v>
      </c>
      <c r="K598" s="2">
        <v>45890</v>
      </c>
      <c r="L598" t="s">
        <v>8</v>
      </c>
      <c r="M598" s="14">
        <v>256779421702</v>
      </c>
      <c r="N598" t="s">
        <v>9</v>
      </c>
      <c r="O598" t="s">
        <v>10</v>
      </c>
      <c r="P598" t="s">
        <v>11</v>
      </c>
      <c r="Q598" t="s">
        <v>42</v>
      </c>
      <c r="R598" t="s">
        <v>13</v>
      </c>
      <c r="S598" s="3">
        <v>-30</v>
      </c>
      <c r="T598" t="s">
        <v>14</v>
      </c>
      <c r="U598" s="3">
        <v>-2580.9</v>
      </c>
      <c r="V598" t="s">
        <v>15</v>
      </c>
      <c r="W598" t="s">
        <v>16</v>
      </c>
      <c r="X598" t="s">
        <v>11</v>
      </c>
      <c r="Y598" t="s">
        <v>8</v>
      </c>
      <c r="Z598" t="s">
        <v>17</v>
      </c>
      <c r="AA598" t="s">
        <v>1068</v>
      </c>
      <c r="AB598" t="s">
        <v>11</v>
      </c>
      <c r="AC598" t="s">
        <v>11</v>
      </c>
      <c r="AD598" t="s">
        <v>11</v>
      </c>
      <c r="AE598" s="2">
        <v>45890</v>
      </c>
      <c r="AF598" s="2">
        <v>45974</v>
      </c>
      <c r="AG598" t="s">
        <v>39</v>
      </c>
      <c r="AH598" s="14" t="e">
        <f>VLOOKUP(M598,'[1]INDIAN ENTERPRISES'!$D:$D,1,0)</f>
        <v>#N/A</v>
      </c>
      <c r="AI598" t="str">
        <f>VLOOKUP(M598,'[2]CN Not in Customer books'!$D:$J,7,0)</f>
        <v>CN under booking</v>
      </c>
      <c r="AJ598" s="15" t="e">
        <f>VLOOKUP(M598,'[1]INDIAN ENTERPRISES'!$D:$L,9,0)</f>
        <v>#N/A</v>
      </c>
    </row>
    <row r="599" spans="1:36" hidden="1" outlineLevel="2" x14ac:dyDescent="0.25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639</v>
      </c>
      <c r="G599" s="2">
        <v>45890</v>
      </c>
      <c r="H599" t="s">
        <v>1069</v>
      </c>
      <c r="I599" t="s">
        <v>98</v>
      </c>
      <c r="J599" s="2">
        <v>45890</v>
      </c>
      <c r="K599" s="2">
        <v>45890</v>
      </c>
      <c r="L599" t="s">
        <v>8</v>
      </c>
      <c r="M599" s="14">
        <v>256779421703</v>
      </c>
      <c r="N599" t="s">
        <v>9</v>
      </c>
      <c r="O599" t="s">
        <v>10</v>
      </c>
      <c r="P599" t="s">
        <v>11</v>
      </c>
      <c r="Q599" t="s">
        <v>42</v>
      </c>
      <c r="R599" t="s">
        <v>13</v>
      </c>
      <c r="S599" s="3">
        <v>-27.39</v>
      </c>
      <c r="T599" t="s">
        <v>14</v>
      </c>
      <c r="U599" s="3">
        <v>-2356.36</v>
      </c>
      <c r="V599" t="s">
        <v>15</v>
      </c>
      <c r="W599" t="s">
        <v>16</v>
      </c>
      <c r="X599" t="s">
        <v>11</v>
      </c>
      <c r="Y599" t="s">
        <v>8</v>
      </c>
      <c r="Z599" t="s">
        <v>17</v>
      </c>
      <c r="AA599" t="s">
        <v>1070</v>
      </c>
      <c r="AB599" t="s">
        <v>11</v>
      </c>
      <c r="AC599" t="s">
        <v>11</v>
      </c>
      <c r="AD599" t="s">
        <v>11</v>
      </c>
      <c r="AE599" s="2">
        <v>45890</v>
      </c>
      <c r="AF599" s="2">
        <v>45974</v>
      </c>
      <c r="AG599" t="s">
        <v>39</v>
      </c>
      <c r="AH599" s="14" t="e">
        <f>VLOOKUP(M599,'[1]INDIAN ENTERPRISES'!$D:$D,1,0)</f>
        <v>#N/A</v>
      </c>
      <c r="AI599" t="str">
        <f>VLOOKUP(M599,'[2]CN Not in Customer books'!$D:$J,7,0)</f>
        <v>CN under booking</v>
      </c>
      <c r="AJ599" s="15" t="e">
        <f>VLOOKUP(M599,'[1]INDIAN ENTERPRISES'!$D:$L,9,0)</f>
        <v>#N/A</v>
      </c>
    </row>
    <row r="600" spans="1:36" hidden="1" outlineLevel="2" x14ac:dyDescent="0.25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639</v>
      </c>
      <c r="G600" s="2">
        <v>45890</v>
      </c>
      <c r="H600" t="s">
        <v>1071</v>
      </c>
      <c r="I600" t="s">
        <v>98</v>
      </c>
      <c r="J600" s="2">
        <v>45890</v>
      </c>
      <c r="K600" s="2">
        <v>45890</v>
      </c>
      <c r="L600" t="s">
        <v>8</v>
      </c>
      <c r="M600" s="14">
        <v>256779421705</v>
      </c>
      <c r="N600" t="s">
        <v>9</v>
      </c>
      <c r="O600" t="s">
        <v>10</v>
      </c>
      <c r="P600" t="s">
        <v>11</v>
      </c>
      <c r="Q600" t="s">
        <v>42</v>
      </c>
      <c r="R600" t="s">
        <v>13</v>
      </c>
      <c r="S600" s="3">
        <v>-212.5</v>
      </c>
      <c r="T600" t="s">
        <v>14</v>
      </c>
      <c r="U600" s="3">
        <v>-18281.400000000001</v>
      </c>
      <c r="V600" t="s">
        <v>15</v>
      </c>
      <c r="W600" t="s">
        <v>16</v>
      </c>
      <c r="X600" t="s">
        <v>11</v>
      </c>
      <c r="Y600" t="s">
        <v>8</v>
      </c>
      <c r="Z600" t="s">
        <v>17</v>
      </c>
      <c r="AA600" t="s">
        <v>1072</v>
      </c>
      <c r="AB600" t="s">
        <v>11</v>
      </c>
      <c r="AC600" t="s">
        <v>11</v>
      </c>
      <c r="AD600" t="s">
        <v>11</v>
      </c>
      <c r="AE600" s="2">
        <v>45890</v>
      </c>
      <c r="AF600" s="2">
        <v>45974</v>
      </c>
      <c r="AG600" t="s">
        <v>39</v>
      </c>
      <c r="AH600" s="14" t="e">
        <f>VLOOKUP(M600,'[1]INDIAN ENTERPRISES'!$D:$D,1,0)</f>
        <v>#N/A</v>
      </c>
      <c r="AI600" t="str">
        <f>VLOOKUP(M600,'[2]CN Not in Customer books'!$D:$J,7,0)</f>
        <v>CN under booking</v>
      </c>
      <c r="AJ600" s="15" t="e">
        <f>VLOOKUP(M600,'[1]INDIAN ENTERPRISES'!$D:$L,9,0)</f>
        <v>#N/A</v>
      </c>
    </row>
    <row r="601" spans="1:36" hidden="1" outlineLevel="2" x14ac:dyDescent="0.25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639</v>
      </c>
      <c r="G601" s="2">
        <v>45890</v>
      </c>
      <c r="H601" t="s">
        <v>1073</v>
      </c>
      <c r="I601" t="s">
        <v>98</v>
      </c>
      <c r="J601" s="2">
        <v>45890</v>
      </c>
      <c r="K601" s="2">
        <v>45890</v>
      </c>
      <c r="L601" t="s">
        <v>8</v>
      </c>
      <c r="M601" s="14">
        <v>256779421706</v>
      </c>
      <c r="N601" t="s">
        <v>9</v>
      </c>
      <c r="O601" t="s">
        <v>10</v>
      </c>
      <c r="P601" t="s">
        <v>11</v>
      </c>
      <c r="Q601" t="s">
        <v>42</v>
      </c>
      <c r="R601" t="s">
        <v>13</v>
      </c>
      <c r="S601" s="3">
        <v>-362.02</v>
      </c>
      <c r="T601" t="s">
        <v>14</v>
      </c>
      <c r="U601" s="3">
        <v>-31144.62</v>
      </c>
      <c r="V601" t="s">
        <v>15</v>
      </c>
      <c r="W601" t="s">
        <v>16</v>
      </c>
      <c r="X601" t="s">
        <v>11</v>
      </c>
      <c r="Y601" t="s">
        <v>8</v>
      </c>
      <c r="Z601" t="s">
        <v>17</v>
      </c>
      <c r="AA601" t="s">
        <v>1074</v>
      </c>
      <c r="AB601" t="s">
        <v>11</v>
      </c>
      <c r="AC601" t="s">
        <v>11</v>
      </c>
      <c r="AD601" t="s">
        <v>11</v>
      </c>
      <c r="AE601" s="2">
        <v>45890</v>
      </c>
      <c r="AF601" s="2">
        <v>45974</v>
      </c>
      <c r="AG601" t="s">
        <v>1075</v>
      </c>
      <c r="AH601" s="14" t="e">
        <f>VLOOKUP(M601,'[1]INDIAN ENTERPRISES'!$D:$D,1,0)</f>
        <v>#N/A</v>
      </c>
      <c r="AI601" t="str">
        <f>VLOOKUP(M601,'[2]CN Not in Customer books'!$D:$J,7,0)</f>
        <v>CN under booking</v>
      </c>
      <c r="AJ601" s="15" t="e">
        <f>VLOOKUP(M601,'[1]INDIAN ENTERPRISES'!$D:$L,9,0)</f>
        <v>#N/A</v>
      </c>
    </row>
    <row r="602" spans="1:36" hidden="1" outlineLevel="2" x14ac:dyDescent="0.25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639</v>
      </c>
      <c r="G602" s="2">
        <v>45890</v>
      </c>
      <c r="H602" t="s">
        <v>1076</v>
      </c>
      <c r="I602" t="s">
        <v>98</v>
      </c>
      <c r="J602" s="2">
        <v>45890</v>
      </c>
      <c r="K602" s="2">
        <v>45890</v>
      </c>
      <c r="L602" t="s">
        <v>8</v>
      </c>
      <c r="M602" s="14">
        <v>256779421707</v>
      </c>
      <c r="N602" t="s">
        <v>9</v>
      </c>
      <c r="O602" t="s">
        <v>10</v>
      </c>
      <c r="P602" t="s">
        <v>11</v>
      </c>
      <c r="Q602" t="s">
        <v>42</v>
      </c>
      <c r="R602" t="s">
        <v>13</v>
      </c>
      <c r="S602" s="3">
        <v>-228.75</v>
      </c>
      <c r="T602" t="s">
        <v>14</v>
      </c>
      <c r="U602" s="3">
        <v>-19679.39</v>
      </c>
      <c r="V602" t="s">
        <v>15</v>
      </c>
      <c r="W602" t="s">
        <v>16</v>
      </c>
      <c r="X602" t="s">
        <v>11</v>
      </c>
      <c r="Y602" t="s">
        <v>8</v>
      </c>
      <c r="Z602" t="s">
        <v>17</v>
      </c>
      <c r="AA602" t="s">
        <v>1077</v>
      </c>
      <c r="AB602" t="s">
        <v>11</v>
      </c>
      <c r="AC602" t="s">
        <v>11</v>
      </c>
      <c r="AD602" t="s">
        <v>11</v>
      </c>
      <c r="AE602" s="2">
        <v>45890</v>
      </c>
      <c r="AF602" s="2">
        <v>45974</v>
      </c>
      <c r="AG602" t="s">
        <v>1075</v>
      </c>
      <c r="AH602" s="14" t="e">
        <f>VLOOKUP(M602,'[1]INDIAN ENTERPRISES'!$D:$D,1,0)</f>
        <v>#N/A</v>
      </c>
      <c r="AI602" t="str">
        <f>VLOOKUP(M602,'[2]CN Not in Customer books'!$D:$J,7,0)</f>
        <v>CN under booking</v>
      </c>
      <c r="AJ602" s="15" t="e">
        <f>VLOOKUP(M602,'[1]INDIAN ENTERPRISES'!$D:$L,9,0)</f>
        <v>#N/A</v>
      </c>
    </row>
    <row r="603" spans="1:36" hidden="1" outlineLevel="2" x14ac:dyDescent="0.25">
      <c r="A603" t="s">
        <v>0</v>
      </c>
      <c r="B603" t="s">
        <v>1</v>
      </c>
      <c r="C603" t="s">
        <v>2</v>
      </c>
      <c r="D603" t="s">
        <v>3</v>
      </c>
      <c r="E603" t="s">
        <v>4</v>
      </c>
      <c r="F603" t="s">
        <v>639</v>
      </c>
      <c r="G603" s="2">
        <v>45890</v>
      </c>
      <c r="H603" t="s">
        <v>1078</v>
      </c>
      <c r="I603" t="s">
        <v>98</v>
      </c>
      <c r="J603" s="2">
        <v>45890</v>
      </c>
      <c r="K603" s="2">
        <v>45890</v>
      </c>
      <c r="L603" t="s">
        <v>8</v>
      </c>
      <c r="M603" s="14">
        <v>256779421708</v>
      </c>
      <c r="N603" t="s">
        <v>9</v>
      </c>
      <c r="O603" t="s">
        <v>10</v>
      </c>
      <c r="P603" t="s">
        <v>11</v>
      </c>
      <c r="Q603" t="s">
        <v>42</v>
      </c>
      <c r="R603" t="s">
        <v>13</v>
      </c>
      <c r="S603" s="3">
        <v>-281.5</v>
      </c>
      <c r="T603" t="s">
        <v>14</v>
      </c>
      <c r="U603" s="3">
        <v>-24217.48</v>
      </c>
      <c r="V603" t="s">
        <v>15</v>
      </c>
      <c r="W603" t="s">
        <v>16</v>
      </c>
      <c r="X603" t="s">
        <v>11</v>
      </c>
      <c r="Y603" t="s">
        <v>8</v>
      </c>
      <c r="Z603" t="s">
        <v>17</v>
      </c>
      <c r="AA603" t="s">
        <v>1079</v>
      </c>
      <c r="AB603" t="s">
        <v>11</v>
      </c>
      <c r="AC603" t="s">
        <v>11</v>
      </c>
      <c r="AD603" t="s">
        <v>11</v>
      </c>
      <c r="AE603" s="2">
        <v>45890</v>
      </c>
      <c r="AF603" s="2">
        <v>45974</v>
      </c>
      <c r="AG603" t="s">
        <v>1075</v>
      </c>
      <c r="AH603" s="14" t="e">
        <f>VLOOKUP(M603,'[1]INDIAN ENTERPRISES'!$D:$D,1,0)</f>
        <v>#N/A</v>
      </c>
      <c r="AI603" t="str">
        <f>VLOOKUP(M603,'[2]CN Not in Customer books'!$D:$J,7,0)</f>
        <v>CN under booking</v>
      </c>
      <c r="AJ603" s="15" t="e">
        <f>VLOOKUP(M603,'[1]INDIAN ENTERPRISES'!$D:$L,9,0)</f>
        <v>#N/A</v>
      </c>
    </row>
    <row r="604" spans="1:36" hidden="1" outlineLevel="2" x14ac:dyDescent="0.25">
      <c r="A604" t="s">
        <v>20</v>
      </c>
      <c r="B604" t="s">
        <v>1</v>
      </c>
      <c r="C604" t="s">
        <v>2</v>
      </c>
      <c r="D604" t="s">
        <v>3</v>
      </c>
      <c r="E604" t="s">
        <v>4</v>
      </c>
      <c r="F604" t="s">
        <v>54</v>
      </c>
      <c r="G604" s="2">
        <v>45771</v>
      </c>
      <c r="H604" t="s">
        <v>1080</v>
      </c>
      <c r="I604" t="s">
        <v>7</v>
      </c>
      <c r="J604" s="2">
        <v>45771</v>
      </c>
      <c r="K604" s="2">
        <v>45773</v>
      </c>
      <c r="L604" t="s">
        <v>8</v>
      </c>
      <c r="M604" s="14">
        <v>256779412776</v>
      </c>
      <c r="N604" t="s">
        <v>9</v>
      </c>
      <c r="O604" t="s">
        <v>10</v>
      </c>
      <c r="P604" t="s">
        <v>11</v>
      </c>
      <c r="Q604" t="s">
        <v>12</v>
      </c>
      <c r="R604" t="s">
        <v>13</v>
      </c>
      <c r="S604" s="3">
        <v>632.46</v>
      </c>
      <c r="T604" t="s">
        <v>14</v>
      </c>
      <c r="U604" s="3">
        <v>54974.57</v>
      </c>
      <c r="V604" t="s">
        <v>15</v>
      </c>
      <c r="W604" t="s">
        <v>16</v>
      </c>
      <c r="X604" t="s">
        <v>11</v>
      </c>
      <c r="Y604" t="s">
        <v>8</v>
      </c>
      <c r="Z604" t="s">
        <v>17</v>
      </c>
      <c r="AA604" t="s">
        <v>1081</v>
      </c>
      <c r="AB604" t="s">
        <v>11</v>
      </c>
      <c r="AC604" t="s">
        <v>11</v>
      </c>
      <c r="AD604" t="s">
        <v>11</v>
      </c>
      <c r="AE604" s="2">
        <v>45771</v>
      </c>
      <c r="AF604" s="2"/>
      <c r="AG604" t="s">
        <v>11</v>
      </c>
      <c r="AH604" s="14">
        <f>VLOOKUP(M604,'[1]INDIAN ENTERPRISES'!$D:$D,1,0)</f>
        <v>256779412776</v>
      </c>
      <c r="AJ604" s="15">
        <f>VLOOKUP(M604,'[1]INDIAN ENTERPRISES'!$D:$L,9,0)</f>
        <v>46022</v>
      </c>
    </row>
    <row r="605" spans="1:36" hidden="1" outlineLevel="2" x14ac:dyDescent="0.25">
      <c r="A605" t="s">
        <v>20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s="2">
        <v>45826</v>
      </c>
      <c r="H605" t="s">
        <v>1082</v>
      </c>
      <c r="I605" t="s">
        <v>7</v>
      </c>
      <c r="J605" s="2">
        <v>45826</v>
      </c>
      <c r="K605" s="2">
        <v>45827</v>
      </c>
      <c r="L605" t="s">
        <v>8</v>
      </c>
      <c r="M605" s="14">
        <v>256779414431</v>
      </c>
      <c r="N605" t="s">
        <v>9</v>
      </c>
      <c r="O605" t="s">
        <v>10</v>
      </c>
      <c r="P605" t="s">
        <v>11</v>
      </c>
      <c r="Q605" t="s">
        <v>12</v>
      </c>
      <c r="R605" t="s">
        <v>13</v>
      </c>
      <c r="S605" s="3">
        <v>52.38</v>
      </c>
      <c r="T605" t="s">
        <v>14</v>
      </c>
      <c r="U605" s="3">
        <v>4478.01</v>
      </c>
      <c r="V605" t="s">
        <v>15</v>
      </c>
      <c r="W605" t="s">
        <v>16</v>
      </c>
      <c r="X605" t="s">
        <v>11</v>
      </c>
      <c r="Y605" t="s">
        <v>8</v>
      </c>
      <c r="Z605" t="s">
        <v>17</v>
      </c>
      <c r="AA605" t="s">
        <v>960</v>
      </c>
      <c r="AB605" t="s">
        <v>11</v>
      </c>
      <c r="AC605" t="s">
        <v>11</v>
      </c>
      <c r="AD605" t="s">
        <v>11</v>
      </c>
      <c r="AE605" s="2">
        <v>45826</v>
      </c>
      <c r="AF605" s="2"/>
      <c r="AG605" t="s">
        <v>11</v>
      </c>
      <c r="AH605" s="14">
        <f>VLOOKUP(M605,'[1]INDIAN ENTERPRISES'!$D:$D,1,0)</f>
        <v>256779414431</v>
      </c>
      <c r="AJ605" s="15">
        <f>VLOOKUP(M605,'[1]INDIAN ENTERPRISES'!$D:$L,9,0)</f>
        <v>46022</v>
      </c>
    </row>
    <row r="606" spans="1:36" hidden="1" outlineLevel="2" x14ac:dyDescent="0.25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s="2">
        <v>45826</v>
      </c>
      <c r="H606" t="s">
        <v>1083</v>
      </c>
      <c r="I606" t="s">
        <v>7</v>
      </c>
      <c r="J606" s="2">
        <v>45826</v>
      </c>
      <c r="K606" s="2">
        <v>45827</v>
      </c>
      <c r="L606" t="s">
        <v>8</v>
      </c>
      <c r="M606" s="14">
        <v>256779414430</v>
      </c>
      <c r="N606" t="s">
        <v>9</v>
      </c>
      <c r="O606" t="s">
        <v>10</v>
      </c>
      <c r="P606" t="s">
        <v>11</v>
      </c>
      <c r="Q606" t="s">
        <v>12</v>
      </c>
      <c r="R606" t="s">
        <v>13</v>
      </c>
      <c r="S606" s="3">
        <v>95.24</v>
      </c>
      <c r="T606" t="s">
        <v>14</v>
      </c>
      <c r="U606" s="3">
        <v>8142.14</v>
      </c>
      <c r="V606" t="s">
        <v>15</v>
      </c>
      <c r="W606" t="s">
        <v>16</v>
      </c>
      <c r="X606" t="s">
        <v>11</v>
      </c>
      <c r="Y606" t="s">
        <v>8</v>
      </c>
      <c r="Z606" t="s">
        <v>17</v>
      </c>
      <c r="AA606" t="s">
        <v>958</v>
      </c>
      <c r="AB606" t="s">
        <v>11</v>
      </c>
      <c r="AC606" t="s">
        <v>11</v>
      </c>
      <c r="AD606" t="s">
        <v>11</v>
      </c>
      <c r="AE606" s="2">
        <v>45826</v>
      </c>
      <c r="AF606" s="2">
        <v>45902</v>
      </c>
      <c r="AG606" t="s">
        <v>19</v>
      </c>
      <c r="AH606" s="14" t="e">
        <f>VLOOKUP(M606,'[1]INDIAN ENTERPRISES'!$D:$D,1,0)</f>
        <v>#N/A</v>
      </c>
      <c r="AI606" t="str">
        <f>VLOOKUP(M606,'[2]Invoices Not in Customer Books'!$E:$K,7,0)</f>
        <v>Invoice &amp; CN both not received &amp; booked</v>
      </c>
      <c r="AJ606" s="15" t="e">
        <f>VLOOKUP(M606,'[1]INDIAN ENTERPRISES'!$D:$L,9,0)</f>
        <v>#N/A</v>
      </c>
    </row>
    <row r="607" spans="1:36" outlineLevel="2" x14ac:dyDescent="0.25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128</v>
      </c>
      <c r="G607" s="2">
        <v>45861</v>
      </c>
      <c r="H607" t="s">
        <v>416</v>
      </c>
      <c r="I607" t="s">
        <v>196</v>
      </c>
      <c r="J607" s="2">
        <v>45861</v>
      </c>
      <c r="K607" s="2">
        <v>45861</v>
      </c>
      <c r="L607" t="s">
        <v>8</v>
      </c>
      <c r="M607" t="s">
        <v>11</v>
      </c>
      <c r="N607" t="s">
        <v>9</v>
      </c>
      <c r="O607" t="s">
        <v>10</v>
      </c>
      <c r="P607" t="s">
        <v>11</v>
      </c>
      <c r="Q607" t="s">
        <v>198</v>
      </c>
      <c r="R607" t="s">
        <v>13</v>
      </c>
      <c r="S607" s="3">
        <v>0</v>
      </c>
      <c r="T607" t="s">
        <v>14</v>
      </c>
      <c r="U607" s="3">
        <v>0</v>
      </c>
      <c r="V607" t="s">
        <v>11</v>
      </c>
      <c r="W607" t="s">
        <v>16</v>
      </c>
      <c r="X607" t="s">
        <v>11</v>
      </c>
      <c r="Y607" t="s">
        <v>11</v>
      </c>
      <c r="Z607" t="s">
        <v>17</v>
      </c>
      <c r="AA607" t="s">
        <v>11</v>
      </c>
      <c r="AB607" t="s">
        <v>11</v>
      </c>
      <c r="AC607" t="s">
        <v>11</v>
      </c>
      <c r="AD607" t="s">
        <v>11</v>
      </c>
      <c r="AE607" s="2">
        <v>45861</v>
      </c>
      <c r="AF607" s="2">
        <v>45861</v>
      </c>
      <c r="AG607" t="s">
        <v>416</v>
      </c>
    </row>
    <row r="608" spans="1:36" outlineLevel="2" x14ac:dyDescent="0.25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128</v>
      </c>
      <c r="G608" s="2">
        <v>45861</v>
      </c>
      <c r="H608" t="s">
        <v>418</v>
      </c>
      <c r="I608" t="s">
        <v>196</v>
      </c>
      <c r="J608" s="2">
        <v>45861</v>
      </c>
      <c r="K608" s="2">
        <v>45861</v>
      </c>
      <c r="L608" t="s">
        <v>8</v>
      </c>
      <c r="M608" t="s">
        <v>11</v>
      </c>
      <c r="N608" t="s">
        <v>9</v>
      </c>
      <c r="O608" t="s">
        <v>10</v>
      </c>
      <c r="P608" t="s">
        <v>11</v>
      </c>
      <c r="Q608" t="s">
        <v>198</v>
      </c>
      <c r="R608" t="s">
        <v>13</v>
      </c>
      <c r="S608" s="3">
        <v>0</v>
      </c>
      <c r="T608" t="s">
        <v>14</v>
      </c>
      <c r="U608" s="3">
        <v>0</v>
      </c>
      <c r="V608" t="s">
        <v>11</v>
      </c>
      <c r="W608" t="s">
        <v>16</v>
      </c>
      <c r="X608" t="s">
        <v>11</v>
      </c>
      <c r="Y608" t="s">
        <v>11</v>
      </c>
      <c r="Z608" t="s">
        <v>17</v>
      </c>
      <c r="AA608" t="s">
        <v>11</v>
      </c>
      <c r="AB608" t="s">
        <v>11</v>
      </c>
      <c r="AC608" t="s">
        <v>11</v>
      </c>
      <c r="AD608" t="s">
        <v>11</v>
      </c>
      <c r="AE608" s="2">
        <v>45861</v>
      </c>
      <c r="AF608" s="2">
        <v>45861</v>
      </c>
      <c r="AG608" t="s">
        <v>418</v>
      </c>
    </row>
    <row r="609" spans="1:33" outlineLevel="2" x14ac:dyDescent="0.25">
      <c r="A609" t="s">
        <v>0</v>
      </c>
      <c r="B609" t="s">
        <v>1</v>
      </c>
      <c r="C609" t="s">
        <v>2</v>
      </c>
      <c r="D609" t="s">
        <v>3</v>
      </c>
      <c r="E609" t="s">
        <v>4</v>
      </c>
      <c r="F609" t="s">
        <v>128</v>
      </c>
      <c r="G609" s="2">
        <v>45861</v>
      </c>
      <c r="H609" t="s">
        <v>420</v>
      </c>
      <c r="I609" t="s">
        <v>196</v>
      </c>
      <c r="J609" s="2">
        <v>45861</v>
      </c>
      <c r="K609" s="2">
        <v>45861</v>
      </c>
      <c r="L609" t="s">
        <v>8</v>
      </c>
      <c r="M609" t="s">
        <v>11</v>
      </c>
      <c r="N609" t="s">
        <v>9</v>
      </c>
      <c r="O609" t="s">
        <v>10</v>
      </c>
      <c r="P609" t="s">
        <v>11</v>
      </c>
      <c r="Q609" t="s">
        <v>198</v>
      </c>
      <c r="R609" t="s">
        <v>13</v>
      </c>
      <c r="S609" s="3">
        <v>0</v>
      </c>
      <c r="T609" t="s">
        <v>14</v>
      </c>
      <c r="U609" s="3">
        <v>0</v>
      </c>
      <c r="V609" t="s">
        <v>11</v>
      </c>
      <c r="W609" t="s">
        <v>16</v>
      </c>
      <c r="X609" t="s">
        <v>11</v>
      </c>
      <c r="Y609" t="s">
        <v>11</v>
      </c>
      <c r="Z609" t="s">
        <v>17</v>
      </c>
      <c r="AA609" t="s">
        <v>11</v>
      </c>
      <c r="AB609" t="s">
        <v>11</v>
      </c>
      <c r="AC609" t="s">
        <v>11</v>
      </c>
      <c r="AD609" t="s">
        <v>11</v>
      </c>
      <c r="AE609" s="2">
        <v>45861</v>
      </c>
      <c r="AF609" s="2">
        <v>45861</v>
      </c>
      <c r="AG609" t="s">
        <v>420</v>
      </c>
    </row>
    <row r="610" spans="1:33" outlineLevel="2" x14ac:dyDescent="0.25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128</v>
      </c>
      <c r="G610" s="2">
        <v>45861</v>
      </c>
      <c r="H610" t="s">
        <v>422</v>
      </c>
      <c r="I610" t="s">
        <v>196</v>
      </c>
      <c r="J610" s="2">
        <v>45861</v>
      </c>
      <c r="K610" s="2">
        <v>45861</v>
      </c>
      <c r="L610" t="s">
        <v>8</v>
      </c>
      <c r="M610" t="s">
        <v>11</v>
      </c>
      <c r="N610" t="s">
        <v>9</v>
      </c>
      <c r="O610" t="s">
        <v>10</v>
      </c>
      <c r="P610" t="s">
        <v>11</v>
      </c>
      <c r="Q610" t="s">
        <v>198</v>
      </c>
      <c r="R610" t="s">
        <v>13</v>
      </c>
      <c r="S610" s="3">
        <v>0</v>
      </c>
      <c r="T610" t="s">
        <v>14</v>
      </c>
      <c r="U610" s="3">
        <v>0</v>
      </c>
      <c r="V610" t="s">
        <v>11</v>
      </c>
      <c r="W610" t="s">
        <v>16</v>
      </c>
      <c r="X610" t="s">
        <v>11</v>
      </c>
      <c r="Y610" t="s">
        <v>11</v>
      </c>
      <c r="Z610" t="s">
        <v>17</v>
      </c>
      <c r="AA610" t="s">
        <v>11</v>
      </c>
      <c r="AB610" t="s">
        <v>11</v>
      </c>
      <c r="AC610" t="s">
        <v>11</v>
      </c>
      <c r="AD610" t="s">
        <v>11</v>
      </c>
      <c r="AE610" s="2">
        <v>45861</v>
      </c>
      <c r="AF610" s="2">
        <v>45861</v>
      </c>
      <c r="AG610" t="s">
        <v>422</v>
      </c>
    </row>
    <row r="611" spans="1:33" outlineLevel="2" x14ac:dyDescent="0.25">
      <c r="A611" t="s">
        <v>0</v>
      </c>
      <c r="B611" t="s">
        <v>1</v>
      </c>
      <c r="C611" t="s">
        <v>2</v>
      </c>
      <c r="D611" t="s">
        <v>3</v>
      </c>
      <c r="E611" t="s">
        <v>4</v>
      </c>
      <c r="F611" t="s">
        <v>128</v>
      </c>
      <c r="G611" s="2">
        <v>45861</v>
      </c>
      <c r="H611" t="s">
        <v>424</v>
      </c>
      <c r="I611" t="s">
        <v>196</v>
      </c>
      <c r="J611" s="2">
        <v>45861</v>
      </c>
      <c r="K611" s="2">
        <v>45861</v>
      </c>
      <c r="L611" t="s">
        <v>8</v>
      </c>
      <c r="M611" t="s">
        <v>11</v>
      </c>
      <c r="N611" t="s">
        <v>9</v>
      </c>
      <c r="O611" t="s">
        <v>10</v>
      </c>
      <c r="P611" t="s">
        <v>11</v>
      </c>
      <c r="Q611" t="s">
        <v>198</v>
      </c>
      <c r="R611" t="s">
        <v>13</v>
      </c>
      <c r="S611" s="3">
        <v>0</v>
      </c>
      <c r="T611" t="s">
        <v>14</v>
      </c>
      <c r="U611" s="3">
        <v>0</v>
      </c>
      <c r="V611" t="s">
        <v>11</v>
      </c>
      <c r="W611" t="s">
        <v>16</v>
      </c>
      <c r="X611" t="s">
        <v>11</v>
      </c>
      <c r="Y611" t="s">
        <v>11</v>
      </c>
      <c r="Z611" t="s">
        <v>17</v>
      </c>
      <c r="AA611" t="s">
        <v>11</v>
      </c>
      <c r="AB611" t="s">
        <v>11</v>
      </c>
      <c r="AC611" t="s">
        <v>11</v>
      </c>
      <c r="AD611" t="s">
        <v>11</v>
      </c>
      <c r="AE611" s="2">
        <v>45861</v>
      </c>
      <c r="AF611" s="2">
        <v>45861</v>
      </c>
      <c r="AG611" t="s">
        <v>424</v>
      </c>
    </row>
    <row r="612" spans="1:33" outlineLevel="2" x14ac:dyDescent="0.25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128</v>
      </c>
      <c r="G612" s="2">
        <v>45861</v>
      </c>
      <c r="H612" t="s">
        <v>401</v>
      </c>
      <c r="I612" t="s">
        <v>196</v>
      </c>
      <c r="J612" s="2">
        <v>45861</v>
      </c>
      <c r="K612" s="2">
        <v>45861</v>
      </c>
      <c r="L612" t="s">
        <v>8</v>
      </c>
      <c r="M612" t="s">
        <v>11</v>
      </c>
      <c r="N612" t="s">
        <v>9</v>
      </c>
      <c r="O612" t="s">
        <v>10</v>
      </c>
      <c r="P612" t="s">
        <v>11</v>
      </c>
      <c r="Q612" t="s">
        <v>198</v>
      </c>
      <c r="R612" t="s">
        <v>13</v>
      </c>
      <c r="S612" s="3">
        <v>0</v>
      </c>
      <c r="T612" t="s">
        <v>14</v>
      </c>
      <c r="U612" s="3">
        <v>0</v>
      </c>
      <c r="V612" t="s">
        <v>11</v>
      </c>
      <c r="W612" t="s">
        <v>16</v>
      </c>
      <c r="X612" t="s">
        <v>11</v>
      </c>
      <c r="Y612" t="s">
        <v>11</v>
      </c>
      <c r="Z612" t="s">
        <v>17</v>
      </c>
      <c r="AA612" t="s">
        <v>11</v>
      </c>
      <c r="AB612" t="s">
        <v>11</v>
      </c>
      <c r="AC612" t="s">
        <v>11</v>
      </c>
      <c r="AD612" t="s">
        <v>11</v>
      </c>
      <c r="AE612" s="2">
        <v>45861</v>
      </c>
      <c r="AF612" s="2">
        <v>45861</v>
      </c>
      <c r="AG612" t="s">
        <v>401</v>
      </c>
    </row>
    <row r="613" spans="1:33" outlineLevel="2" x14ac:dyDescent="0.25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128</v>
      </c>
      <c r="G613" s="2">
        <v>45861</v>
      </c>
      <c r="H613" t="s">
        <v>403</v>
      </c>
      <c r="I613" t="s">
        <v>196</v>
      </c>
      <c r="J613" s="2">
        <v>45861</v>
      </c>
      <c r="K613" s="2">
        <v>45861</v>
      </c>
      <c r="L613" t="s">
        <v>8</v>
      </c>
      <c r="M613" t="s">
        <v>11</v>
      </c>
      <c r="N613" t="s">
        <v>9</v>
      </c>
      <c r="O613" t="s">
        <v>10</v>
      </c>
      <c r="P613" t="s">
        <v>11</v>
      </c>
      <c r="Q613" t="s">
        <v>198</v>
      </c>
      <c r="R613" t="s">
        <v>13</v>
      </c>
      <c r="S613" s="3">
        <v>0</v>
      </c>
      <c r="T613" t="s">
        <v>14</v>
      </c>
      <c r="U613" s="3">
        <v>0</v>
      </c>
      <c r="V613" t="s">
        <v>11</v>
      </c>
      <c r="W613" t="s">
        <v>16</v>
      </c>
      <c r="X613" t="s">
        <v>11</v>
      </c>
      <c r="Y613" t="s">
        <v>11</v>
      </c>
      <c r="Z613" t="s">
        <v>17</v>
      </c>
      <c r="AA613" t="s">
        <v>11</v>
      </c>
      <c r="AB613" t="s">
        <v>11</v>
      </c>
      <c r="AC613" t="s">
        <v>11</v>
      </c>
      <c r="AD613" t="s">
        <v>11</v>
      </c>
      <c r="AE613" s="2">
        <v>45861</v>
      </c>
      <c r="AF613" s="2">
        <v>45861</v>
      </c>
      <c r="AG613" t="s">
        <v>403</v>
      </c>
    </row>
    <row r="614" spans="1:33" hidden="1" outlineLevel="2" x14ac:dyDescent="0.25">
      <c r="A614" t="s">
        <v>0</v>
      </c>
      <c r="B614" t="s">
        <v>1</v>
      </c>
      <c r="C614" t="s">
        <v>2</v>
      </c>
      <c r="D614" t="s">
        <v>3</v>
      </c>
      <c r="E614" t="s">
        <v>4</v>
      </c>
      <c r="F614" t="s">
        <v>76</v>
      </c>
      <c r="G614" s="2">
        <v>45902</v>
      </c>
      <c r="H614" t="s">
        <v>19</v>
      </c>
      <c r="I614" t="s">
        <v>1084</v>
      </c>
      <c r="J614" s="2">
        <v>45902</v>
      </c>
      <c r="K614" s="2">
        <v>45902</v>
      </c>
      <c r="L614" t="s">
        <v>11</v>
      </c>
      <c r="M614" t="s">
        <v>11</v>
      </c>
      <c r="N614" t="s">
        <v>9</v>
      </c>
      <c r="O614" t="s">
        <v>10</v>
      </c>
      <c r="P614" t="s">
        <v>11</v>
      </c>
      <c r="Q614" t="s">
        <v>1085</v>
      </c>
      <c r="R614" t="s">
        <v>14</v>
      </c>
      <c r="S614" s="3">
        <v>212521.54</v>
      </c>
      <c r="T614" t="s">
        <v>14</v>
      </c>
      <c r="U614" s="3">
        <v>208845.74</v>
      </c>
      <c r="V614" t="s">
        <v>11</v>
      </c>
      <c r="W614" t="s">
        <v>16</v>
      </c>
      <c r="X614" t="s">
        <v>11</v>
      </c>
      <c r="Y614" t="s">
        <v>11</v>
      </c>
      <c r="Z614" t="s">
        <v>17</v>
      </c>
      <c r="AA614" t="s">
        <v>11</v>
      </c>
      <c r="AB614" t="s">
        <v>11</v>
      </c>
      <c r="AC614" t="s">
        <v>11</v>
      </c>
      <c r="AD614" t="s">
        <v>11</v>
      </c>
      <c r="AE614" s="2">
        <v>45902</v>
      </c>
      <c r="AF614" s="2">
        <v>45902</v>
      </c>
      <c r="AG614" t="s">
        <v>19</v>
      </c>
    </row>
    <row r="615" spans="1:33" hidden="1" outlineLevel="2" x14ac:dyDescent="0.25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76</v>
      </c>
      <c r="G615" s="2">
        <v>45902</v>
      </c>
      <c r="H615" t="s">
        <v>19</v>
      </c>
      <c r="I615" t="s">
        <v>1084</v>
      </c>
      <c r="J615" s="2">
        <v>45902</v>
      </c>
      <c r="K615" s="2">
        <v>45902</v>
      </c>
      <c r="L615" t="s">
        <v>11</v>
      </c>
      <c r="M615" t="s">
        <v>11</v>
      </c>
      <c r="N615" t="s">
        <v>9</v>
      </c>
      <c r="O615" t="s">
        <v>10</v>
      </c>
      <c r="P615" t="s">
        <v>11</v>
      </c>
      <c r="Q615" t="s">
        <v>198</v>
      </c>
      <c r="R615" t="s">
        <v>14</v>
      </c>
      <c r="S615" s="3">
        <v>-212521.54</v>
      </c>
      <c r="T615" t="s">
        <v>14</v>
      </c>
      <c r="U615" s="3">
        <v>-207607.52</v>
      </c>
      <c r="V615" t="s">
        <v>11</v>
      </c>
      <c r="W615" t="s">
        <v>16</v>
      </c>
      <c r="X615" t="s">
        <v>11</v>
      </c>
      <c r="Y615" t="s">
        <v>11</v>
      </c>
      <c r="Z615" t="s">
        <v>200</v>
      </c>
      <c r="AA615" t="s">
        <v>11</v>
      </c>
      <c r="AB615" t="s">
        <v>11</v>
      </c>
      <c r="AC615" t="s">
        <v>11</v>
      </c>
      <c r="AD615" t="s">
        <v>11</v>
      </c>
      <c r="AE615" s="2">
        <v>45902</v>
      </c>
      <c r="AF615" s="2">
        <v>45902</v>
      </c>
      <c r="AG615" t="s">
        <v>19</v>
      </c>
    </row>
    <row r="616" spans="1:33" outlineLevel="2" x14ac:dyDescent="0.25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42</v>
      </c>
      <c r="G616" s="2">
        <v>45974</v>
      </c>
      <c r="H616" t="s">
        <v>39</v>
      </c>
      <c r="I616" t="s">
        <v>196</v>
      </c>
      <c r="J616" s="2">
        <v>45974</v>
      </c>
      <c r="K616" s="2">
        <v>45974</v>
      </c>
      <c r="L616" t="s">
        <v>8</v>
      </c>
      <c r="M616" t="s">
        <v>11</v>
      </c>
      <c r="N616" t="s">
        <v>9</v>
      </c>
      <c r="O616" t="s">
        <v>10</v>
      </c>
      <c r="P616" t="s">
        <v>11</v>
      </c>
      <c r="Q616" t="s">
        <v>1085</v>
      </c>
      <c r="R616" t="s">
        <v>13</v>
      </c>
      <c r="S616" s="3">
        <v>4603.4799999999996</v>
      </c>
      <c r="T616" t="s">
        <v>14</v>
      </c>
      <c r="U616" s="3">
        <v>396450.85</v>
      </c>
      <c r="V616" t="s">
        <v>11</v>
      </c>
      <c r="W616" t="s">
        <v>16</v>
      </c>
      <c r="X616" t="s">
        <v>11</v>
      </c>
      <c r="Y616" t="s">
        <v>11</v>
      </c>
      <c r="Z616" t="s">
        <v>17</v>
      </c>
      <c r="AA616" t="s">
        <v>11</v>
      </c>
      <c r="AB616" t="s">
        <v>11</v>
      </c>
      <c r="AC616" t="s">
        <v>11</v>
      </c>
      <c r="AD616" t="s">
        <v>11</v>
      </c>
      <c r="AE616" s="2">
        <v>45974</v>
      </c>
      <c r="AF616" s="2">
        <v>45974</v>
      </c>
      <c r="AG616" t="s">
        <v>39</v>
      </c>
    </row>
    <row r="617" spans="1:33" outlineLevel="2" x14ac:dyDescent="0.25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42</v>
      </c>
      <c r="G617" s="2">
        <v>45974</v>
      </c>
      <c r="H617" t="s">
        <v>39</v>
      </c>
      <c r="I617" t="s">
        <v>196</v>
      </c>
      <c r="J617" s="2">
        <v>45974</v>
      </c>
      <c r="K617" s="2">
        <v>45974</v>
      </c>
      <c r="L617" t="s">
        <v>8</v>
      </c>
      <c r="M617" t="s">
        <v>11</v>
      </c>
      <c r="N617" t="s">
        <v>9</v>
      </c>
      <c r="O617" t="s">
        <v>10</v>
      </c>
      <c r="P617" t="s">
        <v>11</v>
      </c>
      <c r="Q617" t="s">
        <v>1085</v>
      </c>
      <c r="R617" t="s">
        <v>13</v>
      </c>
      <c r="S617" s="3">
        <v>2.98</v>
      </c>
      <c r="T617" t="s">
        <v>14</v>
      </c>
      <c r="U617" s="3">
        <v>262.20999999999998</v>
      </c>
      <c r="V617" t="s">
        <v>11</v>
      </c>
      <c r="W617" t="s">
        <v>16</v>
      </c>
      <c r="X617" t="s">
        <v>11</v>
      </c>
      <c r="Y617" t="s">
        <v>11</v>
      </c>
      <c r="Z617" t="s">
        <v>200</v>
      </c>
      <c r="AA617" t="s">
        <v>11</v>
      </c>
      <c r="AB617" t="s">
        <v>11</v>
      </c>
      <c r="AC617" t="s">
        <v>11</v>
      </c>
      <c r="AD617" t="s">
        <v>11</v>
      </c>
      <c r="AE617" s="2">
        <v>45974</v>
      </c>
      <c r="AF617" s="2">
        <v>45974</v>
      </c>
      <c r="AG617" t="s">
        <v>39</v>
      </c>
    </row>
    <row r="618" spans="1:33" outlineLevel="2" x14ac:dyDescent="0.25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42</v>
      </c>
      <c r="G618" s="2">
        <v>45974</v>
      </c>
      <c r="H618" t="s">
        <v>39</v>
      </c>
      <c r="I618" t="s">
        <v>196</v>
      </c>
      <c r="J618" s="2">
        <v>45974</v>
      </c>
      <c r="K618" s="2">
        <v>45974</v>
      </c>
      <c r="L618" t="s">
        <v>8</v>
      </c>
      <c r="M618" t="s">
        <v>11</v>
      </c>
      <c r="N618" t="s">
        <v>9</v>
      </c>
      <c r="O618" t="s">
        <v>10</v>
      </c>
      <c r="P618" t="s">
        <v>11</v>
      </c>
      <c r="Q618" t="s">
        <v>198</v>
      </c>
      <c r="R618" t="s">
        <v>13</v>
      </c>
      <c r="S618" s="3">
        <v>-2.98</v>
      </c>
      <c r="T618" t="s">
        <v>14</v>
      </c>
      <c r="U618" s="3">
        <v>-262.20999999999998</v>
      </c>
      <c r="V618" t="s">
        <v>11</v>
      </c>
      <c r="W618" t="s">
        <v>16</v>
      </c>
      <c r="X618" t="s">
        <v>11</v>
      </c>
      <c r="Y618" t="s">
        <v>11</v>
      </c>
      <c r="Z618" t="s">
        <v>29</v>
      </c>
      <c r="AA618" t="s">
        <v>11</v>
      </c>
      <c r="AB618" t="s">
        <v>11</v>
      </c>
      <c r="AC618" t="s">
        <v>11</v>
      </c>
      <c r="AD618" t="s">
        <v>11</v>
      </c>
      <c r="AE618" s="2">
        <v>45974</v>
      </c>
      <c r="AF618" s="2">
        <v>45974</v>
      </c>
      <c r="AG618" t="s">
        <v>39</v>
      </c>
    </row>
    <row r="619" spans="1:33" outlineLevel="2" x14ac:dyDescent="0.25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42</v>
      </c>
      <c r="G619" s="2">
        <v>45974</v>
      </c>
      <c r="H619" t="s">
        <v>39</v>
      </c>
      <c r="I619" t="s">
        <v>196</v>
      </c>
      <c r="J619" s="2">
        <v>45974</v>
      </c>
      <c r="K619" s="2">
        <v>45974</v>
      </c>
      <c r="L619" t="s">
        <v>8</v>
      </c>
      <c r="M619" t="s">
        <v>11</v>
      </c>
      <c r="N619" t="s">
        <v>9</v>
      </c>
      <c r="O619" t="s">
        <v>10</v>
      </c>
      <c r="P619" t="s">
        <v>11</v>
      </c>
      <c r="Q619" t="s">
        <v>1085</v>
      </c>
      <c r="R619" t="s">
        <v>13</v>
      </c>
      <c r="S619" s="3">
        <v>5558.96</v>
      </c>
      <c r="T619" t="s">
        <v>14</v>
      </c>
      <c r="U619" s="3">
        <v>478086.37</v>
      </c>
      <c r="V619" t="s">
        <v>11</v>
      </c>
      <c r="W619" t="s">
        <v>136</v>
      </c>
      <c r="X619" t="s">
        <v>11</v>
      </c>
      <c r="Y619" t="s">
        <v>11</v>
      </c>
      <c r="Z619" t="s">
        <v>54</v>
      </c>
      <c r="AA619" t="s">
        <v>11</v>
      </c>
      <c r="AB619" t="s">
        <v>11</v>
      </c>
      <c r="AC619" t="s">
        <v>11</v>
      </c>
      <c r="AD619" t="s">
        <v>11</v>
      </c>
      <c r="AE619" s="2">
        <v>45974</v>
      </c>
      <c r="AF619" s="2">
        <v>45974</v>
      </c>
      <c r="AG619" t="s">
        <v>39</v>
      </c>
    </row>
    <row r="620" spans="1:33" outlineLevel="2" x14ac:dyDescent="0.25">
      <c r="A620" t="s">
        <v>0</v>
      </c>
      <c r="B620" t="s">
        <v>1</v>
      </c>
      <c r="C620" t="s">
        <v>2</v>
      </c>
      <c r="D620" t="s">
        <v>3</v>
      </c>
      <c r="E620" t="s">
        <v>4</v>
      </c>
      <c r="F620" t="s">
        <v>42</v>
      </c>
      <c r="G620" s="2">
        <v>45974</v>
      </c>
      <c r="H620" t="s">
        <v>39</v>
      </c>
      <c r="I620" t="s">
        <v>196</v>
      </c>
      <c r="J620" s="2">
        <v>45974</v>
      </c>
      <c r="K620" s="2">
        <v>45974</v>
      </c>
      <c r="L620" t="s">
        <v>8</v>
      </c>
      <c r="M620" t="s">
        <v>11</v>
      </c>
      <c r="N620" t="s">
        <v>9</v>
      </c>
      <c r="O620" t="s">
        <v>10</v>
      </c>
      <c r="P620" t="s">
        <v>11</v>
      </c>
      <c r="Q620" t="s">
        <v>198</v>
      </c>
      <c r="R620" t="s">
        <v>13</v>
      </c>
      <c r="S620" s="3">
        <v>-3891.99</v>
      </c>
      <c r="T620" t="s">
        <v>14</v>
      </c>
      <c r="U620" s="3">
        <v>-338298.81</v>
      </c>
      <c r="V620" t="s">
        <v>11</v>
      </c>
      <c r="W620" t="s">
        <v>11</v>
      </c>
      <c r="X620" t="s">
        <v>11</v>
      </c>
      <c r="Y620" t="s">
        <v>11</v>
      </c>
      <c r="Z620" t="s">
        <v>96</v>
      </c>
      <c r="AA620" t="s">
        <v>11</v>
      </c>
      <c r="AB620" t="s">
        <v>11</v>
      </c>
      <c r="AC620" t="s">
        <v>11</v>
      </c>
      <c r="AD620" t="s">
        <v>11</v>
      </c>
      <c r="AE620" s="2">
        <v>45974</v>
      </c>
      <c r="AF620" s="2">
        <v>45974</v>
      </c>
      <c r="AG620" t="s">
        <v>39</v>
      </c>
    </row>
    <row r="621" spans="1:33" outlineLevel="2" x14ac:dyDescent="0.25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42</v>
      </c>
      <c r="G621" s="2">
        <v>45974</v>
      </c>
      <c r="H621" t="s">
        <v>39</v>
      </c>
      <c r="I621" t="s">
        <v>196</v>
      </c>
      <c r="J621" s="2">
        <v>45974</v>
      </c>
      <c r="K621" s="2">
        <v>45974</v>
      </c>
      <c r="L621" t="s">
        <v>8</v>
      </c>
      <c r="M621" t="s">
        <v>11</v>
      </c>
      <c r="N621" t="s">
        <v>9</v>
      </c>
      <c r="O621" t="s">
        <v>10</v>
      </c>
      <c r="P621" t="s">
        <v>11</v>
      </c>
      <c r="Q621" t="s">
        <v>198</v>
      </c>
      <c r="R621" t="s">
        <v>13</v>
      </c>
      <c r="S621" s="3">
        <v>-6270.45</v>
      </c>
      <c r="T621" t="s">
        <v>14</v>
      </c>
      <c r="U621" s="3">
        <v>-536832.30000000005</v>
      </c>
      <c r="V621" t="s">
        <v>11</v>
      </c>
      <c r="W621" t="s">
        <v>136</v>
      </c>
      <c r="X621" t="s">
        <v>11</v>
      </c>
      <c r="Y621" t="s">
        <v>11</v>
      </c>
      <c r="Z621" t="s">
        <v>5</v>
      </c>
      <c r="AA621" t="s">
        <v>11</v>
      </c>
      <c r="AB621" t="s">
        <v>11</v>
      </c>
      <c r="AC621" t="s">
        <v>11</v>
      </c>
      <c r="AD621" t="s">
        <v>11</v>
      </c>
      <c r="AE621" s="2">
        <v>45974</v>
      </c>
      <c r="AF621" s="2">
        <v>45974</v>
      </c>
      <c r="AG621" t="s">
        <v>39</v>
      </c>
    </row>
    <row r="622" spans="1:33" outlineLevel="2" x14ac:dyDescent="0.25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42</v>
      </c>
      <c r="G622" s="2">
        <v>45974</v>
      </c>
      <c r="H622" t="s">
        <v>1075</v>
      </c>
      <c r="I622" t="s">
        <v>196</v>
      </c>
      <c r="J622" s="2">
        <v>45974</v>
      </c>
      <c r="K622" s="2">
        <v>45974</v>
      </c>
      <c r="L622" t="s">
        <v>11</v>
      </c>
      <c r="M622" t="s">
        <v>11</v>
      </c>
      <c r="N622" t="s">
        <v>9</v>
      </c>
      <c r="O622" t="s">
        <v>10</v>
      </c>
      <c r="P622" t="s">
        <v>11</v>
      </c>
      <c r="Q622" t="s">
        <v>1085</v>
      </c>
      <c r="R622" t="s">
        <v>14</v>
      </c>
      <c r="S622" s="3">
        <v>77508.990000000005</v>
      </c>
      <c r="T622" t="s">
        <v>14</v>
      </c>
      <c r="U622" s="3">
        <v>75771.03</v>
      </c>
      <c r="V622" t="s">
        <v>11</v>
      </c>
      <c r="W622" t="s">
        <v>16</v>
      </c>
      <c r="X622" t="s">
        <v>11</v>
      </c>
      <c r="Y622" t="s">
        <v>11</v>
      </c>
      <c r="Z622" t="s">
        <v>96</v>
      </c>
      <c r="AA622" t="s">
        <v>11</v>
      </c>
      <c r="AB622" t="s">
        <v>11</v>
      </c>
      <c r="AC622" t="s">
        <v>11</v>
      </c>
      <c r="AD622" t="s">
        <v>11</v>
      </c>
      <c r="AE622" s="2">
        <v>45974</v>
      </c>
      <c r="AF622" s="2">
        <v>45974</v>
      </c>
      <c r="AG622" t="s">
        <v>1075</v>
      </c>
    </row>
    <row r="623" spans="1:33" outlineLevel="2" x14ac:dyDescent="0.25">
      <c r="A623" t="s">
        <v>20</v>
      </c>
      <c r="B623" t="s">
        <v>1</v>
      </c>
      <c r="C623" t="s">
        <v>2</v>
      </c>
      <c r="D623" t="s">
        <v>3</v>
      </c>
      <c r="E623" t="s">
        <v>4</v>
      </c>
      <c r="F623" t="s">
        <v>42</v>
      </c>
      <c r="G623" s="2">
        <v>45974</v>
      </c>
      <c r="H623" t="s">
        <v>1075</v>
      </c>
      <c r="I623" t="s">
        <v>196</v>
      </c>
      <c r="J623" s="2">
        <v>45974</v>
      </c>
      <c r="K623" s="2">
        <v>45974</v>
      </c>
      <c r="L623" t="s">
        <v>11</v>
      </c>
      <c r="M623" t="s">
        <v>11</v>
      </c>
      <c r="N623" t="s">
        <v>9</v>
      </c>
      <c r="O623" t="s">
        <v>10</v>
      </c>
      <c r="P623" t="s">
        <v>11</v>
      </c>
      <c r="Q623" t="s">
        <v>198</v>
      </c>
      <c r="R623" t="s">
        <v>14</v>
      </c>
      <c r="S623" s="3">
        <v>-20130.78</v>
      </c>
      <c r="T623" t="s">
        <v>14</v>
      </c>
      <c r="U623" s="3">
        <v>-20130.78</v>
      </c>
      <c r="V623" t="s">
        <v>11</v>
      </c>
      <c r="W623" t="s">
        <v>16</v>
      </c>
      <c r="X623" t="s">
        <v>11</v>
      </c>
      <c r="Y623" t="s">
        <v>8</v>
      </c>
      <c r="Z623" t="s">
        <v>17</v>
      </c>
      <c r="AA623" t="s">
        <v>11</v>
      </c>
      <c r="AB623" t="s">
        <v>11</v>
      </c>
      <c r="AC623" t="s">
        <v>11</v>
      </c>
      <c r="AD623" t="s">
        <v>11</v>
      </c>
      <c r="AE623" s="2">
        <v>45974</v>
      </c>
      <c r="AF623" s="2"/>
      <c r="AG623" t="s">
        <v>11</v>
      </c>
    </row>
    <row r="624" spans="1:33" outlineLevel="2" x14ac:dyDescent="0.25">
      <c r="A624" t="s">
        <v>20</v>
      </c>
      <c r="B624" t="s">
        <v>1</v>
      </c>
      <c r="C624" t="s">
        <v>2</v>
      </c>
      <c r="D624" t="s">
        <v>3</v>
      </c>
      <c r="E624" t="s">
        <v>4</v>
      </c>
      <c r="F624" t="s">
        <v>42</v>
      </c>
      <c r="G624" s="2">
        <v>45974</v>
      </c>
      <c r="H624" t="s">
        <v>1075</v>
      </c>
      <c r="I624" t="s">
        <v>196</v>
      </c>
      <c r="J624" s="2">
        <v>45974</v>
      </c>
      <c r="K624" s="2">
        <v>45974</v>
      </c>
      <c r="L624" t="s">
        <v>11</v>
      </c>
      <c r="M624" t="s">
        <v>11</v>
      </c>
      <c r="N624" t="s">
        <v>9</v>
      </c>
      <c r="O624" t="s">
        <v>10</v>
      </c>
      <c r="P624" t="s">
        <v>11</v>
      </c>
      <c r="Q624" t="s">
        <v>198</v>
      </c>
      <c r="R624" t="s">
        <v>14</v>
      </c>
      <c r="S624" s="3">
        <v>-746.27</v>
      </c>
      <c r="T624" t="s">
        <v>14</v>
      </c>
      <c r="U624" s="3">
        <v>-746.27</v>
      </c>
      <c r="V624" t="s">
        <v>11</v>
      </c>
      <c r="W624" t="s">
        <v>16</v>
      </c>
      <c r="X624" t="s">
        <v>11</v>
      </c>
      <c r="Y624" t="s">
        <v>8</v>
      </c>
      <c r="Z624" t="s">
        <v>200</v>
      </c>
      <c r="AA624" t="s">
        <v>11</v>
      </c>
      <c r="AB624" t="s">
        <v>11</v>
      </c>
      <c r="AC624" t="s">
        <v>11</v>
      </c>
      <c r="AD624" t="s">
        <v>11</v>
      </c>
      <c r="AE624" s="2">
        <v>45974</v>
      </c>
      <c r="AF624" s="2"/>
      <c r="AG624" t="s">
        <v>11</v>
      </c>
    </row>
    <row r="625" spans="1:36" outlineLevel="2" x14ac:dyDescent="0.25">
      <c r="A625" t="s">
        <v>20</v>
      </c>
      <c r="B625" t="s">
        <v>1</v>
      </c>
      <c r="C625" t="s">
        <v>2</v>
      </c>
      <c r="D625" t="s">
        <v>3</v>
      </c>
      <c r="E625" t="s">
        <v>4</v>
      </c>
      <c r="F625" t="s">
        <v>42</v>
      </c>
      <c r="G625" s="2">
        <v>45974</v>
      </c>
      <c r="H625" t="s">
        <v>1075</v>
      </c>
      <c r="I625" t="s">
        <v>196</v>
      </c>
      <c r="J625" s="2">
        <v>45974</v>
      </c>
      <c r="K625" s="2">
        <v>45974</v>
      </c>
      <c r="L625" t="s">
        <v>11</v>
      </c>
      <c r="M625" t="s">
        <v>11</v>
      </c>
      <c r="N625" t="s">
        <v>9</v>
      </c>
      <c r="O625" t="s">
        <v>10</v>
      </c>
      <c r="P625" t="s">
        <v>11</v>
      </c>
      <c r="Q625" t="s">
        <v>198</v>
      </c>
      <c r="R625" t="s">
        <v>14</v>
      </c>
      <c r="S625" s="3">
        <v>-24772.95</v>
      </c>
      <c r="T625" t="s">
        <v>14</v>
      </c>
      <c r="U625" s="3">
        <v>-24772.95</v>
      </c>
      <c r="V625" t="s">
        <v>11</v>
      </c>
      <c r="W625" t="s">
        <v>16</v>
      </c>
      <c r="X625" t="s">
        <v>11</v>
      </c>
      <c r="Y625" t="s">
        <v>8</v>
      </c>
      <c r="Z625" t="s">
        <v>29</v>
      </c>
      <c r="AA625" t="s">
        <v>11</v>
      </c>
      <c r="AB625" t="s">
        <v>11</v>
      </c>
      <c r="AC625" t="s">
        <v>11</v>
      </c>
      <c r="AD625" t="s">
        <v>11</v>
      </c>
      <c r="AE625" s="2">
        <v>45974</v>
      </c>
      <c r="AF625" s="2"/>
      <c r="AG625" t="s">
        <v>11</v>
      </c>
    </row>
    <row r="626" spans="1:36" outlineLevel="2" x14ac:dyDescent="0.25">
      <c r="A626" t="s">
        <v>20</v>
      </c>
      <c r="B626" t="s">
        <v>1</v>
      </c>
      <c r="C626" t="s">
        <v>2</v>
      </c>
      <c r="D626" t="s">
        <v>3</v>
      </c>
      <c r="E626" t="s">
        <v>4</v>
      </c>
      <c r="F626" t="s">
        <v>42</v>
      </c>
      <c r="G626" s="2">
        <v>45974</v>
      </c>
      <c r="H626" t="s">
        <v>1075</v>
      </c>
      <c r="I626" t="s">
        <v>196</v>
      </c>
      <c r="J626" s="2">
        <v>45974</v>
      </c>
      <c r="K626" s="2">
        <v>45974</v>
      </c>
      <c r="L626" t="s">
        <v>11</v>
      </c>
      <c r="M626" t="s">
        <v>11</v>
      </c>
      <c r="N626" t="s">
        <v>9</v>
      </c>
      <c r="O626" t="s">
        <v>10</v>
      </c>
      <c r="P626" t="s">
        <v>11</v>
      </c>
      <c r="Q626" t="s">
        <v>198</v>
      </c>
      <c r="R626" t="s">
        <v>14</v>
      </c>
      <c r="S626" s="3">
        <v>-31858.99</v>
      </c>
      <c r="T626" t="s">
        <v>14</v>
      </c>
      <c r="U626" s="3">
        <v>-31858.99</v>
      </c>
      <c r="V626" t="s">
        <v>11</v>
      </c>
      <c r="W626" t="s">
        <v>16</v>
      </c>
      <c r="X626" t="s">
        <v>11</v>
      </c>
      <c r="Y626" t="s">
        <v>8</v>
      </c>
      <c r="Z626" t="s">
        <v>54</v>
      </c>
      <c r="AA626" t="s">
        <v>11</v>
      </c>
      <c r="AB626" t="s">
        <v>11</v>
      </c>
      <c r="AC626" t="s">
        <v>11</v>
      </c>
      <c r="AD626" t="s">
        <v>11</v>
      </c>
      <c r="AE626" s="2">
        <v>45974</v>
      </c>
      <c r="AF626" s="2"/>
      <c r="AG626" t="s">
        <v>11</v>
      </c>
    </row>
    <row r="627" spans="1:36" outlineLevel="2" x14ac:dyDescent="0.25">
      <c r="A627" t="s">
        <v>20</v>
      </c>
      <c r="B627" t="s">
        <v>1</v>
      </c>
      <c r="C627" t="s">
        <v>2</v>
      </c>
      <c r="D627" t="s">
        <v>3</v>
      </c>
      <c r="E627" t="s">
        <v>4</v>
      </c>
      <c r="F627" t="s">
        <v>21</v>
      </c>
      <c r="G627" s="2">
        <v>45940</v>
      </c>
      <c r="H627" t="s">
        <v>1086</v>
      </c>
      <c r="I627" t="s">
        <v>196</v>
      </c>
      <c r="J627" s="2">
        <v>45940</v>
      </c>
      <c r="K627" s="2">
        <v>45940</v>
      </c>
      <c r="L627" t="s">
        <v>1087</v>
      </c>
      <c r="M627" t="s">
        <v>11</v>
      </c>
      <c r="N627" t="s">
        <v>9</v>
      </c>
      <c r="O627" t="s">
        <v>10</v>
      </c>
      <c r="P627" t="s">
        <v>11</v>
      </c>
      <c r="Q627" t="s">
        <v>198</v>
      </c>
      <c r="R627" t="s">
        <v>14</v>
      </c>
      <c r="S627" s="3">
        <v>-1746430.23</v>
      </c>
      <c r="T627" t="s">
        <v>14</v>
      </c>
      <c r="U627" s="16">
        <v>-1746430.23</v>
      </c>
      <c r="V627" t="s">
        <v>11</v>
      </c>
      <c r="W627" t="s">
        <v>199</v>
      </c>
      <c r="X627" t="s">
        <v>11</v>
      </c>
      <c r="Y627" t="s">
        <v>11</v>
      </c>
      <c r="Z627" t="s">
        <v>200</v>
      </c>
      <c r="AA627" t="s">
        <v>11</v>
      </c>
      <c r="AB627" t="s">
        <v>11</v>
      </c>
      <c r="AC627" t="s">
        <v>11</v>
      </c>
      <c r="AD627" t="s">
        <v>11</v>
      </c>
      <c r="AE627" s="2">
        <v>45940</v>
      </c>
      <c r="AF627" s="2"/>
      <c r="AG627" t="s">
        <v>11</v>
      </c>
    </row>
    <row r="628" spans="1:36" outlineLevel="2" x14ac:dyDescent="0.25">
      <c r="A628" t="s">
        <v>20</v>
      </c>
      <c r="B628" t="s">
        <v>1</v>
      </c>
      <c r="C628" t="s">
        <v>2</v>
      </c>
      <c r="D628" t="s">
        <v>3</v>
      </c>
      <c r="E628" t="s">
        <v>4</v>
      </c>
      <c r="F628" t="s">
        <v>21</v>
      </c>
      <c r="G628" s="2">
        <v>45940</v>
      </c>
      <c r="H628" t="s">
        <v>1088</v>
      </c>
      <c r="I628" t="s">
        <v>196</v>
      </c>
      <c r="J628" s="2">
        <v>45940</v>
      </c>
      <c r="K628" s="2">
        <v>45940</v>
      </c>
      <c r="L628" t="s">
        <v>1089</v>
      </c>
      <c r="M628" t="s">
        <v>11</v>
      </c>
      <c r="N628" t="s">
        <v>9</v>
      </c>
      <c r="O628" t="s">
        <v>10</v>
      </c>
      <c r="P628" t="s">
        <v>11</v>
      </c>
      <c r="Q628" t="s">
        <v>198</v>
      </c>
      <c r="R628" t="s">
        <v>14</v>
      </c>
      <c r="S628" s="3">
        <v>-2385233.9500000002</v>
      </c>
      <c r="T628" t="s">
        <v>14</v>
      </c>
      <c r="U628" s="16">
        <v>-2385233.9500000002</v>
      </c>
      <c r="V628" t="s">
        <v>11</v>
      </c>
      <c r="W628" t="s">
        <v>199</v>
      </c>
      <c r="X628" t="s">
        <v>11</v>
      </c>
      <c r="Y628" t="s">
        <v>11</v>
      </c>
      <c r="Z628" t="s">
        <v>200</v>
      </c>
      <c r="AA628" t="s">
        <v>11</v>
      </c>
      <c r="AB628" t="s">
        <v>11</v>
      </c>
      <c r="AC628" t="s">
        <v>11</v>
      </c>
      <c r="AD628" t="s">
        <v>11</v>
      </c>
      <c r="AE628" s="2">
        <v>45940</v>
      </c>
      <c r="AF628" s="2"/>
      <c r="AG628" t="s">
        <v>11</v>
      </c>
    </row>
    <row r="629" spans="1:36" outlineLevel="2" x14ac:dyDescent="0.25">
      <c r="A629" t="s">
        <v>20</v>
      </c>
      <c r="B629" t="s">
        <v>1</v>
      </c>
      <c r="C629" t="s">
        <v>2</v>
      </c>
      <c r="D629" t="s">
        <v>3</v>
      </c>
      <c r="E629" t="s">
        <v>4</v>
      </c>
      <c r="F629" t="s">
        <v>21</v>
      </c>
      <c r="G629" s="2">
        <v>45958</v>
      </c>
      <c r="H629" t="s">
        <v>1090</v>
      </c>
      <c r="I629" t="s">
        <v>196</v>
      </c>
      <c r="J629" s="2">
        <v>45958</v>
      </c>
      <c r="K629" s="2">
        <v>45958</v>
      </c>
      <c r="L629" t="s">
        <v>1091</v>
      </c>
      <c r="M629" t="s">
        <v>11</v>
      </c>
      <c r="N629" t="s">
        <v>9</v>
      </c>
      <c r="O629" t="s">
        <v>10</v>
      </c>
      <c r="P629" t="s">
        <v>11</v>
      </c>
      <c r="Q629" t="s">
        <v>198</v>
      </c>
      <c r="R629" t="s">
        <v>14</v>
      </c>
      <c r="S629" s="3">
        <v>-1719090.91</v>
      </c>
      <c r="T629" t="s">
        <v>14</v>
      </c>
      <c r="U629" s="3">
        <v>-1719090.91</v>
      </c>
      <c r="V629" t="s">
        <v>11</v>
      </c>
      <c r="W629" t="s">
        <v>199</v>
      </c>
      <c r="X629" t="s">
        <v>11</v>
      </c>
      <c r="Y629" t="s">
        <v>11</v>
      </c>
      <c r="Z629" t="s">
        <v>200</v>
      </c>
      <c r="AA629" t="s">
        <v>11</v>
      </c>
      <c r="AB629" t="s">
        <v>11</v>
      </c>
      <c r="AC629" t="s">
        <v>11</v>
      </c>
      <c r="AD629" t="s">
        <v>11</v>
      </c>
      <c r="AE629" s="2">
        <v>45958</v>
      </c>
      <c r="AF629" s="2"/>
      <c r="AG629" t="s">
        <v>11</v>
      </c>
    </row>
    <row r="630" spans="1:36" outlineLevel="2" x14ac:dyDescent="0.25">
      <c r="A630" t="s">
        <v>20</v>
      </c>
      <c r="B630" t="s">
        <v>1</v>
      </c>
      <c r="C630" t="s">
        <v>2</v>
      </c>
      <c r="D630" t="s">
        <v>3</v>
      </c>
      <c r="E630" t="s">
        <v>4</v>
      </c>
      <c r="F630" t="s">
        <v>42</v>
      </c>
      <c r="G630" s="2">
        <v>45987</v>
      </c>
      <c r="H630" t="s">
        <v>1092</v>
      </c>
      <c r="I630" t="s">
        <v>196</v>
      </c>
      <c r="J630" s="2">
        <v>45987</v>
      </c>
      <c r="K630" s="2">
        <v>45987</v>
      </c>
      <c r="L630" t="s">
        <v>1093</v>
      </c>
      <c r="M630" t="s">
        <v>11</v>
      </c>
      <c r="N630" t="s">
        <v>9</v>
      </c>
      <c r="O630" t="s">
        <v>10</v>
      </c>
      <c r="P630" t="s">
        <v>11</v>
      </c>
      <c r="Q630" t="s">
        <v>198</v>
      </c>
      <c r="R630" t="s">
        <v>14</v>
      </c>
      <c r="S630" s="3">
        <v>-1917961.25</v>
      </c>
      <c r="T630" t="s">
        <v>14</v>
      </c>
      <c r="U630" s="3">
        <v>-1917961.25</v>
      </c>
      <c r="V630" t="s">
        <v>11</v>
      </c>
      <c r="W630" t="s">
        <v>199</v>
      </c>
      <c r="X630" t="s">
        <v>11</v>
      </c>
      <c r="Y630" t="s">
        <v>11</v>
      </c>
      <c r="Z630" t="s">
        <v>200</v>
      </c>
      <c r="AA630" t="s">
        <v>11</v>
      </c>
      <c r="AB630" t="s">
        <v>11</v>
      </c>
      <c r="AC630" t="s">
        <v>11</v>
      </c>
      <c r="AD630" t="s">
        <v>11</v>
      </c>
      <c r="AE630" s="2">
        <v>45987</v>
      </c>
      <c r="AF630" s="2"/>
      <c r="AG630" t="s">
        <v>11</v>
      </c>
    </row>
    <row r="631" spans="1:36" hidden="1" outlineLevel="2" x14ac:dyDescent="0.25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54</v>
      </c>
      <c r="G631" s="2">
        <v>45764</v>
      </c>
      <c r="H631" t="s">
        <v>1094</v>
      </c>
      <c r="I631" t="s">
        <v>7</v>
      </c>
      <c r="J631" s="2">
        <v>45764</v>
      </c>
      <c r="K631" s="2">
        <v>45769</v>
      </c>
      <c r="L631" t="s">
        <v>8</v>
      </c>
      <c r="M631" s="14">
        <v>256779412140</v>
      </c>
      <c r="N631" t="s">
        <v>9</v>
      </c>
      <c r="O631" t="s">
        <v>10</v>
      </c>
      <c r="P631" t="s">
        <v>11</v>
      </c>
      <c r="Q631" t="s">
        <v>12</v>
      </c>
      <c r="R631" t="s">
        <v>14</v>
      </c>
      <c r="S631" s="3">
        <v>262.20999999999998</v>
      </c>
      <c r="T631" t="s">
        <v>14</v>
      </c>
      <c r="U631" s="3">
        <v>262.20999999999998</v>
      </c>
      <c r="V631" t="s">
        <v>37</v>
      </c>
      <c r="W631" t="s">
        <v>16</v>
      </c>
      <c r="X631" t="s">
        <v>11</v>
      </c>
      <c r="Y631" t="s">
        <v>8</v>
      </c>
      <c r="Z631" t="s">
        <v>17</v>
      </c>
      <c r="AA631" t="s">
        <v>1031</v>
      </c>
      <c r="AB631" t="s">
        <v>11</v>
      </c>
      <c r="AC631" t="s">
        <v>11</v>
      </c>
      <c r="AD631" t="s">
        <v>11</v>
      </c>
      <c r="AE631" s="2">
        <v>45764</v>
      </c>
      <c r="AF631" s="2">
        <v>45974</v>
      </c>
      <c r="AG631" t="s">
        <v>39</v>
      </c>
      <c r="AH631" s="14" t="e">
        <f>VLOOKUP(M631,'[1]INDIAN ENTERPRISES'!$D:$D,1,0)</f>
        <v>#N/A</v>
      </c>
      <c r="AI631" t="str">
        <f>VLOOKUP(M631,'[2]Invoices Not in Customer Books'!$E:$K,7,0)</f>
        <v>Invoice &amp; CN both not received &amp; booked</v>
      </c>
      <c r="AJ631" s="15" t="e">
        <f>VLOOKUP(M631,'[1]INDIAN ENTERPRISES'!$D:$L,9,0)</f>
        <v>#N/A</v>
      </c>
    </row>
    <row r="632" spans="1:36" hidden="1" outlineLevel="2" x14ac:dyDescent="0.25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29</v>
      </c>
      <c r="G632" s="2">
        <v>45735</v>
      </c>
      <c r="H632" t="s">
        <v>1095</v>
      </c>
      <c r="I632" t="s">
        <v>7</v>
      </c>
      <c r="J632" s="2">
        <v>45735</v>
      </c>
      <c r="K632" s="2">
        <v>45736</v>
      </c>
      <c r="L632" t="s">
        <v>8</v>
      </c>
      <c r="M632" s="14">
        <v>246779413076</v>
      </c>
      <c r="N632" t="s">
        <v>9</v>
      </c>
      <c r="O632" t="s">
        <v>10</v>
      </c>
      <c r="P632" t="s">
        <v>11</v>
      </c>
      <c r="Q632" t="s">
        <v>12</v>
      </c>
      <c r="R632" t="s">
        <v>13</v>
      </c>
      <c r="S632" s="3">
        <v>466.37</v>
      </c>
      <c r="T632" t="s">
        <v>14</v>
      </c>
      <c r="U632" s="3">
        <v>40430.199999999997</v>
      </c>
      <c r="V632" t="s">
        <v>15</v>
      </c>
      <c r="W632" t="s">
        <v>16</v>
      </c>
      <c r="X632" t="s">
        <v>11</v>
      </c>
      <c r="Y632" t="s">
        <v>8</v>
      </c>
      <c r="Z632" t="s">
        <v>17</v>
      </c>
      <c r="AA632" t="s">
        <v>1096</v>
      </c>
      <c r="AB632" t="s">
        <v>11</v>
      </c>
      <c r="AC632" t="s">
        <v>11</v>
      </c>
      <c r="AD632" t="s">
        <v>11</v>
      </c>
      <c r="AE632" s="2">
        <v>45735</v>
      </c>
      <c r="AF632" s="2">
        <v>45974</v>
      </c>
      <c r="AG632" t="s">
        <v>39</v>
      </c>
      <c r="AH632" s="14" t="e">
        <f>VLOOKUP(M632,'[1]INDIAN ENTERPRISES'!$D:$D,1,0)</f>
        <v>#N/A</v>
      </c>
      <c r="AI632" t="str">
        <f>VLOOKUP(M632,'[2]Invoices Not in Customer Books'!$E:$K,7,0)</f>
        <v>Invoice &amp; CN both not received &amp; booked</v>
      </c>
      <c r="AJ632" s="15" t="e">
        <f>VLOOKUP(M632,'[1]INDIAN ENTERPRISES'!$D:$L,9,0)</f>
        <v>#N/A</v>
      </c>
    </row>
    <row r="633" spans="1:36" hidden="1" outlineLevel="2" x14ac:dyDescent="0.25">
      <c r="A633" t="s">
        <v>20</v>
      </c>
      <c r="B633" t="s">
        <v>1</v>
      </c>
      <c r="C633" t="s">
        <v>2</v>
      </c>
      <c r="D633" t="s">
        <v>3</v>
      </c>
      <c r="E633" t="s">
        <v>4</v>
      </c>
      <c r="F633" t="s">
        <v>96</v>
      </c>
      <c r="G633" s="2">
        <v>45787</v>
      </c>
      <c r="H633" t="s">
        <v>1097</v>
      </c>
      <c r="I633" t="s">
        <v>7</v>
      </c>
      <c r="J633" s="2">
        <v>45787</v>
      </c>
      <c r="K633" s="2">
        <v>45791</v>
      </c>
      <c r="L633" t="s">
        <v>8</v>
      </c>
      <c r="M633" s="14">
        <v>256779413147</v>
      </c>
      <c r="N633" t="s">
        <v>9</v>
      </c>
      <c r="O633" t="s">
        <v>10</v>
      </c>
      <c r="P633" t="s">
        <v>11</v>
      </c>
      <c r="Q633" t="s">
        <v>12</v>
      </c>
      <c r="R633" t="s">
        <v>14</v>
      </c>
      <c r="S633" s="3">
        <v>8000</v>
      </c>
      <c r="T633" t="s">
        <v>14</v>
      </c>
      <c r="U633" s="3">
        <v>8000</v>
      </c>
      <c r="V633" t="s">
        <v>15</v>
      </c>
      <c r="W633" t="s">
        <v>16</v>
      </c>
      <c r="X633" t="s">
        <v>11</v>
      </c>
      <c r="Y633" t="s">
        <v>8</v>
      </c>
      <c r="Z633" t="s">
        <v>17</v>
      </c>
      <c r="AA633" t="s">
        <v>1098</v>
      </c>
      <c r="AB633" t="s">
        <v>11</v>
      </c>
      <c r="AC633" t="s">
        <v>11</v>
      </c>
      <c r="AD633" t="s">
        <v>11</v>
      </c>
      <c r="AE633" s="2">
        <v>45787</v>
      </c>
      <c r="AF633" s="2"/>
      <c r="AG633" t="s">
        <v>11</v>
      </c>
      <c r="AH633" s="14">
        <f>VLOOKUP(M633,'[1]INDIAN ENTERPRISES'!$D:$D,1,0)</f>
        <v>256779413147</v>
      </c>
      <c r="AJ633" s="15">
        <f>VLOOKUP(M633,'[1]INDIAN ENTERPRISES'!$D:$L,9,0)</f>
        <v>45991</v>
      </c>
    </row>
    <row r="634" spans="1:36" hidden="1" outlineLevel="2" x14ac:dyDescent="0.25">
      <c r="A634" t="s">
        <v>20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s="2">
        <v>45818</v>
      </c>
      <c r="H634" t="s">
        <v>1099</v>
      </c>
      <c r="I634" t="s">
        <v>7</v>
      </c>
      <c r="J634" s="2">
        <v>45818</v>
      </c>
      <c r="K634" s="2">
        <v>45825</v>
      </c>
      <c r="L634" t="s">
        <v>8</v>
      </c>
      <c r="M634" s="14">
        <v>256779414359</v>
      </c>
      <c r="N634" t="s">
        <v>9</v>
      </c>
      <c r="O634" t="s">
        <v>10</v>
      </c>
      <c r="P634" t="s">
        <v>11</v>
      </c>
      <c r="Q634" t="s">
        <v>12</v>
      </c>
      <c r="R634" t="s">
        <v>14</v>
      </c>
      <c r="S634" s="3">
        <v>8000</v>
      </c>
      <c r="T634" t="s">
        <v>14</v>
      </c>
      <c r="U634" s="3">
        <v>8000</v>
      </c>
      <c r="V634" t="s">
        <v>15</v>
      </c>
      <c r="W634" t="s">
        <v>16</v>
      </c>
      <c r="X634" t="s">
        <v>11</v>
      </c>
      <c r="Y634" t="s">
        <v>8</v>
      </c>
      <c r="Z634" t="s">
        <v>17</v>
      </c>
      <c r="AA634" t="s">
        <v>1100</v>
      </c>
      <c r="AB634" t="s">
        <v>11</v>
      </c>
      <c r="AC634" t="s">
        <v>11</v>
      </c>
      <c r="AD634" t="s">
        <v>11</v>
      </c>
      <c r="AE634" s="2">
        <v>45818</v>
      </c>
      <c r="AF634" s="2"/>
      <c r="AG634" t="s">
        <v>11</v>
      </c>
      <c r="AH634" s="14">
        <f>VLOOKUP(M634,'[1]INDIAN ENTERPRISES'!$D:$D,1,0)</f>
        <v>256779414359</v>
      </c>
      <c r="AJ634" s="15">
        <f>VLOOKUP(M634,'[1]INDIAN ENTERPRISES'!$D:$L,9,0)</f>
        <v>46053</v>
      </c>
    </row>
    <row r="635" spans="1:36" hidden="1" outlineLevel="2" x14ac:dyDescent="0.25">
      <c r="A635" t="s">
        <v>20</v>
      </c>
      <c r="B635" t="s">
        <v>1</v>
      </c>
      <c r="C635" t="s">
        <v>2</v>
      </c>
      <c r="D635" t="s">
        <v>3</v>
      </c>
      <c r="E635" t="s">
        <v>4</v>
      </c>
      <c r="F635" t="s">
        <v>128</v>
      </c>
      <c r="G635" s="2">
        <v>45842</v>
      </c>
      <c r="H635" t="s">
        <v>1101</v>
      </c>
      <c r="I635" t="s">
        <v>7</v>
      </c>
      <c r="J635" s="2">
        <v>45842</v>
      </c>
      <c r="K635" s="2">
        <v>45847</v>
      </c>
      <c r="L635" t="s">
        <v>8</v>
      </c>
      <c r="M635" s="14">
        <v>256779414917</v>
      </c>
      <c r="N635" t="s">
        <v>9</v>
      </c>
      <c r="O635" t="s">
        <v>10</v>
      </c>
      <c r="P635" t="s">
        <v>11</v>
      </c>
      <c r="Q635" t="s">
        <v>12</v>
      </c>
      <c r="R635" t="s">
        <v>14</v>
      </c>
      <c r="S635" s="3">
        <v>8000</v>
      </c>
      <c r="T635" t="s">
        <v>14</v>
      </c>
      <c r="U635" s="3">
        <v>8000</v>
      </c>
      <c r="V635" t="s">
        <v>15</v>
      </c>
      <c r="W635" t="s">
        <v>16</v>
      </c>
      <c r="X635" t="s">
        <v>11</v>
      </c>
      <c r="Y635" t="s">
        <v>8</v>
      </c>
      <c r="Z635" t="s">
        <v>17</v>
      </c>
      <c r="AA635" t="s">
        <v>1102</v>
      </c>
      <c r="AB635" t="s">
        <v>11</v>
      </c>
      <c r="AC635" t="s">
        <v>11</v>
      </c>
      <c r="AD635" t="s">
        <v>11</v>
      </c>
      <c r="AE635" s="2">
        <v>45842</v>
      </c>
      <c r="AF635" s="2"/>
      <c r="AG635" t="s">
        <v>11</v>
      </c>
      <c r="AH635" s="14">
        <f>VLOOKUP(M635,'[1]INDIAN ENTERPRISES'!$D:$D,1,0)</f>
        <v>256779414917</v>
      </c>
      <c r="AJ635" s="15">
        <f>VLOOKUP(M635,'[1]INDIAN ENTERPRISES'!$D:$L,9,0)</f>
        <v>46053</v>
      </c>
    </row>
    <row r="636" spans="1:36" hidden="1" outlineLevel="2" x14ac:dyDescent="0.25">
      <c r="A636" t="s">
        <v>20</v>
      </c>
      <c r="B636" t="s">
        <v>1</v>
      </c>
      <c r="C636" t="s">
        <v>2</v>
      </c>
      <c r="D636" t="s">
        <v>3</v>
      </c>
      <c r="E636" t="s">
        <v>4</v>
      </c>
      <c r="F636" t="s">
        <v>639</v>
      </c>
      <c r="G636" s="2">
        <v>45870</v>
      </c>
      <c r="H636" t="s">
        <v>1103</v>
      </c>
      <c r="I636" t="s">
        <v>7</v>
      </c>
      <c r="J636" s="2">
        <v>45870</v>
      </c>
      <c r="K636" s="2">
        <v>45873</v>
      </c>
      <c r="L636" t="s">
        <v>8</v>
      </c>
      <c r="M636" s="14">
        <v>256779416029</v>
      </c>
      <c r="N636" t="s">
        <v>9</v>
      </c>
      <c r="O636" t="s">
        <v>10</v>
      </c>
      <c r="P636" t="s">
        <v>11</v>
      </c>
      <c r="Q636" t="s">
        <v>12</v>
      </c>
      <c r="R636" t="s">
        <v>14</v>
      </c>
      <c r="S636" s="3">
        <v>8000</v>
      </c>
      <c r="T636" t="s">
        <v>14</v>
      </c>
      <c r="U636" s="3">
        <v>8000</v>
      </c>
      <c r="V636" t="s">
        <v>15</v>
      </c>
      <c r="W636" t="s">
        <v>16</v>
      </c>
      <c r="X636" t="s">
        <v>11</v>
      </c>
      <c r="Y636" t="s">
        <v>8</v>
      </c>
      <c r="Z636" t="s">
        <v>17</v>
      </c>
      <c r="AA636" t="s">
        <v>1104</v>
      </c>
      <c r="AB636" t="s">
        <v>11</v>
      </c>
      <c r="AC636" t="s">
        <v>11</v>
      </c>
      <c r="AD636" t="s">
        <v>11</v>
      </c>
      <c r="AE636" s="2">
        <v>45870</v>
      </c>
      <c r="AF636" s="2"/>
      <c r="AG636" t="s">
        <v>11</v>
      </c>
      <c r="AH636" s="14">
        <f>VLOOKUP(M636,'[1]INDIAN ENTERPRISES'!$D:$D,1,0)</f>
        <v>256779416029</v>
      </c>
      <c r="AJ636" s="15">
        <f>VLOOKUP(M636,'[1]INDIAN ENTERPRISES'!$D:$L,9,0)</f>
        <v>46053</v>
      </c>
    </row>
    <row r="637" spans="1:36" hidden="1" outlineLevel="2" x14ac:dyDescent="0.25">
      <c r="A637" t="s">
        <v>20</v>
      </c>
      <c r="B637" t="s">
        <v>1</v>
      </c>
      <c r="C637" t="s">
        <v>2</v>
      </c>
      <c r="D637" t="s">
        <v>3</v>
      </c>
      <c r="E637" t="s">
        <v>4</v>
      </c>
      <c r="F637" t="s">
        <v>76</v>
      </c>
      <c r="G637" s="2">
        <v>45904</v>
      </c>
      <c r="H637" t="s">
        <v>1105</v>
      </c>
      <c r="I637" t="s">
        <v>7</v>
      </c>
      <c r="J637" s="2">
        <v>45904</v>
      </c>
      <c r="K637" s="2">
        <v>45909</v>
      </c>
      <c r="L637" t="s">
        <v>8</v>
      </c>
      <c r="M637" s="14">
        <v>256779417349</v>
      </c>
      <c r="N637" t="s">
        <v>9</v>
      </c>
      <c r="O637" t="s">
        <v>10</v>
      </c>
      <c r="P637" t="s">
        <v>11</v>
      </c>
      <c r="Q637" t="s">
        <v>12</v>
      </c>
      <c r="R637" t="s">
        <v>14</v>
      </c>
      <c r="S637" s="3">
        <v>8000</v>
      </c>
      <c r="T637" t="s">
        <v>14</v>
      </c>
      <c r="U637" s="3">
        <v>8000</v>
      </c>
      <c r="V637" t="s">
        <v>15</v>
      </c>
      <c r="W637" t="s">
        <v>16</v>
      </c>
      <c r="X637" t="s">
        <v>11</v>
      </c>
      <c r="Y637" t="s">
        <v>1106</v>
      </c>
      <c r="Z637" t="s">
        <v>17</v>
      </c>
      <c r="AA637" t="s">
        <v>1107</v>
      </c>
      <c r="AB637" t="s">
        <v>11</v>
      </c>
      <c r="AC637" t="s">
        <v>11</v>
      </c>
      <c r="AD637" t="s">
        <v>11</v>
      </c>
      <c r="AE637" s="2">
        <v>45904</v>
      </c>
      <c r="AF637" s="2"/>
      <c r="AG637" t="s">
        <v>11</v>
      </c>
      <c r="AH637" s="14">
        <f>VLOOKUP(M637,'[1]INDIAN ENTERPRISES'!$D:$D,1,0)</f>
        <v>256779417349</v>
      </c>
      <c r="AJ637" s="15">
        <f>VLOOKUP(M637,'[1]INDIAN ENTERPRISES'!$D:$L,9,0)</f>
        <v>46053</v>
      </c>
    </row>
    <row r="638" spans="1:36" hidden="1" outlineLevel="2" x14ac:dyDescent="0.25">
      <c r="A638" t="s">
        <v>20</v>
      </c>
      <c r="B638" t="s">
        <v>1</v>
      </c>
      <c r="C638" t="s">
        <v>2</v>
      </c>
      <c r="D638" t="s">
        <v>3</v>
      </c>
      <c r="E638" t="s">
        <v>4</v>
      </c>
      <c r="F638" t="s">
        <v>21</v>
      </c>
      <c r="G638" s="2">
        <v>45935</v>
      </c>
      <c r="H638" t="s">
        <v>1108</v>
      </c>
      <c r="I638" t="s">
        <v>7</v>
      </c>
      <c r="J638" s="2">
        <v>45935</v>
      </c>
      <c r="K638" s="2">
        <v>45937</v>
      </c>
      <c r="L638" t="s">
        <v>8</v>
      </c>
      <c r="M638" s="14">
        <v>256779417876</v>
      </c>
      <c r="N638" t="s">
        <v>9</v>
      </c>
      <c r="O638" t="s">
        <v>10</v>
      </c>
      <c r="P638" t="s">
        <v>11</v>
      </c>
      <c r="Q638" t="s">
        <v>12</v>
      </c>
      <c r="R638" t="s">
        <v>14</v>
      </c>
      <c r="S638" s="3">
        <v>8000</v>
      </c>
      <c r="T638" t="s">
        <v>14</v>
      </c>
      <c r="U638" s="3">
        <v>8000</v>
      </c>
      <c r="V638" t="s">
        <v>15</v>
      </c>
      <c r="W638" t="s">
        <v>16</v>
      </c>
      <c r="X638" t="s">
        <v>11</v>
      </c>
      <c r="Y638" t="s">
        <v>1109</v>
      </c>
      <c r="Z638" t="s">
        <v>17</v>
      </c>
      <c r="AA638" t="s">
        <v>1110</v>
      </c>
      <c r="AB638" t="s">
        <v>11</v>
      </c>
      <c r="AC638" t="s">
        <v>11</v>
      </c>
      <c r="AD638" t="s">
        <v>11</v>
      </c>
      <c r="AE638" s="2">
        <v>45935</v>
      </c>
      <c r="AF638" s="2"/>
      <c r="AG638" t="s">
        <v>11</v>
      </c>
      <c r="AH638" s="14">
        <f>VLOOKUP(M638,'[1]INDIAN ENTERPRISES'!$D:$D,1,0)</f>
        <v>256779417876</v>
      </c>
      <c r="AJ638" s="15">
        <f>VLOOKUP(M638,'[1]INDIAN ENTERPRISES'!$D:$L,9,0)</f>
        <v>46053</v>
      </c>
    </row>
    <row r="639" spans="1:36" hidden="1" outlineLevel="2" x14ac:dyDescent="0.25">
      <c r="A639" t="s">
        <v>20</v>
      </c>
      <c r="B639" t="s">
        <v>1</v>
      </c>
      <c r="C639" t="s">
        <v>2</v>
      </c>
      <c r="D639" t="s">
        <v>3</v>
      </c>
      <c r="E639" t="s">
        <v>4</v>
      </c>
      <c r="F639" t="s">
        <v>42</v>
      </c>
      <c r="G639" s="2">
        <v>45966</v>
      </c>
      <c r="H639" t="s">
        <v>1111</v>
      </c>
      <c r="I639" t="s">
        <v>7</v>
      </c>
      <c r="J639" s="2">
        <v>45966</v>
      </c>
      <c r="K639" s="2">
        <v>45966</v>
      </c>
      <c r="L639" t="s">
        <v>8</v>
      </c>
      <c r="M639" s="14">
        <v>256779418778</v>
      </c>
      <c r="N639" t="s">
        <v>9</v>
      </c>
      <c r="O639" t="s">
        <v>10</v>
      </c>
      <c r="P639" t="s">
        <v>11</v>
      </c>
      <c r="Q639" t="s">
        <v>12</v>
      </c>
      <c r="R639" t="s">
        <v>14</v>
      </c>
      <c r="S639" s="3">
        <v>8000</v>
      </c>
      <c r="T639" t="s">
        <v>14</v>
      </c>
      <c r="U639" s="3">
        <v>8000</v>
      </c>
      <c r="V639" t="s">
        <v>15</v>
      </c>
      <c r="W639" t="s">
        <v>16</v>
      </c>
      <c r="X639" t="s">
        <v>11</v>
      </c>
      <c r="Y639" t="s">
        <v>1112</v>
      </c>
      <c r="Z639" t="s">
        <v>17</v>
      </c>
      <c r="AA639" t="s">
        <v>1113</v>
      </c>
      <c r="AB639" t="s">
        <v>11</v>
      </c>
      <c r="AC639" t="s">
        <v>11</v>
      </c>
      <c r="AD639" t="s">
        <v>11</v>
      </c>
      <c r="AE639" s="2">
        <v>45966</v>
      </c>
      <c r="AF639" s="2"/>
      <c r="AG639" t="s">
        <v>11</v>
      </c>
      <c r="AH639" s="14">
        <f>VLOOKUP(M639,'[1]INDIAN ENTERPRISES'!$D:$D,1,0)</f>
        <v>256779418778</v>
      </c>
      <c r="AJ639" s="15">
        <f>VLOOKUP(M639,'[1]INDIAN ENTERPRISES'!$D:$L,9,0)</f>
        <v>46053</v>
      </c>
    </row>
    <row r="640" spans="1:36" hidden="1" outlineLevel="2" x14ac:dyDescent="0.25">
      <c r="A640" t="s">
        <v>20</v>
      </c>
      <c r="B640" t="s">
        <v>1</v>
      </c>
      <c r="C640" t="s">
        <v>2</v>
      </c>
      <c r="D640" t="s">
        <v>3</v>
      </c>
      <c r="E640" t="s">
        <v>4</v>
      </c>
      <c r="F640" t="s">
        <v>89</v>
      </c>
      <c r="G640" s="2">
        <v>45995</v>
      </c>
      <c r="H640" t="s">
        <v>1114</v>
      </c>
      <c r="I640" t="s">
        <v>7</v>
      </c>
      <c r="J640" s="2">
        <v>45995</v>
      </c>
      <c r="K640" s="2">
        <v>46000</v>
      </c>
      <c r="L640" t="s">
        <v>8</v>
      </c>
      <c r="M640" s="14">
        <v>256779419971</v>
      </c>
      <c r="N640" t="s">
        <v>9</v>
      </c>
      <c r="O640" t="s">
        <v>10</v>
      </c>
      <c r="P640" t="s">
        <v>11</v>
      </c>
      <c r="Q640" t="s">
        <v>12</v>
      </c>
      <c r="R640" t="s">
        <v>14</v>
      </c>
      <c r="S640" s="3">
        <v>8000</v>
      </c>
      <c r="T640" t="s">
        <v>14</v>
      </c>
      <c r="U640" s="3">
        <v>8000</v>
      </c>
      <c r="V640" t="s">
        <v>15</v>
      </c>
      <c r="W640" t="s">
        <v>16</v>
      </c>
      <c r="X640" t="s">
        <v>11</v>
      </c>
      <c r="Y640" t="s">
        <v>1115</v>
      </c>
      <c r="Z640" t="s">
        <v>17</v>
      </c>
      <c r="AA640" t="s">
        <v>1116</v>
      </c>
      <c r="AB640" t="s">
        <v>11</v>
      </c>
      <c r="AC640" t="s">
        <v>11</v>
      </c>
      <c r="AD640" t="s">
        <v>11</v>
      </c>
      <c r="AE640" s="2">
        <v>45995</v>
      </c>
      <c r="AF640" s="2"/>
      <c r="AG640" t="s">
        <v>11</v>
      </c>
      <c r="AH640" s="14">
        <f>VLOOKUP(M640,'[1]INDIAN ENTERPRISES'!$D:$D,1,0)</f>
        <v>256779419971</v>
      </c>
      <c r="AJ640" s="15">
        <f>VLOOKUP(M640,'[1]INDIAN ENTERPRISES'!$D:$L,9,0)</f>
        <v>46053</v>
      </c>
    </row>
    <row r="641" spans="1:36" hidden="1" outlineLevel="2" x14ac:dyDescent="0.25">
      <c r="A641" t="s">
        <v>20</v>
      </c>
      <c r="B641" t="s">
        <v>1</v>
      </c>
      <c r="C641" t="s">
        <v>2</v>
      </c>
      <c r="D641" t="s">
        <v>3</v>
      </c>
      <c r="E641" t="s">
        <v>4</v>
      </c>
      <c r="F641" t="s">
        <v>96</v>
      </c>
      <c r="G641" s="2">
        <v>45787</v>
      </c>
      <c r="H641" t="s">
        <v>1117</v>
      </c>
      <c r="I641" t="s">
        <v>7</v>
      </c>
      <c r="J641" s="2">
        <v>45787</v>
      </c>
      <c r="K641" s="2">
        <v>45791</v>
      </c>
      <c r="L641" t="s">
        <v>8</v>
      </c>
      <c r="M641" s="14">
        <v>256779413148</v>
      </c>
      <c r="N641" t="s">
        <v>9</v>
      </c>
      <c r="O641" t="s">
        <v>10</v>
      </c>
      <c r="P641" t="s">
        <v>11</v>
      </c>
      <c r="Q641" t="s">
        <v>12</v>
      </c>
      <c r="R641" t="s">
        <v>14</v>
      </c>
      <c r="S641" s="3">
        <v>4400</v>
      </c>
      <c r="T641" t="s">
        <v>14</v>
      </c>
      <c r="U641" s="3">
        <v>4400</v>
      </c>
      <c r="V641" t="s">
        <v>15</v>
      </c>
      <c r="W641" t="s">
        <v>16</v>
      </c>
      <c r="X641" t="s">
        <v>11</v>
      </c>
      <c r="Y641" t="s">
        <v>8</v>
      </c>
      <c r="Z641" t="s">
        <v>17</v>
      </c>
      <c r="AA641" t="s">
        <v>1098</v>
      </c>
      <c r="AB641" t="s">
        <v>11</v>
      </c>
      <c r="AC641" t="s">
        <v>11</v>
      </c>
      <c r="AD641" t="s">
        <v>11</v>
      </c>
      <c r="AE641" s="2">
        <v>45787</v>
      </c>
      <c r="AF641" s="2"/>
      <c r="AG641" t="s">
        <v>11</v>
      </c>
      <c r="AH641" s="14">
        <f>VLOOKUP(M641,'[1]INDIAN ENTERPRISES'!$D:$D,1,0)</f>
        <v>256779413148</v>
      </c>
      <c r="AJ641" s="15">
        <f>VLOOKUP(M641,'[1]INDIAN ENTERPRISES'!$D:$L,9,0)</f>
        <v>45991</v>
      </c>
    </row>
    <row r="642" spans="1:36" hidden="1" outlineLevel="2" x14ac:dyDescent="0.25">
      <c r="A642" t="s">
        <v>20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s="2">
        <v>45818</v>
      </c>
      <c r="H642" t="s">
        <v>1118</v>
      </c>
      <c r="I642" t="s">
        <v>7</v>
      </c>
      <c r="J642" s="2">
        <v>45818</v>
      </c>
      <c r="K642" s="2">
        <v>45825</v>
      </c>
      <c r="L642" t="s">
        <v>8</v>
      </c>
      <c r="M642" s="14">
        <v>256779414360</v>
      </c>
      <c r="N642" t="s">
        <v>9</v>
      </c>
      <c r="O642" t="s">
        <v>10</v>
      </c>
      <c r="P642" t="s">
        <v>11</v>
      </c>
      <c r="Q642" t="s">
        <v>12</v>
      </c>
      <c r="R642" t="s">
        <v>14</v>
      </c>
      <c r="S642" s="3">
        <v>4400</v>
      </c>
      <c r="T642" t="s">
        <v>14</v>
      </c>
      <c r="U642" s="3">
        <v>4400</v>
      </c>
      <c r="V642" t="s">
        <v>15</v>
      </c>
      <c r="W642" t="s">
        <v>16</v>
      </c>
      <c r="X642" t="s">
        <v>11</v>
      </c>
      <c r="Y642" t="s">
        <v>8</v>
      </c>
      <c r="Z642" t="s">
        <v>17</v>
      </c>
      <c r="AA642" t="s">
        <v>1100</v>
      </c>
      <c r="AB642" t="s">
        <v>11</v>
      </c>
      <c r="AC642" t="s">
        <v>11</v>
      </c>
      <c r="AD642" t="s">
        <v>11</v>
      </c>
      <c r="AE642" s="2">
        <v>45818</v>
      </c>
      <c r="AF642" s="2"/>
      <c r="AG642" t="s">
        <v>11</v>
      </c>
      <c r="AH642" s="14">
        <f>VLOOKUP(M642,'[1]INDIAN ENTERPRISES'!$D:$D,1,0)</f>
        <v>256779414360</v>
      </c>
      <c r="AJ642" s="15">
        <f>VLOOKUP(M642,'[1]INDIAN ENTERPRISES'!$D:$L,9,0)</f>
        <v>46053</v>
      </c>
    </row>
    <row r="643" spans="1:36" hidden="1" outlineLevel="2" x14ac:dyDescent="0.25">
      <c r="A643" t="s">
        <v>20</v>
      </c>
      <c r="B643" t="s">
        <v>1</v>
      </c>
      <c r="C643" t="s">
        <v>2</v>
      </c>
      <c r="D643" t="s">
        <v>3</v>
      </c>
      <c r="E643" t="s">
        <v>4</v>
      </c>
      <c r="F643" t="s">
        <v>128</v>
      </c>
      <c r="G643" s="2">
        <v>45842</v>
      </c>
      <c r="H643" t="s">
        <v>1119</v>
      </c>
      <c r="I643" t="s">
        <v>7</v>
      </c>
      <c r="J643" s="2">
        <v>45842</v>
      </c>
      <c r="K643" s="2">
        <v>45847</v>
      </c>
      <c r="L643" t="s">
        <v>8</v>
      </c>
      <c r="M643" s="14">
        <v>256779414918</v>
      </c>
      <c r="N643" t="s">
        <v>9</v>
      </c>
      <c r="O643" t="s">
        <v>10</v>
      </c>
      <c r="P643" t="s">
        <v>11</v>
      </c>
      <c r="Q643" t="s">
        <v>12</v>
      </c>
      <c r="R643" t="s">
        <v>14</v>
      </c>
      <c r="S643" s="3">
        <v>4400</v>
      </c>
      <c r="T643" t="s">
        <v>14</v>
      </c>
      <c r="U643" s="3">
        <v>4400</v>
      </c>
      <c r="V643" t="s">
        <v>15</v>
      </c>
      <c r="W643" t="s">
        <v>16</v>
      </c>
      <c r="X643" t="s">
        <v>11</v>
      </c>
      <c r="Y643" t="s">
        <v>8</v>
      </c>
      <c r="Z643" t="s">
        <v>17</v>
      </c>
      <c r="AA643" t="s">
        <v>1102</v>
      </c>
      <c r="AB643" t="s">
        <v>11</v>
      </c>
      <c r="AC643" t="s">
        <v>11</v>
      </c>
      <c r="AD643" t="s">
        <v>11</v>
      </c>
      <c r="AE643" s="2">
        <v>45842</v>
      </c>
      <c r="AF643" s="2"/>
      <c r="AG643" t="s">
        <v>11</v>
      </c>
      <c r="AH643" s="14">
        <f>VLOOKUP(M643,'[1]INDIAN ENTERPRISES'!$D:$D,1,0)</f>
        <v>256779414918</v>
      </c>
      <c r="AJ643" s="15">
        <f>VLOOKUP(M643,'[1]INDIAN ENTERPRISES'!$D:$L,9,0)</f>
        <v>46053</v>
      </c>
    </row>
    <row r="644" spans="1:36" hidden="1" outlineLevel="2" x14ac:dyDescent="0.25">
      <c r="A644" t="s">
        <v>20</v>
      </c>
      <c r="B644" t="s">
        <v>1</v>
      </c>
      <c r="C644" t="s">
        <v>2</v>
      </c>
      <c r="D644" t="s">
        <v>3</v>
      </c>
      <c r="E644" t="s">
        <v>4</v>
      </c>
      <c r="F644" t="s">
        <v>639</v>
      </c>
      <c r="G644" s="2">
        <v>45870</v>
      </c>
      <c r="H644" t="s">
        <v>1120</v>
      </c>
      <c r="I644" t="s">
        <v>7</v>
      </c>
      <c r="J644" s="2">
        <v>45870</v>
      </c>
      <c r="K644" s="2">
        <v>45873</v>
      </c>
      <c r="L644" t="s">
        <v>8</v>
      </c>
      <c r="M644" s="14">
        <v>256779416030</v>
      </c>
      <c r="N644" t="s">
        <v>9</v>
      </c>
      <c r="O644" t="s">
        <v>10</v>
      </c>
      <c r="P644" t="s">
        <v>11</v>
      </c>
      <c r="Q644" t="s">
        <v>12</v>
      </c>
      <c r="R644" t="s">
        <v>14</v>
      </c>
      <c r="S644" s="3">
        <v>4400</v>
      </c>
      <c r="T644" t="s">
        <v>14</v>
      </c>
      <c r="U644" s="3">
        <v>4400</v>
      </c>
      <c r="V644" t="s">
        <v>15</v>
      </c>
      <c r="W644" t="s">
        <v>16</v>
      </c>
      <c r="X644" t="s">
        <v>11</v>
      </c>
      <c r="Y644" t="s">
        <v>8</v>
      </c>
      <c r="Z644" t="s">
        <v>17</v>
      </c>
      <c r="AA644" t="s">
        <v>1104</v>
      </c>
      <c r="AB644" t="s">
        <v>11</v>
      </c>
      <c r="AC644" t="s">
        <v>11</v>
      </c>
      <c r="AD644" t="s">
        <v>11</v>
      </c>
      <c r="AE644" s="2">
        <v>45870</v>
      </c>
      <c r="AF644" s="2"/>
      <c r="AG644" t="s">
        <v>11</v>
      </c>
      <c r="AH644" s="14">
        <f>VLOOKUP(M644,'[1]INDIAN ENTERPRISES'!$D:$D,1,0)</f>
        <v>256779416030</v>
      </c>
      <c r="AJ644" s="15">
        <f>VLOOKUP(M644,'[1]INDIAN ENTERPRISES'!$D:$L,9,0)</f>
        <v>46053</v>
      </c>
    </row>
    <row r="645" spans="1:36" hidden="1" outlineLevel="2" x14ac:dyDescent="0.25">
      <c r="A645" t="s">
        <v>20</v>
      </c>
      <c r="B645" t="s">
        <v>1</v>
      </c>
      <c r="C645" t="s">
        <v>2</v>
      </c>
      <c r="D645" t="s">
        <v>3</v>
      </c>
      <c r="E645" t="s">
        <v>4</v>
      </c>
      <c r="F645" t="s">
        <v>76</v>
      </c>
      <c r="G645" s="2">
        <v>45904</v>
      </c>
      <c r="H645" t="s">
        <v>1121</v>
      </c>
      <c r="I645" t="s">
        <v>7</v>
      </c>
      <c r="J645" s="2">
        <v>45904</v>
      </c>
      <c r="K645" s="2">
        <v>45909</v>
      </c>
      <c r="L645" t="s">
        <v>8</v>
      </c>
      <c r="M645" s="14">
        <v>256779417350</v>
      </c>
      <c r="N645" t="s">
        <v>9</v>
      </c>
      <c r="O645" t="s">
        <v>10</v>
      </c>
      <c r="P645" t="s">
        <v>11</v>
      </c>
      <c r="Q645" t="s">
        <v>12</v>
      </c>
      <c r="R645" t="s">
        <v>14</v>
      </c>
      <c r="S645" s="3">
        <v>4400</v>
      </c>
      <c r="T645" t="s">
        <v>14</v>
      </c>
      <c r="U645" s="3">
        <v>4400</v>
      </c>
      <c r="V645" t="s">
        <v>15</v>
      </c>
      <c r="W645" t="s">
        <v>16</v>
      </c>
      <c r="X645" t="s">
        <v>11</v>
      </c>
      <c r="Y645" t="s">
        <v>1106</v>
      </c>
      <c r="Z645" t="s">
        <v>17</v>
      </c>
      <c r="AA645" t="s">
        <v>1107</v>
      </c>
      <c r="AB645" t="s">
        <v>11</v>
      </c>
      <c r="AC645" t="s">
        <v>11</v>
      </c>
      <c r="AD645" t="s">
        <v>11</v>
      </c>
      <c r="AE645" s="2">
        <v>45904</v>
      </c>
      <c r="AF645" s="2"/>
      <c r="AG645" t="s">
        <v>11</v>
      </c>
      <c r="AH645" s="14">
        <f>VLOOKUP(M645,'[1]INDIAN ENTERPRISES'!$D:$D,1,0)</f>
        <v>256779417350</v>
      </c>
      <c r="AJ645" s="15">
        <f>VLOOKUP(M645,'[1]INDIAN ENTERPRISES'!$D:$L,9,0)</f>
        <v>46053</v>
      </c>
    </row>
    <row r="646" spans="1:36" hidden="1" outlineLevel="2" x14ac:dyDescent="0.25">
      <c r="A646" t="s">
        <v>20</v>
      </c>
      <c r="B646" t="s">
        <v>1</v>
      </c>
      <c r="C646" t="s">
        <v>2</v>
      </c>
      <c r="D646" t="s">
        <v>3</v>
      </c>
      <c r="E646" t="s">
        <v>4</v>
      </c>
      <c r="F646" t="s">
        <v>21</v>
      </c>
      <c r="G646" s="2">
        <v>45935</v>
      </c>
      <c r="H646" t="s">
        <v>1122</v>
      </c>
      <c r="I646" t="s">
        <v>7</v>
      </c>
      <c r="J646" s="2">
        <v>45935</v>
      </c>
      <c r="K646" s="2">
        <v>45937</v>
      </c>
      <c r="L646" t="s">
        <v>8</v>
      </c>
      <c r="M646" s="14">
        <v>256779417877</v>
      </c>
      <c r="N646" t="s">
        <v>9</v>
      </c>
      <c r="O646" t="s">
        <v>10</v>
      </c>
      <c r="P646" t="s">
        <v>11</v>
      </c>
      <c r="Q646" t="s">
        <v>12</v>
      </c>
      <c r="R646" t="s">
        <v>14</v>
      </c>
      <c r="S646" s="3">
        <v>4400</v>
      </c>
      <c r="T646" t="s">
        <v>14</v>
      </c>
      <c r="U646" s="3">
        <v>4400</v>
      </c>
      <c r="V646" t="s">
        <v>15</v>
      </c>
      <c r="W646" t="s">
        <v>16</v>
      </c>
      <c r="X646" t="s">
        <v>11</v>
      </c>
      <c r="Y646" t="s">
        <v>1109</v>
      </c>
      <c r="Z646" t="s">
        <v>17</v>
      </c>
      <c r="AA646" t="s">
        <v>1110</v>
      </c>
      <c r="AB646" t="s">
        <v>11</v>
      </c>
      <c r="AC646" t="s">
        <v>11</v>
      </c>
      <c r="AD646" t="s">
        <v>11</v>
      </c>
      <c r="AE646" s="2">
        <v>45935</v>
      </c>
      <c r="AF646" s="2"/>
      <c r="AG646" t="s">
        <v>11</v>
      </c>
      <c r="AH646" s="14">
        <f>VLOOKUP(M646,'[1]INDIAN ENTERPRISES'!$D:$D,1,0)</f>
        <v>256779417877</v>
      </c>
      <c r="AJ646" s="15">
        <f>VLOOKUP(M646,'[1]INDIAN ENTERPRISES'!$D:$L,9,0)</f>
        <v>46053</v>
      </c>
    </row>
    <row r="647" spans="1:36" hidden="1" outlineLevel="2" x14ac:dyDescent="0.25">
      <c r="A647" t="s">
        <v>20</v>
      </c>
      <c r="B647" t="s">
        <v>1</v>
      </c>
      <c r="C647" t="s">
        <v>2</v>
      </c>
      <c r="D647" t="s">
        <v>3</v>
      </c>
      <c r="E647" t="s">
        <v>4</v>
      </c>
      <c r="F647" t="s">
        <v>42</v>
      </c>
      <c r="G647" s="2">
        <v>45966</v>
      </c>
      <c r="H647" t="s">
        <v>1123</v>
      </c>
      <c r="I647" t="s">
        <v>7</v>
      </c>
      <c r="J647" s="2">
        <v>45966</v>
      </c>
      <c r="K647" s="2">
        <v>45966</v>
      </c>
      <c r="L647" t="s">
        <v>8</v>
      </c>
      <c r="M647" s="14">
        <v>256779418779</v>
      </c>
      <c r="N647" t="s">
        <v>9</v>
      </c>
      <c r="O647" t="s">
        <v>10</v>
      </c>
      <c r="P647" t="s">
        <v>11</v>
      </c>
      <c r="Q647" t="s">
        <v>12</v>
      </c>
      <c r="R647" t="s">
        <v>14</v>
      </c>
      <c r="S647" s="3">
        <v>4400</v>
      </c>
      <c r="T647" t="s">
        <v>14</v>
      </c>
      <c r="U647" s="3">
        <v>4400</v>
      </c>
      <c r="V647" t="s">
        <v>15</v>
      </c>
      <c r="W647" t="s">
        <v>16</v>
      </c>
      <c r="X647" t="s">
        <v>11</v>
      </c>
      <c r="Y647" t="s">
        <v>1112</v>
      </c>
      <c r="Z647" t="s">
        <v>17</v>
      </c>
      <c r="AA647" t="s">
        <v>1113</v>
      </c>
      <c r="AB647" t="s">
        <v>11</v>
      </c>
      <c r="AC647" t="s">
        <v>11</v>
      </c>
      <c r="AD647" t="s">
        <v>11</v>
      </c>
      <c r="AE647" s="2">
        <v>45966</v>
      </c>
      <c r="AF647" s="2"/>
      <c r="AG647" t="s">
        <v>11</v>
      </c>
      <c r="AH647" s="14">
        <f>VLOOKUP(M647,'[1]INDIAN ENTERPRISES'!$D:$D,1,0)</f>
        <v>256779418779</v>
      </c>
      <c r="AJ647" s="15">
        <f>VLOOKUP(M647,'[1]INDIAN ENTERPRISES'!$D:$L,9,0)</f>
        <v>46053</v>
      </c>
    </row>
    <row r="648" spans="1:36" hidden="1" outlineLevel="2" x14ac:dyDescent="0.25">
      <c r="A648" t="s">
        <v>20</v>
      </c>
      <c r="B648" t="s">
        <v>1</v>
      </c>
      <c r="C648" t="s">
        <v>2</v>
      </c>
      <c r="D648" t="s">
        <v>3</v>
      </c>
      <c r="E648" t="s">
        <v>4</v>
      </c>
      <c r="F648" t="s">
        <v>89</v>
      </c>
      <c r="G648" s="2">
        <v>45995</v>
      </c>
      <c r="H648" t="s">
        <v>1124</v>
      </c>
      <c r="I648" t="s">
        <v>7</v>
      </c>
      <c r="J648" s="2">
        <v>45995</v>
      </c>
      <c r="K648" s="2">
        <v>46000</v>
      </c>
      <c r="L648" t="s">
        <v>8</v>
      </c>
      <c r="M648" s="14">
        <v>256779419972</v>
      </c>
      <c r="N648" t="s">
        <v>9</v>
      </c>
      <c r="O648" t="s">
        <v>10</v>
      </c>
      <c r="P648" t="s">
        <v>11</v>
      </c>
      <c r="Q648" t="s">
        <v>12</v>
      </c>
      <c r="R648" t="s">
        <v>14</v>
      </c>
      <c r="S648" s="3">
        <v>4400</v>
      </c>
      <c r="T648" t="s">
        <v>14</v>
      </c>
      <c r="U648" s="3">
        <v>4400</v>
      </c>
      <c r="V648" t="s">
        <v>15</v>
      </c>
      <c r="W648" t="s">
        <v>16</v>
      </c>
      <c r="X648" t="s">
        <v>11</v>
      </c>
      <c r="Y648" t="s">
        <v>1115</v>
      </c>
      <c r="Z648" t="s">
        <v>17</v>
      </c>
      <c r="AA648" t="s">
        <v>1116</v>
      </c>
      <c r="AB648" t="s">
        <v>11</v>
      </c>
      <c r="AC648" t="s">
        <v>11</v>
      </c>
      <c r="AD648" t="s">
        <v>11</v>
      </c>
      <c r="AE648" s="2">
        <v>45995</v>
      </c>
      <c r="AF648" s="2"/>
      <c r="AG648" t="s">
        <v>11</v>
      </c>
      <c r="AH648" s="14">
        <f>VLOOKUP(M648,'[1]INDIAN ENTERPRISES'!$D:$D,1,0)</f>
        <v>256779419972</v>
      </c>
      <c r="AJ648" s="15">
        <f>VLOOKUP(M648,'[1]INDIAN ENTERPRISES'!$D:$L,9,0)</f>
        <v>46053</v>
      </c>
    </row>
    <row r="649" spans="1:36" hidden="1" outlineLevel="2" x14ac:dyDescent="0.25">
      <c r="A649" t="s">
        <v>20</v>
      </c>
      <c r="B649" t="s">
        <v>1</v>
      </c>
      <c r="C649" t="s">
        <v>2</v>
      </c>
      <c r="D649" t="s">
        <v>3</v>
      </c>
      <c r="E649" t="s">
        <v>4</v>
      </c>
      <c r="F649" t="s">
        <v>96</v>
      </c>
      <c r="G649" s="2">
        <v>45787</v>
      </c>
      <c r="H649" t="s">
        <v>1125</v>
      </c>
      <c r="I649" t="s">
        <v>7</v>
      </c>
      <c r="J649" s="2">
        <v>45787</v>
      </c>
      <c r="K649" s="2">
        <v>45791</v>
      </c>
      <c r="L649" t="s">
        <v>8</v>
      </c>
      <c r="M649" s="14">
        <v>256779413146</v>
      </c>
      <c r="N649" t="s">
        <v>9</v>
      </c>
      <c r="O649" t="s">
        <v>10</v>
      </c>
      <c r="P649" t="s">
        <v>11</v>
      </c>
      <c r="Q649" t="s">
        <v>12</v>
      </c>
      <c r="R649" t="s">
        <v>14</v>
      </c>
      <c r="S649" s="3">
        <v>200000</v>
      </c>
      <c r="T649" t="s">
        <v>14</v>
      </c>
      <c r="U649" s="3">
        <v>200000</v>
      </c>
      <c r="V649" t="s">
        <v>15</v>
      </c>
      <c r="W649" t="s">
        <v>16</v>
      </c>
      <c r="X649" t="s">
        <v>11</v>
      </c>
      <c r="Y649" t="s">
        <v>8</v>
      </c>
      <c r="Z649" t="s">
        <v>17</v>
      </c>
      <c r="AA649" t="s">
        <v>1098</v>
      </c>
      <c r="AB649" t="s">
        <v>11</v>
      </c>
      <c r="AC649" t="s">
        <v>11</v>
      </c>
      <c r="AD649" t="s">
        <v>11</v>
      </c>
      <c r="AE649" s="2">
        <v>45787</v>
      </c>
      <c r="AF649" s="2"/>
      <c r="AG649" t="s">
        <v>11</v>
      </c>
      <c r="AH649" s="14">
        <f>VLOOKUP(M649,'[1]INDIAN ENTERPRISES'!$D:$D,1,0)</f>
        <v>256779413146</v>
      </c>
      <c r="AJ649" s="15">
        <f>VLOOKUP(M649,'[1]INDIAN ENTERPRISES'!$D:$L,9,0)</f>
        <v>45991</v>
      </c>
    </row>
    <row r="650" spans="1:36" hidden="1" outlineLevel="2" x14ac:dyDescent="0.25">
      <c r="A650" t="s">
        <v>20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s="2">
        <v>45818</v>
      </c>
      <c r="H650" t="s">
        <v>1126</v>
      </c>
      <c r="I650" t="s">
        <v>7</v>
      </c>
      <c r="J650" s="2">
        <v>45818</v>
      </c>
      <c r="K650" s="2">
        <v>45825</v>
      </c>
      <c r="L650" t="s">
        <v>8</v>
      </c>
      <c r="M650" s="14">
        <v>256779414358</v>
      </c>
      <c r="N650" t="s">
        <v>9</v>
      </c>
      <c r="O650" t="s">
        <v>10</v>
      </c>
      <c r="P650" t="s">
        <v>11</v>
      </c>
      <c r="Q650" t="s">
        <v>12</v>
      </c>
      <c r="R650" t="s">
        <v>14</v>
      </c>
      <c r="S650" s="3">
        <v>200000</v>
      </c>
      <c r="T650" t="s">
        <v>14</v>
      </c>
      <c r="U650" s="3">
        <v>200000</v>
      </c>
      <c r="V650" t="s">
        <v>15</v>
      </c>
      <c r="W650" t="s">
        <v>16</v>
      </c>
      <c r="X650" t="s">
        <v>11</v>
      </c>
      <c r="Y650" t="s">
        <v>8</v>
      </c>
      <c r="Z650" t="s">
        <v>17</v>
      </c>
      <c r="AA650" t="s">
        <v>1100</v>
      </c>
      <c r="AB650" t="s">
        <v>11</v>
      </c>
      <c r="AC650" t="s">
        <v>11</v>
      </c>
      <c r="AD650" t="s">
        <v>11</v>
      </c>
      <c r="AE650" s="2">
        <v>45818</v>
      </c>
      <c r="AF650" s="2"/>
      <c r="AG650" t="s">
        <v>11</v>
      </c>
      <c r="AH650" s="14">
        <f>VLOOKUP(M650,'[1]INDIAN ENTERPRISES'!$D:$D,1,0)</f>
        <v>256779414358</v>
      </c>
      <c r="AJ650" s="15">
        <f>VLOOKUP(M650,'[1]INDIAN ENTERPRISES'!$D:$L,9,0)</f>
        <v>46053</v>
      </c>
    </row>
    <row r="651" spans="1:36" hidden="1" outlineLevel="2" x14ac:dyDescent="0.25">
      <c r="A651" t="s">
        <v>20</v>
      </c>
      <c r="B651" t="s">
        <v>1</v>
      </c>
      <c r="C651" t="s">
        <v>2</v>
      </c>
      <c r="D651" t="s">
        <v>3</v>
      </c>
      <c r="E651" t="s">
        <v>4</v>
      </c>
      <c r="F651" t="s">
        <v>128</v>
      </c>
      <c r="G651" s="2">
        <v>45842</v>
      </c>
      <c r="H651" t="s">
        <v>1127</v>
      </c>
      <c r="I651" t="s">
        <v>7</v>
      </c>
      <c r="J651" s="2">
        <v>45842</v>
      </c>
      <c r="K651" s="2">
        <v>45847</v>
      </c>
      <c r="L651" t="s">
        <v>8</v>
      </c>
      <c r="M651" s="14">
        <v>256779414916</v>
      </c>
      <c r="N651" t="s">
        <v>9</v>
      </c>
      <c r="O651" t="s">
        <v>10</v>
      </c>
      <c r="P651" t="s">
        <v>11</v>
      </c>
      <c r="Q651" t="s">
        <v>12</v>
      </c>
      <c r="R651" t="s">
        <v>14</v>
      </c>
      <c r="S651" s="3">
        <v>200000</v>
      </c>
      <c r="T651" t="s">
        <v>14</v>
      </c>
      <c r="U651" s="3">
        <v>200000</v>
      </c>
      <c r="V651" t="s">
        <v>15</v>
      </c>
      <c r="W651" t="s">
        <v>16</v>
      </c>
      <c r="X651" t="s">
        <v>11</v>
      </c>
      <c r="Y651" t="s">
        <v>8</v>
      </c>
      <c r="Z651" t="s">
        <v>17</v>
      </c>
      <c r="AA651" t="s">
        <v>1102</v>
      </c>
      <c r="AB651" t="s">
        <v>11</v>
      </c>
      <c r="AC651" t="s">
        <v>11</v>
      </c>
      <c r="AD651" t="s">
        <v>11</v>
      </c>
      <c r="AE651" s="2">
        <v>45842</v>
      </c>
      <c r="AF651" s="2"/>
      <c r="AG651" t="s">
        <v>11</v>
      </c>
      <c r="AH651" s="14">
        <f>VLOOKUP(M651,'[1]INDIAN ENTERPRISES'!$D:$D,1,0)</f>
        <v>256779414916</v>
      </c>
      <c r="AJ651" s="15">
        <f>VLOOKUP(M651,'[1]INDIAN ENTERPRISES'!$D:$L,9,0)</f>
        <v>46053</v>
      </c>
    </row>
    <row r="652" spans="1:36" hidden="1" outlineLevel="2" x14ac:dyDescent="0.25">
      <c r="A652" t="s">
        <v>20</v>
      </c>
      <c r="B652" t="s">
        <v>1</v>
      </c>
      <c r="C652" t="s">
        <v>2</v>
      </c>
      <c r="D652" t="s">
        <v>3</v>
      </c>
      <c r="E652" t="s">
        <v>4</v>
      </c>
      <c r="F652" t="s">
        <v>639</v>
      </c>
      <c r="G652" s="2">
        <v>45870</v>
      </c>
      <c r="H652" t="s">
        <v>1128</v>
      </c>
      <c r="I652" t="s">
        <v>7</v>
      </c>
      <c r="J652" s="2">
        <v>45870</v>
      </c>
      <c r="K652" s="2">
        <v>45873</v>
      </c>
      <c r="L652" t="s">
        <v>8</v>
      </c>
      <c r="M652" s="14">
        <v>256779416028</v>
      </c>
      <c r="N652" t="s">
        <v>9</v>
      </c>
      <c r="O652" t="s">
        <v>10</v>
      </c>
      <c r="P652" t="s">
        <v>11</v>
      </c>
      <c r="Q652" t="s">
        <v>12</v>
      </c>
      <c r="R652" t="s">
        <v>14</v>
      </c>
      <c r="S652" s="3">
        <v>200000</v>
      </c>
      <c r="T652" t="s">
        <v>14</v>
      </c>
      <c r="U652" s="3">
        <v>200000</v>
      </c>
      <c r="V652" t="s">
        <v>15</v>
      </c>
      <c r="W652" t="s">
        <v>16</v>
      </c>
      <c r="X652" t="s">
        <v>11</v>
      </c>
      <c r="Y652" t="s">
        <v>8</v>
      </c>
      <c r="Z652" t="s">
        <v>17</v>
      </c>
      <c r="AA652" t="s">
        <v>1104</v>
      </c>
      <c r="AB652" t="s">
        <v>11</v>
      </c>
      <c r="AC652" t="s">
        <v>11</v>
      </c>
      <c r="AD652" t="s">
        <v>11</v>
      </c>
      <c r="AE652" s="2">
        <v>45870</v>
      </c>
      <c r="AF652" s="2"/>
      <c r="AG652" t="s">
        <v>11</v>
      </c>
      <c r="AH652" s="14">
        <f>VLOOKUP(M652,'[1]INDIAN ENTERPRISES'!$D:$D,1,0)</f>
        <v>256779416028</v>
      </c>
      <c r="AJ652" s="15">
        <f>VLOOKUP(M652,'[1]INDIAN ENTERPRISES'!$D:$L,9,0)</f>
        <v>46053</v>
      </c>
    </row>
    <row r="653" spans="1:36" hidden="1" outlineLevel="2" x14ac:dyDescent="0.25">
      <c r="A653" t="s">
        <v>20</v>
      </c>
      <c r="B653" t="s">
        <v>1</v>
      </c>
      <c r="C653" t="s">
        <v>2</v>
      </c>
      <c r="D653" t="s">
        <v>3</v>
      </c>
      <c r="E653" t="s">
        <v>4</v>
      </c>
      <c r="F653" t="s">
        <v>76</v>
      </c>
      <c r="G653" s="2">
        <v>45904</v>
      </c>
      <c r="H653" t="s">
        <v>1129</v>
      </c>
      <c r="I653" t="s">
        <v>7</v>
      </c>
      <c r="J653" s="2">
        <v>45904</v>
      </c>
      <c r="K653" s="2">
        <v>45909</v>
      </c>
      <c r="L653" t="s">
        <v>8</v>
      </c>
      <c r="M653" s="14">
        <v>256779417348</v>
      </c>
      <c r="N653" t="s">
        <v>9</v>
      </c>
      <c r="O653" t="s">
        <v>10</v>
      </c>
      <c r="P653" t="s">
        <v>11</v>
      </c>
      <c r="Q653" t="s">
        <v>12</v>
      </c>
      <c r="R653" t="s">
        <v>14</v>
      </c>
      <c r="S653" s="3">
        <v>200000</v>
      </c>
      <c r="T653" t="s">
        <v>14</v>
      </c>
      <c r="U653" s="3">
        <v>200000</v>
      </c>
      <c r="V653" t="s">
        <v>15</v>
      </c>
      <c r="W653" t="s">
        <v>16</v>
      </c>
      <c r="X653" t="s">
        <v>11</v>
      </c>
      <c r="Y653" t="s">
        <v>1106</v>
      </c>
      <c r="Z653" t="s">
        <v>17</v>
      </c>
      <c r="AA653" t="s">
        <v>1107</v>
      </c>
      <c r="AB653" t="s">
        <v>11</v>
      </c>
      <c r="AC653" t="s">
        <v>11</v>
      </c>
      <c r="AD653" t="s">
        <v>11</v>
      </c>
      <c r="AE653" s="2">
        <v>45904</v>
      </c>
      <c r="AF653" s="2"/>
      <c r="AG653" t="s">
        <v>11</v>
      </c>
      <c r="AH653" s="14">
        <f>VLOOKUP(M653,'[1]INDIAN ENTERPRISES'!$D:$D,1,0)</f>
        <v>256779417348</v>
      </c>
      <c r="AJ653" s="15">
        <f>VLOOKUP(M653,'[1]INDIAN ENTERPRISES'!$D:$L,9,0)</f>
        <v>46053</v>
      </c>
    </row>
    <row r="654" spans="1:36" hidden="1" outlineLevel="2" x14ac:dyDescent="0.25">
      <c r="A654" t="s">
        <v>20</v>
      </c>
      <c r="B654" t="s">
        <v>1</v>
      </c>
      <c r="C654" t="s">
        <v>2</v>
      </c>
      <c r="D654" t="s">
        <v>3</v>
      </c>
      <c r="E654" t="s">
        <v>4</v>
      </c>
      <c r="F654" t="s">
        <v>21</v>
      </c>
      <c r="G654" s="2">
        <v>45935</v>
      </c>
      <c r="H654" t="s">
        <v>1130</v>
      </c>
      <c r="I654" t="s">
        <v>7</v>
      </c>
      <c r="J654" s="2">
        <v>45935</v>
      </c>
      <c r="K654" s="2">
        <v>45937</v>
      </c>
      <c r="L654" t="s">
        <v>8</v>
      </c>
      <c r="M654" s="14">
        <v>256779417875</v>
      </c>
      <c r="N654" t="s">
        <v>9</v>
      </c>
      <c r="O654" t="s">
        <v>10</v>
      </c>
      <c r="P654" t="s">
        <v>11</v>
      </c>
      <c r="Q654" t="s">
        <v>12</v>
      </c>
      <c r="R654" t="s">
        <v>14</v>
      </c>
      <c r="S654" s="3">
        <v>200000</v>
      </c>
      <c r="T654" t="s">
        <v>14</v>
      </c>
      <c r="U654" s="3">
        <v>200000</v>
      </c>
      <c r="V654" t="s">
        <v>15</v>
      </c>
      <c r="W654" t="s">
        <v>16</v>
      </c>
      <c r="X654" t="s">
        <v>11</v>
      </c>
      <c r="Y654" t="s">
        <v>1109</v>
      </c>
      <c r="Z654" t="s">
        <v>17</v>
      </c>
      <c r="AA654" t="s">
        <v>1110</v>
      </c>
      <c r="AB654" t="s">
        <v>11</v>
      </c>
      <c r="AC654" t="s">
        <v>11</v>
      </c>
      <c r="AD654" t="s">
        <v>11</v>
      </c>
      <c r="AE654" s="2">
        <v>45935</v>
      </c>
      <c r="AF654" s="2"/>
      <c r="AG654" t="s">
        <v>11</v>
      </c>
      <c r="AH654" s="14">
        <f>VLOOKUP(M654,'[1]INDIAN ENTERPRISES'!$D:$D,1,0)</f>
        <v>256779417875</v>
      </c>
      <c r="AJ654" s="15">
        <f>VLOOKUP(M654,'[1]INDIAN ENTERPRISES'!$D:$L,9,0)</f>
        <v>46053</v>
      </c>
    </row>
    <row r="655" spans="1:36" hidden="1" outlineLevel="2" x14ac:dyDescent="0.25">
      <c r="A655" t="s">
        <v>20</v>
      </c>
      <c r="B655" t="s">
        <v>1</v>
      </c>
      <c r="C655" t="s">
        <v>2</v>
      </c>
      <c r="D655" t="s">
        <v>3</v>
      </c>
      <c r="E655" t="s">
        <v>4</v>
      </c>
      <c r="F655" t="s">
        <v>42</v>
      </c>
      <c r="G655" s="2">
        <v>45966</v>
      </c>
      <c r="H655" t="s">
        <v>1131</v>
      </c>
      <c r="I655" t="s">
        <v>7</v>
      </c>
      <c r="J655" s="2">
        <v>45966</v>
      </c>
      <c r="K655" s="2">
        <v>45966</v>
      </c>
      <c r="L655" t="s">
        <v>8</v>
      </c>
      <c r="M655" s="14">
        <v>256779418777</v>
      </c>
      <c r="N655" t="s">
        <v>9</v>
      </c>
      <c r="O655" t="s">
        <v>10</v>
      </c>
      <c r="P655" t="s">
        <v>11</v>
      </c>
      <c r="Q655" t="s">
        <v>12</v>
      </c>
      <c r="R655" t="s">
        <v>14</v>
      </c>
      <c r="S655" s="3">
        <v>200000</v>
      </c>
      <c r="T655" t="s">
        <v>14</v>
      </c>
      <c r="U655" s="3">
        <v>200000</v>
      </c>
      <c r="V655" t="s">
        <v>15</v>
      </c>
      <c r="W655" t="s">
        <v>16</v>
      </c>
      <c r="X655" t="s">
        <v>11</v>
      </c>
      <c r="Y655" t="s">
        <v>1112</v>
      </c>
      <c r="Z655" t="s">
        <v>17</v>
      </c>
      <c r="AA655" t="s">
        <v>1113</v>
      </c>
      <c r="AB655" t="s">
        <v>11</v>
      </c>
      <c r="AC655" t="s">
        <v>11</v>
      </c>
      <c r="AD655" t="s">
        <v>11</v>
      </c>
      <c r="AE655" s="2">
        <v>45966</v>
      </c>
      <c r="AF655" s="2"/>
      <c r="AG655" t="s">
        <v>11</v>
      </c>
      <c r="AH655" s="14">
        <f>VLOOKUP(M655,'[1]INDIAN ENTERPRISES'!$D:$D,1,0)</f>
        <v>256779418777</v>
      </c>
      <c r="AJ655" s="15">
        <f>VLOOKUP(M655,'[1]INDIAN ENTERPRISES'!$D:$L,9,0)</f>
        <v>46053</v>
      </c>
    </row>
    <row r="656" spans="1:36" hidden="1" outlineLevel="2" x14ac:dyDescent="0.25">
      <c r="A656" t="s">
        <v>20</v>
      </c>
      <c r="B656" t="s">
        <v>1</v>
      </c>
      <c r="C656" t="s">
        <v>2</v>
      </c>
      <c r="D656" t="s">
        <v>3</v>
      </c>
      <c r="E656" t="s">
        <v>4</v>
      </c>
      <c r="F656" t="s">
        <v>89</v>
      </c>
      <c r="G656" s="2">
        <v>45995</v>
      </c>
      <c r="H656" t="s">
        <v>1132</v>
      </c>
      <c r="I656" t="s">
        <v>7</v>
      </c>
      <c r="J656" s="2">
        <v>45995</v>
      </c>
      <c r="K656" s="2">
        <v>46000</v>
      </c>
      <c r="L656" t="s">
        <v>8</v>
      </c>
      <c r="M656" s="14">
        <v>256779419970</v>
      </c>
      <c r="N656" t="s">
        <v>9</v>
      </c>
      <c r="O656" t="s">
        <v>10</v>
      </c>
      <c r="P656" t="s">
        <v>11</v>
      </c>
      <c r="Q656" t="s">
        <v>12</v>
      </c>
      <c r="R656" t="s">
        <v>14</v>
      </c>
      <c r="S656" s="3">
        <v>200000</v>
      </c>
      <c r="T656" t="s">
        <v>14</v>
      </c>
      <c r="U656" s="3">
        <v>200000</v>
      </c>
      <c r="V656" t="s">
        <v>15</v>
      </c>
      <c r="W656" t="s">
        <v>16</v>
      </c>
      <c r="X656" t="s">
        <v>11</v>
      </c>
      <c r="Y656" t="s">
        <v>1115</v>
      </c>
      <c r="Z656" t="s">
        <v>17</v>
      </c>
      <c r="AA656" t="s">
        <v>1116</v>
      </c>
      <c r="AB656" t="s">
        <v>11</v>
      </c>
      <c r="AC656" t="s">
        <v>11</v>
      </c>
      <c r="AD656" t="s">
        <v>11</v>
      </c>
      <c r="AE656" s="2">
        <v>45995</v>
      </c>
      <c r="AF656" s="2"/>
      <c r="AG656" t="s">
        <v>11</v>
      </c>
      <c r="AH656" s="14">
        <f>VLOOKUP(M656,'[1]INDIAN ENTERPRISES'!$D:$D,1,0)</f>
        <v>256779419970</v>
      </c>
      <c r="AJ656" s="15">
        <f>VLOOKUP(M656,'[1]INDIAN ENTERPRISES'!$D:$L,9,0)</f>
        <v>46053</v>
      </c>
    </row>
    <row r="657" spans="1:36" hidden="1" outlineLevel="2" x14ac:dyDescent="0.25">
      <c r="A657" t="s">
        <v>20</v>
      </c>
      <c r="B657" t="s">
        <v>1</v>
      </c>
      <c r="C657" t="s">
        <v>2</v>
      </c>
      <c r="D657" t="s">
        <v>3</v>
      </c>
      <c r="E657" t="s">
        <v>4</v>
      </c>
      <c r="F657" t="s">
        <v>128</v>
      </c>
      <c r="G657" s="2">
        <v>45848</v>
      </c>
      <c r="H657" t="s">
        <v>1133</v>
      </c>
      <c r="I657" t="s">
        <v>7</v>
      </c>
      <c r="J657" s="2">
        <v>45848</v>
      </c>
      <c r="K657" s="2">
        <v>45854</v>
      </c>
      <c r="L657" t="s">
        <v>8</v>
      </c>
      <c r="M657" s="14">
        <v>256779415336</v>
      </c>
      <c r="N657" t="s">
        <v>9</v>
      </c>
      <c r="O657" t="s">
        <v>10</v>
      </c>
      <c r="P657" t="s">
        <v>11</v>
      </c>
      <c r="Q657" t="s">
        <v>12</v>
      </c>
      <c r="R657" t="s">
        <v>13</v>
      </c>
      <c r="S657" s="3">
        <v>5</v>
      </c>
      <c r="T657" t="s">
        <v>14</v>
      </c>
      <c r="U657" s="3">
        <v>430</v>
      </c>
      <c r="V657" t="s">
        <v>15</v>
      </c>
      <c r="W657" t="s">
        <v>16</v>
      </c>
      <c r="X657" t="s">
        <v>11</v>
      </c>
      <c r="Y657" t="s">
        <v>8</v>
      </c>
      <c r="Z657" t="s">
        <v>17</v>
      </c>
      <c r="AA657" t="s">
        <v>506</v>
      </c>
      <c r="AB657" t="s">
        <v>11</v>
      </c>
      <c r="AC657" t="s">
        <v>11</v>
      </c>
      <c r="AD657" t="s">
        <v>11</v>
      </c>
      <c r="AE657" s="2">
        <v>45848</v>
      </c>
      <c r="AF657" s="2"/>
      <c r="AG657" t="s">
        <v>11</v>
      </c>
      <c r="AH657" s="14">
        <f>VLOOKUP(M657,'[1]INDIAN ENTERPRISES'!$D:$D,1,0)</f>
        <v>256779415336</v>
      </c>
      <c r="AJ657" s="15">
        <f>VLOOKUP(M657,'[1]INDIAN ENTERPRISES'!$D:$L,9,0)</f>
        <v>45991</v>
      </c>
    </row>
    <row r="658" spans="1:36" hidden="1" outlineLevel="2" x14ac:dyDescent="0.25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128</v>
      </c>
      <c r="G658" s="2">
        <v>45848</v>
      </c>
      <c r="H658" t="s">
        <v>1134</v>
      </c>
      <c r="I658" t="s">
        <v>98</v>
      </c>
      <c r="J658" s="2">
        <v>45848</v>
      </c>
      <c r="K658" s="2">
        <v>45854</v>
      </c>
      <c r="L658" t="s">
        <v>8</v>
      </c>
      <c r="M658" s="14">
        <v>256779421236</v>
      </c>
      <c r="N658" t="s">
        <v>9</v>
      </c>
      <c r="O658" t="s">
        <v>10</v>
      </c>
      <c r="P658" t="s">
        <v>11</v>
      </c>
      <c r="Q658" t="s">
        <v>42</v>
      </c>
      <c r="R658" t="s">
        <v>13</v>
      </c>
      <c r="S658" s="3">
        <v>-118</v>
      </c>
      <c r="T658" t="s">
        <v>14</v>
      </c>
      <c r="U658" s="3">
        <v>-10148.08</v>
      </c>
      <c r="V658" t="s">
        <v>37</v>
      </c>
      <c r="W658" t="s">
        <v>16</v>
      </c>
      <c r="X658" t="s">
        <v>11</v>
      </c>
      <c r="Y658" t="s">
        <v>8</v>
      </c>
      <c r="Z658" t="s">
        <v>17</v>
      </c>
      <c r="AA658" t="s">
        <v>1135</v>
      </c>
      <c r="AB658" t="s">
        <v>11</v>
      </c>
      <c r="AC658" t="s">
        <v>11</v>
      </c>
      <c r="AD658" t="s">
        <v>11</v>
      </c>
      <c r="AE658" s="2">
        <v>45848</v>
      </c>
      <c r="AF658" s="2">
        <v>45974</v>
      </c>
      <c r="AG658" t="s">
        <v>39</v>
      </c>
      <c r="AH658" s="14" t="e">
        <f>VLOOKUP(M658,'[1]INDIAN ENTERPRISES'!$D:$D,1,0)</f>
        <v>#N/A</v>
      </c>
      <c r="AI658" t="str">
        <f>VLOOKUP(M658,'[2]CN Not in Customer books'!$D:$J,7,0)</f>
        <v>Invoice &amp; CN both not received &amp; booked</v>
      </c>
      <c r="AJ658" s="15" t="e">
        <f>VLOOKUP(M658,'[1]INDIAN ENTERPRISES'!$D:$L,9,0)</f>
        <v>#N/A</v>
      </c>
    </row>
    <row r="659" spans="1:36" hidden="1" outlineLevel="2" x14ac:dyDescent="0.25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639</v>
      </c>
      <c r="G659" s="2">
        <v>45890</v>
      </c>
      <c r="H659" t="s">
        <v>1136</v>
      </c>
      <c r="I659" t="s">
        <v>98</v>
      </c>
      <c r="J659" s="2">
        <v>45890</v>
      </c>
      <c r="K659" s="2">
        <v>45890</v>
      </c>
      <c r="L659" t="s">
        <v>8</v>
      </c>
      <c r="M659" s="14">
        <v>256779421697</v>
      </c>
      <c r="N659" t="s">
        <v>9</v>
      </c>
      <c r="O659" t="s">
        <v>10</v>
      </c>
      <c r="P659" t="s">
        <v>11</v>
      </c>
      <c r="Q659" t="s">
        <v>42</v>
      </c>
      <c r="R659" t="s">
        <v>13</v>
      </c>
      <c r="S659" s="3">
        <v>-100</v>
      </c>
      <c r="T659" t="s">
        <v>14</v>
      </c>
      <c r="U659" s="3">
        <v>-8603.01</v>
      </c>
      <c r="V659" t="s">
        <v>15</v>
      </c>
      <c r="W659" t="s">
        <v>16</v>
      </c>
      <c r="X659" t="s">
        <v>11</v>
      </c>
      <c r="Y659" t="s">
        <v>8</v>
      </c>
      <c r="Z659" t="s">
        <v>17</v>
      </c>
      <c r="AA659" t="s">
        <v>1137</v>
      </c>
      <c r="AB659" t="s">
        <v>11</v>
      </c>
      <c r="AC659" t="s">
        <v>11</v>
      </c>
      <c r="AD659" t="s">
        <v>11</v>
      </c>
      <c r="AE659" s="2">
        <v>45890</v>
      </c>
      <c r="AF659" s="2">
        <v>45974</v>
      </c>
      <c r="AG659" t="s">
        <v>39</v>
      </c>
      <c r="AH659" s="14" t="e">
        <f>VLOOKUP(M659,'[1]INDIAN ENTERPRISES'!$D:$D,1,0)</f>
        <v>#N/A</v>
      </c>
      <c r="AI659" t="str">
        <f>VLOOKUP(M659,'[2]CN Not in Customer books'!$D:$J,7,0)</f>
        <v>CN under booking</v>
      </c>
      <c r="AJ659" s="15" t="e">
        <f>VLOOKUP(M659,'[1]INDIAN ENTERPRISES'!$D:$L,9,0)</f>
        <v>#N/A</v>
      </c>
    </row>
    <row r="660" spans="1:36" hidden="1" outlineLevel="2" x14ac:dyDescent="0.25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54</v>
      </c>
      <c r="G660" s="2">
        <v>45762</v>
      </c>
      <c r="H660" t="s">
        <v>1138</v>
      </c>
      <c r="I660" t="s">
        <v>7</v>
      </c>
      <c r="J660" s="2">
        <v>45762</v>
      </c>
      <c r="K660" s="2">
        <v>45763</v>
      </c>
      <c r="L660" t="s">
        <v>8</v>
      </c>
      <c r="M660" s="14">
        <v>256779411097</v>
      </c>
      <c r="N660" t="s">
        <v>9</v>
      </c>
      <c r="O660" t="s">
        <v>10</v>
      </c>
      <c r="P660" t="s">
        <v>11</v>
      </c>
      <c r="Q660" t="s">
        <v>12</v>
      </c>
      <c r="R660" t="s">
        <v>13</v>
      </c>
      <c r="S660" s="3">
        <v>118</v>
      </c>
      <c r="T660" t="s">
        <v>14</v>
      </c>
      <c r="U660" s="3">
        <v>10256.77</v>
      </c>
      <c r="V660" t="s">
        <v>37</v>
      </c>
      <c r="W660" t="s">
        <v>11</v>
      </c>
      <c r="X660" t="s">
        <v>11</v>
      </c>
      <c r="Y660" t="s">
        <v>8</v>
      </c>
      <c r="Z660" t="s">
        <v>17</v>
      </c>
      <c r="AA660" t="s">
        <v>506</v>
      </c>
      <c r="AB660" t="s">
        <v>11</v>
      </c>
      <c r="AC660" t="s">
        <v>11</v>
      </c>
      <c r="AD660" t="s">
        <v>11</v>
      </c>
      <c r="AE660" s="2">
        <v>45762</v>
      </c>
      <c r="AF660" s="2">
        <v>45974</v>
      </c>
      <c r="AG660" t="s">
        <v>39</v>
      </c>
      <c r="AH660" s="14" t="e">
        <f>VLOOKUP(M660,'[1]INDIAN ENTERPRISES'!$D:$D,1,0)</f>
        <v>#N/A</v>
      </c>
      <c r="AI660" t="str">
        <f>VLOOKUP(M660,'[2]Invoices Not in Customer Books'!$E:$K,7,0)</f>
        <v>Invoice &amp; CN both not received &amp; booked</v>
      </c>
      <c r="AJ660" s="15" t="e">
        <f>VLOOKUP(M660,'[1]INDIAN ENTERPRISES'!$D:$L,9,0)</f>
        <v>#N/A</v>
      </c>
    </row>
    <row r="661" spans="1:36" hidden="1" outlineLevel="2" x14ac:dyDescent="0.25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128</v>
      </c>
      <c r="G661" s="2">
        <v>45848</v>
      </c>
      <c r="H661" t="s">
        <v>1139</v>
      </c>
      <c r="I661" t="s">
        <v>7</v>
      </c>
      <c r="J661" s="2">
        <v>45848</v>
      </c>
      <c r="K661" s="2">
        <v>45854</v>
      </c>
      <c r="L661" t="s">
        <v>8</v>
      </c>
      <c r="M661" s="14">
        <v>256779415303</v>
      </c>
      <c r="N661" t="s">
        <v>9</v>
      </c>
      <c r="O661" t="s">
        <v>10</v>
      </c>
      <c r="P661" t="s">
        <v>11</v>
      </c>
      <c r="Q661" t="s">
        <v>12</v>
      </c>
      <c r="R661" t="s">
        <v>13</v>
      </c>
      <c r="S661" s="3">
        <v>100</v>
      </c>
      <c r="T661" t="s">
        <v>14</v>
      </c>
      <c r="U661" s="3">
        <v>8600.07</v>
      </c>
      <c r="V661" t="s">
        <v>15</v>
      </c>
      <c r="W661" t="s">
        <v>16</v>
      </c>
      <c r="X661" t="s">
        <v>11</v>
      </c>
      <c r="Y661" t="s">
        <v>8</v>
      </c>
      <c r="Z661" t="s">
        <v>17</v>
      </c>
      <c r="AA661" t="s">
        <v>506</v>
      </c>
      <c r="AB661" t="s">
        <v>11</v>
      </c>
      <c r="AC661" t="s">
        <v>11</v>
      </c>
      <c r="AD661" t="s">
        <v>11</v>
      </c>
      <c r="AE661" s="2">
        <v>45848</v>
      </c>
      <c r="AF661" s="2">
        <v>45974</v>
      </c>
      <c r="AG661" t="s">
        <v>39</v>
      </c>
      <c r="AH661" s="14">
        <f>VLOOKUP(M661,'[1]INDIAN ENTERPRISES'!$D:$D,1,0)</f>
        <v>256779415303</v>
      </c>
      <c r="AJ661" s="15">
        <f>VLOOKUP(M661,'[1]INDIAN ENTERPRISES'!$D:$L,9,0)</f>
        <v>46053</v>
      </c>
    </row>
    <row r="662" spans="1:36" hidden="1" outlineLevel="2" x14ac:dyDescent="0.25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639</v>
      </c>
      <c r="G662" s="2">
        <v>45890</v>
      </c>
      <c r="H662" t="s">
        <v>1140</v>
      </c>
      <c r="I662" t="s">
        <v>98</v>
      </c>
      <c r="J662" s="2">
        <v>45890</v>
      </c>
      <c r="K662" s="2">
        <v>45890</v>
      </c>
      <c r="L662" t="s">
        <v>8</v>
      </c>
      <c r="M662" s="14">
        <v>256779421704</v>
      </c>
      <c r="N662" t="s">
        <v>9</v>
      </c>
      <c r="O662" t="s">
        <v>10</v>
      </c>
      <c r="P662" t="s">
        <v>11</v>
      </c>
      <c r="Q662" t="s">
        <v>42</v>
      </c>
      <c r="R662" t="s">
        <v>13</v>
      </c>
      <c r="S662" s="3">
        <v>-8.48</v>
      </c>
      <c r="T662" t="s">
        <v>14</v>
      </c>
      <c r="U662" s="3">
        <v>-729.54</v>
      </c>
      <c r="V662" t="s">
        <v>15</v>
      </c>
      <c r="W662" t="s">
        <v>16</v>
      </c>
      <c r="X662" t="s">
        <v>11</v>
      </c>
      <c r="Y662" t="s">
        <v>8</v>
      </c>
      <c r="Z662" t="s">
        <v>17</v>
      </c>
      <c r="AA662" t="s">
        <v>1141</v>
      </c>
      <c r="AB662" t="s">
        <v>11</v>
      </c>
      <c r="AC662" t="s">
        <v>11</v>
      </c>
      <c r="AD662" t="s">
        <v>11</v>
      </c>
      <c r="AE662" s="2">
        <v>45890</v>
      </c>
      <c r="AF662" s="2">
        <v>45974</v>
      </c>
      <c r="AG662" t="s">
        <v>1075</v>
      </c>
      <c r="AH662" s="14" t="e">
        <f>VLOOKUP(M662,'[1]INDIAN ENTERPRISES'!$D:$D,1,0)</f>
        <v>#N/A</v>
      </c>
      <c r="AI662" t="str">
        <f>VLOOKUP(M662,'[2]CN Not in Customer books'!$D:$J,7,0)</f>
        <v>CN under booking</v>
      </c>
      <c r="AJ662" s="15" t="e">
        <f>VLOOKUP(M662,'[1]INDIAN ENTERPRISES'!$D:$L,9,0)</f>
        <v>#N/A</v>
      </c>
    </row>
    <row r="663" spans="1:36" hidden="1" outlineLevel="2" x14ac:dyDescent="0.25">
      <c r="A663" t="s">
        <v>20</v>
      </c>
      <c r="B663" t="s">
        <v>1</v>
      </c>
      <c r="C663" t="s">
        <v>2</v>
      </c>
      <c r="D663" t="s">
        <v>3</v>
      </c>
      <c r="E663" t="s">
        <v>4</v>
      </c>
      <c r="F663" t="s">
        <v>29</v>
      </c>
      <c r="G663" s="2">
        <v>45720</v>
      </c>
      <c r="H663" t="s">
        <v>1142</v>
      </c>
      <c r="I663" t="s">
        <v>7</v>
      </c>
      <c r="J663" s="2">
        <v>45720</v>
      </c>
      <c r="K663" s="2">
        <v>45721</v>
      </c>
      <c r="L663" t="s">
        <v>8</v>
      </c>
      <c r="M663" s="14">
        <v>246779410743</v>
      </c>
      <c r="N663" t="s">
        <v>9</v>
      </c>
      <c r="O663" t="s">
        <v>10</v>
      </c>
      <c r="P663" t="s">
        <v>11</v>
      </c>
      <c r="Q663" t="s">
        <v>12</v>
      </c>
      <c r="R663" t="s">
        <v>13</v>
      </c>
      <c r="S663" s="3">
        <v>3</v>
      </c>
      <c r="T663" t="s">
        <v>14</v>
      </c>
      <c r="U663" s="3">
        <v>260.07</v>
      </c>
      <c r="V663" t="s">
        <v>15</v>
      </c>
      <c r="W663" t="s">
        <v>16</v>
      </c>
      <c r="X663" t="s">
        <v>11</v>
      </c>
      <c r="Y663" t="s">
        <v>8</v>
      </c>
      <c r="Z663" t="s">
        <v>17</v>
      </c>
      <c r="AA663" t="s">
        <v>1143</v>
      </c>
      <c r="AB663" t="s">
        <v>11</v>
      </c>
      <c r="AC663" t="s">
        <v>11</v>
      </c>
      <c r="AD663" t="s">
        <v>11</v>
      </c>
      <c r="AE663" s="2">
        <v>45720</v>
      </c>
      <c r="AF663" s="2"/>
      <c r="AG663" t="s">
        <v>11</v>
      </c>
      <c r="AH663" s="14">
        <f>VLOOKUP(M663,'[1]INDIAN ENTERPRISES'!$D:$D,1,0)</f>
        <v>246779410743</v>
      </c>
      <c r="AJ663" s="15">
        <f>VLOOKUP(M663,'[1]INDIAN ENTERPRISES'!$D:$L,9,0)</f>
        <v>45869</v>
      </c>
    </row>
    <row r="664" spans="1:36" hidden="1" outlineLevel="2" x14ac:dyDescent="0.25">
      <c r="A664" t="s">
        <v>20</v>
      </c>
      <c r="B664" t="s">
        <v>1</v>
      </c>
      <c r="C664" t="s">
        <v>2</v>
      </c>
      <c r="D664" t="s">
        <v>3</v>
      </c>
      <c r="E664" t="s">
        <v>4</v>
      </c>
      <c r="F664" t="s">
        <v>29</v>
      </c>
      <c r="G664" s="2">
        <v>45720</v>
      </c>
      <c r="H664" t="s">
        <v>1144</v>
      </c>
      <c r="I664" t="s">
        <v>7</v>
      </c>
      <c r="J664" s="2">
        <v>45720</v>
      </c>
      <c r="K664" s="2">
        <v>45721</v>
      </c>
      <c r="L664" t="s">
        <v>8</v>
      </c>
      <c r="M664" s="14">
        <v>246779410826</v>
      </c>
      <c r="N664" t="s">
        <v>9</v>
      </c>
      <c r="O664" t="s">
        <v>10</v>
      </c>
      <c r="P664" t="s">
        <v>11</v>
      </c>
      <c r="Q664" t="s">
        <v>12</v>
      </c>
      <c r="R664" t="s">
        <v>13</v>
      </c>
      <c r="S664" s="3">
        <v>3</v>
      </c>
      <c r="T664" t="s">
        <v>14</v>
      </c>
      <c r="U664" s="3">
        <v>260.07</v>
      </c>
      <c r="V664" t="s">
        <v>15</v>
      </c>
      <c r="W664" t="s">
        <v>16</v>
      </c>
      <c r="X664" t="s">
        <v>11</v>
      </c>
      <c r="Y664" t="s">
        <v>8</v>
      </c>
      <c r="Z664" t="s">
        <v>17</v>
      </c>
      <c r="AA664" t="s">
        <v>1145</v>
      </c>
      <c r="AB664" t="s">
        <v>11</v>
      </c>
      <c r="AC664" t="s">
        <v>11</v>
      </c>
      <c r="AD664" t="s">
        <v>11</v>
      </c>
      <c r="AE664" s="2">
        <v>45720</v>
      </c>
      <c r="AF664" s="2"/>
      <c r="AG664" t="s">
        <v>11</v>
      </c>
      <c r="AH664" s="14">
        <f>VLOOKUP(M664,'[1]INDIAN ENTERPRISES'!$D:$D,1,0)</f>
        <v>246779410826</v>
      </c>
      <c r="AJ664" s="15">
        <f>VLOOKUP(M664,'[1]INDIAN ENTERPRISES'!$D:$L,9,0)</f>
        <v>45838</v>
      </c>
    </row>
    <row r="665" spans="1:36" hidden="1" outlineLevel="2" x14ac:dyDescent="0.25">
      <c r="A665" t="s">
        <v>0</v>
      </c>
      <c r="B665" t="s">
        <v>1</v>
      </c>
      <c r="C665" t="s">
        <v>2</v>
      </c>
      <c r="D665" t="s">
        <v>3</v>
      </c>
      <c r="E665" t="s">
        <v>4</v>
      </c>
      <c r="F665" t="s">
        <v>29</v>
      </c>
      <c r="G665" s="2">
        <v>45720</v>
      </c>
      <c r="H665" t="s">
        <v>1146</v>
      </c>
      <c r="I665" t="s">
        <v>7</v>
      </c>
      <c r="J665" s="2">
        <v>45720</v>
      </c>
      <c r="K665" s="2">
        <v>45720</v>
      </c>
      <c r="L665" t="s">
        <v>8</v>
      </c>
      <c r="M665" s="14">
        <v>246779410665</v>
      </c>
      <c r="N665" t="s">
        <v>9</v>
      </c>
      <c r="O665" t="s">
        <v>10</v>
      </c>
      <c r="P665" t="s">
        <v>11</v>
      </c>
      <c r="Q665" t="s">
        <v>12</v>
      </c>
      <c r="R665" t="s">
        <v>13</v>
      </c>
      <c r="S665" s="3">
        <v>3.54</v>
      </c>
      <c r="T665" t="s">
        <v>14</v>
      </c>
      <c r="U665" s="3">
        <v>306.89</v>
      </c>
      <c r="V665" t="s">
        <v>37</v>
      </c>
      <c r="W665" t="s">
        <v>16</v>
      </c>
      <c r="X665" t="s">
        <v>11</v>
      </c>
      <c r="Y665" t="s">
        <v>8</v>
      </c>
      <c r="Z665" t="s">
        <v>17</v>
      </c>
      <c r="AA665" t="s">
        <v>759</v>
      </c>
      <c r="AB665" t="s">
        <v>11</v>
      </c>
      <c r="AC665" t="s">
        <v>11</v>
      </c>
      <c r="AD665" t="s">
        <v>11</v>
      </c>
      <c r="AE665" s="2">
        <v>45720</v>
      </c>
      <c r="AF665" s="2">
        <v>45974</v>
      </c>
      <c r="AG665" t="s">
        <v>39</v>
      </c>
      <c r="AH665" s="14">
        <f>VLOOKUP(M665,'[1]INDIAN ENTERPRISES'!$D:$D,1,0)</f>
        <v>246779410665</v>
      </c>
      <c r="AJ665" s="15">
        <f>VLOOKUP(M665,'[1]INDIAN ENTERPRISES'!$D:$L,9,0)</f>
        <v>46053</v>
      </c>
    </row>
    <row r="666" spans="1:36" hidden="1" outlineLevel="2" x14ac:dyDescent="0.25">
      <c r="A666" t="s">
        <v>20</v>
      </c>
      <c r="B666" t="s">
        <v>1</v>
      </c>
      <c r="C666" t="s">
        <v>2</v>
      </c>
      <c r="D666" t="s">
        <v>3</v>
      </c>
      <c r="E666" t="s">
        <v>4</v>
      </c>
      <c r="F666" t="s">
        <v>54</v>
      </c>
      <c r="G666" s="2">
        <v>45751</v>
      </c>
      <c r="H666" t="s">
        <v>1147</v>
      </c>
      <c r="I666" t="s">
        <v>7</v>
      </c>
      <c r="J666" s="2">
        <v>45751</v>
      </c>
      <c r="K666" s="2">
        <v>45752</v>
      </c>
      <c r="L666" t="s">
        <v>8</v>
      </c>
      <c r="M666" s="14">
        <v>256779410801</v>
      </c>
      <c r="N666" t="s">
        <v>9</v>
      </c>
      <c r="O666" t="s">
        <v>10</v>
      </c>
      <c r="P666" t="s">
        <v>11</v>
      </c>
      <c r="Q666" t="s">
        <v>12</v>
      </c>
      <c r="R666" t="s">
        <v>13</v>
      </c>
      <c r="S666" s="3">
        <v>2829.48</v>
      </c>
      <c r="T666" t="s">
        <v>14</v>
      </c>
      <c r="U666" s="3">
        <v>245943.55</v>
      </c>
      <c r="V666" t="s">
        <v>15</v>
      </c>
      <c r="W666" t="s">
        <v>11</v>
      </c>
      <c r="X666" t="s">
        <v>11</v>
      </c>
      <c r="Y666" t="s">
        <v>8</v>
      </c>
      <c r="Z666" t="s">
        <v>17</v>
      </c>
      <c r="AA666" t="s">
        <v>1148</v>
      </c>
      <c r="AB666" t="s">
        <v>11</v>
      </c>
      <c r="AC666" t="s">
        <v>11</v>
      </c>
      <c r="AD666" t="s">
        <v>11</v>
      </c>
      <c r="AE666" s="2">
        <v>45751</v>
      </c>
      <c r="AF666" s="2"/>
      <c r="AG666" t="s">
        <v>11</v>
      </c>
      <c r="AH666" s="14">
        <f>VLOOKUP(M666,'[1]INDIAN ENTERPRISES'!$D:$D,1,0)</f>
        <v>256779410801</v>
      </c>
      <c r="AJ666" s="15">
        <f>VLOOKUP(M666,'[1]INDIAN ENTERPRISES'!$D:$L,9,0)</f>
        <v>45869</v>
      </c>
    </row>
    <row r="667" spans="1:36" hidden="1" outlineLevel="2" x14ac:dyDescent="0.25">
      <c r="A667" t="s">
        <v>20</v>
      </c>
      <c r="B667" t="s">
        <v>1</v>
      </c>
      <c r="C667" t="s">
        <v>2</v>
      </c>
      <c r="D667" t="s">
        <v>3</v>
      </c>
      <c r="E667" t="s">
        <v>4</v>
      </c>
      <c r="F667" t="s">
        <v>54</v>
      </c>
      <c r="G667" s="2">
        <v>45751</v>
      </c>
      <c r="H667" t="s">
        <v>1149</v>
      </c>
      <c r="I667" t="s">
        <v>7</v>
      </c>
      <c r="J667" s="2">
        <v>45751</v>
      </c>
      <c r="K667" s="2">
        <v>45752</v>
      </c>
      <c r="L667" t="s">
        <v>8</v>
      </c>
      <c r="M667" s="14">
        <v>256779410819</v>
      </c>
      <c r="N667" t="s">
        <v>9</v>
      </c>
      <c r="O667" t="s">
        <v>10</v>
      </c>
      <c r="P667" t="s">
        <v>11</v>
      </c>
      <c r="Q667" t="s">
        <v>12</v>
      </c>
      <c r="R667" t="s">
        <v>13</v>
      </c>
      <c r="S667" s="3">
        <v>1913.97</v>
      </c>
      <c r="T667" t="s">
        <v>14</v>
      </c>
      <c r="U667" s="3">
        <v>166365.76000000001</v>
      </c>
      <c r="V667" t="s">
        <v>15</v>
      </c>
      <c r="W667" t="s">
        <v>11</v>
      </c>
      <c r="X667" t="s">
        <v>11</v>
      </c>
      <c r="Y667" t="s">
        <v>8</v>
      </c>
      <c r="Z667" t="s">
        <v>17</v>
      </c>
      <c r="AA667" t="s">
        <v>1150</v>
      </c>
      <c r="AB667" t="s">
        <v>11</v>
      </c>
      <c r="AC667" t="s">
        <v>11</v>
      </c>
      <c r="AD667" t="s">
        <v>11</v>
      </c>
      <c r="AE667" s="2">
        <v>45751</v>
      </c>
      <c r="AF667" s="2"/>
      <c r="AG667" t="s">
        <v>11</v>
      </c>
      <c r="AH667" s="14" t="e">
        <f>VLOOKUP(M667,'[1]INDIAN ENTERPRISES'!$D:$D,1,0)</f>
        <v>#N/A</v>
      </c>
      <c r="AI667" t="str">
        <f>VLOOKUP(M667,'[2]Invoices Not in Customer Books'!$E:$K,7,0)</f>
        <v>Invoice under booking</v>
      </c>
      <c r="AJ667" s="15" t="e">
        <f>VLOOKUP(M667,'[1]INDIAN ENTERPRISES'!$D:$L,9,0)</f>
        <v>#N/A</v>
      </c>
    </row>
    <row r="668" spans="1:36" hidden="1" outlineLevel="2" x14ac:dyDescent="0.25">
      <c r="A668" t="s">
        <v>20</v>
      </c>
      <c r="B668" t="s">
        <v>1</v>
      </c>
      <c r="C668" t="s">
        <v>2</v>
      </c>
      <c r="D668" t="s">
        <v>3</v>
      </c>
      <c r="E668" t="s">
        <v>4</v>
      </c>
      <c r="F668" t="s">
        <v>29</v>
      </c>
      <c r="G668" s="2">
        <v>45722</v>
      </c>
      <c r="H668" t="s">
        <v>1151</v>
      </c>
      <c r="I668" t="s">
        <v>7</v>
      </c>
      <c r="J668" s="2">
        <v>45722</v>
      </c>
      <c r="K668" s="2">
        <v>45722</v>
      </c>
      <c r="L668" t="s">
        <v>8</v>
      </c>
      <c r="M668" s="14">
        <v>246779410882</v>
      </c>
      <c r="N668" t="s">
        <v>9</v>
      </c>
      <c r="O668" t="s">
        <v>10</v>
      </c>
      <c r="P668" t="s">
        <v>11</v>
      </c>
      <c r="Q668" t="s">
        <v>12</v>
      </c>
      <c r="R668" t="s">
        <v>13</v>
      </c>
      <c r="S668" s="3">
        <v>2232.73</v>
      </c>
      <c r="T668" t="s">
        <v>14</v>
      </c>
      <c r="U668" s="3">
        <v>193558.18</v>
      </c>
      <c r="V668" t="s">
        <v>15</v>
      </c>
      <c r="W668" t="s">
        <v>16</v>
      </c>
      <c r="X668" t="s">
        <v>11</v>
      </c>
      <c r="Y668" t="s">
        <v>8</v>
      </c>
      <c r="Z668" t="s">
        <v>17</v>
      </c>
      <c r="AA668" t="s">
        <v>1152</v>
      </c>
      <c r="AB668" t="s">
        <v>11</v>
      </c>
      <c r="AC668" t="s">
        <v>11</v>
      </c>
      <c r="AD668" t="s">
        <v>11</v>
      </c>
      <c r="AE668" s="2">
        <v>45722</v>
      </c>
      <c r="AF668" s="2"/>
      <c r="AG668" t="s">
        <v>11</v>
      </c>
      <c r="AH668" s="14">
        <f>VLOOKUP(M668,'[1]INDIAN ENTERPRISES'!$D:$D,1,0)</f>
        <v>246779410882</v>
      </c>
      <c r="AJ668" s="15">
        <f>VLOOKUP(M668,'[1]INDIAN ENTERPRISES'!$D:$L,9,0)</f>
        <v>45869</v>
      </c>
    </row>
    <row r="669" spans="1:36" hidden="1" outlineLevel="2" x14ac:dyDescent="0.25">
      <c r="A669" t="s">
        <v>20</v>
      </c>
      <c r="B669" t="s">
        <v>1</v>
      </c>
      <c r="C669" t="s">
        <v>2</v>
      </c>
      <c r="D669" t="s">
        <v>3</v>
      </c>
      <c r="E669" t="s">
        <v>4</v>
      </c>
      <c r="F669" t="s">
        <v>29</v>
      </c>
      <c r="G669" s="2">
        <v>45722</v>
      </c>
      <c r="H669" t="s">
        <v>1153</v>
      </c>
      <c r="I669" t="s">
        <v>7</v>
      </c>
      <c r="J669" s="2">
        <v>45722</v>
      </c>
      <c r="K669" s="2">
        <v>45722</v>
      </c>
      <c r="L669" t="s">
        <v>8</v>
      </c>
      <c r="M669" s="14">
        <v>246779410904</v>
      </c>
      <c r="N669" t="s">
        <v>9</v>
      </c>
      <c r="O669" t="s">
        <v>10</v>
      </c>
      <c r="P669" t="s">
        <v>11</v>
      </c>
      <c r="Q669" t="s">
        <v>12</v>
      </c>
      <c r="R669" t="s">
        <v>13</v>
      </c>
      <c r="S669" s="3">
        <v>1665.82</v>
      </c>
      <c r="T669" t="s">
        <v>14</v>
      </c>
      <c r="U669" s="3">
        <v>144412.03</v>
      </c>
      <c r="V669" t="s">
        <v>15</v>
      </c>
      <c r="W669" t="s">
        <v>16</v>
      </c>
      <c r="X669" t="s">
        <v>11</v>
      </c>
      <c r="Y669" t="s">
        <v>8</v>
      </c>
      <c r="Z669" t="s">
        <v>17</v>
      </c>
      <c r="AA669" t="s">
        <v>1154</v>
      </c>
      <c r="AB669" t="s">
        <v>11</v>
      </c>
      <c r="AC669" t="s">
        <v>11</v>
      </c>
      <c r="AD669" t="s">
        <v>11</v>
      </c>
      <c r="AE669" s="2">
        <v>45722</v>
      </c>
      <c r="AF669" s="2"/>
      <c r="AG669" t="s">
        <v>11</v>
      </c>
      <c r="AH669" s="14">
        <f>VLOOKUP(M669,'[1]INDIAN ENTERPRISES'!$D:$D,1,0)</f>
        <v>246779410904</v>
      </c>
      <c r="AJ669" s="15">
        <f>VLOOKUP(M669,'[1]INDIAN ENTERPRISES'!$D:$L,9,0)</f>
        <v>45838</v>
      </c>
    </row>
    <row r="670" spans="1:36" hidden="1" outlineLevel="2" x14ac:dyDescent="0.25">
      <c r="A670" t="s">
        <v>20</v>
      </c>
      <c r="B670" t="s">
        <v>1</v>
      </c>
      <c r="C670" t="s">
        <v>2</v>
      </c>
      <c r="D670" t="s">
        <v>3</v>
      </c>
      <c r="E670" t="s">
        <v>4</v>
      </c>
      <c r="F670" t="s">
        <v>29</v>
      </c>
      <c r="G670" s="2">
        <v>45719</v>
      </c>
      <c r="H670" t="s">
        <v>1155</v>
      </c>
      <c r="I670" t="s">
        <v>7</v>
      </c>
      <c r="J670" s="2">
        <v>45719</v>
      </c>
      <c r="K670" s="2">
        <v>45719</v>
      </c>
      <c r="L670" t="s">
        <v>8</v>
      </c>
      <c r="M670" s="14">
        <v>246779410436</v>
      </c>
      <c r="N670" t="s">
        <v>9</v>
      </c>
      <c r="O670" t="s">
        <v>10</v>
      </c>
      <c r="P670" t="s">
        <v>11</v>
      </c>
      <c r="Q670" t="s">
        <v>12</v>
      </c>
      <c r="R670" t="s">
        <v>13</v>
      </c>
      <c r="S670" s="3">
        <v>1332.41</v>
      </c>
      <c r="T670" t="s">
        <v>14</v>
      </c>
      <c r="U670" s="3">
        <v>115508.3</v>
      </c>
      <c r="V670" t="s">
        <v>15</v>
      </c>
      <c r="W670" t="s">
        <v>16</v>
      </c>
      <c r="X670" t="s">
        <v>11</v>
      </c>
      <c r="Y670" t="s">
        <v>8</v>
      </c>
      <c r="Z670" t="s">
        <v>17</v>
      </c>
      <c r="AA670" t="s">
        <v>1156</v>
      </c>
      <c r="AB670" t="s">
        <v>11</v>
      </c>
      <c r="AC670" t="s">
        <v>11</v>
      </c>
      <c r="AD670" t="s">
        <v>11</v>
      </c>
      <c r="AE670" s="2">
        <v>45719</v>
      </c>
      <c r="AF670" s="2"/>
      <c r="AG670" t="s">
        <v>11</v>
      </c>
      <c r="AH670" s="14">
        <f>VLOOKUP(M670,'[1]INDIAN ENTERPRISES'!$D:$D,1,0)</f>
        <v>246779410436</v>
      </c>
      <c r="AJ670" s="15">
        <f>VLOOKUP(M670,'[1]INDIAN ENTERPRISES'!$D:$L,9,0)</f>
        <v>45838</v>
      </c>
    </row>
    <row r="671" spans="1:36" hidden="1" outlineLevel="2" x14ac:dyDescent="0.25">
      <c r="A671" t="s">
        <v>20</v>
      </c>
      <c r="B671" t="s">
        <v>1</v>
      </c>
      <c r="C671" t="s">
        <v>2</v>
      </c>
      <c r="D671" t="s">
        <v>3</v>
      </c>
      <c r="E671" t="s">
        <v>4</v>
      </c>
      <c r="F671" t="s">
        <v>29</v>
      </c>
      <c r="G671" s="2">
        <v>45719</v>
      </c>
      <c r="H671" t="s">
        <v>1157</v>
      </c>
      <c r="I671" t="s">
        <v>7</v>
      </c>
      <c r="J671" s="2">
        <v>45719</v>
      </c>
      <c r="K671" s="2">
        <v>45719</v>
      </c>
      <c r="L671" t="s">
        <v>8</v>
      </c>
      <c r="M671" s="14">
        <v>246779410389</v>
      </c>
      <c r="N671" t="s">
        <v>9</v>
      </c>
      <c r="O671" t="s">
        <v>10</v>
      </c>
      <c r="P671" t="s">
        <v>11</v>
      </c>
      <c r="Q671" t="s">
        <v>12</v>
      </c>
      <c r="R671" t="s">
        <v>13</v>
      </c>
      <c r="S671" s="3">
        <v>542.08000000000004</v>
      </c>
      <c r="T671" t="s">
        <v>14</v>
      </c>
      <c r="U671" s="3">
        <v>46993.599999999999</v>
      </c>
      <c r="V671" t="s">
        <v>15</v>
      </c>
      <c r="W671" t="s">
        <v>16</v>
      </c>
      <c r="X671" t="s">
        <v>11</v>
      </c>
      <c r="Y671" t="s">
        <v>8</v>
      </c>
      <c r="Z671" t="s">
        <v>17</v>
      </c>
      <c r="AA671" t="s">
        <v>1158</v>
      </c>
      <c r="AB671" t="s">
        <v>11</v>
      </c>
      <c r="AC671" t="s">
        <v>11</v>
      </c>
      <c r="AD671" t="s">
        <v>11</v>
      </c>
      <c r="AE671" s="2">
        <v>45719</v>
      </c>
      <c r="AF671" s="2"/>
      <c r="AG671" t="s">
        <v>11</v>
      </c>
      <c r="AH671" s="14">
        <f>VLOOKUP(M671,'[1]INDIAN ENTERPRISES'!$D:$D,1,0)</f>
        <v>246779410389</v>
      </c>
      <c r="AJ671" s="15">
        <f>VLOOKUP(M671,'[1]INDIAN ENTERPRISES'!$D:$L,9,0)</f>
        <v>45838</v>
      </c>
    </row>
    <row r="672" spans="1:36" hidden="1" outlineLevel="2" x14ac:dyDescent="0.25">
      <c r="A672" t="s">
        <v>20</v>
      </c>
      <c r="B672" t="s">
        <v>1</v>
      </c>
      <c r="C672" t="s">
        <v>2</v>
      </c>
      <c r="D672" t="s">
        <v>3</v>
      </c>
      <c r="E672" t="s">
        <v>4</v>
      </c>
      <c r="F672" t="s">
        <v>29</v>
      </c>
      <c r="G672" s="2">
        <v>45719</v>
      </c>
      <c r="H672" t="s">
        <v>1159</v>
      </c>
      <c r="I672" t="s">
        <v>7</v>
      </c>
      <c r="J672" s="2">
        <v>45719</v>
      </c>
      <c r="K672" s="2">
        <v>45719</v>
      </c>
      <c r="L672" t="s">
        <v>8</v>
      </c>
      <c r="M672" s="14">
        <v>246779410413</v>
      </c>
      <c r="N672" t="s">
        <v>9</v>
      </c>
      <c r="O672" t="s">
        <v>10</v>
      </c>
      <c r="P672" t="s">
        <v>11</v>
      </c>
      <c r="Q672" t="s">
        <v>12</v>
      </c>
      <c r="R672" t="s">
        <v>13</v>
      </c>
      <c r="S672" s="3">
        <v>694.12</v>
      </c>
      <c r="T672" t="s">
        <v>14</v>
      </c>
      <c r="U672" s="3">
        <v>60174.14</v>
      </c>
      <c r="V672" t="s">
        <v>15</v>
      </c>
      <c r="W672" t="s">
        <v>16</v>
      </c>
      <c r="X672" t="s">
        <v>11</v>
      </c>
      <c r="Y672" t="s">
        <v>8</v>
      </c>
      <c r="Z672" t="s">
        <v>17</v>
      </c>
      <c r="AA672" t="s">
        <v>1160</v>
      </c>
      <c r="AB672" t="s">
        <v>11</v>
      </c>
      <c r="AC672" t="s">
        <v>11</v>
      </c>
      <c r="AD672" t="s">
        <v>11</v>
      </c>
      <c r="AE672" s="2">
        <v>45719</v>
      </c>
      <c r="AF672" s="2"/>
      <c r="AG672" t="s">
        <v>11</v>
      </c>
      <c r="AH672" s="14">
        <f>VLOOKUP(M672,'[1]INDIAN ENTERPRISES'!$D:$D,1,0)</f>
        <v>246779410413</v>
      </c>
      <c r="AJ672" s="15">
        <f>VLOOKUP(M672,'[1]INDIAN ENTERPRISES'!$D:$L,9,0)</f>
        <v>45838</v>
      </c>
    </row>
    <row r="673" spans="1:36" hidden="1" outlineLevel="2" x14ac:dyDescent="0.25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29</v>
      </c>
      <c r="G673" s="2">
        <v>45719</v>
      </c>
      <c r="H673" t="s">
        <v>1161</v>
      </c>
      <c r="I673" t="s">
        <v>7</v>
      </c>
      <c r="J673" s="2">
        <v>45719</v>
      </c>
      <c r="K673" s="2">
        <v>45719</v>
      </c>
      <c r="L673" t="s">
        <v>8</v>
      </c>
      <c r="M673" s="14">
        <v>246779410482</v>
      </c>
      <c r="N673" t="s">
        <v>9</v>
      </c>
      <c r="O673" t="s">
        <v>10</v>
      </c>
      <c r="P673" t="s">
        <v>11</v>
      </c>
      <c r="Q673" t="s">
        <v>12</v>
      </c>
      <c r="R673" t="s">
        <v>13</v>
      </c>
      <c r="S673" s="3">
        <v>3.54</v>
      </c>
      <c r="T673" t="s">
        <v>14</v>
      </c>
      <c r="U673" s="3">
        <v>306.89</v>
      </c>
      <c r="V673" t="s">
        <v>37</v>
      </c>
      <c r="W673" t="s">
        <v>16</v>
      </c>
      <c r="X673" t="s">
        <v>11</v>
      </c>
      <c r="Y673" t="s">
        <v>8</v>
      </c>
      <c r="Z673" t="s">
        <v>17</v>
      </c>
      <c r="AA673" t="s">
        <v>751</v>
      </c>
      <c r="AB673" t="s">
        <v>11</v>
      </c>
      <c r="AC673" t="s">
        <v>11</v>
      </c>
      <c r="AD673" t="s">
        <v>11</v>
      </c>
      <c r="AE673" s="2">
        <v>45719</v>
      </c>
      <c r="AF673" s="2">
        <v>45974</v>
      </c>
      <c r="AG673" t="s">
        <v>39</v>
      </c>
      <c r="AH673" s="14" t="e">
        <f>VLOOKUP(M673,'[1]INDIAN ENTERPRISES'!$D:$D,1,0)</f>
        <v>#N/A</v>
      </c>
      <c r="AI673" t="str">
        <f>VLOOKUP(M673,'[2]Invoices Not in Customer Books'!$E:$K,7,0)</f>
        <v>Invoice &amp; CN both not received &amp; booked</v>
      </c>
      <c r="AJ673" s="15" t="e">
        <f>VLOOKUP(M673,'[1]INDIAN ENTERPRISES'!$D:$L,9,0)</f>
        <v>#N/A</v>
      </c>
    </row>
    <row r="674" spans="1:36" hidden="1" outlineLevel="2" x14ac:dyDescent="0.25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F674" t="s">
        <v>29</v>
      </c>
      <c r="G674" s="2">
        <v>45719</v>
      </c>
      <c r="H674" t="s">
        <v>1162</v>
      </c>
      <c r="I674" t="s">
        <v>7</v>
      </c>
      <c r="J674" s="2">
        <v>45719</v>
      </c>
      <c r="K674" s="2">
        <v>45719</v>
      </c>
      <c r="L674" t="s">
        <v>8</v>
      </c>
      <c r="M674" s="14">
        <v>246779410483</v>
      </c>
      <c r="N674" t="s">
        <v>9</v>
      </c>
      <c r="O674" t="s">
        <v>10</v>
      </c>
      <c r="P674" t="s">
        <v>11</v>
      </c>
      <c r="Q674" t="s">
        <v>12</v>
      </c>
      <c r="R674" t="s">
        <v>13</v>
      </c>
      <c r="S674" s="3">
        <v>3.54</v>
      </c>
      <c r="T674" t="s">
        <v>14</v>
      </c>
      <c r="U674" s="3">
        <v>306.89</v>
      </c>
      <c r="V674" t="s">
        <v>37</v>
      </c>
      <c r="W674" t="s">
        <v>16</v>
      </c>
      <c r="X674" t="s">
        <v>11</v>
      </c>
      <c r="Y674" t="s">
        <v>8</v>
      </c>
      <c r="Z674" t="s">
        <v>17</v>
      </c>
      <c r="AA674" t="s">
        <v>751</v>
      </c>
      <c r="AB674" t="s">
        <v>11</v>
      </c>
      <c r="AC674" t="s">
        <v>11</v>
      </c>
      <c r="AD674" t="s">
        <v>11</v>
      </c>
      <c r="AE674" s="2">
        <v>45719</v>
      </c>
      <c r="AF674" s="2">
        <v>45974</v>
      </c>
      <c r="AG674" t="s">
        <v>39</v>
      </c>
      <c r="AH674" s="14" t="e">
        <f>VLOOKUP(M674,'[1]INDIAN ENTERPRISES'!$D:$D,1,0)</f>
        <v>#N/A</v>
      </c>
      <c r="AI674" t="str">
        <f>VLOOKUP(M674,'[2]Invoices Not in Customer Books'!$E:$K,7,0)</f>
        <v>Invoice &amp; CN both not received &amp; booked</v>
      </c>
      <c r="AJ674" s="15" t="e">
        <f>VLOOKUP(M674,'[1]INDIAN ENTERPRISES'!$D:$L,9,0)</f>
        <v>#N/A</v>
      </c>
    </row>
    <row r="675" spans="1:36" hidden="1" outlineLevel="2" x14ac:dyDescent="0.25">
      <c r="A675" t="s">
        <v>20</v>
      </c>
      <c r="B675" t="s">
        <v>1</v>
      </c>
      <c r="C675" t="s">
        <v>2</v>
      </c>
      <c r="D675" t="s">
        <v>3</v>
      </c>
      <c r="E675" t="s">
        <v>4</v>
      </c>
      <c r="F675" t="s">
        <v>29</v>
      </c>
      <c r="G675" s="2">
        <v>45733</v>
      </c>
      <c r="H675" t="s">
        <v>1163</v>
      </c>
      <c r="I675" t="s">
        <v>7</v>
      </c>
      <c r="J675" s="2">
        <v>45733</v>
      </c>
      <c r="K675" s="2">
        <v>45733</v>
      </c>
      <c r="L675" t="s">
        <v>8</v>
      </c>
      <c r="M675" s="14">
        <v>246779411593</v>
      </c>
      <c r="N675" t="s">
        <v>9</v>
      </c>
      <c r="O675" t="s">
        <v>10</v>
      </c>
      <c r="P675" t="s">
        <v>11</v>
      </c>
      <c r="Q675" t="s">
        <v>12</v>
      </c>
      <c r="R675" t="s">
        <v>13</v>
      </c>
      <c r="S675" s="3">
        <v>40.1</v>
      </c>
      <c r="T675" t="s">
        <v>14</v>
      </c>
      <c r="U675" s="3">
        <v>3476.32</v>
      </c>
      <c r="V675" t="s">
        <v>15</v>
      </c>
      <c r="W675" t="s">
        <v>16</v>
      </c>
      <c r="X675" t="s">
        <v>11</v>
      </c>
      <c r="Y675" t="s">
        <v>8</v>
      </c>
      <c r="Z675" t="s">
        <v>17</v>
      </c>
      <c r="AA675" t="s">
        <v>1164</v>
      </c>
      <c r="AB675" t="s">
        <v>11</v>
      </c>
      <c r="AC675" t="s">
        <v>11</v>
      </c>
      <c r="AD675" t="s">
        <v>11</v>
      </c>
      <c r="AE675" s="2">
        <v>45733</v>
      </c>
      <c r="AF675" s="2"/>
      <c r="AG675" t="s">
        <v>11</v>
      </c>
      <c r="AH675" s="14">
        <f>VLOOKUP(M675,'[1]INDIAN ENTERPRISES'!$D:$D,1,0)</f>
        <v>246779411593</v>
      </c>
      <c r="AJ675" s="15">
        <f>VLOOKUP(M675,'[1]INDIAN ENTERPRISES'!$D:$L,9,0)</f>
        <v>45838</v>
      </c>
    </row>
    <row r="676" spans="1:36" hidden="1" outlineLevel="2" x14ac:dyDescent="0.25">
      <c r="A676" t="s">
        <v>20</v>
      </c>
      <c r="B676" t="s">
        <v>1</v>
      </c>
      <c r="C676" t="s">
        <v>2</v>
      </c>
      <c r="D676" t="s">
        <v>3</v>
      </c>
      <c r="E676" t="s">
        <v>4</v>
      </c>
      <c r="F676" t="s">
        <v>29</v>
      </c>
      <c r="G676" s="2">
        <v>45733</v>
      </c>
      <c r="H676" t="s">
        <v>1165</v>
      </c>
      <c r="I676" t="s">
        <v>7</v>
      </c>
      <c r="J676" s="2">
        <v>45733</v>
      </c>
      <c r="K676" s="2">
        <v>45733</v>
      </c>
      <c r="L676" t="s">
        <v>8</v>
      </c>
      <c r="M676" s="14">
        <v>246779411594</v>
      </c>
      <c r="N676" t="s">
        <v>9</v>
      </c>
      <c r="O676" t="s">
        <v>10</v>
      </c>
      <c r="P676" t="s">
        <v>11</v>
      </c>
      <c r="Q676" t="s">
        <v>12</v>
      </c>
      <c r="R676" t="s">
        <v>13</v>
      </c>
      <c r="S676" s="3">
        <v>17.190000000000001</v>
      </c>
      <c r="T676" t="s">
        <v>14</v>
      </c>
      <c r="U676" s="3">
        <v>1490.22</v>
      </c>
      <c r="V676" t="s">
        <v>15</v>
      </c>
      <c r="W676" t="s">
        <v>16</v>
      </c>
      <c r="X676" t="s">
        <v>11</v>
      </c>
      <c r="Y676" t="s">
        <v>8</v>
      </c>
      <c r="Z676" t="s">
        <v>17</v>
      </c>
      <c r="AA676" t="s">
        <v>1164</v>
      </c>
      <c r="AB676" t="s">
        <v>11</v>
      </c>
      <c r="AC676" t="s">
        <v>11</v>
      </c>
      <c r="AD676" t="s">
        <v>11</v>
      </c>
      <c r="AE676" s="2">
        <v>45733</v>
      </c>
      <c r="AF676" s="2"/>
      <c r="AG676" t="s">
        <v>11</v>
      </c>
      <c r="AH676" s="14">
        <f>VLOOKUP(M676,'[1]INDIAN ENTERPRISES'!$D:$D,1,0)</f>
        <v>246779411594</v>
      </c>
      <c r="AJ676" s="15">
        <f>VLOOKUP(M676,'[1]INDIAN ENTERPRISES'!$D:$L,9,0)</f>
        <v>45838</v>
      </c>
    </row>
    <row r="677" spans="1:36" hidden="1" outlineLevel="2" x14ac:dyDescent="0.25">
      <c r="A677" t="s">
        <v>20</v>
      </c>
      <c r="B677" t="s">
        <v>1</v>
      </c>
      <c r="C677" t="s">
        <v>2</v>
      </c>
      <c r="D677" t="s">
        <v>3</v>
      </c>
      <c r="E677" t="s">
        <v>4</v>
      </c>
      <c r="F677" t="s">
        <v>29</v>
      </c>
      <c r="G677" s="2">
        <v>45733</v>
      </c>
      <c r="H677" t="s">
        <v>1166</v>
      </c>
      <c r="I677" t="s">
        <v>7</v>
      </c>
      <c r="J677" s="2">
        <v>45733</v>
      </c>
      <c r="K677" s="2">
        <v>45733</v>
      </c>
      <c r="L677" t="s">
        <v>8</v>
      </c>
      <c r="M677" s="14">
        <v>246779411595</v>
      </c>
      <c r="N677" t="s">
        <v>9</v>
      </c>
      <c r="O677" t="s">
        <v>10</v>
      </c>
      <c r="P677" t="s">
        <v>11</v>
      </c>
      <c r="Q677" t="s">
        <v>12</v>
      </c>
      <c r="R677" t="s">
        <v>13</v>
      </c>
      <c r="S677" s="3">
        <v>51.56</v>
      </c>
      <c r="T677" t="s">
        <v>14</v>
      </c>
      <c r="U677" s="3">
        <v>4469.8</v>
      </c>
      <c r="V677" t="s">
        <v>15</v>
      </c>
      <c r="W677" t="s">
        <v>16</v>
      </c>
      <c r="X677" t="s">
        <v>11</v>
      </c>
      <c r="Y677" t="s">
        <v>8</v>
      </c>
      <c r="Z677" t="s">
        <v>17</v>
      </c>
      <c r="AA677" t="s">
        <v>1164</v>
      </c>
      <c r="AB677" t="s">
        <v>11</v>
      </c>
      <c r="AC677" t="s">
        <v>11</v>
      </c>
      <c r="AD677" t="s">
        <v>11</v>
      </c>
      <c r="AE677" s="2">
        <v>45733</v>
      </c>
      <c r="AF677" s="2"/>
      <c r="AG677" t="s">
        <v>11</v>
      </c>
      <c r="AH677" s="14">
        <f>VLOOKUP(M677,'[1]INDIAN ENTERPRISES'!$D:$D,1,0)</f>
        <v>246779411595</v>
      </c>
      <c r="AJ677" s="15">
        <f>VLOOKUP(M677,'[1]INDIAN ENTERPRISES'!$D:$L,9,0)</f>
        <v>45838</v>
      </c>
    </row>
    <row r="678" spans="1:36" hidden="1" outlineLevel="2" x14ac:dyDescent="0.25">
      <c r="A678" t="s">
        <v>20</v>
      </c>
      <c r="B678" t="s">
        <v>1</v>
      </c>
      <c r="C678" t="s">
        <v>2</v>
      </c>
      <c r="D678" t="s">
        <v>3</v>
      </c>
      <c r="E678" t="s">
        <v>4</v>
      </c>
      <c r="F678" t="s">
        <v>29</v>
      </c>
      <c r="G678" s="2">
        <v>45733</v>
      </c>
      <c r="H678" t="s">
        <v>1167</v>
      </c>
      <c r="I678" t="s">
        <v>7</v>
      </c>
      <c r="J678" s="2">
        <v>45733</v>
      </c>
      <c r="K678" s="2">
        <v>45733</v>
      </c>
      <c r="L678" t="s">
        <v>8</v>
      </c>
      <c r="M678" s="14">
        <v>246779411596</v>
      </c>
      <c r="N678" t="s">
        <v>9</v>
      </c>
      <c r="O678" t="s">
        <v>10</v>
      </c>
      <c r="P678" t="s">
        <v>11</v>
      </c>
      <c r="Q678" t="s">
        <v>12</v>
      </c>
      <c r="R678" t="s">
        <v>13</v>
      </c>
      <c r="S678" s="3">
        <v>74.47</v>
      </c>
      <c r="T678" t="s">
        <v>14</v>
      </c>
      <c r="U678" s="3">
        <v>6455.9</v>
      </c>
      <c r="V678" t="s">
        <v>15</v>
      </c>
      <c r="W678" t="s">
        <v>16</v>
      </c>
      <c r="X678" t="s">
        <v>11</v>
      </c>
      <c r="Y678" t="s">
        <v>8</v>
      </c>
      <c r="Z678" t="s">
        <v>17</v>
      </c>
      <c r="AA678" t="s">
        <v>1164</v>
      </c>
      <c r="AB678" t="s">
        <v>11</v>
      </c>
      <c r="AC678" t="s">
        <v>11</v>
      </c>
      <c r="AD678" t="s">
        <v>11</v>
      </c>
      <c r="AE678" s="2">
        <v>45733</v>
      </c>
      <c r="AF678" s="2"/>
      <c r="AG678" t="s">
        <v>11</v>
      </c>
      <c r="AH678" s="14">
        <f>VLOOKUP(M678,'[1]INDIAN ENTERPRISES'!$D:$D,1,0)</f>
        <v>246779411596</v>
      </c>
      <c r="AJ678" s="15">
        <f>VLOOKUP(M678,'[1]INDIAN ENTERPRISES'!$D:$L,9,0)</f>
        <v>45838</v>
      </c>
    </row>
    <row r="679" spans="1:36" hidden="1" outlineLevel="2" x14ac:dyDescent="0.25">
      <c r="A679" t="s">
        <v>20</v>
      </c>
      <c r="B679" t="s">
        <v>1</v>
      </c>
      <c r="C679" t="s">
        <v>2</v>
      </c>
      <c r="D679" t="s">
        <v>3</v>
      </c>
      <c r="E679" t="s">
        <v>4</v>
      </c>
      <c r="F679" t="s">
        <v>29</v>
      </c>
      <c r="G679" s="2">
        <v>45733</v>
      </c>
      <c r="H679" t="s">
        <v>1168</v>
      </c>
      <c r="I679" t="s">
        <v>7</v>
      </c>
      <c r="J679" s="2">
        <v>45733</v>
      </c>
      <c r="K679" s="2">
        <v>45733</v>
      </c>
      <c r="L679" t="s">
        <v>8</v>
      </c>
      <c r="M679" s="14">
        <v>246779411597</v>
      </c>
      <c r="N679" t="s">
        <v>9</v>
      </c>
      <c r="O679" t="s">
        <v>10</v>
      </c>
      <c r="P679" t="s">
        <v>11</v>
      </c>
      <c r="Q679" t="s">
        <v>12</v>
      </c>
      <c r="R679" t="s">
        <v>13</v>
      </c>
      <c r="S679" s="3">
        <v>57.29</v>
      </c>
      <c r="T679" t="s">
        <v>14</v>
      </c>
      <c r="U679" s="3">
        <v>4966.54</v>
      </c>
      <c r="V679" t="s">
        <v>15</v>
      </c>
      <c r="W679" t="s">
        <v>16</v>
      </c>
      <c r="X679" t="s">
        <v>11</v>
      </c>
      <c r="Y679" t="s">
        <v>8</v>
      </c>
      <c r="Z679" t="s">
        <v>17</v>
      </c>
      <c r="AA679" t="s">
        <v>1164</v>
      </c>
      <c r="AB679" t="s">
        <v>11</v>
      </c>
      <c r="AC679" t="s">
        <v>11</v>
      </c>
      <c r="AD679" t="s">
        <v>11</v>
      </c>
      <c r="AE679" s="2">
        <v>45733</v>
      </c>
      <c r="AF679" s="2"/>
      <c r="AG679" t="s">
        <v>11</v>
      </c>
      <c r="AH679" s="14">
        <f>VLOOKUP(M679,'[1]INDIAN ENTERPRISES'!$D:$D,1,0)</f>
        <v>246779411597</v>
      </c>
      <c r="AJ679" s="15">
        <f>VLOOKUP(M679,'[1]INDIAN ENTERPRISES'!$D:$L,9,0)</f>
        <v>45838</v>
      </c>
    </row>
    <row r="680" spans="1:36" hidden="1" outlineLevel="2" x14ac:dyDescent="0.25">
      <c r="A680" t="s">
        <v>20</v>
      </c>
      <c r="B680" t="s">
        <v>1</v>
      </c>
      <c r="C680" t="s">
        <v>2</v>
      </c>
      <c r="D680" t="s">
        <v>3</v>
      </c>
      <c r="E680" t="s">
        <v>4</v>
      </c>
      <c r="F680" t="s">
        <v>29</v>
      </c>
      <c r="G680" s="2">
        <v>45733</v>
      </c>
      <c r="H680" t="s">
        <v>1169</v>
      </c>
      <c r="I680" t="s">
        <v>7</v>
      </c>
      <c r="J680" s="2">
        <v>45733</v>
      </c>
      <c r="K680" s="2">
        <v>45733</v>
      </c>
      <c r="L680" t="s">
        <v>8</v>
      </c>
      <c r="M680" s="14">
        <v>246779411598</v>
      </c>
      <c r="N680" t="s">
        <v>9</v>
      </c>
      <c r="O680" t="s">
        <v>10</v>
      </c>
      <c r="P680" t="s">
        <v>11</v>
      </c>
      <c r="Q680" t="s">
        <v>12</v>
      </c>
      <c r="R680" t="s">
        <v>13</v>
      </c>
      <c r="S680" s="3">
        <v>91.66</v>
      </c>
      <c r="T680" t="s">
        <v>14</v>
      </c>
      <c r="U680" s="3">
        <v>7946.12</v>
      </c>
      <c r="V680" t="s">
        <v>15</v>
      </c>
      <c r="W680" t="s">
        <v>16</v>
      </c>
      <c r="X680" t="s">
        <v>11</v>
      </c>
      <c r="Y680" t="s">
        <v>8</v>
      </c>
      <c r="Z680" t="s">
        <v>17</v>
      </c>
      <c r="AA680" t="s">
        <v>1164</v>
      </c>
      <c r="AB680" t="s">
        <v>11</v>
      </c>
      <c r="AC680" t="s">
        <v>11</v>
      </c>
      <c r="AD680" t="s">
        <v>11</v>
      </c>
      <c r="AE680" s="2">
        <v>45733</v>
      </c>
      <c r="AF680" s="2"/>
      <c r="AG680" t="s">
        <v>11</v>
      </c>
      <c r="AH680" s="14">
        <f>VLOOKUP(M680,'[1]INDIAN ENTERPRISES'!$D:$D,1,0)</f>
        <v>246779411598</v>
      </c>
      <c r="AJ680" s="15">
        <f>VLOOKUP(M680,'[1]INDIAN ENTERPRISES'!$D:$L,9,0)</f>
        <v>45838</v>
      </c>
    </row>
    <row r="681" spans="1:36" hidden="1" outlineLevel="2" x14ac:dyDescent="0.25">
      <c r="A681" t="s">
        <v>20</v>
      </c>
      <c r="B681" t="s">
        <v>1</v>
      </c>
      <c r="C681" t="s">
        <v>2</v>
      </c>
      <c r="D681" t="s">
        <v>3</v>
      </c>
      <c r="E681" t="s">
        <v>4</v>
      </c>
      <c r="F681" t="s">
        <v>29</v>
      </c>
      <c r="G681" s="2">
        <v>45733</v>
      </c>
      <c r="H681" t="s">
        <v>1170</v>
      </c>
      <c r="I681" t="s">
        <v>7</v>
      </c>
      <c r="J681" s="2">
        <v>45733</v>
      </c>
      <c r="K681" s="2">
        <v>45733</v>
      </c>
      <c r="L681" t="s">
        <v>8</v>
      </c>
      <c r="M681" s="14">
        <v>246779411599</v>
      </c>
      <c r="N681" t="s">
        <v>9</v>
      </c>
      <c r="O681" t="s">
        <v>10</v>
      </c>
      <c r="P681" t="s">
        <v>11</v>
      </c>
      <c r="Q681" t="s">
        <v>12</v>
      </c>
      <c r="R681" t="s">
        <v>13</v>
      </c>
      <c r="S681" s="3">
        <v>37.950000000000003</v>
      </c>
      <c r="T681" t="s">
        <v>14</v>
      </c>
      <c r="U681" s="3">
        <v>3289.93</v>
      </c>
      <c r="V681" t="s">
        <v>15</v>
      </c>
      <c r="W681" t="s">
        <v>16</v>
      </c>
      <c r="X681" t="s">
        <v>11</v>
      </c>
      <c r="Y681" t="s">
        <v>8</v>
      </c>
      <c r="Z681" t="s">
        <v>17</v>
      </c>
      <c r="AA681" t="s">
        <v>1164</v>
      </c>
      <c r="AB681" t="s">
        <v>11</v>
      </c>
      <c r="AC681" t="s">
        <v>11</v>
      </c>
      <c r="AD681" t="s">
        <v>11</v>
      </c>
      <c r="AE681" s="2">
        <v>45733</v>
      </c>
      <c r="AF681" s="2"/>
      <c r="AG681" t="s">
        <v>11</v>
      </c>
      <c r="AH681" s="14">
        <f>VLOOKUP(M681,'[1]INDIAN ENTERPRISES'!$D:$D,1,0)</f>
        <v>246779411599</v>
      </c>
      <c r="AJ681" s="15">
        <f>VLOOKUP(M681,'[1]INDIAN ENTERPRISES'!$D:$L,9,0)</f>
        <v>45838</v>
      </c>
    </row>
    <row r="682" spans="1:36" hidden="1" outlineLevel="2" x14ac:dyDescent="0.25">
      <c r="A682" t="s">
        <v>20</v>
      </c>
      <c r="B682" t="s">
        <v>1</v>
      </c>
      <c r="C682" t="s">
        <v>2</v>
      </c>
      <c r="D682" t="s">
        <v>3</v>
      </c>
      <c r="E682" t="s">
        <v>4</v>
      </c>
      <c r="F682" t="s">
        <v>29</v>
      </c>
      <c r="G682" s="2">
        <v>45733</v>
      </c>
      <c r="H682" t="s">
        <v>1171</v>
      </c>
      <c r="I682" t="s">
        <v>7</v>
      </c>
      <c r="J682" s="2">
        <v>45733</v>
      </c>
      <c r="K682" s="2">
        <v>45733</v>
      </c>
      <c r="L682" t="s">
        <v>8</v>
      </c>
      <c r="M682" s="14">
        <v>246779411600</v>
      </c>
      <c r="N682" t="s">
        <v>9</v>
      </c>
      <c r="O682" t="s">
        <v>10</v>
      </c>
      <c r="P682" t="s">
        <v>11</v>
      </c>
      <c r="Q682" t="s">
        <v>12</v>
      </c>
      <c r="R682" t="s">
        <v>13</v>
      </c>
      <c r="S682" s="3">
        <v>2.6</v>
      </c>
      <c r="T682" t="s">
        <v>14</v>
      </c>
      <c r="U682" s="3">
        <v>225.4</v>
      </c>
      <c r="V682" t="s">
        <v>15</v>
      </c>
      <c r="W682" t="s">
        <v>16</v>
      </c>
      <c r="X682" t="s">
        <v>11</v>
      </c>
      <c r="Y682" t="s">
        <v>8</v>
      </c>
      <c r="Z682" t="s">
        <v>17</v>
      </c>
      <c r="AA682" t="s">
        <v>1164</v>
      </c>
      <c r="AB682" t="s">
        <v>11</v>
      </c>
      <c r="AC682" t="s">
        <v>11</v>
      </c>
      <c r="AD682" t="s">
        <v>11</v>
      </c>
      <c r="AE682" s="2">
        <v>45733</v>
      </c>
      <c r="AF682" s="2"/>
      <c r="AG682" t="s">
        <v>11</v>
      </c>
      <c r="AH682" s="14">
        <f>VLOOKUP(M682,'[1]INDIAN ENTERPRISES'!$D:$D,1,0)</f>
        <v>246779411600</v>
      </c>
      <c r="AJ682" s="15">
        <f>VLOOKUP(M682,'[1]INDIAN ENTERPRISES'!$D:$L,9,0)</f>
        <v>45838</v>
      </c>
    </row>
    <row r="683" spans="1:36" hidden="1" outlineLevel="2" x14ac:dyDescent="0.25">
      <c r="A683" t="s">
        <v>20</v>
      </c>
      <c r="B683" t="s">
        <v>1</v>
      </c>
      <c r="C683" t="s">
        <v>2</v>
      </c>
      <c r="D683" t="s">
        <v>3</v>
      </c>
      <c r="E683" t="s">
        <v>4</v>
      </c>
      <c r="F683" t="s">
        <v>29</v>
      </c>
      <c r="G683" s="2">
        <v>45733</v>
      </c>
      <c r="H683" t="s">
        <v>1172</v>
      </c>
      <c r="I683" t="s">
        <v>7</v>
      </c>
      <c r="J683" s="2">
        <v>45733</v>
      </c>
      <c r="K683" s="2">
        <v>45733</v>
      </c>
      <c r="L683" t="s">
        <v>8</v>
      </c>
      <c r="M683" s="14">
        <v>246779411601</v>
      </c>
      <c r="N683" t="s">
        <v>9</v>
      </c>
      <c r="O683" t="s">
        <v>10</v>
      </c>
      <c r="P683" t="s">
        <v>11</v>
      </c>
      <c r="Q683" t="s">
        <v>12</v>
      </c>
      <c r="R683" t="s">
        <v>13</v>
      </c>
      <c r="S683" s="3">
        <v>23.39</v>
      </c>
      <c r="T683" t="s">
        <v>14</v>
      </c>
      <c r="U683" s="3">
        <v>2027.71</v>
      </c>
      <c r="V683" t="s">
        <v>15</v>
      </c>
      <c r="W683" t="s">
        <v>16</v>
      </c>
      <c r="X683" t="s">
        <v>11</v>
      </c>
      <c r="Y683" t="s">
        <v>8</v>
      </c>
      <c r="Z683" t="s">
        <v>17</v>
      </c>
      <c r="AA683" t="s">
        <v>1164</v>
      </c>
      <c r="AB683" t="s">
        <v>11</v>
      </c>
      <c r="AC683" t="s">
        <v>11</v>
      </c>
      <c r="AD683" t="s">
        <v>11</v>
      </c>
      <c r="AE683" s="2">
        <v>45733</v>
      </c>
      <c r="AF683" s="2"/>
      <c r="AG683" t="s">
        <v>11</v>
      </c>
      <c r="AH683" s="14">
        <f>VLOOKUP(M683,'[1]INDIAN ENTERPRISES'!$D:$D,1,0)</f>
        <v>246779411601</v>
      </c>
      <c r="AJ683" s="15">
        <f>VLOOKUP(M683,'[1]INDIAN ENTERPRISES'!$D:$L,9,0)</f>
        <v>45838</v>
      </c>
    </row>
    <row r="684" spans="1:36" hidden="1" outlineLevel="2" x14ac:dyDescent="0.25">
      <c r="A684" t="s">
        <v>20</v>
      </c>
      <c r="B684" t="s">
        <v>1</v>
      </c>
      <c r="C684" t="s">
        <v>2</v>
      </c>
      <c r="D684" t="s">
        <v>3</v>
      </c>
      <c r="E684" t="s">
        <v>4</v>
      </c>
      <c r="F684" t="s">
        <v>29</v>
      </c>
      <c r="G684" s="2">
        <v>45733</v>
      </c>
      <c r="H684" t="s">
        <v>1173</v>
      </c>
      <c r="I684" t="s">
        <v>7</v>
      </c>
      <c r="J684" s="2">
        <v>45733</v>
      </c>
      <c r="K684" s="2">
        <v>45733</v>
      </c>
      <c r="L684" t="s">
        <v>8</v>
      </c>
      <c r="M684" s="14">
        <v>246779411637</v>
      </c>
      <c r="N684" t="s">
        <v>9</v>
      </c>
      <c r="O684" t="s">
        <v>10</v>
      </c>
      <c r="P684" t="s">
        <v>11</v>
      </c>
      <c r="Q684" t="s">
        <v>12</v>
      </c>
      <c r="R684" t="s">
        <v>13</v>
      </c>
      <c r="S684" s="3">
        <v>429.65</v>
      </c>
      <c r="T684" t="s">
        <v>14</v>
      </c>
      <c r="U684" s="3">
        <v>37246.9</v>
      </c>
      <c r="V684" t="s">
        <v>15</v>
      </c>
      <c r="W684" t="s">
        <v>16</v>
      </c>
      <c r="X684" t="s">
        <v>11</v>
      </c>
      <c r="Y684" t="s">
        <v>8</v>
      </c>
      <c r="Z684" t="s">
        <v>17</v>
      </c>
      <c r="AA684" t="s">
        <v>1164</v>
      </c>
      <c r="AB684" t="s">
        <v>11</v>
      </c>
      <c r="AC684" t="s">
        <v>11</v>
      </c>
      <c r="AD684" t="s">
        <v>11</v>
      </c>
      <c r="AE684" s="2">
        <v>45733</v>
      </c>
      <c r="AF684" s="2"/>
      <c r="AG684" t="s">
        <v>11</v>
      </c>
      <c r="AH684" s="14">
        <f>VLOOKUP(M684,'[1]INDIAN ENTERPRISES'!$D:$D,1,0)</f>
        <v>246779411637</v>
      </c>
      <c r="AJ684" s="15">
        <f>VLOOKUP(M684,'[1]INDIAN ENTERPRISES'!$D:$L,9,0)</f>
        <v>45838</v>
      </c>
    </row>
    <row r="685" spans="1:36" hidden="1" outlineLevel="2" x14ac:dyDescent="0.25">
      <c r="A685" t="s">
        <v>20</v>
      </c>
      <c r="B685" t="s">
        <v>1</v>
      </c>
      <c r="C685" t="s">
        <v>2</v>
      </c>
      <c r="D685" t="s">
        <v>3</v>
      </c>
      <c r="E685" t="s">
        <v>4</v>
      </c>
      <c r="F685" t="s">
        <v>29</v>
      </c>
      <c r="G685" s="2">
        <v>45733</v>
      </c>
      <c r="H685" t="s">
        <v>1174</v>
      </c>
      <c r="I685" t="s">
        <v>7</v>
      </c>
      <c r="J685" s="2">
        <v>45733</v>
      </c>
      <c r="K685" s="2">
        <v>45734</v>
      </c>
      <c r="L685" t="s">
        <v>8</v>
      </c>
      <c r="M685" s="14">
        <v>246779411717</v>
      </c>
      <c r="N685" t="s">
        <v>9</v>
      </c>
      <c r="O685" t="s">
        <v>10</v>
      </c>
      <c r="P685" t="s">
        <v>11</v>
      </c>
      <c r="Q685" t="s">
        <v>12</v>
      </c>
      <c r="R685" t="s">
        <v>13</v>
      </c>
      <c r="S685" s="3">
        <v>45.67</v>
      </c>
      <c r="T685" t="s">
        <v>14</v>
      </c>
      <c r="U685" s="3">
        <v>3959.19</v>
      </c>
      <c r="V685" t="s">
        <v>15</v>
      </c>
      <c r="W685" t="s">
        <v>16</v>
      </c>
      <c r="X685" t="s">
        <v>11</v>
      </c>
      <c r="Y685" t="s">
        <v>8</v>
      </c>
      <c r="Z685" t="s">
        <v>17</v>
      </c>
      <c r="AA685" t="s">
        <v>313</v>
      </c>
      <c r="AB685" t="s">
        <v>11</v>
      </c>
      <c r="AC685" t="s">
        <v>11</v>
      </c>
      <c r="AD685" t="s">
        <v>11</v>
      </c>
      <c r="AE685" s="2">
        <v>45733</v>
      </c>
      <c r="AF685" s="2"/>
      <c r="AG685" t="s">
        <v>11</v>
      </c>
      <c r="AH685" s="14">
        <f>VLOOKUP(M685,'[1]INDIAN ENTERPRISES'!$D:$D,1,0)</f>
        <v>246779411717</v>
      </c>
      <c r="AJ685" s="15">
        <f>VLOOKUP(M685,'[1]INDIAN ENTERPRISES'!$D:$L,9,0)</f>
        <v>45838</v>
      </c>
    </row>
    <row r="686" spans="1:36" hidden="1" outlineLevel="2" x14ac:dyDescent="0.25">
      <c r="A686" t="s">
        <v>20</v>
      </c>
      <c r="B686" t="s">
        <v>1</v>
      </c>
      <c r="C686" t="s">
        <v>2</v>
      </c>
      <c r="D686" t="s">
        <v>3</v>
      </c>
      <c r="E686" t="s">
        <v>4</v>
      </c>
      <c r="F686" t="s">
        <v>29</v>
      </c>
      <c r="G686" s="2">
        <v>45733</v>
      </c>
      <c r="H686" t="s">
        <v>1175</v>
      </c>
      <c r="I686" t="s">
        <v>7</v>
      </c>
      <c r="J686" s="2">
        <v>45733</v>
      </c>
      <c r="K686" s="2">
        <v>45734</v>
      </c>
      <c r="L686" t="s">
        <v>8</v>
      </c>
      <c r="M686" s="14">
        <v>246779411723</v>
      </c>
      <c r="N686" t="s">
        <v>9</v>
      </c>
      <c r="O686" t="s">
        <v>10</v>
      </c>
      <c r="P686" t="s">
        <v>11</v>
      </c>
      <c r="Q686" t="s">
        <v>12</v>
      </c>
      <c r="R686" t="s">
        <v>13</v>
      </c>
      <c r="S686" s="3">
        <v>45.67</v>
      </c>
      <c r="T686" t="s">
        <v>14</v>
      </c>
      <c r="U686" s="3">
        <v>3959.19</v>
      </c>
      <c r="V686" t="s">
        <v>15</v>
      </c>
      <c r="W686" t="s">
        <v>16</v>
      </c>
      <c r="X686" t="s">
        <v>11</v>
      </c>
      <c r="Y686" t="s">
        <v>8</v>
      </c>
      <c r="Z686" t="s">
        <v>17</v>
      </c>
      <c r="AA686" t="s">
        <v>313</v>
      </c>
      <c r="AB686" t="s">
        <v>11</v>
      </c>
      <c r="AC686" t="s">
        <v>11</v>
      </c>
      <c r="AD686" t="s">
        <v>11</v>
      </c>
      <c r="AE686" s="2">
        <v>45733</v>
      </c>
      <c r="AF686" s="2"/>
      <c r="AG686" t="s">
        <v>11</v>
      </c>
      <c r="AH686" s="14">
        <f>VLOOKUP(M686,'[1]INDIAN ENTERPRISES'!$D:$D,1,0)</f>
        <v>246779411723</v>
      </c>
      <c r="AJ686" s="15">
        <f>VLOOKUP(M686,'[1]INDIAN ENTERPRISES'!$D:$L,9,0)</f>
        <v>45838</v>
      </c>
    </row>
    <row r="687" spans="1:36" hidden="1" outlineLevel="2" x14ac:dyDescent="0.25">
      <c r="A687" t="s">
        <v>20</v>
      </c>
      <c r="B687" t="s">
        <v>1</v>
      </c>
      <c r="C687" t="s">
        <v>2</v>
      </c>
      <c r="D687" t="s">
        <v>3</v>
      </c>
      <c r="E687" t="s">
        <v>4</v>
      </c>
      <c r="F687" t="s">
        <v>29</v>
      </c>
      <c r="G687" s="2">
        <v>45733</v>
      </c>
      <c r="H687" t="s">
        <v>1176</v>
      </c>
      <c r="I687" t="s">
        <v>7</v>
      </c>
      <c r="J687" s="2">
        <v>45733</v>
      </c>
      <c r="K687" s="2">
        <v>45734</v>
      </c>
      <c r="L687" t="s">
        <v>8</v>
      </c>
      <c r="M687" s="14">
        <v>246779411724</v>
      </c>
      <c r="N687" t="s">
        <v>9</v>
      </c>
      <c r="O687" t="s">
        <v>10</v>
      </c>
      <c r="P687" t="s">
        <v>11</v>
      </c>
      <c r="Q687" t="s">
        <v>12</v>
      </c>
      <c r="R687" t="s">
        <v>13</v>
      </c>
      <c r="S687" s="3">
        <v>68.5</v>
      </c>
      <c r="T687" t="s">
        <v>14</v>
      </c>
      <c r="U687" s="3">
        <v>5938.35</v>
      </c>
      <c r="V687" t="s">
        <v>15</v>
      </c>
      <c r="W687" t="s">
        <v>16</v>
      </c>
      <c r="X687" t="s">
        <v>11</v>
      </c>
      <c r="Y687" t="s">
        <v>8</v>
      </c>
      <c r="Z687" t="s">
        <v>17</v>
      </c>
      <c r="AA687" t="s">
        <v>313</v>
      </c>
      <c r="AB687" t="s">
        <v>11</v>
      </c>
      <c r="AC687" t="s">
        <v>11</v>
      </c>
      <c r="AD687" t="s">
        <v>11</v>
      </c>
      <c r="AE687" s="2">
        <v>45733</v>
      </c>
      <c r="AF687" s="2"/>
      <c r="AG687" t="s">
        <v>11</v>
      </c>
      <c r="AH687" s="14">
        <f>VLOOKUP(M687,'[1]INDIAN ENTERPRISES'!$D:$D,1,0)</f>
        <v>246779411724</v>
      </c>
      <c r="AJ687" s="15">
        <f>VLOOKUP(M687,'[1]INDIAN ENTERPRISES'!$D:$L,9,0)</f>
        <v>45838</v>
      </c>
    </row>
    <row r="688" spans="1:36" hidden="1" outlineLevel="2" x14ac:dyDescent="0.25">
      <c r="A688" t="s">
        <v>20</v>
      </c>
      <c r="B688" t="s">
        <v>1</v>
      </c>
      <c r="C688" t="s">
        <v>2</v>
      </c>
      <c r="D688" t="s">
        <v>3</v>
      </c>
      <c r="E688" t="s">
        <v>4</v>
      </c>
      <c r="F688" t="s">
        <v>29</v>
      </c>
      <c r="G688" s="2">
        <v>45733</v>
      </c>
      <c r="H688" t="s">
        <v>1177</v>
      </c>
      <c r="I688" t="s">
        <v>7</v>
      </c>
      <c r="J688" s="2">
        <v>45733</v>
      </c>
      <c r="K688" s="2">
        <v>45734</v>
      </c>
      <c r="L688" t="s">
        <v>8</v>
      </c>
      <c r="M688" s="14">
        <v>246779411725</v>
      </c>
      <c r="N688" t="s">
        <v>9</v>
      </c>
      <c r="O688" t="s">
        <v>10</v>
      </c>
      <c r="P688" t="s">
        <v>11</v>
      </c>
      <c r="Q688" t="s">
        <v>12</v>
      </c>
      <c r="R688" t="s">
        <v>13</v>
      </c>
      <c r="S688" s="3">
        <v>22.83</v>
      </c>
      <c r="T688" t="s">
        <v>14</v>
      </c>
      <c r="U688" s="3">
        <v>1979.16</v>
      </c>
      <c r="V688" t="s">
        <v>15</v>
      </c>
      <c r="W688" t="s">
        <v>16</v>
      </c>
      <c r="X688" t="s">
        <v>11</v>
      </c>
      <c r="Y688" t="s">
        <v>8</v>
      </c>
      <c r="Z688" t="s">
        <v>17</v>
      </c>
      <c r="AA688" t="s">
        <v>313</v>
      </c>
      <c r="AB688" t="s">
        <v>11</v>
      </c>
      <c r="AC688" t="s">
        <v>11</v>
      </c>
      <c r="AD688" t="s">
        <v>11</v>
      </c>
      <c r="AE688" s="2">
        <v>45733</v>
      </c>
      <c r="AF688" s="2"/>
      <c r="AG688" t="s">
        <v>11</v>
      </c>
      <c r="AH688" s="14">
        <f>VLOOKUP(M688,'[1]INDIAN ENTERPRISES'!$D:$D,1,0)</f>
        <v>246779411725</v>
      </c>
      <c r="AJ688" s="15">
        <f>VLOOKUP(M688,'[1]INDIAN ENTERPRISES'!$D:$L,9,0)</f>
        <v>45838</v>
      </c>
    </row>
    <row r="689" spans="1:36" hidden="1" outlineLevel="2" x14ac:dyDescent="0.25">
      <c r="A689" t="s">
        <v>20</v>
      </c>
      <c r="B689" t="s">
        <v>1</v>
      </c>
      <c r="C689" t="s">
        <v>2</v>
      </c>
      <c r="D689" t="s">
        <v>3</v>
      </c>
      <c r="E689" t="s">
        <v>4</v>
      </c>
      <c r="F689" t="s">
        <v>29</v>
      </c>
      <c r="G689" s="2">
        <v>45733</v>
      </c>
      <c r="H689" t="s">
        <v>1178</v>
      </c>
      <c r="I689" t="s">
        <v>7</v>
      </c>
      <c r="J689" s="2">
        <v>45733</v>
      </c>
      <c r="K689" s="2">
        <v>45734</v>
      </c>
      <c r="L689" t="s">
        <v>8</v>
      </c>
      <c r="M689" s="14">
        <v>246779411726</v>
      </c>
      <c r="N689" t="s">
        <v>9</v>
      </c>
      <c r="O689" t="s">
        <v>10</v>
      </c>
      <c r="P689" t="s">
        <v>11</v>
      </c>
      <c r="Q689" t="s">
        <v>12</v>
      </c>
      <c r="R689" t="s">
        <v>13</v>
      </c>
      <c r="S689" s="3">
        <v>28.54</v>
      </c>
      <c r="T689" t="s">
        <v>14</v>
      </c>
      <c r="U689" s="3">
        <v>2474.17</v>
      </c>
      <c r="V689" t="s">
        <v>15</v>
      </c>
      <c r="W689" t="s">
        <v>16</v>
      </c>
      <c r="X689" t="s">
        <v>11</v>
      </c>
      <c r="Y689" t="s">
        <v>8</v>
      </c>
      <c r="Z689" t="s">
        <v>17</v>
      </c>
      <c r="AA689" t="s">
        <v>313</v>
      </c>
      <c r="AB689" t="s">
        <v>11</v>
      </c>
      <c r="AC689" t="s">
        <v>11</v>
      </c>
      <c r="AD689" t="s">
        <v>11</v>
      </c>
      <c r="AE689" s="2">
        <v>45733</v>
      </c>
      <c r="AF689" s="2"/>
      <c r="AG689" t="s">
        <v>11</v>
      </c>
      <c r="AH689" s="14">
        <f>VLOOKUP(M689,'[1]INDIAN ENTERPRISES'!$D:$D,1,0)</f>
        <v>246779411726</v>
      </c>
      <c r="AJ689" s="15">
        <f>VLOOKUP(M689,'[1]INDIAN ENTERPRISES'!$D:$L,9,0)</f>
        <v>45838</v>
      </c>
    </row>
    <row r="690" spans="1:36" hidden="1" outlineLevel="2" x14ac:dyDescent="0.25">
      <c r="A690" t="s">
        <v>20</v>
      </c>
      <c r="B690" t="s">
        <v>1</v>
      </c>
      <c r="C690" t="s">
        <v>2</v>
      </c>
      <c r="D690" t="s">
        <v>3</v>
      </c>
      <c r="E690" t="s">
        <v>4</v>
      </c>
      <c r="F690" t="s">
        <v>29</v>
      </c>
      <c r="G690" s="2">
        <v>45733</v>
      </c>
      <c r="H690" t="s">
        <v>1179</v>
      </c>
      <c r="I690" t="s">
        <v>7</v>
      </c>
      <c r="J690" s="2">
        <v>45733</v>
      </c>
      <c r="K690" s="2">
        <v>45734</v>
      </c>
      <c r="L690" t="s">
        <v>8</v>
      </c>
      <c r="M690" s="14">
        <v>246779411727</v>
      </c>
      <c r="N690" t="s">
        <v>9</v>
      </c>
      <c r="O690" t="s">
        <v>10</v>
      </c>
      <c r="P690" t="s">
        <v>11</v>
      </c>
      <c r="Q690" t="s">
        <v>12</v>
      </c>
      <c r="R690" t="s">
        <v>13</v>
      </c>
      <c r="S690" s="3">
        <v>17.12</v>
      </c>
      <c r="T690" t="s">
        <v>14</v>
      </c>
      <c r="U690" s="3">
        <v>1484.15</v>
      </c>
      <c r="V690" t="s">
        <v>15</v>
      </c>
      <c r="W690" t="s">
        <v>16</v>
      </c>
      <c r="X690" t="s">
        <v>11</v>
      </c>
      <c r="Y690" t="s">
        <v>8</v>
      </c>
      <c r="Z690" t="s">
        <v>17</v>
      </c>
      <c r="AA690" t="s">
        <v>313</v>
      </c>
      <c r="AB690" t="s">
        <v>11</v>
      </c>
      <c r="AC690" t="s">
        <v>11</v>
      </c>
      <c r="AD690" t="s">
        <v>11</v>
      </c>
      <c r="AE690" s="2">
        <v>45733</v>
      </c>
      <c r="AF690" s="2"/>
      <c r="AG690" t="s">
        <v>11</v>
      </c>
      <c r="AH690" s="14">
        <f>VLOOKUP(M690,'[1]INDIAN ENTERPRISES'!$D:$D,1,0)</f>
        <v>246779411727</v>
      </c>
      <c r="AJ690" s="15">
        <f>VLOOKUP(M690,'[1]INDIAN ENTERPRISES'!$D:$L,9,0)</f>
        <v>45838</v>
      </c>
    </row>
    <row r="691" spans="1:36" hidden="1" outlineLevel="2" x14ac:dyDescent="0.25">
      <c r="A691" t="s">
        <v>20</v>
      </c>
      <c r="B691" t="s">
        <v>1</v>
      </c>
      <c r="C691" t="s">
        <v>2</v>
      </c>
      <c r="D691" t="s">
        <v>3</v>
      </c>
      <c r="E691" t="s">
        <v>4</v>
      </c>
      <c r="F691" t="s">
        <v>29</v>
      </c>
      <c r="G691" s="2">
        <v>45733</v>
      </c>
      <c r="H691" t="s">
        <v>1180</v>
      </c>
      <c r="I691" t="s">
        <v>7</v>
      </c>
      <c r="J691" s="2">
        <v>45733</v>
      </c>
      <c r="K691" s="2">
        <v>45734</v>
      </c>
      <c r="L691" t="s">
        <v>8</v>
      </c>
      <c r="M691" s="14">
        <v>246779411728</v>
      </c>
      <c r="N691" t="s">
        <v>9</v>
      </c>
      <c r="O691" t="s">
        <v>10</v>
      </c>
      <c r="P691" t="s">
        <v>11</v>
      </c>
      <c r="Q691" t="s">
        <v>12</v>
      </c>
      <c r="R691" t="s">
        <v>13</v>
      </c>
      <c r="S691" s="3">
        <v>11.42</v>
      </c>
      <c r="T691" t="s">
        <v>14</v>
      </c>
      <c r="U691" s="3">
        <v>990.01</v>
      </c>
      <c r="V691" t="s">
        <v>15</v>
      </c>
      <c r="W691" t="s">
        <v>16</v>
      </c>
      <c r="X691" t="s">
        <v>11</v>
      </c>
      <c r="Y691" t="s">
        <v>8</v>
      </c>
      <c r="Z691" t="s">
        <v>17</v>
      </c>
      <c r="AA691" t="s">
        <v>313</v>
      </c>
      <c r="AB691" t="s">
        <v>11</v>
      </c>
      <c r="AC691" t="s">
        <v>11</v>
      </c>
      <c r="AD691" t="s">
        <v>11</v>
      </c>
      <c r="AE691" s="2">
        <v>45733</v>
      </c>
      <c r="AF691" s="2"/>
      <c r="AG691" t="s">
        <v>11</v>
      </c>
      <c r="AH691" s="14">
        <f>VLOOKUP(M691,'[1]INDIAN ENTERPRISES'!$D:$D,1,0)</f>
        <v>246779411728</v>
      </c>
      <c r="AJ691" s="15">
        <f>VLOOKUP(M691,'[1]INDIAN ENTERPRISES'!$D:$L,9,0)</f>
        <v>45838</v>
      </c>
    </row>
    <row r="692" spans="1:36" hidden="1" outlineLevel="2" x14ac:dyDescent="0.25">
      <c r="A692" t="s">
        <v>20</v>
      </c>
      <c r="B692" t="s">
        <v>1</v>
      </c>
      <c r="C692" t="s">
        <v>2</v>
      </c>
      <c r="D692" t="s">
        <v>3</v>
      </c>
      <c r="E692" t="s">
        <v>4</v>
      </c>
      <c r="F692" t="s">
        <v>29</v>
      </c>
      <c r="G692" s="2">
        <v>45733</v>
      </c>
      <c r="H692" t="s">
        <v>1181</v>
      </c>
      <c r="I692" t="s">
        <v>7</v>
      </c>
      <c r="J692" s="2">
        <v>45733</v>
      </c>
      <c r="K692" s="2">
        <v>45734</v>
      </c>
      <c r="L692" t="s">
        <v>8</v>
      </c>
      <c r="M692" s="14">
        <v>246779411729</v>
      </c>
      <c r="N692" t="s">
        <v>9</v>
      </c>
      <c r="O692" t="s">
        <v>10</v>
      </c>
      <c r="P692" t="s">
        <v>11</v>
      </c>
      <c r="Q692" t="s">
        <v>12</v>
      </c>
      <c r="R692" t="s">
        <v>13</v>
      </c>
      <c r="S692" s="3">
        <v>34.25</v>
      </c>
      <c r="T692" t="s">
        <v>14</v>
      </c>
      <c r="U692" s="3">
        <v>2969.18</v>
      </c>
      <c r="V692" t="s">
        <v>15</v>
      </c>
      <c r="W692" t="s">
        <v>16</v>
      </c>
      <c r="X692" t="s">
        <v>11</v>
      </c>
      <c r="Y692" t="s">
        <v>8</v>
      </c>
      <c r="Z692" t="s">
        <v>17</v>
      </c>
      <c r="AA692" t="s">
        <v>313</v>
      </c>
      <c r="AB692" t="s">
        <v>11</v>
      </c>
      <c r="AC692" t="s">
        <v>11</v>
      </c>
      <c r="AD692" t="s">
        <v>11</v>
      </c>
      <c r="AE692" s="2">
        <v>45733</v>
      </c>
      <c r="AF692" s="2"/>
      <c r="AG692" t="s">
        <v>11</v>
      </c>
      <c r="AH692" s="14">
        <f>VLOOKUP(M692,'[1]INDIAN ENTERPRISES'!$D:$D,1,0)</f>
        <v>246779411729</v>
      </c>
      <c r="AJ692" s="15">
        <f>VLOOKUP(M692,'[1]INDIAN ENTERPRISES'!$D:$L,9,0)</f>
        <v>45838</v>
      </c>
    </row>
    <row r="693" spans="1:36" hidden="1" outlineLevel="2" x14ac:dyDescent="0.25">
      <c r="A693" t="s">
        <v>20</v>
      </c>
      <c r="B693" t="s">
        <v>1</v>
      </c>
      <c r="C693" t="s">
        <v>2</v>
      </c>
      <c r="D693" t="s">
        <v>3</v>
      </c>
      <c r="E693" t="s">
        <v>4</v>
      </c>
      <c r="F693" t="s">
        <v>29</v>
      </c>
      <c r="G693" s="2">
        <v>45733</v>
      </c>
      <c r="H693" t="s">
        <v>1182</v>
      </c>
      <c r="I693" t="s">
        <v>7</v>
      </c>
      <c r="J693" s="2">
        <v>45733</v>
      </c>
      <c r="K693" s="2">
        <v>45734</v>
      </c>
      <c r="L693" t="s">
        <v>8</v>
      </c>
      <c r="M693" s="14">
        <v>246779411730</v>
      </c>
      <c r="N693" t="s">
        <v>9</v>
      </c>
      <c r="O693" t="s">
        <v>10</v>
      </c>
      <c r="P693" t="s">
        <v>11</v>
      </c>
      <c r="Q693" t="s">
        <v>12</v>
      </c>
      <c r="R693" t="s">
        <v>13</v>
      </c>
      <c r="S693" s="3">
        <v>11.42</v>
      </c>
      <c r="T693" t="s">
        <v>14</v>
      </c>
      <c r="U693" s="3">
        <v>990.01</v>
      </c>
      <c r="V693" t="s">
        <v>15</v>
      </c>
      <c r="W693" t="s">
        <v>16</v>
      </c>
      <c r="X693" t="s">
        <v>11</v>
      </c>
      <c r="Y693" t="s">
        <v>8</v>
      </c>
      <c r="Z693" t="s">
        <v>17</v>
      </c>
      <c r="AA693" t="s">
        <v>313</v>
      </c>
      <c r="AB693" t="s">
        <v>11</v>
      </c>
      <c r="AC693" t="s">
        <v>11</v>
      </c>
      <c r="AD693" t="s">
        <v>11</v>
      </c>
      <c r="AE693" s="2">
        <v>45733</v>
      </c>
      <c r="AF693" s="2"/>
      <c r="AG693" t="s">
        <v>11</v>
      </c>
      <c r="AH693" s="14">
        <f>VLOOKUP(M693,'[1]INDIAN ENTERPRISES'!$D:$D,1,0)</f>
        <v>246779411730</v>
      </c>
      <c r="AJ693" s="15">
        <f>VLOOKUP(M693,'[1]INDIAN ENTERPRISES'!$D:$L,9,0)</f>
        <v>46022</v>
      </c>
    </row>
    <row r="694" spans="1:36" hidden="1" outlineLevel="2" x14ac:dyDescent="0.25">
      <c r="A694" t="s">
        <v>20</v>
      </c>
      <c r="B694" t="s">
        <v>1</v>
      </c>
      <c r="C694" t="s">
        <v>2</v>
      </c>
      <c r="D694" t="s">
        <v>3</v>
      </c>
      <c r="E694" t="s">
        <v>4</v>
      </c>
      <c r="F694" t="s">
        <v>29</v>
      </c>
      <c r="G694" s="2">
        <v>45733</v>
      </c>
      <c r="H694" t="s">
        <v>1183</v>
      </c>
      <c r="I694" t="s">
        <v>7</v>
      </c>
      <c r="J694" s="2">
        <v>45733</v>
      </c>
      <c r="K694" s="2">
        <v>45734</v>
      </c>
      <c r="L694" t="s">
        <v>8</v>
      </c>
      <c r="M694" s="14">
        <v>246779411731</v>
      </c>
      <c r="N694" t="s">
        <v>9</v>
      </c>
      <c r="O694" t="s">
        <v>10</v>
      </c>
      <c r="P694" t="s">
        <v>11</v>
      </c>
      <c r="Q694" t="s">
        <v>12</v>
      </c>
      <c r="R694" t="s">
        <v>13</v>
      </c>
      <c r="S694" s="3">
        <v>22.83</v>
      </c>
      <c r="T694" t="s">
        <v>14</v>
      </c>
      <c r="U694" s="3">
        <v>1979.16</v>
      </c>
      <c r="V694" t="s">
        <v>15</v>
      </c>
      <c r="W694" t="s">
        <v>16</v>
      </c>
      <c r="X694" t="s">
        <v>11</v>
      </c>
      <c r="Y694" t="s">
        <v>8</v>
      </c>
      <c r="Z694" t="s">
        <v>17</v>
      </c>
      <c r="AA694" t="s">
        <v>313</v>
      </c>
      <c r="AB694" t="s">
        <v>11</v>
      </c>
      <c r="AC694" t="s">
        <v>11</v>
      </c>
      <c r="AD694" t="s">
        <v>11</v>
      </c>
      <c r="AE694" s="2">
        <v>45733</v>
      </c>
      <c r="AF694" s="2"/>
      <c r="AG694" t="s">
        <v>11</v>
      </c>
      <c r="AH694" s="14">
        <f>VLOOKUP(M694,'[1]INDIAN ENTERPRISES'!$D:$D,1,0)</f>
        <v>246779411731</v>
      </c>
      <c r="AJ694" s="15">
        <f>VLOOKUP(M694,'[1]INDIAN ENTERPRISES'!$D:$L,9,0)</f>
        <v>45838</v>
      </c>
    </row>
    <row r="695" spans="1:36" hidden="1" outlineLevel="2" x14ac:dyDescent="0.25">
      <c r="A695" t="s">
        <v>20</v>
      </c>
      <c r="B695" t="s">
        <v>1</v>
      </c>
      <c r="C695" t="s">
        <v>2</v>
      </c>
      <c r="D695" t="s">
        <v>3</v>
      </c>
      <c r="E695" t="s">
        <v>4</v>
      </c>
      <c r="F695" t="s">
        <v>29</v>
      </c>
      <c r="G695" s="2">
        <v>45733</v>
      </c>
      <c r="H695" t="s">
        <v>1184</v>
      </c>
      <c r="I695" t="s">
        <v>7</v>
      </c>
      <c r="J695" s="2">
        <v>45733</v>
      </c>
      <c r="K695" s="2">
        <v>45734</v>
      </c>
      <c r="L695" t="s">
        <v>8</v>
      </c>
      <c r="M695" s="14">
        <v>246779411732</v>
      </c>
      <c r="N695" t="s">
        <v>9</v>
      </c>
      <c r="O695" t="s">
        <v>10</v>
      </c>
      <c r="P695" t="s">
        <v>11</v>
      </c>
      <c r="Q695" t="s">
        <v>12</v>
      </c>
      <c r="R695" t="s">
        <v>13</v>
      </c>
      <c r="S695" s="3">
        <v>28.54</v>
      </c>
      <c r="T695" t="s">
        <v>14</v>
      </c>
      <c r="U695" s="3">
        <v>2474.17</v>
      </c>
      <c r="V695" t="s">
        <v>15</v>
      </c>
      <c r="W695" t="s">
        <v>16</v>
      </c>
      <c r="X695" t="s">
        <v>11</v>
      </c>
      <c r="Y695" t="s">
        <v>8</v>
      </c>
      <c r="Z695" t="s">
        <v>17</v>
      </c>
      <c r="AA695" t="s">
        <v>313</v>
      </c>
      <c r="AB695" t="s">
        <v>11</v>
      </c>
      <c r="AC695" t="s">
        <v>11</v>
      </c>
      <c r="AD695" t="s">
        <v>11</v>
      </c>
      <c r="AE695" s="2">
        <v>45733</v>
      </c>
      <c r="AF695" s="2"/>
      <c r="AG695" t="s">
        <v>11</v>
      </c>
      <c r="AH695" s="14">
        <f>VLOOKUP(M695,'[1]INDIAN ENTERPRISES'!$D:$D,1,0)</f>
        <v>246779411732</v>
      </c>
      <c r="AJ695" s="15">
        <f>VLOOKUP(M695,'[1]INDIAN ENTERPRISES'!$D:$L,9,0)</f>
        <v>45838</v>
      </c>
    </row>
    <row r="696" spans="1:36" hidden="1" outlineLevel="2" x14ac:dyDescent="0.25">
      <c r="A696" t="s">
        <v>20</v>
      </c>
      <c r="B696" t="s">
        <v>1</v>
      </c>
      <c r="C696" t="s">
        <v>2</v>
      </c>
      <c r="D696" t="s">
        <v>3</v>
      </c>
      <c r="E696" t="s">
        <v>4</v>
      </c>
      <c r="F696" t="s">
        <v>29</v>
      </c>
      <c r="G696" s="2">
        <v>45733</v>
      </c>
      <c r="H696" t="s">
        <v>1185</v>
      </c>
      <c r="I696" t="s">
        <v>7</v>
      </c>
      <c r="J696" s="2">
        <v>45733</v>
      </c>
      <c r="K696" s="2">
        <v>45734</v>
      </c>
      <c r="L696" t="s">
        <v>8</v>
      </c>
      <c r="M696" s="14">
        <v>246779411897</v>
      </c>
      <c r="N696" t="s">
        <v>9</v>
      </c>
      <c r="O696" t="s">
        <v>10</v>
      </c>
      <c r="P696" t="s">
        <v>11</v>
      </c>
      <c r="Q696" t="s">
        <v>12</v>
      </c>
      <c r="R696" t="s">
        <v>13</v>
      </c>
      <c r="S696" s="3">
        <v>22.72</v>
      </c>
      <c r="T696" t="s">
        <v>14</v>
      </c>
      <c r="U696" s="3">
        <v>1969.63</v>
      </c>
      <c r="V696" t="s">
        <v>15</v>
      </c>
      <c r="W696" t="s">
        <v>16</v>
      </c>
      <c r="X696" t="s">
        <v>11</v>
      </c>
      <c r="Y696" t="s">
        <v>8</v>
      </c>
      <c r="Z696" t="s">
        <v>17</v>
      </c>
      <c r="AA696" t="s">
        <v>330</v>
      </c>
      <c r="AB696" t="s">
        <v>11</v>
      </c>
      <c r="AC696" t="s">
        <v>11</v>
      </c>
      <c r="AD696" t="s">
        <v>11</v>
      </c>
      <c r="AE696" s="2">
        <v>45733</v>
      </c>
      <c r="AF696" s="2"/>
      <c r="AG696" t="s">
        <v>11</v>
      </c>
      <c r="AH696" s="14">
        <f>VLOOKUP(M696,'[1]INDIAN ENTERPRISES'!$D:$D,1,0)</f>
        <v>246779411897</v>
      </c>
      <c r="AJ696" s="15">
        <f>VLOOKUP(M696,'[1]INDIAN ENTERPRISES'!$D:$L,9,0)</f>
        <v>45838</v>
      </c>
    </row>
    <row r="697" spans="1:36" hidden="1" outlineLevel="2" x14ac:dyDescent="0.25">
      <c r="A697" t="s">
        <v>20</v>
      </c>
      <c r="B697" t="s">
        <v>1</v>
      </c>
      <c r="C697" t="s">
        <v>2</v>
      </c>
      <c r="D697" t="s">
        <v>3</v>
      </c>
      <c r="E697" t="s">
        <v>4</v>
      </c>
      <c r="F697" t="s">
        <v>29</v>
      </c>
      <c r="G697" s="2">
        <v>45733</v>
      </c>
      <c r="H697" t="s">
        <v>1186</v>
      </c>
      <c r="I697" t="s">
        <v>7</v>
      </c>
      <c r="J697" s="2">
        <v>45733</v>
      </c>
      <c r="K697" s="2">
        <v>45734</v>
      </c>
      <c r="L697" t="s">
        <v>8</v>
      </c>
      <c r="M697" s="14">
        <v>246779411898</v>
      </c>
      <c r="N697" t="s">
        <v>9</v>
      </c>
      <c r="O697" t="s">
        <v>10</v>
      </c>
      <c r="P697" t="s">
        <v>11</v>
      </c>
      <c r="Q697" t="s">
        <v>12</v>
      </c>
      <c r="R697" t="s">
        <v>13</v>
      </c>
      <c r="S697" s="3">
        <v>7.1</v>
      </c>
      <c r="T697" t="s">
        <v>14</v>
      </c>
      <c r="U697" s="3">
        <v>615.51</v>
      </c>
      <c r="V697" t="s">
        <v>15</v>
      </c>
      <c r="W697" t="s">
        <v>16</v>
      </c>
      <c r="X697" t="s">
        <v>11</v>
      </c>
      <c r="Y697" t="s">
        <v>8</v>
      </c>
      <c r="Z697" t="s">
        <v>17</v>
      </c>
      <c r="AA697" t="s">
        <v>330</v>
      </c>
      <c r="AB697" t="s">
        <v>11</v>
      </c>
      <c r="AC697" t="s">
        <v>11</v>
      </c>
      <c r="AD697" t="s">
        <v>11</v>
      </c>
      <c r="AE697" s="2">
        <v>45733</v>
      </c>
      <c r="AF697" s="2"/>
      <c r="AG697" t="s">
        <v>11</v>
      </c>
      <c r="AH697" s="14">
        <f>VLOOKUP(M697,'[1]INDIAN ENTERPRISES'!$D:$D,1,0)</f>
        <v>246779411898</v>
      </c>
      <c r="AJ697" s="15">
        <f>VLOOKUP(M697,'[1]INDIAN ENTERPRISES'!$D:$L,9,0)</f>
        <v>45838</v>
      </c>
    </row>
    <row r="698" spans="1:36" hidden="1" outlineLevel="2" x14ac:dyDescent="0.25">
      <c r="A698" t="s">
        <v>20</v>
      </c>
      <c r="B698" t="s">
        <v>1</v>
      </c>
      <c r="C698" t="s">
        <v>2</v>
      </c>
      <c r="D698" t="s">
        <v>3</v>
      </c>
      <c r="E698" t="s">
        <v>4</v>
      </c>
      <c r="F698" t="s">
        <v>29</v>
      </c>
      <c r="G698" s="2">
        <v>45733</v>
      </c>
      <c r="H698" t="s">
        <v>1187</v>
      </c>
      <c r="I698" t="s">
        <v>7</v>
      </c>
      <c r="J698" s="2">
        <v>45733</v>
      </c>
      <c r="K698" s="2">
        <v>45734</v>
      </c>
      <c r="L698" t="s">
        <v>8</v>
      </c>
      <c r="M698" s="14">
        <v>246779411899</v>
      </c>
      <c r="N698" t="s">
        <v>9</v>
      </c>
      <c r="O698" t="s">
        <v>10</v>
      </c>
      <c r="P698" t="s">
        <v>11</v>
      </c>
      <c r="Q698" t="s">
        <v>12</v>
      </c>
      <c r="R698" t="s">
        <v>13</v>
      </c>
      <c r="S698" s="3">
        <v>62.49</v>
      </c>
      <c r="T698" t="s">
        <v>14</v>
      </c>
      <c r="U698" s="3">
        <v>5417.34</v>
      </c>
      <c r="V698" t="s">
        <v>15</v>
      </c>
      <c r="W698" t="s">
        <v>16</v>
      </c>
      <c r="X698" t="s">
        <v>11</v>
      </c>
      <c r="Y698" t="s">
        <v>8</v>
      </c>
      <c r="Z698" t="s">
        <v>17</v>
      </c>
      <c r="AA698" t="s">
        <v>330</v>
      </c>
      <c r="AB698" t="s">
        <v>11</v>
      </c>
      <c r="AC698" t="s">
        <v>11</v>
      </c>
      <c r="AD698" t="s">
        <v>11</v>
      </c>
      <c r="AE698" s="2">
        <v>45733</v>
      </c>
      <c r="AF698" s="2"/>
      <c r="AG698" t="s">
        <v>11</v>
      </c>
      <c r="AH698" s="14">
        <f>VLOOKUP(M698,'[1]INDIAN ENTERPRISES'!$D:$D,1,0)</f>
        <v>246779411899</v>
      </c>
      <c r="AJ698" s="15">
        <f>VLOOKUP(M698,'[1]INDIAN ENTERPRISES'!$D:$L,9,0)</f>
        <v>45838</v>
      </c>
    </row>
    <row r="699" spans="1:36" hidden="1" outlineLevel="2" x14ac:dyDescent="0.25">
      <c r="A699" t="s">
        <v>20</v>
      </c>
      <c r="B699" t="s">
        <v>1</v>
      </c>
      <c r="C699" t="s">
        <v>2</v>
      </c>
      <c r="D699" t="s">
        <v>3</v>
      </c>
      <c r="E699" t="s">
        <v>4</v>
      </c>
      <c r="F699" t="s">
        <v>29</v>
      </c>
      <c r="G699" s="2">
        <v>45733</v>
      </c>
      <c r="H699" t="s">
        <v>1188</v>
      </c>
      <c r="I699" t="s">
        <v>7</v>
      </c>
      <c r="J699" s="2">
        <v>45733</v>
      </c>
      <c r="K699" s="2">
        <v>45734</v>
      </c>
      <c r="L699" t="s">
        <v>8</v>
      </c>
      <c r="M699" s="14">
        <v>246779411900</v>
      </c>
      <c r="N699" t="s">
        <v>9</v>
      </c>
      <c r="O699" t="s">
        <v>10</v>
      </c>
      <c r="P699" t="s">
        <v>11</v>
      </c>
      <c r="Q699" t="s">
        <v>12</v>
      </c>
      <c r="R699" t="s">
        <v>13</v>
      </c>
      <c r="S699" s="3">
        <v>73.849999999999994</v>
      </c>
      <c r="T699" t="s">
        <v>14</v>
      </c>
      <c r="U699" s="3">
        <v>6402.15</v>
      </c>
      <c r="V699" t="s">
        <v>15</v>
      </c>
      <c r="W699" t="s">
        <v>16</v>
      </c>
      <c r="X699" t="s">
        <v>11</v>
      </c>
      <c r="Y699" t="s">
        <v>8</v>
      </c>
      <c r="Z699" t="s">
        <v>17</v>
      </c>
      <c r="AA699" t="s">
        <v>330</v>
      </c>
      <c r="AB699" t="s">
        <v>11</v>
      </c>
      <c r="AC699" t="s">
        <v>11</v>
      </c>
      <c r="AD699" t="s">
        <v>11</v>
      </c>
      <c r="AE699" s="2">
        <v>45733</v>
      </c>
      <c r="AF699" s="2"/>
      <c r="AG699" t="s">
        <v>11</v>
      </c>
      <c r="AH699" s="14">
        <f>VLOOKUP(M699,'[1]INDIAN ENTERPRISES'!$D:$D,1,0)</f>
        <v>246779411900</v>
      </c>
      <c r="AJ699" s="15">
        <f>VLOOKUP(M699,'[1]INDIAN ENTERPRISES'!$D:$L,9,0)</f>
        <v>45838</v>
      </c>
    </row>
    <row r="700" spans="1:36" hidden="1" outlineLevel="2" x14ac:dyDescent="0.25">
      <c r="A700" t="s">
        <v>20</v>
      </c>
      <c r="B700" t="s">
        <v>1</v>
      </c>
      <c r="C700" t="s">
        <v>2</v>
      </c>
      <c r="D700" t="s">
        <v>3</v>
      </c>
      <c r="E700" t="s">
        <v>4</v>
      </c>
      <c r="F700" t="s">
        <v>29</v>
      </c>
      <c r="G700" s="2">
        <v>45733</v>
      </c>
      <c r="H700" t="s">
        <v>1189</v>
      </c>
      <c r="I700" t="s">
        <v>7</v>
      </c>
      <c r="J700" s="2">
        <v>45733</v>
      </c>
      <c r="K700" s="2">
        <v>45734</v>
      </c>
      <c r="L700" t="s">
        <v>8</v>
      </c>
      <c r="M700" s="14">
        <v>246779411901</v>
      </c>
      <c r="N700" t="s">
        <v>9</v>
      </c>
      <c r="O700" t="s">
        <v>10</v>
      </c>
      <c r="P700" t="s">
        <v>11</v>
      </c>
      <c r="Q700" t="s">
        <v>12</v>
      </c>
      <c r="R700" t="s">
        <v>13</v>
      </c>
      <c r="S700" s="3">
        <v>12.78</v>
      </c>
      <c r="T700" t="s">
        <v>14</v>
      </c>
      <c r="U700" s="3">
        <v>1107.9100000000001</v>
      </c>
      <c r="V700" t="s">
        <v>15</v>
      </c>
      <c r="W700" t="s">
        <v>16</v>
      </c>
      <c r="X700" t="s">
        <v>11</v>
      </c>
      <c r="Y700" t="s">
        <v>8</v>
      </c>
      <c r="Z700" t="s">
        <v>17</v>
      </c>
      <c r="AA700" t="s">
        <v>330</v>
      </c>
      <c r="AB700" t="s">
        <v>11</v>
      </c>
      <c r="AC700" t="s">
        <v>11</v>
      </c>
      <c r="AD700" t="s">
        <v>11</v>
      </c>
      <c r="AE700" s="2">
        <v>45733</v>
      </c>
      <c r="AF700" s="2"/>
      <c r="AG700" t="s">
        <v>11</v>
      </c>
      <c r="AH700" s="14">
        <f>VLOOKUP(M700,'[1]INDIAN ENTERPRISES'!$D:$D,1,0)</f>
        <v>246779411901</v>
      </c>
      <c r="AJ700" s="15">
        <f>VLOOKUP(M700,'[1]INDIAN ENTERPRISES'!$D:$L,9,0)</f>
        <v>45838</v>
      </c>
    </row>
    <row r="701" spans="1:36" hidden="1" outlineLevel="2" x14ac:dyDescent="0.25">
      <c r="A701" t="s">
        <v>20</v>
      </c>
      <c r="B701" t="s">
        <v>1</v>
      </c>
      <c r="C701" t="s">
        <v>2</v>
      </c>
      <c r="D701" t="s">
        <v>3</v>
      </c>
      <c r="E701" t="s">
        <v>4</v>
      </c>
      <c r="F701" t="s">
        <v>29</v>
      </c>
      <c r="G701" s="2">
        <v>45733</v>
      </c>
      <c r="H701" t="s">
        <v>1190</v>
      </c>
      <c r="I701" t="s">
        <v>7</v>
      </c>
      <c r="J701" s="2">
        <v>45733</v>
      </c>
      <c r="K701" s="2">
        <v>45734</v>
      </c>
      <c r="L701" t="s">
        <v>8</v>
      </c>
      <c r="M701" s="14">
        <v>246779411902</v>
      </c>
      <c r="N701" t="s">
        <v>9</v>
      </c>
      <c r="O701" t="s">
        <v>10</v>
      </c>
      <c r="P701" t="s">
        <v>11</v>
      </c>
      <c r="Q701" t="s">
        <v>12</v>
      </c>
      <c r="R701" t="s">
        <v>13</v>
      </c>
      <c r="S701" s="3">
        <v>2.13</v>
      </c>
      <c r="T701" t="s">
        <v>14</v>
      </c>
      <c r="U701" s="3">
        <v>184.65</v>
      </c>
      <c r="V701" t="s">
        <v>15</v>
      </c>
      <c r="W701" t="s">
        <v>16</v>
      </c>
      <c r="X701" t="s">
        <v>11</v>
      </c>
      <c r="Y701" t="s">
        <v>8</v>
      </c>
      <c r="Z701" t="s">
        <v>17</v>
      </c>
      <c r="AA701" t="s">
        <v>330</v>
      </c>
      <c r="AB701" t="s">
        <v>11</v>
      </c>
      <c r="AC701" t="s">
        <v>11</v>
      </c>
      <c r="AD701" t="s">
        <v>11</v>
      </c>
      <c r="AE701" s="2">
        <v>45733</v>
      </c>
      <c r="AF701" s="2"/>
      <c r="AG701" t="s">
        <v>11</v>
      </c>
      <c r="AH701" s="14">
        <f>VLOOKUP(M701,'[1]INDIAN ENTERPRISES'!$D:$D,1,0)</f>
        <v>246779411902</v>
      </c>
      <c r="AJ701" s="15">
        <f>VLOOKUP(M701,'[1]INDIAN ENTERPRISES'!$D:$L,9,0)</f>
        <v>45838</v>
      </c>
    </row>
    <row r="702" spans="1:36" hidden="1" outlineLevel="2" x14ac:dyDescent="0.25">
      <c r="A702" t="s">
        <v>20</v>
      </c>
      <c r="B702" t="s">
        <v>1</v>
      </c>
      <c r="C702" t="s">
        <v>2</v>
      </c>
      <c r="D702" t="s">
        <v>3</v>
      </c>
      <c r="E702" t="s">
        <v>4</v>
      </c>
      <c r="F702" t="s">
        <v>29</v>
      </c>
      <c r="G702" s="2">
        <v>45733</v>
      </c>
      <c r="H702" t="s">
        <v>1191</v>
      </c>
      <c r="I702" t="s">
        <v>7</v>
      </c>
      <c r="J702" s="2">
        <v>45733</v>
      </c>
      <c r="K702" s="2">
        <v>45734</v>
      </c>
      <c r="L702" t="s">
        <v>8</v>
      </c>
      <c r="M702" s="14">
        <v>246779411903</v>
      </c>
      <c r="N702" t="s">
        <v>9</v>
      </c>
      <c r="O702" t="s">
        <v>10</v>
      </c>
      <c r="P702" t="s">
        <v>11</v>
      </c>
      <c r="Q702" t="s">
        <v>12</v>
      </c>
      <c r="R702" t="s">
        <v>13</v>
      </c>
      <c r="S702" s="3">
        <v>3.55</v>
      </c>
      <c r="T702" t="s">
        <v>14</v>
      </c>
      <c r="U702" s="3">
        <v>307.75</v>
      </c>
      <c r="V702" t="s">
        <v>15</v>
      </c>
      <c r="W702" t="s">
        <v>16</v>
      </c>
      <c r="X702" t="s">
        <v>11</v>
      </c>
      <c r="Y702" t="s">
        <v>8</v>
      </c>
      <c r="Z702" t="s">
        <v>17</v>
      </c>
      <c r="AA702" t="s">
        <v>330</v>
      </c>
      <c r="AB702" t="s">
        <v>11</v>
      </c>
      <c r="AC702" t="s">
        <v>11</v>
      </c>
      <c r="AD702" t="s">
        <v>11</v>
      </c>
      <c r="AE702" s="2">
        <v>45733</v>
      </c>
      <c r="AF702" s="2"/>
      <c r="AG702" t="s">
        <v>11</v>
      </c>
      <c r="AH702" s="14">
        <f>VLOOKUP(M702,'[1]INDIAN ENTERPRISES'!$D:$D,1,0)</f>
        <v>246779411903</v>
      </c>
      <c r="AJ702" s="15">
        <f>VLOOKUP(M702,'[1]INDIAN ENTERPRISES'!$D:$L,9,0)</f>
        <v>45838</v>
      </c>
    </row>
    <row r="703" spans="1:36" hidden="1" outlineLevel="2" x14ac:dyDescent="0.25">
      <c r="A703" t="s">
        <v>20</v>
      </c>
      <c r="B703" t="s">
        <v>1</v>
      </c>
      <c r="C703" t="s">
        <v>2</v>
      </c>
      <c r="D703" t="s">
        <v>3</v>
      </c>
      <c r="E703" t="s">
        <v>4</v>
      </c>
      <c r="F703" t="s">
        <v>29</v>
      </c>
      <c r="G703" s="2">
        <v>45733</v>
      </c>
      <c r="H703" t="s">
        <v>1192</v>
      </c>
      <c r="I703" t="s">
        <v>7</v>
      </c>
      <c r="J703" s="2">
        <v>45733</v>
      </c>
      <c r="K703" s="2">
        <v>45734</v>
      </c>
      <c r="L703" t="s">
        <v>8</v>
      </c>
      <c r="M703" s="14">
        <v>246779411904</v>
      </c>
      <c r="N703" t="s">
        <v>9</v>
      </c>
      <c r="O703" t="s">
        <v>10</v>
      </c>
      <c r="P703" t="s">
        <v>11</v>
      </c>
      <c r="Q703" t="s">
        <v>12</v>
      </c>
      <c r="R703" t="s">
        <v>13</v>
      </c>
      <c r="S703" s="3">
        <v>58.94</v>
      </c>
      <c r="T703" t="s">
        <v>14</v>
      </c>
      <c r="U703" s="3">
        <v>5109.58</v>
      </c>
      <c r="V703" t="s">
        <v>15</v>
      </c>
      <c r="W703" t="s">
        <v>16</v>
      </c>
      <c r="X703" t="s">
        <v>11</v>
      </c>
      <c r="Y703" t="s">
        <v>8</v>
      </c>
      <c r="Z703" t="s">
        <v>17</v>
      </c>
      <c r="AA703" t="s">
        <v>330</v>
      </c>
      <c r="AB703" t="s">
        <v>11</v>
      </c>
      <c r="AC703" t="s">
        <v>11</v>
      </c>
      <c r="AD703" t="s">
        <v>11</v>
      </c>
      <c r="AE703" s="2">
        <v>45733</v>
      </c>
      <c r="AF703" s="2"/>
      <c r="AG703" t="s">
        <v>11</v>
      </c>
      <c r="AH703" s="14">
        <f>VLOOKUP(M703,'[1]INDIAN ENTERPRISES'!$D:$D,1,0)</f>
        <v>246779411904</v>
      </c>
      <c r="AJ703" s="15">
        <f>VLOOKUP(M703,'[1]INDIAN ENTERPRISES'!$D:$L,9,0)</f>
        <v>45838</v>
      </c>
    </row>
    <row r="704" spans="1:36" hidden="1" outlineLevel="2" x14ac:dyDescent="0.25">
      <c r="A704" t="s">
        <v>20</v>
      </c>
      <c r="B704" t="s">
        <v>1</v>
      </c>
      <c r="C704" t="s">
        <v>2</v>
      </c>
      <c r="D704" t="s">
        <v>3</v>
      </c>
      <c r="E704" t="s">
        <v>4</v>
      </c>
      <c r="F704" t="s">
        <v>29</v>
      </c>
      <c r="G704" s="2">
        <v>45733</v>
      </c>
      <c r="H704" t="s">
        <v>1193</v>
      </c>
      <c r="I704" t="s">
        <v>7</v>
      </c>
      <c r="J704" s="2">
        <v>45733</v>
      </c>
      <c r="K704" s="2">
        <v>45734</v>
      </c>
      <c r="L704" t="s">
        <v>8</v>
      </c>
      <c r="M704" s="14">
        <v>246779411905</v>
      </c>
      <c r="N704" t="s">
        <v>9</v>
      </c>
      <c r="O704" t="s">
        <v>10</v>
      </c>
      <c r="P704" t="s">
        <v>11</v>
      </c>
      <c r="Q704" t="s">
        <v>12</v>
      </c>
      <c r="R704" t="s">
        <v>13</v>
      </c>
      <c r="S704" s="3">
        <v>7.1</v>
      </c>
      <c r="T704" t="s">
        <v>14</v>
      </c>
      <c r="U704" s="3">
        <v>615.51</v>
      </c>
      <c r="V704" t="s">
        <v>15</v>
      </c>
      <c r="W704" t="s">
        <v>16</v>
      </c>
      <c r="X704" t="s">
        <v>11</v>
      </c>
      <c r="Y704" t="s">
        <v>8</v>
      </c>
      <c r="Z704" t="s">
        <v>17</v>
      </c>
      <c r="AA704" t="s">
        <v>330</v>
      </c>
      <c r="AB704" t="s">
        <v>11</v>
      </c>
      <c r="AC704" t="s">
        <v>11</v>
      </c>
      <c r="AD704" t="s">
        <v>11</v>
      </c>
      <c r="AE704" s="2">
        <v>45733</v>
      </c>
      <c r="AF704" s="2"/>
      <c r="AG704" t="s">
        <v>11</v>
      </c>
      <c r="AH704" s="14">
        <f>VLOOKUP(M704,'[1]INDIAN ENTERPRISES'!$D:$D,1,0)</f>
        <v>246779411905</v>
      </c>
      <c r="AJ704" s="15">
        <f>VLOOKUP(M704,'[1]INDIAN ENTERPRISES'!$D:$L,9,0)</f>
        <v>45838</v>
      </c>
    </row>
    <row r="705" spans="1:36" hidden="1" outlineLevel="2" x14ac:dyDescent="0.25">
      <c r="A705" t="s">
        <v>20</v>
      </c>
      <c r="B705" t="s">
        <v>1</v>
      </c>
      <c r="C705" t="s">
        <v>2</v>
      </c>
      <c r="D705" t="s">
        <v>3</v>
      </c>
      <c r="E705" t="s">
        <v>4</v>
      </c>
      <c r="F705" t="s">
        <v>29</v>
      </c>
      <c r="G705" s="2">
        <v>45733</v>
      </c>
      <c r="H705" t="s">
        <v>1194</v>
      </c>
      <c r="I705" t="s">
        <v>7</v>
      </c>
      <c r="J705" s="2">
        <v>45733</v>
      </c>
      <c r="K705" s="2">
        <v>45734</v>
      </c>
      <c r="L705" t="s">
        <v>8</v>
      </c>
      <c r="M705" s="14">
        <v>246779411906</v>
      </c>
      <c r="N705" t="s">
        <v>9</v>
      </c>
      <c r="O705" t="s">
        <v>10</v>
      </c>
      <c r="P705" t="s">
        <v>11</v>
      </c>
      <c r="Q705" t="s">
        <v>12</v>
      </c>
      <c r="R705" t="s">
        <v>13</v>
      </c>
      <c r="S705" s="3">
        <v>34.090000000000003</v>
      </c>
      <c r="T705" t="s">
        <v>14</v>
      </c>
      <c r="U705" s="3">
        <v>2955.31</v>
      </c>
      <c r="V705" t="s">
        <v>15</v>
      </c>
      <c r="W705" t="s">
        <v>16</v>
      </c>
      <c r="X705" t="s">
        <v>11</v>
      </c>
      <c r="Y705" t="s">
        <v>8</v>
      </c>
      <c r="Z705" t="s">
        <v>17</v>
      </c>
      <c r="AA705" t="s">
        <v>330</v>
      </c>
      <c r="AB705" t="s">
        <v>11</v>
      </c>
      <c r="AC705" t="s">
        <v>11</v>
      </c>
      <c r="AD705" t="s">
        <v>11</v>
      </c>
      <c r="AE705" s="2">
        <v>45733</v>
      </c>
      <c r="AF705" s="2"/>
      <c r="AG705" t="s">
        <v>11</v>
      </c>
      <c r="AH705" s="14">
        <f>VLOOKUP(M705,'[1]INDIAN ENTERPRISES'!$D:$D,1,0)</f>
        <v>246779411906</v>
      </c>
      <c r="AJ705" s="15">
        <f>VLOOKUP(M705,'[1]INDIAN ENTERPRISES'!$D:$L,9,0)</f>
        <v>45838</v>
      </c>
    </row>
    <row r="706" spans="1:36" hidden="1" outlineLevel="2" x14ac:dyDescent="0.25">
      <c r="A706" t="s">
        <v>20</v>
      </c>
      <c r="B706" t="s">
        <v>1</v>
      </c>
      <c r="C706" t="s">
        <v>2</v>
      </c>
      <c r="D706" t="s">
        <v>3</v>
      </c>
      <c r="E706" t="s">
        <v>4</v>
      </c>
      <c r="F706" t="s">
        <v>29</v>
      </c>
      <c r="G706" s="2">
        <v>45733</v>
      </c>
      <c r="H706" t="s">
        <v>1195</v>
      </c>
      <c r="I706" t="s">
        <v>7</v>
      </c>
      <c r="J706" s="2">
        <v>45733</v>
      </c>
      <c r="K706" s="2">
        <v>45734</v>
      </c>
      <c r="L706" t="s">
        <v>8</v>
      </c>
      <c r="M706" s="14">
        <v>246779411907</v>
      </c>
      <c r="N706" t="s">
        <v>9</v>
      </c>
      <c r="O706" t="s">
        <v>10</v>
      </c>
      <c r="P706" t="s">
        <v>11</v>
      </c>
      <c r="Q706" t="s">
        <v>12</v>
      </c>
      <c r="R706" t="s">
        <v>13</v>
      </c>
      <c r="S706" s="3">
        <v>17.04</v>
      </c>
      <c r="T706" t="s">
        <v>14</v>
      </c>
      <c r="U706" s="3">
        <v>1477.22</v>
      </c>
      <c r="V706" t="s">
        <v>15</v>
      </c>
      <c r="W706" t="s">
        <v>16</v>
      </c>
      <c r="X706" t="s">
        <v>11</v>
      </c>
      <c r="Y706" t="s">
        <v>8</v>
      </c>
      <c r="Z706" t="s">
        <v>17</v>
      </c>
      <c r="AA706" t="s">
        <v>330</v>
      </c>
      <c r="AB706" t="s">
        <v>11</v>
      </c>
      <c r="AC706" t="s">
        <v>11</v>
      </c>
      <c r="AD706" t="s">
        <v>11</v>
      </c>
      <c r="AE706" s="2">
        <v>45733</v>
      </c>
      <c r="AF706" s="2"/>
      <c r="AG706" t="s">
        <v>11</v>
      </c>
      <c r="AH706" s="14">
        <f>VLOOKUP(M706,'[1]INDIAN ENTERPRISES'!$D:$D,1,0)</f>
        <v>246779411907</v>
      </c>
      <c r="AJ706" s="15">
        <f>VLOOKUP(M706,'[1]INDIAN ENTERPRISES'!$D:$L,9,0)</f>
        <v>45838</v>
      </c>
    </row>
    <row r="707" spans="1:36" hidden="1" outlineLevel="2" x14ac:dyDescent="0.25">
      <c r="A707" t="s">
        <v>20</v>
      </c>
      <c r="B707" t="s">
        <v>1</v>
      </c>
      <c r="C707" t="s">
        <v>2</v>
      </c>
      <c r="D707" t="s">
        <v>3</v>
      </c>
      <c r="E707" t="s">
        <v>4</v>
      </c>
      <c r="F707" t="s">
        <v>29</v>
      </c>
      <c r="G707" s="2">
        <v>45733</v>
      </c>
      <c r="H707" t="s">
        <v>1196</v>
      </c>
      <c r="I707" t="s">
        <v>7</v>
      </c>
      <c r="J707" s="2">
        <v>45733</v>
      </c>
      <c r="K707" s="2">
        <v>45734</v>
      </c>
      <c r="L707" t="s">
        <v>8</v>
      </c>
      <c r="M707" s="14">
        <v>246779411908</v>
      </c>
      <c r="N707" t="s">
        <v>9</v>
      </c>
      <c r="O707" t="s">
        <v>10</v>
      </c>
      <c r="P707" t="s">
        <v>11</v>
      </c>
      <c r="Q707" t="s">
        <v>12</v>
      </c>
      <c r="R707" t="s">
        <v>13</v>
      </c>
      <c r="S707" s="3">
        <v>28.41</v>
      </c>
      <c r="T707" t="s">
        <v>14</v>
      </c>
      <c r="U707" s="3">
        <v>2462.9</v>
      </c>
      <c r="V707" t="s">
        <v>15</v>
      </c>
      <c r="W707" t="s">
        <v>16</v>
      </c>
      <c r="X707" t="s">
        <v>11</v>
      </c>
      <c r="Y707" t="s">
        <v>8</v>
      </c>
      <c r="Z707" t="s">
        <v>17</v>
      </c>
      <c r="AA707" t="s">
        <v>330</v>
      </c>
      <c r="AB707" t="s">
        <v>11</v>
      </c>
      <c r="AC707" t="s">
        <v>11</v>
      </c>
      <c r="AD707" t="s">
        <v>11</v>
      </c>
      <c r="AE707" s="2">
        <v>45733</v>
      </c>
      <c r="AF707" s="2"/>
      <c r="AG707" t="s">
        <v>11</v>
      </c>
      <c r="AH707" s="14">
        <f>VLOOKUP(M707,'[1]INDIAN ENTERPRISES'!$D:$D,1,0)</f>
        <v>246779411908</v>
      </c>
      <c r="AJ707" s="15">
        <f>VLOOKUP(M707,'[1]INDIAN ENTERPRISES'!$D:$L,9,0)</f>
        <v>45869</v>
      </c>
    </row>
    <row r="708" spans="1:36" hidden="1" outlineLevel="2" x14ac:dyDescent="0.25">
      <c r="A708" t="s">
        <v>20</v>
      </c>
      <c r="B708" t="s">
        <v>1</v>
      </c>
      <c r="C708" t="s">
        <v>2</v>
      </c>
      <c r="D708" t="s">
        <v>3</v>
      </c>
      <c r="E708" t="s">
        <v>4</v>
      </c>
      <c r="F708" t="s">
        <v>29</v>
      </c>
      <c r="G708" s="2">
        <v>45733</v>
      </c>
      <c r="H708" t="s">
        <v>1197</v>
      </c>
      <c r="I708" t="s">
        <v>7</v>
      </c>
      <c r="J708" s="2">
        <v>45733</v>
      </c>
      <c r="K708" s="2">
        <v>45734</v>
      </c>
      <c r="L708" t="s">
        <v>8</v>
      </c>
      <c r="M708" s="14">
        <v>246779411909</v>
      </c>
      <c r="N708" t="s">
        <v>9</v>
      </c>
      <c r="O708" t="s">
        <v>10</v>
      </c>
      <c r="P708" t="s">
        <v>11</v>
      </c>
      <c r="Q708" t="s">
        <v>12</v>
      </c>
      <c r="R708" t="s">
        <v>13</v>
      </c>
      <c r="S708" s="3">
        <v>28.41</v>
      </c>
      <c r="T708" t="s">
        <v>14</v>
      </c>
      <c r="U708" s="3">
        <v>2462.9</v>
      </c>
      <c r="V708" t="s">
        <v>15</v>
      </c>
      <c r="W708" t="s">
        <v>16</v>
      </c>
      <c r="X708" t="s">
        <v>11</v>
      </c>
      <c r="Y708" t="s">
        <v>8</v>
      </c>
      <c r="Z708" t="s">
        <v>17</v>
      </c>
      <c r="AA708" t="s">
        <v>330</v>
      </c>
      <c r="AB708" t="s">
        <v>11</v>
      </c>
      <c r="AC708" t="s">
        <v>11</v>
      </c>
      <c r="AD708" t="s">
        <v>11</v>
      </c>
      <c r="AE708" s="2">
        <v>45733</v>
      </c>
      <c r="AF708" s="2"/>
      <c r="AG708" t="s">
        <v>11</v>
      </c>
      <c r="AH708" s="14">
        <f>VLOOKUP(M708,'[1]INDIAN ENTERPRISES'!$D:$D,1,0)</f>
        <v>246779411909</v>
      </c>
      <c r="AJ708" s="15">
        <f>VLOOKUP(M708,'[1]INDIAN ENTERPRISES'!$D:$L,9,0)</f>
        <v>45838</v>
      </c>
    </row>
    <row r="709" spans="1:36" hidden="1" outlineLevel="2" x14ac:dyDescent="0.25">
      <c r="A709" t="s">
        <v>20</v>
      </c>
      <c r="B709" t="s">
        <v>1</v>
      </c>
      <c r="C709" t="s">
        <v>2</v>
      </c>
      <c r="D709" t="s">
        <v>3</v>
      </c>
      <c r="E709" t="s">
        <v>4</v>
      </c>
      <c r="F709" t="s">
        <v>29</v>
      </c>
      <c r="G709" s="2">
        <v>45733</v>
      </c>
      <c r="H709" t="s">
        <v>1198</v>
      </c>
      <c r="I709" t="s">
        <v>7</v>
      </c>
      <c r="J709" s="2">
        <v>45733</v>
      </c>
      <c r="K709" s="2">
        <v>45734</v>
      </c>
      <c r="L709" t="s">
        <v>8</v>
      </c>
      <c r="M709" s="14">
        <v>246779411910</v>
      </c>
      <c r="N709" t="s">
        <v>9</v>
      </c>
      <c r="O709" t="s">
        <v>10</v>
      </c>
      <c r="P709" t="s">
        <v>11</v>
      </c>
      <c r="Q709" t="s">
        <v>12</v>
      </c>
      <c r="R709" t="s">
        <v>13</v>
      </c>
      <c r="S709" s="3">
        <v>28.41</v>
      </c>
      <c r="T709" t="s">
        <v>14</v>
      </c>
      <c r="U709" s="3">
        <v>2462.9</v>
      </c>
      <c r="V709" t="s">
        <v>15</v>
      </c>
      <c r="W709" t="s">
        <v>16</v>
      </c>
      <c r="X709" t="s">
        <v>11</v>
      </c>
      <c r="Y709" t="s">
        <v>8</v>
      </c>
      <c r="Z709" t="s">
        <v>17</v>
      </c>
      <c r="AA709" t="s">
        <v>330</v>
      </c>
      <c r="AB709" t="s">
        <v>11</v>
      </c>
      <c r="AC709" t="s">
        <v>11</v>
      </c>
      <c r="AD709" t="s">
        <v>11</v>
      </c>
      <c r="AE709" s="2">
        <v>45733</v>
      </c>
      <c r="AF709" s="2"/>
      <c r="AG709" t="s">
        <v>11</v>
      </c>
      <c r="AH709" s="14">
        <f>VLOOKUP(M709,'[1]INDIAN ENTERPRISES'!$D:$D,1,0)</f>
        <v>246779411910</v>
      </c>
      <c r="AJ709" s="15">
        <f>VLOOKUP(M709,'[1]INDIAN ENTERPRISES'!$D:$L,9,0)</f>
        <v>45838</v>
      </c>
    </row>
    <row r="710" spans="1:36" hidden="1" outlineLevel="2" x14ac:dyDescent="0.25">
      <c r="A710" t="s">
        <v>20</v>
      </c>
      <c r="B710" t="s">
        <v>1</v>
      </c>
      <c r="C710" t="s">
        <v>2</v>
      </c>
      <c r="D710" t="s">
        <v>3</v>
      </c>
      <c r="E710" t="s">
        <v>4</v>
      </c>
      <c r="F710" t="s">
        <v>29</v>
      </c>
      <c r="G710" s="2">
        <v>45733</v>
      </c>
      <c r="H710" t="s">
        <v>1199</v>
      </c>
      <c r="I710" t="s">
        <v>7</v>
      </c>
      <c r="J710" s="2">
        <v>45733</v>
      </c>
      <c r="K710" s="2">
        <v>45734</v>
      </c>
      <c r="L710" t="s">
        <v>8</v>
      </c>
      <c r="M710" s="14">
        <v>246779411911</v>
      </c>
      <c r="N710" t="s">
        <v>9</v>
      </c>
      <c r="O710" t="s">
        <v>10</v>
      </c>
      <c r="P710" t="s">
        <v>11</v>
      </c>
      <c r="Q710" t="s">
        <v>12</v>
      </c>
      <c r="R710" t="s">
        <v>13</v>
      </c>
      <c r="S710" s="3">
        <v>29.83</v>
      </c>
      <c r="T710" t="s">
        <v>14</v>
      </c>
      <c r="U710" s="3">
        <v>2586</v>
      </c>
      <c r="V710" t="s">
        <v>15</v>
      </c>
      <c r="W710" t="s">
        <v>16</v>
      </c>
      <c r="X710" t="s">
        <v>11</v>
      </c>
      <c r="Y710" t="s">
        <v>8</v>
      </c>
      <c r="Z710" t="s">
        <v>17</v>
      </c>
      <c r="AA710" t="s">
        <v>330</v>
      </c>
      <c r="AB710" t="s">
        <v>11</v>
      </c>
      <c r="AC710" t="s">
        <v>11</v>
      </c>
      <c r="AD710" t="s">
        <v>11</v>
      </c>
      <c r="AE710" s="2">
        <v>45733</v>
      </c>
      <c r="AF710" s="2"/>
      <c r="AG710" t="s">
        <v>11</v>
      </c>
      <c r="AH710" s="14">
        <f>VLOOKUP(M710,'[1]INDIAN ENTERPRISES'!$D:$D,1,0)</f>
        <v>246779411911</v>
      </c>
      <c r="AJ710" s="15">
        <f>VLOOKUP(M710,'[1]INDIAN ENTERPRISES'!$D:$L,9,0)</f>
        <v>45838</v>
      </c>
    </row>
    <row r="711" spans="1:36" hidden="1" outlineLevel="2" x14ac:dyDescent="0.25">
      <c r="A711" t="s">
        <v>20</v>
      </c>
      <c r="B711" t="s">
        <v>1</v>
      </c>
      <c r="C711" t="s">
        <v>2</v>
      </c>
      <c r="D711" t="s">
        <v>3</v>
      </c>
      <c r="E711" t="s">
        <v>4</v>
      </c>
      <c r="F711" t="s">
        <v>29</v>
      </c>
      <c r="G711" s="2">
        <v>45733</v>
      </c>
      <c r="H711" t="s">
        <v>1200</v>
      </c>
      <c r="I711" t="s">
        <v>7</v>
      </c>
      <c r="J711" s="2">
        <v>45733</v>
      </c>
      <c r="K711" s="2">
        <v>45734</v>
      </c>
      <c r="L711" t="s">
        <v>8</v>
      </c>
      <c r="M711" s="14">
        <v>246779411912</v>
      </c>
      <c r="N711" t="s">
        <v>9</v>
      </c>
      <c r="O711" t="s">
        <v>10</v>
      </c>
      <c r="P711" t="s">
        <v>11</v>
      </c>
      <c r="Q711" t="s">
        <v>12</v>
      </c>
      <c r="R711" t="s">
        <v>13</v>
      </c>
      <c r="S711" s="3">
        <v>11.36</v>
      </c>
      <c r="T711" t="s">
        <v>14</v>
      </c>
      <c r="U711" s="3">
        <v>984.81</v>
      </c>
      <c r="V711" t="s">
        <v>15</v>
      </c>
      <c r="W711" t="s">
        <v>16</v>
      </c>
      <c r="X711" t="s">
        <v>11</v>
      </c>
      <c r="Y711" t="s">
        <v>8</v>
      </c>
      <c r="Z711" t="s">
        <v>17</v>
      </c>
      <c r="AA711" t="s">
        <v>330</v>
      </c>
      <c r="AB711" t="s">
        <v>11</v>
      </c>
      <c r="AC711" t="s">
        <v>11</v>
      </c>
      <c r="AD711" t="s">
        <v>11</v>
      </c>
      <c r="AE711" s="2">
        <v>45733</v>
      </c>
      <c r="AF711" s="2"/>
      <c r="AG711" t="s">
        <v>11</v>
      </c>
      <c r="AH711" s="14">
        <f>VLOOKUP(M711,'[1]INDIAN ENTERPRISES'!$D:$D,1,0)</f>
        <v>246779411912</v>
      </c>
      <c r="AJ711" s="15">
        <f>VLOOKUP(M711,'[1]INDIAN ENTERPRISES'!$D:$L,9,0)</f>
        <v>45838</v>
      </c>
    </row>
    <row r="712" spans="1:36" hidden="1" outlineLevel="2" x14ac:dyDescent="0.25">
      <c r="A712" t="s">
        <v>20</v>
      </c>
      <c r="B712" t="s">
        <v>1</v>
      </c>
      <c r="C712" t="s">
        <v>2</v>
      </c>
      <c r="D712" t="s">
        <v>3</v>
      </c>
      <c r="E712" t="s">
        <v>4</v>
      </c>
      <c r="F712" t="s">
        <v>29</v>
      </c>
      <c r="G712" s="2">
        <v>45733</v>
      </c>
      <c r="H712" t="s">
        <v>1201</v>
      </c>
      <c r="I712" t="s">
        <v>7</v>
      </c>
      <c r="J712" s="2">
        <v>45733</v>
      </c>
      <c r="K712" s="2">
        <v>45734</v>
      </c>
      <c r="L712" t="s">
        <v>8</v>
      </c>
      <c r="M712" s="14">
        <v>246779411913</v>
      </c>
      <c r="N712" t="s">
        <v>9</v>
      </c>
      <c r="O712" t="s">
        <v>10</v>
      </c>
      <c r="P712" t="s">
        <v>11</v>
      </c>
      <c r="Q712" t="s">
        <v>12</v>
      </c>
      <c r="R712" t="s">
        <v>13</v>
      </c>
      <c r="S712" s="3">
        <v>28.41</v>
      </c>
      <c r="T712" t="s">
        <v>14</v>
      </c>
      <c r="U712" s="3">
        <v>2462.9</v>
      </c>
      <c r="V712" t="s">
        <v>15</v>
      </c>
      <c r="W712" t="s">
        <v>16</v>
      </c>
      <c r="X712" t="s">
        <v>11</v>
      </c>
      <c r="Y712" t="s">
        <v>8</v>
      </c>
      <c r="Z712" t="s">
        <v>17</v>
      </c>
      <c r="AA712" t="s">
        <v>330</v>
      </c>
      <c r="AB712" t="s">
        <v>11</v>
      </c>
      <c r="AC712" t="s">
        <v>11</v>
      </c>
      <c r="AD712" t="s">
        <v>11</v>
      </c>
      <c r="AE712" s="2">
        <v>45733</v>
      </c>
      <c r="AF712" s="2"/>
      <c r="AG712" t="s">
        <v>11</v>
      </c>
      <c r="AH712" s="14">
        <f>VLOOKUP(M712,'[1]INDIAN ENTERPRISES'!$D:$D,1,0)</f>
        <v>246779411913</v>
      </c>
      <c r="AJ712" s="15">
        <f>VLOOKUP(M712,'[1]INDIAN ENTERPRISES'!$D:$L,9,0)</f>
        <v>45838</v>
      </c>
    </row>
    <row r="713" spans="1:36" hidden="1" outlineLevel="2" x14ac:dyDescent="0.25">
      <c r="A713" t="s">
        <v>20</v>
      </c>
      <c r="B713" t="s">
        <v>1</v>
      </c>
      <c r="C713" t="s">
        <v>2</v>
      </c>
      <c r="D713" t="s">
        <v>3</v>
      </c>
      <c r="E713" t="s">
        <v>4</v>
      </c>
      <c r="F713" t="s">
        <v>29</v>
      </c>
      <c r="G713" s="2">
        <v>45733</v>
      </c>
      <c r="H713" t="s">
        <v>1202</v>
      </c>
      <c r="I713" t="s">
        <v>7</v>
      </c>
      <c r="J713" s="2">
        <v>45733</v>
      </c>
      <c r="K713" s="2">
        <v>45734</v>
      </c>
      <c r="L713" t="s">
        <v>8</v>
      </c>
      <c r="M713" s="14">
        <v>246779411914</v>
      </c>
      <c r="N713" t="s">
        <v>9</v>
      </c>
      <c r="O713" t="s">
        <v>10</v>
      </c>
      <c r="P713" t="s">
        <v>11</v>
      </c>
      <c r="Q713" t="s">
        <v>12</v>
      </c>
      <c r="R713" t="s">
        <v>13</v>
      </c>
      <c r="S713" s="3">
        <v>260</v>
      </c>
      <c r="T713" t="s">
        <v>14</v>
      </c>
      <c r="U713" s="3">
        <v>22539.73</v>
      </c>
      <c r="V713" t="s">
        <v>15</v>
      </c>
      <c r="W713" t="s">
        <v>16</v>
      </c>
      <c r="X713" t="s">
        <v>11</v>
      </c>
      <c r="Y713" t="s">
        <v>8</v>
      </c>
      <c r="Z713" t="s">
        <v>17</v>
      </c>
      <c r="AA713" t="s">
        <v>330</v>
      </c>
      <c r="AB713" t="s">
        <v>11</v>
      </c>
      <c r="AC713" t="s">
        <v>11</v>
      </c>
      <c r="AD713" t="s">
        <v>11</v>
      </c>
      <c r="AE713" s="2">
        <v>45733</v>
      </c>
      <c r="AF713" s="2"/>
      <c r="AG713" t="s">
        <v>11</v>
      </c>
      <c r="AH713" s="14">
        <f>VLOOKUP(M713,'[1]INDIAN ENTERPRISES'!$D:$D,1,0)</f>
        <v>246779411914</v>
      </c>
      <c r="AJ713" s="15">
        <f>VLOOKUP(M713,'[1]INDIAN ENTERPRISES'!$D:$L,9,0)</f>
        <v>45838</v>
      </c>
    </row>
    <row r="714" spans="1:36" hidden="1" outlineLevel="2" x14ac:dyDescent="0.25">
      <c r="A714" t="s">
        <v>20</v>
      </c>
      <c r="B714" t="s">
        <v>1</v>
      </c>
      <c r="C714" t="s">
        <v>2</v>
      </c>
      <c r="D714" t="s">
        <v>3</v>
      </c>
      <c r="E714" t="s">
        <v>4</v>
      </c>
      <c r="F714" t="s">
        <v>29</v>
      </c>
      <c r="G714" s="2">
        <v>45733</v>
      </c>
      <c r="H714" t="s">
        <v>1203</v>
      </c>
      <c r="I714" t="s">
        <v>7</v>
      </c>
      <c r="J714" s="2">
        <v>45733</v>
      </c>
      <c r="K714" s="2">
        <v>45734</v>
      </c>
      <c r="L714" t="s">
        <v>8</v>
      </c>
      <c r="M714" s="14">
        <v>246779412028</v>
      </c>
      <c r="N714" t="s">
        <v>9</v>
      </c>
      <c r="O714" t="s">
        <v>10</v>
      </c>
      <c r="P714" t="s">
        <v>11</v>
      </c>
      <c r="Q714" t="s">
        <v>12</v>
      </c>
      <c r="R714" t="s">
        <v>13</v>
      </c>
      <c r="S714" s="3">
        <v>28.03</v>
      </c>
      <c r="T714" t="s">
        <v>14</v>
      </c>
      <c r="U714" s="3">
        <v>2429.96</v>
      </c>
      <c r="V714" t="s">
        <v>15</v>
      </c>
      <c r="W714" t="s">
        <v>16</v>
      </c>
      <c r="X714" t="s">
        <v>11</v>
      </c>
      <c r="Y714" t="s">
        <v>8</v>
      </c>
      <c r="Z714" t="s">
        <v>17</v>
      </c>
      <c r="AA714" t="s">
        <v>303</v>
      </c>
      <c r="AB714" t="s">
        <v>11</v>
      </c>
      <c r="AC714" t="s">
        <v>11</v>
      </c>
      <c r="AD714" t="s">
        <v>11</v>
      </c>
      <c r="AE714" s="2">
        <v>45733</v>
      </c>
      <c r="AF714" s="2"/>
      <c r="AG714" t="s">
        <v>11</v>
      </c>
      <c r="AH714" s="14">
        <f>VLOOKUP(M714,'[1]INDIAN ENTERPRISES'!$D:$D,1,0)</f>
        <v>246779412028</v>
      </c>
      <c r="AJ714" s="15">
        <f>VLOOKUP(M714,'[1]INDIAN ENTERPRISES'!$D:$L,9,0)</f>
        <v>45838</v>
      </c>
    </row>
    <row r="715" spans="1:36" hidden="1" outlineLevel="2" x14ac:dyDescent="0.25">
      <c r="A715" t="s">
        <v>20</v>
      </c>
      <c r="B715" t="s">
        <v>1</v>
      </c>
      <c r="C715" t="s">
        <v>2</v>
      </c>
      <c r="D715" t="s">
        <v>3</v>
      </c>
      <c r="E715" t="s">
        <v>4</v>
      </c>
      <c r="F715" t="s">
        <v>29</v>
      </c>
      <c r="G715" s="2">
        <v>45733</v>
      </c>
      <c r="H715" t="s">
        <v>1204</v>
      </c>
      <c r="I715" t="s">
        <v>7</v>
      </c>
      <c r="J715" s="2">
        <v>45733</v>
      </c>
      <c r="K715" s="2">
        <v>45734</v>
      </c>
      <c r="L715" t="s">
        <v>8</v>
      </c>
      <c r="M715" s="14">
        <v>246779412029</v>
      </c>
      <c r="N715" t="s">
        <v>9</v>
      </c>
      <c r="O715" t="s">
        <v>10</v>
      </c>
      <c r="P715" t="s">
        <v>11</v>
      </c>
      <c r="Q715" t="s">
        <v>12</v>
      </c>
      <c r="R715" t="s">
        <v>13</v>
      </c>
      <c r="S715" s="3">
        <v>22.42</v>
      </c>
      <c r="T715" t="s">
        <v>14</v>
      </c>
      <c r="U715" s="3">
        <v>1943.62</v>
      </c>
      <c r="V715" t="s">
        <v>15</v>
      </c>
      <c r="W715" t="s">
        <v>16</v>
      </c>
      <c r="X715" t="s">
        <v>11</v>
      </c>
      <c r="Y715" t="s">
        <v>8</v>
      </c>
      <c r="Z715" t="s">
        <v>17</v>
      </c>
      <c r="AA715" t="s">
        <v>303</v>
      </c>
      <c r="AB715" t="s">
        <v>11</v>
      </c>
      <c r="AC715" t="s">
        <v>11</v>
      </c>
      <c r="AD715" t="s">
        <v>11</v>
      </c>
      <c r="AE715" s="2">
        <v>45733</v>
      </c>
      <c r="AF715" s="2"/>
      <c r="AG715" t="s">
        <v>11</v>
      </c>
      <c r="AH715" s="14">
        <f>VLOOKUP(M715,'[1]INDIAN ENTERPRISES'!$D:$D,1,0)</f>
        <v>246779412029</v>
      </c>
      <c r="AJ715" s="15">
        <f>VLOOKUP(M715,'[1]INDIAN ENTERPRISES'!$D:$L,9,0)</f>
        <v>45838</v>
      </c>
    </row>
    <row r="716" spans="1:36" hidden="1" outlineLevel="2" x14ac:dyDescent="0.25">
      <c r="A716" t="s">
        <v>20</v>
      </c>
      <c r="B716" t="s">
        <v>1</v>
      </c>
      <c r="C716" t="s">
        <v>2</v>
      </c>
      <c r="D716" t="s">
        <v>3</v>
      </c>
      <c r="E716" t="s">
        <v>4</v>
      </c>
      <c r="F716" t="s">
        <v>29</v>
      </c>
      <c r="G716" s="2">
        <v>45733</v>
      </c>
      <c r="H716" t="s">
        <v>1205</v>
      </c>
      <c r="I716" t="s">
        <v>7</v>
      </c>
      <c r="J716" s="2">
        <v>45733</v>
      </c>
      <c r="K716" s="2">
        <v>45734</v>
      </c>
      <c r="L716" t="s">
        <v>8</v>
      </c>
      <c r="M716" s="14">
        <v>246779412030</v>
      </c>
      <c r="N716" t="s">
        <v>9</v>
      </c>
      <c r="O716" t="s">
        <v>10</v>
      </c>
      <c r="P716" t="s">
        <v>11</v>
      </c>
      <c r="Q716" t="s">
        <v>12</v>
      </c>
      <c r="R716" t="s">
        <v>13</v>
      </c>
      <c r="S716" s="3">
        <v>16.82</v>
      </c>
      <c r="T716" t="s">
        <v>14</v>
      </c>
      <c r="U716" s="3">
        <v>1458.15</v>
      </c>
      <c r="V716" t="s">
        <v>15</v>
      </c>
      <c r="W716" t="s">
        <v>16</v>
      </c>
      <c r="X716" t="s">
        <v>11</v>
      </c>
      <c r="Y716" t="s">
        <v>8</v>
      </c>
      <c r="Z716" t="s">
        <v>17</v>
      </c>
      <c r="AA716" t="s">
        <v>303</v>
      </c>
      <c r="AB716" t="s">
        <v>11</v>
      </c>
      <c r="AC716" t="s">
        <v>11</v>
      </c>
      <c r="AD716" t="s">
        <v>11</v>
      </c>
      <c r="AE716" s="2">
        <v>45733</v>
      </c>
      <c r="AF716" s="2"/>
      <c r="AG716" t="s">
        <v>11</v>
      </c>
      <c r="AH716" s="14">
        <f>VLOOKUP(M716,'[1]INDIAN ENTERPRISES'!$D:$D,1,0)</f>
        <v>246779412030</v>
      </c>
      <c r="AJ716" s="15">
        <f>VLOOKUP(M716,'[1]INDIAN ENTERPRISES'!$D:$L,9,0)</f>
        <v>45838</v>
      </c>
    </row>
    <row r="717" spans="1:36" hidden="1" outlineLevel="2" x14ac:dyDescent="0.25">
      <c r="A717" t="s">
        <v>20</v>
      </c>
      <c r="B717" t="s">
        <v>1</v>
      </c>
      <c r="C717" t="s">
        <v>2</v>
      </c>
      <c r="D717" t="s">
        <v>3</v>
      </c>
      <c r="E717" t="s">
        <v>4</v>
      </c>
      <c r="F717" t="s">
        <v>29</v>
      </c>
      <c r="G717" s="2">
        <v>45733</v>
      </c>
      <c r="H717" t="s">
        <v>1206</v>
      </c>
      <c r="I717" t="s">
        <v>7</v>
      </c>
      <c r="J717" s="2">
        <v>45733</v>
      </c>
      <c r="K717" s="2">
        <v>45734</v>
      </c>
      <c r="L717" t="s">
        <v>8</v>
      </c>
      <c r="M717" s="14">
        <v>246779412031</v>
      </c>
      <c r="N717" t="s">
        <v>9</v>
      </c>
      <c r="O717" t="s">
        <v>10</v>
      </c>
      <c r="P717" t="s">
        <v>11</v>
      </c>
      <c r="Q717" t="s">
        <v>12</v>
      </c>
      <c r="R717" t="s">
        <v>13</v>
      </c>
      <c r="S717" s="3">
        <v>28.03</v>
      </c>
      <c r="T717" t="s">
        <v>14</v>
      </c>
      <c r="U717" s="3">
        <v>2429.96</v>
      </c>
      <c r="V717" t="s">
        <v>15</v>
      </c>
      <c r="W717" t="s">
        <v>16</v>
      </c>
      <c r="X717" t="s">
        <v>11</v>
      </c>
      <c r="Y717" t="s">
        <v>8</v>
      </c>
      <c r="Z717" t="s">
        <v>17</v>
      </c>
      <c r="AA717" t="s">
        <v>303</v>
      </c>
      <c r="AB717" t="s">
        <v>11</v>
      </c>
      <c r="AC717" t="s">
        <v>11</v>
      </c>
      <c r="AD717" t="s">
        <v>11</v>
      </c>
      <c r="AE717" s="2">
        <v>45733</v>
      </c>
      <c r="AF717" s="2"/>
      <c r="AG717" t="s">
        <v>11</v>
      </c>
      <c r="AH717" s="14">
        <f>VLOOKUP(M717,'[1]INDIAN ENTERPRISES'!$D:$D,1,0)</f>
        <v>246779412031</v>
      </c>
      <c r="AJ717" s="15">
        <f>VLOOKUP(M717,'[1]INDIAN ENTERPRISES'!$D:$L,9,0)</f>
        <v>45838</v>
      </c>
    </row>
    <row r="718" spans="1:36" hidden="1" outlineLevel="2" x14ac:dyDescent="0.25">
      <c r="A718" t="s">
        <v>20</v>
      </c>
      <c r="B718" t="s">
        <v>1</v>
      </c>
      <c r="C718" t="s">
        <v>2</v>
      </c>
      <c r="D718" t="s">
        <v>3</v>
      </c>
      <c r="E718" t="s">
        <v>4</v>
      </c>
      <c r="F718" t="s">
        <v>29</v>
      </c>
      <c r="G718" s="2">
        <v>45733</v>
      </c>
      <c r="H718" t="s">
        <v>1207</v>
      </c>
      <c r="I718" t="s">
        <v>7</v>
      </c>
      <c r="J718" s="2">
        <v>45733</v>
      </c>
      <c r="K718" s="2">
        <v>45734</v>
      </c>
      <c r="L718" t="s">
        <v>8</v>
      </c>
      <c r="M718" s="14">
        <v>246779412032</v>
      </c>
      <c r="N718" t="s">
        <v>9</v>
      </c>
      <c r="O718" t="s">
        <v>10</v>
      </c>
      <c r="P718" t="s">
        <v>11</v>
      </c>
      <c r="Q718" t="s">
        <v>12</v>
      </c>
      <c r="R718" t="s">
        <v>13</v>
      </c>
      <c r="S718" s="3">
        <v>33.64</v>
      </c>
      <c r="T718" t="s">
        <v>14</v>
      </c>
      <c r="U718" s="3">
        <v>2916.29</v>
      </c>
      <c r="V718" t="s">
        <v>15</v>
      </c>
      <c r="W718" t="s">
        <v>16</v>
      </c>
      <c r="X718" t="s">
        <v>11</v>
      </c>
      <c r="Y718" t="s">
        <v>8</v>
      </c>
      <c r="Z718" t="s">
        <v>17</v>
      </c>
      <c r="AA718" t="s">
        <v>303</v>
      </c>
      <c r="AB718" t="s">
        <v>11</v>
      </c>
      <c r="AC718" t="s">
        <v>11</v>
      </c>
      <c r="AD718" t="s">
        <v>11</v>
      </c>
      <c r="AE718" s="2">
        <v>45733</v>
      </c>
      <c r="AF718" s="2"/>
      <c r="AG718" t="s">
        <v>11</v>
      </c>
      <c r="AH718" s="14">
        <f>VLOOKUP(M718,'[1]INDIAN ENTERPRISES'!$D:$D,1,0)</f>
        <v>246779412032</v>
      </c>
      <c r="AJ718" s="15">
        <f>VLOOKUP(M718,'[1]INDIAN ENTERPRISES'!$D:$L,9,0)</f>
        <v>45838</v>
      </c>
    </row>
    <row r="719" spans="1:36" hidden="1" outlineLevel="2" x14ac:dyDescent="0.25">
      <c r="A719" t="s">
        <v>20</v>
      </c>
      <c r="B719" t="s">
        <v>1</v>
      </c>
      <c r="C719" t="s">
        <v>2</v>
      </c>
      <c r="D719" t="s">
        <v>3</v>
      </c>
      <c r="E719" t="s">
        <v>4</v>
      </c>
      <c r="F719" t="s">
        <v>29</v>
      </c>
      <c r="G719" s="2">
        <v>45733</v>
      </c>
      <c r="H719" t="s">
        <v>1208</v>
      </c>
      <c r="I719" t="s">
        <v>7</v>
      </c>
      <c r="J719" s="2">
        <v>45733</v>
      </c>
      <c r="K719" s="2">
        <v>45734</v>
      </c>
      <c r="L719" t="s">
        <v>8</v>
      </c>
      <c r="M719" s="14">
        <v>246779412033</v>
      </c>
      <c r="N719" t="s">
        <v>9</v>
      </c>
      <c r="O719" t="s">
        <v>10</v>
      </c>
      <c r="P719" t="s">
        <v>11</v>
      </c>
      <c r="Q719" t="s">
        <v>12</v>
      </c>
      <c r="R719" t="s">
        <v>13</v>
      </c>
      <c r="S719" s="3">
        <v>22.42</v>
      </c>
      <c r="T719" t="s">
        <v>14</v>
      </c>
      <c r="U719" s="3">
        <v>1943.62</v>
      </c>
      <c r="V719" t="s">
        <v>15</v>
      </c>
      <c r="W719" t="s">
        <v>16</v>
      </c>
      <c r="X719" t="s">
        <v>11</v>
      </c>
      <c r="Y719" t="s">
        <v>8</v>
      </c>
      <c r="Z719" t="s">
        <v>17</v>
      </c>
      <c r="AA719" t="s">
        <v>303</v>
      </c>
      <c r="AB719" t="s">
        <v>11</v>
      </c>
      <c r="AC719" t="s">
        <v>11</v>
      </c>
      <c r="AD719" t="s">
        <v>11</v>
      </c>
      <c r="AE719" s="2">
        <v>45733</v>
      </c>
      <c r="AF719" s="2"/>
      <c r="AG719" t="s">
        <v>11</v>
      </c>
      <c r="AH719" s="14">
        <f>VLOOKUP(M719,'[1]INDIAN ENTERPRISES'!$D:$D,1,0)</f>
        <v>246779412033</v>
      </c>
      <c r="AJ719" s="15">
        <f>VLOOKUP(M719,'[1]INDIAN ENTERPRISES'!$D:$L,9,0)</f>
        <v>45869</v>
      </c>
    </row>
    <row r="720" spans="1:36" hidden="1" outlineLevel="2" x14ac:dyDescent="0.25">
      <c r="A720" t="s">
        <v>20</v>
      </c>
      <c r="B720" t="s">
        <v>1</v>
      </c>
      <c r="C720" t="s">
        <v>2</v>
      </c>
      <c r="D720" t="s">
        <v>3</v>
      </c>
      <c r="E720" t="s">
        <v>4</v>
      </c>
      <c r="F720" t="s">
        <v>29</v>
      </c>
      <c r="G720" s="2">
        <v>45733</v>
      </c>
      <c r="H720" t="s">
        <v>1209</v>
      </c>
      <c r="I720" t="s">
        <v>7</v>
      </c>
      <c r="J720" s="2">
        <v>45733</v>
      </c>
      <c r="K720" s="2">
        <v>45734</v>
      </c>
      <c r="L720" t="s">
        <v>8</v>
      </c>
      <c r="M720" s="14">
        <v>246779412034</v>
      </c>
      <c r="N720" t="s">
        <v>9</v>
      </c>
      <c r="O720" t="s">
        <v>10</v>
      </c>
      <c r="P720" t="s">
        <v>11</v>
      </c>
      <c r="Q720" t="s">
        <v>12</v>
      </c>
      <c r="R720" t="s">
        <v>13</v>
      </c>
      <c r="S720" s="3">
        <v>33.64</v>
      </c>
      <c r="T720" t="s">
        <v>14</v>
      </c>
      <c r="U720" s="3">
        <v>2916.29</v>
      </c>
      <c r="V720" t="s">
        <v>15</v>
      </c>
      <c r="W720" t="s">
        <v>16</v>
      </c>
      <c r="X720" t="s">
        <v>11</v>
      </c>
      <c r="Y720" t="s">
        <v>8</v>
      </c>
      <c r="Z720" t="s">
        <v>17</v>
      </c>
      <c r="AA720" t="s">
        <v>303</v>
      </c>
      <c r="AB720" t="s">
        <v>11</v>
      </c>
      <c r="AC720" t="s">
        <v>11</v>
      </c>
      <c r="AD720" t="s">
        <v>11</v>
      </c>
      <c r="AE720" s="2">
        <v>45733</v>
      </c>
      <c r="AF720" s="2"/>
      <c r="AG720" t="s">
        <v>11</v>
      </c>
      <c r="AH720" s="14">
        <f>VLOOKUP(M720,'[1]INDIAN ENTERPRISES'!$D:$D,1,0)</f>
        <v>246779412034</v>
      </c>
      <c r="AJ720" s="15">
        <f>VLOOKUP(M720,'[1]INDIAN ENTERPRISES'!$D:$L,9,0)</f>
        <v>45838</v>
      </c>
    </row>
    <row r="721" spans="1:36" hidden="1" outlineLevel="2" x14ac:dyDescent="0.25">
      <c r="A721" t="s">
        <v>20</v>
      </c>
      <c r="B721" t="s">
        <v>1</v>
      </c>
      <c r="C721" t="s">
        <v>2</v>
      </c>
      <c r="D721" t="s">
        <v>3</v>
      </c>
      <c r="E721" t="s">
        <v>4</v>
      </c>
      <c r="F721" t="s">
        <v>29</v>
      </c>
      <c r="G721" s="2">
        <v>45733</v>
      </c>
      <c r="H721" t="s">
        <v>1210</v>
      </c>
      <c r="I721" t="s">
        <v>7</v>
      </c>
      <c r="J721" s="2">
        <v>45733</v>
      </c>
      <c r="K721" s="2">
        <v>45734</v>
      </c>
      <c r="L721" t="s">
        <v>8</v>
      </c>
      <c r="M721" s="14">
        <v>246779412035</v>
      </c>
      <c r="N721" t="s">
        <v>9</v>
      </c>
      <c r="O721" t="s">
        <v>10</v>
      </c>
      <c r="P721" t="s">
        <v>11</v>
      </c>
      <c r="Q721" t="s">
        <v>12</v>
      </c>
      <c r="R721" t="s">
        <v>13</v>
      </c>
      <c r="S721" s="3">
        <v>72.88</v>
      </c>
      <c r="T721" t="s">
        <v>14</v>
      </c>
      <c r="U721" s="3">
        <v>6318.06</v>
      </c>
      <c r="V721" t="s">
        <v>15</v>
      </c>
      <c r="W721" t="s">
        <v>16</v>
      </c>
      <c r="X721" t="s">
        <v>11</v>
      </c>
      <c r="Y721" t="s">
        <v>8</v>
      </c>
      <c r="Z721" t="s">
        <v>17</v>
      </c>
      <c r="AA721" t="s">
        <v>303</v>
      </c>
      <c r="AB721" t="s">
        <v>11</v>
      </c>
      <c r="AC721" t="s">
        <v>11</v>
      </c>
      <c r="AD721" t="s">
        <v>11</v>
      </c>
      <c r="AE721" s="2">
        <v>45733</v>
      </c>
      <c r="AF721" s="2"/>
      <c r="AG721" t="s">
        <v>11</v>
      </c>
      <c r="AH721" s="14">
        <f>VLOOKUP(M721,'[1]INDIAN ENTERPRISES'!$D:$D,1,0)</f>
        <v>246779412035</v>
      </c>
      <c r="AJ721" s="15">
        <f>VLOOKUP(M721,'[1]INDIAN ENTERPRISES'!$D:$L,9,0)</f>
        <v>45838</v>
      </c>
    </row>
    <row r="722" spans="1:36" hidden="1" outlineLevel="2" x14ac:dyDescent="0.25">
      <c r="A722" t="s">
        <v>20</v>
      </c>
      <c r="B722" t="s">
        <v>1</v>
      </c>
      <c r="C722" t="s">
        <v>2</v>
      </c>
      <c r="D722" t="s">
        <v>3</v>
      </c>
      <c r="E722" t="s">
        <v>4</v>
      </c>
      <c r="F722" t="s">
        <v>29</v>
      </c>
      <c r="G722" s="2">
        <v>45733</v>
      </c>
      <c r="H722" t="s">
        <v>1211</v>
      </c>
      <c r="I722" t="s">
        <v>7</v>
      </c>
      <c r="J722" s="2">
        <v>45733</v>
      </c>
      <c r="K722" s="2">
        <v>45734</v>
      </c>
      <c r="L722" t="s">
        <v>8</v>
      </c>
      <c r="M722" s="14">
        <v>246779412036</v>
      </c>
      <c r="N722" t="s">
        <v>9</v>
      </c>
      <c r="O722" t="s">
        <v>10</v>
      </c>
      <c r="P722" t="s">
        <v>11</v>
      </c>
      <c r="Q722" t="s">
        <v>12</v>
      </c>
      <c r="R722" t="s">
        <v>13</v>
      </c>
      <c r="S722" s="3">
        <v>28.03</v>
      </c>
      <c r="T722" t="s">
        <v>14</v>
      </c>
      <c r="U722" s="3">
        <v>2429.96</v>
      </c>
      <c r="V722" t="s">
        <v>15</v>
      </c>
      <c r="W722" t="s">
        <v>16</v>
      </c>
      <c r="X722" t="s">
        <v>11</v>
      </c>
      <c r="Y722" t="s">
        <v>8</v>
      </c>
      <c r="Z722" t="s">
        <v>17</v>
      </c>
      <c r="AA722" t="s">
        <v>303</v>
      </c>
      <c r="AB722" t="s">
        <v>11</v>
      </c>
      <c r="AC722" t="s">
        <v>11</v>
      </c>
      <c r="AD722" t="s">
        <v>11</v>
      </c>
      <c r="AE722" s="2">
        <v>45733</v>
      </c>
      <c r="AF722" s="2"/>
      <c r="AG722" t="s">
        <v>11</v>
      </c>
      <c r="AH722" s="14">
        <f>VLOOKUP(M722,'[1]INDIAN ENTERPRISES'!$D:$D,1,0)</f>
        <v>246779412036</v>
      </c>
      <c r="AJ722" s="15">
        <f>VLOOKUP(M722,'[1]INDIAN ENTERPRISES'!$D:$L,9,0)</f>
        <v>45838</v>
      </c>
    </row>
    <row r="723" spans="1:36" hidden="1" outlineLevel="2" x14ac:dyDescent="0.25">
      <c r="A723" t="s">
        <v>20</v>
      </c>
      <c r="B723" t="s">
        <v>1</v>
      </c>
      <c r="C723" t="s">
        <v>2</v>
      </c>
      <c r="D723" t="s">
        <v>3</v>
      </c>
      <c r="E723" t="s">
        <v>4</v>
      </c>
      <c r="F723" t="s">
        <v>29</v>
      </c>
      <c r="G723" s="2">
        <v>45733</v>
      </c>
      <c r="H723" t="s">
        <v>1212</v>
      </c>
      <c r="I723" t="s">
        <v>7</v>
      </c>
      <c r="J723" s="2">
        <v>45733</v>
      </c>
      <c r="K723" s="2">
        <v>45734</v>
      </c>
      <c r="L723" t="s">
        <v>8</v>
      </c>
      <c r="M723" s="14">
        <v>246779412037</v>
      </c>
      <c r="N723" t="s">
        <v>9</v>
      </c>
      <c r="O723" t="s">
        <v>10</v>
      </c>
      <c r="P723" t="s">
        <v>11</v>
      </c>
      <c r="Q723" t="s">
        <v>12</v>
      </c>
      <c r="R723" t="s">
        <v>13</v>
      </c>
      <c r="S723" s="3">
        <v>44.85</v>
      </c>
      <c r="T723" t="s">
        <v>14</v>
      </c>
      <c r="U723" s="3">
        <v>3888.1</v>
      </c>
      <c r="V723" t="s">
        <v>15</v>
      </c>
      <c r="W723" t="s">
        <v>16</v>
      </c>
      <c r="X723" t="s">
        <v>11</v>
      </c>
      <c r="Y723" t="s">
        <v>8</v>
      </c>
      <c r="Z723" t="s">
        <v>17</v>
      </c>
      <c r="AA723" t="s">
        <v>303</v>
      </c>
      <c r="AB723" t="s">
        <v>11</v>
      </c>
      <c r="AC723" t="s">
        <v>11</v>
      </c>
      <c r="AD723" t="s">
        <v>11</v>
      </c>
      <c r="AE723" s="2">
        <v>45733</v>
      </c>
      <c r="AF723" s="2"/>
      <c r="AG723" t="s">
        <v>11</v>
      </c>
      <c r="AH723" s="14">
        <f>VLOOKUP(M723,'[1]INDIAN ENTERPRISES'!$D:$D,1,0)</f>
        <v>246779412037</v>
      </c>
      <c r="AJ723" s="15">
        <f>VLOOKUP(M723,'[1]INDIAN ENTERPRISES'!$D:$L,9,0)</f>
        <v>45838</v>
      </c>
    </row>
    <row r="724" spans="1:36" hidden="1" outlineLevel="2" x14ac:dyDescent="0.25">
      <c r="A724" t="s">
        <v>20</v>
      </c>
      <c r="B724" t="s">
        <v>1</v>
      </c>
      <c r="C724" t="s">
        <v>2</v>
      </c>
      <c r="D724" t="s">
        <v>3</v>
      </c>
      <c r="E724" t="s">
        <v>4</v>
      </c>
      <c r="F724" t="s">
        <v>29</v>
      </c>
      <c r="G724" s="2">
        <v>45733</v>
      </c>
      <c r="H724" t="s">
        <v>1213</v>
      </c>
      <c r="I724" t="s">
        <v>7</v>
      </c>
      <c r="J724" s="2">
        <v>45733</v>
      </c>
      <c r="K724" s="2">
        <v>45734</v>
      </c>
      <c r="L724" t="s">
        <v>8</v>
      </c>
      <c r="M724" s="14">
        <v>246779412038</v>
      </c>
      <c r="N724" t="s">
        <v>9</v>
      </c>
      <c r="O724" t="s">
        <v>10</v>
      </c>
      <c r="P724" t="s">
        <v>11</v>
      </c>
      <c r="Q724" t="s">
        <v>12</v>
      </c>
      <c r="R724" t="s">
        <v>13</v>
      </c>
      <c r="S724" s="3">
        <v>33.64</v>
      </c>
      <c r="T724" t="s">
        <v>14</v>
      </c>
      <c r="U724" s="3">
        <v>2916.29</v>
      </c>
      <c r="V724" t="s">
        <v>15</v>
      </c>
      <c r="W724" t="s">
        <v>16</v>
      </c>
      <c r="X724" t="s">
        <v>11</v>
      </c>
      <c r="Y724" t="s">
        <v>8</v>
      </c>
      <c r="Z724" t="s">
        <v>17</v>
      </c>
      <c r="AA724" t="s">
        <v>303</v>
      </c>
      <c r="AB724" t="s">
        <v>11</v>
      </c>
      <c r="AC724" t="s">
        <v>11</v>
      </c>
      <c r="AD724" t="s">
        <v>11</v>
      </c>
      <c r="AE724" s="2">
        <v>45733</v>
      </c>
      <c r="AF724" s="2"/>
      <c r="AG724" t="s">
        <v>11</v>
      </c>
      <c r="AH724" s="14">
        <f>VLOOKUP(M724,'[1]INDIAN ENTERPRISES'!$D:$D,1,0)</f>
        <v>246779412038</v>
      </c>
      <c r="AJ724" s="15">
        <f>VLOOKUP(M724,'[1]INDIAN ENTERPRISES'!$D:$L,9,0)</f>
        <v>45838</v>
      </c>
    </row>
    <row r="725" spans="1:36" hidden="1" outlineLevel="1" x14ac:dyDescent="0.25">
      <c r="A725" s="4" t="s">
        <v>11</v>
      </c>
      <c r="B725" s="4" t="s">
        <v>11</v>
      </c>
      <c r="C725" s="4" t="s">
        <v>11</v>
      </c>
      <c r="D725" s="4" t="s">
        <v>11</v>
      </c>
      <c r="E725" s="4" t="s">
        <v>11</v>
      </c>
      <c r="F725" s="4" t="s">
        <v>11</v>
      </c>
      <c r="G725" s="5"/>
      <c r="H725" s="4" t="s">
        <v>11</v>
      </c>
      <c r="I725" s="4" t="s">
        <v>11</v>
      </c>
      <c r="J725" s="5"/>
      <c r="K725" s="5"/>
      <c r="L725" s="4" t="s">
        <v>11</v>
      </c>
      <c r="M725" s="4" t="s">
        <v>11</v>
      </c>
      <c r="N725" s="4" t="s">
        <v>9</v>
      </c>
      <c r="O725" s="4" t="s">
        <v>11</v>
      </c>
      <c r="P725" s="4" t="s">
        <v>11</v>
      </c>
      <c r="Q725" s="4" t="s">
        <v>11</v>
      </c>
      <c r="R725" s="4" t="s">
        <v>14</v>
      </c>
      <c r="S725" s="6">
        <v>-10244562.689999999</v>
      </c>
      <c r="T725" s="4" t="s">
        <v>14</v>
      </c>
      <c r="U725" s="6">
        <v>3049068.04</v>
      </c>
      <c r="V725" s="4" t="s">
        <v>11</v>
      </c>
      <c r="W725" s="4" t="s">
        <v>11</v>
      </c>
      <c r="X725" s="4" t="s">
        <v>11</v>
      </c>
      <c r="Y725" s="4" t="s">
        <v>11</v>
      </c>
      <c r="Z725" s="4" t="s">
        <v>11</v>
      </c>
      <c r="AA725" s="4" t="s">
        <v>11</v>
      </c>
      <c r="AB725" s="4" t="s">
        <v>11</v>
      </c>
      <c r="AC725" s="4" t="s">
        <v>11</v>
      </c>
      <c r="AD725" s="4" t="s">
        <v>11</v>
      </c>
      <c r="AE725" s="5"/>
      <c r="AF725" s="5"/>
      <c r="AG725" s="4" t="s">
        <v>11</v>
      </c>
    </row>
    <row r="726" spans="1:36" hidden="1" outlineLevel="1" x14ac:dyDescent="0.25">
      <c r="A726" s="4" t="s">
        <v>11</v>
      </c>
      <c r="B726" s="4" t="s">
        <v>11</v>
      </c>
      <c r="C726" s="4" t="s">
        <v>11</v>
      </c>
      <c r="D726" s="4" t="s">
        <v>11</v>
      </c>
      <c r="E726" s="4" t="s">
        <v>11</v>
      </c>
      <c r="F726" s="4" t="s">
        <v>11</v>
      </c>
      <c r="G726" s="5"/>
      <c r="H726" s="4" t="s">
        <v>11</v>
      </c>
      <c r="I726" s="4" t="s">
        <v>11</v>
      </c>
      <c r="J726" s="5"/>
      <c r="K726" s="5"/>
      <c r="L726" s="4" t="s">
        <v>11</v>
      </c>
      <c r="M726" s="4" t="s">
        <v>11</v>
      </c>
      <c r="N726" s="4" t="s">
        <v>11</v>
      </c>
      <c r="O726" s="4" t="s">
        <v>11</v>
      </c>
      <c r="P726" s="4" t="s">
        <v>11</v>
      </c>
      <c r="Q726" s="4" t="s">
        <v>11</v>
      </c>
      <c r="R726" s="4" t="s">
        <v>13</v>
      </c>
      <c r="S726" s="6">
        <v>152916.09</v>
      </c>
      <c r="T726" s="4" t="s">
        <v>11</v>
      </c>
      <c r="U726" s="7"/>
      <c r="V726" s="4" t="s">
        <v>11</v>
      </c>
      <c r="W726" s="4" t="s">
        <v>11</v>
      </c>
      <c r="X726" s="4" t="s">
        <v>11</v>
      </c>
      <c r="Y726" s="4" t="s">
        <v>11</v>
      </c>
      <c r="Z726" s="4" t="s">
        <v>11</v>
      </c>
      <c r="AA726" s="4" t="s">
        <v>11</v>
      </c>
      <c r="AB726" s="4" t="s">
        <v>11</v>
      </c>
      <c r="AC726" s="4" t="s">
        <v>11</v>
      </c>
      <c r="AD726" s="4" t="s">
        <v>11</v>
      </c>
      <c r="AE726" s="5"/>
      <c r="AF726" s="5"/>
      <c r="AG726" s="4" t="s">
        <v>11</v>
      </c>
    </row>
    <row r="727" spans="1:36" hidden="1" x14ac:dyDescent="0.25">
      <c r="A727" s="8" t="s">
        <v>11</v>
      </c>
      <c r="B727" s="8" t="s">
        <v>11</v>
      </c>
      <c r="C727" s="8" t="s">
        <v>11</v>
      </c>
      <c r="D727" s="8" t="s">
        <v>11</v>
      </c>
      <c r="E727" s="8" t="s">
        <v>11</v>
      </c>
      <c r="F727" s="8" t="s">
        <v>11</v>
      </c>
      <c r="G727" s="9"/>
      <c r="H727" s="8" t="s">
        <v>11</v>
      </c>
      <c r="I727" s="8" t="s">
        <v>11</v>
      </c>
      <c r="J727" s="9"/>
      <c r="K727" s="9"/>
      <c r="L727" s="8" t="s">
        <v>11</v>
      </c>
      <c r="M727" s="8" t="s">
        <v>11</v>
      </c>
      <c r="N727" s="8" t="s">
        <v>11</v>
      </c>
      <c r="O727" s="8" t="s">
        <v>11</v>
      </c>
      <c r="P727" s="8" t="s">
        <v>11</v>
      </c>
      <c r="Q727" s="8" t="s">
        <v>11</v>
      </c>
      <c r="R727" s="8" t="s">
        <v>14</v>
      </c>
      <c r="S727" s="10">
        <v>-10244562.689999999</v>
      </c>
      <c r="T727" s="8" t="s">
        <v>14</v>
      </c>
      <c r="U727" s="10">
        <v>3049068.04</v>
      </c>
      <c r="V727" s="8" t="s">
        <v>11</v>
      </c>
      <c r="W727" s="8" t="s">
        <v>11</v>
      </c>
      <c r="X727" s="8" t="s">
        <v>11</v>
      </c>
      <c r="Y727" s="8" t="s">
        <v>11</v>
      </c>
      <c r="Z727" s="8" t="s">
        <v>11</v>
      </c>
      <c r="AA727" s="8" t="s">
        <v>11</v>
      </c>
      <c r="AB727" s="8" t="s">
        <v>11</v>
      </c>
      <c r="AC727" s="8" t="s">
        <v>11</v>
      </c>
      <c r="AD727" s="8" t="s">
        <v>11</v>
      </c>
      <c r="AE727" s="9"/>
      <c r="AF727" s="9"/>
      <c r="AG727" s="8" t="s">
        <v>11</v>
      </c>
    </row>
    <row r="728" spans="1:36" hidden="1" x14ac:dyDescent="0.25">
      <c r="A728" s="8" t="s">
        <v>11</v>
      </c>
      <c r="B728" s="8" t="s">
        <v>11</v>
      </c>
      <c r="C728" s="8" t="s">
        <v>11</v>
      </c>
      <c r="D728" s="8" t="s">
        <v>11</v>
      </c>
      <c r="E728" s="8" t="s">
        <v>11</v>
      </c>
      <c r="F728" s="8" t="s">
        <v>11</v>
      </c>
      <c r="G728" s="9"/>
      <c r="H728" s="8" t="s">
        <v>11</v>
      </c>
      <c r="I728" s="8" t="s">
        <v>11</v>
      </c>
      <c r="J728" s="9"/>
      <c r="K728" s="9"/>
      <c r="L728" s="8" t="s">
        <v>11</v>
      </c>
      <c r="M728" s="8" t="s">
        <v>11</v>
      </c>
      <c r="N728" s="8" t="s">
        <v>11</v>
      </c>
      <c r="O728" s="8" t="s">
        <v>11</v>
      </c>
      <c r="P728" s="8" t="s">
        <v>11</v>
      </c>
      <c r="Q728" s="8" t="s">
        <v>11</v>
      </c>
      <c r="R728" s="8" t="s">
        <v>13</v>
      </c>
      <c r="S728" s="10">
        <v>152916.09</v>
      </c>
      <c r="T728" s="8" t="s">
        <v>11</v>
      </c>
      <c r="U728" s="11"/>
      <c r="V728" s="8" t="s">
        <v>11</v>
      </c>
      <c r="W728" s="8" t="s">
        <v>11</v>
      </c>
      <c r="X728" s="8" t="s">
        <v>11</v>
      </c>
      <c r="Y728" s="8" t="s">
        <v>11</v>
      </c>
      <c r="Z728" s="8" t="s">
        <v>11</v>
      </c>
      <c r="AA728" s="8" t="s">
        <v>11</v>
      </c>
      <c r="AB728" s="8" t="s">
        <v>11</v>
      </c>
      <c r="AC728" s="8" t="s">
        <v>11</v>
      </c>
      <c r="AD728" s="8" t="s">
        <v>11</v>
      </c>
      <c r="AE728" s="9"/>
      <c r="AF728" s="9"/>
      <c r="AG728" s="8" t="s">
        <v>11</v>
      </c>
    </row>
  </sheetData>
  <autoFilter ref="G1:AJ728" xr:uid="{00000000-0001-0000-0000-000000000000}">
    <filterColumn colId="2">
      <filters>
        <filter val="DZ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karan.vakharia</cp:lastModifiedBy>
  <cp:revision>1</cp:revision>
  <dcterms:modified xsi:type="dcterms:W3CDTF">2026-04-06T12:43:43Z</dcterms:modified>
  <cp:category/>
</cp:coreProperties>
</file>