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erver\2. Tax &amp; Assurance\Capital Land\9. KUEHNE NAGEL PVT. LTD\Scrap\"/>
    </mc:Choice>
  </mc:AlternateContent>
  <xr:revisionPtr revIDLastSave="0" documentId="8_{5F351A05-A9D6-4B6C-915D-020A4856562C}" xr6:coauthVersionLast="47" xr6:coauthVersionMax="47" xr10:uidLastSave="{00000000-0000-0000-0000-000000000000}"/>
  <bookViews>
    <workbookView xWindow="-110" yWindow="-110" windowWidth="21820" windowHeight="14020" tabRatio="937" firstSheet="1" activeTab="1" xr2:uid="{5925E2E0-1D62-459F-8D22-2B13EE12D4DD}"/>
  </bookViews>
  <sheets>
    <sheet name="Ascendus DATA" sheetId="8" state="hidden" r:id="rId1"/>
    <sheet name="Summary " sheetId="17" r:id="rId2"/>
    <sheet name="Biling Reco" sheetId="10" r:id="rId3"/>
    <sheet name="Payment Reco" sheetId="6" r:id="rId4"/>
    <sheet name="Pivot data" sheetId="5" r:id="rId5"/>
    <sheet name="Invoices not in customer's Book" sheetId="15" r:id="rId6"/>
    <sheet name="CN Not in Customer's Books" sheetId="14" r:id="rId7"/>
    <sheet name="Foreign Exchange difference" sheetId="18" r:id="rId8"/>
    <sheet name="Ascendus" sheetId="13" r:id="rId9"/>
    <sheet name="Sheet12" sheetId="12" state="hidden" r:id="rId10"/>
    <sheet name="Sheet4" sheetId="19" state="hidden" r:id="rId11"/>
    <sheet name="CUSTOMER DATA" sheetId="1" r:id="rId12"/>
    <sheet name="Customer TDS" sheetId="20" r:id="rId13"/>
    <sheet name="Customer P matching" sheetId="21" r:id="rId14"/>
    <sheet name="Pivot" sheetId="9" r:id="rId15"/>
    <sheet name="26AS Reco" sheetId="11" r:id="rId16"/>
  </sheets>
  <externalReferences>
    <externalReference r:id="rId17"/>
    <externalReference r:id="rId18"/>
  </externalReferences>
  <definedNames>
    <definedName name="_xlnm._FilterDatabase" localSheetId="8" hidden="1">Ascendus!$A$1:$M$708</definedName>
    <definedName name="_xlnm._FilterDatabase" localSheetId="0" hidden="1">'Ascendus DATA'!$A$1:$K$707</definedName>
    <definedName name="_xlnm._FilterDatabase" localSheetId="11" hidden="1">'CUSTOMER DATA'!$A$2:$S$732</definedName>
    <definedName name="_xlnm._FilterDatabase" localSheetId="12" hidden="1">'Customer TDS'!$A$2:$L$385</definedName>
    <definedName name="_xlnm._FilterDatabase" localSheetId="5" hidden="1">'Invoices not in customer''s Book'!$A$1:$M$141</definedName>
  </definedNames>
  <calcPr calcId="191029"/>
  <pivotCaches>
    <pivotCache cacheId="2" r:id="rId19"/>
    <pivotCache cacheId="3" r:id="rId2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8" i="17" l="1"/>
  <c r="Q711" i="1"/>
  <c r="R711" i="1" s="1"/>
  <c r="Q710" i="1"/>
  <c r="R710" i="1" s="1"/>
  <c r="Q709" i="1"/>
  <c r="R709" i="1" s="1"/>
  <c r="Q707" i="1"/>
  <c r="R707" i="1" s="1"/>
  <c r="Q706" i="1"/>
  <c r="R706" i="1" s="1"/>
  <c r="Q705" i="1"/>
  <c r="R705" i="1" s="1"/>
  <c r="Q704" i="1"/>
  <c r="R704" i="1" s="1"/>
  <c r="Q703" i="1"/>
  <c r="R703" i="1" s="1"/>
  <c r="Q699" i="1"/>
  <c r="R699" i="1" s="1"/>
  <c r="Q698" i="1"/>
  <c r="R698" i="1" s="1"/>
  <c r="Q697" i="1"/>
  <c r="R697" i="1" s="1"/>
  <c r="Q696" i="1"/>
  <c r="R696" i="1" s="1"/>
  <c r="Q695" i="1"/>
  <c r="R695" i="1" s="1"/>
  <c r="Q693" i="1"/>
  <c r="R693" i="1" s="1"/>
  <c r="Q690" i="1"/>
  <c r="R690" i="1" s="1"/>
  <c r="Q688" i="1"/>
  <c r="R688" i="1" s="1"/>
  <c r="Q687" i="1"/>
  <c r="R687" i="1" s="1"/>
  <c r="Q685" i="1"/>
  <c r="R685" i="1" s="1"/>
  <c r="Q684" i="1"/>
  <c r="R684" i="1" s="1"/>
  <c r="Q678" i="1"/>
  <c r="R678" i="1" s="1"/>
  <c r="Q677" i="1"/>
  <c r="R677" i="1" s="1"/>
  <c r="Q676" i="1"/>
  <c r="R676" i="1" s="1"/>
  <c r="Q671" i="1"/>
  <c r="R671" i="1" s="1"/>
  <c r="Q668" i="1"/>
  <c r="R668" i="1" s="1"/>
  <c r="Q667" i="1"/>
  <c r="R667" i="1" s="1"/>
  <c r="Q662" i="1"/>
  <c r="R662" i="1" s="1"/>
  <c r="Q661" i="1"/>
  <c r="R661" i="1" s="1"/>
  <c r="Q660" i="1"/>
  <c r="R660" i="1" s="1"/>
  <c r="Q659" i="1"/>
  <c r="R659" i="1" s="1"/>
  <c r="Q654" i="1"/>
  <c r="R654" i="1" s="1"/>
  <c r="Q653" i="1"/>
  <c r="R653" i="1" s="1"/>
  <c r="Q649" i="1"/>
  <c r="R649" i="1" s="1"/>
  <c r="Q648" i="1"/>
  <c r="R648" i="1" s="1"/>
  <c r="Q647" i="1"/>
  <c r="R647" i="1" s="1"/>
  <c r="Q646" i="1"/>
  <c r="R646" i="1" s="1"/>
  <c r="Q645" i="1"/>
  <c r="R645" i="1" s="1"/>
  <c r="Q640" i="1"/>
  <c r="R640" i="1" s="1"/>
  <c r="Q639" i="1"/>
  <c r="R639" i="1" s="1"/>
  <c r="Q638" i="1"/>
  <c r="R638" i="1" s="1"/>
  <c r="Q637" i="1"/>
  <c r="R637" i="1" s="1"/>
  <c r="Q635" i="1"/>
  <c r="R635" i="1" s="1"/>
  <c r="Q631" i="1"/>
  <c r="R631" i="1" s="1"/>
  <c r="Q630" i="1"/>
  <c r="R630" i="1" s="1"/>
  <c r="Q629" i="1"/>
  <c r="R629" i="1" s="1"/>
  <c r="Q625" i="1"/>
  <c r="R625" i="1" s="1"/>
  <c r="Q624" i="1"/>
  <c r="R624" i="1" s="1"/>
  <c r="Q623" i="1"/>
  <c r="R623" i="1" s="1"/>
  <c r="Q622" i="1"/>
  <c r="R622" i="1" s="1"/>
  <c r="Q621" i="1"/>
  <c r="R621" i="1" s="1"/>
  <c r="Q620" i="1"/>
  <c r="R620" i="1" s="1"/>
  <c r="Q619" i="1"/>
  <c r="R619" i="1" s="1"/>
  <c r="Q617" i="1"/>
  <c r="R617" i="1" s="1"/>
  <c r="Q616" i="1"/>
  <c r="R616" i="1" s="1"/>
  <c r="Q615" i="1"/>
  <c r="R615" i="1" s="1"/>
  <c r="Q610" i="1"/>
  <c r="R610" i="1" s="1"/>
  <c r="Q609" i="1"/>
  <c r="R609" i="1" s="1"/>
  <c r="Q608" i="1"/>
  <c r="R608" i="1" s="1"/>
  <c r="Q607" i="1"/>
  <c r="R607" i="1" s="1"/>
  <c r="Q606" i="1"/>
  <c r="R606" i="1" s="1"/>
  <c r="Q603" i="1"/>
  <c r="R603" i="1" s="1"/>
  <c r="Q602" i="1"/>
  <c r="R602" i="1" s="1"/>
  <c r="Q600" i="1"/>
  <c r="R600" i="1" s="1"/>
  <c r="Q599" i="1"/>
  <c r="R599" i="1" s="1"/>
  <c r="Q598" i="1"/>
  <c r="R598" i="1" s="1"/>
  <c r="Q596" i="1"/>
  <c r="R596" i="1" s="1"/>
  <c r="Q595" i="1"/>
  <c r="R595" i="1" s="1"/>
  <c r="Q576" i="1"/>
  <c r="R576" i="1" s="1"/>
  <c r="Q569" i="1"/>
  <c r="R569" i="1" s="1"/>
  <c r="Q568" i="1"/>
  <c r="R568" i="1" s="1"/>
  <c r="Q567" i="1"/>
  <c r="R567" i="1" s="1"/>
  <c r="Q566" i="1"/>
  <c r="R566" i="1" s="1"/>
  <c r="Q565" i="1"/>
  <c r="R565" i="1" s="1"/>
  <c r="Q564" i="1"/>
  <c r="R564" i="1" s="1"/>
  <c r="Q561" i="1"/>
  <c r="R561" i="1" s="1"/>
  <c r="Q559" i="1"/>
  <c r="R559" i="1" s="1"/>
  <c r="Q556" i="1"/>
  <c r="R556" i="1" s="1"/>
  <c r="Q555" i="1"/>
  <c r="R555" i="1" s="1"/>
  <c r="Q554" i="1"/>
  <c r="R554" i="1" s="1"/>
  <c r="Q553" i="1"/>
  <c r="R553" i="1" s="1"/>
  <c r="Q552" i="1"/>
  <c r="R552" i="1" s="1"/>
  <c r="Q548" i="1"/>
  <c r="R548" i="1" s="1"/>
  <c r="Q547" i="1"/>
  <c r="R547" i="1" s="1"/>
  <c r="Q546" i="1"/>
  <c r="R546" i="1" s="1"/>
  <c r="Q533" i="1"/>
  <c r="R533" i="1" s="1"/>
  <c r="Q519" i="1"/>
  <c r="R519" i="1" s="1"/>
  <c r="Q518" i="1"/>
  <c r="R518" i="1" s="1"/>
  <c r="Q505" i="1"/>
  <c r="R505" i="1" s="1"/>
  <c r="Q472" i="1"/>
  <c r="R472" i="1" s="1"/>
  <c r="Q471" i="1"/>
  <c r="R471" i="1" s="1"/>
  <c r="Q470" i="1"/>
  <c r="R470" i="1" s="1"/>
  <c r="Q469" i="1"/>
  <c r="R469" i="1" s="1"/>
  <c r="Q468" i="1"/>
  <c r="R468" i="1" s="1"/>
  <c r="Q467" i="1"/>
  <c r="R467" i="1" s="1"/>
  <c r="Q466" i="1"/>
  <c r="R466" i="1" s="1"/>
  <c r="Q465" i="1"/>
  <c r="R465" i="1" s="1"/>
  <c r="Q464" i="1"/>
  <c r="R464" i="1" s="1"/>
  <c r="Q463" i="1"/>
  <c r="R463" i="1" s="1"/>
  <c r="Q462" i="1"/>
  <c r="R462" i="1" s="1"/>
  <c r="Q461" i="1"/>
  <c r="R461" i="1" s="1"/>
  <c r="Q460" i="1"/>
  <c r="R460" i="1" s="1"/>
  <c r="Q459" i="1"/>
  <c r="R459" i="1" s="1"/>
  <c r="Q458" i="1"/>
  <c r="R458" i="1" s="1"/>
  <c r="Q457" i="1"/>
  <c r="R457" i="1" s="1"/>
  <c r="Q456" i="1"/>
  <c r="R456" i="1" s="1"/>
  <c r="Q455" i="1"/>
  <c r="R455" i="1" s="1"/>
  <c r="Q454" i="1"/>
  <c r="R454" i="1" s="1"/>
  <c r="Q453" i="1"/>
  <c r="R453" i="1" s="1"/>
  <c r="Q452" i="1"/>
  <c r="R452" i="1" s="1"/>
  <c r="Q451" i="1"/>
  <c r="R451" i="1" s="1"/>
  <c r="Q450" i="1"/>
  <c r="R450" i="1" s="1"/>
  <c r="Q449" i="1"/>
  <c r="R449" i="1" s="1"/>
  <c r="Q448" i="1"/>
  <c r="R448" i="1" s="1"/>
  <c r="Q375" i="1"/>
  <c r="R375" i="1" s="1"/>
  <c r="Q374" i="1"/>
  <c r="R374" i="1" s="1"/>
  <c r="Q373" i="1"/>
  <c r="R373" i="1" s="1"/>
  <c r="Q372" i="1"/>
  <c r="R372" i="1" s="1"/>
  <c r="Q371" i="1"/>
  <c r="R371" i="1" s="1"/>
  <c r="Q370" i="1"/>
  <c r="R370" i="1" s="1"/>
  <c r="Q369" i="1"/>
  <c r="R369" i="1" s="1"/>
  <c r="Q368" i="1"/>
  <c r="R368" i="1" s="1"/>
  <c r="Q367" i="1"/>
  <c r="R367" i="1" s="1"/>
  <c r="Q366" i="1"/>
  <c r="R366" i="1" s="1"/>
  <c r="Q365" i="1"/>
  <c r="R365" i="1" s="1"/>
  <c r="Q364" i="1"/>
  <c r="R364" i="1" s="1"/>
  <c r="Q363" i="1"/>
  <c r="R363" i="1" s="1"/>
  <c r="Q362" i="1"/>
  <c r="R362" i="1" s="1"/>
  <c r="Q361" i="1"/>
  <c r="R361" i="1" s="1"/>
  <c r="Q360" i="1"/>
  <c r="R360" i="1" s="1"/>
  <c r="Q359" i="1"/>
  <c r="R359" i="1" s="1"/>
  <c r="Q358" i="1"/>
  <c r="R358" i="1" s="1"/>
  <c r="Q357" i="1"/>
  <c r="R357" i="1" s="1"/>
  <c r="Q356" i="1"/>
  <c r="R356" i="1" s="1"/>
  <c r="Q355" i="1"/>
  <c r="R355" i="1" s="1"/>
  <c r="Q354" i="1"/>
  <c r="R354" i="1" s="1"/>
  <c r="Q353" i="1"/>
  <c r="R353" i="1" s="1"/>
  <c r="Q352" i="1"/>
  <c r="R352" i="1" s="1"/>
  <c r="Q351" i="1"/>
  <c r="R351" i="1" s="1"/>
  <c r="Q350" i="1"/>
  <c r="R350" i="1" s="1"/>
  <c r="Q349" i="1"/>
  <c r="R349" i="1" s="1"/>
  <c r="Q348" i="1"/>
  <c r="R348" i="1" s="1"/>
  <c r="Q347" i="1"/>
  <c r="R347" i="1" s="1"/>
  <c r="Q346" i="1"/>
  <c r="R346" i="1" s="1"/>
  <c r="Q345" i="1"/>
  <c r="R345" i="1" s="1"/>
  <c r="Q344" i="1"/>
  <c r="R344" i="1" s="1"/>
  <c r="Q343" i="1"/>
  <c r="R343" i="1" s="1"/>
  <c r="Q342" i="1"/>
  <c r="R342" i="1" s="1"/>
  <c r="Q341" i="1"/>
  <c r="R341" i="1" s="1"/>
  <c r="Q340" i="1"/>
  <c r="R340" i="1" s="1"/>
  <c r="Q339" i="1"/>
  <c r="R339" i="1" s="1"/>
  <c r="Q338" i="1"/>
  <c r="R338" i="1" s="1"/>
  <c r="Q337" i="1"/>
  <c r="R337" i="1" s="1"/>
  <c r="Q336" i="1"/>
  <c r="R336" i="1" s="1"/>
  <c r="Q335" i="1"/>
  <c r="R335" i="1" s="1"/>
  <c r="Q334" i="1"/>
  <c r="R334" i="1" s="1"/>
  <c r="Q333" i="1"/>
  <c r="R333" i="1" s="1"/>
  <c r="Q332" i="1"/>
  <c r="R332" i="1" s="1"/>
  <c r="Q331" i="1"/>
  <c r="R331" i="1" s="1"/>
  <c r="Q330" i="1"/>
  <c r="R330" i="1" s="1"/>
  <c r="Q329" i="1"/>
  <c r="R329" i="1" s="1"/>
  <c r="Q328" i="1"/>
  <c r="R328" i="1" s="1"/>
  <c r="Q327" i="1"/>
  <c r="R327" i="1" s="1"/>
  <c r="Q326" i="1"/>
  <c r="R326" i="1" s="1"/>
  <c r="Q325" i="1"/>
  <c r="R325" i="1" s="1"/>
  <c r="Q324" i="1"/>
  <c r="R324" i="1" s="1"/>
  <c r="Q323" i="1"/>
  <c r="R323" i="1" s="1"/>
  <c r="Q322" i="1"/>
  <c r="R322" i="1" s="1"/>
  <c r="Q321" i="1"/>
  <c r="R321" i="1" s="1"/>
  <c r="Q320" i="1"/>
  <c r="R320" i="1" s="1"/>
  <c r="Q319" i="1"/>
  <c r="R319" i="1" s="1"/>
  <c r="Q318" i="1"/>
  <c r="R318" i="1" s="1"/>
  <c r="Q317" i="1"/>
  <c r="R317" i="1" s="1"/>
  <c r="Q316" i="1"/>
  <c r="R316" i="1" s="1"/>
  <c r="Q315" i="1"/>
  <c r="R315" i="1" s="1"/>
  <c r="Q314" i="1"/>
  <c r="R314" i="1" s="1"/>
  <c r="Q313" i="1"/>
  <c r="R313" i="1" s="1"/>
  <c r="Q312" i="1"/>
  <c r="R312" i="1" s="1"/>
  <c r="Q311" i="1"/>
  <c r="R311" i="1" s="1"/>
  <c r="Q310" i="1"/>
  <c r="R310" i="1" s="1"/>
  <c r="Q309" i="1"/>
  <c r="R309" i="1" s="1"/>
  <c r="Q308" i="1"/>
  <c r="R308" i="1" s="1"/>
  <c r="Q307" i="1"/>
  <c r="R307" i="1" s="1"/>
  <c r="Q306" i="1"/>
  <c r="R306" i="1" s="1"/>
  <c r="Q305" i="1"/>
  <c r="R305" i="1" s="1"/>
  <c r="Q304" i="1"/>
  <c r="R304" i="1" s="1"/>
  <c r="Q303" i="1"/>
  <c r="R303" i="1" s="1"/>
  <c r="Q302" i="1"/>
  <c r="R302" i="1" s="1"/>
  <c r="Q301" i="1"/>
  <c r="R301" i="1" s="1"/>
  <c r="Q300" i="1"/>
  <c r="R300" i="1" s="1"/>
  <c r="Q299" i="1"/>
  <c r="R299" i="1" s="1"/>
  <c r="Q298" i="1"/>
  <c r="R298" i="1" s="1"/>
  <c r="Q297" i="1"/>
  <c r="R297" i="1" s="1"/>
  <c r="Q296" i="1"/>
  <c r="R296" i="1" s="1"/>
  <c r="Q295" i="1"/>
  <c r="R295" i="1" s="1"/>
  <c r="Q294" i="1"/>
  <c r="R294" i="1" s="1"/>
  <c r="Q293" i="1"/>
  <c r="R293" i="1" s="1"/>
  <c r="Q292" i="1"/>
  <c r="R292" i="1" s="1"/>
  <c r="Q291" i="1"/>
  <c r="R291" i="1" s="1"/>
  <c r="Q290" i="1"/>
  <c r="R290" i="1" s="1"/>
  <c r="Q289" i="1"/>
  <c r="R289" i="1" s="1"/>
  <c r="Q288" i="1"/>
  <c r="R288" i="1" s="1"/>
  <c r="Q287" i="1"/>
  <c r="R287" i="1" s="1"/>
  <c r="Q286" i="1"/>
  <c r="R286" i="1" s="1"/>
  <c r="Q285" i="1"/>
  <c r="R285" i="1" s="1"/>
  <c r="Q276" i="1"/>
  <c r="R276" i="1" s="1"/>
  <c r="Q275" i="1"/>
  <c r="R275" i="1" s="1"/>
  <c r="Q274" i="1"/>
  <c r="R274" i="1" s="1"/>
  <c r="Q270" i="1"/>
  <c r="R270" i="1" s="1"/>
  <c r="Q269" i="1"/>
  <c r="R269" i="1" s="1"/>
  <c r="Q263" i="1"/>
  <c r="R263" i="1" s="1"/>
  <c r="Q261" i="1"/>
  <c r="R261" i="1" s="1"/>
  <c r="Q255" i="1"/>
  <c r="R255" i="1" s="1"/>
  <c r="Q254" i="1"/>
  <c r="R254" i="1" s="1"/>
  <c r="Q253" i="1"/>
  <c r="R253" i="1" s="1"/>
  <c r="Q252" i="1"/>
  <c r="R252" i="1" s="1"/>
  <c r="Q251" i="1"/>
  <c r="R251" i="1" s="1"/>
  <c r="Q250" i="1"/>
  <c r="R250" i="1" s="1"/>
  <c r="Q247" i="1"/>
  <c r="R247" i="1" s="1"/>
  <c r="Q246" i="1"/>
  <c r="R246" i="1" s="1"/>
  <c r="Q241" i="1"/>
  <c r="R241" i="1" s="1"/>
  <c r="Q240" i="1"/>
  <c r="R240" i="1" s="1"/>
  <c r="Q239" i="1"/>
  <c r="R239" i="1" s="1"/>
  <c r="Q238" i="1"/>
  <c r="R238" i="1" s="1"/>
  <c r="Q237" i="1"/>
  <c r="R237" i="1" s="1"/>
  <c r="Q236" i="1"/>
  <c r="R236" i="1" s="1"/>
  <c r="Q235" i="1"/>
  <c r="R235" i="1" s="1"/>
  <c r="Q234" i="1"/>
  <c r="R234" i="1" s="1"/>
  <c r="Q233" i="1"/>
  <c r="R233" i="1" s="1"/>
  <c r="Q232" i="1"/>
  <c r="R232" i="1" s="1"/>
  <c r="Q231" i="1"/>
  <c r="R231" i="1" s="1"/>
  <c r="Q230" i="1"/>
  <c r="R230" i="1" s="1"/>
  <c r="Q229" i="1"/>
  <c r="R229" i="1" s="1"/>
  <c r="Q228" i="1"/>
  <c r="R228" i="1" s="1"/>
  <c r="Q227" i="1"/>
  <c r="R227" i="1" s="1"/>
  <c r="Q226" i="1"/>
  <c r="R226" i="1" s="1"/>
  <c r="Q225" i="1"/>
  <c r="R225" i="1" s="1"/>
  <c r="Q224" i="1"/>
  <c r="R224" i="1" s="1"/>
  <c r="Q223" i="1"/>
  <c r="R223" i="1" s="1"/>
  <c r="Q222" i="1"/>
  <c r="R222" i="1" s="1"/>
  <c r="Q221" i="1"/>
  <c r="R221" i="1" s="1"/>
  <c r="Q220" i="1"/>
  <c r="R220" i="1" s="1"/>
  <c r="Q219" i="1"/>
  <c r="R219" i="1" s="1"/>
  <c r="Q218" i="1"/>
  <c r="R218" i="1" s="1"/>
  <c r="Q217" i="1"/>
  <c r="R217" i="1" s="1"/>
  <c r="Q216" i="1"/>
  <c r="R216" i="1" s="1"/>
  <c r="Q215" i="1"/>
  <c r="R215" i="1" s="1"/>
  <c r="Q214" i="1"/>
  <c r="R214" i="1" s="1"/>
  <c r="Q213" i="1"/>
  <c r="R213" i="1" s="1"/>
  <c r="Q212" i="1"/>
  <c r="R212" i="1" s="1"/>
  <c r="Q211" i="1"/>
  <c r="R211" i="1" s="1"/>
  <c r="Q210" i="1"/>
  <c r="R210" i="1" s="1"/>
  <c r="Q209" i="1"/>
  <c r="R209" i="1" s="1"/>
  <c r="Q208" i="1"/>
  <c r="R208" i="1" s="1"/>
  <c r="Q207" i="1"/>
  <c r="R207" i="1" s="1"/>
  <c r="Q206" i="1"/>
  <c r="R206" i="1" s="1"/>
  <c r="Q205" i="1"/>
  <c r="R205" i="1" s="1"/>
  <c r="Q204" i="1"/>
  <c r="R204" i="1" s="1"/>
  <c r="Q203" i="1"/>
  <c r="R203" i="1" s="1"/>
  <c r="Q202" i="1"/>
  <c r="R202" i="1" s="1"/>
  <c r="Q201" i="1"/>
  <c r="R201" i="1" s="1"/>
  <c r="Q200" i="1"/>
  <c r="R200" i="1" s="1"/>
  <c r="Q199" i="1"/>
  <c r="R199" i="1" s="1"/>
  <c r="Q198" i="1"/>
  <c r="R198" i="1" s="1"/>
  <c r="Q197" i="1"/>
  <c r="R197" i="1" s="1"/>
  <c r="Q196" i="1"/>
  <c r="R196" i="1" s="1"/>
  <c r="Q195" i="1"/>
  <c r="R195" i="1" s="1"/>
  <c r="Q194" i="1"/>
  <c r="R194" i="1" s="1"/>
  <c r="Q193" i="1"/>
  <c r="R193" i="1" s="1"/>
  <c r="Q192" i="1"/>
  <c r="R192" i="1" s="1"/>
  <c r="Q191" i="1"/>
  <c r="R191" i="1" s="1"/>
  <c r="Q190" i="1"/>
  <c r="R190" i="1" s="1"/>
  <c r="Q189" i="1"/>
  <c r="R189" i="1" s="1"/>
  <c r="Q188" i="1"/>
  <c r="R188" i="1" s="1"/>
  <c r="Q187" i="1"/>
  <c r="R187" i="1" s="1"/>
  <c r="Q186" i="1"/>
  <c r="R186" i="1" s="1"/>
  <c r="Q185" i="1"/>
  <c r="R185" i="1" s="1"/>
  <c r="Q184" i="1"/>
  <c r="R184" i="1" s="1"/>
  <c r="Q183" i="1"/>
  <c r="R183" i="1" s="1"/>
  <c r="Q182" i="1"/>
  <c r="R182" i="1" s="1"/>
  <c r="Q181" i="1"/>
  <c r="R181" i="1" s="1"/>
  <c r="Q180" i="1"/>
  <c r="R180" i="1" s="1"/>
  <c r="Q179" i="1"/>
  <c r="R179" i="1" s="1"/>
  <c r="Q178" i="1"/>
  <c r="R178" i="1" s="1"/>
  <c r="Q177" i="1"/>
  <c r="R177" i="1" s="1"/>
  <c r="Q176" i="1"/>
  <c r="R176" i="1" s="1"/>
  <c r="Q175" i="1"/>
  <c r="R175" i="1" s="1"/>
  <c r="Q174" i="1"/>
  <c r="R174" i="1" s="1"/>
  <c r="Q173" i="1"/>
  <c r="R173" i="1" s="1"/>
  <c r="Q172" i="1"/>
  <c r="R172" i="1" s="1"/>
  <c r="Q171" i="1"/>
  <c r="R171" i="1" s="1"/>
  <c r="Q170" i="1"/>
  <c r="R170" i="1" s="1"/>
  <c r="Q169" i="1"/>
  <c r="R169" i="1" s="1"/>
  <c r="Q168" i="1"/>
  <c r="R168" i="1" s="1"/>
  <c r="Q167" i="1"/>
  <c r="R167" i="1" s="1"/>
  <c r="Q166" i="1"/>
  <c r="R166" i="1" s="1"/>
  <c r="Q165" i="1"/>
  <c r="R165" i="1" s="1"/>
  <c r="Q164" i="1"/>
  <c r="R164" i="1" s="1"/>
  <c r="Q163" i="1"/>
  <c r="R163" i="1" s="1"/>
  <c r="Q161" i="1"/>
  <c r="R161" i="1" s="1"/>
  <c r="Q155" i="1"/>
  <c r="R155" i="1" s="1"/>
  <c r="Q154" i="1"/>
  <c r="R154" i="1" s="1"/>
  <c r="Q153" i="1"/>
  <c r="R153" i="1" s="1"/>
  <c r="Q152" i="1"/>
  <c r="R152" i="1" s="1"/>
  <c r="Q151" i="1"/>
  <c r="R151" i="1" s="1"/>
  <c r="Q149" i="1"/>
  <c r="R149" i="1" s="1"/>
  <c r="Q148" i="1"/>
  <c r="R148" i="1" s="1"/>
  <c r="Q147" i="1"/>
  <c r="R147" i="1" s="1"/>
  <c r="Q146" i="1"/>
  <c r="R146" i="1" s="1"/>
  <c r="Q144" i="1"/>
  <c r="R144" i="1" s="1"/>
  <c r="Q143" i="1"/>
  <c r="R143" i="1" s="1"/>
  <c r="Q142" i="1"/>
  <c r="R142" i="1" s="1"/>
  <c r="Q140" i="1"/>
  <c r="R140" i="1" s="1"/>
  <c r="Q136" i="1"/>
  <c r="R136" i="1" s="1"/>
  <c r="Q135" i="1"/>
  <c r="R135" i="1" s="1"/>
  <c r="Q134" i="1"/>
  <c r="R134" i="1" s="1"/>
  <c r="Q133" i="1"/>
  <c r="R133" i="1" s="1"/>
  <c r="Q131" i="1"/>
  <c r="R131" i="1" s="1"/>
  <c r="Q130" i="1"/>
  <c r="R130" i="1" s="1"/>
  <c r="Q128" i="1"/>
  <c r="R128" i="1" s="1"/>
  <c r="Q119" i="1"/>
  <c r="R119" i="1" s="1"/>
  <c r="Q118" i="1"/>
  <c r="R118" i="1" s="1"/>
  <c r="Q117" i="1"/>
  <c r="R117" i="1" s="1"/>
  <c r="Q116" i="1"/>
  <c r="R116" i="1" s="1"/>
  <c r="Q115" i="1"/>
  <c r="R115" i="1" s="1"/>
  <c r="Q114" i="1"/>
  <c r="R114" i="1" s="1"/>
  <c r="Q113" i="1"/>
  <c r="R113" i="1" s="1"/>
  <c r="Q112" i="1"/>
  <c r="R112" i="1" s="1"/>
  <c r="Q111" i="1"/>
  <c r="R111" i="1" s="1"/>
  <c r="Q110" i="1"/>
  <c r="R110" i="1" s="1"/>
  <c r="Q109" i="1"/>
  <c r="R109" i="1" s="1"/>
  <c r="Q108" i="1"/>
  <c r="R108" i="1" s="1"/>
  <c r="Q107" i="1"/>
  <c r="R107" i="1" s="1"/>
  <c r="Q106" i="1"/>
  <c r="R106" i="1" s="1"/>
  <c r="Q105" i="1"/>
  <c r="R105" i="1" s="1"/>
  <c r="Q104" i="1"/>
  <c r="R104" i="1" s="1"/>
  <c r="Q103" i="1"/>
  <c r="R103" i="1" s="1"/>
  <c r="Q102" i="1"/>
  <c r="R102" i="1" s="1"/>
  <c r="Q101" i="1"/>
  <c r="R101" i="1" s="1"/>
  <c r="Q99" i="1"/>
  <c r="R99" i="1" s="1"/>
  <c r="Q92" i="1"/>
  <c r="R92" i="1" s="1"/>
  <c r="Q91" i="1"/>
  <c r="R91" i="1" s="1"/>
  <c r="Q90" i="1"/>
  <c r="R90" i="1" s="1"/>
  <c r="Q89" i="1"/>
  <c r="R89" i="1" s="1"/>
  <c r="Q88" i="1"/>
  <c r="R88" i="1" s="1"/>
  <c r="Q87" i="1"/>
  <c r="R87" i="1" s="1"/>
  <c r="Q86" i="1"/>
  <c r="R86" i="1" s="1"/>
  <c r="Q85" i="1"/>
  <c r="R85" i="1" s="1"/>
  <c r="Q84" i="1"/>
  <c r="R84" i="1" s="1"/>
  <c r="Q83" i="1"/>
  <c r="R83" i="1" s="1"/>
  <c r="Q80" i="1"/>
  <c r="R80" i="1" s="1"/>
  <c r="Q79" i="1"/>
  <c r="R79" i="1" s="1"/>
  <c r="Q76" i="1"/>
  <c r="R76" i="1" s="1"/>
  <c r="Q75" i="1"/>
  <c r="R75" i="1" s="1"/>
  <c r="Q74" i="1"/>
  <c r="R74" i="1" s="1"/>
  <c r="Q73" i="1"/>
  <c r="R73" i="1" s="1"/>
  <c r="Q69" i="1"/>
  <c r="R69" i="1" s="1"/>
  <c r="Q68" i="1"/>
  <c r="R68" i="1" s="1"/>
  <c r="Q67" i="1"/>
  <c r="R67" i="1" s="1"/>
  <c r="Q66" i="1"/>
  <c r="R66" i="1" s="1"/>
  <c r="Q63" i="1"/>
  <c r="R63" i="1" s="1"/>
  <c r="Q62" i="1"/>
  <c r="R62" i="1" s="1"/>
  <c r="Q61" i="1"/>
  <c r="R61" i="1" s="1"/>
  <c r="Q60" i="1"/>
  <c r="R60" i="1" s="1"/>
  <c r="Q59" i="1"/>
  <c r="R59" i="1" s="1"/>
  <c r="Q58" i="1"/>
  <c r="R58" i="1" s="1"/>
  <c r="Q57" i="1"/>
  <c r="R57" i="1" s="1"/>
  <c r="Q56" i="1"/>
  <c r="R56" i="1" s="1"/>
  <c r="Q55" i="1"/>
  <c r="R55" i="1" s="1"/>
  <c r="Q54" i="1"/>
  <c r="R54" i="1" s="1"/>
  <c r="Q53" i="1"/>
  <c r="R53" i="1" s="1"/>
  <c r="Q52" i="1"/>
  <c r="R52" i="1" s="1"/>
  <c r="Q51" i="1"/>
  <c r="R51" i="1" s="1"/>
  <c r="Q47" i="1"/>
  <c r="R47" i="1" s="1"/>
  <c r="Q46" i="1"/>
  <c r="R46" i="1" s="1"/>
  <c r="Q29" i="1"/>
  <c r="R29" i="1" s="1"/>
  <c r="Q28" i="1"/>
  <c r="R28" i="1" s="1"/>
  <c r="Q27" i="1"/>
  <c r="R27" i="1" s="1"/>
  <c r="Q26" i="1"/>
  <c r="R26" i="1" s="1"/>
  <c r="Q25" i="1"/>
  <c r="R25" i="1" s="1"/>
  <c r="Q24" i="1"/>
  <c r="R24" i="1" s="1"/>
  <c r="Q23" i="1"/>
  <c r="R23" i="1" s="1"/>
  <c r="Q22" i="1"/>
  <c r="R22" i="1" s="1"/>
  <c r="Q21" i="1"/>
  <c r="R21" i="1" s="1"/>
  <c r="Q20" i="1"/>
  <c r="R20" i="1" s="1"/>
  <c r="Q19" i="1"/>
  <c r="R19" i="1" s="1"/>
  <c r="Q18" i="1"/>
  <c r="R18" i="1" s="1"/>
  <c r="Q17" i="1"/>
  <c r="R17" i="1" s="1"/>
  <c r="Q16" i="1"/>
  <c r="R16" i="1" s="1"/>
  <c r="Q15" i="1"/>
  <c r="R15" i="1" s="1"/>
  <c r="Q14" i="1"/>
  <c r="R14" i="1" s="1"/>
  <c r="Q13" i="1"/>
  <c r="R13" i="1" s="1"/>
  <c r="Q11" i="1"/>
  <c r="R11" i="1" s="1"/>
  <c r="Q9" i="1"/>
  <c r="R9" i="1" s="1"/>
  <c r="Q6" i="1"/>
  <c r="R6" i="1" s="1"/>
  <c r="Q5" i="1"/>
  <c r="R5" i="1" s="1"/>
  <c r="Q3" i="1"/>
  <c r="R3" i="1" s="1"/>
  <c r="E1" i="1"/>
  <c r="P732" i="1"/>
  <c r="P731" i="1"/>
  <c r="P730" i="1"/>
  <c r="P729" i="1"/>
  <c r="P728" i="1"/>
  <c r="P727" i="1"/>
  <c r="P726" i="1"/>
  <c r="P725" i="1"/>
  <c r="P724" i="1"/>
  <c r="P723" i="1"/>
  <c r="P722" i="1"/>
  <c r="P721" i="1"/>
  <c r="P720" i="1"/>
  <c r="P719" i="1"/>
  <c r="P718" i="1"/>
  <c r="P717" i="1"/>
  <c r="P716" i="1"/>
  <c r="P715" i="1"/>
  <c r="P714" i="1"/>
  <c r="P713" i="1"/>
  <c r="P712" i="1"/>
  <c r="P708" i="1"/>
  <c r="P702" i="1"/>
  <c r="P701" i="1"/>
  <c r="P700" i="1"/>
  <c r="P694" i="1"/>
  <c r="P692" i="1"/>
  <c r="P691" i="1"/>
  <c r="P689" i="1"/>
  <c r="P686" i="1"/>
  <c r="P683" i="1"/>
  <c r="P682" i="1"/>
  <c r="P681" i="1"/>
  <c r="P680" i="1"/>
  <c r="P679" i="1"/>
  <c r="P675" i="1"/>
  <c r="P674" i="1"/>
  <c r="P673" i="1"/>
  <c r="P672" i="1"/>
  <c r="P670" i="1"/>
  <c r="P669" i="1"/>
  <c r="P666" i="1"/>
  <c r="P665" i="1"/>
  <c r="P664" i="1"/>
  <c r="P663" i="1"/>
  <c r="P658" i="1"/>
  <c r="P657" i="1"/>
  <c r="P656" i="1"/>
  <c r="P655" i="1"/>
  <c r="P652" i="1"/>
  <c r="P651" i="1"/>
  <c r="P650" i="1"/>
  <c r="P644" i="1"/>
  <c r="P643" i="1"/>
  <c r="P642" i="1"/>
  <c r="P641" i="1"/>
  <c r="P636" i="1"/>
  <c r="P634" i="1"/>
  <c r="P633" i="1"/>
  <c r="P632" i="1"/>
  <c r="P628" i="1"/>
  <c r="P627" i="1"/>
  <c r="P626" i="1"/>
  <c r="P618" i="1"/>
  <c r="P614" i="1"/>
  <c r="P613" i="1"/>
  <c r="P612" i="1"/>
  <c r="P611" i="1"/>
  <c r="P605" i="1"/>
  <c r="P604" i="1"/>
  <c r="P601" i="1"/>
  <c r="P597" i="1"/>
  <c r="P594" i="1"/>
  <c r="P593" i="1"/>
  <c r="P592" i="1"/>
  <c r="P591" i="1"/>
  <c r="P590" i="1"/>
  <c r="P589" i="1"/>
  <c r="P588" i="1"/>
  <c r="P587" i="1"/>
  <c r="P586" i="1"/>
  <c r="P585" i="1"/>
  <c r="P584" i="1"/>
  <c r="P583" i="1"/>
  <c r="P582" i="1"/>
  <c r="P581" i="1"/>
  <c r="P580" i="1"/>
  <c r="P579" i="1"/>
  <c r="P578" i="1"/>
  <c r="P577" i="1"/>
  <c r="P575" i="1"/>
  <c r="P574" i="1"/>
  <c r="P573" i="1"/>
  <c r="P572" i="1"/>
  <c r="P571" i="1"/>
  <c r="P570" i="1"/>
  <c r="P563" i="1"/>
  <c r="P562" i="1"/>
  <c r="P560" i="1"/>
  <c r="P558" i="1"/>
  <c r="P557" i="1"/>
  <c r="P551" i="1"/>
  <c r="P550" i="1"/>
  <c r="P549" i="1"/>
  <c r="P545" i="1"/>
  <c r="P544" i="1"/>
  <c r="P543" i="1"/>
  <c r="P542" i="1"/>
  <c r="P541" i="1"/>
  <c r="P540" i="1"/>
  <c r="P539" i="1"/>
  <c r="P538" i="1"/>
  <c r="P537" i="1"/>
  <c r="P536" i="1"/>
  <c r="P535" i="1"/>
  <c r="P534" i="1"/>
  <c r="P532" i="1"/>
  <c r="P531" i="1"/>
  <c r="P530" i="1"/>
  <c r="P529" i="1"/>
  <c r="P528" i="1"/>
  <c r="P527" i="1"/>
  <c r="P526" i="1"/>
  <c r="P525" i="1"/>
  <c r="P524" i="1"/>
  <c r="P523" i="1"/>
  <c r="P522" i="1"/>
  <c r="P521" i="1"/>
  <c r="P520" i="1"/>
  <c r="P517" i="1"/>
  <c r="P516" i="1"/>
  <c r="P515" i="1"/>
  <c r="P514" i="1"/>
  <c r="P513" i="1"/>
  <c r="P512" i="1"/>
  <c r="P511" i="1"/>
  <c r="P510" i="1"/>
  <c r="P509" i="1"/>
  <c r="P508" i="1"/>
  <c r="P507" i="1"/>
  <c r="P506" i="1"/>
  <c r="P504" i="1"/>
  <c r="P503" i="1"/>
  <c r="P502" i="1"/>
  <c r="P501" i="1"/>
  <c r="P500" i="1"/>
  <c r="P499" i="1"/>
  <c r="P498" i="1"/>
  <c r="P497" i="1"/>
  <c r="P496" i="1"/>
  <c r="P495" i="1"/>
  <c r="P494" i="1"/>
  <c r="P493" i="1"/>
  <c r="P492" i="1"/>
  <c r="P491" i="1"/>
  <c r="P490" i="1"/>
  <c r="P489" i="1"/>
  <c r="P488" i="1"/>
  <c r="P487" i="1"/>
  <c r="P486" i="1"/>
  <c r="P485" i="1"/>
  <c r="P484" i="1"/>
  <c r="P483" i="1"/>
  <c r="P482" i="1"/>
  <c r="P481" i="1"/>
  <c r="P480" i="1"/>
  <c r="P479" i="1"/>
  <c r="P478" i="1"/>
  <c r="P477" i="1"/>
  <c r="P476" i="1"/>
  <c r="P475" i="1"/>
  <c r="P474" i="1"/>
  <c r="P473" i="1"/>
  <c r="P447" i="1"/>
  <c r="P446" i="1"/>
  <c r="P445" i="1"/>
  <c r="P444" i="1"/>
  <c r="P443" i="1"/>
  <c r="P442" i="1"/>
  <c r="P441" i="1"/>
  <c r="P440" i="1"/>
  <c r="P439" i="1"/>
  <c r="P438" i="1"/>
  <c r="P437" i="1"/>
  <c r="P436" i="1"/>
  <c r="P435" i="1"/>
  <c r="P434" i="1"/>
  <c r="P433" i="1"/>
  <c r="P432" i="1"/>
  <c r="P431" i="1"/>
  <c r="P430" i="1"/>
  <c r="P429" i="1"/>
  <c r="P428" i="1"/>
  <c r="P427" i="1"/>
  <c r="P426" i="1"/>
  <c r="P425" i="1"/>
  <c r="P424" i="1"/>
  <c r="P423" i="1"/>
  <c r="P422" i="1"/>
  <c r="P421" i="1"/>
  <c r="P420" i="1"/>
  <c r="P419" i="1"/>
  <c r="P418" i="1"/>
  <c r="P417" i="1"/>
  <c r="P416" i="1"/>
  <c r="P415" i="1"/>
  <c r="P414" i="1"/>
  <c r="P413" i="1"/>
  <c r="P412" i="1"/>
  <c r="P411" i="1"/>
  <c r="P410" i="1"/>
  <c r="P409" i="1"/>
  <c r="P408" i="1"/>
  <c r="P407" i="1"/>
  <c r="P406" i="1"/>
  <c r="P405" i="1"/>
  <c r="P404" i="1"/>
  <c r="P403" i="1"/>
  <c r="P402" i="1"/>
  <c r="P401" i="1"/>
  <c r="P400" i="1"/>
  <c r="P399" i="1"/>
  <c r="P398" i="1"/>
  <c r="P397" i="1"/>
  <c r="P396" i="1"/>
  <c r="P395" i="1"/>
  <c r="P394" i="1"/>
  <c r="P393" i="1"/>
  <c r="P392" i="1"/>
  <c r="P391" i="1"/>
  <c r="P390" i="1"/>
  <c r="P389" i="1"/>
  <c r="P388" i="1"/>
  <c r="P387" i="1"/>
  <c r="P386" i="1"/>
  <c r="P385" i="1"/>
  <c r="P384" i="1"/>
  <c r="P383" i="1"/>
  <c r="P382" i="1"/>
  <c r="P381" i="1"/>
  <c r="P380" i="1"/>
  <c r="P379" i="1"/>
  <c r="P378" i="1"/>
  <c r="P377" i="1"/>
  <c r="P376" i="1"/>
  <c r="P375" i="1"/>
  <c r="P315" i="1"/>
  <c r="P313" i="1"/>
  <c r="P312" i="1"/>
  <c r="P284" i="1"/>
  <c r="P283" i="1"/>
  <c r="P282" i="1"/>
  <c r="P281" i="1"/>
  <c r="P280" i="1"/>
  <c r="P279" i="1"/>
  <c r="P278" i="1"/>
  <c r="P277" i="1"/>
  <c r="P273" i="1"/>
  <c r="P272" i="1"/>
  <c r="P271" i="1"/>
  <c r="P268" i="1"/>
  <c r="P267" i="1"/>
  <c r="P266" i="1"/>
  <c r="P265" i="1"/>
  <c r="P264" i="1"/>
  <c r="P262" i="1"/>
  <c r="P260" i="1"/>
  <c r="P259" i="1"/>
  <c r="P258" i="1"/>
  <c r="P257" i="1"/>
  <c r="P256" i="1"/>
  <c r="P249" i="1"/>
  <c r="P248" i="1"/>
  <c r="P245" i="1"/>
  <c r="P244" i="1"/>
  <c r="P243" i="1"/>
  <c r="P242" i="1"/>
  <c r="P162" i="1"/>
  <c r="P160" i="1"/>
  <c r="P159" i="1"/>
  <c r="P158" i="1"/>
  <c r="P157" i="1"/>
  <c r="P156" i="1"/>
  <c r="P150" i="1"/>
  <c r="P145" i="1"/>
  <c r="P141" i="1"/>
  <c r="P139" i="1"/>
  <c r="P138" i="1"/>
  <c r="P137" i="1"/>
  <c r="P132" i="1"/>
  <c r="P129" i="1"/>
  <c r="P127" i="1"/>
  <c r="P126" i="1"/>
  <c r="P125" i="1"/>
  <c r="P124" i="1"/>
  <c r="P123" i="1"/>
  <c r="P122" i="1"/>
  <c r="P121" i="1"/>
  <c r="P120" i="1"/>
  <c r="P100" i="1"/>
  <c r="P98" i="1"/>
  <c r="P97" i="1"/>
  <c r="P96" i="1"/>
  <c r="P95" i="1"/>
  <c r="P94" i="1"/>
  <c r="P93" i="1"/>
  <c r="P82" i="1"/>
  <c r="P81" i="1"/>
  <c r="P78" i="1"/>
  <c r="P77" i="1"/>
  <c r="P72" i="1"/>
  <c r="P71" i="1"/>
  <c r="P70" i="1"/>
  <c r="P65" i="1"/>
  <c r="P64" i="1"/>
  <c r="P57" i="1"/>
  <c r="P56" i="1"/>
  <c r="P55" i="1"/>
  <c r="P54" i="1"/>
  <c r="P53" i="1"/>
  <c r="P52" i="1"/>
  <c r="P51" i="1"/>
  <c r="P50" i="1"/>
  <c r="P49" i="1"/>
  <c r="P48" i="1"/>
  <c r="P45" i="1"/>
  <c r="P44" i="1"/>
  <c r="P43" i="1"/>
  <c r="P42" i="1"/>
  <c r="P41" i="1"/>
  <c r="P40" i="1"/>
  <c r="P39" i="1"/>
  <c r="P38" i="1"/>
  <c r="P37" i="1"/>
  <c r="P36" i="1"/>
  <c r="P35" i="1"/>
  <c r="P34" i="1"/>
  <c r="P33" i="1"/>
  <c r="P32" i="1"/>
  <c r="P31" i="1"/>
  <c r="P30" i="1"/>
  <c r="P29" i="1"/>
  <c r="P12" i="1"/>
  <c r="P10" i="1"/>
  <c r="P8" i="1"/>
  <c r="P7" i="1"/>
  <c r="P4" i="1"/>
  <c r="O149" i="1"/>
  <c r="N149" i="1" s="1"/>
  <c r="O711" i="1"/>
  <c r="N711" i="1" s="1"/>
  <c r="O710" i="1"/>
  <c r="N710" i="1" s="1"/>
  <c r="O709" i="1"/>
  <c r="N709" i="1" s="1"/>
  <c r="O707" i="1"/>
  <c r="N707" i="1" s="1"/>
  <c r="O706" i="1"/>
  <c r="N706" i="1" s="1"/>
  <c r="O705" i="1"/>
  <c r="N705" i="1" s="1"/>
  <c r="O704" i="1"/>
  <c r="N704" i="1" s="1"/>
  <c r="O703" i="1"/>
  <c r="N703" i="1" s="1"/>
  <c r="O699" i="1"/>
  <c r="N699" i="1" s="1"/>
  <c r="O698" i="1"/>
  <c r="N698" i="1" s="1"/>
  <c r="O697" i="1"/>
  <c r="N697" i="1" s="1"/>
  <c r="O696" i="1"/>
  <c r="N696" i="1" s="1"/>
  <c r="O695" i="1"/>
  <c r="N695" i="1" s="1"/>
  <c r="O693" i="1"/>
  <c r="N693" i="1" s="1"/>
  <c r="O690" i="1"/>
  <c r="N690" i="1" s="1"/>
  <c r="O688" i="1"/>
  <c r="N688" i="1" s="1"/>
  <c r="O687" i="1"/>
  <c r="N687" i="1" s="1"/>
  <c r="O685" i="1"/>
  <c r="N685" i="1" s="1"/>
  <c r="O684" i="1"/>
  <c r="N684" i="1" s="1"/>
  <c r="O678" i="1"/>
  <c r="N678" i="1" s="1"/>
  <c r="O677" i="1"/>
  <c r="N677" i="1" s="1"/>
  <c r="O676" i="1"/>
  <c r="N676" i="1" s="1"/>
  <c r="O671" i="1"/>
  <c r="N671" i="1" s="1"/>
  <c r="O668" i="1"/>
  <c r="N668" i="1" s="1"/>
  <c r="O667" i="1"/>
  <c r="N667" i="1" s="1"/>
  <c r="O662" i="1"/>
  <c r="N662" i="1" s="1"/>
  <c r="O661" i="1"/>
  <c r="N661" i="1" s="1"/>
  <c r="O660" i="1"/>
  <c r="N660" i="1" s="1"/>
  <c r="O659" i="1"/>
  <c r="N659" i="1" s="1"/>
  <c r="O654" i="1"/>
  <c r="N654" i="1" s="1"/>
  <c r="O653" i="1"/>
  <c r="N653" i="1" s="1"/>
  <c r="O649" i="1"/>
  <c r="N649" i="1" s="1"/>
  <c r="O648" i="1"/>
  <c r="N648" i="1" s="1"/>
  <c r="O647" i="1"/>
  <c r="N647" i="1" s="1"/>
  <c r="O646" i="1"/>
  <c r="N646" i="1" s="1"/>
  <c r="O645" i="1"/>
  <c r="N645" i="1" s="1"/>
  <c r="O640" i="1"/>
  <c r="N640" i="1" s="1"/>
  <c r="O639" i="1"/>
  <c r="N639" i="1" s="1"/>
  <c r="O638" i="1"/>
  <c r="N638" i="1" s="1"/>
  <c r="O637" i="1"/>
  <c r="N637" i="1" s="1"/>
  <c r="O635" i="1"/>
  <c r="N635" i="1" s="1"/>
  <c r="O631" i="1"/>
  <c r="N631" i="1" s="1"/>
  <c r="O630" i="1"/>
  <c r="N630" i="1" s="1"/>
  <c r="O629" i="1"/>
  <c r="N629" i="1" s="1"/>
  <c r="O625" i="1"/>
  <c r="N625" i="1" s="1"/>
  <c r="O624" i="1"/>
  <c r="N624" i="1" s="1"/>
  <c r="O623" i="1"/>
  <c r="N623" i="1" s="1"/>
  <c r="O622" i="1"/>
  <c r="N622" i="1" s="1"/>
  <c r="O621" i="1"/>
  <c r="N621" i="1" s="1"/>
  <c r="O620" i="1"/>
  <c r="N620" i="1" s="1"/>
  <c r="O619" i="1"/>
  <c r="N619" i="1" s="1"/>
  <c r="O617" i="1"/>
  <c r="N617" i="1" s="1"/>
  <c r="O616" i="1"/>
  <c r="N616" i="1" s="1"/>
  <c r="O615" i="1"/>
  <c r="N615" i="1" s="1"/>
  <c r="O610" i="1"/>
  <c r="N610" i="1" s="1"/>
  <c r="O609" i="1"/>
  <c r="N609" i="1" s="1"/>
  <c r="O608" i="1"/>
  <c r="N608" i="1" s="1"/>
  <c r="O607" i="1"/>
  <c r="N607" i="1" s="1"/>
  <c r="O606" i="1"/>
  <c r="N606" i="1" s="1"/>
  <c r="O603" i="1"/>
  <c r="N603" i="1" s="1"/>
  <c r="O602" i="1"/>
  <c r="N602" i="1" s="1"/>
  <c r="O600" i="1"/>
  <c r="N600" i="1" s="1"/>
  <c r="O599" i="1"/>
  <c r="N599" i="1" s="1"/>
  <c r="O598" i="1"/>
  <c r="N598" i="1" s="1"/>
  <c r="O596" i="1"/>
  <c r="N596" i="1" s="1"/>
  <c r="O595" i="1"/>
  <c r="N595" i="1" s="1"/>
  <c r="O576" i="1"/>
  <c r="N576" i="1" s="1"/>
  <c r="O569" i="1"/>
  <c r="N569" i="1" s="1"/>
  <c r="O568" i="1"/>
  <c r="N568" i="1" s="1"/>
  <c r="O567" i="1"/>
  <c r="N567" i="1" s="1"/>
  <c r="O566" i="1"/>
  <c r="N566" i="1" s="1"/>
  <c r="O565" i="1"/>
  <c r="N565" i="1" s="1"/>
  <c r="O564" i="1"/>
  <c r="N564" i="1" s="1"/>
  <c r="O561" i="1"/>
  <c r="N561" i="1" s="1"/>
  <c r="O559" i="1"/>
  <c r="N559" i="1" s="1"/>
  <c r="O556" i="1"/>
  <c r="N556" i="1" s="1"/>
  <c r="O555" i="1"/>
  <c r="N555" i="1" s="1"/>
  <c r="O554" i="1"/>
  <c r="N554" i="1" s="1"/>
  <c r="O553" i="1"/>
  <c r="N553" i="1" s="1"/>
  <c r="O552" i="1"/>
  <c r="N552" i="1" s="1"/>
  <c r="O548" i="1"/>
  <c r="N548" i="1" s="1"/>
  <c r="O547" i="1"/>
  <c r="N547" i="1" s="1"/>
  <c r="O546" i="1"/>
  <c r="N546" i="1" s="1"/>
  <c r="O533" i="1"/>
  <c r="N533" i="1" s="1"/>
  <c r="O519" i="1"/>
  <c r="N519" i="1" s="1"/>
  <c r="O518" i="1"/>
  <c r="N518" i="1" s="1"/>
  <c r="O505" i="1"/>
  <c r="N505" i="1" s="1"/>
  <c r="O472" i="1"/>
  <c r="N472" i="1" s="1"/>
  <c r="O471" i="1"/>
  <c r="N471" i="1" s="1"/>
  <c r="O470" i="1"/>
  <c r="N470" i="1" s="1"/>
  <c r="O469" i="1"/>
  <c r="N469" i="1" s="1"/>
  <c r="O468" i="1"/>
  <c r="N468" i="1" s="1"/>
  <c r="O467" i="1"/>
  <c r="N467" i="1" s="1"/>
  <c r="O466" i="1"/>
  <c r="N466" i="1" s="1"/>
  <c r="O465" i="1"/>
  <c r="N465" i="1" s="1"/>
  <c r="O464" i="1"/>
  <c r="N464" i="1" s="1"/>
  <c r="O463" i="1"/>
  <c r="N463" i="1" s="1"/>
  <c r="O462" i="1"/>
  <c r="N462" i="1" s="1"/>
  <c r="O461" i="1"/>
  <c r="N461" i="1" s="1"/>
  <c r="O460" i="1"/>
  <c r="N460" i="1" s="1"/>
  <c r="O459" i="1"/>
  <c r="N459" i="1" s="1"/>
  <c r="O458" i="1"/>
  <c r="N458" i="1" s="1"/>
  <c r="O457" i="1"/>
  <c r="N457" i="1" s="1"/>
  <c r="O456" i="1"/>
  <c r="N456" i="1" s="1"/>
  <c r="O455" i="1"/>
  <c r="N455" i="1" s="1"/>
  <c r="O454" i="1"/>
  <c r="N454" i="1" s="1"/>
  <c r="O453" i="1"/>
  <c r="N453" i="1" s="1"/>
  <c r="O452" i="1"/>
  <c r="N452" i="1" s="1"/>
  <c r="O451" i="1"/>
  <c r="N451" i="1" s="1"/>
  <c r="O450" i="1"/>
  <c r="N450" i="1" s="1"/>
  <c r="O449" i="1"/>
  <c r="N449" i="1" s="1"/>
  <c r="O448" i="1"/>
  <c r="N448" i="1" s="1"/>
  <c r="O374" i="1"/>
  <c r="N374" i="1" s="1"/>
  <c r="O373" i="1"/>
  <c r="N373" i="1" s="1"/>
  <c r="O372" i="1"/>
  <c r="N372" i="1" s="1"/>
  <c r="O371" i="1"/>
  <c r="N371" i="1" s="1"/>
  <c r="O370" i="1"/>
  <c r="N370" i="1" s="1"/>
  <c r="O369" i="1"/>
  <c r="N369" i="1" s="1"/>
  <c r="O368" i="1"/>
  <c r="N368" i="1" s="1"/>
  <c r="O367" i="1"/>
  <c r="N367" i="1" s="1"/>
  <c r="O366" i="1"/>
  <c r="N366" i="1" s="1"/>
  <c r="O365" i="1"/>
  <c r="N365" i="1" s="1"/>
  <c r="O364" i="1"/>
  <c r="N364" i="1" s="1"/>
  <c r="O363" i="1"/>
  <c r="N363" i="1" s="1"/>
  <c r="O362" i="1"/>
  <c r="N362" i="1" s="1"/>
  <c r="O361" i="1"/>
  <c r="N361" i="1" s="1"/>
  <c r="O360" i="1"/>
  <c r="N360" i="1" s="1"/>
  <c r="O359" i="1"/>
  <c r="N359" i="1" s="1"/>
  <c r="O358" i="1"/>
  <c r="N358" i="1" s="1"/>
  <c r="O357" i="1"/>
  <c r="N357" i="1" s="1"/>
  <c r="O356" i="1"/>
  <c r="N356" i="1" s="1"/>
  <c r="O355" i="1"/>
  <c r="N355" i="1" s="1"/>
  <c r="O354" i="1"/>
  <c r="N354" i="1" s="1"/>
  <c r="O353" i="1"/>
  <c r="N353" i="1" s="1"/>
  <c r="O352" i="1"/>
  <c r="N352" i="1" s="1"/>
  <c r="O351" i="1"/>
  <c r="N351" i="1" s="1"/>
  <c r="O350" i="1"/>
  <c r="N350" i="1" s="1"/>
  <c r="O349" i="1"/>
  <c r="N349" i="1" s="1"/>
  <c r="O348" i="1"/>
  <c r="N348" i="1" s="1"/>
  <c r="O347" i="1"/>
  <c r="N347" i="1" s="1"/>
  <c r="O346" i="1"/>
  <c r="N346" i="1" s="1"/>
  <c r="O345" i="1"/>
  <c r="N345" i="1" s="1"/>
  <c r="O344" i="1"/>
  <c r="N344" i="1" s="1"/>
  <c r="O343" i="1"/>
  <c r="N343" i="1" s="1"/>
  <c r="O342" i="1"/>
  <c r="N342" i="1" s="1"/>
  <c r="O341" i="1"/>
  <c r="N341" i="1" s="1"/>
  <c r="O340" i="1"/>
  <c r="N340" i="1" s="1"/>
  <c r="O339" i="1"/>
  <c r="N339" i="1" s="1"/>
  <c r="O338" i="1"/>
  <c r="N338" i="1" s="1"/>
  <c r="O337" i="1"/>
  <c r="N337" i="1" s="1"/>
  <c r="O336" i="1"/>
  <c r="N336" i="1" s="1"/>
  <c r="O335" i="1"/>
  <c r="N335" i="1" s="1"/>
  <c r="O334" i="1"/>
  <c r="N334" i="1" s="1"/>
  <c r="O333" i="1"/>
  <c r="N333" i="1" s="1"/>
  <c r="O332" i="1"/>
  <c r="N332" i="1" s="1"/>
  <c r="O331" i="1"/>
  <c r="N331" i="1" s="1"/>
  <c r="O330" i="1"/>
  <c r="N330" i="1" s="1"/>
  <c r="O329" i="1"/>
  <c r="N329" i="1" s="1"/>
  <c r="O328" i="1"/>
  <c r="N328" i="1" s="1"/>
  <c r="O327" i="1"/>
  <c r="N327" i="1" s="1"/>
  <c r="O326" i="1"/>
  <c r="N326" i="1" s="1"/>
  <c r="O325" i="1"/>
  <c r="N325" i="1" s="1"/>
  <c r="O324" i="1"/>
  <c r="N324" i="1" s="1"/>
  <c r="O323" i="1"/>
  <c r="N323" i="1" s="1"/>
  <c r="O322" i="1"/>
  <c r="N322" i="1" s="1"/>
  <c r="O321" i="1"/>
  <c r="N321" i="1" s="1"/>
  <c r="O320" i="1"/>
  <c r="N320" i="1" s="1"/>
  <c r="O319" i="1"/>
  <c r="N319" i="1" s="1"/>
  <c r="O318" i="1"/>
  <c r="N318" i="1" s="1"/>
  <c r="O317" i="1"/>
  <c r="N317" i="1" s="1"/>
  <c r="O316" i="1"/>
  <c r="N316" i="1" s="1"/>
  <c r="O314" i="1"/>
  <c r="N314" i="1" s="1"/>
  <c r="O311" i="1"/>
  <c r="N311" i="1" s="1"/>
  <c r="O310" i="1"/>
  <c r="N310" i="1" s="1"/>
  <c r="O309" i="1"/>
  <c r="N309" i="1" s="1"/>
  <c r="O308" i="1"/>
  <c r="N308" i="1" s="1"/>
  <c r="O307" i="1"/>
  <c r="N307" i="1" s="1"/>
  <c r="O306" i="1"/>
  <c r="N306" i="1" s="1"/>
  <c r="O305" i="1"/>
  <c r="N305" i="1" s="1"/>
  <c r="O304" i="1"/>
  <c r="N304" i="1" s="1"/>
  <c r="O303" i="1"/>
  <c r="N303" i="1" s="1"/>
  <c r="O302" i="1"/>
  <c r="N302" i="1" s="1"/>
  <c r="O301" i="1"/>
  <c r="N301" i="1" s="1"/>
  <c r="O300" i="1"/>
  <c r="N300" i="1" s="1"/>
  <c r="O299" i="1"/>
  <c r="N299" i="1" s="1"/>
  <c r="O298" i="1"/>
  <c r="N298" i="1" s="1"/>
  <c r="O297" i="1"/>
  <c r="N297" i="1" s="1"/>
  <c r="O296" i="1"/>
  <c r="N296" i="1" s="1"/>
  <c r="O295" i="1"/>
  <c r="N295" i="1" s="1"/>
  <c r="O294" i="1"/>
  <c r="N294" i="1" s="1"/>
  <c r="O293" i="1"/>
  <c r="N293" i="1" s="1"/>
  <c r="O292" i="1"/>
  <c r="N292" i="1" s="1"/>
  <c r="O291" i="1"/>
  <c r="N291" i="1" s="1"/>
  <c r="O290" i="1"/>
  <c r="N290" i="1" s="1"/>
  <c r="O289" i="1"/>
  <c r="N289" i="1" s="1"/>
  <c r="O288" i="1"/>
  <c r="N288" i="1" s="1"/>
  <c r="O287" i="1"/>
  <c r="N287" i="1" s="1"/>
  <c r="O286" i="1"/>
  <c r="N286" i="1" s="1"/>
  <c r="O285" i="1"/>
  <c r="N285" i="1" s="1"/>
  <c r="O276" i="1"/>
  <c r="N276" i="1" s="1"/>
  <c r="O275" i="1"/>
  <c r="N275" i="1" s="1"/>
  <c r="O274" i="1"/>
  <c r="N274" i="1" s="1"/>
  <c r="O270" i="1"/>
  <c r="N270" i="1" s="1"/>
  <c r="O269" i="1"/>
  <c r="N269" i="1" s="1"/>
  <c r="O263" i="1"/>
  <c r="N263" i="1" s="1"/>
  <c r="O261" i="1"/>
  <c r="N261" i="1" s="1"/>
  <c r="O255" i="1"/>
  <c r="N255" i="1" s="1"/>
  <c r="O254" i="1"/>
  <c r="N254" i="1" s="1"/>
  <c r="O253" i="1"/>
  <c r="N253" i="1" s="1"/>
  <c r="O252" i="1"/>
  <c r="N252" i="1" s="1"/>
  <c r="O251" i="1"/>
  <c r="N251" i="1" s="1"/>
  <c r="O250" i="1"/>
  <c r="N250" i="1" s="1"/>
  <c r="O247" i="1"/>
  <c r="N247" i="1" s="1"/>
  <c r="O246" i="1"/>
  <c r="N246" i="1" s="1"/>
  <c r="O241" i="1"/>
  <c r="N241" i="1" s="1"/>
  <c r="O240" i="1"/>
  <c r="N240" i="1" s="1"/>
  <c r="O239" i="1"/>
  <c r="N239" i="1" s="1"/>
  <c r="O238" i="1"/>
  <c r="N238" i="1" s="1"/>
  <c r="O237" i="1"/>
  <c r="N237" i="1" s="1"/>
  <c r="O236" i="1"/>
  <c r="N236" i="1" s="1"/>
  <c r="O235" i="1"/>
  <c r="N235" i="1" s="1"/>
  <c r="O234" i="1"/>
  <c r="N234" i="1" s="1"/>
  <c r="O233" i="1"/>
  <c r="N233" i="1" s="1"/>
  <c r="O232" i="1"/>
  <c r="N232" i="1" s="1"/>
  <c r="O231" i="1"/>
  <c r="N231" i="1" s="1"/>
  <c r="O230" i="1"/>
  <c r="N230" i="1" s="1"/>
  <c r="O229" i="1"/>
  <c r="N229" i="1" s="1"/>
  <c r="O228" i="1"/>
  <c r="N228" i="1" s="1"/>
  <c r="O227" i="1"/>
  <c r="N227" i="1" s="1"/>
  <c r="O226" i="1"/>
  <c r="N226" i="1" s="1"/>
  <c r="O225" i="1"/>
  <c r="N225" i="1" s="1"/>
  <c r="O224" i="1"/>
  <c r="N224" i="1" s="1"/>
  <c r="O223" i="1"/>
  <c r="N223" i="1" s="1"/>
  <c r="O222" i="1"/>
  <c r="N222" i="1" s="1"/>
  <c r="O221" i="1"/>
  <c r="N221" i="1" s="1"/>
  <c r="O220" i="1"/>
  <c r="N220" i="1" s="1"/>
  <c r="O219" i="1"/>
  <c r="N219" i="1" s="1"/>
  <c r="O218" i="1"/>
  <c r="N218" i="1" s="1"/>
  <c r="O217" i="1"/>
  <c r="N217" i="1" s="1"/>
  <c r="O216" i="1"/>
  <c r="N216" i="1" s="1"/>
  <c r="O215" i="1"/>
  <c r="N215" i="1" s="1"/>
  <c r="O214" i="1"/>
  <c r="N214" i="1" s="1"/>
  <c r="O213" i="1"/>
  <c r="N213" i="1" s="1"/>
  <c r="O212" i="1"/>
  <c r="N212" i="1" s="1"/>
  <c r="O211" i="1"/>
  <c r="N211" i="1" s="1"/>
  <c r="O210" i="1"/>
  <c r="N210" i="1" s="1"/>
  <c r="O209" i="1"/>
  <c r="N209" i="1" s="1"/>
  <c r="O208" i="1"/>
  <c r="N208" i="1" s="1"/>
  <c r="O207" i="1"/>
  <c r="N207" i="1" s="1"/>
  <c r="O206" i="1"/>
  <c r="N206" i="1" s="1"/>
  <c r="O205" i="1"/>
  <c r="N205" i="1" s="1"/>
  <c r="O204" i="1"/>
  <c r="N204" i="1" s="1"/>
  <c r="O203" i="1"/>
  <c r="N203" i="1" s="1"/>
  <c r="O202" i="1"/>
  <c r="N202" i="1" s="1"/>
  <c r="O201" i="1"/>
  <c r="N201" i="1" s="1"/>
  <c r="O200" i="1"/>
  <c r="N200" i="1" s="1"/>
  <c r="O199" i="1"/>
  <c r="N199" i="1" s="1"/>
  <c r="O198" i="1"/>
  <c r="N198" i="1" s="1"/>
  <c r="O197" i="1"/>
  <c r="N197" i="1" s="1"/>
  <c r="O196" i="1"/>
  <c r="N196" i="1" s="1"/>
  <c r="O195" i="1"/>
  <c r="N195" i="1" s="1"/>
  <c r="O194" i="1"/>
  <c r="N194" i="1" s="1"/>
  <c r="O193" i="1"/>
  <c r="N193" i="1" s="1"/>
  <c r="O192" i="1"/>
  <c r="N192" i="1" s="1"/>
  <c r="O191" i="1"/>
  <c r="N191" i="1" s="1"/>
  <c r="O190" i="1"/>
  <c r="N190" i="1" s="1"/>
  <c r="O189" i="1"/>
  <c r="N189" i="1" s="1"/>
  <c r="O188" i="1"/>
  <c r="N188" i="1" s="1"/>
  <c r="O187" i="1"/>
  <c r="N187" i="1" s="1"/>
  <c r="O186" i="1"/>
  <c r="N186" i="1" s="1"/>
  <c r="O185" i="1"/>
  <c r="N185" i="1" s="1"/>
  <c r="O184" i="1"/>
  <c r="N184" i="1" s="1"/>
  <c r="O183" i="1"/>
  <c r="N183" i="1" s="1"/>
  <c r="O182" i="1"/>
  <c r="N182" i="1" s="1"/>
  <c r="O181" i="1"/>
  <c r="N181" i="1" s="1"/>
  <c r="O180" i="1"/>
  <c r="N180" i="1" s="1"/>
  <c r="O179" i="1"/>
  <c r="N179" i="1" s="1"/>
  <c r="O178" i="1"/>
  <c r="N178" i="1" s="1"/>
  <c r="O177" i="1"/>
  <c r="N177" i="1" s="1"/>
  <c r="O176" i="1"/>
  <c r="N176" i="1" s="1"/>
  <c r="O175" i="1"/>
  <c r="N175" i="1" s="1"/>
  <c r="O174" i="1"/>
  <c r="N174" i="1" s="1"/>
  <c r="O173" i="1"/>
  <c r="N173" i="1" s="1"/>
  <c r="O172" i="1"/>
  <c r="N172" i="1" s="1"/>
  <c r="O171" i="1"/>
  <c r="N171" i="1" s="1"/>
  <c r="O170" i="1"/>
  <c r="N170" i="1" s="1"/>
  <c r="O169" i="1"/>
  <c r="N169" i="1" s="1"/>
  <c r="O168" i="1"/>
  <c r="N168" i="1" s="1"/>
  <c r="O167" i="1"/>
  <c r="N167" i="1" s="1"/>
  <c r="O166" i="1"/>
  <c r="N166" i="1" s="1"/>
  <c r="O165" i="1"/>
  <c r="N165" i="1" s="1"/>
  <c r="O164" i="1"/>
  <c r="N164" i="1" s="1"/>
  <c r="O163" i="1"/>
  <c r="N163" i="1" s="1"/>
  <c r="O161" i="1"/>
  <c r="N161" i="1" s="1"/>
  <c r="O155" i="1"/>
  <c r="N155" i="1" s="1"/>
  <c r="O154" i="1"/>
  <c r="N154" i="1" s="1"/>
  <c r="O153" i="1"/>
  <c r="N153" i="1" s="1"/>
  <c r="O152" i="1"/>
  <c r="N152" i="1" s="1"/>
  <c r="O151" i="1"/>
  <c r="N151" i="1" s="1"/>
  <c r="O148" i="1"/>
  <c r="N148" i="1" s="1"/>
  <c r="O147" i="1"/>
  <c r="N147" i="1" s="1"/>
  <c r="O146" i="1"/>
  <c r="N146" i="1" s="1"/>
  <c r="O144" i="1"/>
  <c r="N144" i="1" s="1"/>
  <c r="O143" i="1"/>
  <c r="N143" i="1" s="1"/>
  <c r="O142" i="1"/>
  <c r="N142" i="1" s="1"/>
  <c r="O140" i="1"/>
  <c r="N140" i="1" s="1"/>
  <c r="O136" i="1"/>
  <c r="N136" i="1" s="1"/>
  <c r="O135" i="1"/>
  <c r="N135" i="1" s="1"/>
  <c r="O134" i="1"/>
  <c r="N134" i="1" s="1"/>
  <c r="O133" i="1"/>
  <c r="N133" i="1" s="1"/>
  <c r="O131" i="1"/>
  <c r="N131" i="1" s="1"/>
  <c r="O130" i="1"/>
  <c r="N130" i="1" s="1"/>
  <c r="O128" i="1"/>
  <c r="N128" i="1" s="1"/>
  <c r="O119" i="1"/>
  <c r="N119" i="1" s="1"/>
  <c r="O118" i="1"/>
  <c r="N118" i="1" s="1"/>
  <c r="O117" i="1"/>
  <c r="N117" i="1" s="1"/>
  <c r="O116" i="1"/>
  <c r="N116" i="1" s="1"/>
  <c r="O115" i="1"/>
  <c r="N115" i="1" s="1"/>
  <c r="O114" i="1"/>
  <c r="N114" i="1" s="1"/>
  <c r="O113" i="1"/>
  <c r="N113" i="1" s="1"/>
  <c r="O112" i="1"/>
  <c r="N112" i="1" s="1"/>
  <c r="O111" i="1"/>
  <c r="N111" i="1" s="1"/>
  <c r="O110" i="1"/>
  <c r="N110" i="1" s="1"/>
  <c r="O109" i="1"/>
  <c r="N109" i="1" s="1"/>
  <c r="O108" i="1"/>
  <c r="N108" i="1" s="1"/>
  <c r="O107" i="1"/>
  <c r="N107" i="1" s="1"/>
  <c r="O106" i="1"/>
  <c r="N106" i="1" s="1"/>
  <c r="O105" i="1"/>
  <c r="N105" i="1" s="1"/>
  <c r="O104" i="1"/>
  <c r="N104" i="1" s="1"/>
  <c r="O103" i="1"/>
  <c r="N103" i="1" s="1"/>
  <c r="O102" i="1"/>
  <c r="N102" i="1" s="1"/>
  <c r="O101" i="1"/>
  <c r="N101" i="1" s="1"/>
  <c r="O99" i="1"/>
  <c r="N99" i="1" s="1"/>
  <c r="O92" i="1"/>
  <c r="N92" i="1" s="1"/>
  <c r="O91" i="1"/>
  <c r="N91" i="1" s="1"/>
  <c r="O90" i="1"/>
  <c r="N90" i="1" s="1"/>
  <c r="O89" i="1"/>
  <c r="N89" i="1" s="1"/>
  <c r="O88" i="1"/>
  <c r="N88" i="1" s="1"/>
  <c r="O87" i="1"/>
  <c r="N87" i="1" s="1"/>
  <c r="O86" i="1"/>
  <c r="N86" i="1" s="1"/>
  <c r="O85" i="1"/>
  <c r="N85" i="1" s="1"/>
  <c r="O84" i="1"/>
  <c r="N84" i="1" s="1"/>
  <c r="O83" i="1"/>
  <c r="N83" i="1" s="1"/>
  <c r="O80" i="1"/>
  <c r="N80" i="1" s="1"/>
  <c r="O79" i="1"/>
  <c r="N79" i="1" s="1"/>
  <c r="O76" i="1"/>
  <c r="N76" i="1" s="1"/>
  <c r="O75" i="1"/>
  <c r="N75" i="1" s="1"/>
  <c r="O74" i="1"/>
  <c r="N74" i="1" s="1"/>
  <c r="O73" i="1"/>
  <c r="N73" i="1" s="1"/>
  <c r="O69" i="1"/>
  <c r="N69" i="1" s="1"/>
  <c r="O68" i="1"/>
  <c r="N68" i="1" s="1"/>
  <c r="O67" i="1"/>
  <c r="N67" i="1" s="1"/>
  <c r="O66" i="1"/>
  <c r="N66" i="1" s="1"/>
  <c r="O63" i="1"/>
  <c r="N63" i="1" s="1"/>
  <c r="O62" i="1"/>
  <c r="N62" i="1" s="1"/>
  <c r="O61" i="1"/>
  <c r="N61" i="1" s="1"/>
  <c r="O60" i="1"/>
  <c r="N60" i="1" s="1"/>
  <c r="O59" i="1"/>
  <c r="N59" i="1" s="1"/>
  <c r="O58" i="1"/>
  <c r="N58" i="1" s="1"/>
  <c r="O47" i="1"/>
  <c r="N47" i="1" s="1"/>
  <c r="O46" i="1"/>
  <c r="N46" i="1" s="1"/>
  <c r="O28" i="1"/>
  <c r="N28" i="1" s="1"/>
  <c r="O27" i="1"/>
  <c r="N27" i="1" s="1"/>
  <c r="O26" i="1"/>
  <c r="N26" i="1" s="1"/>
  <c r="O25" i="1"/>
  <c r="N25" i="1" s="1"/>
  <c r="O24" i="1"/>
  <c r="N24" i="1" s="1"/>
  <c r="O23" i="1"/>
  <c r="N23" i="1" s="1"/>
  <c r="O22" i="1"/>
  <c r="N22" i="1" s="1"/>
  <c r="O21" i="1"/>
  <c r="N21" i="1" s="1"/>
  <c r="O20" i="1"/>
  <c r="N20" i="1" s="1"/>
  <c r="O19" i="1"/>
  <c r="N19" i="1" s="1"/>
  <c r="O18" i="1"/>
  <c r="N18" i="1" s="1"/>
  <c r="O17" i="1"/>
  <c r="N17" i="1" s="1"/>
  <c r="O16" i="1"/>
  <c r="N16" i="1" s="1"/>
  <c r="O15" i="1"/>
  <c r="N15" i="1" s="1"/>
  <c r="O14" i="1"/>
  <c r="N14" i="1" s="1"/>
  <c r="O13" i="1"/>
  <c r="N13" i="1" s="1"/>
  <c r="O11" i="1"/>
  <c r="N11" i="1" s="1"/>
  <c r="O9" i="1"/>
  <c r="N9" i="1" s="1"/>
  <c r="O6" i="1"/>
  <c r="N6" i="1" s="1"/>
  <c r="O5" i="1"/>
  <c r="N5" i="1" s="1"/>
  <c r="O3" i="1"/>
  <c r="D18" i="10"/>
  <c r="I146" i="15"/>
  <c r="I144" i="15"/>
  <c r="B11" i="17"/>
  <c r="B10" i="17"/>
  <c r="E23" i="6"/>
  <c r="E22" i="6"/>
  <c r="E6" i="6"/>
  <c r="E5" i="6"/>
  <c r="B23" i="6"/>
  <c r="E11" i="18"/>
  <c r="B13" i="17"/>
  <c r="B4" i="17"/>
  <c r="N3" i="1" l="1"/>
  <c r="O1" i="1"/>
  <c r="R1" i="1"/>
  <c r="P685" i="1"/>
  <c r="P222" i="1"/>
  <c r="P198" i="1"/>
  <c r="P329" i="1"/>
  <c r="P223" i="1"/>
  <c r="P518" i="1"/>
  <c r="P302" i="1"/>
  <c r="P253" i="1"/>
  <c r="P690" i="1"/>
  <c r="P200" i="1"/>
  <c r="P505" i="1"/>
  <c r="P224" i="1"/>
  <c r="P449" i="1"/>
  <c r="P104" i="1"/>
  <c r="P199" i="1"/>
  <c r="P596" i="1"/>
  <c r="P450" i="1"/>
  <c r="P17" i="1"/>
  <c r="P629" i="1"/>
  <c r="P630" i="1"/>
  <c r="P461" i="1"/>
  <c r="P631" i="1"/>
  <c r="P330" i="1"/>
  <c r="P462" i="1"/>
  <c r="P25" i="1"/>
  <c r="P115" i="1"/>
  <c r="P133" i="1"/>
  <c r="P161" i="1"/>
  <c r="P338" i="1"/>
  <c r="P114" i="1"/>
  <c r="P337" i="1"/>
  <c r="P26" i="1"/>
  <c r="P116" i="1"/>
  <c r="P353" i="1"/>
  <c r="P661" i="1"/>
  <c r="P697" i="1"/>
  <c r="P85" i="1"/>
  <c r="P174" i="1"/>
  <c r="P354" i="1"/>
  <c r="P559" i="1"/>
  <c r="P662" i="1"/>
  <c r="P698" i="1"/>
  <c r="P175" i="1"/>
  <c r="P361" i="1"/>
  <c r="P176" i="1"/>
  <c r="P290" i="1"/>
  <c r="P362" i="1"/>
  <c r="P331" i="1"/>
  <c r="P607" i="1"/>
  <c r="P356" i="1"/>
  <c r="P182" i="1"/>
  <c r="P91" i="1"/>
  <c r="P164" i="1"/>
  <c r="P212" i="1"/>
  <c r="P319" i="1"/>
  <c r="P343" i="1"/>
  <c r="P367" i="1"/>
  <c r="P18" i="1"/>
  <c r="P92" i="1"/>
  <c r="P109" i="1"/>
  <c r="P169" i="1"/>
  <c r="P193" i="1"/>
  <c r="P217" i="1"/>
  <c r="P241" i="1"/>
  <c r="P293" i="1"/>
  <c r="P320" i="1"/>
  <c r="P344" i="1"/>
  <c r="P368" i="1"/>
  <c r="P619" i="1"/>
  <c r="P637" i="1"/>
  <c r="P205" i="1"/>
  <c r="P332" i="1"/>
  <c r="P230" i="1"/>
  <c r="P19" i="1"/>
  <c r="P110" i="1"/>
  <c r="P151" i="1"/>
  <c r="P170" i="1"/>
  <c r="P194" i="1"/>
  <c r="P218" i="1"/>
  <c r="P294" i="1"/>
  <c r="P325" i="1"/>
  <c r="P349" i="1"/>
  <c r="P373" i="1"/>
  <c r="P620" i="1"/>
  <c r="P638" i="1"/>
  <c r="P606" i="1"/>
  <c r="P306" i="1"/>
  <c r="P181" i="1"/>
  <c r="P533" i="1"/>
  <c r="P67" i="1"/>
  <c r="P149" i="1"/>
  <c r="P188" i="1"/>
  <c r="P236" i="1"/>
  <c r="P20" i="1"/>
  <c r="P113" i="1"/>
  <c r="P152" i="1"/>
  <c r="P173" i="1"/>
  <c r="P197" i="1"/>
  <c r="P221" i="1"/>
  <c r="P301" i="1"/>
  <c r="P326" i="1"/>
  <c r="P350" i="1"/>
  <c r="P374" i="1"/>
  <c r="P305" i="1"/>
  <c r="P246" i="1"/>
  <c r="P355" i="1"/>
  <c r="P101" i="1"/>
  <c r="P209" i="1"/>
  <c r="P314" i="1"/>
  <c r="P546" i="1"/>
  <c r="P13" i="1"/>
  <c r="P89" i="1"/>
  <c r="P102" i="1"/>
  <c r="P186" i="1"/>
  <c r="P210" i="1"/>
  <c r="P234" i="1"/>
  <c r="P254" i="1"/>
  <c r="P269" i="1"/>
  <c r="P341" i="1"/>
  <c r="P365" i="1"/>
  <c r="P547" i="1"/>
  <c r="P569" i="1"/>
  <c r="P653" i="1"/>
  <c r="P709" i="1"/>
  <c r="P229" i="1"/>
  <c r="P206" i="1"/>
  <c r="P565" i="1"/>
  <c r="P86" i="1"/>
  <c r="P185" i="1"/>
  <c r="P233" i="1"/>
  <c r="P566" i="1"/>
  <c r="P14" i="1"/>
  <c r="P66" i="1"/>
  <c r="P90" i="1"/>
  <c r="P103" i="1"/>
  <c r="P146" i="1"/>
  <c r="P163" i="1"/>
  <c r="P187" i="1"/>
  <c r="P211" i="1"/>
  <c r="P235" i="1"/>
  <c r="P270" i="1"/>
  <c r="P289" i="1"/>
  <c r="P317" i="1"/>
  <c r="P342" i="1"/>
  <c r="P366" i="1"/>
  <c r="P595" i="1"/>
  <c r="P617" i="1"/>
  <c r="P654" i="1"/>
  <c r="P710" i="1"/>
  <c r="P5" i="1"/>
  <c r="P73" i="1"/>
  <c r="P457" i="1"/>
  <c r="P553" i="1"/>
  <c r="P625" i="1"/>
  <c r="P649" i="1"/>
  <c r="P74" i="1"/>
  <c r="P134" i="1"/>
  <c r="P458" i="1"/>
  <c r="P3" i="1"/>
  <c r="P15" i="1"/>
  <c r="P27" i="1"/>
  <c r="P63" i="1"/>
  <c r="P75" i="1"/>
  <c r="P87" i="1"/>
  <c r="P99" i="1"/>
  <c r="P111" i="1"/>
  <c r="P135" i="1"/>
  <c r="P147" i="1"/>
  <c r="P171" i="1"/>
  <c r="P183" i="1"/>
  <c r="P195" i="1"/>
  <c r="P207" i="1"/>
  <c r="P219" i="1"/>
  <c r="P231" i="1"/>
  <c r="P255" i="1"/>
  <c r="P291" i="1"/>
  <c r="P303" i="1"/>
  <c r="P327" i="1"/>
  <c r="P339" i="1"/>
  <c r="P351" i="1"/>
  <c r="P363" i="1"/>
  <c r="P459" i="1"/>
  <c r="P471" i="1"/>
  <c r="P519" i="1"/>
  <c r="P555" i="1"/>
  <c r="P567" i="1"/>
  <c r="P603" i="1"/>
  <c r="P615" i="1"/>
  <c r="P639" i="1"/>
  <c r="P687" i="1"/>
  <c r="P699" i="1"/>
  <c r="P711" i="1"/>
  <c r="P61" i="1"/>
  <c r="P469" i="1"/>
  <c r="P62" i="1"/>
  <c r="P470" i="1"/>
  <c r="P554" i="1"/>
  <c r="P602" i="1"/>
  <c r="P16" i="1"/>
  <c r="P28" i="1"/>
  <c r="P76" i="1"/>
  <c r="P88" i="1"/>
  <c r="P112" i="1"/>
  <c r="P136" i="1"/>
  <c r="P148" i="1"/>
  <c r="P172" i="1"/>
  <c r="P184" i="1"/>
  <c r="P196" i="1"/>
  <c r="P208" i="1"/>
  <c r="P220" i="1"/>
  <c r="P232" i="1"/>
  <c r="P292" i="1"/>
  <c r="P304" i="1"/>
  <c r="P316" i="1"/>
  <c r="P328" i="1"/>
  <c r="P340" i="1"/>
  <c r="P352" i="1"/>
  <c r="P364" i="1"/>
  <c r="P448" i="1"/>
  <c r="P460" i="1"/>
  <c r="P472" i="1"/>
  <c r="P556" i="1"/>
  <c r="P568" i="1"/>
  <c r="P616" i="1"/>
  <c r="P640" i="1"/>
  <c r="P676" i="1"/>
  <c r="P688" i="1"/>
  <c r="P79" i="1"/>
  <c r="P295" i="1"/>
  <c r="P463" i="1"/>
  <c r="P80" i="1"/>
  <c r="P128" i="1"/>
  <c r="P308" i="1"/>
  <c r="P452" i="1"/>
  <c r="P548" i="1"/>
  <c r="P668" i="1"/>
  <c r="P9" i="1"/>
  <c r="P21" i="1"/>
  <c r="P69" i="1"/>
  <c r="P105" i="1"/>
  <c r="P117" i="1"/>
  <c r="P153" i="1"/>
  <c r="P165" i="1"/>
  <c r="P177" i="1"/>
  <c r="P189" i="1"/>
  <c r="P201" i="1"/>
  <c r="P213" i="1"/>
  <c r="P225" i="1"/>
  <c r="P237" i="1"/>
  <c r="P261" i="1"/>
  <c r="P285" i="1"/>
  <c r="P297" i="1"/>
  <c r="P309" i="1"/>
  <c r="P321" i="1"/>
  <c r="P333" i="1"/>
  <c r="P345" i="1"/>
  <c r="P357" i="1"/>
  <c r="P369" i="1"/>
  <c r="P453" i="1"/>
  <c r="P465" i="1"/>
  <c r="P561" i="1"/>
  <c r="P609" i="1"/>
  <c r="P621" i="1"/>
  <c r="P645" i="1"/>
  <c r="P693" i="1"/>
  <c r="P705" i="1"/>
  <c r="P677" i="1"/>
  <c r="P6" i="1"/>
  <c r="P318" i="1"/>
  <c r="P678" i="1"/>
  <c r="P247" i="1"/>
  <c r="P307" i="1"/>
  <c r="P451" i="1"/>
  <c r="P667" i="1"/>
  <c r="P68" i="1"/>
  <c r="P140" i="1"/>
  <c r="P296" i="1"/>
  <c r="P464" i="1"/>
  <c r="P608" i="1"/>
  <c r="P704" i="1"/>
  <c r="P22" i="1"/>
  <c r="P46" i="1"/>
  <c r="P58" i="1"/>
  <c r="P106" i="1"/>
  <c r="P118" i="1"/>
  <c r="P130" i="1"/>
  <c r="P142" i="1"/>
  <c r="P154" i="1"/>
  <c r="P166" i="1"/>
  <c r="P178" i="1"/>
  <c r="P190" i="1"/>
  <c r="P202" i="1"/>
  <c r="P214" i="1"/>
  <c r="P226" i="1"/>
  <c r="P238" i="1"/>
  <c r="P250" i="1"/>
  <c r="P274" i="1"/>
  <c r="P286" i="1"/>
  <c r="P298" i="1"/>
  <c r="P310" i="1"/>
  <c r="P322" i="1"/>
  <c r="P334" i="1"/>
  <c r="P346" i="1"/>
  <c r="P358" i="1"/>
  <c r="P370" i="1"/>
  <c r="P454" i="1"/>
  <c r="P466" i="1"/>
  <c r="P598" i="1"/>
  <c r="P610" i="1"/>
  <c r="P622" i="1"/>
  <c r="P646" i="1"/>
  <c r="P706" i="1"/>
  <c r="P11" i="1"/>
  <c r="P23" i="1"/>
  <c r="P47" i="1"/>
  <c r="P59" i="1"/>
  <c r="P83" i="1"/>
  <c r="P107" i="1"/>
  <c r="P119" i="1"/>
  <c r="P131" i="1"/>
  <c r="P143" i="1"/>
  <c r="P155" i="1"/>
  <c r="P167" i="1"/>
  <c r="P179" i="1"/>
  <c r="P191" i="1"/>
  <c r="P203" i="1"/>
  <c r="P215" i="1"/>
  <c r="P227" i="1"/>
  <c r="P239" i="1"/>
  <c r="P251" i="1"/>
  <c r="P263" i="1"/>
  <c r="P275" i="1"/>
  <c r="P287" i="1"/>
  <c r="P299" i="1"/>
  <c r="P311" i="1"/>
  <c r="P323" i="1"/>
  <c r="P335" i="1"/>
  <c r="P347" i="1"/>
  <c r="P359" i="1"/>
  <c r="P371" i="1"/>
  <c r="P455" i="1"/>
  <c r="P467" i="1"/>
  <c r="P599" i="1"/>
  <c r="P623" i="1"/>
  <c r="P635" i="1"/>
  <c r="P647" i="1"/>
  <c r="P659" i="1"/>
  <c r="P671" i="1"/>
  <c r="P695" i="1"/>
  <c r="P707" i="1"/>
  <c r="P703" i="1"/>
  <c r="P24" i="1"/>
  <c r="P60" i="1"/>
  <c r="P84" i="1"/>
  <c r="P108" i="1"/>
  <c r="P144" i="1"/>
  <c r="P168" i="1"/>
  <c r="P180" i="1"/>
  <c r="P192" i="1"/>
  <c r="P204" i="1"/>
  <c r="P216" i="1"/>
  <c r="P228" i="1"/>
  <c r="P240" i="1"/>
  <c r="P252" i="1"/>
  <c r="P276" i="1"/>
  <c r="P288" i="1"/>
  <c r="P300" i="1"/>
  <c r="P324" i="1"/>
  <c r="P336" i="1"/>
  <c r="P348" i="1"/>
  <c r="P360" i="1"/>
  <c r="P372" i="1"/>
  <c r="P456" i="1"/>
  <c r="P468" i="1"/>
  <c r="P552" i="1"/>
  <c r="P564" i="1"/>
  <c r="P576" i="1"/>
  <c r="P600" i="1"/>
  <c r="P624" i="1"/>
  <c r="P648" i="1"/>
  <c r="P660" i="1"/>
  <c r="P684" i="1"/>
  <c r="P696" i="1"/>
  <c r="J7" i="6"/>
  <c r="J6" i="6"/>
  <c r="D23" i="6"/>
  <c r="E21" i="6"/>
  <c r="E20" i="6"/>
  <c r="E19" i="6"/>
  <c r="E18" i="6"/>
  <c r="E17" i="6"/>
  <c r="E16" i="6"/>
  <c r="E15" i="6"/>
  <c r="E14" i="6"/>
  <c r="E13" i="6"/>
  <c r="E12" i="6"/>
  <c r="E11" i="6"/>
  <c r="E10" i="6"/>
  <c r="E9" i="6"/>
  <c r="E8" i="6"/>
  <c r="E7" i="6"/>
  <c r="E4" i="6"/>
  <c r="E3" i="6"/>
  <c r="I39" i="14"/>
  <c r="I38" i="14"/>
  <c r="I5" i="14"/>
  <c r="I25" i="14"/>
  <c r="I24" i="14"/>
  <c r="I23" i="14"/>
  <c r="I22" i="14"/>
  <c r="I21" i="14"/>
  <c r="I20" i="14"/>
  <c r="I19" i="14"/>
  <c r="I18" i="14"/>
  <c r="I17" i="14"/>
  <c r="I16" i="14"/>
  <c r="I15" i="14"/>
  <c r="I14" i="14"/>
  <c r="I13" i="14"/>
  <c r="I12" i="14"/>
  <c r="I11" i="14"/>
  <c r="I10" i="14"/>
  <c r="I9" i="14"/>
  <c r="I8" i="14"/>
  <c r="I7" i="14"/>
  <c r="I6" i="14"/>
  <c r="I34" i="14"/>
  <c r="I33" i="14"/>
  <c r="I32" i="14"/>
  <c r="I31" i="14"/>
  <c r="I30" i="14"/>
  <c r="I29" i="14"/>
  <c r="I28" i="14"/>
  <c r="I27" i="14"/>
  <c r="I26" i="14"/>
  <c r="I35" i="14"/>
  <c r="I36" i="14"/>
  <c r="I37" i="14"/>
  <c r="I146" i="14"/>
  <c r="I145" i="14"/>
  <c r="I143" i="14"/>
  <c r="I144" i="14"/>
  <c r="I142" i="14"/>
  <c r="I141" i="14"/>
  <c r="I140" i="14"/>
  <c r="I139" i="14"/>
  <c r="I138" i="14"/>
  <c r="I137" i="14"/>
  <c r="I136" i="14"/>
  <c r="I135" i="14"/>
  <c r="I134" i="14"/>
  <c r="I133" i="14"/>
  <c r="I132" i="14"/>
  <c r="I131" i="14"/>
  <c r="I130" i="14"/>
  <c r="I129" i="14"/>
  <c r="I128" i="14"/>
  <c r="I127" i="14"/>
  <c r="I126" i="14"/>
  <c r="I125" i="14"/>
  <c r="I124" i="14"/>
  <c r="I123" i="14"/>
  <c r="I122" i="14"/>
  <c r="I121" i="14"/>
  <c r="I120" i="14"/>
  <c r="I119" i="14"/>
  <c r="I118" i="14"/>
  <c r="I117" i="14"/>
  <c r="I116" i="14"/>
  <c r="I115" i="14"/>
  <c r="I114" i="14"/>
  <c r="I113" i="14"/>
  <c r="I112" i="14"/>
  <c r="I111" i="14"/>
  <c r="I110" i="14"/>
  <c r="I109" i="14"/>
  <c r="I108" i="14"/>
  <c r="I107" i="14"/>
  <c r="I106" i="14"/>
  <c r="I105" i="14"/>
  <c r="I104" i="14"/>
  <c r="I103" i="14"/>
  <c r="I102" i="14"/>
  <c r="I101" i="14"/>
  <c r="I100" i="14"/>
  <c r="I99" i="14"/>
  <c r="I98" i="14"/>
  <c r="I97" i="14"/>
  <c r="I96" i="14"/>
  <c r="I95" i="14"/>
  <c r="I94" i="14"/>
  <c r="I93" i="14"/>
  <c r="I92" i="14"/>
  <c r="I91" i="14"/>
  <c r="I90" i="14"/>
  <c r="I89" i="14"/>
  <c r="I88" i="14"/>
  <c r="I87" i="14"/>
  <c r="I86" i="14"/>
  <c r="I85" i="14"/>
  <c r="I84" i="14"/>
  <c r="I83" i="14"/>
  <c r="I82" i="14"/>
  <c r="I81" i="14"/>
  <c r="I80" i="14"/>
  <c r="I79" i="14"/>
  <c r="I78" i="14"/>
  <c r="I77" i="14"/>
  <c r="I76" i="14"/>
  <c r="I75" i="14"/>
  <c r="I74" i="14"/>
  <c r="I73" i="14"/>
  <c r="I72" i="14"/>
  <c r="I71" i="14"/>
  <c r="I70" i="14"/>
  <c r="I69" i="14"/>
  <c r="I68" i="14"/>
  <c r="I67" i="14"/>
  <c r="I66" i="14"/>
  <c r="I65" i="14"/>
  <c r="I64" i="14"/>
  <c r="I63" i="14"/>
  <c r="I62" i="14"/>
  <c r="I61" i="14"/>
  <c r="I60" i="14"/>
  <c r="I59" i="14"/>
  <c r="I58" i="14"/>
  <c r="I57" i="14"/>
  <c r="I56" i="14"/>
  <c r="I55" i="14"/>
  <c r="I54" i="14"/>
  <c r="I53" i="14"/>
  <c r="I52" i="14"/>
  <c r="I51" i="14"/>
  <c r="I50" i="14"/>
  <c r="I49" i="14"/>
  <c r="I48" i="14"/>
  <c r="I47" i="14"/>
  <c r="I46" i="14"/>
  <c r="I45" i="14"/>
  <c r="I44" i="14"/>
  <c r="I43" i="14"/>
  <c r="I42" i="14"/>
  <c r="I41" i="14"/>
  <c r="I40" i="14"/>
  <c r="I4" i="14"/>
  <c r="I3" i="14"/>
  <c r="I2" i="14"/>
  <c r="I142" i="15"/>
  <c r="G147" i="14"/>
  <c r="P1" i="1" l="1"/>
  <c r="K707" i="13" a="1"/>
  <c r="M707" i="13" s="1"/>
  <c r="K706" i="13" a="1"/>
  <c r="M706" i="13" s="1"/>
  <c r="K705" i="13" a="1"/>
  <c r="K705" i="13" s="1"/>
  <c r="K704" i="13" a="1"/>
  <c r="M704" i="13" s="1"/>
  <c r="K703" i="13" a="1"/>
  <c r="M703" i="13" s="1"/>
  <c r="K702" i="13" a="1"/>
  <c r="M702" i="13" s="1"/>
  <c r="K701" i="13" a="1"/>
  <c r="K700" i="13" a="1"/>
  <c r="K700" i="13" s="1"/>
  <c r="K699" i="13" a="1"/>
  <c r="M699" i="13" s="1"/>
  <c r="K698" i="13" a="1"/>
  <c r="M698" i="13" s="1"/>
  <c r="K697" i="13" a="1"/>
  <c r="K697" i="13" s="1"/>
  <c r="K696" i="13" a="1"/>
  <c r="M696" i="13" s="1"/>
  <c r="K695" i="13" a="1"/>
  <c r="M695" i="13" s="1"/>
  <c r="K694" i="13" a="1"/>
  <c r="M694" i="13" s="1"/>
  <c r="K693" i="13" a="1"/>
  <c r="K693" i="13" s="1"/>
  <c r="K692" i="13" a="1"/>
  <c r="K692" i="13" s="1"/>
  <c r="K691" i="13" a="1"/>
  <c r="M691" i="13" s="1"/>
  <c r="K690" i="13" a="1"/>
  <c r="M690" i="13" s="1"/>
  <c r="K689" i="13" a="1"/>
  <c r="K689" i="13" s="1"/>
  <c r="K688" i="13" a="1"/>
  <c r="K688" i="13" s="1"/>
  <c r="K687" i="13" a="1"/>
  <c r="M687" i="13" s="1"/>
  <c r="K686" i="13" a="1"/>
  <c r="M686" i="13" s="1"/>
  <c r="K685" i="13" a="1"/>
  <c r="K685" i="13" s="1"/>
  <c r="K684" i="13" a="1"/>
  <c r="M684" i="13" s="1"/>
  <c r="K683" i="13" a="1"/>
  <c r="M683" i="13" s="1"/>
  <c r="K682" i="13" a="1"/>
  <c r="M682" i="13" s="1"/>
  <c r="K681" i="13" a="1"/>
  <c r="K681" i="13" s="1"/>
  <c r="K680" i="13" a="1"/>
  <c r="K680" i="13" s="1"/>
  <c r="K679" i="13" a="1"/>
  <c r="M679" i="13" s="1"/>
  <c r="K678" i="13" a="1"/>
  <c r="M678" i="13" s="1"/>
  <c r="K677" i="13" a="1"/>
  <c r="K677" i="13" s="1"/>
  <c r="K676" i="13" a="1"/>
  <c r="K675" i="13" a="1"/>
  <c r="M675" i="13" s="1"/>
  <c r="K674" i="13" a="1"/>
  <c r="M674" i="13" s="1"/>
  <c r="K673" i="13" a="1"/>
  <c r="K673" i="13" s="1"/>
  <c r="K672" i="13" a="1"/>
  <c r="M672" i="13" s="1"/>
  <c r="K671" i="13" a="1"/>
  <c r="M671" i="13" s="1"/>
  <c r="K670" i="13" a="1"/>
  <c r="M670" i="13" s="1"/>
  <c r="K669" i="13" a="1"/>
  <c r="K669" i="13" s="1"/>
  <c r="K668" i="13" a="1"/>
  <c r="K667" i="13" a="1"/>
  <c r="M667" i="13" s="1"/>
  <c r="K666" i="13" a="1"/>
  <c r="M666" i="13" s="1"/>
  <c r="K665" i="13" a="1"/>
  <c r="K665" i="13" s="1"/>
  <c r="K664" i="13" a="1"/>
  <c r="K663" i="13" a="1"/>
  <c r="M663" i="13" s="1"/>
  <c r="K662" i="13" a="1"/>
  <c r="M662" i="13" s="1"/>
  <c r="K661" i="13" a="1"/>
  <c r="K661" i="13" s="1"/>
  <c r="K660" i="13" a="1"/>
  <c r="M660" i="13" s="1"/>
  <c r="K659" i="13" a="1"/>
  <c r="M659" i="13" s="1"/>
  <c r="K658" i="13" a="1"/>
  <c r="M658" i="13" s="1"/>
  <c r="K657" i="13" a="1"/>
  <c r="K657" i="13" s="1"/>
  <c r="K656" i="13" a="1"/>
  <c r="K655" i="13" a="1"/>
  <c r="M655" i="13" s="1"/>
  <c r="K654" i="13" a="1"/>
  <c r="M654" i="13" s="1"/>
  <c r="K653" i="13" a="1"/>
  <c r="K653" i="13" s="1"/>
  <c r="K652" i="13" a="1"/>
  <c r="M652" i="13" s="1"/>
  <c r="K651" i="13" a="1"/>
  <c r="M651" i="13" s="1"/>
  <c r="K650" i="13" a="1"/>
  <c r="M650" i="13" s="1"/>
  <c r="K649" i="13" a="1"/>
  <c r="K649" i="13" s="1"/>
  <c r="K648" i="13" a="1"/>
  <c r="M648" i="13" s="1"/>
  <c r="K647" i="13" a="1"/>
  <c r="M647" i="13" s="1"/>
  <c r="K646" i="13" a="1"/>
  <c r="M646" i="13" s="1"/>
  <c r="K645" i="13" a="1"/>
  <c r="K645" i="13" s="1"/>
  <c r="K644" i="13" a="1"/>
  <c r="K644" i="13" s="1"/>
  <c r="K643" i="13" a="1"/>
  <c r="M643" i="13" s="1"/>
  <c r="K642" i="13" a="1"/>
  <c r="M642" i="13" s="1"/>
  <c r="K641" i="13" a="1"/>
  <c r="K641" i="13" s="1"/>
  <c r="K640" i="13" a="1"/>
  <c r="M640" i="13" s="1"/>
  <c r="K639" i="13" a="1"/>
  <c r="M639" i="13" s="1"/>
  <c r="K638" i="13" a="1"/>
  <c r="M638" i="13" s="1"/>
  <c r="K637" i="13" a="1"/>
  <c r="K637" i="13" s="1"/>
  <c r="K636" i="13" a="1"/>
  <c r="K636" i="13" s="1"/>
  <c r="K635" i="13" a="1"/>
  <c r="K635" i="13" s="1"/>
  <c r="K634" i="13" a="1"/>
  <c r="K633" i="13" a="1"/>
  <c r="M633" i="13" s="1"/>
  <c r="K632" i="13" a="1"/>
  <c r="M632" i="13" s="1"/>
  <c r="K631" i="13" a="1"/>
  <c r="K630" i="13" a="1"/>
  <c r="K630" i="13" s="1"/>
  <c r="K629" i="13" a="1"/>
  <c r="M629" i="13" s="1"/>
  <c r="K628" i="13" a="1"/>
  <c r="K628" i="13" s="1"/>
  <c r="K627" i="13" a="1"/>
  <c r="M627" i="13" s="1"/>
  <c r="K626" i="13" a="1"/>
  <c r="M626" i="13" s="1"/>
  <c r="K625" i="13" a="1"/>
  <c r="K625" i="13" s="1"/>
  <c r="K624" i="13" a="1"/>
  <c r="M624" i="13" s="1"/>
  <c r="K623" i="13" a="1"/>
  <c r="K623" i="13" s="1"/>
  <c r="K622" i="13" a="1"/>
  <c r="K622" i="13" s="1"/>
  <c r="K621" i="13" a="1"/>
  <c r="K621" i="13" s="1"/>
  <c r="K620" i="13" a="1"/>
  <c r="K619" i="13" a="1"/>
  <c r="M619" i="13" s="1"/>
  <c r="K618" i="13" a="1"/>
  <c r="M618" i="13" s="1"/>
  <c r="K617" i="13" a="1"/>
  <c r="K617" i="13" s="1"/>
  <c r="K616" i="13" a="1"/>
  <c r="K615" i="13" a="1"/>
  <c r="M615" i="13" s="1"/>
  <c r="K614" i="13" a="1"/>
  <c r="K614" i="13" s="1"/>
  <c r="K613" i="13" a="1"/>
  <c r="K612" i="13" a="1"/>
  <c r="K611" i="13" a="1"/>
  <c r="M611" i="13" s="1"/>
  <c r="K610" i="13" a="1"/>
  <c r="M610" i="13" s="1"/>
  <c r="K609" i="13" a="1"/>
  <c r="K608" i="13" a="1"/>
  <c r="K607" i="13" a="1"/>
  <c r="M607" i="13" s="1"/>
  <c r="K606" i="13" a="1"/>
  <c r="M606" i="13" s="1"/>
  <c r="K605" i="13" a="1"/>
  <c r="K605" i="13" s="1"/>
  <c r="K604" i="13" a="1"/>
  <c r="K603" i="13" a="1"/>
  <c r="M603" i="13" s="1"/>
  <c r="K602" i="13" a="1"/>
  <c r="M602" i="13" s="1"/>
  <c r="K601" i="13" a="1"/>
  <c r="K601" i="13" s="1"/>
  <c r="K600" i="13" a="1"/>
  <c r="K599" i="13" a="1"/>
  <c r="K599" i="13" s="1"/>
  <c r="K598" i="13" a="1"/>
  <c r="K598" i="13" s="1"/>
  <c r="K597" i="13" a="1"/>
  <c r="K596" i="13" a="1"/>
  <c r="K595" i="13" a="1"/>
  <c r="K595" i="13" s="1"/>
  <c r="K594" i="13" a="1"/>
  <c r="K594" i="13" s="1"/>
  <c r="K593" i="13" a="1"/>
  <c r="K593" i="13" s="1"/>
  <c r="K592" i="13" a="1"/>
  <c r="K592" i="13" s="1"/>
  <c r="K591" i="13" a="1"/>
  <c r="K591" i="13" s="1"/>
  <c r="K590" i="13" a="1"/>
  <c r="K590" i="13" s="1"/>
  <c r="K589" i="13" a="1"/>
  <c r="K589" i="13" s="1"/>
  <c r="K588" i="13" a="1"/>
  <c r="K588" i="13" s="1"/>
  <c r="K587" i="13" a="1"/>
  <c r="K587" i="13" s="1"/>
  <c r="K586" i="13" a="1"/>
  <c r="K586" i="13" s="1"/>
  <c r="K585" i="13" a="1"/>
  <c r="K585" i="13" s="1"/>
  <c r="K584" i="13" a="1"/>
  <c r="K584" i="13" s="1"/>
  <c r="K583" i="13" a="1"/>
  <c r="K583" i="13" s="1"/>
  <c r="K582" i="13" a="1"/>
  <c r="K582" i="13" s="1"/>
  <c r="K581" i="13" a="1"/>
  <c r="K581" i="13" s="1"/>
  <c r="K580" i="13" a="1"/>
  <c r="K580" i="13" s="1"/>
  <c r="K579" i="13" a="1"/>
  <c r="K579" i="13" s="1"/>
  <c r="K578" i="13" a="1"/>
  <c r="K578" i="13" s="1"/>
  <c r="K577" i="13" a="1"/>
  <c r="K577" i="13" s="1"/>
  <c r="K576" i="13" a="1"/>
  <c r="K576" i="13" s="1"/>
  <c r="K575" i="13" a="1"/>
  <c r="K575" i="13" s="1"/>
  <c r="K574" i="13" a="1"/>
  <c r="K574" i="13" s="1"/>
  <c r="K573" i="13" a="1"/>
  <c r="K573" i="13" s="1"/>
  <c r="K572" i="13" a="1"/>
  <c r="K572" i="13" s="1"/>
  <c r="K571" i="13" a="1"/>
  <c r="K571" i="13" s="1"/>
  <c r="K570" i="13" a="1"/>
  <c r="K570" i="13" s="1"/>
  <c r="K569" i="13" a="1"/>
  <c r="K569" i="13" s="1"/>
  <c r="K568" i="13" a="1"/>
  <c r="K568" i="13" s="1"/>
  <c r="K567" i="13" a="1"/>
  <c r="K567" i="13" s="1"/>
  <c r="K566" i="13" a="1"/>
  <c r="K566" i="13" s="1"/>
  <c r="K565" i="13" a="1"/>
  <c r="K565" i="13" s="1"/>
  <c r="K564" i="13" a="1"/>
  <c r="M564" i="13" s="1"/>
  <c r="K563" i="13" a="1"/>
  <c r="M563" i="13" s="1"/>
  <c r="K562" i="13" a="1"/>
  <c r="K562" i="13" s="1"/>
  <c r="K561" i="13" a="1"/>
  <c r="M561" i="13" s="1"/>
  <c r="K560" i="13" a="1"/>
  <c r="M560" i="13" s="1"/>
  <c r="K559" i="13" a="1"/>
  <c r="M559" i="13" s="1"/>
  <c r="K558" i="13" a="1"/>
  <c r="M558" i="13" s="1"/>
  <c r="K557" i="13" a="1"/>
  <c r="K556" i="13" a="1"/>
  <c r="M556" i="13" s="1"/>
  <c r="K555" i="13" a="1"/>
  <c r="M555" i="13" s="1"/>
  <c r="K554" i="13" a="1"/>
  <c r="K554" i="13" s="1"/>
  <c r="K553" i="13" a="1"/>
  <c r="K553" i="13" s="1"/>
  <c r="K552" i="13" a="1"/>
  <c r="K551" i="13" a="1"/>
  <c r="K551" i="13" s="1"/>
  <c r="K550" i="13" a="1"/>
  <c r="M550" i="13" s="1"/>
  <c r="K549" i="13" a="1"/>
  <c r="M549" i="13" s="1"/>
  <c r="K548" i="13" a="1"/>
  <c r="M548" i="13" s="1"/>
  <c r="K547" i="13" a="1"/>
  <c r="K546" i="13" a="1"/>
  <c r="K546" i="13" s="1"/>
  <c r="K545" i="13" a="1"/>
  <c r="M545" i="13" s="1"/>
  <c r="K544" i="13" a="1"/>
  <c r="M544" i="13" s="1"/>
  <c r="K543" i="13" a="1"/>
  <c r="M543" i="13" s="1"/>
  <c r="K542" i="13" a="1"/>
  <c r="K541" i="13" a="1"/>
  <c r="K541" i="13" s="1"/>
  <c r="K540" i="13" a="1"/>
  <c r="M540" i="13" s="1"/>
  <c r="K539" i="13" a="1"/>
  <c r="M539" i="13" s="1"/>
  <c r="K538" i="13" a="1"/>
  <c r="K538" i="13" s="1"/>
  <c r="K537" i="13" a="1"/>
  <c r="K536" i="13" a="1"/>
  <c r="M536" i="13" s="1"/>
  <c r="K535" i="13" a="1"/>
  <c r="M535" i="13" s="1"/>
  <c r="K534" i="13" a="1"/>
  <c r="M534" i="13" s="1"/>
  <c r="K533" i="13" a="1"/>
  <c r="M533" i="13" s="1"/>
  <c r="K532" i="13" a="1"/>
  <c r="M532" i="13" s="1"/>
  <c r="K531" i="13" a="1"/>
  <c r="K531" i="13" s="1"/>
  <c r="K530" i="13" a="1"/>
  <c r="M530" i="13" s="1"/>
  <c r="K529" i="13" a="1"/>
  <c r="M529" i="13" s="1"/>
  <c r="K528" i="13" a="1"/>
  <c r="M528" i="13" s="1"/>
  <c r="K527" i="13" a="1"/>
  <c r="K527" i="13" s="1"/>
  <c r="K526" i="13" a="1"/>
  <c r="M526" i="13" s="1"/>
  <c r="K525" i="13" a="1"/>
  <c r="M525" i="13" s="1"/>
  <c r="K524" i="13" a="1"/>
  <c r="M524" i="13" s="1"/>
  <c r="K523" i="13" a="1"/>
  <c r="K523" i="13" s="1"/>
  <c r="K522" i="13" a="1"/>
  <c r="K521" i="13" a="1"/>
  <c r="M521" i="13" s="1"/>
  <c r="K520" i="13" a="1"/>
  <c r="M520" i="13" s="1"/>
  <c r="K519" i="13" a="1"/>
  <c r="K519" i="13" s="1"/>
  <c r="K518" i="13" a="1"/>
  <c r="K517" i="13" a="1"/>
  <c r="K517" i="13" s="1"/>
  <c r="K516" i="13" a="1"/>
  <c r="M516" i="13" s="1"/>
  <c r="K515" i="13" a="1"/>
  <c r="K515" i="13" s="1"/>
  <c r="K514" i="13" a="1"/>
  <c r="M514" i="13" s="1"/>
  <c r="K513" i="13" a="1"/>
  <c r="M513" i="13" s="1"/>
  <c r="K512" i="13" a="1"/>
  <c r="M512" i="13" s="1"/>
  <c r="K511" i="13" a="1"/>
  <c r="K510" i="13" a="1"/>
  <c r="M510" i="13" s="1"/>
  <c r="K509" i="13" a="1"/>
  <c r="K508" i="13" a="1"/>
  <c r="M508" i="13" s="1"/>
  <c r="K507" i="13" a="1"/>
  <c r="K507" i="13" s="1"/>
  <c r="K506" i="13" a="1"/>
  <c r="K506" i="13" s="1"/>
  <c r="K505" i="13" a="1"/>
  <c r="M505" i="13" s="1"/>
  <c r="K504" i="13" a="1"/>
  <c r="K504" i="13" s="1"/>
  <c r="K503" i="13" a="1"/>
  <c r="M503" i="13" s="1"/>
  <c r="K502" i="13" a="1"/>
  <c r="K502" i="13" s="1"/>
  <c r="K501" i="13" a="1"/>
  <c r="M501" i="13" s="1"/>
  <c r="K500" i="13" a="1"/>
  <c r="K500" i="13" s="1"/>
  <c r="K499" i="13" a="1"/>
  <c r="K499" i="13" s="1"/>
  <c r="K498" i="13" a="1"/>
  <c r="K498" i="13" s="1"/>
  <c r="K497" i="13" a="1"/>
  <c r="K497" i="13" s="1"/>
  <c r="K496" i="13" a="1"/>
  <c r="K496" i="13" s="1"/>
  <c r="K495" i="13" a="1"/>
  <c r="K495" i="13" s="1"/>
  <c r="K494" i="13" a="1"/>
  <c r="K494" i="13" s="1"/>
  <c r="K493" i="13" a="1"/>
  <c r="K493" i="13" s="1"/>
  <c r="K492" i="13" a="1"/>
  <c r="M492" i="13" s="1"/>
  <c r="K491" i="13" a="1"/>
  <c r="K490" i="13" a="1"/>
  <c r="K490" i="13" s="1"/>
  <c r="K489" i="13" a="1"/>
  <c r="M489" i="13" s="1"/>
  <c r="K488" i="13" a="1"/>
  <c r="M488" i="13" s="1"/>
  <c r="K487" i="13" a="1"/>
  <c r="K486" i="13" a="1"/>
  <c r="M486" i="13" s="1"/>
  <c r="K485" i="13" a="1"/>
  <c r="K485" i="13" s="1"/>
  <c r="K484" i="13" a="1"/>
  <c r="K484" i="13" s="1"/>
  <c r="K483" i="13" a="1"/>
  <c r="K483" i="13" s="1"/>
  <c r="K482" i="13" a="1"/>
  <c r="K482" i="13" s="1"/>
  <c r="K481" i="13" a="1"/>
  <c r="K481" i="13" s="1"/>
  <c r="K480" i="13" a="1"/>
  <c r="K480" i="13" s="1"/>
  <c r="K479" i="13" a="1"/>
  <c r="K479" i="13" s="1"/>
  <c r="K478" i="13" a="1"/>
  <c r="K478" i="13" s="1"/>
  <c r="K477" i="13" a="1"/>
  <c r="K476" i="13" a="1"/>
  <c r="K476" i="13" s="1"/>
  <c r="K475" i="13" a="1"/>
  <c r="K474" i="13" a="1"/>
  <c r="K474" i="13" s="1"/>
  <c r="K473" i="13" a="1"/>
  <c r="K472" i="13" a="1"/>
  <c r="M472" i="13" s="1"/>
  <c r="K471" i="13" a="1"/>
  <c r="M471" i="13" s="1"/>
  <c r="K470" i="13" a="1"/>
  <c r="K470" i="13" s="1"/>
  <c r="K469" i="13" a="1"/>
  <c r="K469" i="13" s="1"/>
  <c r="K468" i="13" a="1"/>
  <c r="K468" i="13" s="1"/>
  <c r="K467" i="13" a="1"/>
  <c r="K467" i="13" s="1"/>
  <c r="K466" i="13" a="1"/>
  <c r="K466" i="13" s="1"/>
  <c r="K465" i="13" a="1"/>
  <c r="K465" i="13" s="1"/>
  <c r="K464" i="13" a="1"/>
  <c r="K464" i="13" s="1"/>
  <c r="K463" i="13" a="1"/>
  <c r="K462" i="13" a="1"/>
  <c r="K462" i="13" s="1"/>
  <c r="K461" i="13" a="1"/>
  <c r="M461" i="13" s="1"/>
  <c r="K460" i="13" a="1"/>
  <c r="M460" i="13" s="1"/>
  <c r="K459" i="13" a="1"/>
  <c r="K458" i="13" a="1"/>
  <c r="K458" i="13" s="1"/>
  <c r="K457" i="13" a="1"/>
  <c r="K457" i="13" s="1"/>
  <c r="K456" i="13" a="1"/>
  <c r="K456" i="13" s="1"/>
  <c r="K455" i="13" a="1"/>
  <c r="K455" i="13" s="1"/>
  <c r="K454" i="13" a="1"/>
  <c r="M454" i="13" s="1"/>
  <c r="K453" i="13" a="1"/>
  <c r="K453" i="13" s="1"/>
  <c r="K452" i="13" a="1"/>
  <c r="M452" i="13" s="1"/>
  <c r="K451" i="13" a="1"/>
  <c r="K451" i="13" s="1"/>
  <c r="K450" i="13" a="1"/>
  <c r="K449" i="13" a="1"/>
  <c r="K449" i="13" s="1"/>
  <c r="K448" i="13" a="1"/>
  <c r="K448" i="13" s="1"/>
  <c r="K447" i="13" a="1"/>
  <c r="K447" i="13" s="1"/>
  <c r="K446" i="13" a="1"/>
  <c r="K446" i="13" s="1"/>
  <c r="K445" i="13" a="1"/>
  <c r="K445" i="13" s="1"/>
  <c r="K444" i="13" a="1"/>
  <c r="K444" i="13" s="1"/>
  <c r="K443" i="13" a="1"/>
  <c r="K443" i="13" s="1"/>
  <c r="K442" i="13" a="1"/>
  <c r="K442" i="13" s="1"/>
  <c r="K441" i="13" a="1"/>
  <c r="K441" i="13" s="1"/>
  <c r="K440" i="13" a="1"/>
  <c r="K440" i="13" s="1"/>
  <c r="K439" i="13" a="1"/>
  <c r="K439" i="13" s="1"/>
  <c r="K438" i="13" a="1"/>
  <c r="K438" i="13" s="1"/>
  <c r="K437" i="13" a="1"/>
  <c r="K437" i="13" s="1"/>
  <c r="K436" i="13" a="1"/>
  <c r="K436" i="13" s="1"/>
  <c r="K435" i="13" a="1"/>
  <c r="K435" i="13" s="1"/>
  <c r="K434" i="13" a="1"/>
  <c r="K434" i="13" s="1"/>
  <c r="K433" i="13" a="1"/>
  <c r="K432" i="13" a="1"/>
  <c r="K432" i="13" s="1"/>
  <c r="K431" i="13" a="1"/>
  <c r="M431" i="13" s="1"/>
  <c r="K430" i="13" a="1"/>
  <c r="K430" i="13" s="1"/>
  <c r="K429" i="13" a="1"/>
  <c r="K428" i="13" a="1"/>
  <c r="M428" i="13" s="1"/>
  <c r="K427" i="13" a="1"/>
  <c r="M427" i="13" s="1"/>
  <c r="K426" i="13" a="1"/>
  <c r="K426" i="13" s="1"/>
  <c r="K425" i="13" a="1"/>
  <c r="K424" i="13" a="1"/>
  <c r="M424" i="13" s="1"/>
  <c r="K423" i="13" a="1"/>
  <c r="K423" i="13" s="1"/>
  <c r="K422" i="13" a="1"/>
  <c r="K422" i="13" s="1"/>
  <c r="K421" i="13" a="1"/>
  <c r="K421" i="13" s="1"/>
  <c r="K420" i="13" a="1"/>
  <c r="K420" i="13" s="1"/>
  <c r="K419" i="13" a="1"/>
  <c r="K419" i="13" s="1"/>
  <c r="K418" i="13" a="1"/>
  <c r="K418" i="13" s="1"/>
  <c r="K417" i="13" a="1"/>
  <c r="K417" i="13" s="1"/>
  <c r="K416" i="13" a="1"/>
  <c r="K416" i="13" s="1"/>
  <c r="K415" i="13" a="1"/>
  <c r="K415" i="13" s="1"/>
  <c r="K414" i="13" a="1"/>
  <c r="K414" i="13" s="1"/>
  <c r="K413" i="13" a="1"/>
  <c r="K413" i="13" s="1"/>
  <c r="K412" i="13" a="1"/>
  <c r="K412" i="13" s="1"/>
  <c r="K411" i="13" a="1"/>
  <c r="K411" i="13" s="1"/>
  <c r="K410" i="13" a="1"/>
  <c r="K410" i="13" s="1"/>
  <c r="K409" i="13" a="1"/>
  <c r="K409" i="13" s="1"/>
  <c r="K408" i="13" a="1"/>
  <c r="K408" i="13" s="1"/>
  <c r="K407" i="13" a="1"/>
  <c r="M407" i="13" s="1"/>
  <c r="K406" i="13" a="1"/>
  <c r="M406" i="13" s="1"/>
  <c r="K405" i="13" a="1"/>
  <c r="K405" i="13" s="1"/>
  <c r="K404" i="13" a="1"/>
  <c r="K403" i="13" a="1"/>
  <c r="M403" i="13" s="1"/>
  <c r="K402" i="13" a="1"/>
  <c r="M402" i="13" s="1"/>
  <c r="K401" i="13" a="1"/>
  <c r="K401" i="13" s="1"/>
  <c r="K400" i="13" a="1"/>
  <c r="K399" i="13" a="1"/>
  <c r="M399" i="13" s="1"/>
  <c r="K398" i="13" a="1"/>
  <c r="M398" i="13" s="1"/>
  <c r="K397" i="13" a="1"/>
  <c r="K396" i="13" a="1"/>
  <c r="K396" i="13" s="1"/>
  <c r="K395" i="13" a="1"/>
  <c r="M395" i="13" s="1"/>
  <c r="K394" i="13" a="1"/>
  <c r="M394" i="13" s="1"/>
  <c r="K393" i="13" a="1"/>
  <c r="K392" i="13" a="1"/>
  <c r="K392" i="13" s="1"/>
  <c r="K391" i="13" a="1"/>
  <c r="M391" i="13" s="1"/>
  <c r="K390" i="13" a="1"/>
  <c r="M390" i="13" s="1"/>
  <c r="K389" i="13" a="1"/>
  <c r="K389" i="13" s="1"/>
  <c r="K388" i="13" a="1"/>
  <c r="K388" i="13" s="1"/>
  <c r="K387" i="13" a="1"/>
  <c r="M387" i="13" s="1"/>
  <c r="K386" i="13" a="1"/>
  <c r="M386" i="13" s="1"/>
  <c r="K385" i="13" a="1"/>
  <c r="K385" i="13" s="1"/>
  <c r="K384" i="13" a="1"/>
  <c r="K384" i="13" s="1"/>
  <c r="K383" i="13" a="1"/>
  <c r="M383" i="13" s="1"/>
  <c r="K382" i="13" a="1"/>
  <c r="M382" i="13" s="1"/>
  <c r="K381" i="13" a="1"/>
  <c r="K381" i="13" s="1"/>
  <c r="K380" i="13" a="1"/>
  <c r="K380" i="13" s="1"/>
  <c r="K379" i="13" a="1"/>
  <c r="K379" i="13" s="1"/>
  <c r="K378" i="13" a="1"/>
  <c r="K378" i="13" s="1"/>
  <c r="K377" i="13" a="1"/>
  <c r="K377" i="13" s="1"/>
  <c r="K376" i="13" a="1"/>
  <c r="K376" i="13" s="1"/>
  <c r="K375" i="13" a="1"/>
  <c r="K375" i="13" s="1"/>
  <c r="K374" i="13" a="1"/>
  <c r="K374" i="13" s="1"/>
  <c r="K373" i="13" a="1"/>
  <c r="K373" i="13" s="1"/>
  <c r="K372" i="13" a="1"/>
  <c r="K372" i="13" s="1"/>
  <c r="K371" i="13" a="1"/>
  <c r="K371" i="13" s="1"/>
  <c r="K370" i="13" a="1"/>
  <c r="K370" i="13" s="1"/>
  <c r="K369" i="13" a="1"/>
  <c r="K369" i="13" s="1"/>
  <c r="K368" i="13" a="1"/>
  <c r="K368" i="13" s="1"/>
  <c r="K367" i="13" a="1"/>
  <c r="K367" i="13" s="1"/>
  <c r="K366" i="13" a="1"/>
  <c r="K366" i="13" s="1"/>
  <c r="K365" i="13" a="1"/>
  <c r="K365" i="13" s="1"/>
  <c r="K364" i="13" a="1"/>
  <c r="K364" i="13" s="1"/>
  <c r="K363" i="13" a="1"/>
  <c r="K363" i="13" s="1"/>
  <c r="K362" i="13" a="1"/>
  <c r="K362" i="13" s="1"/>
  <c r="K361" i="13" a="1"/>
  <c r="K361" i="13" s="1"/>
  <c r="K360" i="13" a="1"/>
  <c r="K360" i="13" s="1"/>
  <c r="K359" i="13" a="1"/>
  <c r="K359" i="13" s="1"/>
  <c r="K358" i="13" a="1"/>
  <c r="K358" i="13" s="1"/>
  <c r="K357" i="13" a="1"/>
  <c r="K357" i="13" s="1"/>
  <c r="K356" i="13" a="1"/>
  <c r="K356" i="13" s="1"/>
  <c r="K355" i="13" a="1"/>
  <c r="K355" i="13" s="1"/>
  <c r="K354" i="13" a="1"/>
  <c r="K354" i="13" s="1"/>
  <c r="K353" i="13" a="1"/>
  <c r="K353" i="13" s="1"/>
  <c r="K352" i="13" a="1"/>
  <c r="K352" i="13" s="1"/>
  <c r="K351" i="13" a="1"/>
  <c r="K351" i="13" s="1"/>
  <c r="K350" i="13" a="1"/>
  <c r="K350" i="13" s="1"/>
  <c r="K349" i="13" a="1"/>
  <c r="K349" i="13" s="1"/>
  <c r="K348" i="13" a="1"/>
  <c r="K348" i="13" s="1"/>
  <c r="K347" i="13" a="1"/>
  <c r="K347" i="13" s="1"/>
  <c r="K346" i="13" a="1"/>
  <c r="K346" i="13" s="1"/>
  <c r="K345" i="13" a="1"/>
  <c r="K345" i="13" s="1"/>
  <c r="K344" i="13" a="1"/>
  <c r="K344" i="13" s="1"/>
  <c r="K343" i="13" a="1"/>
  <c r="K343" i="13" s="1"/>
  <c r="K342" i="13" a="1"/>
  <c r="K342" i="13" s="1"/>
  <c r="K341" i="13" a="1"/>
  <c r="K341" i="13" s="1"/>
  <c r="K340" i="13" a="1"/>
  <c r="K340" i="13" s="1"/>
  <c r="K339" i="13" a="1"/>
  <c r="K339" i="13" s="1"/>
  <c r="K338" i="13" a="1"/>
  <c r="K338" i="13" s="1"/>
  <c r="K337" i="13" a="1"/>
  <c r="K337" i="13" s="1"/>
  <c r="K336" i="13" a="1"/>
  <c r="K336" i="13" s="1"/>
  <c r="K335" i="13" a="1"/>
  <c r="K335" i="13" s="1"/>
  <c r="K334" i="13" a="1"/>
  <c r="K334" i="13" s="1"/>
  <c r="K333" i="13" a="1"/>
  <c r="K333" i="13" s="1"/>
  <c r="K332" i="13" a="1"/>
  <c r="K332" i="13" s="1"/>
  <c r="K331" i="13" a="1"/>
  <c r="K331" i="13" s="1"/>
  <c r="K330" i="13" a="1"/>
  <c r="K330" i="13" s="1"/>
  <c r="K329" i="13" a="1"/>
  <c r="K329" i="13" s="1"/>
  <c r="K328" i="13" a="1"/>
  <c r="K328" i="13" s="1"/>
  <c r="K327" i="13" a="1"/>
  <c r="K327" i="13" s="1"/>
  <c r="K326" i="13" a="1"/>
  <c r="K326" i="13" s="1"/>
  <c r="K325" i="13" a="1"/>
  <c r="K325" i="13" s="1"/>
  <c r="K324" i="13" a="1"/>
  <c r="K324" i="13" s="1"/>
  <c r="K323" i="13" a="1"/>
  <c r="K323" i="13" s="1"/>
  <c r="K322" i="13" a="1"/>
  <c r="K322" i="13" s="1"/>
  <c r="K321" i="13" a="1"/>
  <c r="K321" i="13" s="1"/>
  <c r="K320" i="13" a="1"/>
  <c r="K320" i="13" s="1"/>
  <c r="K319" i="13" a="1"/>
  <c r="K319" i="13" s="1"/>
  <c r="K318" i="13" a="1"/>
  <c r="K318" i="13" s="1"/>
  <c r="K317" i="13" a="1"/>
  <c r="K317" i="13" s="1"/>
  <c r="K316" i="13" a="1"/>
  <c r="K316" i="13" s="1"/>
  <c r="K315" i="13" a="1"/>
  <c r="K315" i="13" s="1"/>
  <c r="K314" i="13" a="1"/>
  <c r="K314" i="13" s="1"/>
  <c r="K313" i="13" a="1"/>
  <c r="K313" i="13" s="1"/>
  <c r="K312" i="13" a="1"/>
  <c r="K312" i="13" s="1"/>
  <c r="K311" i="13" a="1"/>
  <c r="K311" i="13" s="1"/>
  <c r="K310" i="13" a="1"/>
  <c r="K310" i="13" s="1"/>
  <c r="K309" i="13" a="1"/>
  <c r="K309" i="13" s="1"/>
  <c r="K308" i="13" a="1"/>
  <c r="K308" i="13" s="1"/>
  <c r="K307" i="13" a="1"/>
  <c r="K307" i="13" s="1"/>
  <c r="K306" i="13" a="1"/>
  <c r="K306" i="13" s="1"/>
  <c r="K305" i="13" a="1"/>
  <c r="K305" i="13" s="1"/>
  <c r="K304" i="13" a="1"/>
  <c r="K304" i="13" s="1"/>
  <c r="K303" i="13" a="1"/>
  <c r="K303" i="13" s="1"/>
  <c r="K302" i="13" a="1"/>
  <c r="K302" i="13" s="1"/>
  <c r="K301" i="13" a="1"/>
  <c r="K301" i="13" s="1"/>
  <c r="K300" i="13" a="1"/>
  <c r="K300" i="13" s="1"/>
  <c r="K299" i="13" a="1"/>
  <c r="K299" i="13" s="1"/>
  <c r="K298" i="13" a="1"/>
  <c r="K298" i="13" s="1"/>
  <c r="K297" i="13" a="1"/>
  <c r="K297" i="13" s="1"/>
  <c r="K296" i="13" a="1"/>
  <c r="K296" i="13" s="1"/>
  <c r="K295" i="13" a="1"/>
  <c r="K295" i="13" s="1"/>
  <c r="K294" i="13" a="1"/>
  <c r="K294" i="13" s="1"/>
  <c r="K293" i="13" a="1"/>
  <c r="M293" i="13" s="1"/>
  <c r="K292" i="13" a="1"/>
  <c r="K292" i="13" s="1"/>
  <c r="K291" i="13" a="1"/>
  <c r="K291" i="13" s="1"/>
  <c r="K290" i="13" a="1"/>
  <c r="M290" i="13" s="1"/>
  <c r="K289" i="13" a="1"/>
  <c r="M289" i="13" s="1"/>
  <c r="K288" i="13" a="1"/>
  <c r="K287" i="13" a="1"/>
  <c r="K287" i="13" s="1"/>
  <c r="K286" i="13" a="1"/>
  <c r="M286" i="13" s="1"/>
  <c r="K285" i="13" a="1"/>
  <c r="M285" i="13" s="1"/>
  <c r="K284" i="13" a="1"/>
  <c r="K283" i="13" a="1"/>
  <c r="K283" i="13" s="1"/>
  <c r="K282" i="13" a="1"/>
  <c r="M282" i="13" s="1"/>
  <c r="K281" i="13" a="1"/>
  <c r="K281" i="13" s="1"/>
  <c r="K280" i="13" a="1"/>
  <c r="K280" i="13" s="1"/>
  <c r="K279" i="13" a="1"/>
  <c r="K279" i="13" s="1"/>
  <c r="K278" i="13" a="1"/>
  <c r="K278" i="13" s="1"/>
  <c r="K277" i="13" a="1"/>
  <c r="K277" i="13" s="1"/>
  <c r="K276" i="13" a="1"/>
  <c r="K276" i="13" s="1"/>
  <c r="K275" i="13" a="1"/>
  <c r="K275" i="13" s="1"/>
  <c r="K274" i="13" a="1"/>
  <c r="K274" i="13" s="1"/>
  <c r="K273" i="13" a="1"/>
  <c r="K273" i="13" s="1"/>
  <c r="K272" i="13" a="1"/>
  <c r="K272" i="13" s="1"/>
  <c r="K271" i="13" a="1"/>
  <c r="K271" i="13" s="1"/>
  <c r="K270" i="13" a="1"/>
  <c r="K270" i="13" s="1"/>
  <c r="K269" i="13" a="1"/>
  <c r="K269" i="13" s="1"/>
  <c r="K268" i="13" a="1"/>
  <c r="K268" i="13" s="1"/>
  <c r="K267" i="13" a="1"/>
  <c r="K267" i="13" s="1"/>
  <c r="K266" i="13" a="1"/>
  <c r="K266" i="13" s="1"/>
  <c r="K265" i="13" a="1"/>
  <c r="K265" i="13" s="1"/>
  <c r="K264" i="13" a="1"/>
  <c r="K264" i="13" s="1"/>
  <c r="K263" i="13" a="1"/>
  <c r="K263" i="13" s="1"/>
  <c r="K262" i="13" a="1"/>
  <c r="K262" i="13" s="1"/>
  <c r="K261" i="13" a="1"/>
  <c r="K261" i="13" s="1"/>
  <c r="K260" i="13" a="1"/>
  <c r="K260" i="13" s="1"/>
  <c r="K259" i="13" a="1"/>
  <c r="K259" i="13" s="1"/>
  <c r="K258" i="13" a="1"/>
  <c r="K258" i="13" s="1"/>
  <c r="K257" i="13" a="1"/>
  <c r="K257" i="13" s="1"/>
  <c r="K256" i="13" a="1"/>
  <c r="K256" i="13" s="1"/>
  <c r="K255" i="13" a="1"/>
  <c r="K255" i="13" s="1"/>
  <c r="K254" i="13" a="1"/>
  <c r="K254" i="13" s="1"/>
  <c r="K253" i="13" a="1"/>
  <c r="M253" i="13" s="1"/>
  <c r="K252" i="13" a="1"/>
  <c r="K252" i="13" s="1"/>
  <c r="K251" i="13" a="1"/>
  <c r="M251" i="13" s="1"/>
  <c r="K250" i="13" a="1"/>
  <c r="K250" i="13" s="1"/>
  <c r="K249" i="13" a="1"/>
  <c r="K248" i="13" a="1"/>
  <c r="M248" i="13" s="1"/>
  <c r="K247" i="13" a="1"/>
  <c r="K247" i="13" s="1"/>
  <c r="K246" i="13" a="1"/>
  <c r="K246" i="13" s="1"/>
  <c r="K245" i="13" a="1"/>
  <c r="K245" i="13" s="1"/>
  <c r="K244" i="13" a="1"/>
  <c r="M244" i="13" s="1"/>
  <c r="K243" i="13" a="1"/>
  <c r="K243" i="13" s="1"/>
  <c r="K242" i="13" a="1"/>
  <c r="K242" i="13" s="1"/>
  <c r="K241" i="13" a="1"/>
  <c r="K241" i="13" s="1"/>
  <c r="K240" i="13" a="1"/>
  <c r="K239" i="13" a="1"/>
  <c r="K238" i="13" a="1"/>
  <c r="K238" i="13" s="1"/>
  <c r="K237" i="13" a="1"/>
  <c r="K237" i="13" s="1"/>
  <c r="K236" i="13" a="1"/>
  <c r="K235" i="13" a="1"/>
  <c r="M235" i="13" s="1"/>
  <c r="K234" i="13" a="1"/>
  <c r="K234" i="13" s="1"/>
  <c r="K233" i="13" a="1"/>
  <c r="K233" i="13" s="1"/>
  <c r="K232" i="13" a="1"/>
  <c r="K232" i="13" s="1"/>
  <c r="K231" i="13" a="1"/>
  <c r="K231" i="13" s="1"/>
  <c r="K230" i="13" a="1"/>
  <c r="K230" i="13" s="1"/>
  <c r="K229" i="13" a="1"/>
  <c r="K229" i="13" s="1"/>
  <c r="K228" i="13" a="1"/>
  <c r="M228" i="13" s="1"/>
  <c r="K227" i="13" a="1"/>
  <c r="K227" i="13" s="1"/>
  <c r="K226" i="13" a="1"/>
  <c r="K226" i="13" s="1"/>
  <c r="K225" i="13" a="1"/>
  <c r="K225" i="13" s="1"/>
  <c r="K224" i="13" a="1"/>
  <c r="K223" i="13" a="1"/>
  <c r="M223" i="13" s="1"/>
  <c r="K222" i="13" a="1"/>
  <c r="K222" i="13" s="1"/>
  <c r="K221" i="13" a="1"/>
  <c r="K220" i="13" a="1"/>
  <c r="M220" i="13" s="1"/>
  <c r="K219" i="13" a="1"/>
  <c r="K219" i="13" s="1"/>
  <c r="K218" i="13" a="1"/>
  <c r="K218" i="13" s="1"/>
  <c r="K217" i="13" a="1"/>
  <c r="K217" i="13" s="1"/>
  <c r="K216" i="13" a="1"/>
  <c r="M216" i="13" s="1"/>
  <c r="K215" i="13" a="1"/>
  <c r="K215" i="13" s="1"/>
  <c r="K214" i="13" a="1"/>
  <c r="M214" i="13" s="1"/>
  <c r="K213" i="13" a="1"/>
  <c r="K212" i="13" a="1"/>
  <c r="M212" i="13" s="1"/>
  <c r="K211" i="13" a="1"/>
  <c r="K211" i="13" s="1"/>
  <c r="K210" i="13" a="1"/>
  <c r="K210" i="13" s="1"/>
  <c r="K209" i="13" a="1"/>
  <c r="M209" i="13" s="1"/>
  <c r="K208" i="13" a="1"/>
  <c r="M208" i="13" s="1"/>
  <c r="K207" i="13" a="1"/>
  <c r="K207" i="13" s="1"/>
  <c r="K206" i="13" a="1"/>
  <c r="M206" i="13" s="1"/>
  <c r="K205" i="13" a="1"/>
  <c r="M205" i="13" s="1"/>
  <c r="K204" i="13" a="1"/>
  <c r="M204" i="13" s="1"/>
  <c r="K203" i="13" a="1"/>
  <c r="K203" i="13" s="1"/>
  <c r="K202" i="13" a="1"/>
  <c r="M202" i="13" s="1"/>
  <c r="K201" i="13" a="1"/>
  <c r="M201" i="13" s="1"/>
  <c r="K200" i="13" a="1"/>
  <c r="K200" i="13" s="1"/>
  <c r="K199" i="13" a="1"/>
  <c r="K199" i="13" s="1"/>
  <c r="K198" i="13" a="1"/>
  <c r="M198" i="13" s="1"/>
  <c r="K197" i="13" a="1"/>
  <c r="K196" i="13" a="1"/>
  <c r="K195" i="13" a="1"/>
  <c r="K195" i="13" s="1"/>
  <c r="K194" i="13" a="1"/>
  <c r="M194" i="13" s="1"/>
  <c r="K193" i="13" a="1"/>
  <c r="K193" i="13" s="1"/>
  <c r="K192" i="13" a="1"/>
  <c r="M192" i="13" s="1"/>
  <c r="K191" i="13" a="1"/>
  <c r="K191" i="13" s="1"/>
  <c r="K190" i="13" a="1"/>
  <c r="K190" i="13" s="1"/>
  <c r="K189" i="13" a="1"/>
  <c r="K189" i="13" s="1"/>
  <c r="K188" i="13" a="1"/>
  <c r="K187" i="13" a="1"/>
  <c r="K187" i="13" s="1"/>
  <c r="K186" i="13" a="1"/>
  <c r="K186" i="13" s="1"/>
  <c r="K185" i="13" a="1"/>
  <c r="K185" i="13" s="1"/>
  <c r="K184" i="13" a="1"/>
  <c r="M184" i="13" s="1"/>
  <c r="K183" i="13" a="1"/>
  <c r="M183" i="13" s="1"/>
  <c r="K182" i="13" a="1"/>
  <c r="K182" i="13" s="1"/>
  <c r="K181" i="13" a="1"/>
  <c r="K181" i="13" s="1"/>
  <c r="K180" i="13" a="1"/>
  <c r="K180" i="13" s="1"/>
  <c r="K179" i="13" a="1"/>
  <c r="K179" i="13" s="1"/>
  <c r="K178" i="13" a="1"/>
  <c r="K178" i="13" s="1"/>
  <c r="K177" i="13" a="1"/>
  <c r="K177" i="13" s="1"/>
  <c r="K176" i="13" a="1"/>
  <c r="K176" i="13" s="1"/>
  <c r="K175" i="13" a="1"/>
  <c r="K175" i="13" s="1"/>
  <c r="K174" i="13" a="1"/>
  <c r="K174" i="13" s="1"/>
  <c r="K173" i="13" a="1"/>
  <c r="K173" i="13" s="1"/>
  <c r="K172" i="13" a="1"/>
  <c r="K171" i="13" a="1"/>
  <c r="K170" i="13" a="1"/>
  <c r="K170" i="13" s="1"/>
  <c r="K169" i="13" a="1"/>
  <c r="M169" i="13" s="1"/>
  <c r="K168" i="13" a="1"/>
  <c r="K167" i="13" a="1"/>
  <c r="K167" i="13" s="1"/>
  <c r="K166" i="13" a="1"/>
  <c r="K166" i="13" s="1"/>
  <c r="K165" i="13" a="1"/>
  <c r="M165" i="13" s="1"/>
  <c r="K164" i="13" a="1"/>
  <c r="K163" i="13" a="1"/>
  <c r="K163" i="13" s="1"/>
  <c r="K162" i="13" a="1"/>
  <c r="M162" i="13" s="1"/>
  <c r="K161" i="13" a="1"/>
  <c r="M161" i="13" s="1"/>
  <c r="K160" i="13" a="1"/>
  <c r="K159" i="13" a="1"/>
  <c r="K159" i="13" s="1"/>
  <c r="K158" i="13" a="1"/>
  <c r="K158" i="13" s="1"/>
  <c r="K157" i="13" a="1"/>
  <c r="K157" i="13" s="1"/>
  <c r="K156" i="13" a="1"/>
  <c r="K156" i="13" s="1"/>
  <c r="K155" i="13" a="1"/>
  <c r="K155" i="13" s="1"/>
  <c r="K154" i="13" a="1"/>
  <c r="M154" i="13" s="1"/>
  <c r="K153" i="13" a="1"/>
  <c r="M153" i="13" s="1"/>
  <c r="K152" i="13" a="1"/>
  <c r="M152" i="13" s="1"/>
  <c r="K151" i="13" a="1"/>
  <c r="K151" i="13" s="1"/>
  <c r="K150" i="13" a="1"/>
  <c r="M150" i="13" s="1"/>
  <c r="K149" i="13" a="1"/>
  <c r="K149" i="13" s="1"/>
  <c r="K148" i="13" a="1"/>
  <c r="K148" i="13" s="1"/>
  <c r="K147" i="13" a="1"/>
  <c r="K147" i="13" s="1"/>
  <c r="K146" i="13" a="1"/>
  <c r="K146" i="13" s="1"/>
  <c r="K145" i="13" a="1"/>
  <c r="K145" i="13" s="1"/>
  <c r="K144" i="13" a="1"/>
  <c r="K144" i="13" s="1"/>
  <c r="K143" i="13" a="1"/>
  <c r="M143" i="13" s="1"/>
  <c r="K142" i="13" a="1"/>
  <c r="K141" i="13" a="1"/>
  <c r="K141" i="13" s="1"/>
  <c r="K140" i="13" a="1"/>
  <c r="K139" i="13" a="1"/>
  <c r="K139" i="13" s="1"/>
  <c r="K138" i="13" a="1"/>
  <c r="M138" i="13" s="1"/>
  <c r="K137" i="13" a="1"/>
  <c r="K137" i="13" s="1"/>
  <c r="K136" i="13" a="1"/>
  <c r="K136" i="13" s="1"/>
  <c r="K135" i="13" a="1"/>
  <c r="K135" i="13" s="1"/>
  <c r="K134" i="13" a="1"/>
  <c r="K134" i="13" s="1"/>
  <c r="K133" i="13" a="1"/>
  <c r="K133" i="13" s="1"/>
  <c r="K132" i="13" a="1"/>
  <c r="M132" i="13" s="1"/>
  <c r="K131" i="13" a="1"/>
  <c r="K131" i="13" s="1"/>
  <c r="K130" i="13" a="1"/>
  <c r="M130" i="13" s="1"/>
  <c r="K129" i="13" a="1"/>
  <c r="K129" i="13" s="1"/>
  <c r="K128" i="13" a="1"/>
  <c r="K128" i="13" s="1"/>
  <c r="K127" i="13" a="1"/>
  <c r="K127" i="13" s="1"/>
  <c r="K126" i="13" a="1"/>
  <c r="K126" i="13" s="1"/>
  <c r="K125" i="13" a="1"/>
  <c r="K125" i="13" s="1"/>
  <c r="K124" i="13" a="1"/>
  <c r="M124" i="13" s="1"/>
  <c r="K123" i="13" a="1"/>
  <c r="M123" i="13" s="1"/>
  <c r="K122" i="13" a="1"/>
  <c r="M122" i="13" s="1"/>
  <c r="K121" i="13" a="1"/>
  <c r="K120" i="13" a="1"/>
  <c r="K120" i="13" s="1"/>
  <c r="K119" i="13" a="1"/>
  <c r="K118" i="13" a="1"/>
  <c r="K118" i="13" s="1"/>
  <c r="K117" i="13" a="1"/>
  <c r="M117" i="13" s="1"/>
  <c r="K116" i="13" a="1"/>
  <c r="K116" i="13" s="1"/>
  <c r="K115" i="13" a="1"/>
  <c r="K115" i="13" s="1"/>
  <c r="K114" i="13" a="1"/>
  <c r="K113" i="13" a="1"/>
  <c r="M113" i="13" s="1"/>
  <c r="K112" i="13" a="1"/>
  <c r="K112" i="13" s="1"/>
  <c r="K111" i="13" a="1"/>
  <c r="K111" i="13" s="1"/>
  <c r="K110" i="13" a="1"/>
  <c r="M110" i="13" s="1"/>
  <c r="K109" i="13" a="1"/>
  <c r="M109" i="13" s="1"/>
  <c r="K108" i="13" a="1"/>
  <c r="K108" i="13" s="1"/>
  <c r="K107" i="13" a="1"/>
  <c r="K107" i="13" s="1"/>
  <c r="K106" i="13" a="1"/>
  <c r="K106" i="13" s="1"/>
  <c r="K105" i="13" a="1"/>
  <c r="M105" i="13" s="1"/>
  <c r="K104" i="13" a="1"/>
  <c r="K104" i="13" s="1"/>
  <c r="K103" i="13" a="1"/>
  <c r="K103" i="13" s="1"/>
  <c r="K102" i="13" a="1"/>
  <c r="K102" i="13" s="1"/>
  <c r="K101" i="13" a="1"/>
  <c r="M101" i="13" s="1"/>
  <c r="K100" i="13" a="1"/>
  <c r="M100" i="13" s="1"/>
  <c r="K99" i="13" a="1"/>
  <c r="K99" i="13" s="1"/>
  <c r="K98" i="13" a="1"/>
  <c r="K98" i="13" s="1"/>
  <c r="K97" i="13" a="1"/>
  <c r="K97" i="13" s="1"/>
  <c r="K96" i="13" a="1"/>
  <c r="K96" i="13" s="1"/>
  <c r="K95" i="13" a="1"/>
  <c r="K95" i="13" s="1"/>
  <c r="K94" i="13" a="1"/>
  <c r="K94" i="13" s="1"/>
  <c r="K93" i="13" a="1"/>
  <c r="K93" i="13" s="1"/>
  <c r="K92" i="13" a="1"/>
  <c r="K92" i="13" s="1"/>
  <c r="K91" i="13" a="1"/>
  <c r="K91" i="13" s="1"/>
  <c r="K90" i="13" a="1"/>
  <c r="K90" i="13" s="1"/>
  <c r="K89" i="13" a="1"/>
  <c r="K89" i="13" s="1"/>
  <c r="K88" i="13" a="1"/>
  <c r="K88" i="13" s="1"/>
  <c r="K87" i="13" a="1"/>
  <c r="K87" i="13" s="1"/>
  <c r="K86" i="13" a="1"/>
  <c r="K86" i="13" s="1"/>
  <c r="K85" i="13" a="1"/>
  <c r="K85" i="13" s="1"/>
  <c r="K84" i="13" a="1"/>
  <c r="K84" i="13" s="1"/>
  <c r="K83" i="13" a="1"/>
  <c r="K83" i="13" s="1"/>
  <c r="K82" i="13" a="1"/>
  <c r="K82" i="13" s="1"/>
  <c r="K81" i="13" a="1"/>
  <c r="K81" i="13" s="1"/>
  <c r="K80" i="13" a="1"/>
  <c r="K80" i="13" s="1"/>
  <c r="K79" i="13" a="1"/>
  <c r="M79" i="13" s="1"/>
  <c r="K78" i="13" a="1"/>
  <c r="K78" i="13" s="1"/>
  <c r="K77" i="13" a="1"/>
  <c r="K77" i="13" s="1"/>
  <c r="K76" i="13" a="1"/>
  <c r="M76" i="13" s="1"/>
  <c r="K75" i="13" a="1"/>
  <c r="M75" i="13" s="1"/>
  <c r="K74" i="13" a="1"/>
  <c r="K74" i="13" s="1"/>
  <c r="K73" i="13" a="1"/>
  <c r="K73" i="13" s="1"/>
  <c r="K72" i="13" a="1"/>
  <c r="K72" i="13" s="1"/>
  <c r="K71" i="13" a="1"/>
  <c r="M71" i="13" s="1"/>
  <c r="K70" i="13" a="1"/>
  <c r="K70" i="13" s="1"/>
  <c r="K69" i="13" a="1"/>
  <c r="K69" i="13" s="1"/>
  <c r="K68" i="13" a="1"/>
  <c r="M68" i="13" s="1"/>
  <c r="K67" i="13" a="1"/>
  <c r="K67" i="13" s="1"/>
  <c r="K66" i="13" a="1"/>
  <c r="K66" i="13" s="1"/>
  <c r="K65" i="13" a="1"/>
  <c r="K65" i="13" s="1"/>
  <c r="K64" i="13" a="1"/>
  <c r="K64" i="13" s="1"/>
  <c r="K63" i="13" a="1"/>
  <c r="K63" i="13" s="1"/>
  <c r="K62" i="13" a="1"/>
  <c r="K62" i="13" s="1"/>
  <c r="K61" i="13" a="1"/>
  <c r="K61" i="13" s="1"/>
  <c r="K60" i="13" a="1"/>
  <c r="K60" i="13" s="1"/>
  <c r="K59" i="13" a="1"/>
  <c r="K59" i="13" s="1"/>
  <c r="K58" i="13" a="1"/>
  <c r="K58" i="13" s="1"/>
  <c r="K57" i="13" a="1"/>
  <c r="K57" i="13" s="1"/>
  <c r="K56" i="13" a="1"/>
  <c r="K56" i="13" s="1"/>
  <c r="K55" i="13" a="1"/>
  <c r="K55" i="13" s="1"/>
  <c r="K54" i="13" a="1"/>
  <c r="K54" i="13" s="1"/>
  <c r="K53" i="13" a="1"/>
  <c r="K53" i="13" s="1"/>
  <c r="K52" i="13" a="1"/>
  <c r="K52" i="13" s="1"/>
  <c r="K51" i="13" a="1"/>
  <c r="K51" i="13" s="1"/>
  <c r="K50" i="13" a="1"/>
  <c r="K50" i="13" s="1"/>
  <c r="K49" i="13" a="1"/>
  <c r="K49" i="13" s="1"/>
  <c r="K48" i="13" a="1"/>
  <c r="K48" i="13" s="1"/>
  <c r="K47" i="13" a="1"/>
  <c r="K47" i="13" s="1"/>
  <c r="K46" i="13" a="1"/>
  <c r="K46" i="13" s="1"/>
  <c r="K45" i="13" a="1"/>
  <c r="K45" i="13" s="1"/>
  <c r="K44" i="13" a="1"/>
  <c r="K44" i="13" s="1"/>
  <c r="K43" i="13" a="1"/>
  <c r="K43" i="13" s="1"/>
  <c r="K42" i="13" a="1"/>
  <c r="K42" i="13" s="1"/>
  <c r="K41" i="13" a="1"/>
  <c r="K41" i="13" s="1"/>
  <c r="K40" i="13" a="1"/>
  <c r="K40" i="13" s="1"/>
  <c r="K39" i="13" a="1"/>
  <c r="K39" i="13" s="1"/>
  <c r="K38" i="13" a="1"/>
  <c r="M38" i="13" s="1"/>
  <c r="K37" i="13" a="1"/>
  <c r="M37" i="13" s="1"/>
  <c r="K36" i="13" a="1"/>
  <c r="M36" i="13" s="1"/>
  <c r="K35" i="13" a="1"/>
  <c r="K35" i="13" s="1"/>
  <c r="K34" i="13" a="1"/>
  <c r="K34" i="13" s="1"/>
  <c r="K33" i="13" a="1"/>
  <c r="M33" i="13" s="1"/>
  <c r="K32" i="13" a="1"/>
  <c r="M32" i="13" s="1"/>
  <c r="K31" i="13" a="1"/>
  <c r="K31" i="13" s="1"/>
  <c r="K30" i="13" a="1"/>
  <c r="K30" i="13" s="1"/>
  <c r="K29" i="13" a="1"/>
  <c r="K29" i="13" s="1"/>
  <c r="K28" i="13" a="1"/>
  <c r="M28" i="13" s="1"/>
  <c r="K27" i="13" a="1"/>
  <c r="K27" i="13" s="1"/>
  <c r="K26" i="13" a="1"/>
  <c r="M26" i="13" s="1"/>
  <c r="K25" i="13" a="1"/>
  <c r="K25" i="13" s="1"/>
  <c r="K24" i="13" a="1"/>
  <c r="M24" i="13" s="1"/>
  <c r="K23" i="13" a="1"/>
  <c r="K23" i="13" s="1"/>
  <c r="K22" i="13" a="1"/>
  <c r="K22" i="13" s="1"/>
  <c r="K21" i="13" a="1"/>
  <c r="M21" i="13" s="1"/>
  <c r="K20" i="13" a="1"/>
  <c r="M20" i="13" s="1"/>
  <c r="K19" i="13" a="1"/>
  <c r="M19" i="13" s="1"/>
  <c r="K18" i="13" a="1"/>
  <c r="M18" i="13" s="1"/>
  <c r="K17" i="13" a="1"/>
  <c r="M17" i="13" s="1"/>
  <c r="K16" i="13" a="1"/>
  <c r="K15" i="13" a="1"/>
  <c r="K15" i="13" s="1"/>
  <c r="K14" i="13" a="1"/>
  <c r="M14" i="13" s="1"/>
  <c r="K13" i="13" a="1"/>
  <c r="K12" i="13" a="1"/>
  <c r="M12" i="13" s="1"/>
  <c r="K11" i="13" a="1"/>
  <c r="K11" i="13" s="1"/>
  <c r="K10" i="13" a="1"/>
  <c r="M10" i="13" s="1"/>
  <c r="K9" i="13" a="1"/>
  <c r="M9" i="13" s="1"/>
  <c r="K8" i="13" a="1"/>
  <c r="K8" i="13" s="1"/>
  <c r="K7" i="13" a="1"/>
  <c r="M7" i="13" s="1"/>
  <c r="K6" i="13" a="1"/>
  <c r="K6" i="13" s="1"/>
  <c r="K5" i="13" a="1"/>
  <c r="K5" i="13" s="1"/>
  <c r="K4" i="13" a="1"/>
  <c r="K4" i="13" s="1"/>
  <c r="K3" i="13" a="1"/>
  <c r="K3" i="13" s="1"/>
  <c r="K2" i="13" a="1"/>
  <c r="K2" i="13" s="1"/>
  <c r="L16" i="10"/>
  <c r="L15" i="10"/>
  <c r="L14" i="10"/>
  <c r="L13" i="10"/>
  <c r="L12" i="10"/>
  <c r="L11" i="10"/>
  <c r="L10" i="10"/>
  <c r="L9" i="10"/>
  <c r="L8" i="10"/>
  <c r="L7" i="10"/>
  <c r="L6" i="10"/>
  <c r="L5" i="10"/>
  <c r="L4" i="10"/>
  <c r="L3" i="10"/>
  <c r="K15" i="10"/>
  <c r="K14" i="10"/>
  <c r="K13" i="10"/>
  <c r="K12" i="10"/>
  <c r="K10" i="10"/>
  <c r="K9" i="10"/>
  <c r="K8" i="10"/>
  <c r="K7" i="10"/>
  <c r="K6" i="10"/>
  <c r="K5" i="10"/>
  <c r="K4" i="10"/>
  <c r="K3" i="10"/>
  <c r="F15" i="10"/>
  <c r="F14" i="10"/>
  <c r="F13" i="10"/>
  <c r="F12" i="10"/>
  <c r="F11" i="10"/>
  <c r="F10" i="10"/>
  <c r="F9" i="10"/>
  <c r="F8" i="10"/>
  <c r="F7" i="10"/>
  <c r="F6" i="10"/>
  <c r="F5" i="10"/>
  <c r="F4" i="10"/>
  <c r="F3" i="10"/>
  <c r="I16" i="10"/>
  <c r="K16" i="10" s="1"/>
  <c r="E16" i="10"/>
  <c r="D16" i="10"/>
  <c r="C16" i="10"/>
  <c r="F16" i="10" s="1"/>
  <c r="J11" i="10"/>
  <c r="J16" i="10" s="1"/>
  <c r="K14" i="6"/>
  <c r="J14" i="6"/>
  <c r="L14" i="6" l="1"/>
  <c r="K544" i="13"/>
  <c r="M614" i="13"/>
  <c r="M34" i="13"/>
  <c r="K105" i="13"/>
  <c r="M458" i="13"/>
  <c r="M538" i="13"/>
  <c r="M688" i="13"/>
  <c r="M72" i="13"/>
  <c r="M517" i="13"/>
  <c r="M644" i="13"/>
  <c r="M64" i="13"/>
  <c r="M133" i="13"/>
  <c r="M287" i="13"/>
  <c r="K486" i="13"/>
  <c r="M553" i="13"/>
  <c r="M635" i="13"/>
  <c r="M170" i="13"/>
  <c r="M476" i="13"/>
  <c r="M163" i="13"/>
  <c r="K204" i="13"/>
  <c r="M562" i="13"/>
  <c r="M27" i="13"/>
  <c r="M107" i="13"/>
  <c r="M115" i="13"/>
  <c r="K452" i="13"/>
  <c r="M478" i="13"/>
  <c r="K488" i="13"/>
  <c r="M546" i="13"/>
  <c r="M554" i="13"/>
  <c r="M680" i="13"/>
  <c r="M6" i="13"/>
  <c r="M108" i="13"/>
  <c r="M116" i="13"/>
  <c r="K206" i="13"/>
  <c r="M237" i="13"/>
  <c r="K248" i="13"/>
  <c r="K510" i="13"/>
  <c r="M598" i="13"/>
  <c r="M617" i="13"/>
  <c r="M700" i="13"/>
  <c r="K38" i="13"/>
  <c r="K399" i="13"/>
  <c r="M432" i="13"/>
  <c r="M462" i="13"/>
  <c r="M541" i="13"/>
  <c r="K548" i="13"/>
  <c r="M69" i="13"/>
  <c r="M187" i="13"/>
  <c r="M490" i="13"/>
  <c r="K611" i="13"/>
  <c r="K640" i="13"/>
  <c r="K130" i="13"/>
  <c r="M199" i="13"/>
  <c r="M474" i="13"/>
  <c r="K558" i="13"/>
  <c r="K32" i="13"/>
  <c r="M111" i="13"/>
  <c r="M464" i="13"/>
  <c r="K543" i="13"/>
  <c r="M210" i="13"/>
  <c r="M401" i="13"/>
  <c r="M504" i="13"/>
  <c r="M551" i="13"/>
  <c r="M665" i="13"/>
  <c r="K696" i="13"/>
  <c r="K143" i="13"/>
  <c r="M396" i="13"/>
  <c r="M66" i="13"/>
  <c r="K214" i="13"/>
  <c r="K530" i="13"/>
  <c r="M155" i="13"/>
  <c r="M291" i="13"/>
  <c r="M388" i="13"/>
  <c r="M166" i="13"/>
  <c r="M692" i="13"/>
  <c r="M102" i="13"/>
  <c r="M677" i="13"/>
  <c r="K7" i="13"/>
  <c r="K36" i="13"/>
  <c r="M63" i="13"/>
  <c r="M118" i="13"/>
  <c r="K142" i="13"/>
  <c r="M142" i="13"/>
  <c r="K205" i="13"/>
  <c r="M239" i="13"/>
  <c r="K239" i="13"/>
  <c r="M389" i="13"/>
  <c r="K407" i="13"/>
  <c r="M479" i="13"/>
  <c r="M515" i="13"/>
  <c r="K524" i="13"/>
  <c r="K539" i="13"/>
  <c r="M599" i="13"/>
  <c r="K609" i="13"/>
  <c r="M609" i="13"/>
  <c r="K652" i="13"/>
  <c r="K701" i="13"/>
  <c r="M701" i="13"/>
  <c r="M664" i="13"/>
  <c r="K664" i="13"/>
  <c r="K184" i="13"/>
  <c r="K192" i="13"/>
  <c r="M224" i="13"/>
  <c r="K224" i="13"/>
  <c r="K383" i="13"/>
  <c r="K400" i="13"/>
  <c r="M400" i="13"/>
  <c r="K475" i="13"/>
  <c r="M475" i="13"/>
  <c r="K509" i="13"/>
  <c r="M509" i="13"/>
  <c r="K526" i="13"/>
  <c r="K534" i="13"/>
  <c r="K676" i="13"/>
  <c r="M676" i="13"/>
  <c r="M77" i="13"/>
  <c r="M119" i="13"/>
  <c r="K119" i="13"/>
  <c r="M283" i="13"/>
  <c r="M392" i="13"/>
  <c r="M518" i="13"/>
  <c r="K518" i="13"/>
  <c r="M542" i="13"/>
  <c r="K542" i="13"/>
  <c r="K602" i="13"/>
  <c r="K704" i="13"/>
  <c r="M30" i="13"/>
  <c r="M112" i="13"/>
  <c r="K161" i="13"/>
  <c r="K284" i="13"/>
  <c r="M284" i="13"/>
  <c r="K393" i="13"/>
  <c r="M393" i="13"/>
  <c r="K431" i="13"/>
  <c r="M527" i="13"/>
  <c r="M557" i="13"/>
  <c r="K557" i="13"/>
  <c r="K563" i="13"/>
  <c r="K619" i="13"/>
  <c r="M656" i="13"/>
  <c r="K656" i="13"/>
  <c r="M120" i="13"/>
  <c r="K154" i="13"/>
  <c r="K169" i="13"/>
  <c r="K202" i="13"/>
  <c r="K209" i="13"/>
  <c r="K235" i="13"/>
  <c r="K253" i="13"/>
  <c r="M294" i="13"/>
  <c r="M385" i="13"/>
  <c r="K460" i="13"/>
  <c r="M502" i="13"/>
  <c r="K511" i="13"/>
  <c r="M511" i="13"/>
  <c r="K13" i="13"/>
  <c r="M13" i="13"/>
  <c r="M522" i="13"/>
  <c r="K522" i="13"/>
  <c r="M552" i="13"/>
  <c r="K552" i="13"/>
  <c r="K101" i="13"/>
  <c r="K123" i="13"/>
  <c r="K171" i="13"/>
  <c r="M171" i="13"/>
  <c r="K288" i="13"/>
  <c r="M288" i="13"/>
  <c r="K397" i="13"/>
  <c r="M397" i="13"/>
  <c r="K472" i="13"/>
  <c r="K514" i="13"/>
  <c r="K559" i="13"/>
  <c r="M634" i="13"/>
  <c r="K634" i="13"/>
  <c r="K660" i="13"/>
  <c r="M67" i="13"/>
  <c r="M131" i="13"/>
  <c r="K138" i="13"/>
  <c r="K212" i="13"/>
  <c r="K220" i="13"/>
  <c r="M15" i="13"/>
  <c r="M74" i="13"/>
  <c r="M213" i="13"/>
  <c r="K213" i="13"/>
  <c r="M16" i="13"/>
  <c r="K16" i="13"/>
  <c r="K68" i="13"/>
  <c r="K183" i="13"/>
  <c r="K428" i="13"/>
  <c r="M547" i="13"/>
  <c r="K547" i="13"/>
  <c r="K561" i="13"/>
  <c r="K550" i="13"/>
  <c r="K613" i="13"/>
  <c r="M613" i="13"/>
  <c r="M65" i="13"/>
  <c r="K100" i="13"/>
  <c r="M114" i="13"/>
  <c r="K114" i="13"/>
  <c r="M121" i="13"/>
  <c r="K121" i="13"/>
  <c r="K492" i="13"/>
  <c r="K520" i="13"/>
  <c r="M537" i="13"/>
  <c r="K537" i="13"/>
  <c r="K597" i="13"/>
  <c r="M597" i="13"/>
  <c r="K631" i="13"/>
  <c r="M631" i="13"/>
  <c r="K648" i="13"/>
  <c r="K668" i="13"/>
  <c r="M668" i="13"/>
  <c r="K162" i="13"/>
  <c r="M227" i="13"/>
  <c r="K236" i="13"/>
  <c r="M236" i="13"/>
  <c r="M246" i="13"/>
  <c r="K404" i="13"/>
  <c r="M404" i="13"/>
  <c r="K424" i="13"/>
  <c r="M605" i="13"/>
  <c r="M689" i="13"/>
  <c r="K525" i="13"/>
  <c r="M531" i="13"/>
  <c r="K603" i="13"/>
  <c r="K615" i="13"/>
  <c r="K627" i="13"/>
  <c r="M641" i="13"/>
  <c r="K672" i="13"/>
  <c r="K79" i="13"/>
  <c r="M292" i="13"/>
  <c r="M506" i="13"/>
  <c r="M519" i="13"/>
  <c r="K555" i="13"/>
  <c r="K607" i="13"/>
  <c r="K618" i="13"/>
  <c r="K624" i="13"/>
  <c r="M653" i="13"/>
  <c r="K684" i="13"/>
  <c r="K706" i="13"/>
  <c r="K391" i="13"/>
  <c r="M455" i="13"/>
  <c r="K503" i="13"/>
  <c r="K535" i="13"/>
  <c r="M193" i="13"/>
  <c r="K201" i="13"/>
  <c r="M245" i="13"/>
  <c r="K289" i="13"/>
  <c r="M384" i="13"/>
  <c r="M405" i="13"/>
  <c r="M523" i="13"/>
  <c r="K560" i="13"/>
  <c r="M601" i="13"/>
  <c r="M491" i="13"/>
  <c r="K491" i="13"/>
  <c r="K21" i="13"/>
  <c r="K26" i="13"/>
  <c r="K117" i="13"/>
  <c r="M167" i="13"/>
  <c r="K216" i="13"/>
  <c r="K387" i="13"/>
  <c r="K9" i="13"/>
  <c r="K18" i="13"/>
  <c r="K110" i="13"/>
  <c r="K153" i="13"/>
  <c r="M196" i="13"/>
  <c r="K196" i="13"/>
  <c r="K394" i="13"/>
  <c r="K454" i="13"/>
  <c r="K197" i="13"/>
  <c r="M197" i="13"/>
  <c r="K20" i="13"/>
  <c r="M25" i="13"/>
  <c r="K150" i="13"/>
  <c r="K172" i="13"/>
  <c r="M172" i="13"/>
  <c r="M215" i="13"/>
  <c r="M221" i="13"/>
  <c r="K221" i="13"/>
  <c r="M240" i="13"/>
  <c r="K240" i="13"/>
  <c r="K386" i="13"/>
  <c r="K402" i="13"/>
  <c r="K188" i="13"/>
  <c r="M188" i="13"/>
  <c r="K228" i="13"/>
  <c r="K403" i="13"/>
  <c r="M463" i="13"/>
  <c r="K463" i="13"/>
  <c r="K521" i="13"/>
  <c r="K540" i="13"/>
  <c r="K549" i="13"/>
  <c r="M604" i="13"/>
  <c r="K604" i="13"/>
  <c r="K642" i="13"/>
  <c r="K654" i="13"/>
  <c r="K666" i="13"/>
  <c r="K678" i="13"/>
  <c r="K690" i="13"/>
  <c r="K702" i="13"/>
  <c r="K17" i="13"/>
  <c r="M35" i="13"/>
  <c r="M73" i="13"/>
  <c r="M78" i="13"/>
  <c r="K113" i="13"/>
  <c r="K122" i="13"/>
  <c r="K132" i="13"/>
  <c r="K168" i="13"/>
  <c r="M168" i="13"/>
  <c r="K194" i="13"/>
  <c r="M211" i="13"/>
  <c r="K223" i="13"/>
  <c r="K290" i="13"/>
  <c r="K382" i="13"/>
  <c r="K398" i="13"/>
  <c r="K471" i="13"/>
  <c r="M487" i="13"/>
  <c r="K487" i="13"/>
  <c r="K505" i="13"/>
  <c r="K516" i="13"/>
  <c r="K536" i="13"/>
  <c r="K545" i="13"/>
  <c r="K610" i="13"/>
  <c r="M8" i="13"/>
  <c r="K109" i="13"/>
  <c r="K152" i="13"/>
  <c r="K285" i="13"/>
  <c r="M453" i="13"/>
  <c r="M459" i="13"/>
  <c r="K459" i="13"/>
  <c r="M500" i="13"/>
  <c r="K532" i="13"/>
  <c r="M620" i="13"/>
  <c r="K620" i="13"/>
  <c r="K632" i="13"/>
  <c r="M649" i="13"/>
  <c r="M661" i="13"/>
  <c r="M673" i="13"/>
  <c r="M685" i="13"/>
  <c r="M697" i="13"/>
  <c r="M429" i="13"/>
  <c r="K429" i="13"/>
  <c r="K286" i="13"/>
  <c r="M477" i="13"/>
  <c r="K477" i="13"/>
  <c r="K501" i="13"/>
  <c r="K512" i="13"/>
  <c r="K528" i="13"/>
  <c r="K533" i="13"/>
  <c r="K606" i="13"/>
  <c r="M616" i="13"/>
  <c r="K616" i="13"/>
  <c r="K633" i="13"/>
  <c r="K638" i="13"/>
  <c r="K650" i="13"/>
  <c r="K662" i="13"/>
  <c r="K674" i="13"/>
  <c r="K686" i="13"/>
  <c r="K698" i="13"/>
  <c r="M5" i="13"/>
  <c r="K28" i="13"/>
  <c r="K33" i="13"/>
  <c r="K37" i="13"/>
  <c r="M106" i="13"/>
  <c r="K165" i="13"/>
  <c r="M191" i="13"/>
  <c r="K208" i="13"/>
  <c r="M219" i="13"/>
  <c r="K251" i="13"/>
  <c r="K395" i="13"/>
  <c r="M473" i="13"/>
  <c r="K473" i="13"/>
  <c r="K489" i="13"/>
  <c r="K513" i="13"/>
  <c r="K529" i="13"/>
  <c r="K564" i="13"/>
  <c r="M596" i="13"/>
  <c r="K596" i="13"/>
  <c r="M612" i="13"/>
  <c r="K612" i="13"/>
  <c r="M628" i="13"/>
  <c r="M645" i="13"/>
  <c r="M657" i="13"/>
  <c r="M669" i="13"/>
  <c r="M681" i="13"/>
  <c r="M693" i="13"/>
  <c r="M705" i="13"/>
  <c r="K12" i="13"/>
  <c r="K164" i="13"/>
  <c r="M164" i="13"/>
  <c r="K244" i="13"/>
  <c r="M425" i="13"/>
  <c r="K425" i="13"/>
  <c r="K14" i="13"/>
  <c r="K75" i="13"/>
  <c r="K10" i="13"/>
  <c r="K19" i="13"/>
  <c r="K24" i="13"/>
  <c r="K71" i="13"/>
  <c r="K76" i="13"/>
  <c r="K124" i="13"/>
  <c r="K160" i="13"/>
  <c r="M160" i="13"/>
  <c r="K198" i="13"/>
  <c r="M203" i="13"/>
  <c r="K282" i="13"/>
  <c r="K390" i="13"/>
  <c r="K406" i="13"/>
  <c r="K427" i="13"/>
  <c r="M450" i="13"/>
  <c r="K450" i="13"/>
  <c r="K461" i="13"/>
  <c r="K508" i="13"/>
  <c r="M249" i="13"/>
  <c r="K249" i="13"/>
  <c r="M600" i="13"/>
  <c r="K600" i="13"/>
  <c r="M139" i="13"/>
  <c r="M207" i="13"/>
  <c r="K140" i="13"/>
  <c r="M140" i="13"/>
  <c r="K293" i="13"/>
  <c r="M433" i="13"/>
  <c r="K433" i="13"/>
  <c r="K556" i="13"/>
  <c r="K629" i="13"/>
  <c r="K646" i="13"/>
  <c r="K658" i="13"/>
  <c r="K670" i="13"/>
  <c r="K682" i="13"/>
  <c r="K694" i="13"/>
  <c r="M608" i="13"/>
  <c r="K608" i="13"/>
  <c r="M222" i="13"/>
  <c r="M241" i="13"/>
  <c r="M250" i="13"/>
  <c r="M426" i="13"/>
  <c r="M430" i="13"/>
  <c r="M434" i="13"/>
  <c r="K626" i="13"/>
  <c r="K639" i="13"/>
  <c r="K643" i="13"/>
  <c r="K647" i="13"/>
  <c r="K651" i="13"/>
  <c r="K655" i="13"/>
  <c r="K659" i="13"/>
  <c r="K663" i="13"/>
  <c r="K667" i="13"/>
  <c r="K671" i="13"/>
  <c r="K675" i="13"/>
  <c r="K679" i="13"/>
  <c r="K683" i="13"/>
  <c r="K687" i="13"/>
  <c r="K691" i="13"/>
  <c r="K695" i="13"/>
  <c r="K699" i="13"/>
  <c r="K703" i="13"/>
  <c r="K707" i="13"/>
  <c r="K11" i="10"/>
  <c r="M708" i="13" l="1"/>
  <c r="B12" i="17" l="1"/>
  <c r="B15" i="17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<sst xmlns="http://schemas.openxmlformats.org/spreadsheetml/2006/main" count="16106" uniqueCount="926">
  <si>
    <t>LC Amount</t>
  </si>
  <si>
    <t>Particular</t>
  </si>
  <si>
    <t>Due Date</t>
  </si>
  <si>
    <t>CCY</t>
  </si>
  <si>
    <t>VC Period</t>
  </si>
  <si>
    <t>VC Seq</t>
  </si>
  <si>
    <t>VC Date</t>
  </si>
  <si>
    <t>Tx. Type</t>
  </si>
  <si>
    <t>Company Code</t>
  </si>
  <si>
    <t>27/06/2025</t>
  </si>
  <si>
    <t>31/12/2025</t>
  </si>
  <si>
    <t>USD</t>
  </si>
  <si>
    <t>30/11/2025</t>
  </si>
  <si>
    <t>IN89</t>
  </si>
  <si>
    <t>C: ASCENDAS27 P: A023951 I 256779413908</t>
  </si>
  <si>
    <t>C: ASCENDAS27 P: Matching</t>
  </si>
  <si>
    <t>24/08/2025</t>
  </si>
  <si>
    <t>29/10/2025</t>
  </si>
  <si>
    <t>C: ASCENDAS27 P: A023951 I 256779416007</t>
  </si>
  <si>
    <t>C: ASCENDAS27 P: A023951 I 256779415989</t>
  </si>
  <si>
    <t>31/10/2025</t>
  </si>
  <si>
    <t>24/05/2025</t>
  </si>
  <si>
    <t>C: ASCENDAS27 P: A023951 I 256779412776</t>
  </si>
  <si>
    <t>22/10/2025</t>
  </si>
  <si>
    <t>C: ASCENDAS27 P: A023951 I 256779417801</t>
  </si>
  <si>
    <t>C: ASCENDAS27 P: A023951 I 256779417744</t>
  </si>
  <si>
    <t>22/05/2025</t>
  </si>
  <si>
    <t>30/06/2025</t>
  </si>
  <si>
    <t>C: ASCENDAS27 P: A023951 I 256779412577</t>
  </si>
  <si>
    <t>C: ASCENDAS27 P: A023951 I 256779412564</t>
  </si>
  <si>
    <t>C: ASCENDAS27 P: A023951 I 256779412529</t>
  </si>
  <si>
    <t>C: ASCENDAS27 P: A023951 I 256779412563</t>
  </si>
  <si>
    <t>C: ASCENDAS27 P: A023951 I 256779412570</t>
  </si>
  <si>
    <t>C: ASCENDAS27 P: A023951 I 256779412580</t>
  </si>
  <si>
    <t>C: ASCENDAS27 P: A023951 I 256779412581</t>
  </si>
  <si>
    <t>C: ASCENDAS27 P: A023951 I 256779412536</t>
  </si>
  <si>
    <t>C: ASCENDAS27 P: A023951 I 256779412576</t>
  </si>
  <si>
    <t>C: ASCENDAS27 P: A023951 I 256779412524</t>
  </si>
  <si>
    <t>C: ASCENDAS27 P: A023951 I 256779412537</t>
  </si>
  <si>
    <t>C: ASCENDAS27 P: A023951 I 256779412585</t>
  </si>
  <si>
    <t>C: ASCENDAS27 P: A023951 I 256779412586</t>
  </si>
  <si>
    <t>C: ASCENDAS27 P: A023951 I 256779412579</t>
  </si>
  <si>
    <t>C: ASCENDAS27 P: A023951 I 256779412562</t>
  </si>
  <si>
    <t>USD CURRENCY</t>
  </si>
  <si>
    <t>20/11/2025</t>
  </si>
  <si>
    <t>15/12/2025</t>
  </si>
  <si>
    <t>C: ASCENDAS27 P: A023951 I 256779418480</t>
  </si>
  <si>
    <t>31/01/2026</t>
  </si>
  <si>
    <t>28/01/2026</t>
  </si>
  <si>
    <t>C: ASCENDAS27 P: A023951 I 256779418474</t>
  </si>
  <si>
    <t>20/06/2025</t>
  </si>
  <si>
    <t>C: ASCENDAS27 P: A023951 I 256779413396</t>
  </si>
  <si>
    <t>C: ASCENDAS27 P: A023951 I 256779413401</t>
  </si>
  <si>
    <t>C: ASCENDAS27 P: A023951 I 256779413395</t>
  </si>
  <si>
    <t>C: ASCENDAS27 P: A023951 I 256779413399</t>
  </si>
  <si>
    <t>30/09/2025</t>
  </si>
  <si>
    <t>C: ASCENDAS27 P: A023951 I 256779413391</t>
  </si>
  <si>
    <t>C: ASCENDAS27 P: A023951 I 256779413392</t>
  </si>
  <si>
    <t>21/05/2025</t>
  </si>
  <si>
    <t>INR</t>
  </si>
  <si>
    <t>C: ASCENDAS27 P: A023951 I 256779412189</t>
  </si>
  <si>
    <t>C: ASCENDAS27 P: A023951 I 256779412185</t>
  </si>
  <si>
    <t>C: ASCENDAS27 P: A023951 I 256779412184</t>
  </si>
  <si>
    <t>C: ASCENDAS27 P: A023951 I 256779412155</t>
  </si>
  <si>
    <t>USD CURRENCY- NO EXCHANGE RATE PROVIDED</t>
  </si>
  <si>
    <t>20/12/2025</t>
  </si>
  <si>
    <t>C: ASCENDAS27 P: A023951 I 256779419542</t>
  </si>
  <si>
    <t>27/01/2026</t>
  </si>
  <si>
    <t>C: ASCENDAS27 P: A023951 I 256779419620</t>
  </si>
  <si>
    <t>C: ASCENDAS27 P: A023951 I 256779419531</t>
  </si>
  <si>
    <t>19/11/2025</t>
  </si>
  <si>
    <t>C: ASCENDAS27 P: A023951 I 256779418653</t>
  </si>
  <si>
    <t>19/09/2025</t>
  </si>
  <si>
    <t>C: ASCENDAS27 P: A023951 I 256779416838</t>
  </si>
  <si>
    <t>C: ASCENDAS27 P: A023951 I 256779416869</t>
  </si>
  <si>
    <t>19/04/2025</t>
  </si>
  <si>
    <t>C: ASCENDAS27 P: A023951 I 246779414663</t>
  </si>
  <si>
    <t>C: ASCENDAS27 P: A023951 I 246779414662</t>
  </si>
  <si>
    <t>C: ASCENDAS27 P: A023951 I 246779414385</t>
  </si>
  <si>
    <t>C: ASCENDAS27 P: A023951 I 246779413730</t>
  </si>
  <si>
    <t>C: ASCENDAS27 P: A023951 I 246779413815</t>
  </si>
  <si>
    <t>C: ASCENDAS27 P: A023951 I 246779413936</t>
  </si>
  <si>
    <t>C: ASCENDAS27 P: A023951 I 246779414384</t>
  </si>
  <si>
    <t>C: ASCENDAS27 P: A023951 I 246779413889</t>
  </si>
  <si>
    <t>C: ASCENDAS27 P: A023951 I 246779413920</t>
  </si>
  <si>
    <t>C: ASCENDAS27 P: A023951 I 246779413941</t>
  </si>
  <si>
    <t>C: ASCENDAS27 P: A023951 I 246779413747</t>
  </si>
  <si>
    <t>22/03/2025</t>
  </si>
  <si>
    <t>C: ASCENDAS27 P: A023951 I 246779410132</t>
  </si>
  <si>
    <t>C: ASCENDAS27 P: A023951 I 246779410098</t>
  </si>
  <si>
    <t>C: ASCENDAS27 P: A023951 I 246779410131</t>
  </si>
  <si>
    <t>C: ASCENDAS27 P: A023951 I 246779410315</t>
  </si>
  <si>
    <t>C: ASCENDAS27 P: A023951 I 246779410312</t>
  </si>
  <si>
    <t>NO EXCHANGE RATE</t>
  </si>
  <si>
    <t>C: ASCENDAS27 P: A023951 I 246779410218</t>
  </si>
  <si>
    <t>C: ASCENDAS27 P: A023951 I 246779410175</t>
  </si>
  <si>
    <t>C: ASCENDAS27 P: A023951 I 246779410141</t>
  </si>
  <si>
    <t>C: ASCENDAS27 P: A023951 I 246779410184</t>
  </si>
  <si>
    <t>C: ASCENDAS27 P: A023951 I 246779410217</t>
  </si>
  <si>
    <t>C: ASCENDAS27 P: A023951 I 246779410174</t>
  </si>
  <si>
    <t>26/06/2025</t>
  </si>
  <si>
    <t>C: ASCENDAS27 P: A023951 I 246779410227</t>
  </si>
  <si>
    <t>C: ASCENDAS27 P: A023951 I 246779410064</t>
  </si>
  <si>
    <t>C: ASCENDAS27 P: A023951 I 246779410030</t>
  </si>
  <si>
    <t>C: ASCENDAS27 P: A023951 I 246779410063</t>
  </si>
  <si>
    <t>C: ASCENDAS27 P: A023951 I 246779410260</t>
  </si>
  <si>
    <t>C: ASCENDAS27 P: A023951 I 246779410010</t>
  </si>
  <si>
    <t>C: ASCENDAS27 P: A023951 I 246779410080</t>
  </si>
  <si>
    <t>C: ASCENDAS27 P: A023951 I 246779410261</t>
  </si>
  <si>
    <t>C: ASCENDAS27 P: A023951 I 246779410311</t>
  </si>
  <si>
    <t>18/08/2025</t>
  </si>
  <si>
    <t>23/01/2026</t>
  </si>
  <si>
    <t>C: ASCENDAS27 P: A023951 I 256779415769</t>
  </si>
  <si>
    <t>USD CURRENCY- NO EXHANGE RATE PROVIDED</t>
  </si>
  <si>
    <t>19/07/2025</t>
  </si>
  <si>
    <t>C: ASCENDAS27 P: A023951 I 256779414741</t>
  </si>
  <si>
    <t>18/04/2025</t>
  </si>
  <si>
    <t>C: ASCENDAS27 P: A023951 I 246779413202</t>
  </si>
  <si>
    <t>C: ASCENDAS27 P: A023951 I 246779413024</t>
  </si>
  <si>
    <t>C: ASCENDAS27 P: A023951 I 246779412994</t>
  </si>
  <si>
    <t>C: ASCENDAS27 P: A023951 I 246779413023</t>
  </si>
  <si>
    <t>21/03/2025</t>
  </si>
  <si>
    <t>C: ASCENDAS27 P: A023951 I 246779410081</t>
  </si>
  <si>
    <t>17/11/2025</t>
  </si>
  <si>
    <t>C: ASCENDAS27 P: A023951 I 256779418433</t>
  </si>
  <si>
    <t>C: ASCENDAS27 P: A023951 I 256779418424</t>
  </si>
  <si>
    <t>18/10/2025</t>
  </si>
  <si>
    <t>C: ASCENDAS27 P: A023951 I 256779417597</t>
  </si>
  <si>
    <t>C: ASCENDAS27 P: A023951 I 256779417580</t>
  </si>
  <si>
    <t>C: ASCENDAS27 P: A023951 I 256779417517</t>
  </si>
  <si>
    <t>C: ASCENDAS27 P: A023951 I 256779417557</t>
  </si>
  <si>
    <t>gst correction</t>
  </si>
  <si>
    <t>C: ASCENDAS27 P: A023951 I 256779417580_D</t>
  </si>
  <si>
    <t>17/08/2025</t>
  </si>
  <si>
    <t>C: ASCENDAS27 P: A023951 I 256779415474</t>
  </si>
  <si>
    <t>C: ASCENDAS27 P: A023951 I 256779415442</t>
  </si>
  <si>
    <t>C: ASCENDAS27 P: A023951 I 256779415453</t>
  </si>
  <si>
    <t>C: ASCENDAS27 P: A023951 I 256779415517</t>
  </si>
  <si>
    <t>C: ASCENDAS27 P: A023951 I 256779415426</t>
  </si>
  <si>
    <t>18/07/2025</t>
  </si>
  <si>
    <t>C: ASCENDAS27 P: A023951 I 256779414431</t>
  </si>
  <si>
    <t>16/04/2025</t>
  </si>
  <si>
    <t>C: ASCENDAS27 P: A023951 I 246779411742</t>
  </si>
  <si>
    <t>NO EXCHANGE RATE / 14 DAYS OLDER</t>
  </si>
  <si>
    <t>C: ASCENDAS27 P: A023951 I 246779411601</t>
  </si>
  <si>
    <t>C: ASCENDAS27 P: A023951 I 246779411717</t>
  </si>
  <si>
    <t>C: ASCENDAS27 P: A023951 I 246779411913</t>
  </si>
  <si>
    <t>C: ASCENDAS27 P: A023951 I 246779411740</t>
  </si>
  <si>
    <t>C: ASCENDAS27 P: A023951 I 246779412111</t>
  </si>
  <si>
    <t>C: ASCENDAS27 P: A023951 I 246779411722</t>
  </si>
  <si>
    <t>C: ASCENDAS27 P: A023951 I 246779412041</t>
  </si>
  <si>
    <t>C: ASCENDAS27 P: A023951 I 246779411898</t>
  </si>
  <si>
    <t>C: ASCENDAS27 P: A023951 I 246779411729</t>
  </si>
  <si>
    <t>C: ASCENDAS27 P: A023951 I 246779411737</t>
  </si>
  <si>
    <t>C: ASCENDAS27 P: A023951 I 246779411595</t>
  </si>
  <si>
    <t>C: ASCENDAS27 P: A023951 I 246779411727</t>
  </si>
  <si>
    <t>C: ASCENDAS27 P: A023951 I 246779411736</t>
  </si>
  <si>
    <t>C: ASCENDAS27 P: A023951 I 246779411732</t>
  </si>
  <si>
    <t>C: ASCENDAS27 P: A023951 I 246779411899</t>
  </si>
  <si>
    <t>C: ASCENDAS27 P: A023951 I 246779411914</t>
  </si>
  <si>
    <t>C: ASCENDAS27 P: A023951 I 246779411895</t>
  </si>
  <si>
    <t>C: ASCENDAS27 P: A023951 I 246779411723</t>
  </si>
  <si>
    <t>C: ASCENDAS27 P: A023951 I 246779411897</t>
  </si>
  <si>
    <t>C: ASCENDAS27 P: A023951 I 246779412038</t>
  </si>
  <si>
    <t>C: ASCENDAS27 P: A023951 I 246779411909</t>
  </si>
  <si>
    <t>C: ASCENDAS27 P: A023951 I 246779412042</t>
  </si>
  <si>
    <t>C: ASCENDAS27 P: A023951 I 246779411900</t>
  </si>
  <si>
    <t>C: ASCENDAS27 P: A023951 I 246779412048</t>
  </si>
  <si>
    <t>C: ASCENDAS27 P: A023951 I 246779412046</t>
  </si>
  <si>
    <t>C: ASCENDAS27 P: A023951 I 246779411597</t>
  </si>
  <si>
    <t>C: ASCENDAS27 P: A023951 I 246779411637</t>
  </si>
  <si>
    <t>C: ASCENDAS27 P: A023951 I 246779411721</t>
  </si>
  <si>
    <t>C: ASCENDAS27 P: A023951 I 246779411720</t>
  </si>
  <si>
    <t>C: ASCENDAS27 P: A023951 I 246779412043</t>
  </si>
  <si>
    <t>C: ASCENDAS27 P: A023951 I 246779411718</t>
  </si>
  <si>
    <t>C: ASCENDAS27 P: A023951 I 246779411896</t>
  </si>
  <si>
    <t>C: ASCENDAS27 P: A023951 I 246779411738</t>
  </si>
  <si>
    <t>C: ASCENDAS27 P: A023951 I 246779411598</t>
  </si>
  <si>
    <t>C: ASCENDAS27 P: A023951 I 246779411903</t>
  </si>
  <si>
    <t>C: ASCENDAS27 P: A023951 I 246779411593</t>
  </si>
  <si>
    <t>C: ASCENDAS27 P: A023951 I 246779411915</t>
  </si>
  <si>
    <t>C: ASCENDAS27 P: A023951 I 246779411739</t>
  </si>
  <si>
    <t>C: ASCENDAS27 P: A023951 I 246779412040</t>
  </si>
  <si>
    <t>C: ASCENDAS27 P: A023951 I 246779412045</t>
  </si>
  <si>
    <t>C: ASCENDAS27 P: A023951 I 246779411596</t>
  </si>
  <si>
    <t>C: ASCENDAS27 P: A023951 I 246779411733</t>
  </si>
  <si>
    <t>C: ASCENDAS27 P: A023951 I 246779411594</t>
  </si>
  <si>
    <t>C: ASCENDAS27 P: A023951 I 246779411734</t>
  </si>
  <si>
    <t>C: ASCENDAS27 P: A023951 I 246779411741</t>
  </si>
  <si>
    <t>C: ASCENDAS27 P: A023951 I 246779411902</t>
  </si>
  <si>
    <t>C: ASCENDAS27 P: A023951 I 246779411910</t>
  </si>
  <si>
    <t>C: ASCENDAS27 P: A023951 I 246779411600</t>
  </si>
  <si>
    <t>C: ASCENDAS27 P: A023951 I 246779411907</t>
  </si>
  <si>
    <t>C: ASCENDAS27 P: A023951 I 246779412044</t>
  </si>
  <si>
    <t>C: ASCENDAS27 P: A023951 I 246779411724</t>
  </si>
  <si>
    <t>C: ASCENDAS27 P: A023951 I 246779411726</t>
  </si>
  <si>
    <t>C: ASCENDAS27 P: A023951 I 246779411599</t>
  </si>
  <si>
    <t>C: ASCENDAS27 P: A023951 I 246779411735</t>
  </si>
  <si>
    <t>C: ASCENDAS27 P: A023951 I 246779411725</t>
  </si>
  <si>
    <t>C: ASCENDAS27 P: A023951 I 246779411911</t>
  </si>
  <si>
    <t>C: ASCENDAS27 P: A023951 I 246779411901</t>
  </si>
  <si>
    <t>C: ASCENDAS27 P: A023951 I 246779411905</t>
  </si>
  <si>
    <t>C: ASCENDAS27 P: A023951 I 246779411731</t>
  </si>
  <si>
    <t>C: ASCENDAS27 P: A023951 I 246779411719</t>
  </si>
  <si>
    <t>C: ASCENDAS27 P: A023951 I 246779411906</t>
  </si>
  <si>
    <t>C: ASCENDAS27 P: A023951 I 246779411728</t>
  </si>
  <si>
    <t>C: ASCENDAS27 P: A023951 I 246779411904</t>
  </si>
  <si>
    <t>C: ASCENDAS27 P: A023951 I 246779411912</t>
  </si>
  <si>
    <t>C: ASCENDAS27 P: A023951 I 246779412032</t>
  </si>
  <si>
    <t>C: ASCENDAS27 P: A023951 I 246779412037</t>
  </si>
  <si>
    <t>C: ASCENDAS27 P: A023951 I 246779412030</t>
  </si>
  <si>
    <t>C: ASCENDAS27 P: A023951 I 246779412034</t>
  </si>
  <si>
    <t>C: ASCENDAS27 P: A023951 I 246779412039</t>
  </si>
  <si>
    <t>C: ASCENDAS27 P: A023951 I 246779412036</t>
  </si>
  <si>
    <t>C: ASCENDAS27 P: A023951 I 246779412028</t>
  </si>
  <si>
    <t>C: ASCENDAS27 P: A023951 I 246779412031</t>
  </si>
  <si>
    <t>C: ASCENDAS27 P: A023951 I 246779412029</t>
  </si>
  <si>
    <t>C: ASCENDAS27 P: A023951 I 246779412035</t>
  </si>
  <si>
    <t>C: ASCENDAS27 P: A023951 I 246779411973</t>
  </si>
  <si>
    <t>C: ASCENDAS27 P: A023951 I 246779412047</t>
  </si>
  <si>
    <t>C: ASCENDAS27 P: A023951 I 246779411908</t>
  </si>
  <si>
    <t>C: ASCENDAS27 P: A023951 I 246779412033</t>
  </si>
  <si>
    <t>C: ASCENDAS27 P: A023951 I 246779411789</t>
  </si>
  <si>
    <t>C: ASCENDAS27 P: A023951 I 246779411730</t>
  </si>
  <si>
    <t>16/05/2025</t>
  </si>
  <si>
    <t>C: ASCENDAS27 P: A023951 I 256779412012</t>
  </si>
  <si>
    <t>C: ASCENDAS27 P: A023951 I 256779412053</t>
  </si>
  <si>
    <t>C: ASCENDAS27 P: A023951 I 256779411969</t>
  </si>
  <si>
    <t>C: ASCENDAS27 P: A023951 I 256779412092</t>
  </si>
  <si>
    <t>C: ASCENDAS27 P: A023951 I 256779412123</t>
  </si>
  <si>
    <t>C: ASCENDAS27 P: A023951 I 256779412091</t>
  </si>
  <si>
    <t>C: ASCENDAS27 P: A023951 I 256779411867</t>
  </si>
  <si>
    <t>C: ASCENDAS27 P: A023951 I 256779411970</t>
  </si>
  <si>
    <t>15/05/2025</t>
  </si>
  <si>
    <t>C: ASCENDAS27 P: A023951 I 256779411468</t>
  </si>
  <si>
    <t>C: ASCENDAS27 P: A023951 I 256779411467</t>
  </si>
  <si>
    <t>C: ASCENDAS27 P: A023951 I 256779411465</t>
  </si>
  <si>
    <t>C: ASCENDAS27 P: A023951 I 256779411466</t>
  </si>
  <si>
    <t>C: ASCENDAS27 P: A023951 I 256779411463</t>
  </si>
  <si>
    <t>13/04/2025</t>
  </si>
  <si>
    <t>C: ASCENDAS27 P: A023951 I 246779411414</t>
  </si>
  <si>
    <t>C: ASCENDAS27 P: A023951 I 246779411408</t>
  </si>
  <si>
    <t>C: ASCENDAS27 P: A023951 I 246779411413</t>
  </si>
  <si>
    <t>C: ASCENDAS27 P: A023951 I 246779411410</t>
  </si>
  <si>
    <t>C: ASCENDAS27 P: A023951 I 246779411416</t>
  </si>
  <si>
    <t>C: ASCENDAS27 P: A023951 I 246779411409</t>
  </si>
  <si>
    <t>C: ASCENDAS27 P: A023951 I 246779411411</t>
  </si>
  <si>
    <t>C: ASCENDAS27 P: A023951 I 246779411418</t>
  </si>
  <si>
    <t>C: ASCENDAS27 P: A023951 I 246779411415</t>
  </si>
  <si>
    <t>C: ASCENDAS27 P: A023951 I 246779411419</t>
  </si>
  <si>
    <t>C: ASCENDAS27 P: A023951 I 246779411417</t>
  </si>
  <si>
    <t>C: ASCENDAS27 P: A023951 I 246779411407</t>
  </si>
  <si>
    <t>C: ASCENDAS27 P: A023951 I 246779411412</t>
  </si>
  <si>
    <t>VAT FLAG CORRECTION</t>
  </si>
  <si>
    <t>22/07/2025</t>
  </si>
  <si>
    <t>C: ASCENDAS27 P: A023951 I 246779411409_D</t>
  </si>
  <si>
    <t>C: ASCENDAS27 P: A023951 I 246779411312</t>
  </si>
  <si>
    <t>C: ASCENDAS27 P: A023951 I 256779415317</t>
  </si>
  <si>
    <t>C: ASCENDAS27 P: A023951 I 256779415346</t>
  </si>
  <si>
    <t>C: ASCENDAS27 P: A023951 I 256779415339</t>
  </si>
  <si>
    <t>C: ASCENDAS27 P: A023951 I 256779415371</t>
  </si>
  <si>
    <t>C: ASCENDAS27 P: A023951 I 256779415338</t>
  </si>
  <si>
    <t>C: ASCENDAS27 P: A023951 I 256779415359</t>
  </si>
  <si>
    <t>C: ASCENDAS27 P: A023951 I 256779415381</t>
  </si>
  <si>
    <t>C: ASCENDAS27 P: A023951 I 256779415391</t>
  </si>
  <si>
    <t>C: ASCENDAS27 P: A023951 I 256779415358</t>
  </si>
  <si>
    <t>C: ASCENDAS27 P: A023951 I 256779415305</t>
  </si>
  <si>
    <t>C: ASCENDAS27 P: A023951 I 256779415345</t>
  </si>
  <si>
    <t>C: ASCENDAS27 P: A023951 I 256779415300</t>
  </si>
  <si>
    <t>C: ASCENDAS27 P: A023951 I 256779415352</t>
  </si>
  <si>
    <t>C: ASCENDAS27 P: A023951 I 256779415304</t>
  </si>
  <si>
    <t>C: ASCENDAS27 P: A023951 I 256779415379</t>
  </si>
  <si>
    <t>C: ASCENDAS27 P: A023951 I 256779415303</t>
  </si>
  <si>
    <t>C: ASCENDAS27 P: A023951 I 256779415377</t>
  </si>
  <si>
    <t>C: ASCENDAS27 P: A023951 I 256779415392</t>
  </si>
  <si>
    <t>C: ASCENDAS27 P: A023951 I 256779415393</t>
  </si>
  <si>
    <t>C: ASCENDAS27 P: A023951 I 256779415362</t>
  </si>
  <si>
    <t>C: ASCENDAS27 P: A023951 I 256779415315</t>
  </si>
  <si>
    <t>C: ASCENDAS27 P: A023951 I 256779415378</t>
  </si>
  <si>
    <t>C: ASCENDAS27 P: A023951 I 256779415356</t>
  </si>
  <si>
    <t>C: ASCENDAS27 P: A023951 I 256779415383</t>
  </si>
  <si>
    <t>C: ASCENDAS27 P: A023951 I 256779415375</t>
  </si>
  <si>
    <t>C: ASCENDAS27 P: A023951 I 256779415373</t>
  </si>
  <si>
    <t>C: ASCENDAS27 P: A023951 I 256779415342</t>
  </si>
  <si>
    <t>C: ASCENDAS27 P: A023951 I 256779415372</t>
  </si>
  <si>
    <t>C: ASCENDAS27 P: A023951 I 256779415369</t>
  </si>
  <si>
    <t>C: ASCENDAS27 P: A023951 I 256779415361</t>
  </si>
  <si>
    <t>C: ASCENDAS27 P: A023951 I 256779415306</t>
  </si>
  <si>
    <t>C: ASCENDAS27 P: A023951 I 256779415333</t>
  </si>
  <si>
    <t>C: ASCENDAS27 P: A023951 I 256779415298</t>
  </si>
  <si>
    <t>C: ASCENDAS27 P: A023951 I 256779415386</t>
  </si>
  <si>
    <t>C: ASCENDAS27 P: A023951 I 256779415336</t>
  </si>
  <si>
    <t>C: ASCENDAS27 P: A023951 I 256779415341</t>
  </si>
  <si>
    <t>C: ASCENDAS27 P: A023951 I 256779415380</t>
  </si>
  <si>
    <t>C: ASCENDAS27 P: A023951 I 256779415318</t>
  </si>
  <si>
    <t>C: ASCENDAS27 P: A023951 I 256779415384</t>
  </si>
  <si>
    <t>C: ASCENDAS27 P: A023951 I 256779415344</t>
  </si>
  <si>
    <t>C: ASCENDAS27 P: A023951 I 256779415382</t>
  </si>
  <si>
    <t>C: ASCENDAS27 P: A023951 I 256779415314</t>
  </si>
  <si>
    <t>C: ASCENDAS27 P: A023951 I 256779415355</t>
  </si>
  <si>
    <t>C: ASCENDAS27 P: A023951 I 256779415376</t>
  </si>
  <si>
    <t>C: ASCENDAS27 P: A023951 I 256779415334</t>
  </si>
  <si>
    <t>C: ASCENDAS27 P: A023951 I 256779415337</t>
  </si>
  <si>
    <t>C: ASCENDAS27 P: A023951 I 256779415357</t>
  </si>
  <si>
    <t>C: ASCENDAS27 P: A023951 I 256779415340</t>
  </si>
  <si>
    <t>C: ASCENDAS27 P: A023951 I 256779415343</t>
  </si>
  <si>
    <t>C: ASCENDAS27 P: A023951 I 256779415308</t>
  </si>
  <si>
    <t>C: ASCENDAS27 P: A023951 I 256779415310</t>
  </si>
  <si>
    <t>C: ASCENDAS27 P: A023951 I 256779415349</t>
  </si>
  <si>
    <t>C: ASCENDAS27 P: A023951 I 256779415295</t>
  </si>
  <si>
    <t>C: ASCENDAS27 P: A023951 I 256779415389</t>
  </si>
  <si>
    <t>C: ASCENDAS27 P: A023951 I 256779415388</t>
  </si>
  <si>
    <t>C: ASCENDAS27 P: A023951 I 256779415348</t>
  </si>
  <si>
    <t>C: ASCENDAS27 P: A023951 I 256779415390</t>
  </si>
  <si>
    <t>C: ASCENDAS27 P: A023951 I 256779415395</t>
  </si>
  <si>
    <t>C: ASCENDAS27 P: A023951 I 256779415326</t>
  </si>
  <si>
    <t>C: ASCENDAS27 P: A023951 I 256779415350</t>
  </si>
  <si>
    <t>C: ASCENDAS27 P: A023951 I 256779415394</t>
  </si>
  <si>
    <t>C: ASCENDAS27 P: A023951 I 256779415360</t>
  </si>
  <si>
    <t>C: ASCENDAS27 P: A023951 I 256779415294</t>
  </si>
  <si>
    <t>C: ASCENDAS27 P: A023951 I 256779415370</t>
  </si>
  <si>
    <t>C: ASCENDAS27 P: A023951 I 256779415335</t>
  </si>
  <si>
    <t>C: ASCENDAS27 P: A023951 I 256779415364</t>
  </si>
  <si>
    <t>C: ASCENDAS27 P: A023951 I 256779415299</t>
  </si>
  <si>
    <t>C: ASCENDAS27 P: A023951 I 256779415307</t>
  </si>
  <si>
    <t>C: ASCENDAS27 P: A023951 I 256779415347</t>
  </si>
  <si>
    <t>C: ASCENDAS27 P: A023951 I 256779415316</t>
  </si>
  <si>
    <t>C: ASCENDAS27 P: A023951 I 256779415297</t>
  </si>
  <si>
    <t>C: ASCENDAS27 P: A023951 I 256779415292</t>
  </si>
  <si>
    <t>C: ASCENDAS27 P: A023951 I 256779415353</t>
  </si>
  <si>
    <t>C: ASCENDAS27 P: A023951 I 256779415330</t>
  </si>
  <si>
    <t>C: ASCENDAS27 P: A023951 I 256779415366</t>
  </si>
  <si>
    <t>C: ASCENDAS27 P: A023951 I 256779415311</t>
  </si>
  <si>
    <t>C: ASCENDAS27 P: A023951 I 256779415320</t>
  </si>
  <si>
    <t>C: ASCENDAS27 P: A023951 I 256779415329</t>
  </si>
  <si>
    <t>C: ASCENDAS27 P: A023951 I 256779415327</t>
  </si>
  <si>
    <t>C: ASCENDAS27 P: A023951 I 256779415367</t>
  </si>
  <si>
    <t>C: ASCENDAS27 P: A023951 I 256779415368</t>
  </si>
  <si>
    <t>C: ASCENDAS27 P: A023951 I 256779415312</t>
  </si>
  <si>
    <t>C: ASCENDAS27 P: A023951 I 256779415301</t>
  </si>
  <si>
    <t>C: ASCENDAS27 P: A023951 I 256779415324</t>
  </si>
  <si>
    <t>C: ASCENDAS27 P: A023951 I 256779415322</t>
  </si>
  <si>
    <t>C: ASCENDAS27 P: A023951 I 256779415354</t>
  </si>
  <si>
    <t>C: ASCENDAS27 P: A023951 I 256779415351</t>
  </si>
  <si>
    <t>C: ASCENDAS27 P: A023951 I 256779415365</t>
  </si>
  <si>
    <t>C: ASCENDAS27 P: A023951 I 256779415323</t>
  </si>
  <si>
    <t>C: ASCENDAS27 P: A023951 I 256779415387</t>
  </si>
  <si>
    <t>C: ASCENDAS27 P: A023951 I 256779415289</t>
  </si>
  <si>
    <t>C: ASCENDAS27 P: A023951 I 256779415302</t>
  </si>
  <si>
    <t>C: ASCENDAS27 P: A023951 I 256779415313</t>
  </si>
  <si>
    <t>C: ASCENDAS27 P: A023951 I 256779415309</t>
  </si>
  <si>
    <t>C: ASCENDAS27 P: A023951 I 256779415325</t>
  </si>
  <si>
    <t>C: ASCENDAS27 P: A023951 I 256779415331</t>
  </si>
  <si>
    <t>C: ASCENDAS27 P: A023951 I 256779415290</t>
  </si>
  <si>
    <t>14/11/2025</t>
  </si>
  <si>
    <t>C: ASCENDAS27 P: A023951 I 256779415319</t>
  </si>
  <si>
    <t>C: ASCENDAS27 P: A023951 I 256779415332</t>
  </si>
  <si>
    <t>C: ASCENDAS27 P: A023951 I 256779415328</t>
  </si>
  <si>
    <t>C: ASCENDAS27 P: A023951 I 256779415321</t>
  </si>
  <si>
    <t>SUPPLIER GSTIN NOT FOUND</t>
  </si>
  <si>
    <t>C: ASCENDAS27 P: A023951 I 256779414359</t>
  </si>
  <si>
    <t>C: ASCENDAS27 P: A023951 I 256779414358</t>
  </si>
  <si>
    <t>C: ASCENDAS27 P: A023951 I 256779414360</t>
  </si>
  <si>
    <t>C: ASCENDAS27 P: A023951 I 256779413148</t>
  </si>
  <si>
    <t>C: ASCENDAS27 P: A023951 I 256779413146</t>
  </si>
  <si>
    <t>C: ASCENDAS27 P: A023951 I 256779413147</t>
  </si>
  <si>
    <t>C: ASCENDAS27 P: A023951 I 256779413250</t>
  </si>
  <si>
    <t>C: ASCENDAS27 P: A023951 I 256779413240</t>
  </si>
  <si>
    <t>C: ASCENDAS27 P: A023951 I 256779419995</t>
  </si>
  <si>
    <t>C: ASCENDAS27 P: A023951 I 256779419858</t>
  </si>
  <si>
    <t>C: ASCENDAS27 P: A023951 I 256779416442</t>
  </si>
  <si>
    <t>C: ASCENDAS27 P: A023951 I 256779416169</t>
  </si>
  <si>
    <t>C: ASCENDAS27 P: A023951 I 256779416214</t>
  </si>
  <si>
    <t>C: ASCENDAS27 P: A023951 I 256779416454</t>
  </si>
  <si>
    <t>C: ASCENDAS27 P: A023951 I 256779416255</t>
  </si>
  <si>
    <t>C: ASCENDAS27 P: A023951 I 256779416096</t>
  </si>
  <si>
    <t>14 DAYS OLDER; NO EXCHANGE RATE PROVIDEDE</t>
  </si>
  <si>
    <t>24/11/2025</t>
  </si>
  <si>
    <t>C: ASCENDAS27 P: A023951 I 256779416137</t>
  </si>
  <si>
    <t>C: ASCENDAS27 P: A023951 I 256779418176</t>
  </si>
  <si>
    <t>C: ASCENDAS27 P: A023951 I 256779419983</t>
  </si>
  <si>
    <t>C: ASCENDAS27 P: A023951 I 256779418006</t>
  </si>
  <si>
    <t>C: ASCENDAS27 P: A023951 I 246779410904</t>
  </si>
  <si>
    <t>C: ASCENDAS27 P: A023951 I 246779410882</t>
  </si>
  <si>
    <t>C: ASCENDAS27 P: A023951 I 256779419908</t>
  </si>
  <si>
    <t>C: ASCENDAS27 P: A023951 I 256779419808</t>
  </si>
  <si>
    <t>C: ASCENDAS27 P: A023951 I 256779419211</t>
  </si>
  <si>
    <t>19/12/2025</t>
  </si>
  <si>
    <t>C: ASCENDAS27 P: A023951 I 256779419165</t>
  </si>
  <si>
    <t>C: ASCENDAS27 P: A023951 I 256779419192</t>
  </si>
  <si>
    <t>C: ASCENDAS27 P: A023951 I 256779418777</t>
  </si>
  <si>
    <t>C: ASCENDAS27 P: A023951 I 256779418779</t>
  </si>
  <si>
    <t>C: ASCENDAS27 P: A023951 I 256779418778</t>
  </si>
  <si>
    <t>C: ASCENDAS27 P: A023951 I 256779418892</t>
  </si>
  <si>
    <t>C: ASCENDAS27 P: A023951 I 256779418904</t>
  </si>
  <si>
    <t>14/12/2025</t>
  </si>
  <si>
    <t>C: ASCENDAS27 P: A023951 I 256779417971</t>
  </si>
  <si>
    <t>C: ASCENDAS27 P: A023951 I 256779417875</t>
  </si>
  <si>
    <t>C: ASCENDAS27 P: A023951 I 256779417876</t>
  </si>
  <si>
    <t>C: ASCENDAS27 P: A023951 I 256779417931</t>
  </si>
  <si>
    <t>C: ASCENDAS27 P: A023951 I 256779418391</t>
  </si>
  <si>
    <t>C: ASCENDAS27 P: A023951 I 256779417877</t>
  </si>
  <si>
    <t>C: ASCENDAS27 P: A023951 I 256779417892</t>
  </si>
  <si>
    <t>USD CUURENCY</t>
  </si>
  <si>
    <t>C: ASCENDAS27 P: A023951 I 256779419972</t>
  </si>
  <si>
    <t>C: ASCENDAS27 P: A023951 I 256779419970</t>
  </si>
  <si>
    <t>C: ASCENDAS27 P: A023951 I 256779419971</t>
  </si>
  <si>
    <t>C: ASCENDAS27 P: A023951 I 256779416909</t>
  </si>
  <si>
    <t>C: ASCENDAS27 P: A023951 I 256779417137</t>
  </si>
  <si>
    <t>C: ASCENDAS27 P: A023951 I 256779417134</t>
  </si>
  <si>
    <t>C: ASCENDAS27 P: A023951 I 256779417200</t>
  </si>
  <si>
    <t>C: ASCENDAS27 P: A023951 I 256779417238</t>
  </si>
  <si>
    <t>C: ASCENDAS27 P: A023951 I 256779417257</t>
  </si>
  <si>
    <t>C: ASCENDAS27 P: A023951 I 256779417350</t>
  </si>
  <si>
    <t>C: ASCENDAS27 P: A023951 I 256779417349</t>
  </si>
  <si>
    <t>C: ASCENDAS27 P: A023951 I 256779417348</t>
  </si>
  <si>
    <t>C: ASCENDAS27 P: A023951 I 256779417158</t>
  </si>
  <si>
    <t>C: ASCENDAS27 P: A023951 I 256779417317</t>
  </si>
  <si>
    <t>C: ASCENDAS27 P: A023951 I 256779417280</t>
  </si>
  <si>
    <t>C: ASCENDAS27 P: A023951 I 256779415270</t>
  </si>
  <si>
    <t>C: ASCENDAS27 P: A023951 I 256779415209</t>
  </si>
  <si>
    <t>C: ASCENDAS27 P: A023951 I 256779415208</t>
  </si>
  <si>
    <t>C: ASCENDAS27 P: A023951 I 256779415210</t>
  </si>
  <si>
    <t>C: ASCENDAS27 P: A023951 I 256779415012</t>
  </si>
  <si>
    <t>C: ASCENDAS27 P: A023951 I 256779415261</t>
  </si>
  <si>
    <t>C: ASCENDAS27 P: A023951 I 256779414859</t>
  </si>
  <si>
    <t>GSTIN NOT FOUND</t>
  </si>
  <si>
    <t>C: ASCENDAS27 P: A023951 I 256779414917</t>
  </si>
  <si>
    <t>C: ASCENDAS27 P: A023951 I 256779414918</t>
  </si>
  <si>
    <t>C: ASCENDAS27 P: A023951 I 256779414916</t>
  </si>
  <si>
    <t>C: ASCENDAS27 P: A023951 I 256779410818</t>
  </si>
  <si>
    <t>C: ASCENDAS27 P: A023951 I 256779410801</t>
  </si>
  <si>
    <t>C: ASCENDAS27 P: A023951 I 246779410826</t>
  </si>
  <si>
    <t>C: ASCENDAS27 P: A023951 I 246779410743</t>
  </si>
  <si>
    <t>C: ASCENDAS27 P: A023951 I 246779410665</t>
  </si>
  <si>
    <t>C: ASCENDAS27 P: A023951 I 256779419122</t>
  </si>
  <si>
    <t>C: ASCENDAS27 P: A023951 I 256779410262</t>
  </si>
  <si>
    <t>C: ASCENDAS27 P: A023951 I 256779410263</t>
  </si>
  <si>
    <t>C: ASCENDAS27 P: A023951 I 256779410196</t>
  </si>
  <si>
    <t>C: ASCENDAS27 P: A023951 I 256779410303</t>
  </si>
  <si>
    <t>C: ASCENDAS27 P: A023951 I 256779410304</t>
  </si>
  <si>
    <t>C: ASCENDAS27 P: A023951 I 246779410413</t>
  </si>
  <si>
    <t>C: ASCENDAS27 P: A023951 I 246779410436</t>
  </si>
  <si>
    <t>C: ASCENDAS27 P: A023951 I 246779410389</t>
  </si>
  <si>
    <t>C: ASCENDAS27 P: A023951 I 256779413972</t>
  </si>
  <si>
    <t>C: ASCENDAS27 P: A023951 I 256779413931</t>
  </si>
  <si>
    <t>31/08/2025</t>
  </si>
  <si>
    <t>C: ASCENDAS27 P: A023951 I 256779416030</t>
  </si>
  <si>
    <t>C: ASCENDAS27 P: A023951 I 256779416028</t>
  </si>
  <si>
    <t>C: ASCENDAS27 P: A023951 I 256779416029</t>
  </si>
  <si>
    <t>Ty</t>
  </si>
  <si>
    <t>Item#</t>
  </si>
  <si>
    <t>Item Date</t>
  </si>
  <si>
    <t>FC Amount</t>
  </si>
  <si>
    <t>I</t>
  </si>
  <si>
    <t>256779417580_D</t>
  </si>
  <si>
    <t>246779411409_D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</si>
  <si>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</si>
  <si>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</si>
  <si>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</si>
  <si>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</si>
  <si>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</si>
  <si>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</si>
  <si>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</si>
  <si>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</si>
  <si>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</si>
  <si>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</si>
  <si>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</si>
  <si>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Sum of LC Amount</t>
  </si>
  <si>
    <t>A</t>
  </si>
  <si>
    <t>Outwards remit C-A023951 USD20175.95@87.24</t>
  </si>
  <si>
    <t>C</t>
  </si>
  <si>
    <t>246779411409_R</t>
  </si>
  <si>
    <t>Outwards remit C-A023951 USD 27632.46@86.72</t>
  </si>
  <si>
    <t>PAYMENT BATCH OF JUL'25</t>
  </si>
  <si>
    <t>Outwards remit C-A023951 USD19499.67@88.27</t>
  </si>
  <si>
    <t>Outwards remit C-I001611 USD 21,525.94@88.25257138</t>
  </si>
  <si>
    <t>Outwards remit C-A023951 USD 8,027.22@89.154780497</t>
  </si>
  <si>
    <t>256779417580_R</t>
  </si>
  <si>
    <t>Outwards remit C-A023951 USD 20,799.48@1</t>
  </si>
  <si>
    <t>S</t>
  </si>
  <si>
    <t>Exchange rate diference for JUN'25  USD 20175.95</t>
  </si>
  <si>
    <t>Exchange rate diference for JUL'25  USD 27632.46</t>
  </si>
  <si>
    <t>Exchange rate diference for OCT'25  USD 19499.67</t>
  </si>
  <si>
    <t>Exchange rate diference for NOV'25  USD 21525.94</t>
  </si>
  <si>
    <t>Exchange rate diference for DEC'25  USD 8027.22</t>
  </si>
  <si>
    <t>C: ASCENDAS27 P: A023951 C 256779</t>
  </si>
  <si>
    <t>2025</t>
  </si>
  <si>
    <t>Qtr1</t>
  </si>
  <si>
    <t>Qtr2</t>
  </si>
  <si>
    <t>Qtr3</t>
  </si>
  <si>
    <t>Qtr4</t>
  </si>
  <si>
    <t>Dec</t>
  </si>
  <si>
    <t>2026</t>
  </si>
  <si>
    <t>Years</t>
  </si>
  <si>
    <t>Quarters</t>
  </si>
  <si>
    <t>Debit Note</t>
  </si>
  <si>
    <t>Expense</t>
  </si>
  <si>
    <t>Total</t>
  </si>
  <si>
    <t>Customer Account: Name 1</t>
  </si>
  <si>
    <t>Fiscal Year</t>
  </si>
  <si>
    <t>Posting Date</t>
  </si>
  <si>
    <t>Document Type</t>
  </si>
  <si>
    <t>Document Date</t>
  </si>
  <si>
    <t>Entry Date</t>
  </si>
  <si>
    <t>Reference</t>
  </si>
  <si>
    <t>Document Currency Key</t>
  </si>
  <si>
    <t>Document Currency Value</t>
  </si>
  <si>
    <t>Company Code Currency Key</t>
  </si>
  <si>
    <t>Company Code Currency Value</t>
  </si>
  <si>
    <t>Text</t>
  </si>
  <si>
    <t>KUEHNE+NAGEL PVT. LTD.</t>
  </si>
  <si>
    <t>DG</t>
  </si>
  <si>
    <t/>
  </si>
  <si>
    <t>Credit note raised against INV 256779414309</t>
  </si>
  <si>
    <t>DR</t>
  </si>
  <si>
    <t>CODC Inbound chgs - 16-31 Aug  25</t>
  </si>
  <si>
    <t>VAS - 16-31 Aug 25</t>
  </si>
  <si>
    <t>WEIGHMENT - 16-31 Aug 25</t>
  </si>
  <si>
    <t>Intra 16-31 Aug 25</t>
  </si>
  <si>
    <t>Empty Lolo Chgs - 01 - 31 AUG 25</t>
  </si>
  <si>
    <t>PORT SSR Chgs Aug 25</t>
  </si>
  <si>
    <t>Scanning  Chgs - 16 - 31 Aug 25</t>
  </si>
  <si>
    <t>Bond Stamp Paper Chgs 01 - 31 Aug 25</t>
  </si>
  <si>
    <t>LCL Chgs - 16 - 31 AUG 25</t>
  </si>
  <si>
    <t>Outbound chgs - 16 - 31 Aug 25</t>
  </si>
  <si>
    <t>LCL Chgs - 16 - 30 JUN 25</t>
  </si>
  <si>
    <t>Outbound chgs - 16 - 30 Jun 25</t>
  </si>
  <si>
    <t>Unit Storage - 1-30 June 25</t>
  </si>
  <si>
    <t>VAS - 16-30 June 25</t>
  </si>
  <si>
    <t>Weighment- 16-30 June 25</t>
  </si>
  <si>
    <t>VAS-16 -31 Oct 25</t>
  </si>
  <si>
    <t>Unit Storage - 1-31 Oct 2025</t>
  </si>
  <si>
    <t>CODC Inbound chgs - 16-31 Oct 25</t>
  </si>
  <si>
    <t>CODC Out chgs -16-31 Oct 25</t>
  </si>
  <si>
    <t>Outbound chgs - 16 - 31 Oct 25</t>
  </si>
  <si>
    <t>Empty Lolo Chgs - 01 - 31 OCT 25</t>
  </si>
  <si>
    <t>Internet Activity Chgs - Oct 25</t>
  </si>
  <si>
    <t>PORT SSR Chgs Oct 25</t>
  </si>
  <si>
    <t>LCL Chgs - 16 - 31 OCT 25</t>
  </si>
  <si>
    <t>CN issued against 256779417093</t>
  </si>
  <si>
    <t>Unit Storage - 1-31 July 25</t>
  </si>
  <si>
    <t>Empty Lolo Chgs - 01 - 31 JUL 25</t>
  </si>
  <si>
    <t>LCL Chgs - 16 - 31 JUL 25</t>
  </si>
  <si>
    <t>Outbound chgs - 16 - 31 Jul 25</t>
  </si>
  <si>
    <t>CODC Out chgs - 16 - 31 Jul 25</t>
  </si>
  <si>
    <t>VAS 16-31 July 25</t>
  </si>
  <si>
    <t>Weighment - 16-31 July 25</t>
  </si>
  <si>
    <t>CODC Inbound chgs - 16 - 31 May 25</t>
  </si>
  <si>
    <t>PORT SSR Chgs - 16 - 31 May 25</t>
  </si>
  <si>
    <t>Outbound chgs - 16 - 31 MAY 25</t>
  </si>
  <si>
    <t>Detention Chgs - 01 - 15 MAY 25</t>
  </si>
  <si>
    <t>Empty Lolo Chgs - 01 - 31 MAY 25</t>
  </si>
  <si>
    <t>Transportation In Chgs - 16-31 MAY 25</t>
  </si>
  <si>
    <t>Credit note against 246779412202</t>
  </si>
  <si>
    <t>Credit note against 246779412203</t>
  </si>
  <si>
    <t>Credit note against 246779412205</t>
  </si>
  <si>
    <t>Credit note against 246779412206</t>
  </si>
  <si>
    <t>Credit note against 246779412198</t>
  </si>
  <si>
    <t>Credit note against 246779412199</t>
  </si>
  <si>
    <t>Credit note against 246779412204</t>
  </si>
  <si>
    <t>Credit note against 246779412207</t>
  </si>
  <si>
    <t>Credit note against 246779412208</t>
  </si>
  <si>
    <t>Credit note against 246779412196</t>
  </si>
  <si>
    <t>Credit note against 246779412197</t>
  </si>
  <si>
    <t>Credit note against 246779412200</t>
  </si>
  <si>
    <t>Credit note against 246779412201</t>
  </si>
  <si>
    <t>Credit note against 256779410231</t>
  </si>
  <si>
    <t>Credit note against 256779410272</t>
  </si>
  <si>
    <t>Scanning  Chgs - 16 - 31 Apr 25</t>
  </si>
  <si>
    <t>LCL Chgs - 16 - 30 Apr 25</t>
  </si>
  <si>
    <t>Outbound chgs - 16 - 30 Apr 25</t>
  </si>
  <si>
    <t>CODC LCL Chgs -16-30 Nov 25</t>
  </si>
  <si>
    <t>Storage Chgs - 01 - 31 Apr 25</t>
  </si>
  <si>
    <t>PORT SSR Chgs Apr &amp; May 25</t>
  </si>
  <si>
    <t>CODC Inbound Chgs - 01 - 15 July 25</t>
  </si>
  <si>
    <t>CODC Out chgs - 01 - 15 July 25</t>
  </si>
  <si>
    <t>Transportation In Chgs - 01 - 15 JUL 25</t>
  </si>
  <si>
    <t>Outbound chgs - 01 - 15 Jul 25</t>
  </si>
  <si>
    <t>Scanning Charges for the month of October, 2024</t>
  </si>
  <si>
    <t>Outbound Handling charges for Jan 2025</t>
  </si>
  <si>
    <t>Outbound Handling charges for Feb 2025</t>
  </si>
  <si>
    <t>Scanning Charges for the month of Feb 2025</t>
  </si>
  <si>
    <t>Inbound Handling charges for Nov 2024</t>
  </si>
  <si>
    <t>LCL Movement Charges for Nov 2024</t>
  </si>
  <si>
    <t>Inbound Handling charges for Jan 2025</t>
  </si>
  <si>
    <t>Inbound Handling charges for  Sep 2024</t>
  </si>
  <si>
    <t>LCL charges for  Sep 2024</t>
  </si>
  <si>
    <t>Cy-WH Destuff charges for Sep 2024</t>
  </si>
  <si>
    <t>Outbound Handling charges for Sep 2024</t>
  </si>
  <si>
    <t>LCL charges for Jan 2025</t>
  </si>
  <si>
    <t>Inbound Handling charges for Feb 2025</t>
  </si>
  <si>
    <t>LCL Movement Charges for Feb 2025</t>
  </si>
  <si>
    <t>Empty transportation Charges for Feb 2025</t>
  </si>
  <si>
    <t>Transportation Charges for Feb 2025</t>
  </si>
  <si>
    <t>Outbound Handling charges for Nov 2024</t>
  </si>
  <si>
    <t>CY-MOVEMENT CHARGES for Nov 2024</t>
  </si>
  <si>
    <t>Outbound Handling charges for Oct 2024</t>
  </si>
  <si>
    <t>Fixed Rental charges for Aug 2024</t>
  </si>
  <si>
    <t>Fixed Rental charges for Sept 2024</t>
  </si>
  <si>
    <t>Office space charges for Sept 2024</t>
  </si>
  <si>
    <t>Utility charge- Electricity for Sept 2024</t>
  </si>
  <si>
    <t>Office space charges - Aug, 2024</t>
  </si>
  <si>
    <t>Fixed Rental charges for Nov 2024</t>
  </si>
  <si>
    <t>Office space charges for Nov 2024</t>
  </si>
  <si>
    <t>Utility charge- Electricity for Nov 2024</t>
  </si>
  <si>
    <t>Fixed Rental charges for Dec 2024</t>
  </si>
  <si>
    <t>Office space charges for Dec 2024</t>
  </si>
  <si>
    <t>Utility charge- Electricity for Dec 2024</t>
  </si>
  <si>
    <t>Fixed Rental charges for Jan 2025</t>
  </si>
  <si>
    <t>Office space charges for Jan 2025</t>
  </si>
  <si>
    <t>Utility charge- Electricity for Jan 2025</t>
  </si>
  <si>
    <t>Office space charges for Feb 2025</t>
  </si>
  <si>
    <t>Utility charge- Electricity for Feb 2025</t>
  </si>
  <si>
    <t>Office space charges for Oct 2024</t>
  </si>
  <si>
    <t>Utility charge- Electricity for Oct 2024</t>
  </si>
  <si>
    <t>Fixed Rental charges for Oct 2024</t>
  </si>
  <si>
    <t>Fixed Rental charges for Feb 2025</t>
  </si>
  <si>
    <t>Empty Cont Out Chgs - 16 - 31 Jul 25</t>
  </si>
  <si>
    <t>CODC Inbound chgs - 1 -15 Aug  25</t>
  </si>
  <si>
    <t>INTRA-Aug 25- 1-15</t>
  </si>
  <si>
    <t>VAS-Aug 25- 1-15</t>
  </si>
  <si>
    <t>Transportation In Chgs - 01 - 15 Aug 25</t>
  </si>
  <si>
    <t>LCL Chgs - 01 - 15 AUG 25</t>
  </si>
  <si>
    <t>Outbound chgs - 01 - 15 Aug 25</t>
  </si>
  <si>
    <t>LCL Chgs - 16 - 30 NOV 25</t>
  </si>
  <si>
    <t>Utility charge- Electricity - Aug, 2024</t>
  </si>
  <si>
    <t>VAS -1-15 May 25, Ex.rate 85.43</t>
  </si>
  <si>
    <t>Outbound chgs - 01 - 15 MAY 25</t>
  </si>
  <si>
    <t>LCL Chgs - 01-15 MAY 25</t>
  </si>
  <si>
    <t>Credit note raised against 256779415792</t>
  </si>
  <si>
    <t>VAS Activity -1 -15 Mar 25, Ex Rate. 87.01</t>
  </si>
  <si>
    <t>Inbound Handling charges for Mar 2025</t>
  </si>
  <si>
    <t>LCL charges for Mar 2025</t>
  </si>
  <si>
    <t>Outbound Handling charges for Mar 25</t>
  </si>
  <si>
    <t>Transportation Inbound charges for Jan 2025</t>
  </si>
  <si>
    <t>Empty Cont Out charges for Jan 2025</t>
  </si>
  <si>
    <t>LCL Chgs - 01 - 15 OCT 25</t>
  </si>
  <si>
    <t>Outbound chgs - 01 - 15 Oct 25</t>
  </si>
  <si>
    <t>Fixed Storage Charges for April 2025</t>
  </si>
  <si>
    <t>Credit note raised against 256779414430</t>
  </si>
  <si>
    <t>Credit note raised against 256779414445</t>
  </si>
  <si>
    <t>Credit Note against 256779413161</t>
  </si>
  <si>
    <t>Credit Note against 256779413169</t>
  </si>
  <si>
    <t>InKPI-CODC-1-15 May 25-BOE9821502</t>
  </si>
  <si>
    <t>InKPI-CODC-1-15 May 25-BOE9921502</t>
  </si>
  <si>
    <t>InKPI-CODC-1-15 May 25-BOE9918629</t>
  </si>
  <si>
    <t>CN ISSUED TOWARDS BILL NO.256779415304</t>
  </si>
  <si>
    <t>CN ISSUED TOWARDS BILL NO.256779415305</t>
  </si>
  <si>
    <t>CN ISSUED TOWARDS BILL NO.256779415306</t>
  </si>
  <si>
    <t>CN ISSUED TOWARDS BILL NO.256779415307</t>
  </si>
  <si>
    <t>CN ISSUED TOWARDS BILL NO.256779415308</t>
  </si>
  <si>
    <t>CN ISSUED TOWARDS BILL NO.256779415339</t>
  </si>
  <si>
    <t>CN ISSUED TOWARDS BILL NO.256779415321</t>
  </si>
  <si>
    <t>CN ISSUED TOWARDS BILL NO.256779415374</t>
  </si>
  <si>
    <t>CN ISSUED TOWARDS BILL NO.246779414662</t>
  </si>
  <si>
    <t>CN ISSUED TOWARDS BILL NO.256779415365</t>
  </si>
  <si>
    <t>VAS 1-15 April-25,Ex.Rate-85.69</t>
  </si>
  <si>
    <t>VAS  -1-15 Oct 2025</t>
  </si>
  <si>
    <t>Weighment  -1-15 Oct 2025</t>
  </si>
  <si>
    <t>Fixed Storage Charges for Mar 2025</t>
  </si>
  <si>
    <t>CAAU8009071-Port SSR Shifting Jan 2025. Exch rate</t>
  </si>
  <si>
    <t>WHSU5159898-Port SSR Storage Feb 2025. Exch rate -</t>
  </si>
  <si>
    <t>VAS 1-15 June 25, Exch 86.10</t>
  </si>
  <si>
    <t>Outbound chgs - 01 - 15 Nov 25</t>
  </si>
  <si>
    <t>CODC LCL Chgs -1-15 Nov 25</t>
  </si>
  <si>
    <t>CODC Out chgs -1-15 Nov 25</t>
  </si>
  <si>
    <t>LCL Chgs - 01 - 15 NOV 25</t>
  </si>
  <si>
    <t>Inbound Handling charges for 31 Mar 2025</t>
  </si>
  <si>
    <t>Outbound Handling charges for 31 Mar 25</t>
  </si>
  <si>
    <t>Outbound chgs - 01 - 15 Sep 25</t>
  </si>
  <si>
    <t>LCL Chgs - 01 - 15 SEP 25</t>
  </si>
  <si>
    <t>CODC Inbound chgs - 1-15  Sep  25</t>
  </si>
  <si>
    <t>CODC Out chgs -1-15 Sep 25</t>
  </si>
  <si>
    <t>Internet Activity Chgs - Nov 25</t>
  </si>
  <si>
    <t>Outbound chgs - 16 - 30 Nov 25</t>
  </si>
  <si>
    <t>Credit Note against 256779412140</t>
  </si>
  <si>
    <t>Credit Note against 246779413076</t>
  </si>
  <si>
    <t>Transportation IN Chargs</t>
  </si>
  <si>
    <t>Unit - Storage - Aug 25</t>
  </si>
  <si>
    <t>LCL Chgs - 01 - 15 Apr 25</t>
  </si>
  <si>
    <t>Outbound chgs - 01 - 15 Apr 25</t>
  </si>
  <si>
    <t>Inbound Handling charges for Oct 2024</t>
  </si>
  <si>
    <t>LCL Movement Charges for Oct 2024</t>
  </si>
  <si>
    <t>CY-MOVEMENT CHARGES for Oct 2024</t>
  </si>
  <si>
    <t>Port SSR Charges - Shifting for Aug to D</t>
  </si>
  <si>
    <t>Fixed Internet Charges for April,2025</t>
  </si>
  <si>
    <t>VAS-16-30 Sept 25</t>
  </si>
  <si>
    <t>Weighment-16-30 Sept 25</t>
  </si>
  <si>
    <t>VAS - 1-15 July 25</t>
  </si>
  <si>
    <t>VAS - 16-30 April 25, Ex.Rate-85.05</t>
  </si>
  <si>
    <t>Weighment-16-30 April25, Ex.Rate-85.05</t>
  </si>
  <si>
    <t>CODC Inbound chgs - 16 - 30 Apr 25</t>
  </si>
  <si>
    <t>CODC Out chgs - 16 - 30 Apr 25</t>
  </si>
  <si>
    <t>PORT SSR Chgs Nov 25</t>
  </si>
  <si>
    <t>CODC Inbound chgs - 1-15 Oct 25</t>
  </si>
  <si>
    <t>CODC Out chgs -1-15 Oct 25</t>
  </si>
  <si>
    <t>Unit storage -1-31 May 25</t>
  </si>
  <si>
    <t>Unit Storage - 1-30 Sept 2025</t>
  </si>
  <si>
    <t>Empty Lolo Chgs - 01 - 30 SEP 25</t>
  </si>
  <si>
    <t>LCL Chgs - 16 - 30 SEP 25</t>
  </si>
  <si>
    <t>Outbound chgs - 16 - 30 Sep 25</t>
  </si>
  <si>
    <t>Internet Activity Chgs - Aug 24 to Sep 25</t>
  </si>
  <si>
    <t>PORT SSR Chgs Sep 25</t>
  </si>
  <si>
    <t>Unit-Storage-1-31 Aug 25</t>
  </si>
  <si>
    <t>Scanning  Chgs - 01 - 15 May 25</t>
  </si>
  <si>
    <t>Unit Storage - 1-30 Nov 2025</t>
  </si>
  <si>
    <t>Credit note for Duplicate invoice -256779418489</t>
  </si>
  <si>
    <t>Credit note for Duplicate invoice -256779418495</t>
  </si>
  <si>
    <t>CODC LCL Chgs -01-15 Dec 25</t>
  </si>
  <si>
    <t>CODC Out chgs -1-15 Dec 25</t>
  </si>
  <si>
    <t>Outbound chgs - 01 - 15 Dec 25</t>
  </si>
  <si>
    <t>LCL Chgs - 01 - 15 DEC 25</t>
  </si>
  <si>
    <t>DZ</t>
  </si>
  <si>
    <t>Internet Activity Chgs - Dec 25</t>
  </si>
  <si>
    <t>Empty Lolo Chgs - 01 - 31 DEC 25</t>
  </si>
  <si>
    <t>PORT SSR Chgs Dec 25</t>
  </si>
  <si>
    <t>LCL Chgs - 16 - 31 DEC 25</t>
  </si>
  <si>
    <t>Outbound chgs - 16 - 31 Dec 25</t>
  </si>
  <si>
    <t>Unit Storage - 1-31 DEC 2025</t>
  </si>
  <si>
    <t>VAS-Dec 25 - 16-31</t>
  </si>
  <si>
    <t>Fixed Storage Charges for January 2026</t>
  </si>
  <si>
    <t>VAS - NOV 25,16-30</t>
  </si>
  <si>
    <t>CODC Out chgs -1-15 JAN 26</t>
  </si>
  <si>
    <t>CODC LCL Chgs -1-15 JAN 26</t>
  </si>
  <si>
    <t>LCL Chgs - 01 - 15 JAN 26</t>
  </si>
  <si>
    <t>Outbound chgs - 01 - 15 JAN 26</t>
  </si>
  <si>
    <t>VAS-1-15 Jan 2026</t>
  </si>
  <si>
    <t>CY Longstanding Transportation chgs for 31 MAR 202</t>
  </si>
  <si>
    <t>Inbound Handling charges for Dec 2024</t>
  </si>
  <si>
    <t>LCL charges for Dec 2024</t>
  </si>
  <si>
    <t>Transportation Inbound charges for Dec 2024</t>
  </si>
  <si>
    <t>Empty Cont. Outbound charges for Dec 2024</t>
  </si>
  <si>
    <t>Outbound Handling for Oct 2024</t>
  </si>
  <si>
    <t>LCL Chgs - 01 - 15 Apr 25 ( BOE9231261 / 9272978 /</t>
  </si>
  <si>
    <t>Inbound chgs - 01 - 15 Apr 25 ( BOE9231261 / 92729</t>
  </si>
  <si>
    <t>Outbound chgs - 01 - 15 Apr 25 ( DTA8744354 )</t>
  </si>
  <si>
    <t>CODC Outbound chgs - 01 - 15 Apr 25 ( DTA9177079 )</t>
  </si>
  <si>
    <t>Credit note raised against INV 256779411867</t>
  </si>
  <si>
    <t>Credit note raised against INV 246779414057</t>
  </si>
  <si>
    <t>Credit note raised against INV 256779411091</t>
  </si>
  <si>
    <t>Credit note raised against INV 256779411092</t>
  </si>
  <si>
    <t>Credit note raised against INV 256779411093</t>
  </si>
  <si>
    <t>Credit note raised against INV 256779411094</t>
  </si>
  <si>
    <t>Credit note raised against INV 256779411095</t>
  </si>
  <si>
    <t>Credit note raised against INV 256779411096</t>
  </si>
  <si>
    <t>Credit note raised against INV 256779411098</t>
  </si>
  <si>
    <t>Credit note raised against INV 256779411099</t>
  </si>
  <si>
    <t>Credit note raised against INV 256779411100</t>
  </si>
  <si>
    <t>Credit note raised against INV 256779411101</t>
  </si>
  <si>
    <t>Credit note raised against INV 246779414122</t>
  </si>
  <si>
    <t>Credit note raised against INV 246779414869</t>
  </si>
  <si>
    <t>Credit note raised against INV 256779411458</t>
  </si>
  <si>
    <t>Credit note raised against INV 256779411461</t>
  </si>
  <si>
    <t>Credit note raised against INV 256779411466</t>
  </si>
  <si>
    <t>Credit note raised against INV 256779411467</t>
  </si>
  <si>
    <t>Credit note raised against INV 256779411469</t>
  </si>
  <si>
    <t>Credit note raised against INV 256779411797</t>
  </si>
  <si>
    <t>Credit note raised against INV 256779412609</t>
  </si>
  <si>
    <t>Credit note raised against INV 246779414058</t>
  </si>
  <si>
    <t>Credit note raised against INV 246779414525</t>
  </si>
  <si>
    <t>Credit note raised against INV 246779414526</t>
  </si>
  <si>
    <t>Credit note raised against INV 246779414527</t>
  </si>
  <si>
    <t>Credit note raised against INV 246779414528</t>
  </si>
  <si>
    <t>Credit note raised against INV 246779414590</t>
  </si>
  <si>
    <t>Credit note raised against INV 246779414726</t>
  </si>
  <si>
    <t>Credit note raised against INV 246779414120</t>
  </si>
  <si>
    <t>Credit note raised against INV 246779414121</t>
  </si>
  <si>
    <t>Credit note raised against INV 246779414204</t>
  </si>
  <si>
    <t>Credit note raised against INV 246779414460</t>
  </si>
  <si>
    <t>Credit note raised against INV 246779414461</t>
  </si>
  <si>
    <t>Credit note raised against INV 246779414781</t>
  </si>
  <si>
    <t>Credit note raised against INV 246779414863</t>
  </si>
  <si>
    <t>Credit note raised against INV 246779414864</t>
  </si>
  <si>
    <t>Credit note raised against INV 246779414865</t>
  </si>
  <si>
    <t>Credit note raised against INV 246779414866</t>
  </si>
  <si>
    <t>Credit note raised against INV 246779414867</t>
  </si>
  <si>
    <t>Credit note raised against INV 246779414868</t>
  </si>
  <si>
    <t>Credit note raised against INV 256779411459</t>
  </si>
  <si>
    <t>Credit note raised against INV 256779411460</t>
  </si>
  <si>
    <t>Credit note raised against INV 256779411462</t>
  </si>
  <si>
    <t>Credit note raised against INV 256779411463</t>
  </si>
  <si>
    <t>Credit note raised against INV 256779411464</t>
  </si>
  <si>
    <t>Credit note raised against INV 256779411465</t>
  </si>
  <si>
    <t>Credit note raised against INV 256779411468</t>
  </si>
  <si>
    <t>Credit note raised against INV 246779413317</t>
  </si>
  <si>
    <t>Credit note raised against INV 256779410127</t>
  </si>
  <si>
    <t>Credit note raised against INV 256779410213</t>
  </si>
  <si>
    <t>Credit note raised against INV 256779410214</t>
  </si>
  <si>
    <t>Credit note raised against INV 256779410076</t>
  </si>
  <si>
    <t>Credit note raised against INV 256779410077</t>
  </si>
  <si>
    <t>Credit note raised against INV 256779412649</t>
  </si>
  <si>
    <t>Credit note raised against INV 246779410482</t>
  </si>
  <si>
    <t>Credit note raised against INV 246779410483</t>
  </si>
  <si>
    <t>Credit note raised against INV 256779411722</t>
  </si>
  <si>
    <t>Credit note raised against INV 256779411795</t>
  </si>
  <si>
    <t>Credit note raised against INV 256779411796</t>
  </si>
  <si>
    <t>Credit note raised against INV 256779411798</t>
  </si>
  <si>
    <t>Credit note raised against INV 256779411799</t>
  </si>
  <si>
    <t>Credit note raised against INV 246779410665</t>
  </si>
  <si>
    <t>Credit note raised against INV 256779412884</t>
  </si>
  <si>
    <t>Credit note raised against INV 256779412918</t>
  </si>
  <si>
    <t>Credit note raised against INV 256779412948</t>
  </si>
  <si>
    <t>Credit note raised against INV 246779414296</t>
  </si>
  <si>
    <t>Credit note raised against INV 246779414297</t>
  </si>
  <si>
    <t>Credit note raised against INV 246779414298</t>
  </si>
  <si>
    <t>Outbound Handling Charges Aug 2024</t>
  </si>
  <si>
    <t>Inbound Handling for August 24</t>
  </si>
  <si>
    <t>Scanning Chgs - 16 - 31 Apr 25 ( BOE9523237 )</t>
  </si>
  <si>
    <t>LCL Chgs - 16 - 30 Apr 25 ( BOE9471796/9501725 )</t>
  </si>
  <si>
    <t>Inbound chgs -16 - 30 Apr 25 ( BOE9471796/9501725</t>
  </si>
  <si>
    <t>Transportation In Chgs - 16 - 30 Apr 25 ( BOE94717</t>
  </si>
  <si>
    <t>Empty Cont Out - 16 - 30 Apr 25 ( BOE9471796/95017</t>
  </si>
  <si>
    <t>Outbound chgs - 16 - 30 Apr 25 ( DTA9452390 )</t>
  </si>
  <si>
    <t>Outbound chgs - 01 - 15 MAY 25 ( DTA9652445/951659</t>
  </si>
  <si>
    <t>Scanning  Chgs - 01 - 15 May 25 (BOE9821502)</t>
  </si>
  <si>
    <t>LCL Chgs - 01-15 MAY 25 ( BOE9963613 )</t>
  </si>
  <si>
    <t>Inbound chgs -01-15 MAY 25 ( BOE9963613 )</t>
  </si>
  <si>
    <t>CODC Inbound chgs - 16 - 31 May 25 ( 9918629 )</t>
  </si>
  <si>
    <t>Outbound chgs - 16 - 31 MAY 25 ( DTA2037850 )</t>
  </si>
  <si>
    <t>Empty Cont Out - 16-31 MAY 25</t>
  </si>
  <si>
    <t>LCL Chgs - 16-31 MAY 25</t>
  </si>
  <si>
    <t>Inbound chgs -16-31 MAY 25</t>
  </si>
  <si>
    <t>Credit note raised against INV 256779413280</t>
  </si>
  <si>
    <t>Credit note raised against INV 256779413308</t>
  </si>
  <si>
    <t>Credit note raised against INV 256779413348</t>
  </si>
  <si>
    <t>Credit note raised against INV 256779413480</t>
  </si>
  <si>
    <t>Credit note raised against INV 256779413859</t>
  </si>
  <si>
    <t>Credit note raised against INV 256779413879</t>
  </si>
  <si>
    <t>Credit note raised against INV 256779414156</t>
  </si>
  <si>
    <t>Credit note raised against INV 256779414173</t>
  </si>
  <si>
    <t>Credit note raised against INV 256779414206</t>
  </si>
  <si>
    <t>Credit note raised against INV 256779414260</t>
  </si>
  <si>
    <t>Credit note raised against INV 256779414271</t>
  </si>
  <si>
    <t>VAS Activity Charges for the month of October, 24</t>
  </si>
  <si>
    <t>VAS Activity Charges for the month of November, 24</t>
  </si>
  <si>
    <t>VAS Activity Charges for the month of December, 24</t>
  </si>
  <si>
    <t>LCL Charges August 2024</t>
  </si>
  <si>
    <t>Credit note raised against 256779418068</t>
  </si>
  <si>
    <t>WHSU5018375-Port SSR Shifting Mar 2025. Exch rate</t>
  </si>
  <si>
    <t>VAS Activity - Jan 25, Ex Rate. 86.64</t>
  </si>
  <si>
    <t>VAS Activity - Feb 25, Ex Rate. 87.40</t>
  </si>
  <si>
    <t>VAS Activity - Mar 25, 16-31, Ex Rate. 85.58</t>
  </si>
  <si>
    <t>Storage Charges Mar, 25 Exch Rate 85.58</t>
  </si>
  <si>
    <t>Cy-WH Destuff charges for Dec 2024</t>
  </si>
  <si>
    <t>Outbound Handling charges for Dec 2024</t>
  </si>
  <si>
    <t>VAS 16-31 May 25 Ex.85.48</t>
  </si>
  <si>
    <t>Weighment -16-31 May 25, Ex.85.48</t>
  </si>
  <si>
    <t>VAS Activity Charges for the month of August, 24</t>
  </si>
  <si>
    <t>Cy-WH Destuff charges for 31 Mar 2025</t>
  </si>
  <si>
    <t>Empty Cont Outbound charges for Jan 2025</t>
  </si>
  <si>
    <t>Loose Unloading Charges August 2024</t>
  </si>
  <si>
    <t>LCL charges for 31 Mar 2025</t>
  </si>
  <si>
    <t>Transportation Inbound charges for 31 Mar 2025</t>
  </si>
  <si>
    <t>Empty Cont. Outbound charges for 31 Mar 2025</t>
  </si>
  <si>
    <t>Outbound Handling for Aug 2024</t>
  </si>
  <si>
    <t>DA</t>
  </si>
  <si>
    <t>Overpayment</t>
  </si>
  <si>
    <t>DY</t>
  </si>
  <si>
    <t>XC</t>
  </si>
  <si>
    <t>6779ZR25000004</t>
  </si>
  <si>
    <t>6779ZP25000139</t>
  </si>
  <si>
    <t>Port SSR Charges - Shifting for Aug to Dec,24.</t>
  </si>
  <si>
    <t>Fixed Storage Charges fo MAY 2025</t>
  </si>
  <si>
    <t>Fixed Storage Charges fo JUNE 2025</t>
  </si>
  <si>
    <t>Fixed Storage Charges fo JULY 2025</t>
  </si>
  <si>
    <t>Fixed Storage Charges for August 2025</t>
  </si>
  <si>
    <t>Fixed Storage Charges for September 2025</t>
  </si>
  <si>
    <t>Fixed Storage Charges for October 2025</t>
  </si>
  <si>
    <t>Fixed Storage Charges for November 2025</t>
  </si>
  <si>
    <t>Fixed Storage Charges for December 2025</t>
  </si>
  <si>
    <t>Credit note raised against INV 256779411097</t>
  </si>
  <si>
    <t>CN ISSUED TOWARDS BILL NO.256779415303</t>
  </si>
  <si>
    <t>CN ISSUED TOWARDS BILL NO.256779415349</t>
  </si>
  <si>
    <t>Outbound Handling for Nov 2024</t>
  </si>
  <si>
    <t>Outbound Handling for Dec 2024</t>
  </si>
  <si>
    <t>Storage Charges Feb, 25</t>
  </si>
  <si>
    <t>Storage Charges Jan, 25</t>
  </si>
  <si>
    <t>Storage for the month of Nov 2024</t>
  </si>
  <si>
    <t>Storage for the month of Dec 2024</t>
  </si>
  <si>
    <t>Storage for the month of Oct 2024</t>
  </si>
  <si>
    <t>Storage Charges for the month of August, 2024</t>
  </si>
  <si>
    <t>Storage  for the month of Sept  2024</t>
  </si>
  <si>
    <t>VAS Activity Charges for the month of September, 2</t>
  </si>
  <si>
    <t>Sum of Company Code Currency Value</t>
  </si>
  <si>
    <t>Credit</t>
  </si>
  <si>
    <t>As per Customer</t>
  </si>
  <si>
    <t>Net Amount</t>
  </si>
  <si>
    <t>Diffrence</t>
  </si>
  <si>
    <t>As per Ascendus</t>
  </si>
  <si>
    <t>Amount In USD</t>
  </si>
  <si>
    <t>Amount In INR</t>
  </si>
  <si>
    <t>Foreign Exchange Diffrence</t>
  </si>
  <si>
    <t>Diffrecnce</t>
  </si>
  <si>
    <t>Date</t>
  </si>
  <si>
    <t>Amount</t>
  </si>
  <si>
    <t>As per Customer ledger</t>
  </si>
  <si>
    <t>&gt;&gt;Exchange diffrence</t>
  </si>
  <si>
    <t>June</t>
  </si>
  <si>
    <t>July</t>
  </si>
  <si>
    <t>Reconciliation of Ledger as on 31st January 2026</t>
  </si>
  <si>
    <t>Particulars</t>
  </si>
  <si>
    <t>Derived balance</t>
  </si>
  <si>
    <t>Difference</t>
  </si>
  <si>
    <t>Balance as per Kuehne Nagel Pvt Ltd</t>
  </si>
  <si>
    <t>Balance as per Ascendus</t>
  </si>
  <si>
    <t>&gt;&gt;payment not recorded in books</t>
  </si>
  <si>
    <t>Add: Diffrence in Payment recorded in both books due to exchange gain/loss</t>
  </si>
  <si>
    <t>Add: Payments recorded in Feb by Ascendus</t>
  </si>
  <si>
    <t>Confirmed by Sushil over call</t>
  </si>
  <si>
    <t>TDS as per customer</t>
  </si>
  <si>
    <t>Customer balance</t>
  </si>
  <si>
    <t>Remarks</t>
  </si>
  <si>
    <t>Vlookup</t>
  </si>
  <si>
    <t>Invoice recorded by customer. Not in our books</t>
  </si>
  <si>
    <t>Difference due to exchange rate</t>
  </si>
  <si>
    <t>Refer payment reco</t>
  </si>
  <si>
    <t>Exchange gain loss recorded by customer</t>
  </si>
  <si>
    <t>Amount recorded by customer but not in our books</t>
  </si>
  <si>
    <t>Less: Amount recorded by customer, but not in our books</t>
  </si>
  <si>
    <t>Add: TDS recorded by customer but not in our books</t>
  </si>
  <si>
    <t>Add: Invoices / CN not recorded in customer books</t>
  </si>
  <si>
    <t>Less: Exchange gain loss recorded by customer</t>
  </si>
  <si>
    <t>Add: Difference in INR amounts in both books due to exchange rate</t>
  </si>
  <si>
    <t>To be discussed with customer</t>
  </si>
  <si>
    <t>This is Foreign Exchange Gain/loss in customers books confirmed by Customer team in Meeting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</si>
</sst>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_ * #,##0_ ;_ * \-#,##0_ ;_ * &quot;-&quot;??_ ;_ @_ "/>
    <numFmt numFmtId="165" formatCode="0.000%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Bookman Old Style"/>
      <family val="1"/>
    </font>
    <font>
      <b/>
      <sz val="11"/>
      <color theme="1"/>
      <name val="Bookman Old Style"/>
      <family val="1"/>
    </font>
  </fonts>
  <fills count="8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96">
    <xf numFmtId="0" fontId="0" fillId="0" borderId="0" xfId="0"/>
    <xf numFmtId="164" fontId="0" fillId="0" borderId="0" xfId="1" applyNumberFormat="1" applyFont="1"/>
    <xf numFmtId="17" fontId="0" fillId="0" borderId="0" xfId="0" applyNumberFormat="1"/>
    <xf numFmtId="14" fontId="0" fillId="0" borderId="0" xfId="0" applyNumberFormat="1"/>
    <xf numFmtId="1" fontId="0" fillId="0" borderId="0" xfId="0" applyNumberFormat="1"/>
    <xf numFmtId="0" fontId="0" fillId="0" borderId="0" xfId="0" pivotButton="1"/>
    <xf numFmtId="0" fontId="0" fillId="0" borderId="0" xfId="0" applyNumberFormat="1"/>
    <xf numFmtId="43" fontId="0" fillId="0" borderId="0" xfId="1" applyFont="1"/>
    <xf numFmtId="164" fontId="0" fillId="0" borderId="1" xfId="1" applyNumberFormat="1" applyFont="1" applyBorder="1"/>
    <xf numFmtId="164" fontId="2" fillId="0" borderId="1" xfId="0" applyNumberFormat="1" applyFont="1" applyBorder="1"/>
    <xf numFmtId="0" fontId="0" fillId="3" borderId="1" xfId="0" applyFill="1" applyBorder="1" applyAlignment="1">
      <alignment vertical="top"/>
    </xf>
    <xf numFmtId="0" fontId="0" fillId="3" borderId="1" xfId="0" applyFill="1" applyBorder="1" applyAlignment="1">
      <alignment vertical="top" wrapText="1"/>
    </xf>
    <xf numFmtId="0" fontId="0" fillId="0" borderId="0" xfId="0" applyAlignment="1">
      <alignment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0" borderId="0" xfId="0" applyNumberFormat="1" applyAlignment="1">
      <alignment vertical="top"/>
    </xf>
    <xf numFmtId="0" fontId="0" fillId="4" borderId="1" xfId="0" applyNumberFormat="1" applyFill="1" applyBorder="1"/>
    <xf numFmtId="0" fontId="0" fillId="4" borderId="1" xfId="0" applyFill="1" applyBorder="1"/>
    <xf numFmtId="0" fontId="0" fillId="2" borderId="1" xfId="1" applyNumberFormat="1" applyFont="1" applyFill="1" applyBorder="1" applyAlignment="1">
      <alignment horizontal="left"/>
    </xf>
    <xf numFmtId="164" fontId="0" fillId="2" borderId="1" xfId="1" applyNumberFormat="1" applyFont="1" applyFill="1" applyBorder="1"/>
    <xf numFmtId="164" fontId="2" fillId="2" borderId="1" xfId="0" applyNumberFormat="1" applyFont="1" applyFill="1" applyBorder="1"/>
    <xf numFmtId="164" fontId="0" fillId="4" borderId="1" xfId="1" applyNumberFormat="1" applyFont="1" applyFill="1" applyBorder="1"/>
    <xf numFmtId="164" fontId="0" fillId="4" borderId="1" xfId="0" applyNumberFormat="1" applyFill="1" applyBorder="1"/>
    <xf numFmtId="164" fontId="2" fillId="4" borderId="1" xfId="0" applyNumberFormat="1" applyFont="1" applyFill="1" applyBorder="1"/>
    <xf numFmtId="164" fontId="0" fillId="5" borderId="1" xfId="0" applyNumberFormat="1" applyFill="1" applyBorder="1"/>
    <xf numFmtId="0" fontId="0" fillId="3" borderId="1" xfId="0" applyFill="1" applyBorder="1" applyAlignment="1">
      <alignment horizontal="left" vertical="top"/>
    </xf>
    <xf numFmtId="0" fontId="0" fillId="3" borderId="1" xfId="0" applyFill="1" applyBorder="1" applyAlignment="1">
      <alignment horizontal="left" vertical="top" wrapText="1"/>
    </xf>
    <xf numFmtId="4" fontId="0" fillId="0" borderId="0" xfId="0" applyNumberFormat="1"/>
    <xf numFmtId="0" fontId="0" fillId="0" borderId="1" xfId="0" applyBorder="1" applyAlignment="1">
      <alignment vertical="top"/>
    </xf>
    <xf numFmtId="14" fontId="0" fillId="0" borderId="1" xfId="0" applyNumberFormat="1" applyBorder="1" applyAlignment="1">
      <alignment horizontal="right" vertical="top"/>
    </xf>
    <xf numFmtId="4" fontId="0" fillId="0" borderId="1" xfId="0" applyNumberFormat="1" applyBorder="1" applyAlignment="1">
      <alignment horizontal="right" vertical="top"/>
    </xf>
    <xf numFmtId="4" fontId="0" fillId="0" borderId="1" xfId="0" applyNumberFormat="1" applyBorder="1" applyAlignment="1">
      <alignment vertical="top"/>
    </xf>
    <xf numFmtId="0" fontId="0" fillId="0" borderId="1" xfId="0" applyNumberFormat="1" applyBorder="1" applyAlignment="1">
      <alignment vertical="top"/>
    </xf>
    <xf numFmtId="4" fontId="0" fillId="0" borderId="3" xfId="0" applyNumberFormat="1" applyFill="1" applyBorder="1" applyAlignment="1">
      <alignment vertical="top"/>
    </xf>
    <xf numFmtId="0" fontId="0" fillId="0" borderId="0" xfId="0" applyAlignment="1">
      <alignment horizontal="left" wrapText="1"/>
    </xf>
    <xf numFmtId="164" fontId="2" fillId="2" borderId="1" xfId="1" applyNumberFormat="1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164" fontId="0" fillId="0" borderId="0" xfId="0" applyNumberFormat="1"/>
    <xf numFmtId="14" fontId="0" fillId="6" borderId="8" xfId="0" applyNumberFormat="1" applyFill="1" applyBorder="1"/>
    <xf numFmtId="14" fontId="0" fillId="2" borderId="7" xfId="0" applyNumberFormat="1" applyFill="1" applyBorder="1" applyAlignment="1">
      <alignment horizontal="right" vertical="top"/>
    </xf>
    <xf numFmtId="14" fontId="0" fillId="6" borderId="10" xfId="0" applyNumberFormat="1" applyFill="1" applyBorder="1"/>
    <xf numFmtId="0" fontId="0" fillId="2" borderId="12" xfId="0" applyFill="1" applyBorder="1"/>
    <xf numFmtId="0" fontId="0" fillId="6" borderId="5" xfId="0" applyFill="1" applyBorder="1"/>
    <xf numFmtId="0" fontId="0" fillId="2" borderId="13" xfId="0" applyFill="1" applyBorder="1"/>
    <xf numFmtId="14" fontId="0" fillId="6" borderId="14" xfId="0" applyNumberFormat="1" applyFill="1" applyBorder="1"/>
    <xf numFmtId="14" fontId="0" fillId="2" borderId="16" xfId="0" applyNumberFormat="1" applyFill="1" applyBorder="1" applyAlignment="1">
      <alignment horizontal="right" vertical="top"/>
    </xf>
    <xf numFmtId="0" fontId="0" fillId="6" borderId="17" xfId="0" applyFill="1" applyBorder="1"/>
    <xf numFmtId="0" fontId="0" fillId="2" borderId="20" xfId="0" applyFill="1" applyBorder="1"/>
    <xf numFmtId="0" fontId="0" fillId="6" borderId="5" xfId="0" applyFill="1" applyBorder="1" applyAlignment="1"/>
    <xf numFmtId="0" fontId="0" fillId="2" borderId="5" xfId="0" applyFill="1" applyBorder="1" applyAlignment="1"/>
    <xf numFmtId="4" fontId="0" fillId="2" borderId="23" xfId="0" applyNumberFormat="1" applyFill="1" applyBorder="1" applyAlignment="1">
      <alignment horizontal="right" vertical="top"/>
    </xf>
    <xf numFmtId="4" fontId="0" fillId="2" borderId="24" xfId="0" applyNumberFormat="1" applyFill="1" applyBorder="1" applyAlignment="1">
      <alignment horizontal="right" vertical="top"/>
    </xf>
    <xf numFmtId="0" fontId="0" fillId="2" borderId="25" xfId="0" applyFill="1" applyBorder="1"/>
    <xf numFmtId="4" fontId="2" fillId="2" borderId="19" xfId="0" applyNumberFormat="1" applyFont="1" applyFill="1" applyBorder="1"/>
    <xf numFmtId="4" fontId="0" fillId="7" borderId="26" xfId="0" applyNumberFormat="1" applyFill="1" applyBorder="1" applyAlignment="1">
      <alignment horizontal="right" vertical="top"/>
    </xf>
    <xf numFmtId="4" fontId="0" fillId="7" borderId="27" xfId="0" applyNumberFormat="1" applyFill="1" applyBorder="1" applyAlignment="1">
      <alignment horizontal="right" vertical="top"/>
    </xf>
    <xf numFmtId="4" fontId="0" fillId="7" borderId="28" xfId="0" applyNumberFormat="1" applyFill="1" applyBorder="1" applyAlignment="1">
      <alignment horizontal="right" vertical="top"/>
    </xf>
    <xf numFmtId="4" fontId="2" fillId="7" borderId="4" xfId="0" applyNumberFormat="1" applyFont="1" applyFill="1" applyBorder="1"/>
    <xf numFmtId="0" fontId="0" fillId="2" borderId="29" xfId="0" applyFill="1" applyBorder="1"/>
    <xf numFmtId="0" fontId="0" fillId="6" borderId="18" xfId="0" applyFill="1" applyBorder="1"/>
    <xf numFmtId="164" fontId="0" fillId="6" borderId="15" xfId="1" applyNumberFormat="1" applyFont="1" applyFill="1" applyBorder="1"/>
    <xf numFmtId="164" fontId="0" fillId="6" borderId="9" xfId="1" applyNumberFormat="1" applyFont="1" applyFill="1" applyBorder="1"/>
    <xf numFmtId="164" fontId="0" fillId="6" borderId="11" xfId="1" applyNumberFormat="1" applyFont="1" applyFill="1" applyBorder="1"/>
    <xf numFmtId="164" fontId="2" fillId="6" borderId="6" xfId="0" applyNumberFormat="1" applyFont="1" applyFill="1" applyBorder="1"/>
    <xf numFmtId="0" fontId="1" fillId="0" borderId="0" xfId="2"/>
    <xf numFmtId="43" fontId="0" fillId="0" borderId="0" xfId="3" applyFont="1"/>
    <xf numFmtId="43" fontId="1" fillId="0" borderId="0" xfId="2" applyNumberFormat="1"/>
    <xf numFmtId="0" fontId="5" fillId="0" borderId="31" xfId="2" applyFont="1" applyBorder="1" applyAlignment="1">
      <alignment wrapText="1"/>
    </xf>
    <xf numFmtId="0" fontId="5" fillId="0" borderId="4" xfId="2" applyFont="1" applyBorder="1" applyAlignment="1">
      <alignment wrapText="1"/>
    </xf>
    <xf numFmtId="43" fontId="4" fillId="0" borderId="33" xfId="3" applyFont="1" applyBorder="1" applyAlignment="1">
      <alignment wrapText="1"/>
    </xf>
    <xf numFmtId="0" fontId="0" fillId="7" borderId="21" xfId="0" applyFill="1" applyBorder="1" applyAlignment="1">
      <alignment horizontal="left" vertical="center"/>
    </xf>
    <xf numFmtId="0" fontId="0" fillId="7" borderId="22" xfId="0" applyFill="1" applyBorder="1" applyAlignment="1">
      <alignment horizontal="left" vertical="center"/>
    </xf>
    <xf numFmtId="4" fontId="0" fillId="7" borderId="30" xfId="0" applyNumberFormat="1" applyFill="1" applyBorder="1" applyAlignment="1">
      <alignment horizontal="left" vertical="top"/>
    </xf>
    <xf numFmtId="4" fontId="2" fillId="7" borderId="4" xfId="0" applyNumberFormat="1" applyFont="1" applyFill="1" applyBorder="1" applyAlignment="1">
      <alignment horizontal="left"/>
    </xf>
    <xf numFmtId="0" fontId="0" fillId="0" borderId="0" xfId="0" applyAlignment="1">
      <alignment horizontal="left"/>
    </xf>
    <xf numFmtId="164" fontId="2" fillId="0" borderId="0" xfId="0" applyNumberFormat="1" applyFont="1"/>
    <xf numFmtId="43" fontId="4" fillId="0" borderId="34" xfId="3" applyFont="1" applyBorder="1"/>
    <xf numFmtId="43" fontId="5" fillId="0" borderId="31" xfId="3" applyFont="1" applyBorder="1"/>
    <xf numFmtId="10" fontId="0" fillId="0" borderId="0" xfId="5" applyNumberFormat="1" applyFont="1"/>
    <xf numFmtId="165" fontId="0" fillId="0" borderId="0" xfId="5" applyNumberFormat="1" applyFont="1"/>
    <xf numFmtId="164" fontId="4" fillId="0" borderId="26" xfId="3" applyNumberFormat="1" applyFont="1" applyBorder="1" applyAlignment="1">
      <alignment wrapText="1"/>
    </xf>
    <xf numFmtId="164" fontId="4" fillId="0" borderId="27" xfId="3" applyNumberFormat="1" applyFont="1" applyBorder="1" applyAlignment="1">
      <alignment wrapText="1"/>
    </xf>
    <xf numFmtId="164" fontId="4" fillId="0" borderId="28" xfId="3" applyNumberFormat="1" applyFont="1" applyBorder="1"/>
    <xf numFmtId="164" fontId="5" fillId="0" borderId="4" xfId="4" applyNumberFormat="1" applyFont="1" applyBorder="1"/>
    <xf numFmtId="0" fontId="5" fillId="0" borderId="31" xfId="2" applyFont="1" applyBorder="1" applyAlignment="1">
      <alignment horizontal="center" wrapText="1"/>
    </xf>
    <xf numFmtId="0" fontId="5" fillId="0" borderId="32" xfId="2" applyFont="1" applyBorder="1" applyAlignment="1">
      <alignment horizontal="center" wrapText="1"/>
    </xf>
    <xf numFmtId="0" fontId="2" fillId="2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19" xfId="0" applyFill="1" applyBorder="1" applyAlignment="1">
      <alignment horizontal="center"/>
    </xf>
    <xf numFmtId="0" fontId="0" fillId="6" borderId="5" xfId="0" applyFill="1" applyBorder="1" applyAlignment="1">
      <alignment horizontal="center"/>
    </xf>
    <xf numFmtId="0" fontId="0" fillId="6" borderId="6" xfId="0" applyFill="1" applyBorder="1" applyAlignment="1">
      <alignment horizontal="center"/>
    </xf>
    <xf numFmtId="0" fontId="0" fillId="7" borderId="21" xfId="0" applyFill="1" applyBorder="1" applyAlignment="1">
      <alignment horizontal="center" vertical="center"/>
    </xf>
    <xf numFmtId="0" fontId="0" fillId="7" borderId="22" xfId="0" applyFill="1" applyBorder="1" applyAlignment="1">
      <alignment horizontal="center" vertical="center"/>
    </xf>
  </cellXfs>
  <cellStyles count="6">
    <cellStyle name="Comma" xfId="1" builtinId="3"/>
    <cellStyle name="Comma 2" xfId="3" xr:uid="{62F4C835-C6E3-425C-B2E2-F824BD1EDE97}"/>
    <cellStyle name="Comma 3" xfId="4" xr:uid="{8B77F8D1-74A0-4162-B841-84609A0489DB}"/>
    <cellStyle name="Normal" xfId="0" builtinId="0"/>
    <cellStyle name="Normal 2" xfId="2" xr:uid="{0B998131-D1CA-4571-8041-50302A5D58C2}"/>
    <cellStyle name="Percent" xfId="5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1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pivotCacheDefinition" Target="pivotCache/pivotCacheDefinition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Server/2.%20Tax%20&amp;%20Assurance/Capital%20Land/9.%20KUEHNE%20NAGEL%20PVT.%20LTD/A023951_01-Apr-24%20to%2031-Jan-26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Server/2.%20Tax%20&amp;%20Assurance/Capital%20Land/9.%20KUEHNE%20NAGEL%20PVT.%20LTD/KUEHNE+NAGEL%20PVT.%20LTD.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023951"/>
    </sheetNames>
    <sheetDataSet>
      <sheetData sheetId="0">
        <row r="1">
          <cell r="D1" t="str">
            <v>Item#</v>
          </cell>
          <cell r="E1" t="str">
            <v>Item Date</v>
          </cell>
          <cell r="F1" t="str">
            <v>FC Amount</v>
          </cell>
          <cell r="G1"/>
          <cell r="H1" t="str">
            <v>LC Amount</v>
          </cell>
        </row>
        <row r="2">
          <cell r="D2">
            <v>256779413908</v>
          </cell>
          <cell r="E2" t="str">
            <v>28/05/2025</v>
          </cell>
          <cell r="F2">
            <v>-3200.83</v>
          </cell>
          <cell r="G2"/>
          <cell r="H2">
            <v>-273269.15999999997</v>
          </cell>
        </row>
        <row r="3">
          <cell r="D3">
            <v>256779413908</v>
          </cell>
          <cell r="E3" t="str">
            <v>28/05/2025</v>
          </cell>
          <cell r="F3">
            <v>64.02</v>
          </cell>
          <cell r="G3"/>
          <cell r="H3">
            <v>5465.67</v>
          </cell>
        </row>
        <row r="4">
          <cell r="D4">
            <v>256779413908</v>
          </cell>
          <cell r="E4" t="str">
            <v>28/05/2025</v>
          </cell>
          <cell r="F4">
            <v>0</v>
          </cell>
          <cell r="G4"/>
          <cell r="H4">
            <v>-11858.12</v>
          </cell>
        </row>
        <row r="5">
          <cell r="D5">
            <v>256779415989</v>
          </cell>
          <cell r="E5" t="str">
            <v>25/07/2025</v>
          </cell>
          <cell r="F5">
            <v>-299.83999999999997</v>
          </cell>
          <cell r="G5"/>
          <cell r="H5">
            <v>-25783.09</v>
          </cell>
        </row>
        <row r="6">
          <cell r="D6">
            <v>256779416007</v>
          </cell>
          <cell r="E6" t="str">
            <v>25/07/2025</v>
          </cell>
          <cell r="F6">
            <v>-421.15</v>
          </cell>
          <cell r="G6"/>
          <cell r="H6">
            <v>-36214.480000000003</v>
          </cell>
        </row>
        <row r="7">
          <cell r="D7">
            <v>256779416007</v>
          </cell>
          <cell r="E7" t="str">
            <v>25/07/2025</v>
          </cell>
          <cell r="F7">
            <v>8.42</v>
          </cell>
          <cell r="G7"/>
          <cell r="H7">
            <v>724.03</v>
          </cell>
        </row>
        <row r="8">
          <cell r="D8">
            <v>256779415989</v>
          </cell>
          <cell r="E8" t="str">
            <v>25/07/2025</v>
          </cell>
          <cell r="F8">
            <v>6</v>
          </cell>
          <cell r="G8"/>
          <cell r="H8">
            <v>515.94000000000005</v>
          </cell>
        </row>
        <row r="9">
          <cell r="D9">
            <v>256779415989</v>
          </cell>
          <cell r="E9" t="str">
            <v>25/07/2025</v>
          </cell>
          <cell r="F9">
            <v>0</v>
          </cell>
          <cell r="G9"/>
          <cell r="H9">
            <v>-664.99</v>
          </cell>
        </row>
        <row r="10">
          <cell r="D10">
            <v>256779416007</v>
          </cell>
          <cell r="E10" t="str">
            <v>25/07/2025</v>
          </cell>
          <cell r="F10">
            <v>0</v>
          </cell>
          <cell r="G10"/>
          <cell r="H10">
            <v>-934.03</v>
          </cell>
        </row>
        <row r="11">
          <cell r="D11">
            <v>256779412776</v>
          </cell>
          <cell r="E11" t="str">
            <v>24/04/2025</v>
          </cell>
          <cell r="F11">
            <v>-632.46</v>
          </cell>
          <cell r="G11"/>
          <cell r="H11">
            <v>-54218.879999999997</v>
          </cell>
        </row>
        <row r="12">
          <cell r="D12">
            <v>256779412776</v>
          </cell>
          <cell r="E12" t="str">
            <v>24/04/2025</v>
          </cell>
          <cell r="F12">
            <v>12.65</v>
          </cell>
          <cell r="G12"/>
          <cell r="H12">
            <v>1084.45</v>
          </cell>
        </row>
        <row r="13">
          <cell r="D13">
            <v>256779412776</v>
          </cell>
          <cell r="E13" t="str">
            <v>24/04/2025</v>
          </cell>
          <cell r="F13">
            <v>0</v>
          </cell>
          <cell r="G13"/>
          <cell r="H13">
            <v>-2124.59</v>
          </cell>
        </row>
        <row r="14">
          <cell r="D14">
            <v>256779417801</v>
          </cell>
          <cell r="E14" t="str">
            <v>22/09/2025</v>
          </cell>
          <cell r="F14">
            <v>-4755.47</v>
          </cell>
          <cell r="G14"/>
          <cell r="H14">
            <v>-416826.08</v>
          </cell>
        </row>
        <row r="15">
          <cell r="D15">
            <v>256779417801</v>
          </cell>
          <cell r="E15" t="str">
            <v>22/09/2025</v>
          </cell>
          <cell r="F15">
            <v>95.11</v>
          </cell>
          <cell r="G15"/>
          <cell r="H15">
            <v>8336.57</v>
          </cell>
        </row>
        <row r="16">
          <cell r="D16">
            <v>256779417801</v>
          </cell>
          <cell r="E16" t="str">
            <v>22/09/2025</v>
          </cell>
          <cell r="F16">
            <v>0</v>
          </cell>
          <cell r="G16"/>
          <cell r="H16">
            <v>-2799.24</v>
          </cell>
        </row>
        <row r="17">
          <cell r="D17">
            <v>256779417744</v>
          </cell>
          <cell r="E17" t="str">
            <v>22/09/2025</v>
          </cell>
          <cell r="F17">
            <v>-870</v>
          </cell>
          <cell r="G17"/>
          <cell r="H17">
            <v>-76257.17</v>
          </cell>
        </row>
        <row r="18">
          <cell r="D18">
            <v>256779417744</v>
          </cell>
          <cell r="E18" t="str">
            <v>22/09/2025</v>
          </cell>
          <cell r="F18">
            <v>17.399999999999999</v>
          </cell>
          <cell r="G18"/>
          <cell r="H18">
            <v>1525.14</v>
          </cell>
        </row>
        <row r="19">
          <cell r="D19">
            <v>256779412524</v>
          </cell>
          <cell r="E19" t="str">
            <v>22/04/2025</v>
          </cell>
          <cell r="F19">
            <v>-36.5</v>
          </cell>
          <cell r="G19"/>
          <cell r="H19">
            <v>-3129.03</v>
          </cell>
        </row>
        <row r="20">
          <cell r="D20">
            <v>256779412529</v>
          </cell>
          <cell r="E20" t="str">
            <v>22/04/2025</v>
          </cell>
          <cell r="F20">
            <v>-29.57</v>
          </cell>
          <cell r="G20"/>
          <cell r="H20">
            <v>-2534.9499999999998</v>
          </cell>
        </row>
        <row r="21">
          <cell r="D21">
            <v>256779412536</v>
          </cell>
          <cell r="E21" t="str">
            <v>22/04/2025</v>
          </cell>
          <cell r="F21">
            <v>-37.020000000000003</v>
          </cell>
          <cell r="G21"/>
          <cell r="H21">
            <v>-3173.61</v>
          </cell>
        </row>
        <row r="22">
          <cell r="D22">
            <v>256779412537</v>
          </cell>
          <cell r="E22" t="str">
            <v>22/04/2025</v>
          </cell>
          <cell r="F22">
            <v>-407.58</v>
          </cell>
          <cell r="G22"/>
          <cell r="H22">
            <v>-34940.6</v>
          </cell>
        </row>
        <row r="23">
          <cell r="D23">
            <v>256779412579</v>
          </cell>
          <cell r="E23" t="str">
            <v>22/04/2025</v>
          </cell>
          <cell r="F23">
            <v>-57.6</v>
          </cell>
          <cell r="G23"/>
          <cell r="H23">
            <v>-4937.87</v>
          </cell>
        </row>
        <row r="24">
          <cell r="D24">
            <v>256779412586</v>
          </cell>
          <cell r="E24" t="str">
            <v>22/04/2025</v>
          </cell>
          <cell r="F24">
            <v>-51.5</v>
          </cell>
          <cell r="G24"/>
          <cell r="H24">
            <v>-4414.9399999999996</v>
          </cell>
        </row>
        <row r="25">
          <cell r="D25">
            <v>256779412563</v>
          </cell>
          <cell r="E25" t="str">
            <v>22/04/2025</v>
          </cell>
          <cell r="F25">
            <v>-27</v>
          </cell>
          <cell r="G25"/>
          <cell r="H25">
            <v>-2314.63</v>
          </cell>
        </row>
        <row r="26">
          <cell r="D26">
            <v>256779412576</v>
          </cell>
          <cell r="E26" t="str">
            <v>22/04/2025</v>
          </cell>
          <cell r="F26">
            <v>-46</v>
          </cell>
          <cell r="G26"/>
          <cell r="H26">
            <v>-3943.44</v>
          </cell>
        </row>
        <row r="27">
          <cell r="D27">
            <v>256779412577</v>
          </cell>
          <cell r="E27" t="str">
            <v>22/04/2025</v>
          </cell>
          <cell r="F27">
            <v>-46</v>
          </cell>
          <cell r="G27"/>
          <cell r="H27">
            <v>-3943.44</v>
          </cell>
        </row>
        <row r="28">
          <cell r="D28">
            <v>256779412580</v>
          </cell>
          <cell r="E28" t="str">
            <v>22/04/2025</v>
          </cell>
          <cell r="F28">
            <v>-40.5</v>
          </cell>
          <cell r="G28"/>
          <cell r="H28">
            <v>-3471.94</v>
          </cell>
        </row>
        <row r="29">
          <cell r="D29">
            <v>256779412562</v>
          </cell>
          <cell r="E29" t="str">
            <v>22/04/2025</v>
          </cell>
          <cell r="F29">
            <v>-54.65</v>
          </cell>
          <cell r="G29"/>
          <cell r="H29">
            <v>-4684.9799999999996</v>
          </cell>
        </row>
        <row r="30">
          <cell r="D30">
            <v>256779412564</v>
          </cell>
          <cell r="E30" t="str">
            <v>22/04/2025</v>
          </cell>
          <cell r="F30">
            <v>-55.2</v>
          </cell>
          <cell r="G30"/>
          <cell r="H30">
            <v>-4732.13</v>
          </cell>
        </row>
        <row r="31">
          <cell r="D31">
            <v>256779412570</v>
          </cell>
          <cell r="E31" t="str">
            <v>22/04/2025</v>
          </cell>
          <cell r="F31">
            <v>-43.38</v>
          </cell>
          <cell r="G31"/>
          <cell r="H31">
            <v>-3718.84</v>
          </cell>
        </row>
        <row r="32">
          <cell r="D32">
            <v>256779412581</v>
          </cell>
          <cell r="E32" t="str">
            <v>22/04/2025</v>
          </cell>
          <cell r="F32">
            <v>-51.5</v>
          </cell>
          <cell r="G32"/>
          <cell r="H32">
            <v>-4414.9399999999996</v>
          </cell>
        </row>
        <row r="33">
          <cell r="D33">
            <v>256779412585</v>
          </cell>
          <cell r="E33" t="str">
            <v>22/04/2025</v>
          </cell>
          <cell r="F33">
            <v>-48.75</v>
          </cell>
          <cell r="G33"/>
          <cell r="H33">
            <v>-4179.1899999999996</v>
          </cell>
        </row>
        <row r="34">
          <cell r="D34">
            <v>256779412577</v>
          </cell>
          <cell r="E34" t="str">
            <v>22/04/2025</v>
          </cell>
          <cell r="F34">
            <v>0.92</v>
          </cell>
          <cell r="G34"/>
          <cell r="H34">
            <v>78.87</v>
          </cell>
        </row>
        <row r="35">
          <cell r="D35">
            <v>256779412564</v>
          </cell>
          <cell r="E35" t="str">
            <v>22/04/2025</v>
          </cell>
          <cell r="F35">
            <v>1.1000000000000001</v>
          </cell>
          <cell r="G35"/>
          <cell r="H35">
            <v>94.3</v>
          </cell>
        </row>
        <row r="36">
          <cell r="D36">
            <v>256779412529</v>
          </cell>
          <cell r="E36" t="str">
            <v>22/04/2025</v>
          </cell>
          <cell r="F36">
            <v>0.59</v>
          </cell>
          <cell r="G36"/>
          <cell r="H36">
            <v>50.58</v>
          </cell>
        </row>
        <row r="37">
          <cell r="D37">
            <v>256779412563</v>
          </cell>
          <cell r="E37" t="str">
            <v>22/04/2025</v>
          </cell>
          <cell r="F37">
            <v>0.54</v>
          </cell>
          <cell r="G37"/>
          <cell r="H37">
            <v>46.29</v>
          </cell>
        </row>
        <row r="38">
          <cell r="D38">
            <v>256779412570</v>
          </cell>
          <cell r="E38" t="str">
            <v>22/04/2025</v>
          </cell>
          <cell r="F38">
            <v>0.87</v>
          </cell>
          <cell r="G38"/>
          <cell r="H38">
            <v>74.58</v>
          </cell>
        </row>
        <row r="39">
          <cell r="D39">
            <v>256779412580</v>
          </cell>
          <cell r="E39" t="str">
            <v>22/04/2025</v>
          </cell>
          <cell r="F39">
            <v>0.81</v>
          </cell>
          <cell r="G39"/>
          <cell r="H39">
            <v>69.44</v>
          </cell>
        </row>
        <row r="40">
          <cell r="D40">
            <v>256779412581</v>
          </cell>
          <cell r="E40" t="str">
            <v>22/04/2025</v>
          </cell>
          <cell r="F40">
            <v>1.03</v>
          </cell>
          <cell r="G40"/>
          <cell r="H40">
            <v>88.3</v>
          </cell>
        </row>
        <row r="41">
          <cell r="D41">
            <v>256779412536</v>
          </cell>
          <cell r="E41" t="str">
            <v>22/04/2025</v>
          </cell>
          <cell r="F41">
            <v>0.74</v>
          </cell>
          <cell r="G41"/>
          <cell r="H41">
            <v>63.44</v>
          </cell>
        </row>
        <row r="42">
          <cell r="D42">
            <v>256779412576</v>
          </cell>
          <cell r="E42" t="str">
            <v>22/04/2025</v>
          </cell>
          <cell r="F42">
            <v>0.92</v>
          </cell>
          <cell r="G42"/>
          <cell r="H42">
            <v>78.87</v>
          </cell>
        </row>
        <row r="43">
          <cell r="D43">
            <v>256779412524</v>
          </cell>
          <cell r="E43" t="str">
            <v>22/04/2025</v>
          </cell>
          <cell r="F43">
            <v>0.73</v>
          </cell>
          <cell r="G43"/>
          <cell r="H43">
            <v>62.58</v>
          </cell>
        </row>
        <row r="44">
          <cell r="D44">
            <v>256779412537</v>
          </cell>
          <cell r="E44" t="str">
            <v>22/04/2025</v>
          </cell>
          <cell r="F44">
            <v>8.15</v>
          </cell>
          <cell r="G44"/>
          <cell r="H44">
            <v>698.67</v>
          </cell>
        </row>
        <row r="45">
          <cell r="D45">
            <v>256779412585</v>
          </cell>
          <cell r="E45" t="str">
            <v>22/04/2025</v>
          </cell>
          <cell r="F45">
            <v>0.98</v>
          </cell>
          <cell r="G45"/>
          <cell r="H45">
            <v>84.01</v>
          </cell>
        </row>
        <row r="46">
          <cell r="D46">
            <v>256779412586</v>
          </cell>
          <cell r="E46" t="str">
            <v>22/04/2025</v>
          </cell>
          <cell r="F46">
            <v>1.03</v>
          </cell>
          <cell r="G46"/>
          <cell r="H46">
            <v>88.3</v>
          </cell>
        </row>
        <row r="47">
          <cell r="D47">
            <v>256779412579</v>
          </cell>
          <cell r="E47" t="str">
            <v>22/04/2025</v>
          </cell>
          <cell r="F47">
            <v>1.1499999999999999</v>
          </cell>
          <cell r="G47"/>
          <cell r="H47">
            <v>98.59</v>
          </cell>
        </row>
        <row r="48">
          <cell r="D48">
            <v>256779412562</v>
          </cell>
          <cell r="E48" t="str">
            <v>22/04/2025</v>
          </cell>
          <cell r="F48">
            <v>1.0900000000000001</v>
          </cell>
          <cell r="G48"/>
          <cell r="H48">
            <v>93.44</v>
          </cell>
        </row>
        <row r="49">
          <cell r="D49">
            <v>256779412583</v>
          </cell>
          <cell r="E49" t="str">
            <v>22/04/2025</v>
          </cell>
          <cell r="F49">
            <v>-51.75</v>
          </cell>
          <cell r="G49"/>
          <cell r="H49">
            <v>-4436.37</v>
          </cell>
        </row>
        <row r="50">
          <cell r="D50">
            <v>256779412524</v>
          </cell>
          <cell r="E50" t="str">
            <v>22/04/2025</v>
          </cell>
          <cell r="F50">
            <v>0</v>
          </cell>
          <cell r="G50"/>
          <cell r="H50">
            <v>-9.39</v>
          </cell>
        </row>
        <row r="51">
          <cell r="D51">
            <v>256779412529</v>
          </cell>
          <cell r="E51" t="str">
            <v>22/04/2025</v>
          </cell>
          <cell r="F51">
            <v>0</v>
          </cell>
          <cell r="G51"/>
          <cell r="H51">
            <v>-7.61</v>
          </cell>
        </row>
        <row r="52">
          <cell r="D52">
            <v>256779412536</v>
          </cell>
          <cell r="E52" t="str">
            <v>22/04/2025</v>
          </cell>
          <cell r="F52">
            <v>0</v>
          </cell>
          <cell r="G52"/>
          <cell r="H52">
            <v>-9.5299999999999994</v>
          </cell>
        </row>
        <row r="53">
          <cell r="D53">
            <v>256779412537</v>
          </cell>
          <cell r="E53" t="str">
            <v>22/04/2025</v>
          </cell>
          <cell r="F53">
            <v>0</v>
          </cell>
          <cell r="G53"/>
          <cell r="H53">
            <v>-104.86</v>
          </cell>
        </row>
        <row r="54">
          <cell r="D54">
            <v>256779412579</v>
          </cell>
          <cell r="E54" t="str">
            <v>22/04/2025</v>
          </cell>
          <cell r="F54">
            <v>0</v>
          </cell>
          <cell r="G54"/>
          <cell r="H54">
            <v>-14.83</v>
          </cell>
        </row>
        <row r="55">
          <cell r="D55">
            <v>256779412586</v>
          </cell>
          <cell r="E55" t="str">
            <v>22/04/2025</v>
          </cell>
          <cell r="F55">
            <v>0</v>
          </cell>
          <cell r="G55"/>
          <cell r="H55">
            <v>-13.25</v>
          </cell>
        </row>
        <row r="56">
          <cell r="D56">
            <v>256779412563</v>
          </cell>
          <cell r="E56" t="str">
            <v>22/04/2025</v>
          </cell>
          <cell r="F56">
            <v>0</v>
          </cell>
          <cell r="G56"/>
          <cell r="H56">
            <v>-6.94</v>
          </cell>
        </row>
        <row r="57">
          <cell r="D57">
            <v>256779412576</v>
          </cell>
          <cell r="E57" t="str">
            <v>22/04/2025</v>
          </cell>
          <cell r="F57">
            <v>0</v>
          </cell>
          <cell r="G57"/>
          <cell r="H57">
            <v>-11.84</v>
          </cell>
        </row>
        <row r="58">
          <cell r="D58">
            <v>256779412577</v>
          </cell>
          <cell r="E58" t="str">
            <v>22/04/2025</v>
          </cell>
          <cell r="F58">
            <v>0</v>
          </cell>
          <cell r="G58"/>
          <cell r="H58">
            <v>-11.84</v>
          </cell>
        </row>
        <row r="59">
          <cell r="D59">
            <v>256779412580</v>
          </cell>
          <cell r="E59" t="str">
            <v>22/04/2025</v>
          </cell>
          <cell r="F59">
            <v>0</v>
          </cell>
          <cell r="G59"/>
          <cell r="H59">
            <v>-10.42</v>
          </cell>
        </row>
        <row r="60">
          <cell r="D60">
            <v>256779412562</v>
          </cell>
          <cell r="E60" t="str">
            <v>22/04/2025</v>
          </cell>
          <cell r="F60">
            <v>0</v>
          </cell>
          <cell r="G60"/>
          <cell r="H60">
            <v>-14.06</v>
          </cell>
        </row>
        <row r="61">
          <cell r="D61">
            <v>256779412564</v>
          </cell>
          <cell r="E61" t="str">
            <v>22/04/2025</v>
          </cell>
          <cell r="F61">
            <v>0</v>
          </cell>
          <cell r="G61"/>
          <cell r="H61">
            <v>-14.2</v>
          </cell>
        </row>
        <row r="62">
          <cell r="D62">
            <v>256779412570</v>
          </cell>
          <cell r="E62" t="str">
            <v>22/04/2025</v>
          </cell>
          <cell r="F62">
            <v>0</v>
          </cell>
          <cell r="G62"/>
          <cell r="H62">
            <v>-11.15</v>
          </cell>
        </row>
        <row r="63">
          <cell r="D63">
            <v>256779412581</v>
          </cell>
          <cell r="E63" t="str">
            <v>22/04/2025</v>
          </cell>
          <cell r="F63">
            <v>0</v>
          </cell>
          <cell r="G63"/>
          <cell r="H63">
            <v>-13.25</v>
          </cell>
        </row>
        <row r="64">
          <cell r="D64">
            <v>256779412585</v>
          </cell>
          <cell r="E64" t="str">
            <v>22/04/2025</v>
          </cell>
          <cell r="F64">
            <v>0</v>
          </cell>
          <cell r="G64"/>
          <cell r="H64">
            <v>-12.54</v>
          </cell>
        </row>
        <row r="65">
          <cell r="D65">
            <v>256779412583</v>
          </cell>
          <cell r="E65" t="str">
            <v>22/04/2025</v>
          </cell>
          <cell r="F65">
            <v>0</v>
          </cell>
          <cell r="G65"/>
          <cell r="H65">
            <v>-13.59</v>
          </cell>
        </row>
        <row r="66">
          <cell r="D66">
            <v>256779418480</v>
          </cell>
          <cell r="E66" t="str">
            <v>21/10/2025</v>
          </cell>
          <cell r="F66">
            <v>-13.59</v>
          </cell>
          <cell r="G66"/>
          <cell r="H66">
            <v>-1204.8800000000001</v>
          </cell>
        </row>
        <row r="67">
          <cell r="D67">
            <v>256779418480</v>
          </cell>
          <cell r="E67" t="str">
            <v>21/10/2025</v>
          </cell>
          <cell r="F67">
            <v>0.27</v>
          </cell>
          <cell r="G67"/>
          <cell r="H67">
            <v>23.94</v>
          </cell>
        </row>
        <row r="68">
          <cell r="D68">
            <v>256779418474</v>
          </cell>
          <cell r="E68" t="str">
            <v>21/10/2025</v>
          </cell>
          <cell r="F68">
            <v>-562.38</v>
          </cell>
          <cell r="G68"/>
          <cell r="H68">
            <v>-49860.33</v>
          </cell>
        </row>
        <row r="69">
          <cell r="D69">
            <v>256779418474</v>
          </cell>
          <cell r="E69" t="str">
            <v>21/10/2025</v>
          </cell>
          <cell r="F69">
            <v>11.25</v>
          </cell>
          <cell r="G69"/>
          <cell r="H69">
            <v>997.42</v>
          </cell>
        </row>
        <row r="70">
          <cell r="D70">
            <v>256779418474</v>
          </cell>
          <cell r="E70" t="str">
            <v>21/10/2025</v>
          </cell>
          <cell r="F70">
            <v>0</v>
          </cell>
          <cell r="G70"/>
          <cell r="H70">
            <v>-1591.62</v>
          </cell>
        </row>
        <row r="71">
          <cell r="D71">
            <v>256779418474</v>
          </cell>
          <cell r="E71" t="str">
            <v>21/10/2025</v>
          </cell>
          <cell r="F71">
            <v>0</v>
          </cell>
          <cell r="G71"/>
          <cell r="H71">
            <v>-14.27</v>
          </cell>
        </row>
        <row r="72">
          <cell r="D72">
            <v>256779418474</v>
          </cell>
          <cell r="E72" t="str">
            <v>21/10/2025</v>
          </cell>
          <cell r="F72">
            <v>0</v>
          </cell>
          <cell r="G72"/>
          <cell r="H72">
            <v>-31.65</v>
          </cell>
        </row>
        <row r="73">
          <cell r="D73">
            <v>256779413393</v>
          </cell>
          <cell r="E73" t="str">
            <v>21/05/2025</v>
          </cell>
          <cell r="F73">
            <v>-229.87</v>
          </cell>
          <cell r="G73"/>
          <cell r="H73">
            <v>-19625.03</v>
          </cell>
        </row>
        <row r="74">
          <cell r="D74">
            <v>256779413394</v>
          </cell>
          <cell r="E74" t="str">
            <v>21/05/2025</v>
          </cell>
          <cell r="F74">
            <v>-218.17</v>
          </cell>
          <cell r="G74"/>
          <cell r="H74">
            <v>-18626.150000000001</v>
          </cell>
        </row>
        <row r="75">
          <cell r="D75">
            <v>256779413403</v>
          </cell>
          <cell r="E75" t="str">
            <v>21/05/2025</v>
          </cell>
          <cell r="F75">
            <v>-402.88</v>
          </cell>
          <cell r="G75"/>
          <cell r="H75">
            <v>-34395.67</v>
          </cell>
        </row>
        <row r="76">
          <cell r="D76">
            <v>256779413397</v>
          </cell>
          <cell r="E76" t="str">
            <v>21/05/2025</v>
          </cell>
          <cell r="F76">
            <v>-229.87</v>
          </cell>
          <cell r="G76"/>
          <cell r="H76">
            <v>-19625.03</v>
          </cell>
        </row>
        <row r="77">
          <cell r="D77">
            <v>256779413398</v>
          </cell>
          <cell r="E77" t="str">
            <v>21/05/2025</v>
          </cell>
          <cell r="F77">
            <v>-218.17</v>
          </cell>
          <cell r="G77"/>
          <cell r="H77">
            <v>-18626.150000000001</v>
          </cell>
        </row>
        <row r="78">
          <cell r="D78">
            <v>256779413400</v>
          </cell>
          <cell r="E78" t="str">
            <v>21/05/2025</v>
          </cell>
          <cell r="F78">
            <v>-218.17</v>
          </cell>
          <cell r="G78"/>
          <cell r="H78">
            <v>-18626.150000000001</v>
          </cell>
        </row>
        <row r="79">
          <cell r="D79">
            <v>256779413402</v>
          </cell>
          <cell r="E79" t="str">
            <v>21/05/2025</v>
          </cell>
          <cell r="F79">
            <v>-229.87</v>
          </cell>
          <cell r="G79"/>
          <cell r="H79">
            <v>-19625.03</v>
          </cell>
        </row>
        <row r="80">
          <cell r="D80">
            <v>256779413396</v>
          </cell>
          <cell r="E80" t="str">
            <v>21/05/2025</v>
          </cell>
          <cell r="F80">
            <v>-218.17</v>
          </cell>
          <cell r="G80"/>
          <cell r="H80">
            <v>-18626.150000000001</v>
          </cell>
        </row>
        <row r="81">
          <cell r="D81">
            <v>256779413401</v>
          </cell>
          <cell r="E81" t="str">
            <v>21/05/2025</v>
          </cell>
          <cell r="F81">
            <v>-229.87</v>
          </cell>
          <cell r="G81"/>
          <cell r="H81">
            <v>-19625.03</v>
          </cell>
        </row>
        <row r="82">
          <cell r="D82">
            <v>256779413396</v>
          </cell>
          <cell r="E82" t="str">
            <v>21/05/2025</v>
          </cell>
          <cell r="F82">
            <v>4.3600000000000003</v>
          </cell>
          <cell r="G82"/>
          <cell r="H82">
            <v>372.23</v>
          </cell>
        </row>
        <row r="83">
          <cell r="D83">
            <v>256779413401</v>
          </cell>
          <cell r="E83" t="str">
            <v>21/05/2025</v>
          </cell>
          <cell r="F83">
            <v>4.5999999999999996</v>
          </cell>
          <cell r="G83"/>
          <cell r="H83">
            <v>392.72</v>
          </cell>
        </row>
        <row r="84">
          <cell r="D84">
            <v>256779413395</v>
          </cell>
          <cell r="E84" t="str">
            <v>21/05/2025</v>
          </cell>
          <cell r="F84">
            <v>-264.98</v>
          </cell>
          <cell r="G84"/>
          <cell r="H84">
            <v>-22622.53</v>
          </cell>
        </row>
        <row r="85">
          <cell r="D85">
            <v>256779413395</v>
          </cell>
          <cell r="E85" t="str">
            <v>21/05/2025</v>
          </cell>
          <cell r="F85">
            <v>5.3</v>
          </cell>
          <cell r="G85"/>
          <cell r="H85">
            <v>452.48</v>
          </cell>
        </row>
        <row r="86">
          <cell r="D86">
            <v>256779413399</v>
          </cell>
          <cell r="E86" t="str">
            <v>21/05/2025</v>
          </cell>
          <cell r="F86">
            <v>-229.87</v>
          </cell>
          <cell r="G86"/>
          <cell r="H86">
            <v>-19625.03</v>
          </cell>
        </row>
        <row r="87">
          <cell r="D87">
            <v>256779413399</v>
          </cell>
          <cell r="E87" t="str">
            <v>21/05/2025</v>
          </cell>
          <cell r="F87">
            <v>4.5999999999999996</v>
          </cell>
          <cell r="G87"/>
          <cell r="H87">
            <v>392.72</v>
          </cell>
        </row>
        <row r="88">
          <cell r="D88">
            <v>256779413391</v>
          </cell>
          <cell r="E88" t="str">
            <v>21/05/2025</v>
          </cell>
          <cell r="F88">
            <v>-253.29</v>
          </cell>
          <cell r="G88"/>
          <cell r="H88">
            <v>-21624.5</v>
          </cell>
        </row>
        <row r="89">
          <cell r="D89">
            <v>256779413392</v>
          </cell>
          <cell r="E89" t="str">
            <v>21/05/2025</v>
          </cell>
          <cell r="F89">
            <v>-218.17</v>
          </cell>
          <cell r="G89"/>
          <cell r="H89">
            <v>-18626.150000000001</v>
          </cell>
        </row>
        <row r="90">
          <cell r="D90">
            <v>256779413391</v>
          </cell>
          <cell r="E90" t="str">
            <v>21/05/2025</v>
          </cell>
          <cell r="F90">
            <v>5.07</v>
          </cell>
          <cell r="G90"/>
          <cell r="H90">
            <v>432.85</v>
          </cell>
        </row>
        <row r="91">
          <cell r="D91">
            <v>256779413392</v>
          </cell>
          <cell r="E91" t="str">
            <v>21/05/2025</v>
          </cell>
          <cell r="F91">
            <v>4.3600000000000003</v>
          </cell>
          <cell r="G91"/>
          <cell r="H91">
            <v>372.23</v>
          </cell>
        </row>
        <row r="92">
          <cell r="D92">
            <v>256779413391</v>
          </cell>
          <cell r="E92" t="str">
            <v>21/05/2025</v>
          </cell>
          <cell r="F92">
            <v>0</v>
          </cell>
          <cell r="G92"/>
          <cell r="H92">
            <v>-815.41</v>
          </cell>
        </row>
        <row r="93">
          <cell r="D93">
            <v>256779413392</v>
          </cell>
          <cell r="E93" t="str">
            <v>21/05/2025</v>
          </cell>
          <cell r="F93">
            <v>0</v>
          </cell>
          <cell r="G93"/>
          <cell r="H93">
            <v>-702.37</v>
          </cell>
        </row>
        <row r="94">
          <cell r="D94">
            <v>256779412184</v>
          </cell>
          <cell r="E94" t="str">
            <v>21/04/2025</v>
          </cell>
          <cell r="F94">
            <v>-93.23</v>
          </cell>
          <cell r="G94"/>
          <cell r="H94">
            <v>-7992.33</v>
          </cell>
        </row>
        <row r="95">
          <cell r="D95">
            <v>256779412185</v>
          </cell>
          <cell r="E95" t="str">
            <v>21/04/2025</v>
          </cell>
          <cell r="F95">
            <v>-51.28</v>
          </cell>
          <cell r="G95"/>
          <cell r="H95">
            <v>-4396.08</v>
          </cell>
        </row>
        <row r="96">
          <cell r="D96">
            <v>256779412189</v>
          </cell>
          <cell r="E96" t="str">
            <v>21/04/2025</v>
          </cell>
          <cell r="F96">
            <v>0</v>
          </cell>
          <cell r="G96"/>
          <cell r="H96">
            <v>-262.20999999999998</v>
          </cell>
        </row>
        <row r="97">
          <cell r="D97">
            <v>256779412155</v>
          </cell>
          <cell r="E97" t="str">
            <v>21/04/2025</v>
          </cell>
          <cell r="F97">
            <v>-2330.73</v>
          </cell>
          <cell r="G97"/>
          <cell r="H97">
            <v>-199806.42</v>
          </cell>
        </row>
        <row r="98">
          <cell r="D98">
            <v>256779412189</v>
          </cell>
          <cell r="E98" t="str">
            <v>21/04/2025</v>
          </cell>
          <cell r="F98">
            <v>0</v>
          </cell>
          <cell r="G98"/>
          <cell r="H98">
            <v>6</v>
          </cell>
        </row>
        <row r="99">
          <cell r="D99">
            <v>256779412185</v>
          </cell>
          <cell r="E99" t="str">
            <v>21/04/2025</v>
          </cell>
          <cell r="F99">
            <v>1.03</v>
          </cell>
          <cell r="G99"/>
          <cell r="H99">
            <v>88.3</v>
          </cell>
        </row>
        <row r="100">
          <cell r="D100">
            <v>256779412184</v>
          </cell>
          <cell r="E100" t="str">
            <v>21/04/2025</v>
          </cell>
          <cell r="F100">
            <v>1.86</v>
          </cell>
          <cell r="G100"/>
          <cell r="H100">
            <v>159.44999999999999</v>
          </cell>
        </row>
        <row r="101">
          <cell r="D101">
            <v>256779412155</v>
          </cell>
          <cell r="E101" t="str">
            <v>21/04/2025</v>
          </cell>
          <cell r="F101">
            <v>46.61</v>
          </cell>
          <cell r="G101"/>
          <cell r="H101">
            <v>3995.73</v>
          </cell>
        </row>
        <row r="102">
          <cell r="D102">
            <v>256779412184</v>
          </cell>
          <cell r="E102" t="str">
            <v>21/04/2025</v>
          </cell>
          <cell r="F102">
            <v>0</v>
          </cell>
          <cell r="G102"/>
          <cell r="H102">
            <v>-23.98</v>
          </cell>
        </row>
        <row r="103">
          <cell r="D103">
            <v>256779412185</v>
          </cell>
          <cell r="E103" t="str">
            <v>21/04/2025</v>
          </cell>
          <cell r="F103">
            <v>0</v>
          </cell>
          <cell r="G103"/>
          <cell r="H103">
            <v>-13.19</v>
          </cell>
        </row>
        <row r="104">
          <cell r="D104">
            <v>256779412155</v>
          </cell>
          <cell r="E104" t="str">
            <v>21/04/2025</v>
          </cell>
          <cell r="F104">
            <v>0</v>
          </cell>
          <cell r="G104"/>
          <cell r="H104">
            <v>-599.66999999999996</v>
          </cell>
        </row>
        <row r="105">
          <cell r="D105">
            <v>256779419542</v>
          </cell>
          <cell r="E105" t="str">
            <v>20/11/2025</v>
          </cell>
          <cell r="F105">
            <v>-409.4</v>
          </cell>
          <cell r="G105"/>
          <cell r="H105">
            <v>-36130.6</v>
          </cell>
        </row>
        <row r="106">
          <cell r="D106">
            <v>256779419542</v>
          </cell>
          <cell r="E106" t="str">
            <v>20/11/2025</v>
          </cell>
          <cell r="F106">
            <v>8.19</v>
          </cell>
          <cell r="G106"/>
          <cell r="H106">
            <v>722.79</v>
          </cell>
        </row>
        <row r="107">
          <cell r="D107">
            <v>256779419531</v>
          </cell>
          <cell r="E107" t="str">
            <v>20/11/2025</v>
          </cell>
          <cell r="F107">
            <v>-417.77</v>
          </cell>
          <cell r="G107"/>
          <cell r="H107">
            <v>-36869.279999999999</v>
          </cell>
        </row>
        <row r="108">
          <cell r="D108">
            <v>256779419620</v>
          </cell>
          <cell r="E108" t="str">
            <v>20/11/2025</v>
          </cell>
          <cell r="F108">
            <v>-102.39</v>
          </cell>
          <cell r="G108"/>
          <cell r="H108">
            <v>-9036.18</v>
          </cell>
        </row>
        <row r="109">
          <cell r="D109">
            <v>256779419620</v>
          </cell>
          <cell r="E109" t="str">
            <v>20/11/2025</v>
          </cell>
          <cell r="F109">
            <v>2.0499999999999998</v>
          </cell>
          <cell r="G109"/>
          <cell r="H109">
            <v>180.92</v>
          </cell>
        </row>
        <row r="110">
          <cell r="D110">
            <v>256779419531</v>
          </cell>
          <cell r="E110" t="str">
            <v>20/11/2025</v>
          </cell>
          <cell r="F110">
            <v>8.36</v>
          </cell>
          <cell r="G110"/>
          <cell r="H110">
            <v>737.79</v>
          </cell>
        </row>
        <row r="111">
          <cell r="D111">
            <v>256779418653</v>
          </cell>
          <cell r="E111" t="str">
            <v>20/10/2025</v>
          </cell>
          <cell r="F111">
            <v>-170.68</v>
          </cell>
          <cell r="G111"/>
          <cell r="H111">
            <v>-15132.4</v>
          </cell>
        </row>
        <row r="112">
          <cell r="D112">
            <v>256779418653</v>
          </cell>
          <cell r="E112" t="str">
            <v>20/10/2025</v>
          </cell>
          <cell r="F112">
            <v>3.41</v>
          </cell>
          <cell r="G112"/>
          <cell r="H112">
            <v>302.33</v>
          </cell>
        </row>
        <row r="113">
          <cell r="D113">
            <v>256779418653</v>
          </cell>
          <cell r="E113" t="str">
            <v>20/10/2025</v>
          </cell>
          <cell r="F113">
            <v>0</v>
          </cell>
          <cell r="G113"/>
          <cell r="H113">
            <v>-166.44</v>
          </cell>
        </row>
        <row r="114">
          <cell r="D114">
            <v>256779418653</v>
          </cell>
          <cell r="E114" t="str">
            <v>20/10/2025</v>
          </cell>
          <cell r="F114">
            <v>0</v>
          </cell>
          <cell r="G114"/>
          <cell r="H114">
            <v>-330.56</v>
          </cell>
        </row>
        <row r="115">
          <cell r="D115">
            <v>256779416869</v>
          </cell>
          <cell r="E115" t="str">
            <v>20/08/2025</v>
          </cell>
          <cell r="F115">
            <v>-115.98</v>
          </cell>
          <cell r="G115"/>
          <cell r="H115">
            <v>-10047.450000000001</v>
          </cell>
        </row>
        <row r="116">
          <cell r="D116">
            <v>256779416838</v>
          </cell>
          <cell r="E116" t="str">
            <v>20/08/2025</v>
          </cell>
          <cell r="F116">
            <v>-685.03</v>
          </cell>
          <cell r="G116"/>
          <cell r="H116">
            <v>-59344.77</v>
          </cell>
        </row>
        <row r="117">
          <cell r="D117">
            <v>256779416838</v>
          </cell>
          <cell r="E117" t="str">
            <v>20/08/2025</v>
          </cell>
          <cell r="F117">
            <v>13.7</v>
          </cell>
          <cell r="G117"/>
          <cell r="H117">
            <v>1186.8399999999999</v>
          </cell>
        </row>
        <row r="118">
          <cell r="D118">
            <v>256779416869</v>
          </cell>
          <cell r="E118" t="str">
            <v>20/08/2025</v>
          </cell>
          <cell r="F118">
            <v>2.3199999999999998</v>
          </cell>
          <cell r="G118"/>
          <cell r="H118">
            <v>200.98</v>
          </cell>
        </row>
        <row r="119">
          <cell r="D119">
            <v>256779416869</v>
          </cell>
          <cell r="E119" t="str">
            <v>20/08/2025</v>
          </cell>
          <cell r="F119">
            <v>0</v>
          </cell>
          <cell r="G119"/>
          <cell r="H119">
            <v>-568.28</v>
          </cell>
        </row>
        <row r="120">
          <cell r="D120">
            <v>256779416838</v>
          </cell>
          <cell r="E120" t="str">
            <v>20/08/2025</v>
          </cell>
          <cell r="F120">
            <v>0</v>
          </cell>
          <cell r="G120"/>
          <cell r="H120">
            <v>-3356.53</v>
          </cell>
        </row>
        <row r="121">
          <cell r="D121">
            <v>246779414663</v>
          </cell>
          <cell r="E121" t="str">
            <v>20/03/2025</v>
          </cell>
          <cell r="F121">
            <v>-45</v>
          </cell>
          <cell r="G121"/>
          <cell r="H121">
            <v>-3916.91</v>
          </cell>
        </row>
        <row r="122">
          <cell r="D122">
            <v>246779414662</v>
          </cell>
          <cell r="E122" t="str">
            <v>20/03/2025</v>
          </cell>
          <cell r="F122">
            <v>-275</v>
          </cell>
          <cell r="G122"/>
          <cell r="H122">
            <v>-23936.66</v>
          </cell>
        </row>
        <row r="123">
          <cell r="D123">
            <v>246779414385</v>
          </cell>
          <cell r="E123" t="str">
            <v>20/03/2025</v>
          </cell>
          <cell r="F123">
            <v>-240</v>
          </cell>
          <cell r="G123"/>
          <cell r="H123">
            <v>-20890.18</v>
          </cell>
        </row>
        <row r="124">
          <cell r="D124">
            <v>246779414663</v>
          </cell>
          <cell r="E124" t="str">
            <v>20/03/2025</v>
          </cell>
          <cell r="F124">
            <v>0.9</v>
          </cell>
          <cell r="G124"/>
          <cell r="H124">
            <v>78.34</v>
          </cell>
        </row>
        <row r="125">
          <cell r="D125">
            <v>246779414662</v>
          </cell>
          <cell r="E125" t="str">
            <v>20/03/2025</v>
          </cell>
          <cell r="F125">
            <v>5.5</v>
          </cell>
          <cell r="G125"/>
          <cell r="H125">
            <v>478.73</v>
          </cell>
        </row>
        <row r="126">
          <cell r="D126">
            <v>246779414385</v>
          </cell>
          <cell r="E126" t="str">
            <v>20/03/2025</v>
          </cell>
          <cell r="F126">
            <v>4.8</v>
          </cell>
          <cell r="G126"/>
          <cell r="H126">
            <v>417.8</v>
          </cell>
        </row>
        <row r="127">
          <cell r="D127">
            <v>246779413730</v>
          </cell>
          <cell r="E127" t="str">
            <v>20/03/2025</v>
          </cell>
          <cell r="F127">
            <v>-3.2</v>
          </cell>
          <cell r="G127"/>
          <cell r="H127">
            <v>-278.54000000000002</v>
          </cell>
        </row>
        <row r="128">
          <cell r="D128">
            <v>246779413730</v>
          </cell>
          <cell r="E128" t="str">
            <v>20/03/2025</v>
          </cell>
          <cell r="F128">
            <v>0.06</v>
          </cell>
          <cell r="G128"/>
          <cell r="H128">
            <v>5.22</v>
          </cell>
        </row>
        <row r="129">
          <cell r="D129">
            <v>246779413936</v>
          </cell>
          <cell r="E129" t="str">
            <v>20/03/2025</v>
          </cell>
          <cell r="F129">
            <v>-27.5</v>
          </cell>
          <cell r="G129"/>
          <cell r="H129">
            <v>-2393.67</v>
          </cell>
        </row>
        <row r="130">
          <cell r="D130">
            <v>246779413889</v>
          </cell>
          <cell r="E130" t="str">
            <v>20/03/2025</v>
          </cell>
          <cell r="F130">
            <v>-42.5</v>
          </cell>
          <cell r="G130"/>
          <cell r="H130">
            <v>-3699.3</v>
          </cell>
        </row>
        <row r="131">
          <cell r="D131">
            <v>246779413920</v>
          </cell>
          <cell r="E131" t="str">
            <v>20/03/2025</v>
          </cell>
          <cell r="F131">
            <v>-22.5</v>
          </cell>
          <cell r="G131"/>
          <cell r="H131">
            <v>-1958.45</v>
          </cell>
        </row>
        <row r="132">
          <cell r="D132">
            <v>246779413941</v>
          </cell>
          <cell r="E132" t="str">
            <v>20/03/2025</v>
          </cell>
          <cell r="F132">
            <v>-30</v>
          </cell>
          <cell r="G132"/>
          <cell r="H132">
            <v>-2611.27</v>
          </cell>
        </row>
        <row r="133">
          <cell r="D133">
            <v>246779413815</v>
          </cell>
          <cell r="E133" t="str">
            <v>20/03/2025</v>
          </cell>
          <cell r="F133">
            <v>-50</v>
          </cell>
          <cell r="G133"/>
          <cell r="H133">
            <v>-4352.12</v>
          </cell>
        </row>
        <row r="134">
          <cell r="D134">
            <v>246779414384</v>
          </cell>
          <cell r="E134" t="str">
            <v>20/03/2025</v>
          </cell>
          <cell r="F134">
            <v>-182.5</v>
          </cell>
          <cell r="G134"/>
          <cell r="H134">
            <v>-15885.24</v>
          </cell>
        </row>
        <row r="135">
          <cell r="D135">
            <v>246779413815</v>
          </cell>
          <cell r="E135" t="str">
            <v>20/03/2025</v>
          </cell>
          <cell r="F135">
            <v>1</v>
          </cell>
          <cell r="G135"/>
          <cell r="H135">
            <v>87.04</v>
          </cell>
        </row>
        <row r="136">
          <cell r="D136">
            <v>246779413936</v>
          </cell>
          <cell r="E136" t="str">
            <v>20/03/2025</v>
          </cell>
          <cell r="F136">
            <v>0.55000000000000004</v>
          </cell>
          <cell r="G136"/>
          <cell r="H136">
            <v>47.87</v>
          </cell>
        </row>
        <row r="137">
          <cell r="D137">
            <v>246779414384</v>
          </cell>
          <cell r="E137" t="str">
            <v>20/03/2025</v>
          </cell>
          <cell r="F137">
            <v>3.65</v>
          </cell>
          <cell r="G137"/>
          <cell r="H137">
            <v>317.7</v>
          </cell>
        </row>
        <row r="138">
          <cell r="D138">
            <v>246779413889</v>
          </cell>
          <cell r="E138" t="str">
            <v>20/03/2025</v>
          </cell>
          <cell r="F138">
            <v>0.85</v>
          </cell>
          <cell r="G138"/>
          <cell r="H138">
            <v>73.989999999999995</v>
          </cell>
        </row>
        <row r="139">
          <cell r="D139">
            <v>246779413920</v>
          </cell>
          <cell r="E139" t="str">
            <v>20/03/2025</v>
          </cell>
          <cell r="F139">
            <v>0.45</v>
          </cell>
          <cell r="G139"/>
          <cell r="H139">
            <v>39.17</v>
          </cell>
        </row>
        <row r="140">
          <cell r="D140">
            <v>246779413941</v>
          </cell>
          <cell r="E140" t="str">
            <v>20/03/2025</v>
          </cell>
          <cell r="F140">
            <v>0.6</v>
          </cell>
          <cell r="G140"/>
          <cell r="H140">
            <v>52.23</v>
          </cell>
        </row>
        <row r="141">
          <cell r="D141">
            <v>246779413936</v>
          </cell>
          <cell r="E141" t="str">
            <v>20/03/2025</v>
          </cell>
          <cell r="F141">
            <v>0</v>
          </cell>
          <cell r="G141"/>
          <cell r="H141">
            <v>28.38</v>
          </cell>
        </row>
        <row r="142">
          <cell r="D142">
            <v>246779413889</v>
          </cell>
          <cell r="E142" t="str">
            <v>20/03/2025</v>
          </cell>
          <cell r="F142">
            <v>0</v>
          </cell>
          <cell r="G142"/>
          <cell r="H142">
            <v>43.85</v>
          </cell>
        </row>
        <row r="143">
          <cell r="D143">
            <v>246779413920</v>
          </cell>
          <cell r="E143" t="str">
            <v>20/03/2025</v>
          </cell>
          <cell r="F143">
            <v>0</v>
          </cell>
          <cell r="G143"/>
          <cell r="H143">
            <v>23.21</v>
          </cell>
        </row>
        <row r="144">
          <cell r="D144">
            <v>246779413941</v>
          </cell>
          <cell r="E144" t="str">
            <v>20/03/2025</v>
          </cell>
          <cell r="F144">
            <v>0</v>
          </cell>
          <cell r="G144"/>
          <cell r="H144">
            <v>30.95</v>
          </cell>
        </row>
        <row r="145">
          <cell r="D145">
            <v>246779413815</v>
          </cell>
          <cell r="E145" t="str">
            <v>20/03/2025</v>
          </cell>
          <cell r="F145">
            <v>0</v>
          </cell>
          <cell r="G145"/>
          <cell r="H145">
            <v>51.59</v>
          </cell>
        </row>
        <row r="146">
          <cell r="D146">
            <v>246779414384</v>
          </cell>
          <cell r="E146" t="str">
            <v>20/03/2025</v>
          </cell>
          <cell r="F146">
            <v>0</v>
          </cell>
          <cell r="G146"/>
          <cell r="H146">
            <v>188.32</v>
          </cell>
        </row>
        <row r="147">
          <cell r="D147">
            <v>246779413747</v>
          </cell>
          <cell r="E147" t="str">
            <v>20/03/2025</v>
          </cell>
          <cell r="F147">
            <v>-2.74</v>
          </cell>
          <cell r="G147"/>
          <cell r="H147">
            <v>-238.5</v>
          </cell>
        </row>
        <row r="148">
          <cell r="D148">
            <v>246779413747</v>
          </cell>
          <cell r="E148" t="str">
            <v>20/03/2025</v>
          </cell>
          <cell r="F148">
            <v>0.05</v>
          </cell>
          <cell r="G148"/>
          <cell r="H148">
            <v>4.3499999999999996</v>
          </cell>
        </row>
        <row r="149">
          <cell r="D149">
            <v>246779413747</v>
          </cell>
          <cell r="E149" t="str">
            <v>20/03/2025</v>
          </cell>
          <cell r="F149">
            <v>0</v>
          </cell>
          <cell r="G149"/>
          <cell r="H149">
            <v>-4.34</v>
          </cell>
        </row>
        <row r="150">
          <cell r="D150">
            <v>246779410315</v>
          </cell>
          <cell r="E150" t="str">
            <v>20/02/2025</v>
          </cell>
          <cell r="F150">
            <v>-2380.9499999999998</v>
          </cell>
          <cell r="G150"/>
          <cell r="H150">
            <v>-207243.64</v>
          </cell>
        </row>
        <row r="151">
          <cell r="D151">
            <v>246779410098</v>
          </cell>
          <cell r="E151" t="str">
            <v>20/02/2025</v>
          </cell>
          <cell r="F151">
            <v>-2380.9499999999998</v>
          </cell>
          <cell r="G151"/>
          <cell r="H151">
            <v>-206046.42</v>
          </cell>
        </row>
        <row r="152">
          <cell r="D152">
            <v>246779410132</v>
          </cell>
          <cell r="E152" t="str">
            <v>20/02/2025</v>
          </cell>
          <cell r="F152">
            <v>-52.38</v>
          </cell>
          <cell r="G152"/>
          <cell r="H152">
            <v>-4532.9399999999996</v>
          </cell>
        </row>
        <row r="153">
          <cell r="D153">
            <v>246779410131</v>
          </cell>
          <cell r="E153" t="str">
            <v>20/02/2025</v>
          </cell>
          <cell r="F153">
            <v>-95.24</v>
          </cell>
          <cell r="G153"/>
          <cell r="H153">
            <v>-8242.0300000000007</v>
          </cell>
        </row>
        <row r="154">
          <cell r="D154">
            <v>246779410312</v>
          </cell>
          <cell r="E154" t="str">
            <v>20/02/2025</v>
          </cell>
          <cell r="F154">
            <v>-52.38</v>
          </cell>
          <cell r="G154"/>
          <cell r="H154">
            <v>-4559.28</v>
          </cell>
        </row>
        <row r="155">
          <cell r="D155">
            <v>246779410132</v>
          </cell>
          <cell r="E155" t="str">
            <v>20/02/2025</v>
          </cell>
          <cell r="F155">
            <v>1.05</v>
          </cell>
          <cell r="G155"/>
          <cell r="H155">
            <v>90.87</v>
          </cell>
        </row>
        <row r="156">
          <cell r="D156">
            <v>246779410098</v>
          </cell>
          <cell r="E156" t="str">
            <v>20/02/2025</v>
          </cell>
          <cell r="F156">
            <v>47.62</v>
          </cell>
          <cell r="G156"/>
          <cell r="H156">
            <v>4121.01</v>
          </cell>
        </row>
        <row r="157">
          <cell r="D157">
            <v>246779410131</v>
          </cell>
          <cell r="E157" t="str">
            <v>20/02/2025</v>
          </cell>
          <cell r="F157">
            <v>1.9</v>
          </cell>
          <cell r="G157"/>
          <cell r="H157">
            <v>164.43</v>
          </cell>
        </row>
        <row r="158">
          <cell r="D158">
            <v>246779410315</v>
          </cell>
          <cell r="E158" t="str">
            <v>20/02/2025</v>
          </cell>
          <cell r="F158">
            <v>47.62</v>
          </cell>
          <cell r="G158"/>
          <cell r="H158">
            <v>4144.96</v>
          </cell>
        </row>
        <row r="159">
          <cell r="D159">
            <v>246779410312</v>
          </cell>
          <cell r="E159" t="str">
            <v>20/02/2025</v>
          </cell>
          <cell r="F159">
            <v>1.05</v>
          </cell>
          <cell r="G159"/>
          <cell r="H159">
            <v>91.39</v>
          </cell>
        </row>
        <row r="160">
          <cell r="D160">
            <v>246779410175</v>
          </cell>
          <cell r="E160" t="str">
            <v>20/02/2025</v>
          </cell>
          <cell r="F160">
            <v>-52.38</v>
          </cell>
          <cell r="G160"/>
          <cell r="H160">
            <v>-4532.9399999999996</v>
          </cell>
        </row>
        <row r="161">
          <cell r="D161">
            <v>246779410141</v>
          </cell>
          <cell r="E161" t="str">
            <v>20/02/2025</v>
          </cell>
          <cell r="F161">
            <v>-2380.9499999999998</v>
          </cell>
          <cell r="G161"/>
          <cell r="H161">
            <v>-206046.42</v>
          </cell>
        </row>
        <row r="162">
          <cell r="D162">
            <v>246779410217</v>
          </cell>
          <cell r="E162" t="str">
            <v>20/02/2025</v>
          </cell>
          <cell r="F162">
            <v>-93.33</v>
          </cell>
          <cell r="G162"/>
          <cell r="H162">
            <v>-8076.74</v>
          </cell>
        </row>
        <row r="163">
          <cell r="D163">
            <v>246779410218</v>
          </cell>
          <cell r="E163" t="str">
            <v>20/02/2025</v>
          </cell>
          <cell r="F163">
            <v>-51.33</v>
          </cell>
          <cell r="G163"/>
          <cell r="H163">
            <v>-4442.08</v>
          </cell>
        </row>
        <row r="164">
          <cell r="D164">
            <v>246779410174</v>
          </cell>
          <cell r="E164" t="str">
            <v>20/02/2025</v>
          </cell>
          <cell r="F164">
            <v>-95.24</v>
          </cell>
          <cell r="G164"/>
          <cell r="H164">
            <v>-8242.0300000000007</v>
          </cell>
        </row>
        <row r="165">
          <cell r="D165">
            <v>246779410184</v>
          </cell>
          <cell r="E165" t="str">
            <v>20/02/2025</v>
          </cell>
          <cell r="F165">
            <v>-2333.1799999999998</v>
          </cell>
          <cell r="G165"/>
          <cell r="H165">
            <v>-201912.42</v>
          </cell>
        </row>
        <row r="166">
          <cell r="D166">
            <v>246779410218</v>
          </cell>
          <cell r="E166" t="str">
            <v>20/02/2025</v>
          </cell>
          <cell r="F166">
            <v>1.03</v>
          </cell>
          <cell r="G166"/>
          <cell r="H166">
            <v>89.14</v>
          </cell>
        </row>
        <row r="167">
          <cell r="D167">
            <v>246779410175</v>
          </cell>
          <cell r="E167" t="str">
            <v>20/02/2025</v>
          </cell>
          <cell r="F167">
            <v>1.05</v>
          </cell>
          <cell r="G167"/>
          <cell r="H167">
            <v>90.87</v>
          </cell>
        </row>
        <row r="168">
          <cell r="D168">
            <v>246779410141</v>
          </cell>
          <cell r="E168" t="str">
            <v>20/02/2025</v>
          </cell>
          <cell r="F168">
            <v>47.62</v>
          </cell>
          <cell r="G168"/>
          <cell r="H168">
            <v>4121.01</v>
          </cell>
        </row>
        <row r="169">
          <cell r="D169">
            <v>246779410184</v>
          </cell>
          <cell r="E169" t="str">
            <v>20/02/2025</v>
          </cell>
          <cell r="F169">
            <v>46.66</v>
          </cell>
          <cell r="G169"/>
          <cell r="H169">
            <v>4037.94</v>
          </cell>
        </row>
        <row r="170">
          <cell r="D170">
            <v>246779410217</v>
          </cell>
          <cell r="E170" t="str">
            <v>20/02/2025</v>
          </cell>
          <cell r="F170">
            <v>1.87</v>
          </cell>
          <cell r="G170"/>
          <cell r="H170">
            <v>161.83000000000001</v>
          </cell>
        </row>
        <row r="171">
          <cell r="D171">
            <v>246779410174</v>
          </cell>
          <cell r="E171" t="str">
            <v>20/02/2025</v>
          </cell>
          <cell r="F171">
            <v>1.9</v>
          </cell>
          <cell r="G171"/>
          <cell r="H171">
            <v>164.43</v>
          </cell>
        </row>
        <row r="172">
          <cell r="D172">
            <v>246779410227</v>
          </cell>
          <cell r="E172" t="str">
            <v>20/02/2025</v>
          </cell>
          <cell r="F172">
            <v>-2286.2399999999998</v>
          </cell>
          <cell r="G172"/>
          <cell r="H172">
            <v>-197850.25</v>
          </cell>
        </row>
        <row r="173">
          <cell r="D173">
            <v>246779410227</v>
          </cell>
          <cell r="E173" t="str">
            <v>20/02/2025</v>
          </cell>
          <cell r="F173">
            <v>45.72</v>
          </cell>
          <cell r="G173"/>
          <cell r="H173">
            <v>3956.59</v>
          </cell>
        </row>
        <row r="174">
          <cell r="D174">
            <v>246779410260</v>
          </cell>
          <cell r="E174" t="str">
            <v>20/02/2025</v>
          </cell>
          <cell r="F174">
            <v>-91.45</v>
          </cell>
          <cell r="G174"/>
          <cell r="H174">
            <v>-7914.04</v>
          </cell>
        </row>
        <row r="175">
          <cell r="D175">
            <v>246779410080</v>
          </cell>
          <cell r="E175" t="str">
            <v>20/02/2025</v>
          </cell>
          <cell r="F175">
            <v>-95.24</v>
          </cell>
          <cell r="G175"/>
          <cell r="H175">
            <v>-8242.0300000000007</v>
          </cell>
        </row>
        <row r="176">
          <cell r="D176">
            <v>246779410064</v>
          </cell>
          <cell r="E176" t="str">
            <v>20/02/2025</v>
          </cell>
          <cell r="F176">
            <v>-52.38</v>
          </cell>
          <cell r="G176"/>
          <cell r="H176">
            <v>-4532.9399999999996</v>
          </cell>
        </row>
        <row r="177">
          <cell r="D177">
            <v>246779410010</v>
          </cell>
          <cell r="E177" t="str">
            <v>20/02/2025</v>
          </cell>
          <cell r="F177">
            <v>-2380.9499999999998</v>
          </cell>
          <cell r="G177"/>
          <cell r="H177">
            <v>-206046.42</v>
          </cell>
        </row>
        <row r="178">
          <cell r="D178">
            <v>246779410063</v>
          </cell>
          <cell r="E178" t="str">
            <v>20/02/2025</v>
          </cell>
          <cell r="F178">
            <v>-95.24</v>
          </cell>
          <cell r="G178"/>
          <cell r="H178">
            <v>-8242.0300000000007</v>
          </cell>
        </row>
        <row r="179">
          <cell r="D179">
            <v>246779410030</v>
          </cell>
          <cell r="E179" t="str">
            <v>20/02/2025</v>
          </cell>
          <cell r="F179">
            <v>-2380.9499999999998</v>
          </cell>
          <cell r="G179"/>
          <cell r="H179">
            <v>-206046.42</v>
          </cell>
        </row>
        <row r="180">
          <cell r="D180">
            <v>246779410261</v>
          </cell>
          <cell r="E180" t="str">
            <v>20/02/2025</v>
          </cell>
          <cell r="F180">
            <v>-50.3</v>
          </cell>
          <cell r="G180"/>
          <cell r="H180">
            <v>-4352.9399999999996</v>
          </cell>
        </row>
        <row r="181">
          <cell r="D181">
            <v>246779410064</v>
          </cell>
          <cell r="E181" t="str">
            <v>20/02/2025</v>
          </cell>
          <cell r="F181">
            <v>1.05</v>
          </cell>
          <cell r="G181"/>
          <cell r="H181">
            <v>90.87</v>
          </cell>
        </row>
        <row r="182">
          <cell r="D182">
            <v>246779410030</v>
          </cell>
          <cell r="E182" t="str">
            <v>20/02/2025</v>
          </cell>
          <cell r="F182">
            <v>47.62</v>
          </cell>
          <cell r="G182"/>
          <cell r="H182">
            <v>4121.01</v>
          </cell>
        </row>
        <row r="183">
          <cell r="D183">
            <v>246779410063</v>
          </cell>
          <cell r="E183" t="str">
            <v>20/02/2025</v>
          </cell>
          <cell r="F183">
            <v>1.9</v>
          </cell>
          <cell r="G183"/>
          <cell r="H183">
            <v>164.43</v>
          </cell>
        </row>
        <row r="184">
          <cell r="D184">
            <v>246779410260</v>
          </cell>
          <cell r="E184" t="str">
            <v>20/02/2025</v>
          </cell>
          <cell r="F184">
            <v>1.83</v>
          </cell>
          <cell r="G184"/>
          <cell r="H184">
            <v>158.37</v>
          </cell>
        </row>
        <row r="185">
          <cell r="D185">
            <v>246779410010</v>
          </cell>
          <cell r="E185" t="str">
            <v>20/02/2025</v>
          </cell>
          <cell r="F185">
            <v>47.62</v>
          </cell>
          <cell r="G185"/>
          <cell r="H185">
            <v>4121.01</v>
          </cell>
        </row>
        <row r="186">
          <cell r="D186">
            <v>246779410080</v>
          </cell>
          <cell r="E186" t="str">
            <v>20/02/2025</v>
          </cell>
          <cell r="F186">
            <v>1.9</v>
          </cell>
          <cell r="G186"/>
          <cell r="H186">
            <v>164.43</v>
          </cell>
        </row>
        <row r="187">
          <cell r="D187">
            <v>246779410261</v>
          </cell>
          <cell r="E187" t="str">
            <v>20/02/2025</v>
          </cell>
          <cell r="F187">
            <v>1.01</v>
          </cell>
          <cell r="G187"/>
          <cell r="H187">
            <v>87.4</v>
          </cell>
        </row>
        <row r="188">
          <cell r="D188">
            <v>246779410227</v>
          </cell>
          <cell r="E188" t="str">
            <v>20/02/2025</v>
          </cell>
          <cell r="F188">
            <v>0</v>
          </cell>
          <cell r="G188"/>
          <cell r="H188">
            <v>1232.44</v>
          </cell>
        </row>
        <row r="189">
          <cell r="D189">
            <v>246779410260</v>
          </cell>
          <cell r="E189" t="str">
            <v>20/02/2025</v>
          </cell>
          <cell r="F189">
            <v>0</v>
          </cell>
          <cell r="G189"/>
          <cell r="H189">
            <v>49.29</v>
          </cell>
        </row>
        <row r="190">
          <cell r="D190">
            <v>246779410080</v>
          </cell>
          <cell r="E190" t="str">
            <v>20/02/2025</v>
          </cell>
          <cell r="F190">
            <v>0</v>
          </cell>
          <cell r="G190"/>
          <cell r="H190">
            <v>51.34</v>
          </cell>
        </row>
        <row r="191">
          <cell r="D191">
            <v>246779410064</v>
          </cell>
          <cell r="E191" t="str">
            <v>20/02/2025</v>
          </cell>
          <cell r="F191">
            <v>0</v>
          </cell>
          <cell r="G191"/>
          <cell r="H191">
            <v>28.23</v>
          </cell>
        </row>
        <row r="192">
          <cell r="D192">
            <v>246779410010</v>
          </cell>
          <cell r="E192" t="str">
            <v>20/02/2025</v>
          </cell>
          <cell r="F192">
            <v>0</v>
          </cell>
          <cell r="G192"/>
          <cell r="H192">
            <v>1283.51</v>
          </cell>
        </row>
        <row r="193">
          <cell r="D193">
            <v>246779410063</v>
          </cell>
          <cell r="E193" t="str">
            <v>20/02/2025</v>
          </cell>
          <cell r="F193">
            <v>0</v>
          </cell>
          <cell r="G193"/>
          <cell r="H193">
            <v>51.34</v>
          </cell>
        </row>
        <row r="194">
          <cell r="D194">
            <v>246779410030</v>
          </cell>
          <cell r="E194" t="str">
            <v>20/02/2025</v>
          </cell>
          <cell r="F194">
            <v>0</v>
          </cell>
          <cell r="G194"/>
          <cell r="H194">
            <v>1283.51</v>
          </cell>
        </row>
        <row r="195">
          <cell r="D195">
            <v>246779410261</v>
          </cell>
          <cell r="E195" t="str">
            <v>20/02/2025</v>
          </cell>
          <cell r="F195">
            <v>0</v>
          </cell>
          <cell r="G195"/>
          <cell r="H195">
            <v>27.12</v>
          </cell>
        </row>
        <row r="196">
          <cell r="D196">
            <v>246779410311</v>
          </cell>
          <cell r="E196" t="str">
            <v>20/02/2025</v>
          </cell>
          <cell r="F196">
            <v>-95.24</v>
          </cell>
          <cell r="G196"/>
          <cell r="H196">
            <v>-8242.0300000000007</v>
          </cell>
        </row>
        <row r="197">
          <cell r="D197">
            <v>246779410311</v>
          </cell>
          <cell r="E197" t="str">
            <v>20/02/2025</v>
          </cell>
          <cell r="F197">
            <v>1.9</v>
          </cell>
          <cell r="G197"/>
          <cell r="H197">
            <v>164.43</v>
          </cell>
        </row>
        <row r="198">
          <cell r="D198">
            <v>246779410311</v>
          </cell>
          <cell r="E198" t="str">
            <v>20/02/2025</v>
          </cell>
          <cell r="F198">
            <v>0</v>
          </cell>
          <cell r="G198"/>
          <cell r="H198">
            <v>-197.88</v>
          </cell>
        </row>
        <row r="199">
          <cell r="D199">
            <v>256779415769</v>
          </cell>
          <cell r="E199" t="str">
            <v>19/07/2025</v>
          </cell>
          <cell r="F199">
            <v>-234.91</v>
          </cell>
          <cell r="G199"/>
          <cell r="H199">
            <v>-20199.8</v>
          </cell>
        </row>
        <row r="200">
          <cell r="D200">
            <v>256779415769</v>
          </cell>
          <cell r="E200" t="str">
            <v>19/07/2025</v>
          </cell>
          <cell r="F200">
            <v>4.7</v>
          </cell>
          <cell r="G200"/>
          <cell r="H200">
            <v>404.15</v>
          </cell>
        </row>
        <row r="201">
          <cell r="D201">
            <v>256779414741</v>
          </cell>
          <cell r="E201" t="str">
            <v>19/06/2025</v>
          </cell>
          <cell r="F201">
            <v>-579.79</v>
          </cell>
          <cell r="G201"/>
          <cell r="H201">
            <v>-49319.31</v>
          </cell>
        </row>
        <row r="202">
          <cell r="D202">
            <v>256779414741</v>
          </cell>
          <cell r="E202" t="str">
            <v>19/06/2025</v>
          </cell>
          <cell r="F202">
            <v>11.6</v>
          </cell>
          <cell r="G202"/>
          <cell r="H202">
            <v>986.74</v>
          </cell>
        </row>
        <row r="203">
          <cell r="D203">
            <v>256779414741</v>
          </cell>
          <cell r="E203" t="str">
            <v>19/06/2025</v>
          </cell>
          <cell r="F203">
            <v>0</v>
          </cell>
          <cell r="G203"/>
          <cell r="H203">
            <v>-2742.45</v>
          </cell>
        </row>
        <row r="204">
          <cell r="D204">
            <v>246779413202</v>
          </cell>
          <cell r="E204" t="str">
            <v>19/03/2025</v>
          </cell>
          <cell r="F204">
            <v>-39.06</v>
          </cell>
          <cell r="G204"/>
          <cell r="H204">
            <v>-3380.24</v>
          </cell>
        </row>
        <row r="205">
          <cell r="D205">
            <v>246779413202</v>
          </cell>
          <cell r="E205" t="str">
            <v>19/03/2025</v>
          </cell>
          <cell r="F205">
            <v>0.78</v>
          </cell>
          <cell r="G205"/>
          <cell r="H205">
            <v>67.5</v>
          </cell>
        </row>
        <row r="206">
          <cell r="D206">
            <v>246779412994</v>
          </cell>
          <cell r="E206" t="str">
            <v>19/03/2025</v>
          </cell>
          <cell r="F206">
            <v>-2297.27</v>
          </cell>
          <cell r="G206"/>
          <cell r="H206">
            <v>-199959.93</v>
          </cell>
        </row>
        <row r="207">
          <cell r="D207">
            <v>246779413023</v>
          </cell>
          <cell r="E207" t="str">
            <v>19/03/2025</v>
          </cell>
          <cell r="F207">
            <v>-91.89</v>
          </cell>
          <cell r="G207"/>
          <cell r="H207">
            <v>-7998.33</v>
          </cell>
        </row>
        <row r="208">
          <cell r="D208">
            <v>246779413024</v>
          </cell>
          <cell r="E208" t="str">
            <v>19/03/2025</v>
          </cell>
          <cell r="F208">
            <v>-50.54</v>
          </cell>
          <cell r="G208"/>
          <cell r="H208">
            <v>-4399.12</v>
          </cell>
        </row>
        <row r="209">
          <cell r="D209">
            <v>246779413024</v>
          </cell>
          <cell r="E209" t="str">
            <v>19/03/2025</v>
          </cell>
          <cell r="F209">
            <v>1.01</v>
          </cell>
          <cell r="G209"/>
          <cell r="H209">
            <v>87.91</v>
          </cell>
        </row>
        <row r="210">
          <cell r="D210">
            <v>246779412994</v>
          </cell>
          <cell r="E210" t="str">
            <v>19/03/2025</v>
          </cell>
          <cell r="F210">
            <v>45.95</v>
          </cell>
          <cell r="G210"/>
          <cell r="H210">
            <v>3999.6</v>
          </cell>
        </row>
        <row r="211">
          <cell r="D211">
            <v>246779413023</v>
          </cell>
          <cell r="E211" t="str">
            <v>19/03/2025</v>
          </cell>
          <cell r="F211">
            <v>1.84</v>
          </cell>
          <cell r="G211"/>
          <cell r="H211">
            <v>160.16</v>
          </cell>
        </row>
        <row r="212">
          <cell r="D212">
            <v>246779412994</v>
          </cell>
          <cell r="E212" t="str">
            <v>19/03/2025</v>
          </cell>
          <cell r="F212">
            <v>0</v>
          </cell>
          <cell r="G212"/>
          <cell r="H212">
            <v>2370.4299999999998</v>
          </cell>
        </row>
        <row r="213">
          <cell r="D213">
            <v>246779413023</v>
          </cell>
          <cell r="E213" t="str">
            <v>19/03/2025</v>
          </cell>
          <cell r="F213">
            <v>0</v>
          </cell>
          <cell r="G213"/>
          <cell r="H213">
            <v>94.81</v>
          </cell>
        </row>
        <row r="214">
          <cell r="D214">
            <v>246779413024</v>
          </cell>
          <cell r="E214" t="str">
            <v>19/03/2025</v>
          </cell>
          <cell r="F214">
            <v>0</v>
          </cell>
          <cell r="G214"/>
          <cell r="H214">
            <v>52.15</v>
          </cell>
        </row>
        <row r="215">
          <cell r="D215">
            <v>246779410081</v>
          </cell>
          <cell r="E215" t="str">
            <v>19/02/2025</v>
          </cell>
          <cell r="F215">
            <v>-52.38</v>
          </cell>
          <cell r="G215"/>
          <cell r="H215">
            <v>-4532.9399999999996</v>
          </cell>
        </row>
        <row r="216">
          <cell r="D216">
            <v>246779410081</v>
          </cell>
          <cell r="E216" t="str">
            <v>19/02/2025</v>
          </cell>
          <cell r="F216">
            <v>1.05</v>
          </cell>
          <cell r="G216"/>
          <cell r="H216">
            <v>90.87</v>
          </cell>
        </row>
        <row r="217">
          <cell r="D217">
            <v>246779410081</v>
          </cell>
          <cell r="E217" t="str">
            <v>19/02/2025</v>
          </cell>
          <cell r="F217">
            <v>0</v>
          </cell>
          <cell r="G217"/>
          <cell r="H217">
            <v>28.23</v>
          </cell>
        </row>
        <row r="218">
          <cell r="D218">
            <v>256779418424</v>
          </cell>
          <cell r="E218" t="str">
            <v>18/10/2025</v>
          </cell>
          <cell r="F218">
            <v>-1334.62</v>
          </cell>
          <cell r="G218"/>
          <cell r="H218">
            <v>-118326.74</v>
          </cell>
        </row>
        <row r="219">
          <cell r="D219">
            <v>256779418433</v>
          </cell>
          <cell r="E219" t="str">
            <v>18/10/2025</v>
          </cell>
          <cell r="F219">
            <v>-351.43</v>
          </cell>
          <cell r="G219"/>
          <cell r="H219">
            <v>-31157.61</v>
          </cell>
        </row>
        <row r="220">
          <cell r="D220">
            <v>256779418433</v>
          </cell>
          <cell r="E220" t="str">
            <v>18/10/2025</v>
          </cell>
          <cell r="F220">
            <v>7.03</v>
          </cell>
          <cell r="G220"/>
          <cell r="H220">
            <v>623.28</v>
          </cell>
        </row>
        <row r="221">
          <cell r="D221">
            <v>256779418424</v>
          </cell>
          <cell r="E221" t="str">
            <v>18/10/2025</v>
          </cell>
          <cell r="F221">
            <v>26.69</v>
          </cell>
          <cell r="G221"/>
          <cell r="H221">
            <v>2366.3200000000002</v>
          </cell>
        </row>
        <row r="222">
          <cell r="D222">
            <v>256779417597</v>
          </cell>
          <cell r="E222" t="str">
            <v>18/09/2025</v>
          </cell>
          <cell r="F222">
            <v>-1055.04</v>
          </cell>
          <cell r="G222"/>
          <cell r="H222">
            <v>-92476.28</v>
          </cell>
        </row>
        <row r="223">
          <cell r="D223">
            <v>256779417597</v>
          </cell>
          <cell r="E223" t="str">
            <v>18/09/2025</v>
          </cell>
          <cell r="F223">
            <v>21.1</v>
          </cell>
          <cell r="G223"/>
          <cell r="H223">
            <v>1849.46</v>
          </cell>
        </row>
        <row r="224">
          <cell r="D224">
            <v>256779417597</v>
          </cell>
          <cell r="E224" t="str">
            <v>18/09/2025</v>
          </cell>
          <cell r="F224">
            <v>0</v>
          </cell>
          <cell r="G224"/>
          <cell r="H224">
            <v>-621.04</v>
          </cell>
        </row>
        <row r="225">
          <cell r="D225">
            <v>256779417580</v>
          </cell>
          <cell r="E225" t="str">
            <v>18/09/2025</v>
          </cell>
          <cell r="F225">
            <v>-184.38</v>
          </cell>
          <cell r="G225"/>
          <cell r="H225">
            <v>-184.38</v>
          </cell>
        </row>
        <row r="226">
          <cell r="D226">
            <v>256779417557</v>
          </cell>
          <cell r="E226" t="str">
            <v>18/09/2025</v>
          </cell>
          <cell r="F226">
            <v>-725.96</v>
          </cell>
          <cell r="G226"/>
          <cell r="H226">
            <v>-63631.79</v>
          </cell>
        </row>
        <row r="227">
          <cell r="D227">
            <v>256779417517</v>
          </cell>
          <cell r="E227" t="str">
            <v>18/09/2025</v>
          </cell>
          <cell r="F227">
            <v>-4.68</v>
          </cell>
          <cell r="G227"/>
          <cell r="H227">
            <v>-410.21</v>
          </cell>
        </row>
        <row r="228">
          <cell r="D228">
            <v>256779417580</v>
          </cell>
          <cell r="E228" t="str">
            <v>18/09/2025</v>
          </cell>
          <cell r="F228">
            <v>3.69</v>
          </cell>
          <cell r="G228"/>
          <cell r="H228">
            <v>3.69</v>
          </cell>
        </row>
        <row r="229">
          <cell r="D229">
            <v>256779417517</v>
          </cell>
          <cell r="E229" t="str">
            <v>18/09/2025</v>
          </cell>
          <cell r="F229">
            <v>0.09</v>
          </cell>
          <cell r="G229"/>
          <cell r="H229">
            <v>7.89</v>
          </cell>
        </row>
        <row r="230">
          <cell r="D230">
            <v>256779417557</v>
          </cell>
          <cell r="E230" t="str">
            <v>18/09/2025</v>
          </cell>
          <cell r="F230">
            <v>14.52</v>
          </cell>
          <cell r="G230"/>
          <cell r="H230">
            <v>1272.71</v>
          </cell>
        </row>
        <row r="231">
          <cell r="D231" t="str">
            <v>256779417580_D</v>
          </cell>
          <cell r="E231" t="str">
            <v>18/09/2025</v>
          </cell>
          <cell r="F231">
            <v>-184.38</v>
          </cell>
          <cell r="G231"/>
          <cell r="H231">
            <v>-16161.26</v>
          </cell>
        </row>
        <row r="232">
          <cell r="D232" t="str">
            <v>256779417580_D</v>
          </cell>
          <cell r="E232" t="str">
            <v>18/09/2025</v>
          </cell>
          <cell r="F232">
            <v>3.69</v>
          </cell>
          <cell r="G232"/>
          <cell r="H232">
            <v>323.44</v>
          </cell>
        </row>
        <row r="233">
          <cell r="D233" t="str">
            <v>256779417580_D</v>
          </cell>
          <cell r="E233" t="str">
            <v>18/09/2025</v>
          </cell>
          <cell r="F233">
            <v>0</v>
          </cell>
          <cell r="G233"/>
          <cell r="H233">
            <v>-718.94</v>
          </cell>
        </row>
        <row r="234">
          <cell r="D234">
            <v>2439105</v>
          </cell>
          <cell r="E234" t="str">
            <v>19/06/2025</v>
          </cell>
          <cell r="F234">
            <v>0</v>
          </cell>
          <cell r="G234"/>
          <cell r="H234">
            <v>1760137.77</v>
          </cell>
        </row>
        <row r="235">
          <cell r="D235">
            <v>256779415442</v>
          </cell>
          <cell r="E235" t="str">
            <v>18/07/2025</v>
          </cell>
          <cell r="F235">
            <v>-1.59</v>
          </cell>
          <cell r="G235"/>
          <cell r="H235">
            <v>-136.72</v>
          </cell>
        </row>
        <row r="236">
          <cell r="D236">
            <v>256779415426</v>
          </cell>
          <cell r="E236" t="str">
            <v>18/07/2025</v>
          </cell>
          <cell r="F236">
            <v>-464.73</v>
          </cell>
          <cell r="G236"/>
          <cell r="H236">
            <v>-39961.910000000003</v>
          </cell>
        </row>
        <row r="237">
          <cell r="D237">
            <v>256779415517</v>
          </cell>
          <cell r="E237" t="str">
            <v>18/07/2025</v>
          </cell>
          <cell r="F237">
            <v>-116.74</v>
          </cell>
          <cell r="G237"/>
          <cell r="H237">
            <v>-10038.42</v>
          </cell>
        </row>
        <row r="238">
          <cell r="D238">
            <v>256779415453</v>
          </cell>
          <cell r="E238" t="str">
            <v>18/07/2025</v>
          </cell>
          <cell r="F238">
            <v>-293.45999999999998</v>
          </cell>
          <cell r="G238"/>
          <cell r="H238">
            <v>-25234.48</v>
          </cell>
        </row>
        <row r="239">
          <cell r="D239">
            <v>256779415474</v>
          </cell>
          <cell r="E239" t="str">
            <v>18/07/2025</v>
          </cell>
          <cell r="F239">
            <v>-608.41</v>
          </cell>
          <cell r="G239"/>
          <cell r="H239">
            <v>-52316.88</v>
          </cell>
        </row>
        <row r="240">
          <cell r="D240">
            <v>256779415474</v>
          </cell>
          <cell r="E240" t="str">
            <v>18/07/2025</v>
          </cell>
          <cell r="F240">
            <v>12.17</v>
          </cell>
          <cell r="G240"/>
          <cell r="H240">
            <v>1046.49</v>
          </cell>
        </row>
        <row r="241">
          <cell r="D241">
            <v>256779415442</v>
          </cell>
          <cell r="E241" t="str">
            <v>18/07/2025</v>
          </cell>
          <cell r="F241">
            <v>0.03</v>
          </cell>
          <cell r="G241"/>
          <cell r="H241">
            <v>2.58</v>
          </cell>
        </row>
        <row r="242">
          <cell r="D242">
            <v>256779415453</v>
          </cell>
          <cell r="E242" t="str">
            <v>18/07/2025</v>
          </cell>
          <cell r="F242">
            <v>5.87</v>
          </cell>
          <cell r="G242"/>
          <cell r="H242">
            <v>504.76</v>
          </cell>
        </row>
        <row r="243">
          <cell r="D243">
            <v>256779415517</v>
          </cell>
          <cell r="E243" t="str">
            <v>18/07/2025</v>
          </cell>
          <cell r="F243">
            <v>2.33</v>
          </cell>
          <cell r="G243"/>
          <cell r="H243">
            <v>200.36</v>
          </cell>
        </row>
        <row r="244">
          <cell r="D244">
            <v>256779415426</v>
          </cell>
          <cell r="E244" t="str">
            <v>18/07/2025</v>
          </cell>
          <cell r="F244">
            <v>9.2899999999999991</v>
          </cell>
          <cell r="G244"/>
          <cell r="H244">
            <v>798.84</v>
          </cell>
        </row>
        <row r="245">
          <cell r="D245">
            <v>256779415442</v>
          </cell>
          <cell r="E245" t="str">
            <v>18/07/2025</v>
          </cell>
          <cell r="F245">
            <v>0</v>
          </cell>
          <cell r="G245"/>
          <cell r="H245">
            <v>-3.53</v>
          </cell>
        </row>
        <row r="246">
          <cell r="D246">
            <v>256779415426</v>
          </cell>
          <cell r="E246" t="str">
            <v>18/07/2025</v>
          </cell>
          <cell r="F246">
            <v>0</v>
          </cell>
          <cell r="G246"/>
          <cell r="H246">
            <v>-1030.68</v>
          </cell>
        </row>
        <row r="247">
          <cell r="D247">
            <v>256779415517</v>
          </cell>
          <cell r="E247" t="str">
            <v>18/07/2025</v>
          </cell>
          <cell r="F247">
            <v>0</v>
          </cell>
          <cell r="G247"/>
          <cell r="H247">
            <v>-258.92</v>
          </cell>
        </row>
        <row r="248">
          <cell r="D248">
            <v>256779415453</v>
          </cell>
          <cell r="E248" t="str">
            <v>18/07/2025</v>
          </cell>
          <cell r="F248">
            <v>0</v>
          </cell>
          <cell r="G248"/>
          <cell r="H248">
            <v>-650.84</v>
          </cell>
        </row>
        <row r="249">
          <cell r="D249">
            <v>256779415474</v>
          </cell>
          <cell r="E249" t="str">
            <v>18/07/2025</v>
          </cell>
          <cell r="F249">
            <v>0</v>
          </cell>
          <cell r="G249"/>
          <cell r="H249">
            <v>-1349.32</v>
          </cell>
        </row>
        <row r="250">
          <cell r="D250">
            <v>256779414431</v>
          </cell>
          <cell r="E250" t="str">
            <v>18/06/2025</v>
          </cell>
          <cell r="F250">
            <v>-52.38</v>
          </cell>
          <cell r="G250"/>
          <cell r="H250">
            <v>-4455.66</v>
          </cell>
        </row>
        <row r="251">
          <cell r="D251">
            <v>256779414431</v>
          </cell>
          <cell r="E251" t="str">
            <v>18/06/2025</v>
          </cell>
          <cell r="F251">
            <v>1.05</v>
          </cell>
          <cell r="G251"/>
          <cell r="H251">
            <v>89.32</v>
          </cell>
        </row>
        <row r="252">
          <cell r="D252">
            <v>256779414431</v>
          </cell>
          <cell r="E252" t="str">
            <v>18/06/2025</v>
          </cell>
          <cell r="F252">
            <v>0</v>
          </cell>
          <cell r="G252"/>
          <cell r="H252">
            <v>-209.97</v>
          </cell>
        </row>
        <row r="253">
          <cell r="D253">
            <v>246779411742</v>
          </cell>
          <cell r="E253" t="str">
            <v>17/03/2025</v>
          </cell>
          <cell r="F253">
            <v>-23.27</v>
          </cell>
          <cell r="G253"/>
          <cell r="H253">
            <v>-2025.48</v>
          </cell>
        </row>
        <row r="254">
          <cell r="D254">
            <v>246779411742</v>
          </cell>
          <cell r="E254" t="str">
            <v>17/03/2025</v>
          </cell>
          <cell r="F254">
            <v>0.47</v>
          </cell>
          <cell r="G254"/>
          <cell r="H254">
            <v>40.909999999999997</v>
          </cell>
        </row>
        <row r="255">
          <cell r="D255">
            <v>246779411737</v>
          </cell>
          <cell r="E255" t="str">
            <v>17/03/2025</v>
          </cell>
          <cell r="F255">
            <v>-28.54</v>
          </cell>
          <cell r="G255"/>
          <cell r="H255">
            <v>-2484.19</v>
          </cell>
        </row>
        <row r="256">
          <cell r="D256">
            <v>246779411734</v>
          </cell>
          <cell r="E256" t="str">
            <v>17/03/2025</v>
          </cell>
          <cell r="F256">
            <v>-22.83</v>
          </cell>
          <cell r="G256"/>
          <cell r="H256">
            <v>-1987.18</v>
          </cell>
        </row>
        <row r="257">
          <cell r="D257">
            <v>246779411732</v>
          </cell>
          <cell r="E257" t="str">
            <v>17/03/2025</v>
          </cell>
          <cell r="F257">
            <v>-28.54</v>
          </cell>
          <cell r="G257"/>
          <cell r="H257">
            <v>-2484.19</v>
          </cell>
        </row>
        <row r="258">
          <cell r="D258">
            <v>246779411729</v>
          </cell>
          <cell r="E258" t="str">
            <v>17/03/2025</v>
          </cell>
          <cell r="F258">
            <v>-34.25</v>
          </cell>
          <cell r="G258"/>
          <cell r="H258">
            <v>-2981.2</v>
          </cell>
        </row>
        <row r="259">
          <cell r="D259">
            <v>246779411724</v>
          </cell>
          <cell r="E259" t="str">
            <v>17/03/2025</v>
          </cell>
          <cell r="F259">
            <v>-68.5</v>
          </cell>
          <cell r="G259"/>
          <cell r="H259">
            <v>-5962.41</v>
          </cell>
        </row>
        <row r="260">
          <cell r="D260">
            <v>246779411721</v>
          </cell>
          <cell r="E260" t="str">
            <v>17/03/2025</v>
          </cell>
          <cell r="F260">
            <v>-525.63</v>
          </cell>
          <cell r="G260"/>
          <cell r="H260">
            <v>-45752.1</v>
          </cell>
        </row>
        <row r="261">
          <cell r="D261">
            <v>246779411741</v>
          </cell>
          <cell r="E261" t="str">
            <v>17/03/2025</v>
          </cell>
          <cell r="F261">
            <v>-240</v>
          </cell>
          <cell r="G261"/>
          <cell r="H261">
            <v>-20890.18</v>
          </cell>
        </row>
        <row r="262">
          <cell r="D262">
            <v>246779411735</v>
          </cell>
          <cell r="E262" t="str">
            <v>17/03/2025</v>
          </cell>
          <cell r="F262">
            <v>-479.25</v>
          </cell>
          <cell r="G262"/>
          <cell r="H262">
            <v>-41715.08</v>
          </cell>
        </row>
        <row r="263">
          <cell r="D263">
            <v>246779411733</v>
          </cell>
          <cell r="E263" t="str">
            <v>17/03/2025</v>
          </cell>
          <cell r="F263">
            <v>-17.12</v>
          </cell>
          <cell r="G263"/>
          <cell r="H263">
            <v>-1490.17</v>
          </cell>
        </row>
        <row r="264">
          <cell r="D264">
            <v>246779411727</v>
          </cell>
          <cell r="E264" t="str">
            <v>17/03/2025</v>
          </cell>
          <cell r="F264">
            <v>-17.12</v>
          </cell>
          <cell r="G264"/>
          <cell r="H264">
            <v>-1490.17</v>
          </cell>
        </row>
        <row r="265">
          <cell r="D265">
            <v>246779411726</v>
          </cell>
          <cell r="E265" t="str">
            <v>17/03/2025</v>
          </cell>
          <cell r="F265">
            <v>-28.54</v>
          </cell>
          <cell r="G265"/>
          <cell r="H265">
            <v>-2484.19</v>
          </cell>
        </row>
        <row r="266">
          <cell r="D266">
            <v>246779411720</v>
          </cell>
          <cell r="E266" t="str">
            <v>17/03/2025</v>
          </cell>
          <cell r="F266">
            <v>-17.12</v>
          </cell>
          <cell r="G266"/>
          <cell r="H266">
            <v>-1490.17</v>
          </cell>
        </row>
        <row r="267">
          <cell r="D267">
            <v>246779411718</v>
          </cell>
          <cell r="E267" t="str">
            <v>17/03/2025</v>
          </cell>
          <cell r="F267">
            <v>-22.95</v>
          </cell>
          <cell r="G267"/>
          <cell r="H267">
            <v>-1997.62</v>
          </cell>
        </row>
        <row r="268">
          <cell r="D268">
            <v>246779411637</v>
          </cell>
          <cell r="E268" t="str">
            <v>17/03/2025</v>
          </cell>
          <cell r="F268">
            <v>-429.65</v>
          </cell>
          <cell r="G268"/>
          <cell r="H268">
            <v>-37397.769999999997</v>
          </cell>
        </row>
        <row r="269">
          <cell r="D269">
            <v>246779411717</v>
          </cell>
          <cell r="E269" t="str">
            <v>17/03/2025</v>
          </cell>
          <cell r="F269">
            <v>-45.67</v>
          </cell>
          <cell r="G269"/>
          <cell r="H269">
            <v>-3975.23</v>
          </cell>
        </row>
        <row r="270">
          <cell r="D270">
            <v>246779411601</v>
          </cell>
          <cell r="E270" t="str">
            <v>17/03/2025</v>
          </cell>
          <cell r="F270">
            <v>-23.39</v>
          </cell>
          <cell r="G270"/>
          <cell r="H270">
            <v>-2035.92</v>
          </cell>
        </row>
        <row r="271">
          <cell r="D271">
            <v>246779411740</v>
          </cell>
          <cell r="E271" t="str">
            <v>17/03/2025</v>
          </cell>
          <cell r="F271">
            <v>-22.83</v>
          </cell>
          <cell r="G271"/>
          <cell r="H271">
            <v>-1987.18</v>
          </cell>
        </row>
        <row r="272">
          <cell r="D272">
            <v>246779411913</v>
          </cell>
          <cell r="E272" t="str">
            <v>17/03/2025</v>
          </cell>
          <cell r="F272">
            <v>-28.41</v>
          </cell>
          <cell r="G272"/>
          <cell r="H272">
            <v>-2472.88</v>
          </cell>
        </row>
        <row r="273">
          <cell r="D273">
            <v>246779411597</v>
          </cell>
          <cell r="E273" t="str">
            <v>17/03/2025</v>
          </cell>
          <cell r="F273">
            <v>-57.29</v>
          </cell>
          <cell r="G273"/>
          <cell r="H273">
            <v>-4986.66</v>
          </cell>
        </row>
        <row r="274">
          <cell r="D274">
            <v>246779411739</v>
          </cell>
          <cell r="E274" t="str">
            <v>17/03/2025</v>
          </cell>
          <cell r="F274">
            <v>-34.25</v>
          </cell>
          <cell r="G274"/>
          <cell r="H274">
            <v>-2981.2</v>
          </cell>
        </row>
        <row r="275">
          <cell r="D275">
            <v>246779411914</v>
          </cell>
          <cell r="E275" t="str">
            <v>17/03/2025</v>
          </cell>
          <cell r="F275">
            <v>-260</v>
          </cell>
          <cell r="G275"/>
          <cell r="H275">
            <v>-22631.03</v>
          </cell>
        </row>
        <row r="276">
          <cell r="D276">
            <v>246779411596</v>
          </cell>
          <cell r="E276" t="str">
            <v>17/03/2025</v>
          </cell>
          <cell r="F276">
            <v>-74.47</v>
          </cell>
          <cell r="G276"/>
          <cell r="H276">
            <v>-6482.05</v>
          </cell>
        </row>
        <row r="277">
          <cell r="D277">
            <v>246779411738</v>
          </cell>
          <cell r="E277" t="str">
            <v>17/03/2025</v>
          </cell>
          <cell r="F277">
            <v>-28.54</v>
          </cell>
          <cell r="G277"/>
          <cell r="H277">
            <v>-2484.19</v>
          </cell>
        </row>
        <row r="278">
          <cell r="D278">
            <v>246779412040</v>
          </cell>
          <cell r="E278" t="str">
            <v>17/03/2025</v>
          </cell>
          <cell r="F278">
            <v>-16.82</v>
          </cell>
          <cell r="G278"/>
          <cell r="H278">
            <v>-1464.05</v>
          </cell>
        </row>
        <row r="279">
          <cell r="D279">
            <v>246779411736</v>
          </cell>
          <cell r="E279" t="str">
            <v>17/03/2025</v>
          </cell>
          <cell r="F279">
            <v>-22.83</v>
          </cell>
          <cell r="G279"/>
          <cell r="H279">
            <v>-1987.18</v>
          </cell>
        </row>
        <row r="280">
          <cell r="D280">
            <v>246779411899</v>
          </cell>
          <cell r="E280" t="str">
            <v>17/03/2025</v>
          </cell>
          <cell r="F280">
            <v>-62.49</v>
          </cell>
          <cell r="G280"/>
          <cell r="H280">
            <v>-5439.28</v>
          </cell>
        </row>
        <row r="281">
          <cell r="D281">
            <v>246779411896</v>
          </cell>
          <cell r="E281" t="str">
            <v>17/03/2025</v>
          </cell>
          <cell r="F281">
            <v>-39.770000000000003</v>
          </cell>
          <cell r="G281"/>
          <cell r="H281">
            <v>-3461.68</v>
          </cell>
        </row>
        <row r="282">
          <cell r="D282">
            <v>246779411902</v>
          </cell>
          <cell r="E282" t="str">
            <v>17/03/2025</v>
          </cell>
          <cell r="F282">
            <v>-2.13</v>
          </cell>
          <cell r="G282"/>
          <cell r="H282">
            <v>-185.4</v>
          </cell>
        </row>
        <row r="283">
          <cell r="D283">
            <v>246779411723</v>
          </cell>
          <cell r="E283" t="str">
            <v>17/03/2025</v>
          </cell>
          <cell r="F283">
            <v>-45.67</v>
          </cell>
          <cell r="G283"/>
          <cell r="H283">
            <v>-3975.23</v>
          </cell>
        </row>
        <row r="284">
          <cell r="D284">
            <v>246779411722</v>
          </cell>
          <cell r="E284" t="str">
            <v>17/03/2025</v>
          </cell>
          <cell r="F284">
            <v>-39.96</v>
          </cell>
          <cell r="G284"/>
          <cell r="H284">
            <v>-3478.21</v>
          </cell>
        </row>
        <row r="285">
          <cell r="D285">
            <v>246779411907</v>
          </cell>
          <cell r="E285" t="str">
            <v>17/03/2025</v>
          </cell>
          <cell r="F285">
            <v>-17.04</v>
          </cell>
          <cell r="G285"/>
          <cell r="H285">
            <v>-1483.2</v>
          </cell>
        </row>
        <row r="286">
          <cell r="D286">
            <v>246779411909</v>
          </cell>
          <cell r="E286" t="str">
            <v>17/03/2025</v>
          </cell>
          <cell r="F286">
            <v>-28.41</v>
          </cell>
          <cell r="G286"/>
          <cell r="H286">
            <v>-2472.88</v>
          </cell>
        </row>
        <row r="287">
          <cell r="D287">
            <v>246779411600</v>
          </cell>
          <cell r="E287" t="str">
            <v>17/03/2025</v>
          </cell>
          <cell r="F287">
            <v>-2.6</v>
          </cell>
          <cell r="G287"/>
          <cell r="H287">
            <v>-226.31</v>
          </cell>
        </row>
        <row r="288">
          <cell r="D288">
            <v>246779411595</v>
          </cell>
          <cell r="E288" t="str">
            <v>17/03/2025</v>
          </cell>
          <cell r="F288">
            <v>-51.56</v>
          </cell>
          <cell r="G288"/>
          <cell r="H288">
            <v>-4487.91</v>
          </cell>
        </row>
        <row r="289">
          <cell r="D289">
            <v>246779411594</v>
          </cell>
          <cell r="E289" t="str">
            <v>17/03/2025</v>
          </cell>
          <cell r="F289">
            <v>-17.190000000000001</v>
          </cell>
          <cell r="G289"/>
          <cell r="H289">
            <v>-1496.26</v>
          </cell>
        </row>
        <row r="290">
          <cell r="D290">
            <v>246779411599</v>
          </cell>
          <cell r="E290" t="str">
            <v>17/03/2025</v>
          </cell>
          <cell r="F290">
            <v>-37.950000000000003</v>
          </cell>
          <cell r="G290"/>
          <cell r="H290">
            <v>-3303.26</v>
          </cell>
        </row>
        <row r="291">
          <cell r="D291">
            <v>246779412111</v>
          </cell>
          <cell r="E291" t="str">
            <v>17/03/2025</v>
          </cell>
          <cell r="F291">
            <v>-420.46</v>
          </cell>
          <cell r="G291"/>
          <cell r="H291">
            <v>-36597.85</v>
          </cell>
        </row>
        <row r="292">
          <cell r="D292">
            <v>246779411895</v>
          </cell>
          <cell r="E292" t="str">
            <v>17/03/2025</v>
          </cell>
          <cell r="F292">
            <v>-4.26</v>
          </cell>
          <cell r="G292"/>
          <cell r="H292">
            <v>-370.8</v>
          </cell>
        </row>
        <row r="293">
          <cell r="D293">
            <v>246779412046</v>
          </cell>
          <cell r="E293" t="str">
            <v>17/03/2025</v>
          </cell>
          <cell r="F293">
            <v>-16.82</v>
          </cell>
          <cell r="G293"/>
          <cell r="H293">
            <v>-1464.05</v>
          </cell>
        </row>
        <row r="294">
          <cell r="D294">
            <v>246779411897</v>
          </cell>
          <cell r="E294" t="str">
            <v>17/03/2025</v>
          </cell>
          <cell r="F294">
            <v>-22.72</v>
          </cell>
          <cell r="G294"/>
          <cell r="H294">
            <v>-1977.6</v>
          </cell>
        </row>
        <row r="295">
          <cell r="D295">
            <v>246779412044</v>
          </cell>
          <cell r="E295" t="str">
            <v>17/03/2025</v>
          </cell>
          <cell r="F295">
            <v>-30.37</v>
          </cell>
          <cell r="G295"/>
          <cell r="H295">
            <v>-2643.48</v>
          </cell>
        </row>
        <row r="296">
          <cell r="D296">
            <v>246779411898</v>
          </cell>
          <cell r="E296" t="str">
            <v>17/03/2025</v>
          </cell>
          <cell r="F296">
            <v>-7.1</v>
          </cell>
          <cell r="G296"/>
          <cell r="H296">
            <v>-618</v>
          </cell>
        </row>
        <row r="297">
          <cell r="D297">
            <v>246779412043</v>
          </cell>
          <cell r="E297" t="str">
            <v>17/03/2025</v>
          </cell>
          <cell r="F297">
            <v>-16.82</v>
          </cell>
          <cell r="G297"/>
          <cell r="H297">
            <v>-1464.05</v>
          </cell>
        </row>
        <row r="298">
          <cell r="D298">
            <v>246779411915</v>
          </cell>
          <cell r="E298" t="str">
            <v>17/03/2025</v>
          </cell>
          <cell r="F298">
            <v>-23.17</v>
          </cell>
          <cell r="G298"/>
          <cell r="H298">
            <v>-2016.77</v>
          </cell>
        </row>
        <row r="299">
          <cell r="D299">
            <v>246779412041</v>
          </cell>
          <cell r="E299" t="str">
            <v>17/03/2025</v>
          </cell>
          <cell r="F299">
            <v>-33.64</v>
          </cell>
          <cell r="G299"/>
          <cell r="H299">
            <v>-2928.11</v>
          </cell>
        </row>
        <row r="300">
          <cell r="D300">
            <v>246779411900</v>
          </cell>
          <cell r="E300" t="str">
            <v>17/03/2025</v>
          </cell>
          <cell r="F300">
            <v>-73.849999999999994</v>
          </cell>
          <cell r="G300"/>
          <cell r="H300">
            <v>-6428.08</v>
          </cell>
        </row>
        <row r="301">
          <cell r="D301">
            <v>246779412048</v>
          </cell>
          <cell r="E301" t="str">
            <v>17/03/2025</v>
          </cell>
          <cell r="F301">
            <v>-22.78</v>
          </cell>
          <cell r="G301"/>
          <cell r="H301">
            <v>-1982.83</v>
          </cell>
        </row>
        <row r="302">
          <cell r="D302">
            <v>246779411903</v>
          </cell>
          <cell r="E302" t="str">
            <v>17/03/2025</v>
          </cell>
          <cell r="F302">
            <v>-3.55</v>
          </cell>
          <cell r="G302"/>
          <cell r="H302">
            <v>-309</v>
          </cell>
        </row>
        <row r="303">
          <cell r="D303">
            <v>246779411910</v>
          </cell>
          <cell r="E303" t="str">
            <v>17/03/2025</v>
          </cell>
          <cell r="F303">
            <v>-28.41</v>
          </cell>
          <cell r="G303"/>
          <cell r="H303">
            <v>-2472.88</v>
          </cell>
        </row>
        <row r="304">
          <cell r="D304">
            <v>246779411598</v>
          </cell>
          <cell r="E304" t="str">
            <v>17/03/2025</v>
          </cell>
          <cell r="F304">
            <v>-91.66</v>
          </cell>
          <cell r="G304"/>
          <cell r="H304">
            <v>-7978.31</v>
          </cell>
        </row>
        <row r="305">
          <cell r="D305">
            <v>246779411593</v>
          </cell>
          <cell r="E305" t="str">
            <v>17/03/2025</v>
          </cell>
          <cell r="F305">
            <v>-40.1</v>
          </cell>
          <cell r="G305"/>
          <cell r="H305">
            <v>-3490.4</v>
          </cell>
        </row>
        <row r="306">
          <cell r="D306">
            <v>246779412045</v>
          </cell>
          <cell r="E306" t="str">
            <v>17/03/2025</v>
          </cell>
          <cell r="F306">
            <v>-230</v>
          </cell>
          <cell r="G306"/>
          <cell r="H306">
            <v>-20019.759999999998</v>
          </cell>
        </row>
        <row r="307">
          <cell r="D307">
            <v>246779412042</v>
          </cell>
          <cell r="E307" t="str">
            <v>17/03/2025</v>
          </cell>
          <cell r="F307">
            <v>-16.82</v>
          </cell>
          <cell r="G307"/>
          <cell r="H307">
            <v>-1464.05</v>
          </cell>
        </row>
        <row r="308">
          <cell r="D308">
            <v>246779412038</v>
          </cell>
          <cell r="E308" t="str">
            <v>17/03/2025</v>
          </cell>
          <cell r="F308">
            <v>-33.64</v>
          </cell>
          <cell r="G308"/>
          <cell r="H308">
            <v>-2928.11</v>
          </cell>
        </row>
        <row r="309">
          <cell r="D309">
            <v>246779411901</v>
          </cell>
          <cell r="E309" t="str">
            <v>17/03/2025</v>
          </cell>
          <cell r="F309">
            <v>-12.78</v>
          </cell>
          <cell r="G309"/>
          <cell r="H309">
            <v>-1112.4000000000001</v>
          </cell>
        </row>
        <row r="310">
          <cell r="D310">
            <v>246779411906</v>
          </cell>
          <cell r="E310" t="str">
            <v>17/03/2025</v>
          </cell>
          <cell r="F310">
            <v>-34.090000000000003</v>
          </cell>
          <cell r="G310"/>
          <cell r="H310">
            <v>-2967.28</v>
          </cell>
        </row>
        <row r="311">
          <cell r="D311">
            <v>246779411911</v>
          </cell>
          <cell r="E311" t="str">
            <v>17/03/2025</v>
          </cell>
          <cell r="F311">
            <v>-29.83</v>
          </cell>
          <cell r="G311"/>
          <cell r="H311">
            <v>-2596.48</v>
          </cell>
        </row>
        <row r="312">
          <cell r="D312">
            <v>246779411731</v>
          </cell>
          <cell r="E312" t="str">
            <v>17/03/2025</v>
          </cell>
          <cell r="F312">
            <v>-22.83</v>
          </cell>
          <cell r="G312"/>
          <cell r="H312">
            <v>-1987.18</v>
          </cell>
        </row>
        <row r="313">
          <cell r="D313">
            <v>246779411725</v>
          </cell>
          <cell r="E313" t="str">
            <v>17/03/2025</v>
          </cell>
          <cell r="F313">
            <v>-22.83</v>
          </cell>
          <cell r="G313"/>
          <cell r="H313">
            <v>-1987.18</v>
          </cell>
        </row>
        <row r="314">
          <cell r="D314">
            <v>246779411905</v>
          </cell>
          <cell r="E314" t="str">
            <v>17/03/2025</v>
          </cell>
          <cell r="F314">
            <v>-7.1</v>
          </cell>
          <cell r="G314"/>
          <cell r="H314">
            <v>-618</v>
          </cell>
        </row>
        <row r="315">
          <cell r="D315">
            <v>246779411719</v>
          </cell>
          <cell r="E315" t="str">
            <v>17/03/2025</v>
          </cell>
          <cell r="F315">
            <v>-28.54</v>
          </cell>
          <cell r="G315"/>
          <cell r="H315">
            <v>-2484.19</v>
          </cell>
        </row>
        <row r="316">
          <cell r="D316">
            <v>246779411728</v>
          </cell>
          <cell r="E316" t="str">
            <v>17/03/2025</v>
          </cell>
          <cell r="F316">
            <v>-11.42</v>
          </cell>
          <cell r="G316"/>
          <cell r="H316">
            <v>-994.02</v>
          </cell>
        </row>
        <row r="317">
          <cell r="D317">
            <v>246779411601</v>
          </cell>
          <cell r="E317" t="str">
            <v>17/03/2025</v>
          </cell>
          <cell r="F317">
            <v>0.47</v>
          </cell>
          <cell r="G317"/>
          <cell r="H317">
            <v>40.909999999999997</v>
          </cell>
        </row>
        <row r="318">
          <cell r="D318">
            <v>246779411717</v>
          </cell>
          <cell r="E318" t="str">
            <v>17/03/2025</v>
          </cell>
          <cell r="F318">
            <v>0.91</v>
          </cell>
          <cell r="G318"/>
          <cell r="H318">
            <v>79.209999999999994</v>
          </cell>
        </row>
        <row r="319">
          <cell r="D319">
            <v>246779411913</v>
          </cell>
          <cell r="E319" t="str">
            <v>17/03/2025</v>
          </cell>
          <cell r="F319">
            <v>0.56999999999999995</v>
          </cell>
          <cell r="G319"/>
          <cell r="H319">
            <v>49.61</v>
          </cell>
        </row>
        <row r="320">
          <cell r="D320">
            <v>246779411740</v>
          </cell>
          <cell r="E320" t="str">
            <v>17/03/2025</v>
          </cell>
          <cell r="F320">
            <v>0.46</v>
          </cell>
          <cell r="G320"/>
          <cell r="H320">
            <v>40.04</v>
          </cell>
        </row>
        <row r="321">
          <cell r="D321">
            <v>246779412111</v>
          </cell>
          <cell r="E321" t="str">
            <v>17/03/2025</v>
          </cell>
          <cell r="F321">
            <v>8.41</v>
          </cell>
          <cell r="G321"/>
          <cell r="H321">
            <v>732.03</v>
          </cell>
        </row>
        <row r="322">
          <cell r="D322">
            <v>246779411722</v>
          </cell>
          <cell r="E322" t="str">
            <v>17/03/2025</v>
          </cell>
          <cell r="F322">
            <v>0.8</v>
          </cell>
          <cell r="G322"/>
          <cell r="H322">
            <v>69.63</v>
          </cell>
        </row>
        <row r="323">
          <cell r="D323">
            <v>246779412041</v>
          </cell>
          <cell r="E323" t="str">
            <v>17/03/2025</v>
          </cell>
          <cell r="F323">
            <v>0.67</v>
          </cell>
          <cell r="G323"/>
          <cell r="H323">
            <v>58.32</v>
          </cell>
        </row>
        <row r="324">
          <cell r="D324">
            <v>246779411898</v>
          </cell>
          <cell r="E324" t="str">
            <v>17/03/2025</v>
          </cell>
          <cell r="F324">
            <v>0.14000000000000001</v>
          </cell>
          <cell r="G324"/>
          <cell r="H324">
            <v>12.19</v>
          </cell>
        </row>
        <row r="325">
          <cell r="D325">
            <v>246779411729</v>
          </cell>
          <cell r="E325" t="str">
            <v>17/03/2025</v>
          </cell>
          <cell r="F325">
            <v>0.69</v>
          </cell>
          <cell r="G325"/>
          <cell r="H325">
            <v>60.06</v>
          </cell>
        </row>
        <row r="326">
          <cell r="D326">
            <v>246779411737</v>
          </cell>
          <cell r="E326" t="str">
            <v>17/03/2025</v>
          </cell>
          <cell r="F326">
            <v>0.56999999999999995</v>
          </cell>
          <cell r="G326"/>
          <cell r="H326">
            <v>49.61</v>
          </cell>
        </row>
        <row r="327">
          <cell r="D327">
            <v>246779411595</v>
          </cell>
          <cell r="E327" t="str">
            <v>17/03/2025</v>
          </cell>
          <cell r="F327">
            <v>1.03</v>
          </cell>
          <cell r="G327"/>
          <cell r="H327">
            <v>89.65</v>
          </cell>
        </row>
        <row r="328">
          <cell r="D328">
            <v>246779411727</v>
          </cell>
          <cell r="E328" t="str">
            <v>17/03/2025</v>
          </cell>
          <cell r="F328">
            <v>0.34</v>
          </cell>
          <cell r="G328"/>
          <cell r="H328">
            <v>29.59</v>
          </cell>
        </row>
        <row r="329">
          <cell r="D329">
            <v>246779411736</v>
          </cell>
          <cell r="E329" t="str">
            <v>17/03/2025</v>
          </cell>
          <cell r="F329">
            <v>0.46</v>
          </cell>
          <cell r="G329"/>
          <cell r="H329">
            <v>40.04</v>
          </cell>
        </row>
        <row r="330">
          <cell r="D330">
            <v>246779411732</v>
          </cell>
          <cell r="E330" t="str">
            <v>17/03/2025</v>
          </cell>
          <cell r="F330">
            <v>0.56999999999999995</v>
          </cell>
          <cell r="G330"/>
          <cell r="H330">
            <v>49.61</v>
          </cell>
        </row>
        <row r="331">
          <cell r="D331">
            <v>246779411899</v>
          </cell>
          <cell r="E331" t="str">
            <v>17/03/2025</v>
          </cell>
          <cell r="F331">
            <v>1.25</v>
          </cell>
          <cell r="G331"/>
          <cell r="H331">
            <v>108.8</v>
          </cell>
        </row>
        <row r="332">
          <cell r="D332">
            <v>246779411914</v>
          </cell>
          <cell r="E332" t="str">
            <v>17/03/2025</v>
          </cell>
          <cell r="F332">
            <v>5.2</v>
          </cell>
          <cell r="G332"/>
          <cell r="H332">
            <v>452.62</v>
          </cell>
        </row>
        <row r="333">
          <cell r="D333">
            <v>246779411895</v>
          </cell>
          <cell r="E333" t="str">
            <v>17/03/2025</v>
          </cell>
          <cell r="F333">
            <v>0.09</v>
          </cell>
          <cell r="G333"/>
          <cell r="H333">
            <v>7.83</v>
          </cell>
        </row>
        <row r="334">
          <cell r="D334">
            <v>246779411723</v>
          </cell>
          <cell r="E334" t="str">
            <v>17/03/2025</v>
          </cell>
          <cell r="F334">
            <v>0.91</v>
          </cell>
          <cell r="G334"/>
          <cell r="H334">
            <v>79.209999999999994</v>
          </cell>
        </row>
        <row r="335">
          <cell r="D335">
            <v>246779411897</v>
          </cell>
          <cell r="E335" t="str">
            <v>17/03/2025</v>
          </cell>
          <cell r="F335">
            <v>0.45</v>
          </cell>
          <cell r="G335"/>
          <cell r="H335">
            <v>39.17</v>
          </cell>
        </row>
        <row r="336">
          <cell r="D336">
            <v>246779412038</v>
          </cell>
          <cell r="E336" t="str">
            <v>17/03/2025</v>
          </cell>
          <cell r="F336">
            <v>0.67</v>
          </cell>
          <cell r="G336"/>
          <cell r="H336">
            <v>58.32</v>
          </cell>
        </row>
        <row r="337">
          <cell r="D337">
            <v>246779411909</v>
          </cell>
          <cell r="E337" t="str">
            <v>17/03/2025</v>
          </cell>
          <cell r="F337">
            <v>0.56999999999999995</v>
          </cell>
          <cell r="G337"/>
          <cell r="H337">
            <v>49.61</v>
          </cell>
        </row>
        <row r="338">
          <cell r="D338">
            <v>246779412042</v>
          </cell>
          <cell r="E338" t="str">
            <v>17/03/2025</v>
          </cell>
          <cell r="F338">
            <v>0.34</v>
          </cell>
          <cell r="G338"/>
          <cell r="H338">
            <v>29.59</v>
          </cell>
        </row>
        <row r="339">
          <cell r="D339">
            <v>246779411900</v>
          </cell>
          <cell r="E339" t="str">
            <v>17/03/2025</v>
          </cell>
          <cell r="F339">
            <v>1.48</v>
          </cell>
          <cell r="G339"/>
          <cell r="H339">
            <v>128.82</v>
          </cell>
        </row>
        <row r="340">
          <cell r="D340">
            <v>246779412048</v>
          </cell>
          <cell r="E340" t="str">
            <v>17/03/2025</v>
          </cell>
          <cell r="F340">
            <v>0.46</v>
          </cell>
          <cell r="G340"/>
          <cell r="H340">
            <v>40.04</v>
          </cell>
        </row>
        <row r="341">
          <cell r="D341">
            <v>246779412046</v>
          </cell>
          <cell r="E341" t="str">
            <v>17/03/2025</v>
          </cell>
          <cell r="F341">
            <v>0.34</v>
          </cell>
          <cell r="G341"/>
          <cell r="H341">
            <v>29.59</v>
          </cell>
        </row>
        <row r="342">
          <cell r="D342">
            <v>246779411597</v>
          </cell>
          <cell r="E342" t="str">
            <v>17/03/2025</v>
          </cell>
          <cell r="F342">
            <v>1.1499999999999999</v>
          </cell>
          <cell r="G342"/>
          <cell r="H342">
            <v>100.1</v>
          </cell>
        </row>
        <row r="343">
          <cell r="D343">
            <v>246779411637</v>
          </cell>
          <cell r="E343" t="str">
            <v>17/03/2025</v>
          </cell>
          <cell r="F343">
            <v>8.59</v>
          </cell>
          <cell r="G343"/>
          <cell r="H343">
            <v>747.69</v>
          </cell>
        </row>
        <row r="344">
          <cell r="D344">
            <v>246779411721</v>
          </cell>
          <cell r="E344" t="str">
            <v>17/03/2025</v>
          </cell>
          <cell r="F344">
            <v>10.51</v>
          </cell>
          <cell r="G344"/>
          <cell r="H344">
            <v>914.82</v>
          </cell>
        </row>
        <row r="345">
          <cell r="D345">
            <v>246779411720</v>
          </cell>
          <cell r="E345" t="str">
            <v>17/03/2025</v>
          </cell>
          <cell r="F345">
            <v>0.34</v>
          </cell>
          <cell r="G345"/>
          <cell r="H345">
            <v>29.59</v>
          </cell>
        </row>
        <row r="346">
          <cell r="D346">
            <v>246779412043</v>
          </cell>
          <cell r="E346" t="str">
            <v>17/03/2025</v>
          </cell>
          <cell r="F346">
            <v>0.34</v>
          </cell>
          <cell r="G346"/>
          <cell r="H346">
            <v>29.59</v>
          </cell>
        </row>
        <row r="347">
          <cell r="D347">
            <v>246779411718</v>
          </cell>
          <cell r="E347" t="str">
            <v>17/03/2025</v>
          </cell>
          <cell r="F347">
            <v>0.46</v>
          </cell>
          <cell r="G347"/>
          <cell r="H347">
            <v>40.04</v>
          </cell>
        </row>
        <row r="348">
          <cell r="D348">
            <v>246779411896</v>
          </cell>
          <cell r="E348" t="str">
            <v>17/03/2025</v>
          </cell>
          <cell r="F348">
            <v>0.8</v>
          </cell>
          <cell r="G348"/>
          <cell r="H348">
            <v>69.63</v>
          </cell>
        </row>
        <row r="349">
          <cell r="D349">
            <v>246779411738</v>
          </cell>
          <cell r="E349" t="str">
            <v>17/03/2025</v>
          </cell>
          <cell r="F349">
            <v>0.56999999999999995</v>
          </cell>
          <cell r="G349"/>
          <cell r="H349">
            <v>49.61</v>
          </cell>
        </row>
        <row r="350">
          <cell r="D350">
            <v>246779411598</v>
          </cell>
          <cell r="E350" t="str">
            <v>17/03/2025</v>
          </cell>
          <cell r="F350">
            <v>1.83</v>
          </cell>
          <cell r="G350"/>
          <cell r="H350">
            <v>159.29</v>
          </cell>
        </row>
        <row r="351">
          <cell r="D351">
            <v>246779411903</v>
          </cell>
          <cell r="E351" t="str">
            <v>17/03/2025</v>
          </cell>
          <cell r="F351">
            <v>7.0000000000000007E-2</v>
          </cell>
          <cell r="G351"/>
          <cell r="H351">
            <v>6.09</v>
          </cell>
        </row>
        <row r="352">
          <cell r="D352">
            <v>246779411593</v>
          </cell>
          <cell r="E352" t="str">
            <v>17/03/2025</v>
          </cell>
          <cell r="F352">
            <v>0.8</v>
          </cell>
          <cell r="G352"/>
          <cell r="H352">
            <v>69.63</v>
          </cell>
        </row>
        <row r="353">
          <cell r="D353">
            <v>246779411915</v>
          </cell>
          <cell r="E353" t="str">
            <v>17/03/2025</v>
          </cell>
          <cell r="F353">
            <v>0.46</v>
          </cell>
          <cell r="G353"/>
          <cell r="H353">
            <v>40.04</v>
          </cell>
        </row>
        <row r="354">
          <cell r="D354">
            <v>246779411739</v>
          </cell>
          <cell r="E354" t="str">
            <v>17/03/2025</v>
          </cell>
          <cell r="F354">
            <v>0.69</v>
          </cell>
          <cell r="G354"/>
          <cell r="H354">
            <v>60.06</v>
          </cell>
        </row>
        <row r="355">
          <cell r="D355">
            <v>246779412040</v>
          </cell>
          <cell r="E355" t="str">
            <v>17/03/2025</v>
          </cell>
          <cell r="F355">
            <v>0.34</v>
          </cell>
          <cell r="G355"/>
          <cell r="H355">
            <v>29.59</v>
          </cell>
        </row>
        <row r="356">
          <cell r="D356">
            <v>246779412045</v>
          </cell>
          <cell r="E356" t="str">
            <v>17/03/2025</v>
          </cell>
          <cell r="F356">
            <v>4.5999999999999996</v>
          </cell>
          <cell r="G356"/>
          <cell r="H356">
            <v>400.4</v>
          </cell>
        </row>
        <row r="357">
          <cell r="D357">
            <v>246779411596</v>
          </cell>
          <cell r="E357" t="str">
            <v>17/03/2025</v>
          </cell>
          <cell r="F357">
            <v>1.49</v>
          </cell>
          <cell r="G357"/>
          <cell r="H357">
            <v>129.69</v>
          </cell>
        </row>
        <row r="358">
          <cell r="D358">
            <v>246779411733</v>
          </cell>
          <cell r="E358" t="str">
            <v>17/03/2025</v>
          </cell>
          <cell r="F358">
            <v>0.34</v>
          </cell>
          <cell r="G358"/>
          <cell r="H358">
            <v>29.59</v>
          </cell>
        </row>
        <row r="359">
          <cell r="D359">
            <v>246779411594</v>
          </cell>
          <cell r="E359" t="str">
            <v>17/03/2025</v>
          </cell>
          <cell r="F359">
            <v>0.34</v>
          </cell>
          <cell r="G359"/>
          <cell r="H359">
            <v>29.59</v>
          </cell>
        </row>
        <row r="360">
          <cell r="D360">
            <v>246779411734</v>
          </cell>
          <cell r="E360" t="str">
            <v>17/03/2025</v>
          </cell>
          <cell r="F360">
            <v>0.46</v>
          </cell>
          <cell r="G360"/>
          <cell r="H360">
            <v>40.04</v>
          </cell>
        </row>
        <row r="361">
          <cell r="D361">
            <v>246779411741</v>
          </cell>
          <cell r="E361" t="str">
            <v>17/03/2025</v>
          </cell>
          <cell r="F361">
            <v>4.8</v>
          </cell>
          <cell r="G361"/>
          <cell r="H361">
            <v>417.8</v>
          </cell>
        </row>
        <row r="362">
          <cell r="D362">
            <v>246779411902</v>
          </cell>
          <cell r="E362" t="str">
            <v>17/03/2025</v>
          </cell>
          <cell r="F362">
            <v>0.04</v>
          </cell>
          <cell r="G362"/>
          <cell r="H362">
            <v>3.48</v>
          </cell>
        </row>
        <row r="363">
          <cell r="D363">
            <v>246779411910</v>
          </cell>
          <cell r="E363" t="str">
            <v>17/03/2025</v>
          </cell>
          <cell r="F363">
            <v>0.56999999999999995</v>
          </cell>
          <cell r="G363"/>
          <cell r="H363">
            <v>49.61</v>
          </cell>
        </row>
        <row r="364">
          <cell r="D364">
            <v>246779411600</v>
          </cell>
          <cell r="E364" t="str">
            <v>17/03/2025</v>
          </cell>
          <cell r="F364">
            <v>0.05</v>
          </cell>
          <cell r="G364"/>
          <cell r="H364">
            <v>4.3499999999999996</v>
          </cell>
        </row>
        <row r="365">
          <cell r="D365">
            <v>246779411907</v>
          </cell>
          <cell r="E365" t="str">
            <v>17/03/2025</v>
          </cell>
          <cell r="F365">
            <v>0.34</v>
          </cell>
          <cell r="G365"/>
          <cell r="H365">
            <v>29.59</v>
          </cell>
        </row>
        <row r="366">
          <cell r="D366">
            <v>246779412044</v>
          </cell>
          <cell r="E366" t="str">
            <v>17/03/2025</v>
          </cell>
          <cell r="F366">
            <v>0.61</v>
          </cell>
          <cell r="G366"/>
          <cell r="H366">
            <v>53.1</v>
          </cell>
        </row>
        <row r="367">
          <cell r="D367">
            <v>246779411724</v>
          </cell>
          <cell r="E367" t="str">
            <v>17/03/2025</v>
          </cell>
          <cell r="F367">
            <v>1.37</v>
          </cell>
          <cell r="G367"/>
          <cell r="H367">
            <v>119.25</v>
          </cell>
        </row>
        <row r="368">
          <cell r="D368">
            <v>246779411726</v>
          </cell>
          <cell r="E368" t="str">
            <v>17/03/2025</v>
          </cell>
          <cell r="F368">
            <v>0.56999999999999995</v>
          </cell>
          <cell r="G368"/>
          <cell r="H368">
            <v>49.61</v>
          </cell>
        </row>
        <row r="369">
          <cell r="D369">
            <v>246779411599</v>
          </cell>
          <cell r="E369" t="str">
            <v>17/03/2025</v>
          </cell>
          <cell r="F369">
            <v>0.76</v>
          </cell>
          <cell r="G369"/>
          <cell r="H369">
            <v>66.150000000000006</v>
          </cell>
        </row>
        <row r="370">
          <cell r="D370">
            <v>246779411735</v>
          </cell>
          <cell r="E370" t="str">
            <v>17/03/2025</v>
          </cell>
          <cell r="F370">
            <v>9.59</v>
          </cell>
          <cell r="G370"/>
          <cell r="H370">
            <v>834.74</v>
          </cell>
        </row>
        <row r="371">
          <cell r="D371">
            <v>246779411725</v>
          </cell>
          <cell r="E371" t="str">
            <v>17/03/2025</v>
          </cell>
          <cell r="F371">
            <v>0.46</v>
          </cell>
          <cell r="G371"/>
          <cell r="H371">
            <v>40.04</v>
          </cell>
        </row>
        <row r="372">
          <cell r="D372">
            <v>246779411911</v>
          </cell>
          <cell r="E372" t="str">
            <v>17/03/2025</v>
          </cell>
          <cell r="F372">
            <v>0.6</v>
          </cell>
          <cell r="G372"/>
          <cell r="H372">
            <v>52.23</v>
          </cell>
        </row>
        <row r="373">
          <cell r="D373">
            <v>246779411901</v>
          </cell>
          <cell r="E373" t="str">
            <v>17/03/2025</v>
          </cell>
          <cell r="F373">
            <v>0.26</v>
          </cell>
          <cell r="G373"/>
          <cell r="H373">
            <v>22.63</v>
          </cell>
        </row>
        <row r="374">
          <cell r="D374">
            <v>246779411905</v>
          </cell>
          <cell r="E374" t="str">
            <v>17/03/2025</v>
          </cell>
          <cell r="F374">
            <v>0.14000000000000001</v>
          </cell>
          <cell r="G374"/>
          <cell r="H374">
            <v>12.19</v>
          </cell>
        </row>
        <row r="375">
          <cell r="D375">
            <v>246779411731</v>
          </cell>
          <cell r="E375" t="str">
            <v>17/03/2025</v>
          </cell>
          <cell r="F375">
            <v>0.46</v>
          </cell>
          <cell r="G375"/>
          <cell r="H375">
            <v>40.04</v>
          </cell>
        </row>
        <row r="376">
          <cell r="D376">
            <v>246779411719</v>
          </cell>
          <cell r="E376" t="str">
            <v>17/03/2025</v>
          </cell>
          <cell r="F376">
            <v>0.56999999999999995</v>
          </cell>
          <cell r="G376"/>
          <cell r="H376">
            <v>49.61</v>
          </cell>
        </row>
        <row r="377">
          <cell r="D377">
            <v>246779411906</v>
          </cell>
          <cell r="E377" t="str">
            <v>17/03/2025</v>
          </cell>
          <cell r="F377">
            <v>0.68</v>
          </cell>
          <cell r="G377"/>
          <cell r="H377">
            <v>59.19</v>
          </cell>
        </row>
        <row r="378">
          <cell r="D378">
            <v>246779411904</v>
          </cell>
          <cell r="E378" t="str">
            <v>17/03/2025</v>
          </cell>
          <cell r="F378">
            <v>-58.94</v>
          </cell>
          <cell r="G378"/>
          <cell r="H378">
            <v>-5130.28</v>
          </cell>
        </row>
        <row r="379">
          <cell r="D379">
            <v>246779411728</v>
          </cell>
          <cell r="E379" t="str">
            <v>17/03/2025</v>
          </cell>
          <cell r="F379">
            <v>0.23</v>
          </cell>
          <cell r="G379"/>
          <cell r="H379">
            <v>20.02</v>
          </cell>
        </row>
        <row r="380">
          <cell r="D380">
            <v>246779411912</v>
          </cell>
          <cell r="E380" t="str">
            <v>17/03/2025</v>
          </cell>
          <cell r="F380">
            <v>-11.36</v>
          </cell>
          <cell r="G380"/>
          <cell r="H380">
            <v>-988.8</v>
          </cell>
        </row>
        <row r="381">
          <cell r="D381">
            <v>246779411904</v>
          </cell>
          <cell r="E381" t="str">
            <v>17/03/2025</v>
          </cell>
          <cell r="F381">
            <v>1.18</v>
          </cell>
          <cell r="G381"/>
          <cell r="H381">
            <v>102.71</v>
          </cell>
        </row>
        <row r="382">
          <cell r="D382">
            <v>246779411912</v>
          </cell>
          <cell r="E382" t="str">
            <v>17/03/2025</v>
          </cell>
          <cell r="F382">
            <v>0.23</v>
          </cell>
          <cell r="G382"/>
          <cell r="H382">
            <v>20.02</v>
          </cell>
        </row>
        <row r="383">
          <cell r="D383">
            <v>246779412036</v>
          </cell>
          <cell r="E383" t="str">
            <v>17/03/2025</v>
          </cell>
          <cell r="F383">
            <v>-28.03</v>
          </cell>
          <cell r="G383"/>
          <cell r="H383">
            <v>-2439.8000000000002</v>
          </cell>
        </row>
        <row r="384">
          <cell r="D384">
            <v>246779412034</v>
          </cell>
          <cell r="E384" t="str">
            <v>17/03/2025</v>
          </cell>
          <cell r="F384">
            <v>-33.64</v>
          </cell>
          <cell r="G384"/>
          <cell r="H384">
            <v>-2928.11</v>
          </cell>
        </row>
        <row r="385">
          <cell r="D385">
            <v>246779412039</v>
          </cell>
          <cell r="E385" t="str">
            <v>17/03/2025</v>
          </cell>
          <cell r="F385">
            <v>-56.06</v>
          </cell>
          <cell r="G385"/>
          <cell r="H385">
            <v>-4879.6000000000004</v>
          </cell>
        </row>
        <row r="386">
          <cell r="D386">
            <v>246779412028</v>
          </cell>
          <cell r="E386" t="str">
            <v>17/03/2025</v>
          </cell>
          <cell r="F386">
            <v>-28.03</v>
          </cell>
          <cell r="G386"/>
          <cell r="H386">
            <v>-2439.8000000000002</v>
          </cell>
        </row>
        <row r="387">
          <cell r="D387">
            <v>246779412037</v>
          </cell>
          <cell r="E387" t="str">
            <v>17/03/2025</v>
          </cell>
          <cell r="F387">
            <v>-44.85</v>
          </cell>
          <cell r="G387"/>
          <cell r="H387">
            <v>-3903.85</v>
          </cell>
        </row>
        <row r="388">
          <cell r="D388">
            <v>246779412032</v>
          </cell>
          <cell r="E388" t="str">
            <v>17/03/2025</v>
          </cell>
          <cell r="F388">
            <v>-33.64</v>
          </cell>
          <cell r="G388"/>
          <cell r="H388">
            <v>-2928.11</v>
          </cell>
        </row>
        <row r="389">
          <cell r="D389">
            <v>246779412030</v>
          </cell>
          <cell r="E389" t="str">
            <v>17/03/2025</v>
          </cell>
          <cell r="F389">
            <v>-16.82</v>
          </cell>
          <cell r="G389"/>
          <cell r="H389">
            <v>-1464.05</v>
          </cell>
        </row>
        <row r="390">
          <cell r="D390">
            <v>246779412035</v>
          </cell>
          <cell r="E390" t="str">
            <v>17/03/2025</v>
          </cell>
          <cell r="F390">
            <v>-72.88</v>
          </cell>
          <cell r="G390"/>
          <cell r="H390">
            <v>-6343.65</v>
          </cell>
        </row>
        <row r="391">
          <cell r="D391">
            <v>246779412031</v>
          </cell>
          <cell r="E391" t="str">
            <v>17/03/2025</v>
          </cell>
          <cell r="F391">
            <v>-28.03</v>
          </cell>
          <cell r="G391"/>
          <cell r="H391">
            <v>-2439.8000000000002</v>
          </cell>
        </row>
        <row r="392">
          <cell r="D392">
            <v>246779412029</v>
          </cell>
          <cell r="E392" t="str">
            <v>17/03/2025</v>
          </cell>
          <cell r="F392">
            <v>-22.42</v>
          </cell>
          <cell r="G392"/>
          <cell r="H392">
            <v>-1951.49</v>
          </cell>
        </row>
        <row r="393">
          <cell r="D393">
            <v>246779412032</v>
          </cell>
          <cell r="E393" t="str">
            <v>17/03/2025</v>
          </cell>
          <cell r="F393">
            <v>0.67</v>
          </cell>
          <cell r="G393"/>
          <cell r="H393">
            <v>58.32</v>
          </cell>
        </row>
        <row r="394">
          <cell r="D394">
            <v>246779412037</v>
          </cell>
          <cell r="E394" t="str">
            <v>17/03/2025</v>
          </cell>
          <cell r="F394">
            <v>0.9</v>
          </cell>
          <cell r="G394"/>
          <cell r="H394">
            <v>78.34</v>
          </cell>
        </row>
        <row r="395">
          <cell r="D395">
            <v>246779412030</v>
          </cell>
          <cell r="E395" t="str">
            <v>17/03/2025</v>
          </cell>
          <cell r="F395">
            <v>0.34</v>
          </cell>
          <cell r="G395"/>
          <cell r="H395">
            <v>29.59</v>
          </cell>
        </row>
        <row r="396">
          <cell r="D396">
            <v>246779412034</v>
          </cell>
          <cell r="E396" t="str">
            <v>17/03/2025</v>
          </cell>
          <cell r="F396">
            <v>0.67</v>
          </cell>
          <cell r="G396"/>
          <cell r="H396">
            <v>58.32</v>
          </cell>
        </row>
        <row r="397">
          <cell r="D397">
            <v>246779412039</v>
          </cell>
          <cell r="E397" t="str">
            <v>17/03/2025</v>
          </cell>
          <cell r="F397">
            <v>1.1200000000000001</v>
          </cell>
          <cell r="G397"/>
          <cell r="H397">
            <v>97.49</v>
          </cell>
        </row>
        <row r="398">
          <cell r="D398">
            <v>246779412036</v>
          </cell>
          <cell r="E398" t="str">
            <v>17/03/2025</v>
          </cell>
          <cell r="F398">
            <v>0.56000000000000005</v>
          </cell>
          <cell r="G398"/>
          <cell r="H398">
            <v>48.74</v>
          </cell>
        </row>
        <row r="399">
          <cell r="D399">
            <v>246779412028</v>
          </cell>
          <cell r="E399" t="str">
            <v>17/03/2025</v>
          </cell>
          <cell r="F399">
            <v>0.56000000000000005</v>
          </cell>
          <cell r="G399"/>
          <cell r="H399">
            <v>48.74</v>
          </cell>
        </row>
        <row r="400">
          <cell r="D400">
            <v>246779412031</v>
          </cell>
          <cell r="E400" t="str">
            <v>17/03/2025</v>
          </cell>
          <cell r="F400">
            <v>0.56000000000000005</v>
          </cell>
          <cell r="G400"/>
          <cell r="H400">
            <v>48.74</v>
          </cell>
        </row>
        <row r="401">
          <cell r="D401">
            <v>246779412029</v>
          </cell>
          <cell r="E401" t="str">
            <v>17/03/2025</v>
          </cell>
          <cell r="F401">
            <v>0.45</v>
          </cell>
          <cell r="G401"/>
          <cell r="H401">
            <v>39.17</v>
          </cell>
        </row>
        <row r="402">
          <cell r="D402">
            <v>246779412035</v>
          </cell>
          <cell r="E402" t="str">
            <v>17/03/2025</v>
          </cell>
          <cell r="F402">
            <v>1.46</v>
          </cell>
          <cell r="G402"/>
          <cell r="H402">
            <v>127.08</v>
          </cell>
        </row>
        <row r="403">
          <cell r="D403">
            <v>246779411973</v>
          </cell>
          <cell r="E403" t="str">
            <v>17/03/2025</v>
          </cell>
          <cell r="F403">
            <v>-426.09</v>
          </cell>
          <cell r="G403"/>
          <cell r="H403">
            <v>-37087.9</v>
          </cell>
        </row>
        <row r="404">
          <cell r="D404">
            <v>246779412033</v>
          </cell>
          <cell r="E404" t="str">
            <v>17/03/2025</v>
          </cell>
          <cell r="F404">
            <v>-22.42</v>
          </cell>
          <cell r="G404"/>
          <cell r="H404">
            <v>-1951.49</v>
          </cell>
        </row>
        <row r="405">
          <cell r="D405" t="str">
            <v>246779411409_R</v>
          </cell>
          <cell r="E405" t="str">
            <v>14/03/2025</v>
          </cell>
          <cell r="F405">
            <v>249.55</v>
          </cell>
          <cell r="G405"/>
          <cell r="H405">
            <v>21721.43</v>
          </cell>
        </row>
        <row r="406">
          <cell r="D406">
            <v>246779412047</v>
          </cell>
          <cell r="E406" t="str">
            <v>17/03/2025</v>
          </cell>
          <cell r="F406">
            <v>-28.03</v>
          </cell>
          <cell r="G406"/>
          <cell r="H406">
            <v>-2439.8000000000002</v>
          </cell>
        </row>
        <row r="407">
          <cell r="D407">
            <v>246779411908</v>
          </cell>
          <cell r="E407" t="str">
            <v>17/03/2025</v>
          </cell>
          <cell r="F407">
            <v>-28.41</v>
          </cell>
          <cell r="G407"/>
          <cell r="H407">
            <v>-2472.88</v>
          </cell>
        </row>
        <row r="408">
          <cell r="D408">
            <v>2512590</v>
          </cell>
          <cell r="E408" t="str">
            <v>21/07/2025</v>
          </cell>
          <cell r="F408">
            <v>0</v>
          </cell>
          <cell r="G408"/>
          <cell r="H408">
            <v>2396201.27</v>
          </cell>
        </row>
        <row r="409">
          <cell r="D409">
            <v>2513416</v>
          </cell>
          <cell r="E409" t="str">
            <v>21/07/2025</v>
          </cell>
          <cell r="F409">
            <v>0</v>
          </cell>
          <cell r="G409"/>
          <cell r="H409">
            <v>2396201.27</v>
          </cell>
        </row>
        <row r="410">
          <cell r="D410">
            <v>2516019</v>
          </cell>
          <cell r="E410" t="str">
            <v>31/07/2025</v>
          </cell>
          <cell r="F410">
            <v>0</v>
          </cell>
          <cell r="G410"/>
          <cell r="H410">
            <v>-2396201.27</v>
          </cell>
        </row>
        <row r="411">
          <cell r="D411" t="str">
            <v>246779411409_R</v>
          </cell>
          <cell r="E411" t="str">
            <v>14/03/2025</v>
          </cell>
          <cell r="F411">
            <v>0</v>
          </cell>
          <cell r="G411"/>
          <cell r="H411">
            <v>-2.0499999999999998</v>
          </cell>
        </row>
        <row r="412">
          <cell r="D412">
            <v>246779411973</v>
          </cell>
          <cell r="E412" t="str">
            <v>17/03/2025</v>
          </cell>
          <cell r="F412">
            <v>8.52</v>
          </cell>
          <cell r="G412"/>
          <cell r="H412">
            <v>741.6</v>
          </cell>
        </row>
        <row r="413">
          <cell r="D413">
            <v>246779412047</v>
          </cell>
          <cell r="E413" t="str">
            <v>17/03/2025</v>
          </cell>
          <cell r="F413">
            <v>0.56000000000000005</v>
          </cell>
          <cell r="G413"/>
          <cell r="H413">
            <v>48.74</v>
          </cell>
        </row>
        <row r="414">
          <cell r="D414">
            <v>246779411908</v>
          </cell>
          <cell r="E414" t="str">
            <v>17/03/2025</v>
          </cell>
          <cell r="F414">
            <v>0.56999999999999995</v>
          </cell>
          <cell r="G414"/>
          <cell r="H414">
            <v>49.61</v>
          </cell>
        </row>
        <row r="415">
          <cell r="D415">
            <v>246779412033</v>
          </cell>
          <cell r="E415" t="str">
            <v>17/03/2025</v>
          </cell>
          <cell r="F415">
            <v>0.45</v>
          </cell>
          <cell r="G415"/>
          <cell r="H415">
            <v>39.17</v>
          </cell>
        </row>
        <row r="416">
          <cell r="D416">
            <v>246779411973</v>
          </cell>
          <cell r="E416" t="str">
            <v>17/03/2025</v>
          </cell>
          <cell r="F416">
            <v>0</v>
          </cell>
          <cell r="G416"/>
          <cell r="H416">
            <v>439.66</v>
          </cell>
        </row>
        <row r="417">
          <cell r="D417">
            <v>246779412033</v>
          </cell>
          <cell r="E417" t="str">
            <v>17/03/2025</v>
          </cell>
          <cell r="F417">
            <v>0</v>
          </cell>
          <cell r="G417"/>
          <cell r="H417">
            <v>23.13</v>
          </cell>
        </row>
        <row r="418">
          <cell r="D418">
            <v>246779412047</v>
          </cell>
          <cell r="E418" t="str">
            <v>17/03/2025</v>
          </cell>
          <cell r="F418">
            <v>0</v>
          </cell>
          <cell r="G418"/>
          <cell r="H418">
            <v>28.93</v>
          </cell>
        </row>
        <row r="419">
          <cell r="D419">
            <v>246779411908</v>
          </cell>
          <cell r="E419" t="str">
            <v>17/03/2025</v>
          </cell>
          <cell r="F419">
            <v>0</v>
          </cell>
          <cell r="G419"/>
          <cell r="H419">
            <v>29.32</v>
          </cell>
        </row>
        <row r="420">
          <cell r="D420">
            <v>246779411730</v>
          </cell>
          <cell r="E420" t="str">
            <v>17/03/2025</v>
          </cell>
          <cell r="F420">
            <v>-11.42</v>
          </cell>
          <cell r="G420"/>
          <cell r="H420">
            <v>-994.02</v>
          </cell>
        </row>
        <row r="421">
          <cell r="D421">
            <v>246779411789</v>
          </cell>
          <cell r="E421" t="str">
            <v>17/03/2025</v>
          </cell>
          <cell r="F421">
            <v>-428.11</v>
          </cell>
          <cell r="G421"/>
          <cell r="H421">
            <v>-37263.730000000003</v>
          </cell>
        </row>
        <row r="422">
          <cell r="D422">
            <v>246779411789</v>
          </cell>
          <cell r="E422" t="str">
            <v>17/03/2025</v>
          </cell>
          <cell r="F422">
            <v>8.56</v>
          </cell>
          <cell r="G422"/>
          <cell r="H422">
            <v>745.08</v>
          </cell>
        </row>
        <row r="423">
          <cell r="D423">
            <v>246779411730</v>
          </cell>
          <cell r="E423" t="str">
            <v>17/03/2025</v>
          </cell>
          <cell r="F423">
            <v>0.23</v>
          </cell>
          <cell r="G423"/>
          <cell r="H423">
            <v>20.02</v>
          </cell>
        </row>
        <row r="424">
          <cell r="D424">
            <v>246779411730</v>
          </cell>
          <cell r="E424" t="str">
            <v>17/03/2025</v>
          </cell>
          <cell r="F424">
            <v>0</v>
          </cell>
          <cell r="G424"/>
          <cell r="H424">
            <v>-23.64</v>
          </cell>
        </row>
        <row r="425">
          <cell r="D425">
            <v>246779411789</v>
          </cell>
          <cell r="E425" t="str">
            <v>17/03/2025</v>
          </cell>
          <cell r="F425">
            <v>0</v>
          </cell>
          <cell r="G425"/>
          <cell r="H425">
            <v>-886.24</v>
          </cell>
        </row>
        <row r="426">
          <cell r="D426">
            <v>256779412012</v>
          </cell>
          <cell r="E426" t="str">
            <v>16/04/2025</v>
          </cell>
          <cell r="F426">
            <v>0</v>
          </cell>
          <cell r="G426"/>
          <cell r="H426">
            <v>-1051.22</v>
          </cell>
        </row>
        <row r="427">
          <cell r="D427">
            <v>256779412012</v>
          </cell>
          <cell r="E427" t="str">
            <v>16/04/2025</v>
          </cell>
          <cell r="F427">
            <v>0</v>
          </cell>
          <cell r="G427"/>
          <cell r="H427">
            <v>22</v>
          </cell>
        </row>
        <row r="428">
          <cell r="D428">
            <v>256779412092</v>
          </cell>
          <cell r="E428" t="str">
            <v>16/04/2025</v>
          </cell>
          <cell r="F428">
            <v>-289.17</v>
          </cell>
          <cell r="G428"/>
          <cell r="H428">
            <v>-24789.67</v>
          </cell>
        </row>
        <row r="429">
          <cell r="D429">
            <v>256779412053</v>
          </cell>
          <cell r="E429" t="str">
            <v>16/04/2025</v>
          </cell>
          <cell r="F429">
            <v>-985.93</v>
          </cell>
          <cell r="G429"/>
          <cell r="H429">
            <v>-84520.79</v>
          </cell>
        </row>
        <row r="430">
          <cell r="D430">
            <v>256779412091</v>
          </cell>
          <cell r="E430" t="str">
            <v>16/04/2025</v>
          </cell>
          <cell r="F430">
            <v>-96.4</v>
          </cell>
          <cell r="G430"/>
          <cell r="H430">
            <v>-8264.08</v>
          </cell>
        </row>
        <row r="431">
          <cell r="D431">
            <v>256779412123</v>
          </cell>
          <cell r="E431" t="str">
            <v>16/04/2025</v>
          </cell>
          <cell r="F431">
            <v>-3318.21</v>
          </cell>
          <cell r="G431"/>
          <cell r="H431">
            <v>-284460.08</v>
          </cell>
        </row>
        <row r="432">
          <cell r="D432">
            <v>256779411969</v>
          </cell>
          <cell r="E432" t="str">
            <v>16/04/2025</v>
          </cell>
          <cell r="F432">
            <v>-79.08</v>
          </cell>
          <cell r="G432"/>
          <cell r="H432">
            <v>-6779.29</v>
          </cell>
        </row>
        <row r="433">
          <cell r="D433">
            <v>256779412053</v>
          </cell>
          <cell r="E433" t="str">
            <v>16/04/2025</v>
          </cell>
          <cell r="F433">
            <v>19.72</v>
          </cell>
          <cell r="G433"/>
          <cell r="H433">
            <v>1690.54</v>
          </cell>
        </row>
        <row r="434">
          <cell r="D434">
            <v>256779411969</v>
          </cell>
          <cell r="E434" t="str">
            <v>16/04/2025</v>
          </cell>
          <cell r="F434">
            <v>1.58</v>
          </cell>
          <cell r="G434"/>
          <cell r="H434">
            <v>135.44999999999999</v>
          </cell>
        </row>
        <row r="435">
          <cell r="D435">
            <v>256779412092</v>
          </cell>
          <cell r="E435" t="str">
            <v>16/04/2025</v>
          </cell>
          <cell r="F435">
            <v>5.78</v>
          </cell>
          <cell r="G435"/>
          <cell r="H435">
            <v>495.5</v>
          </cell>
        </row>
        <row r="436">
          <cell r="D436">
            <v>256779412123</v>
          </cell>
          <cell r="E436" t="str">
            <v>16/04/2025</v>
          </cell>
          <cell r="F436">
            <v>66.36</v>
          </cell>
          <cell r="G436"/>
          <cell r="H436">
            <v>5688.84</v>
          </cell>
        </row>
        <row r="437">
          <cell r="D437">
            <v>256779412091</v>
          </cell>
          <cell r="E437" t="str">
            <v>16/04/2025</v>
          </cell>
          <cell r="F437">
            <v>1.93</v>
          </cell>
          <cell r="G437"/>
          <cell r="H437">
            <v>165.45</v>
          </cell>
        </row>
        <row r="438">
          <cell r="D438">
            <v>256779412092</v>
          </cell>
          <cell r="E438" t="str">
            <v>16/04/2025</v>
          </cell>
          <cell r="F438">
            <v>0</v>
          </cell>
          <cell r="G438"/>
          <cell r="H438">
            <v>-74.400000000000006</v>
          </cell>
        </row>
        <row r="439">
          <cell r="D439">
            <v>256779412053</v>
          </cell>
          <cell r="E439" t="str">
            <v>16/04/2025</v>
          </cell>
          <cell r="F439">
            <v>0</v>
          </cell>
          <cell r="G439"/>
          <cell r="H439">
            <v>-253.67</v>
          </cell>
        </row>
        <row r="440">
          <cell r="D440">
            <v>256779412091</v>
          </cell>
          <cell r="E440" t="str">
            <v>16/04/2025</v>
          </cell>
          <cell r="F440">
            <v>0</v>
          </cell>
          <cell r="G440"/>
          <cell r="H440">
            <v>-24.8</v>
          </cell>
        </row>
        <row r="441">
          <cell r="D441">
            <v>256779412123</v>
          </cell>
          <cell r="E441" t="str">
            <v>16/04/2025</v>
          </cell>
          <cell r="F441">
            <v>0</v>
          </cell>
          <cell r="G441"/>
          <cell r="H441">
            <v>-853.75</v>
          </cell>
        </row>
        <row r="442">
          <cell r="D442">
            <v>256779411969</v>
          </cell>
          <cell r="E442" t="str">
            <v>16/04/2025</v>
          </cell>
          <cell r="F442">
            <v>0</v>
          </cell>
          <cell r="G442"/>
          <cell r="H442">
            <v>-20.350000000000001</v>
          </cell>
        </row>
        <row r="443">
          <cell r="D443">
            <v>256779411867</v>
          </cell>
          <cell r="E443" t="str">
            <v>16/04/2025</v>
          </cell>
          <cell r="F443">
            <v>-295</v>
          </cell>
          <cell r="G443"/>
          <cell r="H443">
            <v>-25289.46</v>
          </cell>
        </row>
        <row r="444">
          <cell r="D444">
            <v>256779411867</v>
          </cell>
          <cell r="E444" t="str">
            <v>16/04/2025</v>
          </cell>
          <cell r="F444">
            <v>5.9</v>
          </cell>
          <cell r="G444"/>
          <cell r="H444">
            <v>505.79</v>
          </cell>
        </row>
        <row r="445">
          <cell r="D445">
            <v>256779411867</v>
          </cell>
          <cell r="E445" t="str">
            <v>16/04/2025</v>
          </cell>
          <cell r="F445">
            <v>0</v>
          </cell>
          <cell r="G445"/>
          <cell r="H445">
            <v>-847.79</v>
          </cell>
        </row>
        <row r="446">
          <cell r="D446">
            <v>256779411970</v>
          </cell>
          <cell r="E446" t="str">
            <v>16/04/2025</v>
          </cell>
          <cell r="F446">
            <v>-8.66</v>
          </cell>
          <cell r="G446"/>
          <cell r="H446">
            <v>-742.4</v>
          </cell>
        </row>
        <row r="447">
          <cell r="D447">
            <v>256779411970</v>
          </cell>
          <cell r="E447" t="str">
            <v>16/04/2025</v>
          </cell>
          <cell r="F447">
            <v>0.17</v>
          </cell>
          <cell r="G447"/>
          <cell r="H447">
            <v>14.57</v>
          </cell>
        </row>
        <row r="448">
          <cell r="D448">
            <v>256779411867</v>
          </cell>
          <cell r="E448" t="str">
            <v>16/04/2025</v>
          </cell>
          <cell r="F448">
            <v>0</v>
          </cell>
          <cell r="G448"/>
          <cell r="H448">
            <v>117.64</v>
          </cell>
        </row>
        <row r="449">
          <cell r="D449">
            <v>256779411970</v>
          </cell>
          <cell r="E449" t="str">
            <v>16/04/2025</v>
          </cell>
          <cell r="F449">
            <v>0</v>
          </cell>
          <cell r="G449"/>
          <cell r="H449">
            <v>-21.43</v>
          </cell>
        </row>
        <row r="450">
          <cell r="D450">
            <v>256779411867</v>
          </cell>
          <cell r="E450" t="str">
            <v>16/04/2025</v>
          </cell>
          <cell r="F450">
            <v>0</v>
          </cell>
          <cell r="G450"/>
          <cell r="H450">
            <v>-260.83</v>
          </cell>
        </row>
        <row r="451">
          <cell r="D451">
            <v>256779411867</v>
          </cell>
          <cell r="E451" t="str">
            <v>16/04/2025</v>
          </cell>
          <cell r="F451">
            <v>0</v>
          </cell>
          <cell r="G451"/>
          <cell r="H451">
            <v>-212.77</v>
          </cell>
        </row>
        <row r="452">
          <cell r="D452">
            <v>256779411867</v>
          </cell>
          <cell r="E452" t="str">
            <v>16/04/2025</v>
          </cell>
          <cell r="F452">
            <v>0</v>
          </cell>
          <cell r="G452"/>
          <cell r="H452">
            <v>-503.02</v>
          </cell>
        </row>
        <row r="453">
          <cell r="D453">
            <v>256779411468</v>
          </cell>
          <cell r="E453" t="str">
            <v>15/04/2025</v>
          </cell>
          <cell r="F453">
            <v>-26.55</v>
          </cell>
          <cell r="G453"/>
          <cell r="H453">
            <v>-2276.0500000000002</v>
          </cell>
        </row>
        <row r="454">
          <cell r="D454">
            <v>256779411468</v>
          </cell>
          <cell r="E454" t="str">
            <v>15/04/2025</v>
          </cell>
          <cell r="F454">
            <v>0.53</v>
          </cell>
          <cell r="G454"/>
          <cell r="H454">
            <v>45.44</v>
          </cell>
        </row>
        <row r="455">
          <cell r="D455">
            <v>256779411467</v>
          </cell>
          <cell r="E455" t="str">
            <v>15/04/2025</v>
          </cell>
          <cell r="F455">
            <v>-35.4</v>
          </cell>
          <cell r="G455"/>
          <cell r="H455">
            <v>-3034.73</v>
          </cell>
        </row>
        <row r="456">
          <cell r="D456">
            <v>256779411467</v>
          </cell>
          <cell r="E456" t="str">
            <v>15/04/2025</v>
          </cell>
          <cell r="F456">
            <v>0.71</v>
          </cell>
          <cell r="G456"/>
          <cell r="H456">
            <v>60.87</v>
          </cell>
        </row>
        <row r="457">
          <cell r="D457">
            <v>256779411467</v>
          </cell>
          <cell r="E457" t="str">
            <v>15/04/2025</v>
          </cell>
          <cell r="F457">
            <v>0</v>
          </cell>
          <cell r="G457"/>
          <cell r="H457">
            <v>-101.74</v>
          </cell>
        </row>
        <row r="458">
          <cell r="D458">
            <v>256779411467</v>
          </cell>
          <cell r="E458" t="str">
            <v>15/04/2025</v>
          </cell>
          <cell r="F458">
            <v>0</v>
          </cell>
          <cell r="G458"/>
          <cell r="H458">
            <v>14.12</v>
          </cell>
        </row>
        <row r="459">
          <cell r="D459">
            <v>256779411467</v>
          </cell>
          <cell r="E459" t="str">
            <v>15/04/2025</v>
          </cell>
          <cell r="F459">
            <v>0</v>
          </cell>
          <cell r="G459"/>
          <cell r="H459">
            <v>-31.3</v>
          </cell>
        </row>
        <row r="460">
          <cell r="D460">
            <v>256779411466</v>
          </cell>
          <cell r="E460" t="str">
            <v>15/04/2025</v>
          </cell>
          <cell r="F460">
            <v>-35.4</v>
          </cell>
          <cell r="G460"/>
          <cell r="H460">
            <v>-3034.73</v>
          </cell>
        </row>
        <row r="461">
          <cell r="D461">
            <v>256779411465</v>
          </cell>
          <cell r="E461" t="str">
            <v>15/04/2025</v>
          </cell>
          <cell r="F461">
            <v>-32.450000000000003</v>
          </cell>
          <cell r="G461"/>
          <cell r="H461">
            <v>-2781.84</v>
          </cell>
        </row>
        <row r="462">
          <cell r="D462">
            <v>256779411465</v>
          </cell>
          <cell r="E462" t="str">
            <v>15/04/2025</v>
          </cell>
          <cell r="F462">
            <v>0.65</v>
          </cell>
          <cell r="G462"/>
          <cell r="H462">
            <v>55.72</v>
          </cell>
        </row>
        <row r="463">
          <cell r="D463">
            <v>256779411466</v>
          </cell>
          <cell r="E463" t="str">
            <v>15/04/2025</v>
          </cell>
          <cell r="F463">
            <v>0.71</v>
          </cell>
          <cell r="G463"/>
          <cell r="H463">
            <v>60.87</v>
          </cell>
        </row>
        <row r="464">
          <cell r="D464">
            <v>256779411463</v>
          </cell>
          <cell r="E464" t="str">
            <v>15/04/2025</v>
          </cell>
          <cell r="F464">
            <v>-23.6</v>
          </cell>
          <cell r="G464"/>
          <cell r="H464">
            <v>-2023.16</v>
          </cell>
        </row>
        <row r="465">
          <cell r="D465">
            <v>256779411463</v>
          </cell>
          <cell r="E465" t="str">
            <v>15/04/2025</v>
          </cell>
          <cell r="F465">
            <v>0.47</v>
          </cell>
          <cell r="G465"/>
          <cell r="H465">
            <v>40.29</v>
          </cell>
        </row>
        <row r="466">
          <cell r="D466">
            <v>256779411467</v>
          </cell>
          <cell r="E466" t="str">
            <v>15/04/2025</v>
          </cell>
          <cell r="F466">
            <v>0</v>
          </cell>
          <cell r="G466"/>
          <cell r="H466">
            <v>-25.53</v>
          </cell>
        </row>
        <row r="467">
          <cell r="D467">
            <v>256779411466</v>
          </cell>
          <cell r="E467" t="str">
            <v>15/04/2025</v>
          </cell>
          <cell r="F467">
            <v>0</v>
          </cell>
          <cell r="G467"/>
          <cell r="H467">
            <v>-144.44999999999999</v>
          </cell>
        </row>
        <row r="468">
          <cell r="D468">
            <v>256779411465</v>
          </cell>
          <cell r="E468" t="str">
            <v>15/04/2025</v>
          </cell>
          <cell r="F468">
            <v>0</v>
          </cell>
          <cell r="G468"/>
          <cell r="H468">
            <v>-132.41</v>
          </cell>
        </row>
        <row r="469">
          <cell r="D469">
            <v>256779411463</v>
          </cell>
          <cell r="E469" t="str">
            <v>15/04/2025</v>
          </cell>
          <cell r="F469">
            <v>0</v>
          </cell>
          <cell r="G469"/>
          <cell r="H469">
            <v>-96.3</v>
          </cell>
        </row>
        <row r="470">
          <cell r="D470">
            <v>256779411467</v>
          </cell>
          <cell r="E470" t="str">
            <v>15/04/2025</v>
          </cell>
          <cell r="F470">
            <v>0</v>
          </cell>
          <cell r="G470"/>
          <cell r="H470">
            <v>-60.36</v>
          </cell>
        </row>
        <row r="471">
          <cell r="D471">
            <v>256779411466</v>
          </cell>
          <cell r="E471" t="str">
            <v>15/04/2025</v>
          </cell>
          <cell r="F471">
            <v>0</v>
          </cell>
          <cell r="G471"/>
          <cell r="H471">
            <v>-60.36</v>
          </cell>
        </row>
        <row r="472">
          <cell r="D472">
            <v>256779411465</v>
          </cell>
          <cell r="E472" t="str">
            <v>15/04/2025</v>
          </cell>
          <cell r="F472">
            <v>0</v>
          </cell>
          <cell r="G472"/>
          <cell r="H472">
            <v>-55.33</v>
          </cell>
        </row>
        <row r="473">
          <cell r="D473">
            <v>256779411463</v>
          </cell>
          <cell r="E473" t="str">
            <v>15/04/2025</v>
          </cell>
          <cell r="F473">
            <v>0</v>
          </cell>
          <cell r="G473"/>
          <cell r="H473">
            <v>-40.25</v>
          </cell>
        </row>
        <row r="474">
          <cell r="D474">
            <v>246779411407</v>
          </cell>
          <cell r="E474" t="str">
            <v>14/03/2025</v>
          </cell>
          <cell r="F474">
            <v>-57.23</v>
          </cell>
          <cell r="G474"/>
          <cell r="H474">
            <v>-4981.4399999999996</v>
          </cell>
        </row>
        <row r="475">
          <cell r="D475">
            <v>246779411410</v>
          </cell>
          <cell r="E475" t="str">
            <v>14/03/2025</v>
          </cell>
          <cell r="F475">
            <v>-40.06</v>
          </cell>
          <cell r="G475"/>
          <cell r="H475">
            <v>-3486.92</v>
          </cell>
        </row>
        <row r="476">
          <cell r="D476">
            <v>246779411413</v>
          </cell>
          <cell r="E476" t="str">
            <v>14/03/2025</v>
          </cell>
          <cell r="F476">
            <v>-40.06</v>
          </cell>
          <cell r="G476"/>
          <cell r="H476">
            <v>-3486.92</v>
          </cell>
        </row>
        <row r="477">
          <cell r="D477">
            <v>246779411414</v>
          </cell>
          <cell r="E477" t="str">
            <v>14/03/2025</v>
          </cell>
          <cell r="F477">
            <v>-28.62</v>
          </cell>
          <cell r="G477"/>
          <cell r="H477">
            <v>-2491.15</v>
          </cell>
        </row>
        <row r="478">
          <cell r="D478">
            <v>246779411415</v>
          </cell>
          <cell r="E478" t="str">
            <v>14/03/2025</v>
          </cell>
          <cell r="F478">
            <v>-22.89</v>
          </cell>
          <cell r="G478"/>
          <cell r="H478">
            <v>-1992.4</v>
          </cell>
        </row>
        <row r="479">
          <cell r="D479">
            <v>246779411417</v>
          </cell>
          <cell r="E479" t="str">
            <v>14/03/2025</v>
          </cell>
          <cell r="F479">
            <v>-68.680000000000007</v>
          </cell>
          <cell r="G479"/>
          <cell r="H479">
            <v>-5978.07</v>
          </cell>
        </row>
        <row r="480">
          <cell r="D480">
            <v>246779411419</v>
          </cell>
          <cell r="E480" t="str">
            <v>14/03/2025</v>
          </cell>
          <cell r="F480">
            <v>-23.35</v>
          </cell>
          <cell r="G480"/>
          <cell r="H480">
            <v>-2032.44</v>
          </cell>
        </row>
        <row r="481">
          <cell r="D481">
            <v>246779411409</v>
          </cell>
          <cell r="E481" t="str">
            <v>14/03/2025</v>
          </cell>
          <cell r="F481">
            <v>-249.55</v>
          </cell>
          <cell r="G481"/>
          <cell r="H481">
            <v>-21721.43</v>
          </cell>
        </row>
        <row r="482">
          <cell r="D482">
            <v>246779411408</v>
          </cell>
          <cell r="E482" t="str">
            <v>14/03/2025</v>
          </cell>
          <cell r="F482">
            <v>-40.06</v>
          </cell>
          <cell r="G482"/>
          <cell r="H482">
            <v>-3486.92</v>
          </cell>
        </row>
        <row r="483">
          <cell r="D483">
            <v>246779411411</v>
          </cell>
          <cell r="E483" t="str">
            <v>14/03/2025</v>
          </cell>
          <cell r="F483">
            <v>-45.79</v>
          </cell>
          <cell r="G483"/>
          <cell r="H483">
            <v>-3985.67</v>
          </cell>
        </row>
        <row r="484">
          <cell r="D484">
            <v>246779411412</v>
          </cell>
          <cell r="E484" t="str">
            <v>14/03/2025</v>
          </cell>
          <cell r="F484">
            <v>-20.03</v>
          </cell>
          <cell r="G484"/>
          <cell r="H484">
            <v>-1743.46</v>
          </cell>
        </row>
        <row r="485">
          <cell r="D485">
            <v>246779411416</v>
          </cell>
          <cell r="E485" t="str">
            <v>14/03/2025</v>
          </cell>
          <cell r="F485">
            <v>-114.46</v>
          </cell>
          <cell r="G485"/>
          <cell r="H485">
            <v>-9962.8700000000008</v>
          </cell>
        </row>
        <row r="486">
          <cell r="D486">
            <v>246779411418</v>
          </cell>
          <cell r="E486" t="str">
            <v>14/03/2025</v>
          </cell>
          <cell r="F486">
            <v>-312.5</v>
          </cell>
          <cell r="G486"/>
          <cell r="H486">
            <v>-27200.75</v>
          </cell>
        </row>
        <row r="487">
          <cell r="D487">
            <v>246779411414</v>
          </cell>
          <cell r="E487" t="str">
            <v>14/03/2025</v>
          </cell>
          <cell r="F487">
            <v>0.56999999999999995</v>
          </cell>
          <cell r="G487"/>
          <cell r="H487">
            <v>49.61</v>
          </cell>
        </row>
        <row r="488">
          <cell r="D488">
            <v>246779411408</v>
          </cell>
          <cell r="E488" t="str">
            <v>14/03/2025</v>
          </cell>
          <cell r="F488">
            <v>0.8</v>
          </cell>
          <cell r="G488"/>
          <cell r="H488">
            <v>69.63</v>
          </cell>
        </row>
        <row r="489">
          <cell r="D489">
            <v>246779411413</v>
          </cell>
          <cell r="E489" t="str">
            <v>14/03/2025</v>
          </cell>
          <cell r="F489">
            <v>0.8</v>
          </cell>
          <cell r="G489"/>
          <cell r="H489">
            <v>69.63</v>
          </cell>
        </row>
        <row r="490">
          <cell r="D490">
            <v>246779411410</v>
          </cell>
          <cell r="E490" t="str">
            <v>14/03/2025</v>
          </cell>
          <cell r="F490">
            <v>0.8</v>
          </cell>
          <cell r="G490"/>
          <cell r="H490">
            <v>69.63</v>
          </cell>
        </row>
        <row r="491">
          <cell r="D491">
            <v>246779411416</v>
          </cell>
          <cell r="E491" t="str">
            <v>14/03/2025</v>
          </cell>
          <cell r="F491">
            <v>2.29</v>
          </cell>
          <cell r="G491"/>
          <cell r="H491">
            <v>199.33</v>
          </cell>
        </row>
        <row r="492">
          <cell r="D492">
            <v>246779411409</v>
          </cell>
          <cell r="E492" t="str">
            <v>14/03/2025</v>
          </cell>
          <cell r="F492">
            <v>4.99</v>
          </cell>
          <cell r="G492"/>
          <cell r="H492">
            <v>434.34</v>
          </cell>
        </row>
        <row r="493">
          <cell r="D493">
            <v>246779411411</v>
          </cell>
          <cell r="E493" t="str">
            <v>14/03/2025</v>
          </cell>
          <cell r="F493">
            <v>0.92</v>
          </cell>
          <cell r="G493"/>
          <cell r="H493">
            <v>80.08</v>
          </cell>
        </row>
        <row r="494">
          <cell r="D494">
            <v>246779411418</v>
          </cell>
          <cell r="E494" t="str">
            <v>14/03/2025</v>
          </cell>
          <cell r="F494">
            <v>6.25</v>
          </cell>
          <cell r="G494"/>
          <cell r="H494">
            <v>544.02</v>
          </cell>
        </row>
        <row r="495">
          <cell r="D495">
            <v>246779411415</v>
          </cell>
          <cell r="E495" t="str">
            <v>14/03/2025</v>
          </cell>
          <cell r="F495">
            <v>0.46</v>
          </cell>
          <cell r="G495"/>
          <cell r="H495">
            <v>40.04</v>
          </cell>
        </row>
        <row r="496">
          <cell r="D496">
            <v>246779411419</v>
          </cell>
          <cell r="E496" t="str">
            <v>14/03/2025</v>
          </cell>
          <cell r="F496">
            <v>0.47</v>
          </cell>
          <cell r="G496"/>
          <cell r="H496">
            <v>40.909999999999997</v>
          </cell>
        </row>
        <row r="497">
          <cell r="D497">
            <v>246779411417</v>
          </cell>
          <cell r="E497" t="str">
            <v>14/03/2025</v>
          </cell>
          <cell r="F497">
            <v>1.37</v>
          </cell>
          <cell r="G497"/>
          <cell r="H497">
            <v>119.25</v>
          </cell>
        </row>
        <row r="498">
          <cell r="D498">
            <v>246779411407</v>
          </cell>
          <cell r="E498" t="str">
            <v>14/03/2025</v>
          </cell>
          <cell r="F498">
            <v>1.1399999999999999</v>
          </cell>
          <cell r="G498"/>
          <cell r="H498">
            <v>99.23</v>
          </cell>
        </row>
        <row r="499">
          <cell r="D499">
            <v>246779411412</v>
          </cell>
          <cell r="E499" t="str">
            <v>14/03/2025</v>
          </cell>
          <cell r="F499">
            <v>0.4</v>
          </cell>
          <cell r="G499"/>
          <cell r="H499">
            <v>34.82</v>
          </cell>
        </row>
        <row r="500">
          <cell r="D500" t="str">
            <v>246779411409_D</v>
          </cell>
          <cell r="E500" t="str">
            <v>14/03/2025</v>
          </cell>
          <cell r="F500">
            <v>-249.55</v>
          </cell>
          <cell r="G500"/>
          <cell r="H500">
            <v>-21721.43</v>
          </cell>
        </row>
        <row r="501">
          <cell r="D501" t="str">
            <v>246779411409_D</v>
          </cell>
          <cell r="E501" t="str">
            <v>14/03/2025</v>
          </cell>
          <cell r="F501">
            <v>4.99</v>
          </cell>
          <cell r="G501"/>
          <cell r="H501">
            <v>434.34</v>
          </cell>
        </row>
        <row r="502">
          <cell r="D502">
            <v>246779411312</v>
          </cell>
          <cell r="E502" t="str">
            <v>13/03/2025</v>
          </cell>
          <cell r="F502">
            <v>-27</v>
          </cell>
          <cell r="G502"/>
          <cell r="H502">
            <v>-2350.15</v>
          </cell>
        </row>
        <row r="503">
          <cell r="D503">
            <v>246779411312</v>
          </cell>
          <cell r="E503" t="str">
            <v>13/03/2025</v>
          </cell>
          <cell r="F503">
            <v>0.54</v>
          </cell>
          <cell r="G503"/>
          <cell r="H503">
            <v>47</v>
          </cell>
        </row>
        <row r="504">
          <cell r="D504">
            <v>256779415389</v>
          </cell>
          <cell r="E504">
            <v>45937</v>
          </cell>
          <cell r="F504">
            <v>-170.62</v>
          </cell>
          <cell r="G504"/>
          <cell r="H504">
            <v>-15094.75</v>
          </cell>
        </row>
        <row r="505">
          <cell r="D505">
            <v>256779415346</v>
          </cell>
          <cell r="E505">
            <v>45937</v>
          </cell>
          <cell r="F505">
            <v>-17.5</v>
          </cell>
          <cell r="G505"/>
          <cell r="H505">
            <v>-1548.23</v>
          </cell>
        </row>
        <row r="506">
          <cell r="D506">
            <v>256779415350</v>
          </cell>
          <cell r="E506">
            <v>45937</v>
          </cell>
          <cell r="F506">
            <v>-22.5</v>
          </cell>
          <cell r="G506"/>
          <cell r="H506">
            <v>-1990.58</v>
          </cell>
        </row>
        <row r="507">
          <cell r="D507">
            <v>256779415316</v>
          </cell>
          <cell r="E507">
            <v>45937</v>
          </cell>
          <cell r="F507">
            <v>-60</v>
          </cell>
          <cell r="G507"/>
          <cell r="H507">
            <v>-5308.2</v>
          </cell>
        </row>
        <row r="508">
          <cell r="D508">
            <v>256779415355</v>
          </cell>
          <cell r="E508">
            <v>45937</v>
          </cell>
          <cell r="F508">
            <v>-21.37</v>
          </cell>
          <cell r="G508"/>
          <cell r="H508">
            <v>-1890.6</v>
          </cell>
        </row>
        <row r="509">
          <cell r="D509">
            <v>256779415303</v>
          </cell>
          <cell r="E509">
            <v>45937</v>
          </cell>
          <cell r="F509">
            <v>-100</v>
          </cell>
          <cell r="G509"/>
          <cell r="H509">
            <v>-8847</v>
          </cell>
        </row>
        <row r="510">
          <cell r="D510">
            <v>256779415333</v>
          </cell>
          <cell r="E510">
            <v>45937</v>
          </cell>
          <cell r="F510">
            <v>-22.5</v>
          </cell>
          <cell r="G510"/>
          <cell r="H510">
            <v>-1990.58</v>
          </cell>
        </row>
        <row r="511">
          <cell r="D511">
            <v>256779415304</v>
          </cell>
          <cell r="E511">
            <v>45937</v>
          </cell>
          <cell r="F511">
            <v>-30</v>
          </cell>
          <cell r="G511"/>
          <cell r="H511">
            <v>-2654.1</v>
          </cell>
        </row>
        <row r="512">
          <cell r="D512">
            <v>256779415377</v>
          </cell>
          <cell r="E512">
            <v>45937</v>
          </cell>
          <cell r="F512">
            <v>-50</v>
          </cell>
          <cell r="G512"/>
          <cell r="H512">
            <v>-4423.5</v>
          </cell>
        </row>
        <row r="513">
          <cell r="D513">
            <v>256779415298</v>
          </cell>
          <cell r="E513">
            <v>45937</v>
          </cell>
          <cell r="F513">
            <v>-24</v>
          </cell>
          <cell r="G513"/>
          <cell r="H513">
            <v>-2123.2800000000002</v>
          </cell>
        </row>
        <row r="514">
          <cell r="D514">
            <v>256779415380</v>
          </cell>
          <cell r="E514">
            <v>45937</v>
          </cell>
          <cell r="F514">
            <v>-200</v>
          </cell>
          <cell r="G514"/>
          <cell r="H514">
            <v>-17694</v>
          </cell>
        </row>
        <row r="515">
          <cell r="D515">
            <v>256779415341</v>
          </cell>
          <cell r="E515">
            <v>45937</v>
          </cell>
          <cell r="F515">
            <v>-15</v>
          </cell>
          <cell r="G515"/>
          <cell r="H515">
            <v>-1327.05</v>
          </cell>
        </row>
        <row r="516">
          <cell r="D516">
            <v>256779415385</v>
          </cell>
          <cell r="E516">
            <v>45937</v>
          </cell>
          <cell r="F516">
            <v>-24</v>
          </cell>
          <cell r="G516"/>
          <cell r="H516">
            <v>-2123.2800000000002</v>
          </cell>
        </row>
        <row r="517">
          <cell r="D517">
            <v>256779415293</v>
          </cell>
          <cell r="E517">
            <v>45937</v>
          </cell>
          <cell r="F517">
            <v>-24</v>
          </cell>
          <cell r="G517"/>
          <cell r="H517">
            <v>-2123.2800000000002</v>
          </cell>
        </row>
        <row r="518">
          <cell r="D518">
            <v>256779415359</v>
          </cell>
          <cell r="E518">
            <v>45937</v>
          </cell>
          <cell r="F518">
            <v>-200</v>
          </cell>
          <cell r="G518"/>
          <cell r="H518">
            <v>-17694</v>
          </cell>
        </row>
        <row r="519">
          <cell r="D519">
            <v>256779415374</v>
          </cell>
          <cell r="E519">
            <v>45937</v>
          </cell>
          <cell r="F519">
            <v>-469.38</v>
          </cell>
          <cell r="G519"/>
          <cell r="H519">
            <v>-41526.050000000003</v>
          </cell>
        </row>
        <row r="520">
          <cell r="D520">
            <v>256779415338</v>
          </cell>
          <cell r="E520">
            <v>45937</v>
          </cell>
          <cell r="F520">
            <v>-12.5</v>
          </cell>
          <cell r="G520"/>
          <cell r="H520">
            <v>-1105.8800000000001</v>
          </cell>
        </row>
        <row r="521">
          <cell r="D521">
            <v>256779415344</v>
          </cell>
          <cell r="E521">
            <v>45937</v>
          </cell>
          <cell r="F521">
            <v>-25</v>
          </cell>
          <cell r="G521"/>
          <cell r="H521">
            <v>-2211.75</v>
          </cell>
        </row>
        <row r="522">
          <cell r="D522">
            <v>256779415345</v>
          </cell>
          <cell r="E522">
            <v>45937</v>
          </cell>
          <cell r="F522">
            <v>-25</v>
          </cell>
          <cell r="G522"/>
          <cell r="H522">
            <v>-2211.75</v>
          </cell>
        </row>
        <row r="523">
          <cell r="D523">
            <v>256779415388</v>
          </cell>
          <cell r="E523">
            <v>45937</v>
          </cell>
          <cell r="F523">
            <v>-2261.63</v>
          </cell>
          <cell r="G523"/>
          <cell r="H523">
            <v>-200086.41</v>
          </cell>
        </row>
        <row r="524">
          <cell r="D524">
            <v>256779415310</v>
          </cell>
          <cell r="E524">
            <v>45937</v>
          </cell>
          <cell r="F524">
            <v>-30</v>
          </cell>
          <cell r="G524"/>
          <cell r="H524">
            <v>-2654.1</v>
          </cell>
        </row>
        <row r="525">
          <cell r="D525">
            <v>256779415379</v>
          </cell>
          <cell r="E525">
            <v>45937</v>
          </cell>
          <cell r="F525">
            <v>-233.11</v>
          </cell>
          <cell r="G525"/>
          <cell r="H525">
            <v>-20623.240000000002</v>
          </cell>
        </row>
        <row r="526">
          <cell r="D526">
            <v>256779415384</v>
          </cell>
          <cell r="E526">
            <v>45937</v>
          </cell>
          <cell r="F526">
            <v>-350</v>
          </cell>
          <cell r="G526"/>
          <cell r="H526">
            <v>-30964.5</v>
          </cell>
        </row>
        <row r="527">
          <cell r="D527">
            <v>256779415339</v>
          </cell>
          <cell r="E527">
            <v>45937</v>
          </cell>
          <cell r="F527">
            <v>-27.39</v>
          </cell>
          <cell r="G527"/>
          <cell r="H527">
            <v>-2423.19</v>
          </cell>
        </row>
        <row r="528">
          <cell r="D528">
            <v>256779415393</v>
          </cell>
          <cell r="E528">
            <v>45937</v>
          </cell>
          <cell r="F528">
            <v>-60</v>
          </cell>
          <cell r="G528"/>
          <cell r="H528">
            <v>-5308.2</v>
          </cell>
        </row>
        <row r="529">
          <cell r="D529">
            <v>256779415357</v>
          </cell>
          <cell r="E529">
            <v>45937</v>
          </cell>
          <cell r="F529">
            <v>-207.27</v>
          </cell>
          <cell r="G529"/>
          <cell r="H529">
            <v>-18337.18</v>
          </cell>
        </row>
        <row r="530">
          <cell r="D530">
            <v>256779415300</v>
          </cell>
          <cell r="E530">
            <v>45937</v>
          </cell>
          <cell r="F530">
            <v>-24</v>
          </cell>
          <cell r="G530"/>
          <cell r="H530">
            <v>-2123.2800000000002</v>
          </cell>
        </row>
        <row r="531">
          <cell r="D531">
            <v>256779415375</v>
          </cell>
          <cell r="E531">
            <v>45937</v>
          </cell>
          <cell r="F531">
            <v>-360</v>
          </cell>
          <cell r="G531"/>
          <cell r="H531">
            <v>-31849.200000000001</v>
          </cell>
        </row>
        <row r="532">
          <cell r="D532">
            <v>256779415349</v>
          </cell>
          <cell r="E532">
            <v>45937</v>
          </cell>
          <cell r="F532">
            <v>-27.5</v>
          </cell>
          <cell r="G532"/>
          <cell r="H532">
            <v>-2432.9299999999998</v>
          </cell>
        </row>
        <row r="533">
          <cell r="D533">
            <v>256779415308</v>
          </cell>
          <cell r="E533">
            <v>45937</v>
          </cell>
          <cell r="F533">
            <v>-30</v>
          </cell>
          <cell r="G533"/>
          <cell r="H533">
            <v>-2654.1</v>
          </cell>
        </row>
        <row r="534">
          <cell r="D534">
            <v>256779415360</v>
          </cell>
          <cell r="E534">
            <v>45937</v>
          </cell>
          <cell r="F534">
            <v>-60</v>
          </cell>
          <cell r="G534"/>
          <cell r="H534">
            <v>-5308.2</v>
          </cell>
        </row>
        <row r="535">
          <cell r="D535">
            <v>256779415318</v>
          </cell>
          <cell r="E535">
            <v>45937</v>
          </cell>
          <cell r="F535">
            <v>-254.65</v>
          </cell>
          <cell r="G535"/>
          <cell r="H535">
            <v>-22528.89</v>
          </cell>
        </row>
        <row r="536">
          <cell r="D536">
            <v>256779415378</v>
          </cell>
          <cell r="E536">
            <v>45937</v>
          </cell>
          <cell r="F536">
            <v>-120</v>
          </cell>
          <cell r="G536"/>
          <cell r="H536">
            <v>-10616.4</v>
          </cell>
        </row>
        <row r="537">
          <cell r="D537">
            <v>256779415391</v>
          </cell>
          <cell r="E537">
            <v>45937</v>
          </cell>
          <cell r="F537">
            <v>-820.07</v>
          </cell>
          <cell r="G537"/>
          <cell r="H537">
            <v>-72551.59</v>
          </cell>
        </row>
        <row r="538">
          <cell r="D538">
            <v>256779415334</v>
          </cell>
          <cell r="E538">
            <v>45937</v>
          </cell>
          <cell r="F538">
            <v>-22.5</v>
          </cell>
          <cell r="G538"/>
          <cell r="H538">
            <v>-1990.58</v>
          </cell>
        </row>
        <row r="539">
          <cell r="D539">
            <v>256779415371</v>
          </cell>
          <cell r="E539">
            <v>45937</v>
          </cell>
          <cell r="F539">
            <v>-43.32</v>
          </cell>
          <cell r="G539"/>
          <cell r="H539">
            <v>-3832.52</v>
          </cell>
        </row>
        <row r="540">
          <cell r="D540">
            <v>256779415305</v>
          </cell>
          <cell r="E540">
            <v>45937</v>
          </cell>
          <cell r="F540">
            <v>-30</v>
          </cell>
          <cell r="G540"/>
          <cell r="H540">
            <v>-2654.1</v>
          </cell>
        </row>
        <row r="541">
          <cell r="D541">
            <v>256779415315</v>
          </cell>
          <cell r="E541">
            <v>45937</v>
          </cell>
          <cell r="F541">
            <v>-120</v>
          </cell>
          <cell r="G541"/>
          <cell r="H541">
            <v>-10616.4</v>
          </cell>
        </row>
        <row r="542">
          <cell r="D542">
            <v>256779415356</v>
          </cell>
          <cell r="E542">
            <v>45937</v>
          </cell>
          <cell r="F542">
            <v>-72</v>
          </cell>
          <cell r="G542"/>
          <cell r="H542">
            <v>-6369.84</v>
          </cell>
        </row>
        <row r="543">
          <cell r="D543">
            <v>256779415383</v>
          </cell>
          <cell r="E543">
            <v>45937</v>
          </cell>
          <cell r="F543">
            <v>-155.80000000000001</v>
          </cell>
          <cell r="G543"/>
          <cell r="H543">
            <v>-13783.63</v>
          </cell>
        </row>
        <row r="544">
          <cell r="D544">
            <v>256779415372</v>
          </cell>
          <cell r="E544">
            <v>45937</v>
          </cell>
          <cell r="F544">
            <v>-155.38</v>
          </cell>
          <cell r="G544"/>
          <cell r="H544">
            <v>-13746.47</v>
          </cell>
        </row>
        <row r="545">
          <cell r="D545">
            <v>256779415361</v>
          </cell>
          <cell r="E545">
            <v>45937</v>
          </cell>
          <cell r="F545">
            <v>-67.5</v>
          </cell>
          <cell r="G545"/>
          <cell r="H545">
            <v>-5971.73</v>
          </cell>
        </row>
        <row r="546">
          <cell r="D546">
            <v>256779415317</v>
          </cell>
          <cell r="E546">
            <v>45937</v>
          </cell>
          <cell r="F546">
            <v>-200</v>
          </cell>
          <cell r="G546"/>
          <cell r="H546">
            <v>-17694</v>
          </cell>
        </row>
        <row r="547">
          <cell r="D547">
            <v>256779415394</v>
          </cell>
          <cell r="E547">
            <v>45937</v>
          </cell>
          <cell r="F547">
            <v>-96</v>
          </cell>
          <cell r="G547"/>
          <cell r="H547">
            <v>-8493.1200000000008</v>
          </cell>
        </row>
        <row r="548">
          <cell r="D548">
            <v>256779415314</v>
          </cell>
          <cell r="E548">
            <v>45937</v>
          </cell>
          <cell r="F548">
            <v>-179.14</v>
          </cell>
          <cell r="G548"/>
          <cell r="H548">
            <v>-15848.52</v>
          </cell>
        </row>
        <row r="549">
          <cell r="D549">
            <v>256779415352</v>
          </cell>
          <cell r="E549">
            <v>45937</v>
          </cell>
          <cell r="F549">
            <v>-155.91999999999999</v>
          </cell>
          <cell r="G549"/>
          <cell r="H549">
            <v>-13794.24</v>
          </cell>
        </row>
        <row r="550">
          <cell r="D550">
            <v>256779415342</v>
          </cell>
          <cell r="E550">
            <v>45937</v>
          </cell>
          <cell r="F550">
            <v>-2.5</v>
          </cell>
          <cell r="G550"/>
          <cell r="H550">
            <v>-221.18</v>
          </cell>
        </row>
        <row r="551">
          <cell r="D551">
            <v>256779415376</v>
          </cell>
          <cell r="E551">
            <v>45937</v>
          </cell>
          <cell r="F551">
            <v>-60</v>
          </cell>
          <cell r="G551"/>
          <cell r="H551">
            <v>-5308.2</v>
          </cell>
        </row>
        <row r="552">
          <cell r="D552">
            <v>256779415336</v>
          </cell>
          <cell r="E552">
            <v>45937</v>
          </cell>
          <cell r="F552">
            <v>-5</v>
          </cell>
          <cell r="G552"/>
          <cell r="H552">
            <v>-442.35</v>
          </cell>
        </row>
        <row r="553">
          <cell r="D553">
            <v>256779415382</v>
          </cell>
          <cell r="E553">
            <v>45937</v>
          </cell>
          <cell r="F553">
            <v>-117.64</v>
          </cell>
          <cell r="G553"/>
          <cell r="H553">
            <v>-10407.61</v>
          </cell>
        </row>
        <row r="554">
          <cell r="D554">
            <v>256779415295</v>
          </cell>
          <cell r="E554">
            <v>45937</v>
          </cell>
          <cell r="F554">
            <v>-24</v>
          </cell>
          <cell r="G554"/>
          <cell r="H554">
            <v>-2123.2800000000002</v>
          </cell>
        </row>
        <row r="555">
          <cell r="D555">
            <v>256779415326</v>
          </cell>
          <cell r="E555">
            <v>45937</v>
          </cell>
          <cell r="F555">
            <v>-185.05</v>
          </cell>
          <cell r="G555"/>
          <cell r="H555">
            <v>-16371.37</v>
          </cell>
        </row>
        <row r="556">
          <cell r="D556">
            <v>256779415306</v>
          </cell>
          <cell r="E556">
            <v>45937</v>
          </cell>
          <cell r="F556">
            <v>-30</v>
          </cell>
          <cell r="G556"/>
          <cell r="H556">
            <v>-2654.1</v>
          </cell>
        </row>
        <row r="557">
          <cell r="D557">
            <v>256779415390</v>
          </cell>
          <cell r="E557">
            <v>45937</v>
          </cell>
          <cell r="F557">
            <v>-110.96</v>
          </cell>
          <cell r="G557"/>
          <cell r="H557">
            <v>-9816.6299999999992</v>
          </cell>
        </row>
        <row r="558">
          <cell r="D558">
            <v>256779415340</v>
          </cell>
          <cell r="E558">
            <v>45937</v>
          </cell>
          <cell r="F558">
            <v>-25.84</v>
          </cell>
          <cell r="G558"/>
          <cell r="H558">
            <v>-2286.06</v>
          </cell>
        </row>
        <row r="559">
          <cell r="D559">
            <v>256779415343</v>
          </cell>
          <cell r="E559">
            <v>45937</v>
          </cell>
          <cell r="F559">
            <v>-1</v>
          </cell>
          <cell r="G559"/>
          <cell r="H559">
            <v>-88.47</v>
          </cell>
        </row>
        <row r="560">
          <cell r="D560">
            <v>256779415395</v>
          </cell>
          <cell r="E560">
            <v>45937</v>
          </cell>
          <cell r="F560">
            <v>-205.72</v>
          </cell>
          <cell r="G560"/>
          <cell r="H560">
            <v>-18200.05</v>
          </cell>
        </row>
        <row r="561">
          <cell r="D561">
            <v>256779415381</v>
          </cell>
          <cell r="E561">
            <v>45937</v>
          </cell>
          <cell r="F561">
            <v>-60</v>
          </cell>
          <cell r="G561"/>
          <cell r="H561">
            <v>-5308.2</v>
          </cell>
        </row>
        <row r="562">
          <cell r="D562">
            <v>256779415392</v>
          </cell>
          <cell r="E562">
            <v>45937</v>
          </cell>
          <cell r="F562">
            <v>-200</v>
          </cell>
          <cell r="G562"/>
          <cell r="H562">
            <v>-17694</v>
          </cell>
        </row>
        <row r="563">
          <cell r="D563">
            <v>256779415358</v>
          </cell>
          <cell r="E563">
            <v>45937</v>
          </cell>
          <cell r="F563">
            <v>-96</v>
          </cell>
          <cell r="G563"/>
          <cell r="H563">
            <v>-8493.1200000000008</v>
          </cell>
        </row>
        <row r="564">
          <cell r="D564">
            <v>256779415337</v>
          </cell>
          <cell r="E564">
            <v>45937</v>
          </cell>
          <cell r="F564">
            <v>-17.5</v>
          </cell>
          <cell r="G564"/>
          <cell r="H564">
            <v>-1548.23</v>
          </cell>
        </row>
        <row r="565">
          <cell r="D565">
            <v>256779415362</v>
          </cell>
          <cell r="E565">
            <v>45937</v>
          </cell>
          <cell r="F565">
            <v>-3</v>
          </cell>
          <cell r="G565"/>
          <cell r="H565">
            <v>-265.41000000000003</v>
          </cell>
        </row>
        <row r="566">
          <cell r="D566">
            <v>256779415373</v>
          </cell>
          <cell r="E566">
            <v>45937</v>
          </cell>
          <cell r="F566">
            <v>-2.63</v>
          </cell>
          <cell r="G566"/>
          <cell r="H566">
            <v>-232.68</v>
          </cell>
        </row>
        <row r="567">
          <cell r="D567">
            <v>256779415386</v>
          </cell>
          <cell r="E567">
            <v>45937</v>
          </cell>
          <cell r="F567">
            <v>-7.5</v>
          </cell>
          <cell r="G567"/>
          <cell r="H567">
            <v>-663.53</v>
          </cell>
        </row>
        <row r="568">
          <cell r="D568">
            <v>256779415348</v>
          </cell>
          <cell r="E568">
            <v>45937</v>
          </cell>
          <cell r="F568">
            <v>-7.5</v>
          </cell>
          <cell r="G568"/>
          <cell r="H568">
            <v>-663.53</v>
          </cell>
        </row>
        <row r="569">
          <cell r="D569">
            <v>256779415369</v>
          </cell>
          <cell r="E569">
            <v>45937</v>
          </cell>
          <cell r="F569">
            <v>-3</v>
          </cell>
          <cell r="G569"/>
          <cell r="H569">
            <v>-265.41000000000003</v>
          </cell>
        </row>
        <row r="570">
          <cell r="D570">
            <v>256779415364</v>
          </cell>
          <cell r="E570">
            <v>45937</v>
          </cell>
          <cell r="F570">
            <v>-200</v>
          </cell>
          <cell r="G570"/>
          <cell r="H570">
            <v>-17694</v>
          </cell>
        </row>
        <row r="571">
          <cell r="D571">
            <v>256779415299</v>
          </cell>
          <cell r="E571">
            <v>45937</v>
          </cell>
          <cell r="F571">
            <v>-24</v>
          </cell>
          <cell r="G571"/>
          <cell r="H571">
            <v>-2123.2800000000002</v>
          </cell>
        </row>
        <row r="572">
          <cell r="D572">
            <v>256779415335</v>
          </cell>
          <cell r="E572">
            <v>45937</v>
          </cell>
          <cell r="F572">
            <v>-25</v>
          </cell>
          <cell r="G572"/>
          <cell r="H572">
            <v>-2211.75</v>
          </cell>
        </row>
        <row r="573">
          <cell r="D573">
            <v>256779415292</v>
          </cell>
          <cell r="E573">
            <v>45937</v>
          </cell>
          <cell r="F573">
            <v>-24</v>
          </cell>
          <cell r="G573"/>
          <cell r="H573">
            <v>-2123.2800000000002</v>
          </cell>
        </row>
        <row r="574">
          <cell r="D574">
            <v>256779415370</v>
          </cell>
          <cell r="E574">
            <v>45937</v>
          </cell>
          <cell r="F574">
            <v>-72</v>
          </cell>
          <cell r="G574"/>
          <cell r="H574">
            <v>-6369.84</v>
          </cell>
        </row>
        <row r="575">
          <cell r="D575">
            <v>256779415294</v>
          </cell>
          <cell r="E575">
            <v>45937</v>
          </cell>
          <cell r="F575">
            <v>-24</v>
          </cell>
          <cell r="G575"/>
          <cell r="H575">
            <v>-2123.2800000000002</v>
          </cell>
        </row>
        <row r="576">
          <cell r="D576">
            <v>256779415307</v>
          </cell>
          <cell r="E576">
            <v>45937</v>
          </cell>
          <cell r="F576">
            <v>-30</v>
          </cell>
          <cell r="G576"/>
          <cell r="H576">
            <v>-2654.1</v>
          </cell>
        </row>
        <row r="577">
          <cell r="D577">
            <v>256779415347</v>
          </cell>
          <cell r="E577">
            <v>45937</v>
          </cell>
          <cell r="F577">
            <v>-20</v>
          </cell>
          <cell r="G577"/>
          <cell r="H577">
            <v>-1769.4</v>
          </cell>
        </row>
        <row r="578">
          <cell r="D578">
            <v>256779415317</v>
          </cell>
          <cell r="E578">
            <v>45937</v>
          </cell>
          <cell r="F578">
            <v>4</v>
          </cell>
          <cell r="G578"/>
          <cell r="H578">
            <v>353.88</v>
          </cell>
        </row>
        <row r="579">
          <cell r="D579">
            <v>256779415346</v>
          </cell>
          <cell r="E579">
            <v>45937</v>
          </cell>
          <cell r="F579">
            <v>0.35</v>
          </cell>
          <cell r="G579"/>
          <cell r="H579">
            <v>30.96</v>
          </cell>
        </row>
        <row r="580">
          <cell r="D580">
            <v>256779415339</v>
          </cell>
          <cell r="E580">
            <v>45937</v>
          </cell>
          <cell r="F580">
            <v>0.55000000000000004</v>
          </cell>
          <cell r="G580"/>
          <cell r="H580">
            <v>48.66</v>
          </cell>
        </row>
        <row r="581">
          <cell r="D581">
            <v>256779415371</v>
          </cell>
          <cell r="E581">
            <v>45937</v>
          </cell>
          <cell r="F581">
            <v>0.87</v>
          </cell>
          <cell r="G581"/>
          <cell r="H581">
            <v>76.97</v>
          </cell>
        </row>
        <row r="582">
          <cell r="D582">
            <v>256779415338</v>
          </cell>
          <cell r="E582">
            <v>45937</v>
          </cell>
          <cell r="F582">
            <v>0.25</v>
          </cell>
          <cell r="G582"/>
          <cell r="H582">
            <v>22.12</v>
          </cell>
        </row>
        <row r="583">
          <cell r="D583">
            <v>256779415359</v>
          </cell>
          <cell r="E583">
            <v>45937</v>
          </cell>
          <cell r="F583">
            <v>4</v>
          </cell>
          <cell r="G583"/>
          <cell r="H583">
            <v>353.88</v>
          </cell>
        </row>
        <row r="584">
          <cell r="D584">
            <v>256779415381</v>
          </cell>
          <cell r="E584">
            <v>45937</v>
          </cell>
          <cell r="F584">
            <v>1.2</v>
          </cell>
          <cell r="G584"/>
          <cell r="H584">
            <v>106.16</v>
          </cell>
        </row>
        <row r="585">
          <cell r="D585">
            <v>256779415391</v>
          </cell>
          <cell r="E585">
            <v>45937</v>
          </cell>
          <cell r="F585">
            <v>16.399999999999999</v>
          </cell>
          <cell r="G585"/>
          <cell r="H585">
            <v>1450.91</v>
          </cell>
        </row>
        <row r="586">
          <cell r="D586">
            <v>256779415358</v>
          </cell>
          <cell r="E586">
            <v>45937</v>
          </cell>
          <cell r="F586">
            <v>1.92</v>
          </cell>
          <cell r="G586"/>
          <cell r="H586">
            <v>169.86</v>
          </cell>
        </row>
        <row r="587">
          <cell r="D587">
            <v>256779415305</v>
          </cell>
          <cell r="E587">
            <v>45937</v>
          </cell>
          <cell r="F587">
            <v>0.6</v>
          </cell>
          <cell r="G587"/>
          <cell r="H587">
            <v>53.08</v>
          </cell>
        </row>
        <row r="588">
          <cell r="D588">
            <v>256779415345</v>
          </cell>
          <cell r="E588">
            <v>45937</v>
          </cell>
          <cell r="F588">
            <v>0.5</v>
          </cell>
          <cell r="G588"/>
          <cell r="H588">
            <v>44.24</v>
          </cell>
        </row>
        <row r="589">
          <cell r="D589">
            <v>256779415300</v>
          </cell>
          <cell r="E589">
            <v>45937</v>
          </cell>
          <cell r="F589">
            <v>0.48</v>
          </cell>
          <cell r="G589"/>
          <cell r="H589">
            <v>42.47</v>
          </cell>
        </row>
        <row r="590">
          <cell r="D590">
            <v>256779415352</v>
          </cell>
          <cell r="E590">
            <v>45937</v>
          </cell>
          <cell r="F590">
            <v>3.12</v>
          </cell>
          <cell r="G590"/>
          <cell r="H590">
            <v>276.02999999999997</v>
          </cell>
        </row>
        <row r="591">
          <cell r="D591">
            <v>256779415304</v>
          </cell>
          <cell r="E591">
            <v>45937</v>
          </cell>
          <cell r="F591">
            <v>0.6</v>
          </cell>
          <cell r="G591"/>
          <cell r="H591">
            <v>53.08</v>
          </cell>
        </row>
        <row r="592">
          <cell r="D592">
            <v>256779415379</v>
          </cell>
          <cell r="E592">
            <v>45937</v>
          </cell>
          <cell r="F592">
            <v>4.66</v>
          </cell>
          <cell r="G592"/>
          <cell r="H592">
            <v>412.27</v>
          </cell>
        </row>
        <row r="593">
          <cell r="D593">
            <v>256779415303</v>
          </cell>
          <cell r="E593">
            <v>45937</v>
          </cell>
          <cell r="F593">
            <v>2</v>
          </cell>
          <cell r="G593"/>
          <cell r="H593">
            <v>176.94</v>
          </cell>
        </row>
        <row r="594">
          <cell r="D594">
            <v>256779415377</v>
          </cell>
          <cell r="E594">
            <v>45937</v>
          </cell>
          <cell r="F594">
            <v>1</v>
          </cell>
          <cell r="G594"/>
          <cell r="H594">
            <v>88.47</v>
          </cell>
        </row>
        <row r="595">
          <cell r="D595">
            <v>256779415392</v>
          </cell>
          <cell r="E595">
            <v>45937</v>
          </cell>
          <cell r="F595">
            <v>4</v>
          </cell>
          <cell r="G595"/>
          <cell r="H595">
            <v>353.88</v>
          </cell>
        </row>
        <row r="596">
          <cell r="D596">
            <v>256779415393</v>
          </cell>
          <cell r="E596">
            <v>45937</v>
          </cell>
          <cell r="F596">
            <v>1.2</v>
          </cell>
          <cell r="G596"/>
          <cell r="H596">
            <v>106.16</v>
          </cell>
        </row>
        <row r="597">
          <cell r="D597">
            <v>256779415362</v>
          </cell>
          <cell r="E597">
            <v>45937</v>
          </cell>
          <cell r="F597">
            <v>0.06</v>
          </cell>
          <cell r="G597"/>
          <cell r="H597">
            <v>5.31</v>
          </cell>
        </row>
        <row r="598">
          <cell r="D598">
            <v>256779415315</v>
          </cell>
          <cell r="E598">
            <v>45937</v>
          </cell>
          <cell r="F598">
            <v>2.4</v>
          </cell>
          <cell r="G598"/>
          <cell r="H598">
            <v>212.33</v>
          </cell>
        </row>
        <row r="599">
          <cell r="D599">
            <v>256779415378</v>
          </cell>
          <cell r="E599">
            <v>45937</v>
          </cell>
          <cell r="F599">
            <v>2.4</v>
          </cell>
          <cell r="G599"/>
          <cell r="H599">
            <v>212.33</v>
          </cell>
        </row>
        <row r="600">
          <cell r="D600">
            <v>256779415356</v>
          </cell>
          <cell r="E600">
            <v>45937</v>
          </cell>
          <cell r="F600">
            <v>1.44</v>
          </cell>
          <cell r="G600"/>
          <cell r="H600">
            <v>127.4</v>
          </cell>
        </row>
        <row r="601">
          <cell r="D601">
            <v>256779415383</v>
          </cell>
          <cell r="E601">
            <v>45937</v>
          </cell>
          <cell r="F601">
            <v>3.12</v>
          </cell>
          <cell r="G601"/>
          <cell r="H601">
            <v>276.02999999999997</v>
          </cell>
        </row>
        <row r="602">
          <cell r="D602">
            <v>256779415375</v>
          </cell>
          <cell r="E602">
            <v>45937</v>
          </cell>
          <cell r="F602">
            <v>7.2</v>
          </cell>
          <cell r="G602"/>
          <cell r="H602">
            <v>636.98</v>
          </cell>
        </row>
        <row r="603">
          <cell r="D603">
            <v>256779415373</v>
          </cell>
          <cell r="E603">
            <v>45937</v>
          </cell>
          <cell r="F603">
            <v>0.05</v>
          </cell>
          <cell r="G603"/>
          <cell r="H603">
            <v>4.42</v>
          </cell>
        </row>
        <row r="604">
          <cell r="D604">
            <v>256779415342</v>
          </cell>
          <cell r="E604">
            <v>45937</v>
          </cell>
          <cell r="F604">
            <v>0.05</v>
          </cell>
          <cell r="G604"/>
          <cell r="H604">
            <v>4.42</v>
          </cell>
        </row>
        <row r="605">
          <cell r="D605">
            <v>256779415372</v>
          </cell>
          <cell r="E605">
            <v>45937</v>
          </cell>
          <cell r="F605">
            <v>3.11</v>
          </cell>
          <cell r="G605"/>
          <cell r="H605">
            <v>275.14</v>
          </cell>
        </row>
        <row r="606">
          <cell r="D606">
            <v>256779415369</v>
          </cell>
          <cell r="E606">
            <v>45937</v>
          </cell>
          <cell r="F606">
            <v>0.06</v>
          </cell>
          <cell r="G606"/>
          <cell r="H606">
            <v>5.31</v>
          </cell>
        </row>
        <row r="607">
          <cell r="D607">
            <v>256779415361</v>
          </cell>
          <cell r="E607">
            <v>45937</v>
          </cell>
          <cell r="F607">
            <v>1.35</v>
          </cell>
          <cell r="G607"/>
          <cell r="H607">
            <v>119.43</v>
          </cell>
        </row>
        <row r="608">
          <cell r="D608">
            <v>256779415306</v>
          </cell>
          <cell r="E608">
            <v>45937</v>
          </cell>
          <cell r="F608">
            <v>0.6</v>
          </cell>
          <cell r="G608"/>
          <cell r="H608">
            <v>53.08</v>
          </cell>
        </row>
        <row r="609">
          <cell r="D609">
            <v>256779415333</v>
          </cell>
          <cell r="E609">
            <v>45937</v>
          </cell>
          <cell r="F609">
            <v>0.45</v>
          </cell>
          <cell r="G609"/>
          <cell r="H609">
            <v>39.81</v>
          </cell>
        </row>
        <row r="610">
          <cell r="D610">
            <v>256779415298</v>
          </cell>
          <cell r="E610">
            <v>45937</v>
          </cell>
          <cell r="F610">
            <v>0.48</v>
          </cell>
          <cell r="G610"/>
          <cell r="H610">
            <v>42.47</v>
          </cell>
        </row>
        <row r="611">
          <cell r="D611">
            <v>256779415386</v>
          </cell>
          <cell r="E611">
            <v>45937</v>
          </cell>
          <cell r="F611">
            <v>0.15</v>
          </cell>
          <cell r="G611"/>
          <cell r="H611">
            <v>13.27</v>
          </cell>
        </row>
        <row r="612">
          <cell r="D612">
            <v>256779415336</v>
          </cell>
          <cell r="E612">
            <v>45937</v>
          </cell>
          <cell r="F612">
            <v>0.1</v>
          </cell>
          <cell r="G612"/>
          <cell r="H612">
            <v>8.85</v>
          </cell>
        </row>
        <row r="613">
          <cell r="D613">
            <v>256779415341</v>
          </cell>
          <cell r="E613">
            <v>45937</v>
          </cell>
          <cell r="F613">
            <v>0.3</v>
          </cell>
          <cell r="G613"/>
          <cell r="H613">
            <v>26.54</v>
          </cell>
        </row>
        <row r="614">
          <cell r="D614">
            <v>256779415380</v>
          </cell>
          <cell r="E614">
            <v>45937</v>
          </cell>
          <cell r="F614">
            <v>4</v>
          </cell>
          <cell r="G614"/>
          <cell r="H614">
            <v>353.88</v>
          </cell>
        </row>
        <row r="615">
          <cell r="D615">
            <v>256779415318</v>
          </cell>
          <cell r="E615">
            <v>45937</v>
          </cell>
          <cell r="F615">
            <v>5.09</v>
          </cell>
          <cell r="G615"/>
          <cell r="H615">
            <v>450.31</v>
          </cell>
        </row>
        <row r="616">
          <cell r="D616">
            <v>256779415384</v>
          </cell>
          <cell r="E616">
            <v>45937</v>
          </cell>
          <cell r="F616">
            <v>7</v>
          </cell>
          <cell r="G616"/>
          <cell r="H616">
            <v>619.29</v>
          </cell>
        </row>
        <row r="617">
          <cell r="D617">
            <v>256779415344</v>
          </cell>
          <cell r="E617">
            <v>45937</v>
          </cell>
          <cell r="F617">
            <v>0.5</v>
          </cell>
          <cell r="G617"/>
          <cell r="H617">
            <v>44.24</v>
          </cell>
        </row>
        <row r="618">
          <cell r="D618">
            <v>256779415382</v>
          </cell>
          <cell r="E618">
            <v>45937</v>
          </cell>
          <cell r="F618">
            <v>2.35</v>
          </cell>
          <cell r="G618"/>
          <cell r="H618">
            <v>207.9</v>
          </cell>
        </row>
        <row r="619">
          <cell r="D619">
            <v>256779415314</v>
          </cell>
          <cell r="E619">
            <v>45937</v>
          </cell>
          <cell r="F619">
            <v>3.58</v>
          </cell>
          <cell r="G619"/>
          <cell r="H619">
            <v>316.72000000000003</v>
          </cell>
        </row>
        <row r="620">
          <cell r="D620">
            <v>256779415355</v>
          </cell>
          <cell r="E620">
            <v>45937</v>
          </cell>
          <cell r="F620">
            <v>0.43</v>
          </cell>
          <cell r="G620"/>
          <cell r="H620">
            <v>38.04</v>
          </cell>
        </row>
        <row r="621">
          <cell r="D621">
            <v>256779415376</v>
          </cell>
          <cell r="E621">
            <v>45937</v>
          </cell>
          <cell r="F621">
            <v>1.2</v>
          </cell>
          <cell r="G621"/>
          <cell r="H621">
            <v>106.16</v>
          </cell>
        </row>
        <row r="622">
          <cell r="D622">
            <v>256779415334</v>
          </cell>
          <cell r="E622">
            <v>45937</v>
          </cell>
          <cell r="F622">
            <v>0.45</v>
          </cell>
          <cell r="G622"/>
          <cell r="H622">
            <v>39.81</v>
          </cell>
        </row>
        <row r="623">
          <cell r="D623">
            <v>256779415337</v>
          </cell>
          <cell r="E623">
            <v>45937</v>
          </cell>
          <cell r="F623">
            <v>0.35</v>
          </cell>
          <cell r="G623"/>
          <cell r="H623">
            <v>30.96</v>
          </cell>
        </row>
        <row r="624">
          <cell r="D624">
            <v>256779415357</v>
          </cell>
          <cell r="E624">
            <v>45937</v>
          </cell>
          <cell r="F624">
            <v>4.1500000000000004</v>
          </cell>
          <cell r="G624"/>
          <cell r="H624">
            <v>367.15</v>
          </cell>
        </row>
        <row r="625">
          <cell r="D625">
            <v>256779415340</v>
          </cell>
          <cell r="E625">
            <v>45937</v>
          </cell>
          <cell r="F625">
            <v>0.52</v>
          </cell>
          <cell r="G625"/>
          <cell r="H625">
            <v>46</v>
          </cell>
        </row>
        <row r="626">
          <cell r="D626">
            <v>256779415343</v>
          </cell>
          <cell r="E626">
            <v>45937</v>
          </cell>
          <cell r="F626">
            <v>0.02</v>
          </cell>
          <cell r="G626"/>
          <cell r="H626">
            <v>1.77</v>
          </cell>
        </row>
        <row r="627">
          <cell r="D627">
            <v>256779415308</v>
          </cell>
          <cell r="E627">
            <v>45937</v>
          </cell>
          <cell r="F627">
            <v>0.6</v>
          </cell>
          <cell r="G627"/>
          <cell r="H627">
            <v>53.08</v>
          </cell>
        </row>
        <row r="628">
          <cell r="D628">
            <v>256779415310</v>
          </cell>
          <cell r="E628">
            <v>45937</v>
          </cell>
          <cell r="F628">
            <v>0.6</v>
          </cell>
          <cell r="G628"/>
          <cell r="H628">
            <v>53.08</v>
          </cell>
        </row>
        <row r="629">
          <cell r="D629">
            <v>256779415349</v>
          </cell>
          <cell r="E629">
            <v>45937</v>
          </cell>
          <cell r="F629">
            <v>0.55000000000000004</v>
          </cell>
          <cell r="G629"/>
          <cell r="H629">
            <v>48.66</v>
          </cell>
        </row>
        <row r="630">
          <cell r="D630">
            <v>256779415295</v>
          </cell>
          <cell r="E630">
            <v>45937</v>
          </cell>
          <cell r="F630">
            <v>0.48</v>
          </cell>
          <cell r="G630"/>
          <cell r="H630">
            <v>42.47</v>
          </cell>
        </row>
        <row r="631">
          <cell r="D631">
            <v>256779415389</v>
          </cell>
          <cell r="E631">
            <v>45937</v>
          </cell>
          <cell r="F631">
            <v>3.41</v>
          </cell>
          <cell r="G631"/>
          <cell r="H631">
            <v>301.68</v>
          </cell>
        </row>
        <row r="632">
          <cell r="D632">
            <v>256779415388</v>
          </cell>
          <cell r="E632">
            <v>45937</v>
          </cell>
          <cell r="F632">
            <v>45.23</v>
          </cell>
          <cell r="G632"/>
          <cell r="H632">
            <v>4001.5</v>
          </cell>
        </row>
        <row r="633">
          <cell r="D633">
            <v>256779415348</v>
          </cell>
          <cell r="E633">
            <v>45937</v>
          </cell>
          <cell r="F633">
            <v>0.15</v>
          </cell>
          <cell r="G633"/>
          <cell r="H633">
            <v>13.27</v>
          </cell>
        </row>
        <row r="634">
          <cell r="D634">
            <v>256779415390</v>
          </cell>
          <cell r="E634">
            <v>45937</v>
          </cell>
          <cell r="F634">
            <v>2.2200000000000002</v>
          </cell>
          <cell r="G634"/>
          <cell r="H634">
            <v>196.4</v>
          </cell>
        </row>
        <row r="635">
          <cell r="D635">
            <v>256779415395</v>
          </cell>
          <cell r="E635">
            <v>45937</v>
          </cell>
          <cell r="F635">
            <v>4.1100000000000003</v>
          </cell>
          <cell r="G635"/>
          <cell r="H635">
            <v>363.61</v>
          </cell>
        </row>
        <row r="636">
          <cell r="D636">
            <v>256779415326</v>
          </cell>
          <cell r="E636">
            <v>45937</v>
          </cell>
          <cell r="F636">
            <v>3.7</v>
          </cell>
          <cell r="G636"/>
          <cell r="H636">
            <v>327.33999999999997</v>
          </cell>
        </row>
        <row r="637">
          <cell r="D637">
            <v>256779415350</v>
          </cell>
          <cell r="E637">
            <v>45937</v>
          </cell>
          <cell r="F637">
            <v>0.45</v>
          </cell>
          <cell r="G637"/>
          <cell r="H637">
            <v>39.81</v>
          </cell>
        </row>
        <row r="638">
          <cell r="D638">
            <v>256779415394</v>
          </cell>
          <cell r="E638">
            <v>45937</v>
          </cell>
          <cell r="F638">
            <v>1.92</v>
          </cell>
          <cell r="G638"/>
          <cell r="H638">
            <v>169.86</v>
          </cell>
        </row>
        <row r="639">
          <cell r="D639">
            <v>256779415360</v>
          </cell>
          <cell r="E639">
            <v>45937</v>
          </cell>
          <cell r="F639">
            <v>1.2</v>
          </cell>
          <cell r="G639"/>
          <cell r="H639">
            <v>106.16</v>
          </cell>
        </row>
        <row r="640">
          <cell r="D640">
            <v>256779415294</v>
          </cell>
          <cell r="E640">
            <v>45937</v>
          </cell>
          <cell r="F640">
            <v>0.48</v>
          </cell>
          <cell r="G640"/>
          <cell r="H640">
            <v>42.47</v>
          </cell>
        </row>
        <row r="641">
          <cell r="D641">
            <v>256779415370</v>
          </cell>
          <cell r="E641">
            <v>45937</v>
          </cell>
          <cell r="F641">
            <v>1.44</v>
          </cell>
          <cell r="G641"/>
          <cell r="H641">
            <v>127.4</v>
          </cell>
        </row>
        <row r="642">
          <cell r="D642">
            <v>256779415335</v>
          </cell>
          <cell r="E642">
            <v>45937</v>
          </cell>
          <cell r="F642">
            <v>0.5</v>
          </cell>
          <cell r="G642"/>
          <cell r="H642">
            <v>44.24</v>
          </cell>
        </row>
        <row r="643">
          <cell r="D643">
            <v>256779415364</v>
          </cell>
          <cell r="E643">
            <v>45937</v>
          </cell>
          <cell r="F643">
            <v>4</v>
          </cell>
          <cell r="G643"/>
          <cell r="H643">
            <v>353.88</v>
          </cell>
        </row>
        <row r="644">
          <cell r="D644">
            <v>256779415299</v>
          </cell>
          <cell r="E644">
            <v>45937</v>
          </cell>
          <cell r="F644">
            <v>0.48</v>
          </cell>
          <cell r="G644"/>
          <cell r="H644">
            <v>42.47</v>
          </cell>
        </row>
        <row r="645">
          <cell r="D645">
            <v>256779415307</v>
          </cell>
          <cell r="E645">
            <v>45937</v>
          </cell>
          <cell r="F645">
            <v>0.6</v>
          </cell>
          <cell r="G645"/>
          <cell r="H645">
            <v>53.08</v>
          </cell>
        </row>
        <row r="646">
          <cell r="D646">
            <v>256779415347</v>
          </cell>
          <cell r="E646">
            <v>45937</v>
          </cell>
          <cell r="F646">
            <v>0.4</v>
          </cell>
          <cell r="G646"/>
          <cell r="H646">
            <v>35.39</v>
          </cell>
        </row>
        <row r="647">
          <cell r="D647">
            <v>256779415297</v>
          </cell>
          <cell r="E647">
            <v>45937</v>
          </cell>
          <cell r="F647">
            <v>-24</v>
          </cell>
          <cell r="G647"/>
          <cell r="H647">
            <v>-2123.2800000000002</v>
          </cell>
        </row>
        <row r="648">
          <cell r="D648">
            <v>256779415291</v>
          </cell>
          <cell r="E648">
            <v>45937</v>
          </cell>
          <cell r="F648">
            <v>-24</v>
          </cell>
          <cell r="G648"/>
          <cell r="H648">
            <v>-2123.2800000000002</v>
          </cell>
        </row>
        <row r="649">
          <cell r="D649">
            <v>256779415316</v>
          </cell>
          <cell r="E649">
            <v>45937</v>
          </cell>
          <cell r="F649">
            <v>1.2</v>
          </cell>
          <cell r="G649"/>
          <cell r="H649">
            <v>106.16</v>
          </cell>
        </row>
        <row r="650">
          <cell r="D650">
            <v>256779415297</v>
          </cell>
          <cell r="E650">
            <v>45937</v>
          </cell>
          <cell r="F650">
            <v>0.48</v>
          </cell>
          <cell r="G650"/>
          <cell r="H650">
            <v>42.47</v>
          </cell>
        </row>
        <row r="651">
          <cell r="D651">
            <v>256779415292</v>
          </cell>
          <cell r="E651">
            <v>45937</v>
          </cell>
          <cell r="F651">
            <v>0.48</v>
          </cell>
          <cell r="G651"/>
          <cell r="H651">
            <v>42.47</v>
          </cell>
        </row>
        <row r="652">
          <cell r="D652">
            <v>256779415389</v>
          </cell>
          <cell r="E652">
            <v>45937</v>
          </cell>
          <cell r="F652">
            <v>0</v>
          </cell>
          <cell r="G652"/>
          <cell r="H652">
            <v>-31.68</v>
          </cell>
        </row>
        <row r="653">
          <cell r="D653">
            <v>256779415346</v>
          </cell>
          <cell r="E653">
            <v>45937</v>
          </cell>
          <cell r="F653">
            <v>0</v>
          </cell>
          <cell r="G653"/>
          <cell r="H653">
            <v>-3.24</v>
          </cell>
        </row>
        <row r="654">
          <cell r="D654">
            <v>256779415350</v>
          </cell>
          <cell r="E654">
            <v>45937</v>
          </cell>
          <cell r="F654">
            <v>0</v>
          </cell>
          <cell r="G654"/>
          <cell r="H654">
            <v>-4.17</v>
          </cell>
        </row>
        <row r="655">
          <cell r="D655">
            <v>256779415316</v>
          </cell>
          <cell r="E655">
            <v>45937</v>
          </cell>
          <cell r="F655">
            <v>0</v>
          </cell>
          <cell r="G655"/>
          <cell r="H655">
            <v>-11.14</v>
          </cell>
        </row>
        <row r="656">
          <cell r="D656">
            <v>256779415355</v>
          </cell>
          <cell r="E656">
            <v>45937</v>
          </cell>
          <cell r="F656">
            <v>0</v>
          </cell>
          <cell r="G656"/>
          <cell r="H656">
            <v>-3.97</v>
          </cell>
        </row>
        <row r="657">
          <cell r="D657">
            <v>256779415303</v>
          </cell>
          <cell r="E657">
            <v>45937</v>
          </cell>
          <cell r="F657">
            <v>0</v>
          </cell>
          <cell r="G657"/>
          <cell r="H657">
            <v>-18.57</v>
          </cell>
        </row>
        <row r="658">
          <cell r="D658">
            <v>256779415333</v>
          </cell>
          <cell r="E658">
            <v>45937</v>
          </cell>
          <cell r="F658">
            <v>0</v>
          </cell>
          <cell r="G658"/>
          <cell r="H658">
            <v>-4.17</v>
          </cell>
        </row>
        <row r="659">
          <cell r="D659">
            <v>256779415304</v>
          </cell>
          <cell r="E659">
            <v>45937</v>
          </cell>
          <cell r="F659">
            <v>0</v>
          </cell>
          <cell r="G659"/>
          <cell r="H659">
            <v>-5.57</v>
          </cell>
        </row>
        <row r="660">
          <cell r="D660">
            <v>256779415377</v>
          </cell>
          <cell r="E660">
            <v>45937</v>
          </cell>
          <cell r="F660">
            <v>0</v>
          </cell>
          <cell r="G660"/>
          <cell r="H660">
            <v>-9.2899999999999991</v>
          </cell>
        </row>
        <row r="661">
          <cell r="D661">
            <v>256779415298</v>
          </cell>
          <cell r="E661">
            <v>45937</v>
          </cell>
          <cell r="F661">
            <v>0</v>
          </cell>
          <cell r="G661"/>
          <cell r="H661">
            <v>-4.46</v>
          </cell>
        </row>
        <row r="662">
          <cell r="D662">
            <v>256779415380</v>
          </cell>
          <cell r="E662">
            <v>45937</v>
          </cell>
          <cell r="F662">
            <v>0</v>
          </cell>
          <cell r="G662"/>
          <cell r="H662">
            <v>-37.14</v>
          </cell>
        </row>
        <row r="663">
          <cell r="D663">
            <v>256779415341</v>
          </cell>
          <cell r="E663">
            <v>45937</v>
          </cell>
          <cell r="F663">
            <v>0</v>
          </cell>
          <cell r="G663"/>
          <cell r="H663">
            <v>-2.78</v>
          </cell>
        </row>
        <row r="664">
          <cell r="D664">
            <v>256779415359</v>
          </cell>
          <cell r="E664">
            <v>45937</v>
          </cell>
          <cell r="F664">
            <v>0</v>
          </cell>
          <cell r="G664"/>
          <cell r="H664">
            <v>-37.14</v>
          </cell>
        </row>
        <row r="665">
          <cell r="D665">
            <v>256779415338</v>
          </cell>
          <cell r="E665">
            <v>45937</v>
          </cell>
          <cell r="F665">
            <v>0</v>
          </cell>
          <cell r="G665"/>
          <cell r="H665">
            <v>-2.3199999999999998</v>
          </cell>
        </row>
        <row r="666">
          <cell r="D666">
            <v>256779415344</v>
          </cell>
          <cell r="E666">
            <v>45937</v>
          </cell>
          <cell r="F666">
            <v>0</v>
          </cell>
          <cell r="G666"/>
          <cell r="H666">
            <v>-4.6500000000000004</v>
          </cell>
        </row>
        <row r="667">
          <cell r="D667">
            <v>256779415345</v>
          </cell>
          <cell r="E667">
            <v>45937</v>
          </cell>
          <cell r="F667">
            <v>0</v>
          </cell>
          <cell r="G667"/>
          <cell r="H667">
            <v>-4.6500000000000004</v>
          </cell>
        </row>
        <row r="668">
          <cell r="D668">
            <v>256779415388</v>
          </cell>
          <cell r="E668">
            <v>45937</v>
          </cell>
          <cell r="F668">
            <v>0</v>
          </cell>
          <cell r="G668"/>
          <cell r="H668">
            <v>-420</v>
          </cell>
        </row>
        <row r="669">
          <cell r="D669">
            <v>256779415310</v>
          </cell>
          <cell r="E669">
            <v>45937</v>
          </cell>
          <cell r="F669">
            <v>0</v>
          </cell>
          <cell r="G669"/>
          <cell r="H669">
            <v>-5.57</v>
          </cell>
        </row>
        <row r="670">
          <cell r="D670">
            <v>256779415379</v>
          </cell>
          <cell r="E670">
            <v>45937</v>
          </cell>
          <cell r="F670">
            <v>0</v>
          </cell>
          <cell r="G670"/>
          <cell r="H670">
            <v>-43.29</v>
          </cell>
        </row>
        <row r="671">
          <cell r="D671">
            <v>256779415384</v>
          </cell>
          <cell r="E671">
            <v>45937</v>
          </cell>
          <cell r="F671">
            <v>0</v>
          </cell>
          <cell r="G671"/>
          <cell r="H671">
            <v>-65</v>
          </cell>
        </row>
        <row r="672">
          <cell r="D672">
            <v>256779415339</v>
          </cell>
          <cell r="E672">
            <v>45937</v>
          </cell>
          <cell r="F672">
            <v>0</v>
          </cell>
          <cell r="G672"/>
          <cell r="H672">
            <v>-5.09</v>
          </cell>
        </row>
        <row r="673">
          <cell r="D673">
            <v>256779415393</v>
          </cell>
          <cell r="E673">
            <v>45937</v>
          </cell>
          <cell r="F673">
            <v>0</v>
          </cell>
          <cell r="G673"/>
          <cell r="H673">
            <v>-11.14</v>
          </cell>
        </row>
        <row r="674">
          <cell r="D674">
            <v>256779415357</v>
          </cell>
          <cell r="E674">
            <v>45937</v>
          </cell>
          <cell r="F674">
            <v>0</v>
          </cell>
          <cell r="G674"/>
          <cell r="H674">
            <v>-38.49</v>
          </cell>
        </row>
        <row r="675">
          <cell r="D675">
            <v>256779415300</v>
          </cell>
          <cell r="E675">
            <v>45937</v>
          </cell>
          <cell r="F675">
            <v>0</v>
          </cell>
          <cell r="G675"/>
          <cell r="H675">
            <v>-4.46</v>
          </cell>
        </row>
        <row r="676">
          <cell r="D676">
            <v>256779415375</v>
          </cell>
          <cell r="E676">
            <v>45937</v>
          </cell>
          <cell r="F676">
            <v>0</v>
          </cell>
          <cell r="G676"/>
          <cell r="H676">
            <v>-66.849999999999994</v>
          </cell>
        </row>
        <row r="677">
          <cell r="D677">
            <v>256779415349</v>
          </cell>
          <cell r="E677">
            <v>45937</v>
          </cell>
          <cell r="F677">
            <v>0</v>
          </cell>
          <cell r="G677"/>
          <cell r="H677">
            <v>-5.0999999999999996</v>
          </cell>
        </row>
        <row r="678">
          <cell r="D678">
            <v>256779415308</v>
          </cell>
          <cell r="E678">
            <v>45937</v>
          </cell>
          <cell r="F678">
            <v>0</v>
          </cell>
          <cell r="G678"/>
          <cell r="H678">
            <v>-5.57</v>
          </cell>
        </row>
        <row r="679">
          <cell r="D679">
            <v>256779415360</v>
          </cell>
          <cell r="E679">
            <v>45937</v>
          </cell>
          <cell r="F679">
            <v>0</v>
          </cell>
          <cell r="G679"/>
          <cell r="H679">
            <v>-11.14</v>
          </cell>
        </row>
        <row r="680">
          <cell r="D680">
            <v>256779415318</v>
          </cell>
          <cell r="E680">
            <v>45937</v>
          </cell>
          <cell r="F680">
            <v>0</v>
          </cell>
          <cell r="G680"/>
          <cell r="H680">
            <v>-47.28</v>
          </cell>
        </row>
        <row r="681">
          <cell r="D681">
            <v>256779415378</v>
          </cell>
          <cell r="E681">
            <v>45937</v>
          </cell>
          <cell r="F681">
            <v>0</v>
          </cell>
          <cell r="G681"/>
          <cell r="H681">
            <v>-22.29</v>
          </cell>
        </row>
        <row r="682">
          <cell r="D682">
            <v>256779415391</v>
          </cell>
          <cell r="E682">
            <v>45937</v>
          </cell>
          <cell r="F682">
            <v>0</v>
          </cell>
          <cell r="G682"/>
          <cell r="H682">
            <v>-152.30000000000001</v>
          </cell>
        </row>
        <row r="683">
          <cell r="D683">
            <v>256779415334</v>
          </cell>
          <cell r="E683">
            <v>45937</v>
          </cell>
          <cell r="F683">
            <v>0</v>
          </cell>
          <cell r="G683"/>
          <cell r="H683">
            <v>-4.17</v>
          </cell>
        </row>
        <row r="684">
          <cell r="D684">
            <v>256779415371</v>
          </cell>
          <cell r="E684">
            <v>45937</v>
          </cell>
          <cell r="F684">
            <v>0</v>
          </cell>
          <cell r="G684"/>
          <cell r="H684">
            <v>-8.0500000000000007</v>
          </cell>
        </row>
        <row r="685">
          <cell r="D685">
            <v>256779415315</v>
          </cell>
          <cell r="E685">
            <v>45937</v>
          </cell>
          <cell r="F685">
            <v>0</v>
          </cell>
          <cell r="G685"/>
          <cell r="H685">
            <v>-22.29</v>
          </cell>
        </row>
        <row r="686">
          <cell r="D686">
            <v>256779415305</v>
          </cell>
          <cell r="E686">
            <v>45937</v>
          </cell>
          <cell r="F686">
            <v>0</v>
          </cell>
          <cell r="G686"/>
          <cell r="H686">
            <v>-5.57</v>
          </cell>
        </row>
        <row r="687">
          <cell r="D687">
            <v>256779415356</v>
          </cell>
          <cell r="E687">
            <v>45937</v>
          </cell>
          <cell r="F687">
            <v>0</v>
          </cell>
          <cell r="G687"/>
          <cell r="H687">
            <v>-13.37</v>
          </cell>
        </row>
        <row r="688">
          <cell r="D688">
            <v>256779415383</v>
          </cell>
          <cell r="E688">
            <v>45937</v>
          </cell>
          <cell r="F688">
            <v>0</v>
          </cell>
          <cell r="G688"/>
          <cell r="H688">
            <v>-28.93</v>
          </cell>
        </row>
        <row r="689">
          <cell r="D689">
            <v>256779415372</v>
          </cell>
          <cell r="E689">
            <v>45937</v>
          </cell>
          <cell r="F689">
            <v>0</v>
          </cell>
          <cell r="G689"/>
          <cell r="H689">
            <v>-28.85</v>
          </cell>
        </row>
        <row r="690">
          <cell r="D690">
            <v>256779415361</v>
          </cell>
          <cell r="E690">
            <v>45937</v>
          </cell>
          <cell r="F690">
            <v>0</v>
          </cell>
          <cell r="G690"/>
          <cell r="H690">
            <v>-12.53</v>
          </cell>
        </row>
        <row r="691">
          <cell r="D691">
            <v>256779415317</v>
          </cell>
          <cell r="E691">
            <v>45937</v>
          </cell>
          <cell r="F691">
            <v>0</v>
          </cell>
          <cell r="G691"/>
          <cell r="H691">
            <v>-37.14</v>
          </cell>
        </row>
        <row r="692">
          <cell r="D692">
            <v>256779415394</v>
          </cell>
          <cell r="E692">
            <v>45937</v>
          </cell>
          <cell r="F692">
            <v>0</v>
          </cell>
          <cell r="G692"/>
          <cell r="H692">
            <v>-17.829999999999998</v>
          </cell>
        </row>
        <row r="693">
          <cell r="D693">
            <v>256779415314</v>
          </cell>
          <cell r="E693">
            <v>45937</v>
          </cell>
          <cell r="F693">
            <v>0</v>
          </cell>
          <cell r="G693"/>
          <cell r="H693">
            <v>-33.26</v>
          </cell>
        </row>
        <row r="694">
          <cell r="D694">
            <v>256779415352</v>
          </cell>
          <cell r="E694">
            <v>45937</v>
          </cell>
          <cell r="F694">
            <v>0</v>
          </cell>
          <cell r="G694"/>
          <cell r="H694">
            <v>-28.96</v>
          </cell>
        </row>
        <row r="695">
          <cell r="D695">
            <v>256779415342</v>
          </cell>
          <cell r="E695">
            <v>45937</v>
          </cell>
          <cell r="F695">
            <v>0</v>
          </cell>
          <cell r="G695"/>
          <cell r="H695">
            <v>-0.46</v>
          </cell>
        </row>
        <row r="696">
          <cell r="D696">
            <v>256779415376</v>
          </cell>
          <cell r="E696">
            <v>45937</v>
          </cell>
          <cell r="F696">
            <v>0</v>
          </cell>
          <cell r="G696"/>
          <cell r="H696">
            <v>-11.14</v>
          </cell>
        </row>
        <row r="697">
          <cell r="D697">
            <v>256779415336</v>
          </cell>
          <cell r="E697">
            <v>45937</v>
          </cell>
          <cell r="F697">
            <v>0</v>
          </cell>
          <cell r="G697"/>
          <cell r="H697">
            <v>-0.93</v>
          </cell>
        </row>
        <row r="698">
          <cell r="D698">
            <v>256779415382</v>
          </cell>
          <cell r="E698">
            <v>45937</v>
          </cell>
          <cell r="F698">
            <v>0</v>
          </cell>
          <cell r="G698"/>
          <cell r="H698">
            <v>-21.84</v>
          </cell>
        </row>
        <row r="699">
          <cell r="D699">
            <v>256779415295</v>
          </cell>
          <cell r="E699">
            <v>45937</v>
          </cell>
          <cell r="F699">
            <v>0</v>
          </cell>
          <cell r="G699"/>
          <cell r="H699">
            <v>-4.46</v>
          </cell>
        </row>
        <row r="700">
          <cell r="D700">
            <v>256779415326</v>
          </cell>
          <cell r="E700">
            <v>45937</v>
          </cell>
          <cell r="F700">
            <v>0</v>
          </cell>
          <cell r="G700"/>
          <cell r="H700">
            <v>-34.369999999999997</v>
          </cell>
        </row>
        <row r="701">
          <cell r="D701">
            <v>256779415306</v>
          </cell>
          <cell r="E701">
            <v>45937</v>
          </cell>
          <cell r="F701">
            <v>0</v>
          </cell>
          <cell r="G701"/>
          <cell r="H701">
            <v>-5.57</v>
          </cell>
        </row>
        <row r="702">
          <cell r="D702">
            <v>256779415390</v>
          </cell>
          <cell r="E702">
            <v>45937</v>
          </cell>
          <cell r="F702">
            <v>0</v>
          </cell>
          <cell r="G702"/>
          <cell r="H702">
            <v>-20.6</v>
          </cell>
        </row>
        <row r="703">
          <cell r="D703">
            <v>256779415340</v>
          </cell>
          <cell r="E703">
            <v>45937</v>
          </cell>
          <cell r="F703">
            <v>0</v>
          </cell>
          <cell r="G703"/>
          <cell r="H703">
            <v>-4.8</v>
          </cell>
        </row>
        <row r="704">
          <cell r="D704">
            <v>256779415343</v>
          </cell>
          <cell r="E704">
            <v>45937</v>
          </cell>
          <cell r="F704">
            <v>0</v>
          </cell>
          <cell r="G704"/>
          <cell r="H704">
            <v>-0.19</v>
          </cell>
        </row>
        <row r="705">
          <cell r="D705">
            <v>256779415395</v>
          </cell>
          <cell r="E705">
            <v>45937</v>
          </cell>
          <cell r="F705">
            <v>0</v>
          </cell>
          <cell r="G705"/>
          <cell r="H705">
            <v>-38.200000000000003</v>
          </cell>
        </row>
        <row r="706">
          <cell r="D706">
            <v>256779415381</v>
          </cell>
          <cell r="E706">
            <v>45937</v>
          </cell>
          <cell r="F706">
            <v>0</v>
          </cell>
          <cell r="G706"/>
          <cell r="H706">
            <v>-11.14</v>
          </cell>
        </row>
        <row r="707">
          <cell r="D707">
            <v>256779415392</v>
          </cell>
          <cell r="E707">
            <v>45937</v>
          </cell>
          <cell r="F707">
            <v>0</v>
          </cell>
          <cell r="G707"/>
          <cell r="H707">
            <v>-37.14</v>
          </cell>
        </row>
        <row r="708">
          <cell r="D708">
            <v>256779415358</v>
          </cell>
          <cell r="E708">
            <v>45937</v>
          </cell>
          <cell r="F708">
            <v>0</v>
          </cell>
          <cell r="G708"/>
          <cell r="H708">
            <v>-17.829999999999998</v>
          </cell>
        </row>
        <row r="709">
          <cell r="D709">
            <v>256779415337</v>
          </cell>
          <cell r="E709">
            <v>45937</v>
          </cell>
          <cell r="F709">
            <v>0</v>
          </cell>
          <cell r="G709"/>
          <cell r="H709">
            <v>-3.24</v>
          </cell>
        </row>
        <row r="710">
          <cell r="D710">
            <v>256779415362</v>
          </cell>
          <cell r="E710">
            <v>45937</v>
          </cell>
          <cell r="F710">
            <v>0</v>
          </cell>
          <cell r="G710"/>
          <cell r="H710">
            <v>-0.56000000000000005</v>
          </cell>
        </row>
        <row r="711">
          <cell r="D711">
            <v>256779415373</v>
          </cell>
          <cell r="E711">
            <v>45937</v>
          </cell>
          <cell r="F711">
            <v>0</v>
          </cell>
          <cell r="G711"/>
          <cell r="H711">
            <v>-0.48</v>
          </cell>
        </row>
        <row r="712">
          <cell r="D712">
            <v>256779415386</v>
          </cell>
          <cell r="E712">
            <v>45937</v>
          </cell>
          <cell r="F712">
            <v>0</v>
          </cell>
          <cell r="G712"/>
          <cell r="H712">
            <v>-1.39</v>
          </cell>
        </row>
        <row r="713">
          <cell r="D713">
            <v>256779415348</v>
          </cell>
          <cell r="E713">
            <v>45937</v>
          </cell>
          <cell r="F713">
            <v>0</v>
          </cell>
          <cell r="G713"/>
          <cell r="H713">
            <v>-1.39</v>
          </cell>
        </row>
        <row r="714">
          <cell r="D714">
            <v>256779415369</v>
          </cell>
          <cell r="E714">
            <v>45937</v>
          </cell>
          <cell r="F714">
            <v>0</v>
          </cell>
          <cell r="G714"/>
          <cell r="H714">
            <v>-0.56000000000000005</v>
          </cell>
        </row>
        <row r="715">
          <cell r="D715">
            <v>256779415364</v>
          </cell>
          <cell r="E715">
            <v>45937</v>
          </cell>
          <cell r="F715">
            <v>0</v>
          </cell>
          <cell r="G715"/>
          <cell r="H715">
            <v>-37.14</v>
          </cell>
        </row>
        <row r="716">
          <cell r="D716">
            <v>256779415299</v>
          </cell>
          <cell r="E716">
            <v>45937</v>
          </cell>
          <cell r="F716">
            <v>0</v>
          </cell>
          <cell r="G716"/>
          <cell r="H716">
            <v>-4.46</v>
          </cell>
        </row>
        <row r="717">
          <cell r="D717">
            <v>256779415335</v>
          </cell>
          <cell r="E717">
            <v>45937</v>
          </cell>
          <cell r="F717">
            <v>0</v>
          </cell>
          <cell r="G717"/>
          <cell r="H717">
            <v>-4.6500000000000004</v>
          </cell>
        </row>
        <row r="718">
          <cell r="D718">
            <v>256779415292</v>
          </cell>
          <cell r="E718">
            <v>45937</v>
          </cell>
          <cell r="F718">
            <v>0</v>
          </cell>
          <cell r="G718"/>
          <cell r="H718">
            <v>-4.46</v>
          </cell>
        </row>
        <row r="719">
          <cell r="D719">
            <v>256779415370</v>
          </cell>
          <cell r="E719">
            <v>45937</v>
          </cell>
          <cell r="F719">
            <v>0</v>
          </cell>
          <cell r="G719"/>
          <cell r="H719">
            <v>-13.37</v>
          </cell>
        </row>
        <row r="720">
          <cell r="D720">
            <v>256779415294</v>
          </cell>
          <cell r="E720">
            <v>45937</v>
          </cell>
          <cell r="F720">
            <v>0</v>
          </cell>
          <cell r="G720"/>
          <cell r="H720">
            <v>-4.46</v>
          </cell>
        </row>
        <row r="721">
          <cell r="D721">
            <v>256779415307</v>
          </cell>
          <cell r="E721">
            <v>45937</v>
          </cell>
          <cell r="F721">
            <v>0</v>
          </cell>
          <cell r="G721"/>
          <cell r="H721">
            <v>-5.57</v>
          </cell>
        </row>
        <row r="722">
          <cell r="D722">
            <v>256779415347</v>
          </cell>
          <cell r="E722">
            <v>45937</v>
          </cell>
          <cell r="F722">
            <v>0</v>
          </cell>
          <cell r="G722"/>
          <cell r="H722">
            <v>-3.72</v>
          </cell>
        </row>
        <row r="723">
          <cell r="D723">
            <v>256779415297</v>
          </cell>
          <cell r="E723">
            <v>45937</v>
          </cell>
          <cell r="F723">
            <v>0</v>
          </cell>
          <cell r="G723"/>
          <cell r="H723">
            <v>-4.46</v>
          </cell>
        </row>
        <row r="724">
          <cell r="D724">
            <v>256779415312</v>
          </cell>
          <cell r="E724">
            <v>45937</v>
          </cell>
          <cell r="F724">
            <v>-200</v>
          </cell>
          <cell r="G724"/>
          <cell r="H724">
            <v>-17694</v>
          </cell>
        </row>
        <row r="725">
          <cell r="D725">
            <v>256779415327</v>
          </cell>
          <cell r="E725">
            <v>45937</v>
          </cell>
          <cell r="F725">
            <v>-20</v>
          </cell>
          <cell r="G725"/>
          <cell r="H725">
            <v>-1769.4</v>
          </cell>
        </row>
        <row r="726">
          <cell r="D726">
            <v>256779415351</v>
          </cell>
          <cell r="E726">
            <v>45937</v>
          </cell>
          <cell r="F726">
            <v>-17.03</v>
          </cell>
          <cell r="G726"/>
          <cell r="H726">
            <v>-1464.4</v>
          </cell>
        </row>
        <row r="727">
          <cell r="D727">
            <v>256779415324</v>
          </cell>
          <cell r="E727">
            <v>45937</v>
          </cell>
          <cell r="F727">
            <v>-146.65</v>
          </cell>
          <cell r="G727"/>
          <cell r="H727">
            <v>-12974.13</v>
          </cell>
        </row>
        <row r="728">
          <cell r="D728">
            <v>256779415322</v>
          </cell>
          <cell r="E728">
            <v>45937</v>
          </cell>
          <cell r="F728">
            <v>-192</v>
          </cell>
          <cell r="G728"/>
          <cell r="H728">
            <v>-16986.240000000002</v>
          </cell>
        </row>
        <row r="729">
          <cell r="D729">
            <v>256779415366</v>
          </cell>
          <cell r="E729">
            <v>45937</v>
          </cell>
          <cell r="F729">
            <v>-192</v>
          </cell>
          <cell r="G729"/>
          <cell r="H729">
            <v>-16986.240000000002</v>
          </cell>
        </row>
        <row r="730">
          <cell r="D730">
            <v>256779415365</v>
          </cell>
          <cell r="E730">
            <v>45937</v>
          </cell>
          <cell r="F730">
            <v>-313</v>
          </cell>
          <cell r="G730"/>
          <cell r="H730">
            <v>-27691.11</v>
          </cell>
        </row>
        <row r="731">
          <cell r="D731">
            <v>256779415311</v>
          </cell>
          <cell r="E731">
            <v>45937</v>
          </cell>
          <cell r="F731">
            <v>-77.48</v>
          </cell>
          <cell r="G731"/>
          <cell r="H731">
            <v>-6854.66</v>
          </cell>
        </row>
        <row r="732">
          <cell r="D732">
            <v>256779415368</v>
          </cell>
          <cell r="E732">
            <v>45937</v>
          </cell>
          <cell r="F732">
            <v>-60</v>
          </cell>
          <cell r="G732"/>
          <cell r="H732">
            <v>-5308.2</v>
          </cell>
        </row>
        <row r="733">
          <cell r="D733">
            <v>256779415320</v>
          </cell>
          <cell r="E733">
            <v>45937</v>
          </cell>
          <cell r="F733">
            <v>-12.5</v>
          </cell>
          <cell r="G733"/>
          <cell r="H733">
            <v>-1105.8800000000001</v>
          </cell>
        </row>
        <row r="734">
          <cell r="D734">
            <v>256779415301</v>
          </cell>
          <cell r="E734">
            <v>45937</v>
          </cell>
          <cell r="F734">
            <v>-30</v>
          </cell>
          <cell r="G734"/>
          <cell r="H734">
            <v>-2654.1</v>
          </cell>
        </row>
        <row r="735">
          <cell r="D735">
            <v>256779415329</v>
          </cell>
          <cell r="E735">
            <v>45937</v>
          </cell>
          <cell r="F735">
            <v>-27.5</v>
          </cell>
          <cell r="G735"/>
          <cell r="H735">
            <v>-2432.9299999999998</v>
          </cell>
        </row>
        <row r="736">
          <cell r="D736">
            <v>256779415367</v>
          </cell>
          <cell r="E736">
            <v>45937</v>
          </cell>
          <cell r="F736">
            <v>-200</v>
          </cell>
          <cell r="G736"/>
          <cell r="H736">
            <v>-17694</v>
          </cell>
        </row>
        <row r="737">
          <cell r="D737">
            <v>256779415353</v>
          </cell>
          <cell r="E737">
            <v>45937</v>
          </cell>
          <cell r="F737">
            <v>-200</v>
          </cell>
          <cell r="G737"/>
          <cell r="H737">
            <v>-17694</v>
          </cell>
        </row>
        <row r="738">
          <cell r="D738">
            <v>256779415330</v>
          </cell>
          <cell r="E738">
            <v>45937</v>
          </cell>
          <cell r="F738">
            <v>-22.5</v>
          </cell>
          <cell r="G738"/>
          <cell r="H738">
            <v>-1990.58</v>
          </cell>
        </row>
        <row r="739">
          <cell r="D739">
            <v>256779415354</v>
          </cell>
          <cell r="E739">
            <v>45937</v>
          </cell>
          <cell r="F739">
            <v>-60</v>
          </cell>
          <cell r="G739"/>
          <cell r="H739">
            <v>-5308.2</v>
          </cell>
        </row>
        <row r="740">
          <cell r="D740">
            <v>256779415387</v>
          </cell>
          <cell r="E740">
            <v>45937</v>
          </cell>
          <cell r="F740">
            <v>-70.900000000000006</v>
          </cell>
          <cell r="G740"/>
          <cell r="H740">
            <v>-6096.66</v>
          </cell>
        </row>
        <row r="741">
          <cell r="D741">
            <v>256779415313</v>
          </cell>
          <cell r="E741">
            <v>45937</v>
          </cell>
          <cell r="F741">
            <v>-60</v>
          </cell>
          <cell r="G741"/>
          <cell r="H741">
            <v>-5308.2</v>
          </cell>
        </row>
        <row r="742">
          <cell r="D742">
            <v>256779415323</v>
          </cell>
          <cell r="E742">
            <v>45937</v>
          </cell>
          <cell r="F742">
            <v>-211.75</v>
          </cell>
          <cell r="G742"/>
          <cell r="H742">
            <v>-18733.52</v>
          </cell>
        </row>
        <row r="743">
          <cell r="D743">
            <v>256779415309</v>
          </cell>
          <cell r="E743">
            <v>45937</v>
          </cell>
          <cell r="F743">
            <v>-30</v>
          </cell>
          <cell r="G743"/>
          <cell r="H743">
            <v>-2654.1</v>
          </cell>
        </row>
        <row r="744">
          <cell r="D744">
            <v>256779415302</v>
          </cell>
          <cell r="E744">
            <v>45937</v>
          </cell>
          <cell r="F744">
            <v>-30</v>
          </cell>
          <cell r="G744"/>
          <cell r="H744">
            <v>-2654.1</v>
          </cell>
        </row>
        <row r="745">
          <cell r="D745">
            <v>256779415289</v>
          </cell>
          <cell r="E745">
            <v>45937</v>
          </cell>
          <cell r="F745">
            <v>-250</v>
          </cell>
          <cell r="G745"/>
          <cell r="H745">
            <v>-22117.5</v>
          </cell>
        </row>
        <row r="746">
          <cell r="D746">
            <v>256779415325</v>
          </cell>
          <cell r="E746">
            <v>45937</v>
          </cell>
          <cell r="F746">
            <v>-192</v>
          </cell>
          <cell r="G746"/>
          <cell r="H746">
            <v>-16986.240000000002</v>
          </cell>
        </row>
        <row r="747">
          <cell r="D747">
            <v>256779415353</v>
          </cell>
          <cell r="E747">
            <v>45937</v>
          </cell>
          <cell r="F747">
            <v>4</v>
          </cell>
          <cell r="G747"/>
          <cell r="H747">
            <v>353.88</v>
          </cell>
        </row>
        <row r="748">
          <cell r="D748">
            <v>256779415330</v>
          </cell>
          <cell r="E748">
            <v>45937</v>
          </cell>
          <cell r="F748">
            <v>0.45</v>
          </cell>
          <cell r="G748"/>
          <cell r="H748">
            <v>39.81</v>
          </cell>
        </row>
        <row r="749">
          <cell r="D749">
            <v>256779415366</v>
          </cell>
          <cell r="E749">
            <v>45937</v>
          </cell>
          <cell r="F749">
            <v>3.84</v>
          </cell>
          <cell r="G749"/>
          <cell r="H749">
            <v>339.72</v>
          </cell>
        </row>
        <row r="750">
          <cell r="D750">
            <v>256779415311</v>
          </cell>
          <cell r="E750">
            <v>45937</v>
          </cell>
          <cell r="F750">
            <v>1.55</v>
          </cell>
          <cell r="G750"/>
          <cell r="H750">
            <v>137.13</v>
          </cell>
        </row>
        <row r="751">
          <cell r="D751">
            <v>256779415320</v>
          </cell>
          <cell r="E751">
            <v>45937</v>
          </cell>
          <cell r="F751">
            <v>0.25</v>
          </cell>
          <cell r="G751"/>
          <cell r="H751">
            <v>22.12</v>
          </cell>
        </row>
        <row r="752">
          <cell r="D752">
            <v>256779415329</v>
          </cell>
          <cell r="E752">
            <v>45937</v>
          </cell>
          <cell r="F752">
            <v>0.55000000000000004</v>
          </cell>
          <cell r="G752"/>
          <cell r="H752">
            <v>48.66</v>
          </cell>
        </row>
        <row r="753">
          <cell r="D753">
            <v>256779415327</v>
          </cell>
          <cell r="E753">
            <v>45937</v>
          </cell>
          <cell r="F753">
            <v>0.4</v>
          </cell>
          <cell r="G753"/>
          <cell r="H753">
            <v>35.39</v>
          </cell>
        </row>
        <row r="754">
          <cell r="D754">
            <v>256779415367</v>
          </cell>
          <cell r="E754">
            <v>45937</v>
          </cell>
          <cell r="F754">
            <v>4</v>
          </cell>
          <cell r="G754"/>
          <cell r="H754">
            <v>353.88</v>
          </cell>
        </row>
        <row r="755">
          <cell r="D755">
            <v>256779415368</v>
          </cell>
          <cell r="E755">
            <v>45937</v>
          </cell>
          <cell r="F755">
            <v>1.2</v>
          </cell>
          <cell r="G755"/>
          <cell r="H755">
            <v>106.16</v>
          </cell>
        </row>
        <row r="756">
          <cell r="D756">
            <v>2667796</v>
          </cell>
          <cell r="E756" t="str">
            <v>24/10/2025</v>
          </cell>
          <cell r="F756">
            <v>0</v>
          </cell>
          <cell r="G756"/>
          <cell r="H756">
            <v>1721315.82</v>
          </cell>
        </row>
        <row r="757">
          <cell r="D757">
            <v>256779415312</v>
          </cell>
          <cell r="E757">
            <v>45937</v>
          </cell>
          <cell r="F757">
            <v>4</v>
          </cell>
          <cell r="G757"/>
          <cell r="H757">
            <v>353.88</v>
          </cell>
        </row>
        <row r="758">
          <cell r="D758">
            <v>256779415301</v>
          </cell>
          <cell r="E758">
            <v>45937</v>
          </cell>
          <cell r="F758">
            <v>0.6</v>
          </cell>
          <cell r="G758"/>
          <cell r="H758">
            <v>53.08</v>
          </cell>
        </row>
        <row r="759">
          <cell r="D759">
            <v>256779415324</v>
          </cell>
          <cell r="E759">
            <v>45937</v>
          </cell>
          <cell r="F759">
            <v>2.93</v>
          </cell>
          <cell r="G759"/>
          <cell r="H759">
            <v>259.22000000000003</v>
          </cell>
        </row>
        <row r="760">
          <cell r="D760">
            <v>256779415322</v>
          </cell>
          <cell r="E760">
            <v>45937</v>
          </cell>
          <cell r="F760">
            <v>3.84</v>
          </cell>
          <cell r="G760"/>
          <cell r="H760">
            <v>339.72</v>
          </cell>
        </row>
        <row r="761">
          <cell r="D761">
            <v>256779415354</v>
          </cell>
          <cell r="E761">
            <v>45937</v>
          </cell>
          <cell r="F761">
            <v>1.2</v>
          </cell>
          <cell r="G761"/>
          <cell r="H761">
            <v>106.16</v>
          </cell>
        </row>
        <row r="762">
          <cell r="D762">
            <v>256779415351</v>
          </cell>
          <cell r="E762">
            <v>45937</v>
          </cell>
          <cell r="F762">
            <v>0.34</v>
          </cell>
          <cell r="G762"/>
          <cell r="H762">
            <v>29.24</v>
          </cell>
        </row>
        <row r="763">
          <cell r="D763">
            <v>256779415365</v>
          </cell>
          <cell r="E763">
            <v>45937</v>
          </cell>
          <cell r="F763">
            <v>6.26</v>
          </cell>
          <cell r="G763"/>
          <cell r="H763">
            <v>553.82000000000005</v>
          </cell>
        </row>
        <row r="764">
          <cell r="D764">
            <v>256779415323</v>
          </cell>
          <cell r="E764">
            <v>45937</v>
          </cell>
          <cell r="F764">
            <v>4.24</v>
          </cell>
          <cell r="G764"/>
          <cell r="H764">
            <v>375.11</v>
          </cell>
        </row>
        <row r="765">
          <cell r="D765">
            <v>256779415387</v>
          </cell>
          <cell r="E765">
            <v>45937</v>
          </cell>
          <cell r="F765">
            <v>1.42</v>
          </cell>
          <cell r="G765"/>
          <cell r="H765">
            <v>122.11</v>
          </cell>
        </row>
        <row r="766">
          <cell r="D766">
            <v>256779415289</v>
          </cell>
          <cell r="E766">
            <v>45937</v>
          </cell>
          <cell r="F766">
            <v>5</v>
          </cell>
          <cell r="G766"/>
          <cell r="H766">
            <v>442.35</v>
          </cell>
        </row>
        <row r="767">
          <cell r="D767">
            <v>256779415302</v>
          </cell>
          <cell r="E767">
            <v>45937</v>
          </cell>
          <cell r="F767">
            <v>0.6</v>
          </cell>
          <cell r="G767"/>
          <cell r="H767">
            <v>53.08</v>
          </cell>
        </row>
        <row r="768">
          <cell r="D768">
            <v>256779415313</v>
          </cell>
          <cell r="E768">
            <v>45937</v>
          </cell>
          <cell r="F768">
            <v>1.2</v>
          </cell>
          <cell r="G768"/>
          <cell r="H768">
            <v>106.16</v>
          </cell>
        </row>
        <row r="769">
          <cell r="D769">
            <v>256779415309</v>
          </cell>
          <cell r="E769">
            <v>45937</v>
          </cell>
          <cell r="F769">
            <v>0.6</v>
          </cell>
          <cell r="G769"/>
          <cell r="H769">
            <v>53.08</v>
          </cell>
        </row>
        <row r="770">
          <cell r="D770">
            <v>256779415325</v>
          </cell>
          <cell r="E770">
            <v>45937</v>
          </cell>
          <cell r="F770">
            <v>3.84</v>
          </cell>
          <cell r="G770"/>
          <cell r="H770">
            <v>339.72</v>
          </cell>
        </row>
        <row r="771">
          <cell r="D771">
            <v>256779415331</v>
          </cell>
          <cell r="E771">
            <v>45937</v>
          </cell>
          <cell r="F771">
            <v>-22.5</v>
          </cell>
          <cell r="G771"/>
          <cell r="H771">
            <v>-1990.58</v>
          </cell>
        </row>
        <row r="772">
          <cell r="D772">
            <v>256779415331</v>
          </cell>
          <cell r="E772">
            <v>45937</v>
          </cell>
          <cell r="F772">
            <v>0.45</v>
          </cell>
          <cell r="G772"/>
          <cell r="H772">
            <v>39.81</v>
          </cell>
        </row>
        <row r="773">
          <cell r="D773">
            <v>256779415290</v>
          </cell>
          <cell r="E773">
            <v>45937</v>
          </cell>
          <cell r="F773">
            <v>-24</v>
          </cell>
          <cell r="G773"/>
          <cell r="H773">
            <v>-2123.2800000000002</v>
          </cell>
        </row>
        <row r="774">
          <cell r="D774">
            <v>256779415290</v>
          </cell>
          <cell r="E774">
            <v>45937</v>
          </cell>
          <cell r="F774">
            <v>0.48</v>
          </cell>
          <cell r="G774"/>
          <cell r="H774">
            <v>42.47</v>
          </cell>
        </row>
        <row r="775">
          <cell r="D775">
            <v>256779415303</v>
          </cell>
          <cell r="E775">
            <v>45937</v>
          </cell>
          <cell r="F775">
            <v>0</v>
          </cell>
          <cell r="G775"/>
          <cell r="H775">
            <v>39.880000000000003</v>
          </cell>
        </row>
        <row r="776">
          <cell r="D776">
            <v>256779415304</v>
          </cell>
          <cell r="E776">
            <v>45937</v>
          </cell>
          <cell r="F776">
            <v>0</v>
          </cell>
          <cell r="G776"/>
          <cell r="H776">
            <v>11.96</v>
          </cell>
        </row>
        <row r="777">
          <cell r="D777">
            <v>256779415339</v>
          </cell>
          <cell r="E777">
            <v>45937</v>
          </cell>
          <cell r="F777">
            <v>0</v>
          </cell>
          <cell r="G777"/>
          <cell r="H777">
            <v>10.92</v>
          </cell>
        </row>
        <row r="778">
          <cell r="D778">
            <v>256779415308</v>
          </cell>
          <cell r="E778">
            <v>45937</v>
          </cell>
          <cell r="F778">
            <v>0</v>
          </cell>
          <cell r="G778"/>
          <cell r="H778">
            <v>11.96</v>
          </cell>
        </row>
        <row r="779">
          <cell r="D779">
            <v>256779415305</v>
          </cell>
          <cell r="E779">
            <v>45937</v>
          </cell>
          <cell r="F779">
            <v>0</v>
          </cell>
          <cell r="G779"/>
          <cell r="H779">
            <v>11.96</v>
          </cell>
        </row>
        <row r="780">
          <cell r="D780">
            <v>256779415306</v>
          </cell>
          <cell r="E780">
            <v>45937</v>
          </cell>
          <cell r="F780">
            <v>0</v>
          </cell>
          <cell r="G780"/>
          <cell r="H780">
            <v>11.96</v>
          </cell>
        </row>
        <row r="781">
          <cell r="D781">
            <v>256779415307</v>
          </cell>
          <cell r="E781">
            <v>45937</v>
          </cell>
          <cell r="F781">
            <v>0</v>
          </cell>
          <cell r="G781"/>
          <cell r="H781">
            <v>11.96</v>
          </cell>
        </row>
        <row r="782">
          <cell r="D782">
            <v>256779415312</v>
          </cell>
          <cell r="E782">
            <v>45937</v>
          </cell>
          <cell r="F782">
            <v>0</v>
          </cell>
          <cell r="G782"/>
          <cell r="H782">
            <v>42.62</v>
          </cell>
        </row>
        <row r="783">
          <cell r="D783">
            <v>256779415327</v>
          </cell>
          <cell r="E783">
            <v>45937</v>
          </cell>
          <cell r="F783">
            <v>0</v>
          </cell>
          <cell r="G783"/>
          <cell r="H783">
            <v>4.26</v>
          </cell>
        </row>
        <row r="784">
          <cell r="D784">
            <v>256779415351</v>
          </cell>
          <cell r="E784">
            <v>45937</v>
          </cell>
          <cell r="F784">
            <v>0</v>
          </cell>
          <cell r="G784"/>
          <cell r="H784">
            <v>-37.78</v>
          </cell>
        </row>
        <row r="785">
          <cell r="D785">
            <v>256779415324</v>
          </cell>
          <cell r="E785">
            <v>45937</v>
          </cell>
          <cell r="F785">
            <v>0</v>
          </cell>
          <cell r="G785"/>
          <cell r="H785">
            <v>31.25</v>
          </cell>
        </row>
        <row r="786">
          <cell r="D786">
            <v>256779415322</v>
          </cell>
          <cell r="E786">
            <v>45937</v>
          </cell>
          <cell r="F786">
            <v>0</v>
          </cell>
          <cell r="G786"/>
          <cell r="H786">
            <v>40.92</v>
          </cell>
        </row>
        <row r="787">
          <cell r="D787">
            <v>256779415366</v>
          </cell>
          <cell r="E787">
            <v>45937</v>
          </cell>
          <cell r="F787">
            <v>0</v>
          </cell>
          <cell r="G787"/>
          <cell r="H787">
            <v>40.92</v>
          </cell>
        </row>
        <row r="788">
          <cell r="D788">
            <v>256779415365</v>
          </cell>
          <cell r="E788">
            <v>45937</v>
          </cell>
          <cell r="F788">
            <v>0</v>
          </cell>
          <cell r="G788"/>
          <cell r="H788">
            <v>66.7</v>
          </cell>
        </row>
        <row r="789">
          <cell r="D789">
            <v>256779415311</v>
          </cell>
          <cell r="E789">
            <v>45937</v>
          </cell>
          <cell r="F789">
            <v>0</v>
          </cell>
          <cell r="G789"/>
          <cell r="H789">
            <v>16.510000000000002</v>
          </cell>
        </row>
        <row r="790">
          <cell r="D790">
            <v>256779415368</v>
          </cell>
          <cell r="E790">
            <v>45937</v>
          </cell>
          <cell r="F790">
            <v>0</v>
          </cell>
          <cell r="G790"/>
          <cell r="H790">
            <v>12.79</v>
          </cell>
        </row>
        <row r="791">
          <cell r="D791">
            <v>256779415320</v>
          </cell>
          <cell r="E791">
            <v>45937</v>
          </cell>
          <cell r="F791">
            <v>0</v>
          </cell>
          <cell r="G791"/>
          <cell r="H791">
            <v>2.67</v>
          </cell>
        </row>
        <row r="792">
          <cell r="D792">
            <v>256779415301</v>
          </cell>
          <cell r="E792">
            <v>45937</v>
          </cell>
          <cell r="F792">
            <v>0</v>
          </cell>
          <cell r="G792"/>
          <cell r="H792">
            <v>6.39</v>
          </cell>
        </row>
        <row r="793">
          <cell r="D793">
            <v>256779415329</v>
          </cell>
          <cell r="E793">
            <v>45937</v>
          </cell>
          <cell r="F793">
            <v>0</v>
          </cell>
          <cell r="G793"/>
          <cell r="H793">
            <v>5.86</v>
          </cell>
        </row>
        <row r="794">
          <cell r="D794">
            <v>256779415367</v>
          </cell>
          <cell r="E794">
            <v>45937</v>
          </cell>
          <cell r="F794">
            <v>0</v>
          </cell>
          <cell r="G794"/>
          <cell r="H794">
            <v>42.62</v>
          </cell>
        </row>
        <row r="795">
          <cell r="D795">
            <v>256779415353</v>
          </cell>
          <cell r="E795">
            <v>45937</v>
          </cell>
          <cell r="F795">
            <v>0</v>
          </cell>
          <cell r="G795"/>
          <cell r="H795">
            <v>42.62</v>
          </cell>
        </row>
        <row r="796">
          <cell r="D796">
            <v>256779415330</v>
          </cell>
          <cell r="E796">
            <v>45937</v>
          </cell>
          <cell r="F796">
            <v>0</v>
          </cell>
          <cell r="G796"/>
          <cell r="H796">
            <v>4.8</v>
          </cell>
        </row>
        <row r="797">
          <cell r="D797">
            <v>256779415354</v>
          </cell>
          <cell r="E797">
            <v>45937</v>
          </cell>
          <cell r="F797">
            <v>0</v>
          </cell>
          <cell r="G797"/>
          <cell r="H797">
            <v>12.79</v>
          </cell>
        </row>
        <row r="798">
          <cell r="D798">
            <v>256779415387</v>
          </cell>
          <cell r="E798">
            <v>45937</v>
          </cell>
          <cell r="F798">
            <v>0</v>
          </cell>
          <cell r="G798"/>
          <cell r="H798">
            <v>-157.24</v>
          </cell>
        </row>
        <row r="799">
          <cell r="D799">
            <v>256779415313</v>
          </cell>
          <cell r="E799">
            <v>45937</v>
          </cell>
          <cell r="F799">
            <v>0</v>
          </cell>
          <cell r="G799"/>
          <cell r="H799">
            <v>12.79</v>
          </cell>
        </row>
        <row r="800">
          <cell r="D800">
            <v>256779415323</v>
          </cell>
          <cell r="E800">
            <v>45937</v>
          </cell>
          <cell r="F800">
            <v>0</v>
          </cell>
          <cell r="G800"/>
          <cell r="H800">
            <v>45.12</v>
          </cell>
        </row>
        <row r="801">
          <cell r="D801">
            <v>256779415309</v>
          </cell>
          <cell r="E801">
            <v>45937</v>
          </cell>
          <cell r="F801">
            <v>0</v>
          </cell>
          <cell r="G801"/>
          <cell r="H801">
            <v>6.39</v>
          </cell>
        </row>
        <row r="802">
          <cell r="D802">
            <v>256779415302</v>
          </cell>
          <cell r="E802">
            <v>45937</v>
          </cell>
          <cell r="F802">
            <v>0</v>
          </cell>
          <cell r="G802"/>
          <cell r="H802">
            <v>6.39</v>
          </cell>
        </row>
        <row r="803">
          <cell r="D803">
            <v>256779415289</v>
          </cell>
          <cell r="E803">
            <v>45937</v>
          </cell>
          <cell r="F803">
            <v>0</v>
          </cell>
          <cell r="G803"/>
          <cell r="H803">
            <v>53.27</v>
          </cell>
        </row>
        <row r="804">
          <cell r="D804">
            <v>256779415325</v>
          </cell>
          <cell r="E804">
            <v>45937</v>
          </cell>
          <cell r="F804">
            <v>0</v>
          </cell>
          <cell r="G804"/>
          <cell r="H804">
            <v>40.92</v>
          </cell>
        </row>
        <row r="805">
          <cell r="D805">
            <v>256779415331</v>
          </cell>
          <cell r="E805">
            <v>45937</v>
          </cell>
          <cell r="F805">
            <v>0</v>
          </cell>
          <cell r="G805"/>
          <cell r="H805">
            <v>4.8</v>
          </cell>
        </row>
        <row r="806">
          <cell r="D806">
            <v>256779415290</v>
          </cell>
          <cell r="E806">
            <v>45937</v>
          </cell>
          <cell r="F806">
            <v>0</v>
          </cell>
          <cell r="G806"/>
          <cell r="H806">
            <v>5.1100000000000003</v>
          </cell>
        </row>
        <row r="807">
          <cell r="D807">
            <v>256779415319</v>
          </cell>
          <cell r="E807">
            <v>45937</v>
          </cell>
          <cell r="F807">
            <v>-140.16999999999999</v>
          </cell>
          <cell r="G807"/>
          <cell r="H807">
            <v>-12400.84</v>
          </cell>
        </row>
        <row r="808">
          <cell r="D808">
            <v>256779415319</v>
          </cell>
          <cell r="E808">
            <v>45937</v>
          </cell>
          <cell r="F808">
            <v>2.8</v>
          </cell>
          <cell r="G808"/>
          <cell r="H808">
            <v>247.72</v>
          </cell>
        </row>
        <row r="809">
          <cell r="D809">
            <v>256779415303</v>
          </cell>
          <cell r="E809">
            <v>45937</v>
          </cell>
          <cell r="F809">
            <v>0</v>
          </cell>
          <cell r="G809"/>
          <cell r="H809">
            <v>-88.42</v>
          </cell>
        </row>
        <row r="810">
          <cell r="D810">
            <v>256779415304</v>
          </cell>
          <cell r="E810">
            <v>45937</v>
          </cell>
          <cell r="F810">
            <v>0</v>
          </cell>
          <cell r="G810"/>
          <cell r="H810">
            <v>-26.52</v>
          </cell>
        </row>
        <row r="811">
          <cell r="D811">
            <v>256779415385</v>
          </cell>
          <cell r="E811">
            <v>45937</v>
          </cell>
          <cell r="F811">
            <v>0</v>
          </cell>
          <cell r="G811"/>
          <cell r="H811">
            <v>-0.32</v>
          </cell>
        </row>
        <row r="812">
          <cell r="D812">
            <v>256779415293</v>
          </cell>
          <cell r="E812">
            <v>45937</v>
          </cell>
          <cell r="F812">
            <v>0</v>
          </cell>
          <cell r="G812"/>
          <cell r="H812">
            <v>-0.32</v>
          </cell>
        </row>
        <row r="813">
          <cell r="D813">
            <v>256779415374</v>
          </cell>
          <cell r="E813">
            <v>45937</v>
          </cell>
          <cell r="F813">
            <v>0</v>
          </cell>
          <cell r="G813"/>
          <cell r="H813">
            <v>-6.43</v>
          </cell>
        </row>
        <row r="814">
          <cell r="D814">
            <v>256779415339</v>
          </cell>
          <cell r="E814">
            <v>45937</v>
          </cell>
          <cell r="F814">
            <v>0</v>
          </cell>
          <cell r="G814"/>
          <cell r="H814">
            <v>-24.21</v>
          </cell>
        </row>
        <row r="815">
          <cell r="D815">
            <v>256779415308</v>
          </cell>
          <cell r="E815">
            <v>45937</v>
          </cell>
          <cell r="F815">
            <v>0</v>
          </cell>
          <cell r="G815"/>
          <cell r="H815">
            <v>-26.52</v>
          </cell>
        </row>
        <row r="816">
          <cell r="D816">
            <v>256779415305</v>
          </cell>
          <cell r="E816">
            <v>45937</v>
          </cell>
          <cell r="F816">
            <v>0</v>
          </cell>
          <cell r="G816"/>
          <cell r="H816">
            <v>-26.52</v>
          </cell>
        </row>
        <row r="817">
          <cell r="D817">
            <v>256779415306</v>
          </cell>
          <cell r="E817">
            <v>45937</v>
          </cell>
          <cell r="F817">
            <v>0</v>
          </cell>
          <cell r="G817"/>
          <cell r="H817">
            <v>-26.52</v>
          </cell>
        </row>
        <row r="818">
          <cell r="D818">
            <v>256779415307</v>
          </cell>
          <cell r="E818">
            <v>45937</v>
          </cell>
          <cell r="F818">
            <v>0</v>
          </cell>
          <cell r="G818"/>
          <cell r="H818">
            <v>-26.52</v>
          </cell>
        </row>
        <row r="819">
          <cell r="D819">
            <v>256779415291</v>
          </cell>
          <cell r="E819">
            <v>45937</v>
          </cell>
          <cell r="F819">
            <v>0</v>
          </cell>
          <cell r="G819"/>
          <cell r="H819">
            <v>-0.32</v>
          </cell>
        </row>
        <row r="820">
          <cell r="D820">
            <v>256779415319</v>
          </cell>
          <cell r="E820">
            <v>45937</v>
          </cell>
          <cell r="F820">
            <v>0</v>
          </cell>
          <cell r="G820"/>
          <cell r="H820">
            <v>-94.07</v>
          </cell>
        </row>
        <row r="821">
          <cell r="D821">
            <v>256779415332</v>
          </cell>
          <cell r="E821">
            <v>45937</v>
          </cell>
          <cell r="F821">
            <v>-2.5</v>
          </cell>
          <cell r="G821"/>
          <cell r="H821">
            <v>-221.18</v>
          </cell>
        </row>
        <row r="822">
          <cell r="D822">
            <v>256779415332</v>
          </cell>
          <cell r="E822">
            <v>45937</v>
          </cell>
          <cell r="F822">
            <v>0.05</v>
          </cell>
          <cell r="G822"/>
          <cell r="H822">
            <v>4.42</v>
          </cell>
        </row>
        <row r="823">
          <cell r="D823">
            <v>256779415328</v>
          </cell>
          <cell r="E823">
            <v>45937</v>
          </cell>
          <cell r="F823">
            <v>-22.5</v>
          </cell>
          <cell r="G823"/>
          <cell r="H823">
            <v>-1990.58</v>
          </cell>
        </row>
        <row r="824">
          <cell r="D824">
            <v>256779415328</v>
          </cell>
          <cell r="E824">
            <v>45937</v>
          </cell>
          <cell r="F824">
            <v>0.45</v>
          </cell>
          <cell r="G824"/>
          <cell r="H824">
            <v>39.81</v>
          </cell>
        </row>
        <row r="825">
          <cell r="D825">
            <v>256779415303</v>
          </cell>
          <cell r="E825">
            <v>45937</v>
          </cell>
          <cell r="F825">
            <v>0</v>
          </cell>
          <cell r="G825"/>
          <cell r="H825">
            <v>-72.12</v>
          </cell>
        </row>
        <row r="826">
          <cell r="D826">
            <v>256779415304</v>
          </cell>
          <cell r="E826">
            <v>45937</v>
          </cell>
          <cell r="F826">
            <v>0</v>
          </cell>
          <cell r="G826"/>
          <cell r="H826">
            <v>-21.64</v>
          </cell>
        </row>
        <row r="827">
          <cell r="D827">
            <v>256779415385</v>
          </cell>
          <cell r="E827">
            <v>45937</v>
          </cell>
          <cell r="F827">
            <v>0</v>
          </cell>
          <cell r="G827"/>
          <cell r="H827">
            <v>-0.36</v>
          </cell>
        </row>
        <row r="828">
          <cell r="D828">
            <v>256779415293</v>
          </cell>
          <cell r="E828">
            <v>45937</v>
          </cell>
          <cell r="F828">
            <v>0</v>
          </cell>
          <cell r="G828"/>
          <cell r="H828">
            <v>-0.36</v>
          </cell>
        </row>
        <row r="829">
          <cell r="D829">
            <v>256779415374</v>
          </cell>
          <cell r="E829">
            <v>45937</v>
          </cell>
          <cell r="F829">
            <v>0</v>
          </cell>
          <cell r="G829"/>
          <cell r="H829">
            <v>-6.91</v>
          </cell>
        </row>
        <row r="830">
          <cell r="D830">
            <v>256779415339</v>
          </cell>
          <cell r="E830">
            <v>45937</v>
          </cell>
          <cell r="F830">
            <v>0</v>
          </cell>
          <cell r="G830"/>
          <cell r="H830">
            <v>-19.760000000000002</v>
          </cell>
        </row>
        <row r="831">
          <cell r="D831">
            <v>256779415308</v>
          </cell>
          <cell r="E831">
            <v>45937</v>
          </cell>
          <cell r="F831">
            <v>0</v>
          </cell>
          <cell r="G831"/>
          <cell r="H831">
            <v>-21.64</v>
          </cell>
        </row>
        <row r="832">
          <cell r="D832">
            <v>256779415305</v>
          </cell>
          <cell r="E832">
            <v>45937</v>
          </cell>
          <cell r="F832">
            <v>0</v>
          </cell>
          <cell r="G832"/>
          <cell r="H832">
            <v>-21.64</v>
          </cell>
        </row>
        <row r="833">
          <cell r="D833">
            <v>256779415306</v>
          </cell>
          <cell r="E833">
            <v>45937</v>
          </cell>
          <cell r="F833">
            <v>0</v>
          </cell>
          <cell r="G833"/>
          <cell r="H833">
            <v>-21.64</v>
          </cell>
        </row>
        <row r="834">
          <cell r="D834">
            <v>256779415307</v>
          </cell>
          <cell r="E834">
            <v>45937</v>
          </cell>
          <cell r="F834">
            <v>0</v>
          </cell>
          <cell r="G834"/>
          <cell r="H834">
            <v>-21.64</v>
          </cell>
        </row>
        <row r="835">
          <cell r="D835">
            <v>256779415291</v>
          </cell>
          <cell r="E835">
            <v>45937</v>
          </cell>
          <cell r="F835">
            <v>0</v>
          </cell>
          <cell r="G835"/>
          <cell r="H835">
            <v>-0.36</v>
          </cell>
        </row>
        <row r="836">
          <cell r="D836">
            <v>256779415332</v>
          </cell>
          <cell r="E836">
            <v>45937</v>
          </cell>
          <cell r="F836">
            <v>0</v>
          </cell>
          <cell r="G836"/>
          <cell r="H836">
            <v>-3.47</v>
          </cell>
        </row>
        <row r="837">
          <cell r="D837">
            <v>2717597</v>
          </cell>
          <cell r="E837" t="str">
            <v>21/11/2025</v>
          </cell>
          <cell r="F837">
            <v>0</v>
          </cell>
          <cell r="G837"/>
          <cell r="H837">
            <v>1899719.56</v>
          </cell>
        </row>
        <row r="838">
          <cell r="D838">
            <v>256779415328</v>
          </cell>
          <cell r="E838">
            <v>45937</v>
          </cell>
          <cell r="F838">
            <v>0</v>
          </cell>
          <cell r="G838"/>
          <cell r="H838">
            <v>-31.32</v>
          </cell>
        </row>
        <row r="839">
          <cell r="D839">
            <v>256779415321</v>
          </cell>
          <cell r="E839">
            <v>45937</v>
          </cell>
          <cell r="F839">
            <v>-212.5</v>
          </cell>
          <cell r="G839"/>
          <cell r="H839">
            <v>-18799.88</v>
          </cell>
        </row>
        <row r="840">
          <cell r="D840">
            <v>256779415321</v>
          </cell>
          <cell r="E840">
            <v>45937</v>
          </cell>
          <cell r="F840">
            <v>4.25</v>
          </cell>
          <cell r="G840"/>
          <cell r="H840">
            <v>376</v>
          </cell>
        </row>
        <row r="841">
          <cell r="D841">
            <v>256779415303</v>
          </cell>
          <cell r="E841">
            <v>45937</v>
          </cell>
          <cell r="F841">
            <v>0</v>
          </cell>
          <cell r="G841"/>
          <cell r="H841">
            <v>-170.52</v>
          </cell>
        </row>
        <row r="842">
          <cell r="D842">
            <v>256779415304</v>
          </cell>
          <cell r="E842">
            <v>45937</v>
          </cell>
          <cell r="F842">
            <v>0</v>
          </cell>
          <cell r="G842"/>
          <cell r="H842">
            <v>-51.15</v>
          </cell>
        </row>
        <row r="843">
          <cell r="D843">
            <v>256779415385</v>
          </cell>
          <cell r="E843">
            <v>45937</v>
          </cell>
          <cell r="F843">
            <v>0</v>
          </cell>
          <cell r="G843"/>
          <cell r="H843">
            <v>-0.83</v>
          </cell>
        </row>
        <row r="844">
          <cell r="D844">
            <v>256779415293</v>
          </cell>
          <cell r="E844">
            <v>45937</v>
          </cell>
          <cell r="F844">
            <v>0</v>
          </cell>
          <cell r="G844"/>
          <cell r="H844">
            <v>-0.83</v>
          </cell>
        </row>
        <row r="845">
          <cell r="D845">
            <v>256779415374</v>
          </cell>
          <cell r="E845">
            <v>45937</v>
          </cell>
          <cell r="F845">
            <v>0</v>
          </cell>
          <cell r="G845"/>
          <cell r="H845">
            <v>-16.34</v>
          </cell>
        </row>
        <row r="846">
          <cell r="D846">
            <v>256779415339</v>
          </cell>
          <cell r="E846">
            <v>45937</v>
          </cell>
          <cell r="F846">
            <v>0</v>
          </cell>
          <cell r="G846"/>
          <cell r="H846">
            <v>-46.7</v>
          </cell>
        </row>
        <row r="847">
          <cell r="D847">
            <v>256779415308</v>
          </cell>
          <cell r="E847">
            <v>45937</v>
          </cell>
          <cell r="F847">
            <v>0</v>
          </cell>
          <cell r="G847"/>
          <cell r="H847">
            <v>-51.15</v>
          </cell>
        </row>
        <row r="848">
          <cell r="D848">
            <v>256779415305</v>
          </cell>
          <cell r="E848">
            <v>45937</v>
          </cell>
          <cell r="F848">
            <v>0</v>
          </cell>
          <cell r="G848"/>
          <cell r="H848">
            <v>-51.15</v>
          </cell>
        </row>
        <row r="849">
          <cell r="D849">
            <v>256779415306</v>
          </cell>
          <cell r="E849">
            <v>45937</v>
          </cell>
          <cell r="F849">
            <v>0</v>
          </cell>
          <cell r="G849"/>
          <cell r="H849">
            <v>-51.15</v>
          </cell>
        </row>
        <row r="850">
          <cell r="D850">
            <v>256779415307</v>
          </cell>
          <cell r="E850">
            <v>45937</v>
          </cell>
          <cell r="F850">
            <v>0</v>
          </cell>
          <cell r="G850"/>
          <cell r="H850">
            <v>-51.15</v>
          </cell>
        </row>
        <row r="851">
          <cell r="D851">
            <v>256779415291</v>
          </cell>
          <cell r="E851">
            <v>45937</v>
          </cell>
          <cell r="F851">
            <v>0</v>
          </cell>
          <cell r="G851"/>
          <cell r="H851">
            <v>-0.83</v>
          </cell>
        </row>
        <row r="852">
          <cell r="D852">
            <v>256779415321</v>
          </cell>
          <cell r="E852">
            <v>45937</v>
          </cell>
          <cell r="F852">
            <v>0</v>
          </cell>
          <cell r="G852"/>
          <cell r="H852">
            <v>-658.22</v>
          </cell>
        </row>
        <row r="853">
          <cell r="D853">
            <v>256779414358</v>
          </cell>
          <cell r="E853">
            <v>45936</v>
          </cell>
          <cell r="F853">
            <v>-2339.4299999999998</v>
          </cell>
          <cell r="G853"/>
          <cell r="H853">
            <v>-199001.51</v>
          </cell>
        </row>
        <row r="854">
          <cell r="D854">
            <v>256779414359</v>
          </cell>
          <cell r="E854">
            <v>45936</v>
          </cell>
          <cell r="F854">
            <v>-93.58</v>
          </cell>
          <cell r="G854"/>
          <cell r="H854">
            <v>-7960.3</v>
          </cell>
        </row>
        <row r="855">
          <cell r="D855">
            <v>256779414360</v>
          </cell>
          <cell r="E855">
            <v>45936</v>
          </cell>
          <cell r="F855">
            <v>-51.47</v>
          </cell>
          <cell r="G855"/>
          <cell r="H855">
            <v>-4378.25</v>
          </cell>
        </row>
        <row r="856">
          <cell r="D856">
            <v>256779414359</v>
          </cell>
          <cell r="E856">
            <v>45936</v>
          </cell>
          <cell r="F856">
            <v>1.87</v>
          </cell>
          <cell r="G856"/>
          <cell r="H856">
            <v>159.07</v>
          </cell>
        </row>
        <row r="857">
          <cell r="D857">
            <v>256779414358</v>
          </cell>
          <cell r="E857">
            <v>45936</v>
          </cell>
          <cell r="F857">
            <v>46.79</v>
          </cell>
          <cell r="G857"/>
          <cell r="H857">
            <v>3980.15</v>
          </cell>
        </row>
        <row r="858">
          <cell r="D858">
            <v>256779414360</v>
          </cell>
          <cell r="E858">
            <v>45936</v>
          </cell>
          <cell r="F858">
            <v>1.03</v>
          </cell>
          <cell r="G858"/>
          <cell r="H858">
            <v>87.62</v>
          </cell>
        </row>
        <row r="859">
          <cell r="D859">
            <v>256779414358</v>
          </cell>
          <cell r="E859">
            <v>45936</v>
          </cell>
          <cell r="F859">
            <v>0</v>
          </cell>
          <cell r="G859"/>
          <cell r="H859">
            <v>-15054.92</v>
          </cell>
        </row>
        <row r="860">
          <cell r="D860">
            <v>256779414359</v>
          </cell>
          <cell r="E860">
            <v>45936</v>
          </cell>
          <cell r="F860">
            <v>0</v>
          </cell>
          <cell r="G860"/>
          <cell r="H860">
            <v>-602.22</v>
          </cell>
        </row>
        <row r="861">
          <cell r="D861">
            <v>256779414360</v>
          </cell>
          <cell r="E861">
            <v>45936</v>
          </cell>
          <cell r="F861">
            <v>0</v>
          </cell>
          <cell r="G861"/>
          <cell r="H861">
            <v>-331.22</v>
          </cell>
        </row>
        <row r="862">
          <cell r="D862">
            <v>256779413240</v>
          </cell>
          <cell r="E862">
            <v>45935</v>
          </cell>
          <cell r="F862">
            <v>-424.03</v>
          </cell>
          <cell r="G862"/>
          <cell r="H862">
            <v>-36201.339999999997</v>
          </cell>
        </row>
        <row r="863">
          <cell r="D863">
            <v>256779413146</v>
          </cell>
          <cell r="E863">
            <v>45935</v>
          </cell>
          <cell r="F863">
            <v>0</v>
          </cell>
          <cell r="G863"/>
          <cell r="H863">
            <v>-200000</v>
          </cell>
        </row>
        <row r="864">
          <cell r="D864">
            <v>256779413148</v>
          </cell>
          <cell r="E864">
            <v>45935</v>
          </cell>
          <cell r="F864">
            <v>0</v>
          </cell>
          <cell r="G864"/>
          <cell r="H864">
            <v>-4400</v>
          </cell>
        </row>
        <row r="865">
          <cell r="D865">
            <v>256779413147</v>
          </cell>
          <cell r="E865">
            <v>45935</v>
          </cell>
          <cell r="F865">
            <v>0</v>
          </cell>
          <cell r="G865"/>
          <cell r="H865">
            <v>-8000</v>
          </cell>
        </row>
        <row r="866">
          <cell r="D866">
            <v>256779413250</v>
          </cell>
          <cell r="E866">
            <v>45935</v>
          </cell>
          <cell r="F866">
            <v>-423.28</v>
          </cell>
          <cell r="G866"/>
          <cell r="H866">
            <v>-36137.300000000003</v>
          </cell>
        </row>
        <row r="867">
          <cell r="D867">
            <v>256779413148</v>
          </cell>
          <cell r="E867">
            <v>45935</v>
          </cell>
          <cell r="F867">
            <v>0</v>
          </cell>
          <cell r="G867"/>
          <cell r="H867">
            <v>88</v>
          </cell>
        </row>
        <row r="868">
          <cell r="D868">
            <v>256779413146</v>
          </cell>
          <cell r="E868">
            <v>45935</v>
          </cell>
          <cell r="F868">
            <v>0</v>
          </cell>
          <cell r="G868"/>
          <cell r="H868">
            <v>4000</v>
          </cell>
        </row>
        <row r="869">
          <cell r="D869">
            <v>256779413147</v>
          </cell>
          <cell r="E869">
            <v>45935</v>
          </cell>
          <cell r="F869">
            <v>0</v>
          </cell>
          <cell r="G869"/>
          <cell r="H869">
            <v>160</v>
          </cell>
        </row>
        <row r="870">
          <cell r="D870">
            <v>256779413250</v>
          </cell>
          <cell r="E870">
            <v>45935</v>
          </cell>
          <cell r="F870">
            <v>8.4700000000000006</v>
          </cell>
          <cell r="G870"/>
          <cell r="H870">
            <v>723.12</v>
          </cell>
        </row>
        <row r="871">
          <cell r="D871">
            <v>256779413240</v>
          </cell>
          <cell r="E871">
            <v>45935</v>
          </cell>
          <cell r="F871">
            <v>8.48</v>
          </cell>
          <cell r="G871"/>
          <cell r="H871">
            <v>723.98</v>
          </cell>
        </row>
        <row r="872">
          <cell r="D872">
            <v>256779413240</v>
          </cell>
          <cell r="E872">
            <v>45935</v>
          </cell>
          <cell r="F872">
            <v>0</v>
          </cell>
          <cell r="G872"/>
          <cell r="H872">
            <v>-1570.91</v>
          </cell>
        </row>
        <row r="873">
          <cell r="D873">
            <v>256779413250</v>
          </cell>
          <cell r="E873">
            <v>45935</v>
          </cell>
          <cell r="F873">
            <v>0</v>
          </cell>
          <cell r="G873"/>
          <cell r="H873">
            <v>-1568.11</v>
          </cell>
        </row>
        <row r="874">
          <cell r="D874">
            <v>256779419995</v>
          </cell>
          <cell r="E874">
            <v>45912</v>
          </cell>
          <cell r="F874">
            <v>-187.19</v>
          </cell>
          <cell r="G874"/>
          <cell r="H874">
            <v>-16688.88</v>
          </cell>
        </row>
        <row r="875">
          <cell r="D875">
            <v>256779419995</v>
          </cell>
          <cell r="E875">
            <v>45912</v>
          </cell>
          <cell r="F875">
            <v>3.74</v>
          </cell>
          <cell r="G875"/>
          <cell r="H875">
            <v>333.44</v>
          </cell>
        </row>
        <row r="876">
          <cell r="D876">
            <v>256779419995</v>
          </cell>
          <cell r="E876">
            <v>45912</v>
          </cell>
          <cell r="F876">
            <v>0</v>
          </cell>
          <cell r="G876"/>
          <cell r="H876">
            <v>-454.22</v>
          </cell>
        </row>
        <row r="877">
          <cell r="D877">
            <v>256779419858</v>
          </cell>
          <cell r="E877">
            <v>45881</v>
          </cell>
          <cell r="F877">
            <v>-147.37</v>
          </cell>
          <cell r="G877"/>
          <cell r="H877">
            <v>-13138.74</v>
          </cell>
        </row>
        <row r="878">
          <cell r="D878">
            <v>256779419858</v>
          </cell>
          <cell r="E878">
            <v>45881</v>
          </cell>
          <cell r="F878">
            <v>2.95</v>
          </cell>
          <cell r="G878"/>
          <cell r="H878">
            <v>263.01</v>
          </cell>
        </row>
        <row r="879">
          <cell r="D879">
            <v>256779419858</v>
          </cell>
          <cell r="E879">
            <v>45881</v>
          </cell>
          <cell r="F879">
            <v>0</v>
          </cell>
          <cell r="G879"/>
          <cell r="H879">
            <v>-290.25</v>
          </cell>
        </row>
        <row r="880">
          <cell r="D880">
            <v>256779419858</v>
          </cell>
          <cell r="E880">
            <v>45881</v>
          </cell>
          <cell r="F880">
            <v>0</v>
          </cell>
          <cell r="G880"/>
          <cell r="H880">
            <v>-67.33</v>
          </cell>
        </row>
        <row r="881">
          <cell r="D881">
            <v>256779416255</v>
          </cell>
          <cell r="E881">
            <v>45877</v>
          </cell>
          <cell r="F881">
            <v>-392</v>
          </cell>
          <cell r="G881"/>
          <cell r="H881">
            <v>-33959.32</v>
          </cell>
        </row>
        <row r="882">
          <cell r="D882">
            <v>256779416169</v>
          </cell>
          <cell r="E882">
            <v>45877</v>
          </cell>
          <cell r="F882">
            <v>-257</v>
          </cell>
          <cell r="G882"/>
          <cell r="H882">
            <v>-22264.14</v>
          </cell>
        </row>
        <row r="883">
          <cell r="D883">
            <v>256779416442</v>
          </cell>
          <cell r="E883">
            <v>45877</v>
          </cell>
          <cell r="F883">
            <v>-1053</v>
          </cell>
          <cell r="G883"/>
          <cell r="H883">
            <v>-91222.35</v>
          </cell>
        </row>
        <row r="884">
          <cell r="D884">
            <v>256779416214</v>
          </cell>
          <cell r="E884">
            <v>45877</v>
          </cell>
          <cell r="F884">
            <v>-212</v>
          </cell>
          <cell r="G884"/>
          <cell r="H884">
            <v>-18365.75</v>
          </cell>
        </row>
        <row r="885">
          <cell r="D885">
            <v>256779416454</v>
          </cell>
          <cell r="E885">
            <v>45877</v>
          </cell>
          <cell r="F885">
            <v>-411</v>
          </cell>
          <cell r="G885"/>
          <cell r="H885">
            <v>-35605.300000000003</v>
          </cell>
        </row>
        <row r="886">
          <cell r="D886">
            <v>256779416442</v>
          </cell>
          <cell r="E886">
            <v>45877</v>
          </cell>
          <cell r="F886">
            <v>21.06</v>
          </cell>
          <cell r="G886"/>
          <cell r="H886">
            <v>1824.45</v>
          </cell>
        </row>
        <row r="887">
          <cell r="D887">
            <v>256779416169</v>
          </cell>
          <cell r="E887">
            <v>45877</v>
          </cell>
          <cell r="F887">
            <v>5.14</v>
          </cell>
          <cell r="G887"/>
          <cell r="H887">
            <v>445.28</v>
          </cell>
        </row>
        <row r="888">
          <cell r="D888">
            <v>256779416214</v>
          </cell>
          <cell r="E888">
            <v>45877</v>
          </cell>
          <cell r="F888">
            <v>4.24</v>
          </cell>
          <cell r="G888"/>
          <cell r="H888">
            <v>367.31</v>
          </cell>
        </row>
        <row r="889">
          <cell r="D889">
            <v>256779416454</v>
          </cell>
          <cell r="E889">
            <v>45877</v>
          </cell>
          <cell r="F889">
            <v>8.2200000000000006</v>
          </cell>
          <cell r="G889"/>
          <cell r="H889">
            <v>712.11</v>
          </cell>
        </row>
        <row r="890">
          <cell r="D890">
            <v>256779416255</v>
          </cell>
          <cell r="E890">
            <v>45877</v>
          </cell>
          <cell r="F890">
            <v>7.84</v>
          </cell>
          <cell r="G890"/>
          <cell r="H890">
            <v>679.19</v>
          </cell>
        </row>
        <row r="891">
          <cell r="D891">
            <v>256779416096</v>
          </cell>
          <cell r="E891">
            <v>45877</v>
          </cell>
          <cell r="F891">
            <v>-7386.34</v>
          </cell>
          <cell r="G891"/>
          <cell r="H891">
            <v>-639885.32999999996</v>
          </cell>
        </row>
        <row r="892">
          <cell r="D892">
            <v>256779416096</v>
          </cell>
          <cell r="E892">
            <v>45877</v>
          </cell>
          <cell r="F892">
            <v>147.72999999999999</v>
          </cell>
          <cell r="G892"/>
          <cell r="H892">
            <v>12797.98</v>
          </cell>
        </row>
        <row r="893">
          <cell r="D893">
            <v>256779416255</v>
          </cell>
          <cell r="E893">
            <v>45877</v>
          </cell>
          <cell r="F893">
            <v>0</v>
          </cell>
          <cell r="G893"/>
          <cell r="H893">
            <v>-622.98</v>
          </cell>
        </row>
        <row r="894">
          <cell r="D894">
            <v>256779416169</v>
          </cell>
          <cell r="E894">
            <v>45877</v>
          </cell>
          <cell r="F894">
            <v>0</v>
          </cell>
          <cell r="G894"/>
          <cell r="H894">
            <v>-408.43</v>
          </cell>
        </row>
        <row r="895">
          <cell r="D895">
            <v>256779416442</v>
          </cell>
          <cell r="E895">
            <v>45877</v>
          </cell>
          <cell r="F895">
            <v>0</v>
          </cell>
          <cell r="G895"/>
          <cell r="H895">
            <v>-1673.46</v>
          </cell>
        </row>
        <row r="896">
          <cell r="D896">
            <v>256779416214</v>
          </cell>
          <cell r="E896">
            <v>45877</v>
          </cell>
          <cell r="F896">
            <v>0</v>
          </cell>
          <cell r="G896"/>
          <cell r="H896">
            <v>-336.91</v>
          </cell>
        </row>
        <row r="897">
          <cell r="D897">
            <v>256779416454</v>
          </cell>
          <cell r="E897">
            <v>45877</v>
          </cell>
          <cell r="F897">
            <v>0</v>
          </cell>
          <cell r="G897"/>
          <cell r="H897">
            <v>-653.17999999999995</v>
          </cell>
        </row>
        <row r="898">
          <cell r="D898">
            <v>256779416096</v>
          </cell>
          <cell r="E898">
            <v>45877</v>
          </cell>
          <cell r="F898">
            <v>0</v>
          </cell>
          <cell r="G898"/>
          <cell r="H898">
            <v>-11738.6</v>
          </cell>
        </row>
        <row r="899">
          <cell r="D899">
            <v>256779416137</v>
          </cell>
          <cell r="E899">
            <v>45877</v>
          </cell>
          <cell r="F899">
            <v>-55</v>
          </cell>
          <cell r="G899"/>
          <cell r="H899">
            <v>-4764.7</v>
          </cell>
        </row>
        <row r="900">
          <cell r="D900">
            <v>256779416137</v>
          </cell>
          <cell r="E900">
            <v>45877</v>
          </cell>
          <cell r="F900">
            <v>1.1000000000000001</v>
          </cell>
          <cell r="G900"/>
          <cell r="H900">
            <v>95.29</v>
          </cell>
        </row>
        <row r="901">
          <cell r="D901">
            <v>256779416255</v>
          </cell>
          <cell r="E901">
            <v>45877</v>
          </cell>
          <cell r="F901">
            <v>0</v>
          </cell>
          <cell r="G901"/>
          <cell r="H901">
            <v>-346.59</v>
          </cell>
        </row>
        <row r="902">
          <cell r="D902">
            <v>256779416169</v>
          </cell>
          <cell r="E902">
            <v>45877</v>
          </cell>
          <cell r="F902">
            <v>0</v>
          </cell>
          <cell r="G902"/>
          <cell r="H902">
            <v>-227.23</v>
          </cell>
        </row>
        <row r="903">
          <cell r="D903">
            <v>256779416442</v>
          </cell>
          <cell r="E903">
            <v>45877</v>
          </cell>
          <cell r="F903">
            <v>0</v>
          </cell>
          <cell r="G903"/>
          <cell r="H903">
            <v>-931.02</v>
          </cell>
        </row>
        <row r="904">
          <cell r="D904">
            <v>256779416214</v>
          </cell>
          <cell r="E904">
            <v>45877</v>
          </cell>
          <cell r="F904">
            <v>0</v>
          </cell>
          <cell r="G904"/>
          <cell r="H904">
            <v>-187.45</v>
          </cell>
        </row>
        <row r="905">
          <cell r="D905">
            <v>256779416454</v>
          </cell>
          <cell r="E905">
            <v>45877</v>
          </cell>
          <cell r="F905">
            <v>0</v>
          </cell>
          <cell r="G905"/>
          <cell r="H905">
            <v>-363.39</v>
          </cell>
        </row>
        <row r="906">
          <cell r="D906">
            <v>256779416137</v>
          </cell>
          <cell r="E906">
            <v>45877</v>
          </cell>
          <cell r="F906">
            <v>0</v>
          </cell>
          <cell r="G906"/>
          <cell r="H906">
            <v>-136.03</v>
          </cell>
        </row>
        <row r="907">
          <cell r="D907">
            <v>256779416255</v>
          </cell>
          <cell r="E907">
            <v>45877</v>
          </cell>
          <cell r="F907">
            <v>0</v>
          </cell>
          <cell r="G907"/>
          <cell r="H907">
            <v>-282.73</v>
          </cell>
        </row>
        <row r="908">
          <cell r="D908">
            <v>256779416169</v>
          </cell>
          <cell r="E908">
            <v>45877</v>
          </cell>
          <cell r="F908">
            <v>0</v>
          </cell>
          <cell r="G908"/>
          <cell r="H908">
            <v>-185.36</v>
          </cell>
        </row>
        <row r="909">
          <cell r="D909">
            <v>256779416442</v>
          </cell>
          <cell r="E909">
            <v>45877</v>
          </cell>
          <cell r="F909">
            <v>0</v>
          </cell>
          <cell r="G909"/>
          <cell r="H909">
            <v>-759.48</v>
          </cell>
        </row>
        <row r="910">
          <cell r="D910">
            <v>256779416214</v>
          </cell>
          <cell r="E910">
            <v>45877</v>
          </cell>
          <cell r="F910">
            <v>0</v>
          </cell>
          <cell r="G910"/>
          <cell r="H910">
            <v>-152.9</v>
          </cell>
        </row>
        <row r="911">
          <cell r="D911">
            <v>256779416454</v>
          </cell>
          <cell r="E911">
            <v>45877</v>
          </cell>
          <cell r="F911">
            <v>0</v>
          </cell>
          <cell r="G911"/>
          <cell r="H911">
            <v>-296.44</v>
          </cell>
        </row>
        <row r="912">
          <cell r="D912">
            <v>256779416137</v>
          </cell>
          <cell r="E912">
            <v>45877</v>
          </cell>
          <cell r="F912">
            <v>0</v>
          </cell>
          <cell r="G912"/>
          <cell r="H912">
            <v>-39.67</v>
          </cell>
        </row>
        <row r="913">
          <cell r="D913">
            <v>256779416255</v>
          </cell>
          <cell r="E913">
            <v>45877</v>
          </cell>
          <cell r="F913">
            <v>0</v>
          </cell>
          <cell r="G913"/>
          <cell r="H913">
            <v>-668.43</v>
          </cell>
        </row>
        <row r="914">
          <cell r="D914">
            <v>256779416169</v>
          </cell>
          <cell r="E914">
            <v>45877</v>
          </cell>
          <cell r="F914">
            <v>0</v>
          </cell>
          <cell r="G914"/>
          <cell r="H914">
            <v>-438.24</v>
          </cell>
        </row>
        <row r="915">
          <cell r="D915">
            <v>256779416442</v>
          </cell>
          <cell r="E915">
            <v>45877</v>
          </cell>
          <cell r="F915">
            <v>0</v>
          </cell>
          <cell r="G915"/>
          <cell r="H915">
            <v>-1795.56</v>
          </cell>
        </row>
        <row r="916">
          <cell r="D916">
            <v>256779416214</v>
          </cell>
          <cell r="E916">
            <v>45877</v>
          </cell>
          <cell r="F916">
            <v>0</v>
          </cell>
          <cell r="G916"/>
          <cell r="H916">
            <v>-361.5</v>
          </cell>
        </row>
        <row r="917">
          <cell r="D917">
            <v>256779416454</v>
          </cell>
          <cell r="E917">
            <v>45877</v>
          </cell>
          <cell r="F917">
            <v>0</v>
          </cell>
          <cell r="G917"/>
          <cell r="H917">
            <v>-700.83</v>
          </cell>
        </row>
        <row r="918">
          <cell r="D918">
            <v>256779416137</v>
          </cell>
          <cell r="E918">
            <v>45877</v>
          </cell>
          <cell r="F918">
            <v>0</v>
          </cell>
          <cell r="G918"/>
          <cell r="H918">
            <v>-93.79</v>
          </cell>
        </row>
        <row r="919">
          <cell r="D919">
            <v>256779418176</v>
          </cell>
          <cell r="E919">
            <v>45848</v>
          </cell>
          <cell r="F919">
            <v>-639.04999999999995</v>
          </cell>
          <cell r="G919"/>
          <cell r="H919">
            <v>-56657.85</v>
          </cell>
        </row>
        <row r="920">
          <cell r="D920">
            <v>256779418176</v>
          </cell>
          <cell r="E920">
            <v>45848</v>
          </cell>
          <cell r="F920">
            <v>12.78</v>
          </cell>
          <cell r="G920"/>
          <cell r="H920">
            <v>1133.07</v>
          </cell>
        </row>
        <row r="921">
          <cell r="D921">
            <v>256779419983</v>
          </cell>
          <cell r="E921">
            <v>45820</v>
          </cell>
          <cell r="F921">
            <v>-55.63</v>
          </cell>
          <cell r="G921"/>
          <cell r="H921">
            <v>-4959.68</v>
          </cell>
        </row>
        <row r="922">
          <cell r="D922">
            <v>256779419983</v>
          </cell>
          <cell r="E922">
            <v>45820</v>
          </cell>
          <cell r="F922">
            <v>1.1100000000000001</v>
          </cell>
          <cell r="G922"/>
          <cell r="H922">
            <v>98.96</v>
          </cell>
        </row>
        <row r="923">
          <cell r="D923">
            <v>256779419983</v>
          </cell>
          <cell r="E923">
            <v>45820</v>
          </cell>
          <cell r="F923">
            <v>0</v>
          </cell>
          <cell r="G923"/>
          <cell r="H923">
            <v>-134.99</v>
          </cell>
        </row>
        <row r="924">
          <cell r="D924">
            <v>256779418006</v>
          </cell>
          <cell r="E924">
            <v>45818</v>
          </cell>
          <cell r="F924">
            <v>-4667.07</v>
          </cell>
          <cell r="G924"/>
          <cell r="H924">
            <v>-413780.08</v>
          </cell>
        </row>
        <row r="925">
          <cell r="D925">
            <v>256779418006</v>
          </cell>
          <cell r="E925">
            <v>45818</v>
          </cell>
          <cell r="F925">
            <v>93.34</v>
          </cell>
          <cell r="G925"/>
          <cell r="H925">
            <v>8275.48</v>
          </cell>
        </row>
        <row r="926">
          <cell r="D926">
            <v>246779410904</v>
          </cell>
          <cell r="E926">
            <v>45811</v>
          </cell>
          <cell r="F926">
            <v>-1665.82</v>
          </cell>
          <cell r="G926"/>
          <cell r="H926">
            <v>-144997</v>
          </cell>
        </row>
        <row r="927">
          <cell r="D927">
            <v>246779410904</v>
          </cell>
          <cell r="E927">
            <v>45811</v>
          </cell>
          <cell r="F927">
            <v>33.32</v>
          </cell>
          <cell r="G927"/>
          <cell r="H927">
            <v>2900.25</v>
          </cell>
        </row>
        <row r="928">
          <cell r="D928">
            <v>246779410882</v>
          </cell>
          <cell r="E928">
            <v>45811</v>
          </cell>
          <cell r="F928">
            <v>-2232.73</v>
          </cell>
          <cell r="G928"/>
          <cell r="H928">
            <v>-194342.21</v>
          </cell>
        </row>
        <row r="929">
          <cell r="D929">
            <v>246779410882</v>
          </cell>
          <cell r="E929">
            <v>45811</v>
          </cell>
          <cell r="F929">
            <v>44.65</v>
          </cell>
          <cell r="G929"/>
          <cell r="H929">
            <v>3886.44</v>
          </cell>
        </row>
        <row r="930">
          <cell r="D930">
            <v>246779410882</v>
          </cell>
          <cell r="E930">
            <v>45811</v>
          </cell>
          <cell r="F930">
            <v>0</v>
          </cell>
          <cell r="G930"/>
          <cell r="H930">
            <v>2303.84</v>
          </cell>
        </row>
        <row r="931">
          <cell r="D931">
            <v>256779419908</v>
          </cell>
          <cell r="E931">
            <v>45789</v>
          </cell>
          <cell r="F931">
            <v>-375.94</v>
          </cell>
          <cell r="G931"/>
          <cell r="H931">
            <v>-33516.85</v>
          </cell>
        </row>
        <row r="932">
          <cell r="D932">
            <v>256779419808</v>
          </cell>
          <cell r="E932">
            <v>45789</v>
          </cell>
          <cell r="F932">
            <v>-27.95</v>
          </cell>
          <cell r="G932"/>
          <cell r="H932">
            <v>-2491.88</v>
          </cell>
        </row>
        <row r="933">
          <cell r="D933">
            <v>256779419908</v>
          </cell>
          <cell r="E933">
            <v>45789</v>
          </cell>
          <cell r="F933">
            <v>7.52</v>
          </cell>
          <cell r="G933"/>
          <cell r="H933">
            <v>670.44</v>
          </cell>
        </row>
        <row r="934">
          <cell r="D934">
            <v>256779419808</v>
          </cell>
          <cell r="E934">
            <v>45789</v>
          </cell>
          <cell r="F934">
            <v>0.56000000000000005</v>
          </cell>
          <cell r="G934"/>
          <cell r="H934">
            <v>49.93</v>
          </cell>
        </row>
        <row r="935">
          <cell r="D935">
            <v>256779419908</v>
          </cell>
          <cell r="E935">
            <v>45789</v>
          </cell>
          <cell r="F935">
            <v>0</v>
          </cell>
          <cell r="G935"/>
          <cell r="H935">
            <v>-912.18</v>
          </cell>
        </row>
        <row r="936">
          <cell r="D936">
            <v>256779419808</v>
          </cell>
          <cell r="E936">
            <v>45789</v>
          </cell>
          <cell r="F936">
            <v>0</v>
          </cell>
          <cell r="G936"/>
          <cell r="H936">
            <v>-67.819999999999993</v>
          </cell>
        </row>
        <row r="937">
          <cell r="D937">
            <v>256779419211</v>
          </cell>
          <cell r="E937">
            <v>45788</v>
          </cell>
          <cell r="F937">
            <v>-28.18</v>
          </cell>
          <cell r="G937"/>
          <cell r="H937">
            <v>-2486.96</v>
          </cell>
        </row>
        <row r="938">
          <cell r="D938">
            <v>256779419211</v>
          </cell>
          <cell r="E938">
            <v>45788</v>
          </cell>
          <cell r="F938">
            <v>0.56000000000000005</v>
          </cell>
          <cell r="G938"/>
          <cell r="H938">
            <v>49.42</v>
          </cell>
        </row>
        <row r="939">
          <cell r="D939">
            <v>256779419165</v>
          </cell>
          <cell r="E939">
            <v>45788</v>
          </cell>
          <cell r="F939">
            <v>-191.57</v>
          </cell>
          <cell r="G939"/>
          <cell r="H939">
            <v>-16906.55</v>
          </cell>
        </row>
        <row r="940">
          <cell r="D940">
            <v>256779419192</v>
          </cell>
          <cell r="E940">
            <v>45788</v>
          </cell>
          <cell r="F940">
            <v>-171.87</v>
          </cell>
          <cell r="G940"/>
          <cell r="H940">
            <v>-15167.97</v>
          </cell>
        </row>
        <row r="941">
          <cell r="D941">
            <v>256779418777</v>
          </cell>
          <cell r="E941">
            <v>45788</v>
          </cell>
          <cell r="F941">
            <v>-2272.64</v>
          </cell>
          <cell r="G941"/>
          <cell r="H941">
            <v>-200566.32</v>
          </cell>
        </row>
        <row r="942">
          <cell r="D942">
            <v>256779418779</v>
          </cell>
          <cell r="E942">
            <v>45788</v>
          </cell>
          <cell r="F942">
            <v>-50</v>
          </cell>
          <cell r="G942"/>
          <cell r="H942">
            <v>-4412.63</v>
          </cell>
        </row>
        <row r="943">
          <cell r="D943">
            <v>256779419165</v>
          </cell>
          <cell r="E943">
            <v>45788</v>
          </cell>
          <cell r="F943">
            <v>3.83</v>
          </cell>
          <cell r="G943"/>
          <cell r="H943">
            <v>338.01</v>
          </cell>
        </row>
        <row r="944">
          <cell r="D944">
            <v>256779419192</v>
          </cell>
          <cell r="E944">
            <v>45788</v>
          </cell>
          <cell r="F944">
            <v>3.44</v>
          </cell>
          <cell r="G944"/>
          <cell r="H944">
            <v>303.58999999999997</v>
          </cell>
        </row>
        <row r="945">
          <cell r="D945">
            <v>2771552</v>
          </cell>
          <cell r="E945" t="str">
            <v>23/12/2025</v>
          </cell>
          <cell r="F945">
            <v>0</v>
          </cell>
          <cell r="G945"/>
          <cell r="H945">
            <v>715665.04</v>
          </cell>
        </row>
        <row r="946">
          <cell r="D946">
            <v>256779418777</v>
          </cell>
          <cell r="E946">
            <v>45788</v>
          </cell>
          <cell r="F946">
            <v>45.45</v>
          </cell>
          <cell r="G946"/>
          <cell r="H946">
            <v>4011.08</v>
          </cell>
        </row>
        <row r="947">
          <cell r="D947">
            <v>256779418779</v>
          </cell>
          <cell r="E947">
            <v>45788</v>
          </cell>
          <cell r="F947">
            <v>1</v>
          </cell>
          <cell r="G947"/>
          <cell r="H947">
            <v>88.25</v>
          </cell>
        </row>
        <row r="948">
          <cell r="D948">
            <v>256779419165</v>
          </cell>
          <cell r="E948">
            <v>45788</v>
          </cell>
          <cell r="F948">
            <v>0</v>
          </cell>
          <cell r="G948"/>
          <cell r="H948">
            <v>-307.55</v>
          </cell>
        </row>
        <row r="949">
          <cell r="D949">
            <v>256779419192</v>
          </cell>
          <cell r="E949">
            <v>45788</v>
          </cell>
          <cell r="F949">
            <v>0</v>
          </cell>
          <cell r="G949"/>
          <cell r="H949">
            <v>-275.92</v>
          </cell>
        </row>
        <row r="950">
          <cell r="D950">
            <v>256779418777</v>
          </cell>
          <cell r="E950">
            <v>45788</v>
          </cell>
          <cell r="F950">
            <v>0</v>
          </cell>
          <cell r="G950"/>
          <cell r="H950">
            <v>-3648.54</v>
          </cell>
        </row>
        <row r="951">
          <cell r="D951">
            <v>256779418779</v>
          </cell>
          <cell r="E951">
            <v>45788</v>
          </cell>
          <cell r="F951">
            <v>0</v>
          </cell>
          <cell r="G951"/>
          <cell r="H951">
            <v>-80.27</v>
          </cell>
        </row>
        <row r="952">
          <cell r="D952">
            <v>256779418778</v>
          </cell>
          <cell r="E952">
            <v>45788</v>
          </cell>
          <cell r="F952">
            <v>-90.91</v>
          </cell>
          <cell r="G952"/>
          <cell r="H952">
            <v>-8023.04</v>
          </cell>
        </row>
        <row r="953">
          <cell r="D953">
            <v>256779418892</v>
          </cell>
          <cell r="E953">
            <v>45788</v>
          </cell>
          <cell r="F953">
            <v>-1683.97</v>
          </cell>
          <cell r="G953"/>
          <cell r="H953">
            <v>-148614.68</v>
          </cell>
        </row>
        <row r="954">
          <cell r="D954">
            <v>256779418778</v>
          </cell>
          <cell r="E954">
            <v>45788</v>
          </cell>
          <cell r="F954">
            <v>1.82</v>
          </cell>
          <cell r="G954"/>
          <cell r="H954">
            <v>160.62</v>
          </cell>
        </row>
        <row r="955">
          <cell r="D955">
            <v>256779418892</v>
          </cell>
          <cell r="E955">
            <v>45788</v>
          </cell>
          <cell r="F955">
            <v>33.68</v>
          </cell>
          <cell r="G955"/>
          <cell r="H955">
            <v>2972.35</v>
          </cell>
        </row>
        <row r="956">
          <cell r="D956">
            <v>256779418904</v>
          </cell>
          <cell r="E956">
            <v>45788</v>
          </cell>
          <cell r="F956">
            <v>-1273.92</v>
          </cell>
          <cell r="G956"/>
          <cell r="H956">
            <v>-112426.72</v>
          </cell>
        </row>
        <row r="957">
          <cell r="D957">
            <v>256779418904</v>
          </cell>
          <cell r="E957">
            <v>45788</v>
          </cell>
          <cell r="F957">
            <v>25.48</v>
          </cell>
          <cell r="G957"/>
          <cell r="H957">
            <v>2248.6799999999998</v>
          </cell>
        </row>
        <row r="958">
          <cell r="D958">
            <v>256779418778</v>
          </cell>
          <cell r="E958">
            <v>45788</v>
          </cell>
          <cell r="F958">
            <v>0</v>
          </cell>
          <cell r="G958"/>
          <cell r="H958">
            <v>-300.95999999999998</v>
          </cell>
        </row>
        <row r="959">
          <cell r="D959">
            <v>256779417971</v>
          </cell>
          <cell r="E959">
            <v>45787</v>
          </cell>
          <cell r="F959">
            <v>-94.81</v>
          </cell>
          <cell r="G959"/>
          <cell r="H959">
            <v>-8405.81</v>
          </cell>
        </row>
        <row r="960">
          <cell r="D960">
            <v>256779417971</v>
          </cell>
          <cell r="E960">
            <v>45787</v>
          </cell>
          <cell r="F960">
            <v>1.9</v>
          </cell>
          <cell r="G960"/>
          <cell r="H960">
            <v>168.45</v>
          </cell>
        </row>
        <row r="961">
          <cell r="D961">
            <v>256779417875</v>
          </cell>
          <cell r="E961">
            <v>45787</v>
          </cell>
          <cell r="F961">
            <v>-2267.81</v>
          </cell>
          <cell r="G961"/>
          <cell r="H961">
            <v>-201062.89</v>
          </cell>
        </row>
        <row r="962">
          <cell r="D962">
            <v>256779417876</v>
          </cell>
          <cell r="E962">
            <v>45787</v>
          </cell>
          <cell r="F962">
            <v>-90.71</v>
          </cell>
          <cell r="G962"/>
          <cell r="H962">
            <v>-8042.3</v>
          </cell>
        </row>
        <row r="963">
          <cell r="D963">
            <v>256779417877</v>
          </cell>
          <cell r="E963">
            <v>45787</v>
          </cell>
          <cell r="F963">
            <v>-49.89</v>
          </cell>
          <cell r="G963"/>
          <cell r="H963">
            <v>-4423.22</v>
          </cell>
        </row>
        <row r="964">
          <cell r="D964">
            <v>256779418391</v>
          </cell>
          <cell r="E964">
            <v>45787</v>
          </cell>
          <cell r="F964">
            <v>-38.51</v>
          </cell>
          <cell r="G964"/>
          <cell r="H964">
            <v>-3414.28</v>
          </cell>
        </row>
        <row r="965">
          <cell r="D965">
            <v>256779417931</v>
          </cell>
          <cell r="E965">
            <v>45787</v>
          </cell>
          <cell r="F965">
            <v>-288.83999999999997</v>
          </cell>
          <cell r="G965"/>
          <cell r="H965">
            <v>-25608.41</v>
          </cell>
        </row>
        <row r="966">
          <cell r="D966">
            <v>256779417875</v>
          </cell>
          <cell r="E966">
            <v>45787</v>
          </cell>
          <cell r="F966">
            <v>45.36</v>
          </cell>
          <cell r="G966"/>
          <cell r="H966">
            <v>4021.59</v>
          </cell>
        </row>
        <row r="967">
          <cell r="D967">
            <v>256779417876</v>
          </cell>
          <cell r="E967">
            <v>45787</v>
          </cell>
          <cell r="F967">
            <v>1.81</v>
          </cell>
          <cell r="G967"/>
          <cell r="H967">
            <v>160.47</v>
          </cell>
        </row>
        <row r="968">
          <cell r="D968">
            <v>256779417931</v>
          </cell>
          <cell r="E968">
            <v>45787</v>
          </cell>
          <cell r="F968">
            <v>5.78</v>
          </cell>
          <cell r="G968"/>
          <cell r="H968">
            <v>512.45000000000005</v>
          </cell>
        </row>
        <row r="969">
          <cell r="D969">
            <v>256779418391</v>
          </cell>
          <cell r="E969">
            <v>45787</v>
          </cell>
          <cell r="F969">
            <v>0.77</v>
          </cell>
          <cell r="G969"/>
          <cell r="H969">
            <v>68.27</v>
          </cell>
        </row>
        <row r="970">
          <cell r="D970">
            <v>256779417877</v>
          </cell>
          <cell r="E970">
            <v>45787</v>
          </cell>
          <cell r="F970">
            <v>1</v>
          </cell>
          <cell r="G970"/>
          <cell r="H970">
            <v>88.66</v>
          </cell>
        </row>
        <row r="971">
          <cell r="D971">
            <v>256779417892</v>
          </cell>
          <cell r="E971">
            <v>45787</v>
          </cell>
          <cell r="F971">
            <v>-58.45</v>
          </cell>
          <cell r="G971"/>
          <cell r="H971">
            <v>-5182.1499999999996</v>
          </cell>
        </row>
        <row r="972">
          <cell r="D972">
            <v>256779417892</v>
          </cell>
          <cell r="E972">
            <v>45787</v>
          </cell>
          <cell r="F972">
            <v>1.17</v>
          </cell>
          <cell r="G972"/>
          <cell r="H972">
            <v>103.73</v>
          </cell>
        </row>
        <row r="973">
          <cell r="D973">
            <v>256779417875</v>
          </cell>
          <cell r="E973">
            <v>45787</v>
          </cell>
          <cell r="F973">
            <v>0</v>
          </cell>
          <cell r="G973"/>
          <cell r="H973">
            <v>-2736.39</v>
          </cell>
        </row>
        <row r="974">
          <cell r="D974">
            <v>256779417876</v>
          </cell>
          <cell r="E974">
            <v>45787</v>
          </cell>
          <cell r="F974">
            <v>0</v>
          </cell>
          <cell r="G974"/>
          <cell r="H974">
            <v>-109.46</v>
          </cell>
        </row>
        <row r="975">
          <cell r="D975">
            <v>256779417877</v>
          </cell>
          <cell r="E975">
            <v>45787</v>
          </cell>
          <cell r="F975">
            <v>0</v>
          </cell>
          <cell r="G975"/>
          <cell r="H975">
            <v>-60.2</v>
          </cell>
        </row>
        <row r="976">
          <cell r="D976">
            <v>256779419971</v>
          </cell>
          <cell r="E976">
            <v>45759</v>
          </cell>
          <cell r="F976">
            <v>-90.19</v>
          </cell>
          <cell r="G976"/>
          <cell r="H976">
            <v>-8040.87</v>
          </cell>
        </row>
        <row r="977">
          <cell r="D977">
            <v>256779419972</v>
          </cell>
          <cell r="E977">
            <v>45759</v>
          </cell>
          <cell r="F977">
            <v>-49.61</v>
          </cell>
          <cell r="G977"/>
          <cell r="H977">
            <v>-4422.97</v>
          </cell>
        </row>
        <row r="978">
          <cell r="D978">
            <v>256779419970</v>
          </cell>
          <cell r="E978">
            <v>45759</v>
          </cell>
          <cell r="F978">
            <v>-2254.79</v>
          </cell>
          <cell r="G978"/>
          <cell r="H978">
            <v>-201025.31</v>
          </cell>
        </row>
        <row r="979">
          <cell r="D979">
            <v>256779419972</v>
          </cell>
          <cell r="E979">
            <v>45759</v>
          </cell>
          <cell r="F979">
            <v>0.99</v>
          </cell>
          <cell r="G979"/>
          <cell r="H979">
            <v>88.26</v>
          </cell>
        </row>
        <row r="980">
          <cell r="D980">
            <v>256779419970</v>
          </cell>
          <cell r="E980">
            <v>45759</v>
          </cell>
          <cell r="F980">
            <v>45.1</v>
          </cell>
          <cell r="G980"/>
          <cell r="H980">
            <v>4020.88</v>
          </cell>
        </row>
        <row r="981">
          <cell r="D981">
            <v>256779419971</v>
          </cell>
          <cell r="E981">
            <v>45759</v>
          </cell>
          <cell r="F981">
            <v>1.8</v>
          </cell>
          <cell r="G981"/>
          <cell r="H981">
            <v>160.47999999999999</v>
          </cell>
        </row>
        <row r="982">
          <cell r="D982">
            <v>256779419971</v>
          </cell>
          <cell r="E982">
            <v>45759</v>
          </cell>
          <cell r="F982">
            <v>0</v>
          </cell>
          <cell r="G982"/>
          <cell r="H982">
            <v>-218.85</v>
          </cell>
        </row>
        <row r="983">
          <cell r="D983">
            <v>256779419972</v>
          </cell>
          <cell r="E983">
            <v>45759</v>
          </cell>
          <cell r="F983">
            <v>0</v>
          </cell>
          <cell r="G983"/>
          <cell r="H983">
            <v>-120.38</v>
          </cell>
        </row>
        <row r="984">
          <cell r="D984">
            <v>256779419970</v>
          </cell>
          <cell r="E984">
            <v>45759</v>
          </cell>
          <cell r="F984">
            <v>0</v>
          </cell>
          <cell r="G984"/>
          <cell r="H984">
            <v>-5471.08</v>
          </cell>
        </row>
        <row r="985">
          <cell r="D985">
            <v>256779416909</v>
          </cell>
          <cell r="E985">
            <v>45757</v>
          </cell>
          <cell r="F985">
            <v>-989.55</v>
          </cell>
          <cell r="G985"/>
          <cell r="H985">
            <v>-87733</v>
          </cell>
        </row>
        <row r="986">
          <cell r="D986">
            <v>256779416909</v>
          </cell>
          <cell r="E986">
            <v>45757</v>
          </cell>
          <cell r="F986">
            <v>19.79</v>
          </cell>
          <cell r="G986"/>
          <cell r="H986">
            <v>1754.57</v>
          </cell>
        </row>
        <row r="987">
          <cell r="D987">
            <v>256779416909</v>
          </cell>
          <cell r="E987">
            <v>45757</v>
          </cell>
          <cell r="F987">
            <v>0</v>
          </cell>
          <cell r="G987"/>
          <cell r="H987">
            <v>-1194.02</v>
          </cell>
        </row>
        <row r="988">
          <cell r="D988">
            <v>256779417134</v>
          </cell>
          <cell r="E988">
            <v>45756</v>
          </cell>
          <cell r="F988">
            <v>-536.44000000000005</v>
          </cell>
          <cell r="G988"/>
          <cell r="H988">
            <v>-47020</v>
          </cell>
        </row>
        <row r="989">
          <cell r="D989">
            <v>256779417200</v>
          </cell>
          <cell r="E989">
            <v>45756</v>
          </cell>
          <cell r="F989">
            <v>-100.74</v>
          </cell>
          <cell r="G989"/>
          <cell r="H989">
            <v>-8830.0499999999993</v>
          </cell>
        </row>
        <row r="990">
          <cell r="D990">
            <v>256779417238</v>
          </cell>
          <cell r="E990">
            <v>45756</v>
          </cell>
          <cell r="F990">
            <v>-608.78</v>
          </cell>
          <cell r="G990"/>
          <cell r="H990">
            <v>-53360.74</v>
          </cell>
        </row>
        <row r="991">
          <cell r="D991">
            <v>256779417137</v>
          </cell>
          <cell r="E991">
            <v>45756</v>
          </cell>
          <cell r="F991">
            <v>-409.79</v>
          </cell>
          <cell r="G991"/>
          <cell r="H991">
            <v>-35918.879999999997</v>
          </cell>
        </row>
        <row r="992">
          <cell r="D992">
            <v>256779417137</v>
          </cell>
          <cell r="E992">
            <v>45756</v>
          </cell>
          <cell r="F992">
            <v>8.1999999999999993</v>
          </cell>
          <cell r="G992"/>
          <cell r="H992">
            <v>718.75</v>
          </cell>
        </row>
        <row r="993">
          <cell r="D993">
            <v>256779417134</v>
          </cell>
          <cell r="E993">
            <v>45756</v>
          </cell>
          <cell r="F993">
            <v>10.73</v>
          </cell>
          <cell r="G993"/>
          <cell r="H993">
            <v>940.51</v>
          </cell>
        </row>
        <row r="994">
          <cell r="D994">
            <v>256779417200</v>
          </cell>
          <cell r="E994">
            <v>45756</v>
          </cell>
          <cell r="F994">
            <v>2.0099999999999998</v>
          </cell>
          <cell r="G994"/>
          <cell r="H994">
            <v>176.18</v>
          </cell>
        </row>
        <row r="995">
          <cell r="D995">
            <v>256779417238</v>
          </cell>
          <cell r="E995">
            <v>45756</v>
          </cell>
          <cell r="F995">
            <v>12.18</v>
          </cell>
          <cell r="G995"/>
          <cell r="H995">
            <v>1067.5999999999999</v>
          </cell>
        </row>
        <row r="996">
          <cell r="D996">
            <v>256779417134</v>
          </cell>
          <cell r="E996">
            <v>45756</v>
          </cell>
          <cell r="F996">
            <v>0</v>
          </cell>
          <cell r="G996"/>
          <cell r="H996">
            <v>-315.77</v>
          </cell>
        </row>
        <row r="997">
          <cell r="D997">
            <v>256779417200</v>
          </cell>
          <cell r="E997">
            <v>45756</v>
          </cell>
          <cell r="F997">
            <v>0</v>
          </cell>
          <cell r="G997"/>
          <cell r="H997">
            <v>-59.31</v>
          </cell>
        </row>
        <row r="998">
          <cell r="D998">
            <v>256779417238</v>
          </cell>
          <cell r="E998">
            <v>45756</v>
          </cell>
          <cell r="F998">
            <v>0</v>
          </cell>
          <cell r="G998"/>
          <cell r="H998">
            <v>-358.34</v>
          </cell>
        </row>
        <row r="999">
          <cell r="D999">
            <v>256779417137</v>
          </cell>
          <cell r="E999">
            <v>45756</v>
          </cell>
          <cell r="F999">
            <v>0</v>
          </cell>
          <cell r="G999"/>
          <cell r="H999">
            <v>-241.22</v>
          </cell>
        </row>
        <row r="1000">
          <cell r="D1000">
            <v>256779417349</v>
          </cell>
          <cell r="E1000">
            <v>45756</v>
          </cell>
          <cell r="F1000">
            <v>-91.41</v>
          </cell>
          <cell r="G1000"/>
          <cell r="H1000">
            <v>-8012.26</v>
          </cell>
        </row>
        <row r="1001">
          <cell r="D1001">
            <v>256779417158</v>
          </cell>
          <cell r="E1001">
            <v>45756</v>
          </cell>
          <cell r="F1001">
            <v>-110</v>
          </cell>
          <cell r="G1001"/>
          <cell r="H1001">
            <v>-9641.7099999999991</v>
          </cell>
        </row>
        <row r="1002">
          <cell r="D1002">
            <v>256779417350</v>
          </cell>
          <cell r="E1002">
            <v>45756</v>
          </cell>
          <cell r="F1002">
            <v>-50</v>
          </cell>
          <cell r="G1002"/>
          <cell r="H1002">
            <v>-4382.6000000000004</v>
          </cell>
        </row>
        <row r="1003">
          <cell r="D1003">
            <v>256779417257</v>
          </cell>
          <cell r="E1003">
            <v>45756</v>
          </cell>
          <cell r="F1003">
            <v>-22.77</v>
          </cell>
          <cell r="G1003"/>
          <cell r="H1003">
            <v>-1995.83</v>
          </cell>
        </row>
        <row r="1004">
          <cell r="D1004">
            <v>256779417348</v>
          </cell>
          <cell r="E1004">
            <v>45756</v>
          </cell>
          <cell r="F1004">
            <v>-2285.34</v>
          </cell>
          <cell r="G1004"/>
          <cell r="H1004">
            <v>-200314.44</v>
          </cell>
        </row>
        <row r="1005">
          <cell r="D1005">
            <v>256779417257</v>
          </cell>
          <cell r="E1005">
            <v>45756</v>
          </cell>
          <cell r="F1005">
            <v>0.46</v>
          </cell>
          <cell r="G1005"/>
          <cell r="H1005">
            <v>40.32</v>
          </cell>
        </row>
        <row r="1006">
          <cell r="D1006">
            <v>256779417350</v>
          </cell>
          <cell r="E1006">
            <v>45756</v>
          </cell>
          <cell r="F1006">
            <v>1</v>
          </cell>
          <cell r="G1006"/>
          <cell r="H1006">
            <v>87.65</v>
          </cell>
        </row>
        <row r="1007">
          <cell r="D1007">
            <v>256779417349</v>
          </cell>
          <cell r="E1007">
            <v>45756</v>
          </cell>
          <cell r="F1007">
            <v>1.83</v>
          </cell>
          <cell r="G1007"/>
          <cell r="H1007">
            <v>160.4</v>
          </cell>
        </row>
        <row r="1008">
          <cell r="D1008">
            <v>256779417348</v>
          </cell>
          <cell r="E1008">
            <v>45756</v>
          </cell>
          <cell r="F1008">
            <v>45.71</v>
          </cell>
          <cell r="G1008"/>
          <cell r="H1008">
            <v>4006.57</v>
          </cell>
        </row>
        <row r="1009">
          <cell r="D1009">
            <v>256779417158</v>
          </cell>
          <cell r="E1009">
            <v>45756</v>
          </cell>
          <cell r="F1009">
            <v>2.2000000000000002</v>
          </cell>
          <cell r="G1009"/>
          <cell r="H1009">
            <v>192.83</v>
          </cell>
        </row>
        <row r="1010">
          <cell r="D1010">
            <v>256779417349</v>
          </cell>
          <cell r="E1010">
            <v>45756</v>
          </cell>
          <cell r="F1010">
            <v>0</v>
          </cell>
          <cell r="G1010"/>
          <cell r="H1010">
            <v>-134.63</v>
          </cell>
        </row>
        <row r="1011">
          <cell r="D1011">
            <v>256779417350</v>
          </cell>
          <cell r="E1011">
            <v>45756</v>
          </cell>
          <cell r="F1011">
            <v>0</v>
          </cell>
          <cell r="G1011"/>
          <cell r="H1011">
            <v>-73.63</v>
          </cell>
        </row>
        <row r="1012">
          <cell r="D1012">
            <v>256779417348</v>
          </cell>
          <cell r="E1012">
            <v>45756</v>
          </cell>
          <cell r="F1012">
            <v>0</v>
          </cell>
          <cell r="G1012"/>
          <cell r="H1012">
            <v>-3365.85</v>
          </cell>
        </row>
        <row r="1013">
          <cell r="D1013">
            <v>256779417317</v>
          </cell>
          <cell r="E1013">
            <v>45756</v>
          </cell>
          <cell r="F1013">
            <v>-170.85</v>
          </cell>
          <cell r="G1013"/>
          <cell r="H1013">
            <v>-14975.33</v>
          </cell>
        </row>
        <row r="1014">
          <cell r="D1014">
            <v>256779417317</v>
          </cell>
          <cell r="E1014">
            <v>45756</v>
          </cell>
          <cell r="F1014">
            <v>3.42</v>
          </cell>
          <cell r="G1014"/>
          <cell r="H1014">
            <v>299.77</v>
          </cell>
        </row>
        <row r="1015">
          <cell r="D1015">
            <v>256779417280</v>
          </cell>
          <cell r="E1015">
            <v>45756</v>
          </cell>
          <cell r="F1015">
            <v>-249.98</v>
          </cell>
          <cell r="G1015"/>
          <cell r="H1015">
            <v>-21911.23</v>
          </cell>
        </row>
        <row r="1016">
          <cell r="D1016">
            <v>256779417280</v>
          </cell>
          <cell r="E1016">
            <v>45756</v>
          </cell>
          <cell r="F1016">
            <v>5</v>
          </cell>
          <cell r="G1016"/>
          <cell r="H1016">
            <v>438.26</v>
          </cell>
        </row>
        <row r="1017">
          <cell r="D1017">
            <v>256779417349</v>
          </cell>
          <cell r="E1017">
            <v>45756</v>
          </cell>
          <cell r="F1017">
            <v>0</v>
          </cell>
          <cell r="G1017"/>
          <cell r="H1017">
            <v>-65.92</v>
          </cell>
        </row>
        <row r="1018">
          <cell r="D1018">
            <v>256779417350</v>
          </cell>
          <cell r="E1018">
            <v>45756</v>
          </cell>
          <cell r="F1018">
            <v>0</v>
          </cell>
          <cell r="G1018"/>
          <cell r="H1018">
            <v>-36.07</v>
          </cell>
        </row>
        <row r="1019">
          <cell r="D1019">
            <v>256779417348</v>
          </cell>
          <cell r="E1019">
            <v>45756</v>
          </cell>
          <cell r="F1019">
            <v>0</v>
          </cell>
          <cell r="G1019"/>
          <cell r="H1019">
            <v>-1648.3</v>
          </cell>
        </row>
        <row r="1020">
          <cell r="D1020">
            <v>256779417350</v>
          </cell>
          <cell r="E1020">
            <v>45756</v>
          </cell>
          <cell r="F1020">
            <v>0</v>
          </cell>
          <cell r="G1020"/>
          <cell r="H1020">
            <v>-85.26</v>
          </cell>
        </row>
        <row r="1021">
          <cell r="D1021">
            <v>256779415209</v>
          </cell>
          <cell r="E1021">
            <v>45754</v>
          </cell>
          <cell r="F1021">
            <v>-63.26</v>
          </cell>
          <cell r="G1021"/>
          <cell r="H1021">
            <v>-5596.61</v>
          </cell>
        </row>
        <row r="1022">
          <cell r="D1022">
            <v>256779415270</v>
          </cell>
          <cell r="E1022">
            <v>45754</v>
          </cell>
          <cell r="F1022">
            <v>-420.86</v>
          </cell>
          <cell r="G1022"/>
          <cell r="H1022">
            <v>-37233.480000000003</v>
          </cell>
        </row>
        <row r="1023">
          <cell r="D1023">
            <v>256779415208</v>
          </cell>
          <cell r="E1023">
            <v>45754</v>
          </cell>
          <cell r="F1023">
            <v>-183.43</v>
          </cell>
          <cell r="G1023"/>
          <cell r="H1023">
            <v>-16228.05</v>
          </cell>
        </row>
        <row r="1024">
          <cell r="D1024">
            <v>256779415210</v>
          </cell>
          <cell r="E1024">
            <v>45754</v>
          </cell>
          <cell r="F1024">
            <v>-9629.6299999999992</v>
          </cell>
          <cell r="G1024"/>
          <cell r="H1024">
            <v>-851933.37</v>
          </cell>
        </row>
        <row r="1025">
          <cell r="D1025">
            <v>256779415270</v>
          </cell>
          <cell r="E1025">
            <v>45754</v>
          </cell>
          <cell r="F1025">
            <v>8.42</v>
          </cell>
          <cell r="G1025"/>
          <cell r="H1025">
            <v>744.92</v>
          </cell>
        </row>
        <row r="1026">
          <cell r="D1026">
            <v>256779415209</v>
          </cell>
          <cell r="E1026">
            <v>45754</v>
          </cell>
          <cell r="F1026">
            <v>1.27</v>
          </cell>
          <cell r="G1026"/>
          <cell r="H1026">
            <v>112.36</v>
          </cell>
        </row>
        <row r="1027">
          <cell r="D1027">
            <v>256779415208</v>
          </cell>
          <cell r="E1027">
            <v>45754</v>
          </cell>
          <cell r="F1027">
            <v>3.67</v>
          </cell>
          <cell r="G1027"/>
          <cell r="H1027">
            <v>324.68</v>
          </cell>
        </row>
        <row r="1028">
          <cell r="D1028">
            <v>256779415210</v>
          </cell>
          <cell r="E1028">
            <v>45754</v>
          </cell>
          <cell r="F1028">
            <v>192.59</v>
          </cell>
          <cell r="G1028"/>
          <cell r="H1028">
            <v>17038.439999999999</v>
          </cell>
        </row>
        <row r="1029">
          <cell r="D1029">
            <v>256779415209</v>
          </cell>
          <cell r="E1029">
            <v>45754</v>
          </cell>
          <cell r="F1029">
            <v>0</v>
          </cell>
          <cell r="G1029"/>
          <cell r="H1029">
            <v>-11.75</v>
          </cell>
        </row>
        <row r="1030">
          <cell r="D1030">
            <v>256779415270</v>
          </cell>
          <cell r="E1030">
            <v>45754</v>
          </cell>
          <cell r="F1030">
            <v>0</v>
          </cell>
          <cell r="G1030"/>
          <cell r="H1030">
            <v>-78.16</v>
          </cell>
        </row>
        <row r="1031">
          <cell r="D1031">
            <v>256779415208</v>
          </cell>
          <cell r="E1031">
            <v>45754</v>
          </cell>
          <cell r="F1031">
            <v>0</v>
          </cell>
          <cell r="G1031"/>
          <cell r="H1031">
            <v>-34.06</v>
          </cell>
        </row>
        <row r="1032">
          <cell r="D1032">
            <v>256779415210</v>
          </cell>
          <cell r="E1032">
            <v>45754</v>
          </cell>
          <cell r="F1032">
            <v>0</v>
          </cell>
          <cell r="G1032"/>
          <cell r="H1032">
            <v>-1788.28</v>
          </cell>
        </row>
        <row r="1033">
          <cell r="D1033">
            <v>256779415012</v>
          </cell>
          <cell r="E1033">
            <v>45754</v>
          </cell>
          <cell r="F1033">
            <v>-184</v>
          </cell>
          <cell r="G1033"/>
          <cell r="H1033">
            <v>-15822.07</v>
          </cell>
        </row>
        <row r="1034">
          <cell r="D1034">
            <v>256779415261</v>
          </cell>
          <cell r="E1034">
            <v>45754</v>
          </cell>
          <cell r="F1034">
            <v>-292.26</v>
          </cell>
          <cell r="G1034"/>
          <cell r="H1034">
            <v>-25131.29</v>
          </cell>
        </row>
        <row r="1035">
          <cell r="D1035">
            <v>256779415012</v>
          </cell>
          <cell r="E1035">
            <v>45754</v>
          </cell>
          <cell r="F1035">
            <v>3.68</v>
          </cell>
          <cell r="G1035"/>
          <cell r="H1035">
            <v>316.44</v>
          </cell>
        </row>
        <row r="1036">
          <cell r="D1036">
            <v>256779415261</v>
          </cell>
          <cell r="E1036">
            <v>45754</v>
          </cell>
          <cell r="F1036">
            <v>5.85</v>
          </cell>
          <cell r="G1036"/>
          <cell r="H1036">
            <v>503.04</v>
          </cell>
        </row>
        <row r="1037">
          <cell r="D1037">
            <v>256779415012</v>
          </cell>
          <cell r="E1037">
            <v>45754</v>
          </cell>
          <cell r="F1037">
            <v>0</v>
          </cell>
          <cell r="G1037"/>
          <cell r="H1037">
            <v>-408.07</v>
          </cell>
        </row>
        <row r="1038">
          <cell r="D1038">
            <v>256779415261</v>
          </cell>
          <cell r="E1038">
            <v>45754</v>
          </cell>
          <cell r="F1038">
            <v>0</v>
          </cell>
          <cell r="G1038"/>
          <cell r="H1038">
            <v>-648.16999999999996</v>
          </cell>
        </row>
        <row r="1039">
          <cell r="D1039">
            <v>256779414859</v>
          </cell>
          <cell r="E1039">
            <v>45754</v>
          </cell>
          <cell r="F1039">
            <v>-318.47000000000003</v>
          </cell>
          <cell r="G1039"/>
          <cell r="H1039">
            <v>-27385.08</v>
          </cell>
        </row>
        <row r="1040">
          <cell r="D1040">
            <v>256779414859</v>
          </cell>
          <cell r="E1040">
            <v>45754</v>
          </cell>
          <cell r="F1040">
            <v>6.37</v>
          </cell>
          <cell r="G1040"/>
          <cell r="H1040">
            <v>547.75</v>
          </cell>
        </row>
        <row r="1041">
          <cell r="D1041">
            <v>256779415012</v>
          </cell>
          <cell r="E1041">
            <v>45754</v>
          </cell>
          <cell r="F1041">
            <v>0</v>
          </cell>
          <cell r="G1041"/>
          <cell r="H1041">
            <v>-162.69</v>
          </cell>
        </row>
        <row r="1042">
          <cell r="D1042">
            <v>256779415261</v>
          </cell>
          <cell r="E1042">
            <v>45754</v>
          </cell>
          <cell r="F1042">
            <v>0</v>
          </cell>
          <cell r="G1042"/>
          <cell r="H1042">
            <v>-258.39999999999998</v>
          </cell>
        </row>
        <row r="1043">
          <cell r="D1043">
            <v>256779415012</v>
          </cell>
          <cell r="E1043">
            <v>45754</v>
          </cell>
          <cell r="F1043">
            <v>0</v>
          </cell>
          <cell r="G1043"/>
          <cell r="H1043">
            <v>-132.71</v>
          </cell>
        </row>
        <row r="1044">
          <cell r="D1044">
            <v>256779415261</v>
          </cell>
          <cell r="E1044">
            <v>45754</v>
          </cell>
          <cell r="F1044">
            <v>0</v>
          </cell>
          <cell r="G1044"/>
          <cell r="H1044">
            <v>-210.79</v>
          </cell>
        </row>
        <row r="1045">
          <cell r="D1045">
            <v>256779414918</v>
          </cell>
          <cell r="E1045">
            <v>45754</v>
          </cell>
          <cell r="F1045">
            <v>-51.16</v>
          </cell>
          <cell r="G1045"/>
          <cell r="H1045">
            <v>-4399.22</v>
          </cell>
        </row>
        <row r="1046">
          <cell r="D1046">
            <v>256779414917</v>
          </cell>
          <cell r="E1046">
            <v>45754</v>
          </cell>
          <cell r="F1046">
            <v>-93.02</v>
          </cell>
          <cell r="G1046"/>
          <cell r="H1046">
            <v>-7998.74</v>
          </cell>
        </row>
        <row r="1047">
          <cell r="D1047">
            <v>256779414917</v>
          </cell>
          <cell r="E1047">
            <v>45754</v>
          </cell>
          <cell r="F1047">
            <v>1.86</v>
          </cell>
          <cell r="G1047"/>
          <cell r="H1047">
            <v>159.94</v>
          </cell>
        </row>
        <row r="1048">
          <cell r="D1048">
            <v>256779414918</v>
          </cell>
          <cell r="E1048">
            <v>45754</v>
          </cell>
          <cell r="F1048">
            <v>1.02</v>
          </cell>
          <cell r="G1048"/>
          <cell r="H1048">
            <v>87.71</v>
          </cell>
        </row>
        <row r="1049">
          <cell r="D1049">
            <v>256779414916</v>
          </cell>
          <cell r="E1049">
            <v>45754</v>
          </cell>
          <cell r="F1049">
            <v>-2325.56</v>
          </cell>
          <cell r="G1049"/>
          <cell r="H1049">
            <v>-199973.77</v>
          </cell>
        </row>
        <row r="1050">
          <cell r="D1050">
            <v>256779414916</v>
          </cell>
          <cell r="E1050">
            <v>45754</v>
          </cell>
          <cell r="F1050">
            <v>46.51</v>
          </cell>
          <cell r="G1050"/>
          <cell r="H1050">
            <v>3999.37</v>
          </cell>
        </row>
        <row r="1051">
          <cell r="D1051">
            <v>256779415012</v>
          </cell>
          <cell r="E1051">
            <v>45754</v>
          </cell>
          <cell r="F1051">
            <v>0</v>
          </cell>
          <cell r="G1051"/>
          <cell r="H1051">
            <v>-313.75</v>
          </cell>
        </row>
        <row r="1052">
          <cell r="D1052">
            <v>256779415261</v>
          </cell>
          <cell r="E1052">
            <v>45754</v>
          </cell>
          <cell r="F1052">
            <v>0</v>
          </cell>
          <cell r="G1052"/>
          <cell r="H1052">
            <v>-498.35</v>
          </cell>
        </row>
        <row r="1053">
          <cell r="D1053" t="str">
            <v>256779417580_R</v>
          </cell>
          <cell r="E1053" t="str">
            <v>18/09/2025</v>
          </cell>
          <cell r="F1053">
            <v>184.38</v>
          </cell>
          <cell r="G1053"/>
          <cell r="H1053">
            <v>184.38</v>
          </cell>
        </row>
        <row r="1054">
          <cell r="D1054">
            <v>256779414918</v>
          </cell>
          <cell r="E1054">
            <v>45754</v>
          </cell>
          <cell r="F1054">
            <v>0</v>
          </cell>
          <cell r="G1054"/>
          <cell r="H1054">
            <v>-282.85000000000002</v>
          </cell>
        </row>
        <row r="1055">
          <cell r="D1055">
            <v>256779414917</v>
          </cell>
          <cell r="E1055">
            <v>45754</v>
          </cell>
          <cell r="F1055">
            <v>0</v>
          </cell>
          <cell r="G1055"/>
          <cell r="H1055">
            <v>-514.26</v>
          </cell>
        </row>
        <row r="1056">
          <cell r="D1056">
            <v>2829968</v>
          </cell>
          <cell r="E1056" t="str">
            <v>30/01/2026</v>
          </cell>
          <cell r="F1056">
            <v>0</v>
          </cell>
          <cell r="G1056"/>
          <cell r="H1056">
            <v>1869680.81</v>
          </cell>
        </row>
        <row r="1057">
          <cell r="D1057">
            <v>2830735</v>
          </cell>
          <cell r="E1057" t="str">
            <v>31/01/2026</v>
          </cell>
          <cell r="F1057">
            <v>0</v>
          </cell>
          <cell r="G1057"/>
          <cell r="H1057">
            <v>-7756</v>
          </cell>
        </row>
        <row r="1058">
          <cell r="D1058">
            <v>2830736</v>
          </cell>
          <cell r="E1058" t="str">
            <v>31/01/2026</v>
          </cell>
          <cell r="F1058">
            <v>0</v>
          </cell>
          <cell r="G1058"/>
          <cell r="H1058">
            <v>-15004</v>
          </cell>
        </row>
        <row r="1059">
          <cell r="D1059">
            <v>2830737</v>
          </cell>
          <cell r="E1059" t="str">
            <v>31/01/2026</v>
          </cell>
          <cell r="F1059">
            <v>0</v>
          </cell>
          <cell r="G1059"/>
          <cell r="H1059">
            <v>8452</v>
          </cell>
        </row>
        <row r="1060">
          <cell r="D1060">
            <v>2830738</v>
          </cell>
          <cell r="E1060" t="str">
            <v>31/01/2026</v>
          </cell>
          <cell r="F1060">
            <v>0</v>
          </cell>
          <cell r="G1060"/>
          <cell r="H1060">
            <v>-17437</v>
          </cell>
        </row>
        <row r="1061">
          <cell r="D1061">
            <v>2830739</v>
          </cell>
          <cell r="E1061" t="str">
            <v>31/01/2026</v>
          </cell>
          <cell r="F1061">
            <v>0</v>
          </cell>
          <cell r="G1061"/>
          <cell r="H1061">
            <v>-5206</v>
          </cell>
        </row>
        <row r="1062">
          <cell r="D1062" t="str">
            <v>256779417580_R</v>
          </cell>
          <cell r="E1062" t="str">
            <v>18/09/2025</v>
          </cell>
          <cell r="F1062">
            <v>-3.69</v>
          </cell>
          <cell r="G1062"/>
          <cell r="H1062">
            <v>-3.69</v>
          </cell>
        </row>
        <row r="1063">
          <cell r="D1063">
            <v>256779414916</v>
          </cell>
          <cell r="E1063">
            <v>45754</v>
          </cell>
          <cell r="F1063">
            <v>0</v>
          </cell>
          <cell r="G1063"/>
          <cell r="H1063">
            <v>-12856.62</v>
          </cell>
        </row>
        <row r="1064">
          <cell r="D1064">
            <v>256779410818</v>
          </cell>
          <cell r="E1064">
            <v>45751</v>
          </cell>
          <cell r="F1064">
            <v>0</v>
          </cell>
          <cell r="G1064"/>
          <cell r="H1064">
            <v>-1231.96</v>
          </cell>
        </row>
        <row r="1065">
          <cell r="D1065">
            <v>256779410818</v>
          </cell>
          <cell r="E1065">
            <v>45751</v>
          </cell>
          <cell r="F1065">
            <v>0</v>
          </cell>
          <cell r="G1065"/>
          <cell r="H1065">
            <v>25</v>
          </cell>
        </row>
        <row r="1066">
          <cell r="D1066">
            <v>256779410801</v>
          </cell>
          <cell r="E1066">
            <v>45751</v>
          </cell>
          <cell r="F1066">
            <v>-2829.48</v>
          </cell>
          <cell r="G1066"/>
          <cell r="H1066">
            <v>-242562.74</v>
          </cell>
        </row>
        <row r="1067">
          <cell r="D1067">
            <v>256779410801</v>
          </cell>
          <cell r="E1067">
            <v>45751</v>
          </cell>
          <cell r="F1067">
            <v>56.59</v>
          </cell>
          <cell r="G1067"/>
          <cell r="H1067">
            <v>4851.29</v>
          </cell>
        </row>
        <row r="1068">
          <cell r="D1068">
            <v>256779410801</v>
          </cell>
          <cell r="E1068">
            <v>45751</v>
          </cell>
          <cell r="F1068">
            <v>0</v>
          </cell>
          <cell r="G1068"/>
          <cell r="H1068">
            <v>-728</v>
          </cell>
        </row>
        <row r="1069">
          <cell r="D1069">
            <v>246779410826</v>
          </cell>
          <cell r="E1069">
            <v>45750</v>
          </cell>
          <cell r="F1069">
            <v>-3</v>
          </cell>
          <cell r="G1069"/>
          <cell r="H1069">
            <v>-261.13</v>
          </cell>
        </row>
        <row r="1070">
          <cell r="D1070">
            <v>246779410826</v>
          </cell>
          <cell r="E1070">
            <v>45750</v>
          </cell>
          <cell r="F1070">
            <v>0.06</v>
          </cell>
          <cell r="G1070"/>
          <cell r="H1070">
            <v>5.22</v>
          </cell>
        </row>
        <row r="1071">
          <cell r="D1071">
            <v>246779410743</v>
          </cell>
          <cell r="E1071">
            <v>45750</v>
          </cell>
          <cell r="F1071">
            <v>-3</v>
          </cell>
          <cell r="G1071"/>
          <cell r="H1071">
            <v>-261.13</v>
          </cell>
        </row>
        <row r="1072">
          <cell r="D1072">
            <v>246779410743</v>
          </cell>
          <cell r="E1072">
            <v>45750</v>
          </cell>
          <cell r="F1072">
            <v>0.06</v>
          </cell>
          <cell r="G1072"/>
          <cell r="H1072">
            <v>5.22</v>
          </cell>
        </row>
        <row r="1073">
          <cell r="D1073">
            <v>246779410743</v>
          </cell>
          <cell r="E1073">
            <v>45750</v>
          </cell>
          <cell r="F1073">
            <v>0</v>
          </cell>
          <cell r="G1073"/>
          <cell r="H1073">
            <v>3.1</v>
          </cell>
        </row>
        <row r="1074">
          <cell r="D1074">
            <v>246779410665</v>
          </cell>
          <cell r="E1074">
            <v>45750</v>
          </cell>
          <cell r="F1074">
            <v>-3.54</v>
          </cell>
          <cell r="G1074"/>
          <cell r="H1074">
            <v>-308.13</v>
          </cell>
        </row>
        <row r="1075">
          <cell r="D1075">
            <v>246779410665</v>
          </cell>
          <cell r="E1075">
            <v>45750</v>
          </cell>
          <cell r="F1075">
            <v>7.0000000000000007E-2</v>
          </cell>
          <cell r="G1075"/>
          <cell r="H1075">
            <v>6.09</v>
          </cell>
        </row>
        <row r="1076">
          <cell r="D1076">
            <v>246779410665</v>
          </cell>
          <cell r="E1076">
            <v>45750</v>
          </cell>
          <cell r="F1076">
            <v>0</v>
          </cell>
          <cell r="G1076"/>
          <cell r="H1076">
            <v>-9.8800000000000008</v>
          </cell>
        </row>
        <row r="1077">
          <cell r="D1077">
            <v>246779410665</v>
          </cell>
          <cell r="E1077">
            <v>45750</v>
          </cell>
          <cell r="F1077">
            <v>0</v>
          </cell>
          <cell r="G1077"/>
          <cell r="H1077">
            <v>-6.04</v>
          </cell>
        </row>
        <row r="1078">
          <cell r="D1078">
            <v>256779419122</v>
          </cell>
          <cell r="E1078">
            <v>45727</v>
          </cell>
          <cell r="F1078">
            <v>-670.42</v>
          </cell>
          <cell r="G1078"/>
          <cell r="H1078">
            <v>-59439.1</v>
          </cell>
        </row>
        <row r="1079">
          <cell r="D1079">
            <v>256779419122</v>
          </cell>
          <cell r="E1079">
            <v>45727</v>
          </cell>
          <cell r="F1079">
            <v>13.41</v>
          </cell>
          <cell r="G1079"/>
          <cell r="H1079">
            <v>1188.92</v>
          </cell>
        </row>
        <row r="1080">
          <cell r="D1080">
            <v>256779419122</v>
          </cell>
          <cell r="E1080">
            <v>45727</v>
          </cell>
          <cell r="F1080">
            <v>0</v>
          </cell>
          <cell r="G1080"/>
          <cell r="H1080">
            <v>-808.94</v>
          </cell>
        </row>
        <row r="1081">
          <cell r="D1081">
            <v>256779410262</v>
          </cell>
          <cell r="E1081">
            <v>45720</v>
          </cell>
          <cell r="F1081">
            <v>0</v>
          </cell>
          <cell r="G1081"/>
          <cell r="H1081">
            <v>-93.33</v>
          </cell>
        </row>
        <row r="1082">
          <cell r="D1082">
            <v>256779410263</v>
          </cell>
          <cell r="E1082">
            <v>45720</v>
          </cell>
          <cell r="F1082">
            <v>0</v>
          </cell>
          <cell r="G1082"/>
          <cell r="H1082">
            <v>-51.33</v>
          </cell>
        </row>
        <row r="1083">
          <cell r="D1083">
            <v>256779410262</v>
          </cell>
          <cell r="E1083">
            <v>45720</v>
          </cell>
          <cell r="F1083">
            <v>0</v>
          </cell>
          <cell r="G1083"/>
          <cell r="H1083">
            <v>2</v>
          </cell>
        </row>
        <row r="1084">
          <cell r="D1084">
            <v>256779410263</v>
          </cell>
          <cell r="E1084">
            <v>45720</v>
          </cell>
          <cell r="F1084">
            <v>0</v>
          </cell>
          <cell r="G1084"/>
          <cell r="H1084">
            <v>2</v>
          </cell>
        </row>
        <row r="1085">
          <cell r="D1085">
            <v>256779410196</v>
          </cell>
          <cell r="E1085">
            <v>45720</v>
          </cell>
          <cell r="F1085">
            <v>-246.52</v>
          </cell>
          <cell r="G1085"/>
          <cell r="H1085">
            <v>-21133.41</v>
          </cell>
        </row>
        <row r="1086">
          <cell r="D1086">
            <v>256779410303</v>
          </cell>
          <cell r="E1086">
            <v>45720</v>
          </cell>
          <cell r="F1086">
            <v>-91.45</v>
          </cell>
          <cell r="G1086"/>
          <cell r="H1086">
            <v>-7839.73</v>
          </cell>
        </row>
        <row r="1087">
          <cell r="D1087">
            <v>256779410304</v>
          </cell>
          <cell r="E1087">
            <v>45720</v>
          </cell>
          <cell r="F1087">
            <v>-50.3</v>
          </cell>
          <cell r="G1087"/>
          <cell r="H1087">
            <v>-4312.07</v>
          </cell>
        </row>
        <row r="1088">
          <cell r="D1088">
            <v>256779410196</v>
          </cell>
          <cell r="E1088">
            <v>45720</v>
          </cell>
          <cell r="F1088">
            <v>4.93</v>
          </cell>
          <cell r="G1088"/>
          <cell r="H1088">
            <v>422.63</v>
          </cell>
        </row>
        <row r="1089">
          <cell r="D1089">
            <v>256779410303</v>
          </cell>
          <cell r="E1089">
            <v>45720</v>
          </cell>
          <cell r="F1089">
            <v>1.83</v>
          </cell>
          <cell r="G1089"/>
          <cell r="H1089">
            <v>156.88</v>
          </cell>
        </row>
        <row r="1090">
          <cell r="D1090">
            <v>256779410304</v>
          </cell>
          <cell r="E1090">
            <v>45720</v>
          </cell>
          <cell r="F1090">
            <v>1.01</v>
          </cell>
          <cell r="G1090"/>
          <cell r="H1090">
            <v>86.58</v>
          </cell>
        </row>
        <row r="1091">
          <cell r="D1091">
            <v>256779410196</v>
          </cell>
          <cell r="E1091">
            <v>45720</v>
          </cell>
          <cell r="F1091">
            <v>0</v>
          </cell>
          <cell r="G1091"/>
          <cell r="H1091">
            <v>-63.43</v>
          </cell>
        </row>
        <row r="1092">
          <cell r="D1092">
            <v>256779410303</v>
          </cell>
          <cell r="E1092">
            <v>45720</v>
          </cell>
          <cell r="F1092">
            <v>0</v>
          </cell>
          <cell r="G1092"/>
          <cell r="H1092">
            <v>-23.53</v>
          </cell>
        </row>
        <row r="1093">
          <cell r="D1093">
            <v>256779410304</v>
          </cell>
          <cell r="E1093">
            <v>45720</v>
          </cell>
          <cell r="F1093">
            <v>0</v>
          </cell>
          <cell r="G1093"/>
          <cell r="H1093">
            <v>-12.93</v>
          </cell>
        </row>
        <row r="1094">
          <cell r="D1094">
            <v>246779410436</v>
          </cell>
          <cell r="E1094">
            <v>45719</v>
          </cell>
          <cell r="F1094">
            <v>-1332.41</v>
          </cell>
          <cell r="G1094"/>
          <cell r="H1094">
            <v>-115976.18</v>
          </cell>
        </row>
        <row r="1095">
          <cell r="D1095">
            <v>246779410413</v>
          </cell>
          <cell r="E1095">
            <v>45719</v>
          </cell>
          <cell r="F1095">
            <v>-694.12</v>
          </cell>
          <cell r="G1095"/>
          <cell r="H1095">
            <v>-60417.88</v>
          </cell>
        </row>
        <row r="1096">
          <cell r="D1096">
            <v>246779410413</v>
          </cell>
          <cell r="E1096">
            <v>45719</v>
          </cell>
          <cell r="F1096">
            <v>13.88</v>
          </cell>
          <cell r="G1096"/>
          <cell r="H1096">
            <v>1208.1500000000001</v>
          </cell>
        </row>
        <row r="1097">
          <cell r="D1097">
            <v>246779410436</v>
          </cell>
          <cell r="E1097">
            <v>45719</v>
          </cell>
          <cell r="F1097">
            <v>26.65</v>
          </cell>
          <cell r="G1097"/>
          <cell r="H1097">
            <v>2319.6799999999998</v>
          </cell>
        </row>
        <row r="1098">
          <cell r="D1098">
            <v>246779410389</v>
          </cell>
          <cell r="E1098">
            <v>45719</v>
          </cell>
          <cell r="F1098">
            <v>-542.08000000000004</v>
          </cell>
          <cell r="G1098"/>
          <cell r="H1098">
            <v>-47183.95</v>
          </cell>
        </row>
        <row r="1099">
          <cell r="D1099">
            <v>246779410389</v>
          </cell>
          <cell r="E1099">
            <v>45719</v>
          </cell>
          <cell r="F1099">
            <v>10.84</v>
          </cell>
          <cell r="G1099"/>
          <cell r="H1099">
            <v>943.54</v>
          </cell>
        </row>
        <row r="1100">
          <cell r="D1100">
            <v>256779413931</v>
          </cell>
          <cell r="E1100">
            <v>45694</v>
          </cell>
          <cell r="F1100">
            <v>-395.23</v>
          </cell>
          <cell r="G1100"/>
          <cell r="H1100">
            <v>-33619.879999999997</v>
          </cell>
        </row>
        <row r="1101">
          <cell r="D1101">
            <v>256779413972</v>
          </cell>
          <cell r="E1101">
            <v>45694</v>
          </cell>
          <cell r="F1101">
            <v>0</v>
          </cell>
          <cell r="G1101"/>
          <cell r="H1101">
            <v>-262</v>
          </cell>
        </row>
        <row r="1102">
          <cell r="D1102">
            <v>256779413972</v>
          </cell>
          <cell r="E1102">
            <v>45694</v>
          </cell>
          <cell r="F1102">
            <v>0</v>
          </cell>
          <cell r="G1102"/>
          <cell r="H1102">
            <v>6</v>
          </cell>
        </row>
        <row r="1103">
          <cell r="D1103">
            <v>256779413931</v>
          </cell>
          <cell r="E1103">
            <v>45694</v>
          </cell>
          <cell r="F1103">
            <v>7.9</v>
          </cell>
          <cell r="G1103"/>
          <cell r="H1103">
            <v>672.01</v>
          </cell>
        </row>
        <row r="1104">
          <cell r="D1104">
            <v>256779413931</v>
          </cell>
          <cell r="E1104">
            <v>45694</v>
          </cell>
          <cell r="F1104">
            <v>0</v>
          </cell>
          <cell r="G1104"/>
          <cell r="H1104">
            <v>-1584.45</v>
          </cell>
        </row>
        <row r="1105">
          <cell r="D1105">
            <v>256779416028</v>
          </cell>
          <cell r="E1105">
            <v>45665</v>
          </cell>
          <cell r="F1105">
            <v>-2324.77</v>
          </cell>
          <cell r="G1105"/>
          <cell r="H1105">
            <v>-201396.93</v>
          </cell>
        </row>
        <row r="1106">
          <cell r="D1106">
            <v>256779416029</v>
          </cell>
          <cell r="E1106">
            <v>45665</v>
          </cell>
          <cell r="F1106">
            <v>-92.99</v>
          </cell>
          <cell r="G1106"/>
          <cell r="H1106">
            <v>-8055.81</v>
          </cell>
        </row>
        <row r="1107">
          <cell r="D1107">
            <v>256779416030</v>
          </cell>
          <cell r="E1107">
            <v>45665</v>
          </cell>
          <cell r="F1107">
            <v>-51.14</v>
          </cell>
          <cell r="G1107"/>
          <cell r="H1107">
            <v>-4430.3</v>
          </cell>
        </row>
        <row r="1108">
          <cell r="D1108">
            <v>256779416030</v>
          </cell>
          <cell r="E1108">
            <v>45665</v>
          </cell>
          <cell r="F1108">
            <v>1.02</v>
          </cell>
          <cell r="G1108"/>
          <cell r="H1108">
            <v>88.36</v>
          </cell>
        </row>
        <row r="1109">
          <cell r="D1109">
            <v>256779416028</v>
          </cell>
          <cell r="E1109">
            <v>45665</v>
          </cell>
          <cell r="F1109">
            <v>46.5</v>
          </cell>
          <cell r="G1109"/>
          <cell r="H1109">
            <v>4028.34</v>
          </cell>
        </row>
        <row r="1110">
          <cell r="D1110">
            <v>256779416029</v>
          </cell>
          <cell r="E1110">
            <v>45665</v>
          </cell>
          <cell r="F1110">
            <v>1.86</v>
          </cell>
          <cell r="G1110"/>
          <cell r="H1110">
            <v>161.13</v>
          </cell>
        </row>
        <row r="1111">
          <cell r="D1111">
            <v>256779416028</v>
          </cell>
          <cell r="E1111">
            <v>45665</v>
          </cell>
          <cell r="F1111">
            <v>0</v>
          </cell>
          <cell r="G1111"/>
          <cell r="H1111">
            <v>-7426.8</v>
          </cell>
        </row>
        <row r="1112">
          <cell r="D1112">
            <v>256779416029</v>
          </cell>
          <cell r="E1112">
            <v>45665</v>
          </cell>
          <cell r="F1112">
            <v>0</v>
          </cell>
          <cell r="G1112"/>
          <cell r="H1112">
            <v>-297.06</v>
          </cell>
        </row>
        <row r="1113">
          <cell r="D1113" t="str">
            <v>256779417580_R</v>
          </cell>
          <cell r="E1113" t="str">
            <v>18/09/2025</v>
          </cell>
          <cell r="F1113">
            <v>0</v>
          </cell>
          <cell r="G1113"/>
          <cell r="H1113">
            <v>16376.07</v>
          </cell>
        </row>
        <row r="1114">
          <cell r="D1114">
            <v>256779416030</v>
          </cell>
          <cell r="E1114">
            <v>45665</v>
          </cell>
          <cell r="F1114">
            <v>0</v>
          </cell>
          <cell r="G1114"/>
          <cell r="H1114">
            <v>-163.38</v>
          </cell>
        </row>
        <row r="1116">
          <cell r="H1116">
            <v>-1386783.7799999991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>
        <row r="709">
          <cell r="T709">
            <v>6321328.75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euroy Gonsalves" refreshedDate="46058.665835185187" createdVersion="7" refreshedVersion="7" minRefreshableVersion="3" recordCount="1113" xr:uid="{B8D77198-ED24-40E3-9D28-4FCAF7DB5371}">
  <cacheSource type="worksheet">
    <worksheetSource ref="A2:M732" sheet="CUSTOMER DATA"/>
  </cacheSource>
  <cacheFields count="15">
    <cacheField name="Ty" numFmtId="0">
      <sharedItems count="4">
        <s v="I"/>
        <s v="A"/>
        <s v="C"/>
        <s v="S"/>
      </sharedItems>
    </cacheField>
    <cacheField name="Item#" numFmtId="1">
      <sharedItems containsMixedTypes="1" containsNumber="1" containsInteger="1" minValue="2439105" maxValue="256779419995"/>
    </cacheField>
    <cacheField name="Item Date" numFmtId="14">
      <sharedItems containsSemiMixedTypes="0" containsNonDate="0" containsDate="1" containsString="0" minDate="2025-01-08T00:00:00" maxDate="2026-02-01T00:00:00" count="57">
        <d v="2025-05-28T00:00:00"/>
        <d v="2025-07-25T00:00:00"/>
        <d v="2025-04-24T00:00:00"/>
        <d v="2025-09-22T00:00:00"/>
        <d v="2025-04-22T00:00:00"/>
        <d v="2025-10-21T00:00:00"/>
        <d v="2025-05-21T00:00:00"/>
        <d v="2025-04-21T00:00:00"/>
        <d v="2025-11-20T00:00:00"/>
        <d v="2025-10-20T00:00:00"/>
        <d v="2025-08-20T00:00:00"/>
        <d v="2025-03-20T00:00:00"/>
        <d v="2025-02-20T00:00:00"/>
        <d v="2025-07-19T00:00:00"/>
        <d v="2025-06-19T00:00:00"/>
        <d v="2025-03-19T00:00:00"/>
        <d v="2025-02-19T00:00:00"/>
        <d v="2025-10-18T00:00:00"/>
        <d v="2025-09-18T00:00:00"/>
        <d v="2025-07-18T00:00:00"/>
        <d v="2025-06-18T00:00:00"/>
        <d v="2025-03-17T00:00:00"/>
        <d v="2025-04-16T00:00:00"/>
        <d v="2025-04-15T00:00:00"/>
        <d v="2025-03-14T00:00:00"/>
        <d v="2025-03-13T00:00:00"/>
        <d v="2025-10-07T00:00:00"/>
        <d v="2025-10-06T00:00:00"/>
        <d v="2025-10-05T00:00:00"/>
        <d v="2025-09-12T00:00:00"/>
        <d v="2025-08-12T00:00:00"/>
        <d v="2025-08-08T00:00:00"/>
        <d v="2025-07-10T00:00:00"/>
        <d v="2025-06-12T00:00:00"/>
        <d v="2025-06-10T00:00:00"/>
        <d v="2025-06-03T00:00:00"/>
        <d v="2025-05-12T00:00:00"/>
        <d v="2025-05-11T00:00:00"/>
        <d v="2025-05-10T00:00:00"/>
        <d v="2025-04-12T00:00:00"/>
        <d v="2025-04-10T00:00:00"/>
        <d v="2025-04-09T00:00:00"/>
        <d v="2025-04-07T00:00:00"/>
        <d v="2025-04-04T00:00:00"/>
        <d v="2025-04-03T00:00:00"/>
        <d v="2025-03-11T00:00:00"/>
        <d v="2025-03-04T00:00:00"/>
        <d v="2025-03-03T00:00:00"/>
        <d v="2025-02-06T00:00:00"/>
        <d v="2025-01-08T00:00:00"/>
        <d v="2025-07-21T00:00:00"/>
        <d v="2025-07-31T00:00:00"/>
        <d v="2025-10-24T00:00:00"/>
        <d v="2025-11-21T00:00:00"/>
        <d v="2025-12-23T00:00:00"/>
        <d v="2026-01-30T00:00:00"/>
        <d v="2026-01-31T00:00:00"/>
      </sharedItems>
      <fieldGroup par="14" base="2">
        <rangePr groupBy="months" startDate="2025-01-08T00:00:00" endDate="2026-02-01T00:00:00"/>
        <groupItems count="14">
          <s v="&lt;08-01-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-02-2026"/>
        </groupItems>
      </fieldGroup>
    </cacheField>
    <cacheField name="FC Amount" numFmtId="164">
      <sharedItems containsSemiMixedTypes="0" containsString="0" containsNumber="1" minValue="-9629.6299999999992" maxValue="249.55"/>
    </cacheField>
    <cacheField name="LC Amount" numFmtId="164">
      <sharedItems containsSemiMixedTypes="0" containsString="0" containsNumber="1" minValue="-2396201.27" maxValue="2396201.27"/>
    </cacheField>
    <cacheField name="Particular" numFmtId="0">
      <sharedItems containsBlank="1"/>
    </cacheField>
    <cacheField name="Due Date" numFmtId="0">
      <sharedItems containsDate="1" containsBlank="1" containsMixedTypes="1" minDate="2025-02-04T00:00:00" maxDate="2026-08-02T00:00:00"/>
    </cacheField>
    <cacheField name="CCY" numFmtId="0">
      <sharedItems/>
    </cacheField>
    <cacheField name="VC Period" numFmtId="17">
      <sharedItems containsSemiMixedTypes="0" containsNonDate="0" containsDate="1" containsString="0" minDate="2025-06-01T00:00:00" maxDate="2026-01-02T00:00:00"/>
    </cacheField>
    <cacheField name="VC Seq" numFmtId="0">
      <sharedItems containsString="0" containsBlank="1" containsNumber="1" containsInteger="1" minValue="1" maxValue="164"/>
    </cacheField>
    <cacheField name="VC Date" numFmtId="0">
      <sharedItems containsDate="1" containsBlank="1" containsMixedTypes="1" minDate="2025-11-06T00:00:00" maxDate="2025-12-07T00:00:00"/>
    </cacheField>
    <cacheField name="Tx. Type" numFmtId="0">
      <sharedItems containsString="0" containsBlank="1" containsNumber="1" containsInteger="1" minValue="210" maxValue="271"/>
    </cacheField>
    <cacheField name="Company Code" numFmtId="0">
      <sharedItems containsMixedTypes="1" containsNumber="1" containsInteger="1" minValue="52421432" maxValue="68459189"/>
    </cacheField>
    <cacheField name="Quarters" numFmtId="0" databaseField="0">
      <fieldGroup base="2">
        <rangePr groupBy="quarters" startDate="2025-01-08T00:00:00" endDate="2026-02-01T00:00:00"/>
        <groupItems count="6">
          <s v="&lt;08-01-2025"/>
          <s v="Qtr1"/>
          <s v="Qtr2"/>
          <s v="Qtr3"/>
          <s v="Qtr4"/>
          <s v="&gt;01-02-2026"/>
        </groupItems>
      </fieldGroup>
    </cacheField>
    <cacheField name="Years" numFmtId="0" databaseField="0">
      <fieldGroup base="2">
        <rangePr groupBy="years" startDate="2025-01-08T00:00:00" endDate="2026-02-01T00:00:00"/>
        <groupItems count="4">
          <s v="&lt;08-01-2025"/>
          <s v="2025"/>
          <s v="2026"/>
          <s v="&gt;01-02-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euroy Gonsalves" refreshedDate="46058.70363611111" createdVersion="7" refreshedVersion="7" minRefreshableVersion="3" recordCount="706" xr:uid="{A5ACC639-7CA5-4242-BB3A-585D906C6AD4}">
  <cacheSource type="worksheet">
    <worksheetSource ref="A1:K707" sheet="Ascendus DATA"/>
  </cacheSource>
  <cacheFields count="13">
    <cacheField name="Customer Account: Name 1" numFmtId="0">
      <sharedItems/>
    </cacheField>
    <cacheField name="Fiscal Year" numFmtId="0">
      <sharedItems containsSemiMixedTypes="0" containsString="0" containsNumber="1" containsInteger="1" minValue="2025" maxValue="2026"/>
    </cacheField>
    <cacheField name="Posting Date" numFmtId="14">
      <sharedItems containsSemiMixedTypes="0" containsNonDate="0" containsDate="1" containsString="0" minDate="2025-02-13T00:00:00" maxDate="2026-01-28T00:00:00"/>
    </cacheField>
    <cacheField name="Document Type" numFmtId="0">
      <sharedItems count="6">
        <s v="DG"/>
        <s v="DR"/>
        <s v="DZ"/>
        <s v="DA"/>
        <s v="DY"/>
        <s v="XC"/>
      </sharedItems>
    </cacheField>
    <cacheField name="Document Date" numFmtId="14">
      <sharedItems containsSemiMixedTypes="0" containsNonDate="0" containsDate="1" containsString="0" minDate="2025-02-13T00:00:00" maxDate="2026-01-28T00:00:00" count="83">
        <d v="2025-07-10T00:00:00"/>
        <d v="2025-09-04T00:00:00"/>
        <d v="2025-07-04T00:00:00"/>
        <d v="2025-11-05T00:00:00"/>
        <d v="2025-11-03T00:00:00"/>
        <d v="2025-08-08T00:00:00"/>
        <d v="2025-06-04T00:00:00"/>
        <d v="2025-05-14T00:00:00"/>
        <d v="2025-05-16T00:00:00"/>
        <d v="2025-12-09T00:00:00"/>
        <d v="2025-05-28T00:00:00"/>
        <d v="2025-07-18T00:00:00"/>
        <d v="2025-03-13T00:00:00"/>
        <d v="2025-03-20T00:00:00"/>
        <d v="2025-02-20T00:00:00"/>
        <d v="2025-08-20T00:00:00"/>
        <d v="2025-12-08T00:00:00"/>
        <d v="2025-02-19T00:00:00"/>
        <d v="2025-05-20T00:00:00"/>
        <d v="2025-08-04T00:00:00"/>
        <d v="2025-04-03T00:00:00"/>
        <d v="2025-10-20T00:00:00"/>
        <d v="2025-04-21T00:00:00"/>
        <d v="2025-07-24T00:00:00"/>
        <d v="2025-05-23T00:00:00"/>
        <d v="2025-05-21T00:00:00"/>
        <d v="2025-08-21T00:00:00"/>
        <d v="2025-04-24T00:00:00"/>
        <d v="2025-06-18T00:00:00"/>
        <d v="2025-10-21T00:00:00"/>
        <d v="2025-03-19T00:00:00"/>
        <d v="2025-06-19T00:00:00"/>
        <d v="2025-11-20T00:00:00"/>
        <d v="2025-04-22T00:00:00"/>
        <d v="2025-09-18T00:00:00"/>
        <d v="2025-12-05T00:00:00"/>
        <d v="2025-05-22T00:00:00"/>
        <d v="2025-09-22T00:00:00"/>
        <d v="2025-04-23T00:00:00"/>
        <d v="2025-03-21T00:00:00"/>
        <d v="2025-06-02T00:00:00"/>
        <d v="2025-10-07T00:00:00"/>
        <d v="2025-07-19T00:00:00"/>
        <d v="2025-05-10T00:00:00"/>
        <d v="2025-12-06T00:00:00"/>
        <d v="2025-10-18T00:00:00"/>
        <d v="2025-06-07T00:00:00"/>
        <d v="2025-10-06T00:00:00"/>
        <d v="2025-10-05T00:00:00"/>
        <d v="2025-09-06T00:00:00"/>
        <d v="2025-05-18T00:00:00"/>
        <d v="2026-01-02T00:00:00"/>
        <d v="2026-01-05T00:00:00"/>
        <d v="2026-01-08T00:00:00"/>
        <d v="2026-01-09T00:00:00"/>
        <d v="2026-01-06T00:00:00"/>
        <d v="2026-01-12T00:00:00"/>
        <d v="2026-01-13T00:00:00"/>
        <d v="2026-01-21T00:00:00"/>
        <d v="2026-01-23T00:00:00"/>
        <d v="2026-01-27T00:00:00"/>
        <d v="2025-03-17T00:00:00"/>
        <d v="2025-04-15T00:00:00"/>
        <d v="2025-10-17T00:00:00"/>
        <d v="2025-04-16T00:00:00"/>
        <d v="2025-07-25T00:00:00"/>
        <d v="2025-03-14T00:00:00"/>
        <d v="2025-07-23T00:00:00"/>
        <d v="2025-04-11T00:00:00"/>
        <d v="2025-09-02T00:00:00"/>
        <d v="2025-11-13T00:00:00"/>
        <d v="2025-10-10T00:00:00"/>
        <d v="2025-10-28T00:00:00"/>
        <d v="2025-11-26T00:00:00"/>
        <d v="2025-02-13T00:00:00"/>
        <d v="2025-04-17T00:00:00"/>
        <d v="2025-06-10T00:00:00"/>
        <d v="2025-08-01T00:00:00"/>
        <d v="2025-12-04T00:00:00"/>
        <d v="2025-03-04T00:00:00"/>
        <d v="2025-04-04T00:00:00"/>
        <d v="2025-03-06T00:00:00"/>
        <d v="2025-03-03T00:00:00"/>
      </sharedItems>
      <fieldGroup par="12" base="4">
        <rangePr groupBy="months" startDate="2025-02-13T00:00:00" endDate="2026-01-28T00:00:00"/>
        <groupItems count="14">
          <s v="&lt;13-02-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8-01-2026"/>
        </groupItems>
      </fieldGroup>
    </cacheField>
    <cacheField name="Reference" numFmtId="0">
      <sharedItems containsMixedTypes="1" containsNumber="1" containsInteger="1" minValue="246779410010" maxValue="256779440443"/>
    </cacheField>
    <cacheField name="Document Currency Key" numFmtId="0">
      <sharedItems/>
    </cacheField>
    <cacheField name="Document Currency Value" numFmtId="4">
      <sharedItems containsSemiMixedTypes="0" containsString="0" containsNumber="1" minValue="-2385233.9500000002" maxValue="212521.54"/>
    </cacheField>
    <cacheField name="Company Code Currency Key" numFmtId="0">
      <sharedItems/>
    </cacheField>
    <cacheField name="Company Code Currency Value" numFmtId="4">
      <sharedItems containsSemiMixedTypes="0" containsString="0" containsNumber="1" minValue="-2385233.9500000002" maxValue="850399.02"/>
    </cacheField>
    <cacheField name="Text" numFmtId="0">
      <sharedItems/>
    </cacheField>
    <cacheField name="Quarters" numFmtId="0" databaseField="0">
      <fieldGroup base="4">
        <rangePr groupBy="quarters" startDate="2025-02-13T00:00:00" endDate="2026-01-28T00:00:00"/>
        <groupItems count="6">
          <s v="&lt;13-02-2025"/>
          <s v="Qtr1"/>
          <s v="Qtr2"/>
          <s v="Qtr3"/>
          <s v="Qtr4"/>
          <s v="&gt;28-01-2026"/>
        </groupItems>
      </fieldGroup>
    </cacheField>
    <cacheField name="Years" numFmtId="0" databaseField="0">
      <fieldGroup base="4">
        <rangePr groupBy="years" startDate="2025-02-13T00:00:00" endDate="2026-01-28T00:00:00"/>
        <groupItems count="4">
          <s v="&lt;13-02-2025"/>
          <s v="2025"/>
          <s v="2026"/>
          <s v="&gt;28-01-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13">
  <r>
    <x v="0"/>
    <n v="256779413908"/>
    <x v="0"/>
    <n v="-3200.83"/>
    <n v="-273269.15999999997"/>
    <m/>
    <s v="27/06/2025"/>
    <s v="USD"/>
    <d v="2025-11-01T00:00:00"/>
    <n v="1"/>
    <s v="30/11/2025"/>
    <n v="210"/>
    <s v="IN89"/>
  </r>
  <r>
    <x v="0"/>
    <n v="256779413908"/>
    <x v="0"/>
    <n v="64.02"/>
    <n v="5465.67"/>
    <s v="C: ASCENDAS27 P: A023951 I 256779413908"/>
    <s v="27/06/2025"/>
    <s v="USD"/>
    <d v="2025-11-01T00:00:00"/>
    <n v="1"/>
    <s v="30/11/2025"/>
    <n v="230"/>
    <s v="IN89"/>
  </r>
  <r>
    <x v="0"/>
    <n v="256779413908"/>
    <x v="0"/>
    <n v="0"/>
    <n v="-11858.12"/>
    <s v="C: ASCENDAS27 P: Matching"/>
    <s v="27/06/2025"/>
    <s v="USD"/>
    <d v="2025-11-01T00:00:00"/>
    <n v="66"/>
    <s v="30/11/2025"/>
    <n v="271"/>
    <s v="IN89"/>
  </r>
  <r>
    <x v="0"/>
    <n v="256779415989"/>
    <x v="1"/>
    <n v="-299.83999999999997"/>
    <n v="-25783.09"/>
    <m/>
    <s v="24/08/2025"/>
    <s v="USD"/>
    <d v="2025-10-01T00:00:00"/>
    <n v="1"/>
    <s v="29/10/2025"/>
    <n v="210"/>
    <s v="IN89"/>
  </r>
  <r>
    <x v="0"/>
    <n v="256779416007"/>
    <x v="1"/>
    <n v="-421.15"/>
    <n v="-36214.480000000003"/>
    <m/>
    <s v="24/08/2025"/>
    <s v="USD"/>
    <d v="2025-10-01T00:00:00"/>
    <n v="1"/>
    <s v="29/10/2025"/>
    <n v="210"/>
    <s v="IN89"/>
  </r>
  <r>
    <x v="0"/>
    <n v="256779416007"/>
    <x v="1"/>
    <n v="8.42"/>
    <n v="724.03"/>
    <s v="C: ASCENDAS27 P: A023951 I 256779416007"/>
    <s v="24/08/2025"/>
    <s v="USD"/>
    <d v="2025-10-01T00:00:00"/>
    <n v="1"/>
    <s v="29/10/2025"/>
    <n v="230"/>
    <s v="IN89"/>
  </r>
  <r>
    <x v="0"/>
    <n v="256779415989"/>
    <x v="1"/>
    <n v="6"/>
    <n v="515.94000000000005"/>
    <s v="C: ASCENDAS27 P: A023951 I 256779415989"/>
    <s v="24/08/2025"/>
    <s v="USD"/>
    <d v="2025-10-01T00:00:00"/>
    <n v="1"/>
    <s v="29/10/2025"/>
    <n v="230"/>
    <s v="IN89"/>
  </r>
  <r>
    <x v="0"/>
    <n v="256779415989"/>
    <x v="1"/>
    <n v="0"/>
    <n v="-664.99"/>
    <s v="C: ASCENDAS27 P: Matching"/>
    <s v="24/08/2025"/>
    <s v="USD"/>
    <d v="2025-10-01T00:00:00"/>
    <n v="82"/>
    <s v="31/10/2025"/>
    <n v="271"/>
    <s v="IN89"/>
  </r>
  <r>
    <x v="0"/>
    <n v="256779416007"/>
    <x v="1"/>
    <n v="0"/>
    <n v="-934.03"/>
    <s v="C: ASCENDAS27 P: Matching"/>
    <s v="24/08/2025"/>
    <s v="USD"/>
    <d v="2025-10-01T00:00:00"/>
    <n v="84"/>
    <s v="31/10/2025"/>
    <n v="271"/>
    <s v="IN89"/>
  </r>
  <r>
    <x v="0"/>
    <n v="256779412776"/>
    <x v="2"/>
    <n v="-632.46"/>
    <n v="-54218.879999999997"/>
    <m/>
    <s v="24/05/2025"/>
    <s v="USD"/>
    <d v="2025-11-01T00:00:00"/>
    <n v="1"/>
    <s v="30/11/2025"/>
    <n v="210"/>
    <s v="IN89"/>
  </r>
  <r>
    <x v="0"/>
    <n v="256779412776"/>
    <x v="2"/>
    <n v="12.65"/>
    <n v="1084.45"/>
    <s v="C: ASCENDAS27 P: A023951 I 256779412776"/>
    <s v="24/05/2025"/>
    <s v="USD"/>
    <d v="2025-11-01T00:00:00"/>
    <n v="1"/>
    <s v="30/11/2025"/>
    <n v="230"/>
    <s v="IN89"/>
  </r>
  <r>
    <x v="0"/>
    <n v="256779412776"/>
    <x v="2"/>
    <n v="0"/>
    <n v="-2124.59"/>
    <s v="C: ASCENDAS27 P: Matching"/>
    <s v="24/05/2025"/>
    <s v="USD"/>
    <d v="2025-11-01T00:00:00"/>
    <n v="58"/>
    <s v="30/11/2025"/>
    <n v="271"/>
    <s v="IN89"/>
  </r>
  <r>
    <x v="0"/>
    <n v="256779417801"/>
    <x v="3"/>
    <n v="-4755.47"/>
    <n v="-416826.08"/>
    <m/>
    <s v="22/10/2025"/>
    <s v="USD"/>
    <d v="2025-10-01T00:00:00"/>
    <n v="1"/>
    <s v="29/10/2025"/>
    <n v="210"/>
    <s v="IN89"/>
  </r>
  <r>
    <x v="0"/>
    <n v="256779417801"/>
    <x v="3"/>
    <n v="95.11"/>
    <n v="8336.57"/>
    <s v="C: ASCENDAS27 P: A023951 I 256779417801"/>
    <s v="22/10/2025"/>
    <s v="USD"/>
    <d v="2025-10-01T00:00:00"/>
    <n v="1"/>
    <s v="29/10/2025"/>
    <n v="230"/>
    <s v="IN89"/>
  </r>
  <r>
    <x v="0"/>
    <n v="256779417801"/>
    <x v="3"/>
    <n v="0"/>
    <n v="-2799.24"/>
    <s v="C: ASCENDAS27 P: Matching"/>
    <s v="22/10/2025"/>
    <s v="USD"/>
    <d v="2025-10-01T00:00:00"/>
    <n v="64"/>
    <s v="31/10/2025"/>
    <n v="271"/>
    <s v="IN89"/>
  </r>
  <r>
    <x v="0"/>
    <n v="256779417744"/>
    <x v="3"/>
    <n v="-870"/>
    <n v="-76257.17"/>
    <m/>
    <s v="22/10/2025"/>
    <s v="USD"/>
    <d v="2025-11-01T00:00:00"/>
    <n v="1"/>
    <d v="2025-11-11T00:00:00"/>
    <n v="210"/>
    <s v="IN89"/>
  </r>
  <r>
    <x v="0"/>
    <n v="256779417744"/>
    <x v="3"/>
    <n v="17.399999999999999"/>
    <n v="1525.14"/>
    <s v="C: ASCENDAS27 P: A023951 I 256779417744"/>
    <s v="22/10/2025"/>
    <s v="USD"/>
    <d v="2025-11-01T00:00:00"/>
    <n v="1"/>
    <d v="2025-11-11T00:00:00"/>
    <n v="230"/>
    <s v="IN89"/>
  </r>
  <r>
    <x v="0"/>
    <n v="256779412524"/>
    <x v="4"/>
    <n v="-36.5"/>
    <n v="-3129.03"/>
    <m/>
    <s v="22/05/2025"/>
    <s v="USD"/>
    <d v="2025-06-01T00:00:00"/>
    <n v="1"/>
    <s v="30/06/2025"/>
    <n v="210"/>
    <s v="IN89"/>
  </r>
  <r>
    <x v="0"/>
    <n v="256779412529"/>
    <x v="4"/>
    <n v="-29.57"/>
    <n v="-2534.9499999999998"/>
    <m/>
    <s v="22/05/2025"/>
    <s v="USD"/>
    <d v="2025-06-01T00:00:00"/>
    <n v="1"/>
    <s v="30/06/2025"/>
    <n v="210"/>
    <s v="IN89"/>
  </r>
  <r>
    <x v="0"/>
    <n v="256779412536"/>
    <x v="4"/>
    <n v="-37.020000000000003"/>
    <n v="-3173.61"/>
    <m/>
    <s v="22/05/2025"/>
    <s v="USD"/>
    <d v="2025-06-01T00:00:00"/>
    <n v="1"/>
    <s v="30/06/2025"/>
    <n v="210"/>
    <s v="IN89"/>
  </r>
  <r>
    <x v="0"/>
    <n v="256779412537"/>
    <x v="4"/>
    <n v="-407.58"/>
    <n v="-34940.6"/>
    <m/>
    <s v="22/05/2025"/>
    <s v="USD"/>
    <d v="2025-06-01T00:00:00"/>
    <n v="1"/>
    <s v="30/06/2025"/>
    <n v="210"/>
    <s v="IN89"/>
  </r>
  <r>
    <x v="0"/>
    <n v="256779412579"/>
    <x v="4"/>
    <n v="-57.6"/>
    <n v="-4937.87"/>
    <m/>
    <s v="22/05/2025"/>
    <s v="USD"/>
    <d v="2025-06-01T00:00:00"/>
    <n v="1"/>
    <s v="30/06/2025"/>
    <n v="210"/>
    <s v="IN89"/>
  </r>
  <r>
    <x v="0"/>
    <n v="256779412586"/>
    <x v="4"/>
    <n v="-51.5"/>
    <n v="-4414.9399999999996"/>
    <m/>
    <s v="22/05/2025"/>
    <s v="USD"/>
    <d v="2025-06-01T00:00:00"/>
    <n v="1"/>
    <s v="30/06/2025"/>
    <n v="210"/>
    <s v="IN89"/>
  </r>
  <r>
    <x v="0"/>
    <n v="256779412563"/>
    <x v="4"/>
    <n v="-27"/>
    <n v="-2314.63"/>
    <m/>
    <s v="22/05/2025"/>
    <s v="USD"/>
    <d v="2025-06-01T00:00:00"/>
    <n v="1"/>
    <s v="30/06/2025"/>
    <n v="210"/>
    <s v="IN89"/>
  </r>
  <r>
    <x v="0"/>
    <n v="256779412576"/>
    <x v="4"/>
    <n v="-46"/>
    <n v="-3943.44"/>
    <m/>
    <s v="22/05/2025"/>
    <s v="USD"/>
    <d v="2025-06-01T00:00:00"/>
    <n v="1"/>
    <s v="30/06/2025"/>
    <n v="210"/>
    <s v="IN89"/>
  </r>
  <r>
    <x v="0"/>
    <n v="256779412577"/>
    <x v="4"/>
    <n v="-46"/>
    <n v="-3943.44"/>
    <m/>
    <s v="22/05/2025"/>
    <s v="USD"/>
    <d v="2025-06-01T00:00:00"/>
    <n v="1"/>
    <s v="30/06/2025"/>
    <n v="210"/>
    <s v="IN89"/>
  </r>
  <r>
    <x v="0"/>
    <n v="256779412580"/>
    <x v="4"/>
    <n v="-40.5"/>
    <n v="-3471.94"/>
    <m/>
    <s v="22/05/2025"/>
    <s v="USD"/>
    <d v="2025-06-01T00:00:00"/>
    <n v="1"/>
    <s v="30/06/2025"/>
    <n v="210"/>
    <s v="IN89"/>
  </r>
  <r>
    <x v="0"/>
    <n v="256779412562"/>
    <x v="4"/>
    <n v="-54.65"/>
    <n v="-4684.9799999999996"/>
    <m/>
    <s v="22/05/2025"/>
    <s v="USD"/>
    <d v="2025-06-01T00:00:00"/>
    <n v="1"/>
    <s v="30/06/2025"/>
    <n v="210"/>
    <s v="IN89"/>
  </r>
  <r>
    <x v="0"/>
    <n v="256779412564"/>
    <x v="4"/>
    <n v="-55.2"/>
    <n v="-4732.13"/>
    <m/>
    <s v="22/05/2025"/>
    <s v="USD"/>
    <d v="2025-06-01T00:00:00"/>
    <n v="1"/>
    <s v="30/06/2025"/>
    <n v="210"/>
    <s v="IN89"/>
  </r>
  <r>
    <x v="0"/>
    <n v="256779412570"/>
    <x v="4"/>
    <n v="-43.38"/>
    <n v="-3718.84"/>
    <m/>
    <s v="22/05/2025"/>
    <s v="USD"/>
    <d v="2025-06-01T00:00:00"/>
    <n v="1"/>
    <s v="30/06/2025"/>
    <n v="210"/>
    <s v="IN89"/>
  </r>
  <r>
    <x v="0"/>
    <n v="256779412581"/>
    <x v="4"/>
    <n v="-51.5"/>
    <n v="-4414.9399999999996"/>
    <m/>
    <s v="22/05/2025"/>
    <s v="USD"/>
    <d v="2025-06-01T00:00:00"/>
    <n v="1"/>
    <s v="30/06/2025"/>
    <n v="210"/>
    <s v="IN89"/>
  </r>
  <r>
    <x v="0"/>
    <n v="256779412585"/>
    <x v="4"/>
    <n v="-48.75"/>
    <n v="-4179.1899999999996"/>
    <m/>
    <s v="22/05/2025"/>
    <s v="USD"/>
    <d v="2025-06-01T00:00:00"/>
    <n v="1"/>
    <s v="30/06/2025"/>
    <n v="210"/>
    <s v="IN89"/>
  </r>
  <r>
    <x v="0"/>
    <n v="256779412577"/>
    <x v="4"/>
    <n v="0.92"/>
    <n v="78.87"/>
    <s v="C: ASCENDAS27 P: A023951 I 256779412577"/>
    <s v="22/05/2025"/>
    <s v="USD"/>
    <d v="2025-06-01T00:00:00"/>
    <n v="1"/>
    <s v="30/06/2025"/>
    <n v="230"/>
    <s v="IN89"/>
  </r>
  <r>
    <x v="0"/>
    <n v="256779412564"/>
    <x v="4"/>
    <n v="1.1000000000000001"/>
    <n v="94.3"/>
    <s v="C: ASCENDAS27 P: A023951 I 256779412564"/>
    <s v="22/05/2025"/>
    <s v="USD"/>
    <d v="2025-06-01T00:00:00"/>
    <n v="1"/>
    <s v="30/06/2025"/>
    <n v="230"/>
    <s v="IN89"/>
  </r>
  <r>
    <x v="0"/>
    <n v="256779412529"/>
    <x v="4"/>
    <n v="0.59"/>
    <n v="50.58"/>
    <s v="C: ASCENDAS27 P: A023951 I 256779412529"/>
    <s v="22/05/2025"/>
    <s v="USD"/>
    <d v="2025-06-01T00:00:00"/>
    <n v="1"/>
    <s v="30/06/2025"/>
    <n v="230"/>
    <s v="IN89"/>
  </r>
  <r>
    <x v="0"/>
    <n v="256779412563"/>
    <x v="4"/>
    <n v="0.54"/>
    <n v="46.29"/>
    <s v="C: ASCENDAS27 P: A023951 I 256779412563"/>
    <s v="22/05/2025"/>
    <s v="USD"/>
    <d v="2025-06-01T00:00:00"/>
    <n v="1"/>
    <s v="30/06/2025"/>
    <n v="230"/>
    <s v="IN89"/>
  </r>
  <r>
    <x v="0"/>
    <n v="256779412570"/>
    <x v="4"/>
    <n v="0.87"/>
    <n v="74.58"/>
    <s v="C: ASCENDAS27 P: A023951 I 256779412570"/>
    <s v="22/05/2025"/>
    <s v="USD"/>
    <d v="2025-06-01T00:00:00"/>
    <n v="1"/>
    <s v="30/06/2025"/>
    <n v="230"/>
    <s v="IN89"/>
  </r>
  <r>
    <x v="0"/>
    <n v="256779412580"/>
    <x v="4"/>
    <n v="0.81"/>
    <n v="69.44"/>
    <s v="C: ASCENDAS27 P: A023951 I 256779412580"/>
    <s v="22/05/2025"/>
    <s v="USD"/>
    <d v="2025-06-01T00:00:00"/>
    <n v="1"/>
    <s v="30/06/2025"/>
    <n v="230"/>
    <s v="IN89"/>
  </r>
  <r>
    <x v="0"/>
    <n v="256779412581"/>
    <x v="4"/>
    <n v="1.03"/>
    <n v="88.3"/>
    <s v="C: ASCENDAS27 P: A023951 I 256779412581"/>
    <s v="22/05/2025"/>
    <s v="USD"/>
    <d v="2025-06-01T00:00:00"/>
    <n v="1"/>
    <s v="30/06/2025"/>
    <n v="230"/>
    <s v="IN89"/>
  </r>
  <r>
    <x v="0"/>
    <n v="256779412536"/>
    <x v="4"/>
    <n v="0.74"/>
    <n v="63.44"/>
    <s v="C: ASCENDAS27 P: A023951 I 256779412536"/>
    <s v="22/05/2025"/>
    <s v="USD"/>
    <d v="2025-06-01T00:00:00"/>
    <n v="1"/>
    <s v="30/06/2025"/>
    <n v="230"/>
    <s v="IN89"/>
  </r>
  <r>
    <x v="0"/>
    <n v="256779412576"/>
    <x v="4"/>
    <n v="0.92"/>
    <n v="78.87"/>
    <s v="C: ASCENDAS27 P: A023951 I 256779412576"/>
    <s v="22/05/2025"/>
    <s v="USD"/>
    <d v="2025-06-01T00:00:00"/>
    <n v="1"/>
    <s v="30/06/2025"/>
    <n v="230"/>
    <s v="IN89"/>
  </r>
  <r>
    <x v="0"/>
    <n v="256779412524"/>
    <x v="4"/>
    <n v="0.73"/>
    <n v="62.58"/>
    <s v="C: ASCENDAS27 P: A023951 I 256779412524"/>
    <s v="22/05/2025"/>
    <s v="USD"/>
    <d v="2025-06-01T00:00:00"/>
    <n v="1"/>
    <s v="30/06/2025"/>
    <n v="230"/>
    <s v="IN89"/>
  </r>
  <r>
    <x v="0"/>
    <n v="256779412537"/>
    <x v="4"/>
    <n v="8.15"/>
    <n v="698.67"/>
    <s v="C: ASCENDAS27 P: A023951 I 256779412537"/>
    <s v="22/05/2025"/>
    <s v="USD"/>
    <d v="2025-06-01T00:00:00"/>
    <n v="1"/>
    <s v="30/06/2025"/>
    <n v="230"/>
    <s v="IN89"/>
  </r>
  <r>
    <x v="0"/>
    <n v="256779412585"/>
    <x v="4"/>
    <n v="0.98"/>
    <n v="84.01"/>
    <s v="C: ASCENDAS27 P: A023951 I 256779412585"/>
    <s v="22/05/2025"/>
    <s v="USD"/>
    <d v="2025-06-01T00:00:00"/>
    <n v="1"/>
    <s v="30/06/2025"/>
    <n v="230"/>
    <s v="IN89"/>
  </r>
  <r>
    <x v="0"/>
    <n v="256779412586"/>
    <x v="4"/>
    <n v="1.03"/>
    <n v="88.3"/>
    <s v="C: ASCENDAS27 P: A023951 I 256779412586"/>
    <s v="22/05/2025"/>
    <s v="USD"/>
    <d v="2025-06-01T00:00:00"/>
    <n v="1"/>
    <s v="30/06/2025"/>
    <n v="230"/>
    <s v="IN89"/>
  </r>
  <r>
    <x v="0"/>
    <n v="256779412579"/>
    <x v="4"/>
    <n v="1.1499999999999999"/>
    <n v="98.59"/>
    <s v="C: ASCENDAS27 P: A023951 I 256779412579"/>
    <s v="22/05/2025"/>
    <s v="USD"/>
    <d v="2025-06-01T00:00:00"/>
    <n v="1"/>
    <s v="30/06/2025"/>
    <n v="230"/>
    <s v="IN89"/>
  </r>
  <r>
    <x v="0"/>
    <n v="256779412562"/>
    <x v="4"/>
    <n v="1.0900000000000001"/>
    <n v="93.44"/>
    <s v="C: ASCENDAS27 P: A023951 I 256779412562"/>
    <s v="22/05/2025"/>
    <s v="USD"/>
    <d v="2025-06-01T00:00:00"/>
    <n v="1"/>
    <s v="30/06/2025"/>
    <n v="230"/>
    <s v="IN89"/>
  </r>
  <r>
    <x v="0"/>
    <n v="256779412583"/>
    <x v="4"/>
    <n v="-51.75"/>
    <n v="-4436.37"/>
    <m/>
    <s v="22/05/2025"/>
    <s v="USD"/>
    <d v="2025-06-01T00:00:00"/>
    <n v="1"/>
    <s v="30/06/2025"/>
    <n v="210"/>
    <s v="IN89"/>
  </r>
  <r>
    <x v="0"/>
    <n v="256779412524"/>
    <x v="4"/>
    <n v="0"/>
    <n v="-9.39"/>
    <s v="C: ASCENDAS27 P: Matching"/>
    <s v="22/05/2025"/>
    <s v="USD"/>
    <d v="2025-06-01T00:00:00"/>
    <n v="14"/>
    <s v="30/06/2025"/>
    <n v="271"/>
    <s v="IN89"/>
  </r>
  <r>
    <x v="0"/>
    <n v="256779412529"/>
    <x v="4"/>
    <n v="0"/>
    <n v="-7.61"/>
    <s v="C: ASCENDAS27 P: Matching"/>
    <s v="22/05/2025"/>
    <s v="USD"/>
    <d v="2025-06-01T00:00:00"/>
    <n v="16"/>
    <s v="30/06/2025"/>
    <n v="271"/>
    <s v="IN89"/>
  </r>
  <r>
    <x v="0"/>
    <n v="256779412536"/>
    <x v="4"/>
    <n v="0"/>
    <n v="-9.5299999999999994"/>
    <s v="C: ASCENDAS27 P: Matching"/>
    <s v="22/05/2025"/>
    <s v="USD"/>
    <d v="2025-06-01T00:00:00"/>
    <n v="18"/>
    <s v="30/06/2025"/>
    <n v="271"/>
    <s v="IN89"/>
  </r>
  <r>
    <x v="0"/>
    <n v="256779412537"/>
    <x v="4"/>
    <n v="0"/>
    <n v="-104.86"/>
    <s v="C: ASCENDAS27 P: Matching"/>
    <s v="22/05/2025"/>
    <s v="USD"/>
    <d v="2025-06-01T00:00:00"/>
    <n v="20"/>
    <s v="30/06/2025"/>
    <n v="271"/>
    <s v="IN89"/>
  </r>
  <r>
    <x v="0"/>
    <n v="256779412579"/>
    <x v="4"/>
    <n v="0"/>
    <n v="-14.83"/>
    <s v="C: ASCENDAS27 P: Matching"/>
    <s v="22/05/2025"/>
    <s v="USD"/>
    <d v="2025-06-01T00:00:00"/>
    <n v="22"/>
    <s v="30/06/2025"/>
    <n v="271"/>
    <s v="IN89"/>
  </r>
  <r>
    <x v="0"/>
    <n v="256779412586"/>
    <x v="4"/>
    <n v="0"/>
    <n v="-13.25"/>
    <s v="C: ASCENDAS27 P: Matching"/>
    <s v="22/05/2025"/>
    <s v="USD"/>
    <d v="2025-06-01T00:00:00"/>
    <n v="24"/>
    <s v="30/06/2025"/>
    <n v="271"/>
    <s v="IN89"/>
  </r>
  <r>
    <x v="0"/>
    <n v="256779412563"/>
    <x v="4"/>
    <n v="0"/>
    <n v="-6.94"/>
    <s v="C: ASCENDAS27 P: Matching"/>
    <s v="22/05/2025"/>
    <s v="USD"/>
    <d v="2025-06-01T00:00:00"/>
    <n v="48"/>
    <s v="30/06/2025"/>
    <n v="271"/>
    <s v="IN89"/>
  </r>
  <r>
    <x v="0"/>
    <n v="256779412576"/>
    <x v="4"/>
    <n v="0"/>
    <n v="-11.84"/>
    <s v="C: ASCENDAS27 P: Matching"/>
    <s v="22/05/2025"/>
    <s v="USD"/>
    <d v="2025-06-01T00:00:00"/>
    <n v="52"/>
    <s v="30/06/2025"/>
    <n v="271"/>
    <s v="IN89"/>
  </r>
  <r>
    <x v="0"/>
    <n v="256779412577"/>
    <x v="4"/>
    <n v="0"/>
    <n v="-11.84"/>
    <s v="C: ASCENDAS27 P: Matching"/>
    <s v="22/05/2025"/>
    <s v="USD"/>
    <d v="2025-06-01T00:00:00"/>
    <n v="54"/>
    <s v="30/06/2025"/>
    <n v="271"/>
    <s v="IN89"/>
  </r>
  <r>
    <x v="0"/>
    <n v="256779412580"/>
    <x v="4"/>
    <n v="0"/>
    <n v="-10.42"/>
    <s v="C: ASCENDAS27 P: Matching"/>
    <s v="22/05/2025"/>
    <s v="USD"/>
    <d v="2025-06-01T00:00:00"/>
    <n v="56"/>
    <s v="30/06/2025"/>
    <n v="271"/>
    <s v="IN89"/>
  </r>
  <r>
    <x v="0"/>
    <n v="256779412562"/>
    <x v="4"/>
    <n v="0"/>
    <n v="-14.06"/>
    <s v="C: ASCENDAS27 P: Matching"/>
    <s v="22/05/2025"/>
    <s v="USD"/>
    <d v="2025-06-01T00:00:00"/>
    <n v="66"/>
    <s v="30/06/2025"/>
    <n v="271"/>
    <s v="IN89"/>
  </r>
  <r>
    <x v="0"/>
    <n v="256779412564"/>
    <x v="4"/>
    <n v="0"/>
    <n v="-14.2"/>
    <s v="C: ASCENDAS27 P: Matching"/>
    <s v="22/05/2025"/>
    <s v="USD"/>
    <d v="2025-06-01T00:00:00"/>
    <n v="70"/>
    <s v="30/06/2025"/>
    <n v="271"/>
    <s v="IN89"/>
  </r>
  <r>
    <x v="0"/>
    <n v="256779412570"/>
    <x v="4"/>
    <n v="0"/>
    <n v="-11.15"/>
    <s v="C: ASCENDAS27 P: Matching"/>
    <s v="22/05/2025"/>
    <s v="USD"/>
    <d v="2025-06-01T00:00:00"/>
    <n v="72"/>
    <s v="30/06/2025"/>
    <n v="271"/>
    <s v="IN89"/>
  </r>
  <r>
    <x v="0"/>
    <n v="256779412581"/>
    <x v="4"/>
    <n v="0"/>
    <n v="-13.25"/>
    <s v="C: ASCENDAS27 P: Matching"/>
    <s v="22/05/2025"/>
    <s v="USD"/>
    <d v="2025-06-01T00:00:00"/>
    <n v="74"/>
    <s v="30/06/2025"/>
    <n v="271"/>
    <s v="IN89"/>
  </r>
  <r>
    <x v="0"/>
    <n v="256779412585"/>
    <x v="4"/>
    <n v="0"/>
    <n v="-12.54"/>
    <s v="C: ASCENDAS27 P: Matching"/>
    <s v="22/05/2025"/>
    <s v="USD"/>
    <d v="2025-06-01T00:00:00"/>
    <n v="78"/>
    <s v="30/06/2025"/>
    <n v="271"/>
    <s v="IN89"/>
  </r>
  <r>
    <x v="0"/>
    <n v="256779412583"/>
    <x v="4"/>
    <n v="0"/>
    <n v="-13.59"/>
    <s v="C: ASCENDAS27 P: Matching"/>
    <s v="22/05/2025"/>
    <s v="USD"/>
    <d v="2025-06-01T00:00:00"/>
    <n v="104"/>
    <s v="30/06/2025"/>
    <n v="271"/>
    <s v="IN89"/>
  </r>
  <r>
    <x v="0"/>
    <n v="256779418480"/>
    <x v="5"/>
    <n v="-13.59"/>
    <n v="-1204.8800000000001"/>
    <s v="USD CURRENCY"/>
    <s v="20/11/2025"/>
    <s v="USD"/>
    <d v="2025-12-01T00:00:00"/>
    <n v="1"/>
    <s v="15/12/2025"/>
    <n v="210"/>
    <s v="IN89"/>
  </r>
  <r>
    <x v="0"/>
    <n v="256779418480"/>
    <x v="5"/>
    <n v="0.27"/>
    <n v="23.94"/>
    <s v="C: ASCENDAS27 P: A023951 I 256779418480"/>
    <s v="20/11/2025"/>
    <s v="USD"/>
    <d v="2025-12-01T00:00:00"/>
    <n v="1"/>
    <s v="15/12/2025"/>
    <n v="230"/>
    <s v="IN89"/>
  </r>
  <r>
    <x v="0"/>
    <n v="256779418474"/>
    <x v="5"/>
    <n v="-562.38"/>
    <n v="-49860.33"/>
    <s v="USD CURRENCY"/>
    <s v="20/11/2025"/>
    <s v="USD"/>
    <d v="2026-01-01T00:00:00"/>
    <n v="1"/>
    <s v="28/01/2026"/>
    <n v="210"/>
    <s v="IN89"/>
  </r>
  <r>
    <x v="0"/>
    <n v="256779418474"/>
    <x v="5"/>
    <n v="11.25"/>
    <n v="997.42"/>
    <s v="C: ASCENDAS27 P: A023951 I 256779418474"/>
    <s v="20/11/2025"/>
    <s v="USD"/>
    <d v="2026-01-01T00:00:00"/>
    <n v="1"/>
    <s v="28/01/2026"/>
    <n v="230"/>
    <s v="IN89"/>
  </r>
  <r>
    <x v="0"/>
    <n v="256779418474"/>
    <x v="5"/>
    <n v="0"/>
    <n v="-1591.62"/>
    <s v="C: ASCENDAS27 P: Matching"/>
    <s v="20/11/2025"/>
    <s v="USD"/>
    <d v="2026-01-01T00:00:00"/>
    <n v="78"/>
    <s v="31/01/2026"/>
    <n v="271"/>
    <s v="IN89"/>
  </r>
  <r>
    <x v="0"/>
    <n v="256779418474"/>
    <x v="5"/>
    <n v="0"/>
    <n v="-14.27"/>
    <s v="C: ASCENDAS27 P: Matching"/>
    <s v="20/11/2025"/>
    <s v="USD"/>
    <d v="2026-01-01T00:00:00"/>
    <n v="80"/>
    <s v="31/01/2026"/>
    <n v="271"/>
    <s v="IN89"/>
  </r>
  <r>
    <x v="0"/>
    <n v="256779418474"/>
    <x v="5"/>
    <n v="0"/>
    <n v="-31.65"/>
    <s v="C: ASCENDAS27 P: Matching"/>
    <s v="20/11/2025"/>
    <s v="USD"/>
    <d v="2026-01-01T00:00:00"/>
    <n v="82"/>
    <s v="31/01/2026"/>
    <n v="271"/>
    <s v="IN89"/>
  </r>
  <r>
    <x v="0"/>
    <n v="256779413393"/>
    <x v="6"/>
    <n v="-229.87"/>
    <n v="-19625.03"/>
    <m/>
    <s v="20/06/2025"/>
    <s v="USD"/>
    <d v="2025-07-01T00:00:00"/>
    <n v="1"/>
    <d v="2025-11-07T00:00:00"/>
    <n v="210"/>
    <s v="IN89"/>
  </r>
  <r>
    <x v="0"/>
    <n v="256779413394"/>
    <x v="6"/>
    <n v="-218.17"/>
    <n v="-18626.150000000001"/>
    <m/>
    <s v="20/06/2025"/>
    <s v="USD"/>
    <d v="2025-07-01T00:00:00"/>
    <n v="1"/>
    <d v="2025-11-07T00:00:00"/>
    <n v="210"/>
    <s v="IN89"/>
  </r>
  <r>
    <x v="0"/>
    <n v="256779413403"/>
    <x v="6"/>
    <n v="-402.88"/>
    <n v="-34395.67"/>
    <m/>
    <s v="20/06/2025"/>
    <s v="USD"/>
    <d v="2025-07-01T00:00:00"/>
    <n v="1"/>
    <d v="2025-11-07T00:00:00"/>
    <n v="210"/>
    <s v="IN89"/>
  </r>
  <r>
    <x v="0"/>
    <n v="256779413397"/>
    <x v="6"/>
    <n v="-229.87"/>
    <n v="-19625.03"/>
    <m/>
    <s v="20/06/2025"/>
    <s v="USD"/>
    <d v="2025-07-01T00:00:00"/>
    <n v="1"/>
    <d v="2025-11-07T00:00:00"/>
    <n v="210"/>
    <s v="IN89"/>
  </r>
  <r>
    <x v="0"/>
    <n v="256779413398"/>
    <x v="6"/>
    <n v="-218.17"/>
    <n v="-18626.150000000001"/>
    <m/>
    <s v="20/06/2025"/>
    <s v="USD"/>
    <d v="2025-07-01T00:00:00"/>
    <n v="1"/>
    <d v="2025-11-07T00:00:00"/>
    <n v="210"/>
    <s v="IN89"/>
  </r>
  <r>
    <x v="0"/>
    <n v="256779413400"/>
    <x v="6"/>
    <n v="-218.17"/>
    <n v="-18626.150000000001"/>
    <s v="USD CURRENCY"/>
    <s v="20/06/2025"/>
    <s v="USD"/>
    <d v="2025-07-01T00:00:00"/>
    <n v="1"/>
    <d v="2025-11-07T00:00:00"/>
    <n v="210"/>
    <s v="IN89"/>
  </r>
  <r>
    <x v="0"/>
    <n v="256779413402"/>
    <x v="6"/>
    <n v="-229.87"/>
    <n v="-19625.03"/>
    <m/>
    <s v="20/06/2025"/>
    <s v="USD"/>
    <d v="2025-07-01T00:00:00"/>
    <n v="1"/>
    <d v="2025-11-07T00:00:00"/>
    <n v="210"/>
    <s v="IN89"/>
  </r>
  <r>
    <x v="0"/>
    <n v="256779413396"/>
    <x v="6"/>
    <n v="-218.17"/>
    <n v="-18626.150000000001"/>
    <m/>
    <s v="20/06/2025"/>
    <s v="USD"/>
    <d v="2025-07-01T00:00:00"/>
    <n v="1"/>
    <d v="2025-11-07T00:00:00"/>
    <n v="210"/>
    <s v="IN89"/>
  </r>
  <r>
    <x v="0"/>
    <n v="256779413401"/>
    <x v="6"/>
    <n v="-229.87"/>
    <n v="-19625.03"/>
    <m/>
    <s v="20/06/2025"/>
    <s v="USD"/>
    <d v="2025-07-01T00:00:00"/>
    <n v="1"/>
    <d v="2025-11-07T00:00:00"/>
    <n v="210"/>
    <s v="IN89"/>
  </r>
  <r>
    <x v="0"/>
    <n v="256779413396"/>
    <x v="6"/>
    <n v="4.3600000000000003"/>
    <n v="372.23"/>
    <s v="C: ASCENDAS27 P: A023951 I 256779413396"/>
    <s v="20/06/2025"/>
    <s v="USD"/>
    <d v="2025-07-01T00:00:00"/>
    <n v="1"/>
    <d v="2025-11-07T00:00:00"/>
    <n v="230"/>
    <s v="IN89"/>
  </r>
  <r>
    <x v="0"/>
    <n v="256779413401"/>
    <x v="6"/>
    <n v="4.5999999999999996"/>
    <n v="392.72"/>
    <s v="C: ASCENDAS27 P: A023951 I 256779413401"/>
    <s v="20/06/2025"/>
    <s v="USD"/>
    <d v="2025-07-01T00:00:00"/>
    <n v="1"/>
    <d v="2025-11-07T00:00:00"/>
    <n v="230"/>
    <s v="IN89"/>
  </r>
  <r>
    <x v="0"/>
    <n v="256779413395"/>
    <x v="6"/>
    <n v="-264.98"/>
    <n v="-22622.53"/>
    <m/>
    <s v="20/06/2025"/>
    <s v="USD"/>
    <d v="2025-07-01T00:00:00"/>
    <n v="1"/>
    <d v="2025-11-07T00:00:00"/>
    <n v="210"/>
    <s v="IN89"/>
  </r>
  <r>
    <x v="0"/>
    <n v="256779413395"/>
    <x v="6"/>
    <n v="5.3"/>
    <n v="452.48"/>
    <s v="C: ASCENDAS27 P: A023951 I 256779413395"/>
    <s v="20/06/2025"/>
    <s v="USD"/>
    <d v="2025-07-01T00:00:00"/>
    <n v="1"/>
    <d v="2025-11-07T00:00:00"/>
    <n v="230"/>
    <s v="IN89"/>
  </r>
  <r>
    <x v="0"/>
    <n v="256779413399"/>
    <x v="6"/>
    <n v="-229.87"/>
    <n v="-19625.03"/>
    <m/>
    <s v="20/06/2025"/>
    <s v="USD"/>
    <d v="2025-07-01T00:00:00"/>
    <n v="1"/>
    <d v="2025-11-07T00:00:00"/>
    <n v="210"/>
    <s v="IN89"/>
  </r>
  <r>
    <x v="0"/>
    <n v="256779413399"/>
    <x v="6"/>
    <n v="4.5999999999999996"/>
    <n v="392.72"/>
    <s v="C: ASCENDAS27 P: A023951 I 256779413399"/>
    <s v="20/06/2025"/>
    <s v="USD"/>
    <d v="2025-07-01T00:00:00"/>
    <n v="1"/>
    <d v="2025-11-07T00:00:00"/>
    <n v="230"/>
    <s v="IN89"/>
  </r>
  <r>
    <x v="0"/>
    <n v="256779413391"/>
    <x v="6"/>
    <n v="-253.29"/>
    <n v="-21624.5"/>
    <m/>
    <s v="20/06/2025"/>
    <s v="USD"/>
    <d v="2025-09-01T00:00:00"/>
    <n v="1"/>
    <s v="30/09/2025"/>
    <n v="210"/>
    <s v="IN89"/>
  </r>
  <r>
    <x v="0"/>
    <n v="256779413392"/>
    <x v="6"/>
    <n v="-218.17"/>
    <n v="-18626.150000000001"/>
    <m/>
    <s v="20/06/2025"/>
    <s v="USD"/>
    <d v="2025-09-01T00:00:00"/>
    <n v="1"/>
    <s v="30/09/2025"/>
    <n v="210"/>
    <s v="IN89"/>
  </r>
  <r>
    <x v="0"/>
    <n v="256779413391"/>
    <x v="6"/>
    <n v="5.07"/>
    <n v="432.85"/>
    <s v="C: ASCENDAS27 P: A023951 I 256779413391"/>
    <s v="20/06/2025"/>
    <s v="USD"/>
    <d v="2025-09-01T00:00:00"/>
    <n v="1"/>
    <s v="30/09/2025"/>
    <n v="230"/>
    <s v="IN89"/>
  </r>
  <r>
    <x v="0"/>
    <n v="256779413392"/>
    <x v="6"/>
    <n v="4.3600000000000003"/>
    <n v="372.23"/>
    <s v="C: ASCENDAS27 P: A023951 I 256779413392"/>
    <s v="20/06/2025"/>
    <s v="USD"/>
    <d v="2025-09-01T00:00:00"/>
    <n v="1"/>
    <s v="30/09/2025"/>
    <n v="230"/>
    <s v="IN89"/>
  </r>
  <r>
    <x v="0"/>
    <n v="256779413391"/>
    <x v="6"/>
    <n v="0"/>
    <n v="-815.41"/>
    <s v="C: ASCENDAS27 P: Matching"/>
    <s v="20/06/2025"/>
    <s v="USD"/>
    <d v="2025-09-01T00:00:00"/>
    <n v="64"/>
    <s v="30/09/2025"/>
    <n v="271"/>
    <s v="IN89"/>
  </r>
  <r>
    <x v="0"/>
    <n v="256779413392"/>
    <x v="6"/>
    <n v="0"/>
    <n v="-702.37"/>
    <s v="C: ASCENDAS27 P: Matching"/>
    <s v="20/06/2025"/>
    <s v="USD"/>
    <d v="2025-09-01T00:00:00"/>
    <n v="70"/>
    <s v="30/09/2025"/>
    <n v="271"/>
    <s v="IN89"/>
  </r>
  <r>
    <x v="0"/>
    <n v="256779412184"/>
    <x v="7"/>
    <n v="-93.23"/>
    <n v="-7992.33"/>
    <m/>
    <s v="21/05/2025"/>
    <s v="USD"/>
    <d v="2025-06-01T00:00:00"/>
    <n v="1"/>
    <s v="30/06/2025"/>
    <n v="210"/>
    <s v="IN89"/>
  </r>
  <r>
    <x v="0"/>
    <n v="256779412185"/>
    <x v="7"/>
    <n v="-51.28"/>
    <n v="-4396.08"/>
    <m/>
    <s v="21/05/2025"/>
    <s v="USD"/>
    <d v="2025-06-01T00:00:00"/>
    <n v="1"/>
    <s v="30/06/2025"/>
    <n v="210"/>
    <s v="IN89"/>
  </r>
  <r>
    <x v="0"/>
    <n v="256779412189"/>
    <x v="7"/>
    <n v="0"/>
    <n v="-262.20999999999998"/>
    <m/>
    <s v="21/05/2025"/>
    <s v="INR"/>
    <d v="2025-06-01T00:00:00"/>
    <n v="1"/>
    <s v="30/06/2025"/>
    <n v="210"/>
    <s v="IN89"/>
  </r>
  <r>
    <x v="0"/>
    <n v="256779412155"/>
    <x v="7"/>
    <n v="-2330.73"/>
    <n v="-199806.42"/>
    <m/>
    <s v="21/05/2025"/>
    <s v="USD"/>
    <d v="2025-06-01T00:00:00"/>
    <n v="1"/>
    <s v="30/06/2025"/>
    <n v="210"/>
    <s v="IN89"/>
  </r>
  <r>
    <x v="0"/>
    <n v="256779412189"/>
    <x v="7"/>
    <n v="0"/>
    <n v="6"/>
    <s v="C: ASCENDAS27 P: A023951 I 256779412189"/>
    <s v="21/05/2025"/>
    <s v="INR"/>
    <d v="2025-06-01T00:00:00"/>
    <n v="1"/>
    <s v="30/06/2025"/>
    <n v="230"/>
    <s v="IN89"/>
  </r>
  <r>
    <x v="0"/>
    <n v="256779412185"/>
    <x v="7"/>
    <n v="1.03"/>
    <n v="88.3"/>
    <s v="C: ASCENDAS27 P: A023951 I 256779412185"/>
    <s v="21/05/2025"/>
    <s v="USD"/>
    <d v="2025-06-01T00:00:00"/>
    <n v="1"/>
    <s v="30/06/2025"/>
    <n v="230"/>
    <s v="IN89"/>
  </r>
  <r>
    <x v="0"/>
    <n v="256779412184"/>
    <x v="7"/>
    <n v="1.86"/>
    <n v="159.44999999999999"/>
    <s v="C: ASCENDAS27 P: A023951 I 256779412184"/>
    <s v="21/05/2025"/>
    <s v="USD"/>
    <d v="2025-06-01T00:00:00"/>
    <n v="1"/>
    <s v="30/06/2025"/>
    <n v="230"/>
    <s v="IN89"/>
  </r>
  <r>
    <x v="0"/>
    <n v="256779412155"/>
    <x v="7"/>
    <n v="46.61"/>
    <n v="3995.73"/>
    <s v="C: ASCENDAS27 P: A023951 I 256779412155"/>
    <s v="21/05/2025"/>
    <s v="USD"/>
    <d v="2025-06-01T00:00:00"/>
    <n v="1"/>
    <s v="30/06/2025"/>
    <n v="230"/>
    <s v="IN89"/>
  </r>
  <r>
    <x v="0"/>
    <n v="256779412184"/>
    <x v="7"/>
    <n v="0"/>
    <n v="-23.98"/>
    <s v="C: ASCENDAS27 P: Matching"/>
    <s v="21/05/2025"/>
    <s v="USD"/>
    <d v="2025-06-01T00:00:00"/>
    <n v="42"/>
    <s v="30/06/2025"/>
    <n v="271"/>
    <s v="IN89"/>
  </r>
  <r>
    <x v="0"/>
    <n v="256779412185"/>
    <x v="7"/>
    <n v="0"/>
    <n v="-13.19"/>
    <s v="C: ASCENDAS27 P: Matching"/>
    <s v="21/05/2025"/>
    <s v="USD"/>
    <d v="2025-06-01T00:00:00"/>
    <n v="46"/>
    <s v="30/06/2025"/>
    <n v="271"/>
    <s v="IN89"/>
  </r>
  <r>
    <x v="0"/>
    <n v="256779412155"/>
    <x v="7"/>
    <n v="0"/>
    <n v="-599.66999999999996"/>
    <s v="C: ASCENDAS27 P: Matching"/>
    <s v="21/05/2025"/>
    <s v="USD"/>
    <d v="2025-06-01T00:00:00"/>
    <n v="84"/>
    <s v="30/06/2025"/>
    <n v="271"/>
    <s v="IN89"/>
  </r>
  <r>
    <x v="0"/>
    <n v="256779419542"/>
    <x v="8"/>
    <n v="-409.4"/>
    <n v="-36130.6"/>
    <s v="USD CURRENCY- NO EXCHANGE RATE PROVIDED"/>
    <s v="20/12/2025"/>
    <s v="USD"/>
    <d v="2025-12-01T00:00:00"/>
    <n v="1"/>
    <s v="15/12/2025"/>
    <n v="210"/>
    <s v="IN89"/>
  </r>
  <r>
    <x v="0"/>
    <n v="256779419542"/>
    <x v="8"/>
    <n v="8.19"/>
    <n v="722.79"/>
    <s v="C: ASCENDAS27 P: A023951 I 256779419542"/>
    <s v="20/12/2025"/>
    <s v="USD"/>
    <d v="2025-12-01T00:00:00"/>
    <n v="1"/>
    <s v="15/12/2025"/>
    <n v="230"/>
    <s v="IN89"/>
  </r>
  <r>
    <x v="0"/>
    <n v="256779419531"/>
    <x v="8"/>
    <n v="-417.77"/>
    <n v="-36869.279999999999"/>
    <s v="USD CURRENCY"/>
    <s v="20/12/2025"/>
    <s v="USD"/>
    <d v="2026-01-01T00:00:00"/>
    <n v="1"/>
    <s v="27/01/2026"/>
    <n v="210"/>
    <s v="IN89"/>
  </r>
  <r>
    <x v="0"/>
    <n v="256779419620"/>
    <x v="8"/>
    <n v="-102.39"/>
    <n v="-9036.18"/>
    <s v="USD CURRENCY"/>
    <s v="20/12/2025"/>
    <s v="USD"/>
    <d v="2026-01-01T00:00:00"/>
    <n v="1"/>
    <s v="27/01/2026"/>
    <n v="210"/>
    <s v="IN89"/>
  </r>
  <r>
    <x v="0"/>
    <n v="256779419620"/>
    <x v="8"/>
    <n v="2.0499999999999998"/>
    <n v="180.92"/>
    <s v="C: ASCENDAS27 P: A023951 I 256779419620"/>
    <s v="20/12/2025"/>
    <s v="USD"/>
    <d v="2026-01-01T00:00:00"/>
    <n v="1"/>
    <s v="27/01/2026"/>
    <n v="230"/>
    <s v="IN89"/>
  </r>
  <r>
    <x v="0"/>
    <n v="256779419531"/>
    <x v="8"/>
    <n v="8.36"/>
    <n v="737.79"/>
    <s v="C: ASCENDAS27 P: A023951 I 256779419531"/>
    <s v="20/12/2025"/>
    <s v="USD"/>
    <d v="2026-01-01T00:00:00"/>
    <n v="1"/>
    <s v="27/01/2026"/>
    <n v="230"/>
    <s v="IN89"/>
  </r>
  <r>
    <x v="0"/>
    <n v="256779418653"/>
    <x v="9"/>
    <n v="-170.68"/>
    <n v="-15132.4"/>
    <s v="USD CURRENCY"/>
    <s v="19/11/2025"/>
    <s v="USD"/>
    <d v="2026-01-01T00:00:00"/>
    <n v="1"/>
    <s v="28/01/2026"/>
    <n v="210"/>
    <s v="IN89"/>
  </r>
  <r>
    <x v="0"/>
    <n v="256779418653"/>
    <x v="9"/>
    <n v="3.41"/>
    <n v="302.33"/>
    <s v="C: ASCENDAS27 P: A023951 I 256779418653"/>
    <s v="19/11/2025"/>
    <s v="USD"/>
    <d v="2026-01-01T00:00:00"/>
    <n v="1"/>
    <s v="28/01/2026"/>
    <n v="230"/>
    <s v="IN89"/>
  </r>
  <r>
    <x v="0"/>
    <n v="256779418653"/>
    <x v="9"/>
    <n v="0"/>
    <n v="-166.44"/>
    <s v="C: ASCENDAS27 P: Matching"/>
    <s v="19/11/2025"/>
    <s v="USD"/>
    <d v="2026-01-01T00:00:00"/>
    <n v="90"/>
    <s v="31/01/2026"/>
    <n v="271"/>
    <s v="IN89"/>
  </r>
  <r>
    <x v="0"/>
    <n v="256779418653"/>
    <x v="9"/>
    <n v="0"/>
    <n v="-330.56"/>
    <s v="C: ASCENDAS27 P: Matching"/>
    <s v="19/11/2025"/>
    <s v="USD"/>
    <d v="2026-01-01T00:00:00"/>
    <n v="92"/>
    <s v="31/01/2026"/>
    <n v="271"/>
    <s v="IN89"/>
  </r>
  <r>
    <x v="0"/>
    <n v="256779416869"/>
    <x v="10"/>
    <n v="-115.98"/>
    <n v="-10047.450000000001"/>
    <s v="USD CURRENCY"/>
    <s v="19/09/2025"/>
    <s v="USD"/>
    <d v="2026-01-01T00:00:00"/>
    <n v="1"/>
    <s v="28/01/2026"/>
    <n v="210"/>
    <s v="IN89"/>
  </r>
  <r>
    <x v="0"/>
    <n v="256779416838"/>
    <x v="10"/>
    <n v="-685.03"/>
    <n v="-59344.77"/>
    <s v="USD CURRENCY"/>
    <s v="19/09/2025"/>
    <s v="USD"/>
    <d v="2026-01-01T00:00:00"/>
    <n v="1"/>
    <s v="28/01/2026"/>
    <n v="210"/>
    <s v="IN89"/>
  </r>
  <r>
    <x v="0"/>
    <n v="256779416838"/>
    <x v="10"/>
    <n v="13.7"/>
    <n v="1186.8399999999999"/>
    <s v="C: ASCENDAS27 P: A023951 I 256779416838"/>
    <s v="19/09/2025"/>
    <s v="USD"/>
    <d v="2026-01-01T00:00:00"/>
    <n v="1"/>
    <s v="28/01/2026"/>
    <n v="230"/>
    <s v="IN89"/>
  </r>
  <r>
    <x v="0"/>
    <n v="256779416869"/>
    <x v="10"/>
    <n v="2.3199999999999998"/>
    <n v="200.98"/>
    <s v="C: ASCENDAS27 P: A023951 I 256779416869"/>
    <s v="19/09/2025"/>
    <s v="USD"/>
    <d v="2026-01-01T00:00:00"/>
    <n v="1"/>
    <s v="28/01/2026"/>
    <n v="230"/>
    <s v="IN89"/>
  </r>
  <r>
    <x v="0"/>
    <n v="256779416869"/>
    <x v="10"/>
    <n v="0"/>
    <n v="-568.28"/>
    <s v="C: ASCENDAS27 P: Matching"/>
    <s v="19/09/2025"/>
    <s v="USD"/>
    <d v="2026-01-01T00:00:00"/>
    <n v="84"/>
    <s v="31/01/2026"/>
    <n v="271"/>
    <s v="IN89"/>
  </r>
  <r>
    <x v="0"/>
    <n v="256779416838"/>
    <x v="10"/>
    <n v="0"/>
    <n v="-3356.53"/>
    <s v="C: ASCENDAS27 P: Matching"/>
    <s v="19/09/2025"/>
    <s v="USD"/>
    <d v="2026-01-01T00:00:00"/>
    <n v="88"/>
    <s v="31/01/2026"/>
    <n v="271"/>
    <s v="IN89"/>
  </r>
  <r>
    <x v="0"/>
    <n v="246779414663"/>
    <x v="11"/>
    <n v="-45"/>
    <n v="-3916.91"/>
    <m/>
    <s v="19/04/2025"/>
    <s v="USD"/>
    <d v="2025-06-01T00:00:00"/>
    <n v="1"/>
    <d v="2025-12-06T00:00:00"/>
    <n v="210"/>
    <s v="IN89"/>
  </r>
  <r>
    <x v="0"/>
    <n v="246779414662"/>
    <x v="11"/>
    <n v="-275"/>
    <n v="-23936.66"/>
    <m/>
    <s v="19/04/2025"/>
    <s v="USD"/>
    <d v="2025-06-01T00:00:00"/>
    <n v="1"/>
    <d v="2025-12-06T00:00:00"/>
    <n v="210"/>
    <s v="IN89"/>
  </r>
  <r>
    <x v="0"/>
    <n v="246779414385"/>
    <x v="11"/>
    <n v="-240"/>
    <n v="-20890.18"/>
    <m/>
    <s v="19/04/2025"/>
    <s v="USD"/>
    <d v="2025-06-01T00:00:00"/>
    <n v="1"/>
    <d v="2025-12-06T00:00:00"/>
    <n v="210"/>
    <s v="IN89"/>
  </r>
  <r>
    <x v="0"/>
    <n v="246779414663"/>
    <x v="11"/>
    <n v="0.9"/>
    <n v="78.34"/>
    <s v="C: ASCENDAS27 P: A023951 I 246779414663"/>
    <s v="19/04/2025"/>
    <s v="USD"/>
    <d v="2025-06-01T00:00:00"/>
    <n v="1"/>
    <d v="2025-12-06T00:00:00"/>
    <n v="230"/>
    <s v="IN89"/>
  </r>
  <r>
    <x v="0"/>
    <n v="246779414662"/>
    <x v="11"/>
    <n v="5.5"/>
    <n v="478.73"/>
    <s v="C: ASCENDAS27 P: A023951 I 246779414662"/>
    <s v="19/04/2025"/>
    <s v="USD"/>
    <d v="2025-06-01T00:00:00"/>
    <n v="1"/>
    <d v="2025-12-06T00:00:00"/>
    <n v="230"/>
    <s v="IN89"/>
  </r>
  <r>
    <x v="0"/>
    <n v="246779414385"/>
    <x v="11"/>
    <n v="4.8"/>
    <n v="417.8"/>
    <s v="C: ASCENDAS27 P: A023951 I 246779414385"/>
    <s v="19/04/2025"/>
    <s v="USD"/>
    <d v="2025-06-01T00:00:00"/>
    <n v="1"/>
    <d v="2025-12-06T00:00:00"/>
    <n v="230"/>
    <s v="IN89"/>
  </r>
  <r>
    <x v="0"/>
    <n v="246779413730"/>
    <x v="11"/>
    <n v="-3.2"/>
    <n v="-278.54000000000002"/>
    <m/>
    <s v="19/04/2025"/>
    <s v="USD"/>
    <d v="2025-06-01T00:00:00"/>
    <n v="1"/>
    <d v="2025-12-06T00:00:00"/>
    <n v="210"/>
    <s v="IN89"/>
  </r>
  <r>
    <x v="0"/>
    <n v="246779413730"/>
    <x v="11"/>
    <n v="0.06"/>
    <n v="5.22"/>
    <s v="C: ASCENDAS27 P: A023951 I 246779413730"/>
    <s v="19/04/2025"/>
    <s v="USD"/>
    <d v="2025-06-01T00:00:00"/>
    <n v="1"/>
    <d v="2025-12-06T00:00:00"/>
    <n v="230"/>
    <s v="IN89"/>
  </r>
  <r>
    <x v="0"/>
    <n v="246779413936"/>
    <x v="11"/>
    <n v="-27.5"/>
    <n v="-2393.67"/>
    <m/>
    <s v="19/04/2025"/>
    <s v="USD"/>
    <d v="2025-06-01T00:00:00"/>
    <n v="1"/>
    <s v="30/06/2025"/>
    <n v="210"/>
    <s v="IN89"/>
  </r>
  <r>
    <x v="0"/>
    <n v="246779413889"/>
    <x v="11"/>
    <n v="-42.5"/>
    <n v="-3699.3"/>
    <m/>
    <s v="19/04/2025"/>
    <s v="USD"/>
    <d v="2025-06-01T00:00:00"/>
    <n v="1"/>
    <s v="30/06/2025"/>
    <n v="210"/>
    <s v="IN89"/>
  </r>
  <r>
    <x v="0"/>
    <n v="246779413920"/>
    <x v="11"/>
    <n v="-22.5"/>
    <n v="-1958.45"/>
    <m/>
    <s v="19/04/2025"/>
    <s v="USD"/>
    <d v="2025-06-01T00:00:00"/>
    <n v="1"/>
    <s v="30/06/2025"/>
    <n v="210"/>
    <s v="IN89"/>
  </r>
  <r>
    <x v="0"/>
    <n v="246779413941"/>
    <x v="11"/>
    <n v="-30"/>
    <n v="-2611.27"/>
    <m/>
    <s v="19/04/2025"/>
    <s v="USD"/>
    <d v="2025-06-01T00:00:00"/>
    <n v="1"/>
    <s v="30/06/2025"/>
    <n v="210"/>
    <s v="IN89"/>
  </r>
  <r>
    <x v="0"/>
    <n v="246779413815"/>
    <x v="11"/>
    <n v="-50"/>
    <n v="-4352.12"/>
    <m/>
    <s v="19/04/2025"/>
    <s v="USD"/>
    <d v="2025-06-01T00:00:00"/>
    <n v="1"/>
    <s v="30/06/2025"/>
    <n v="210"/>
    <s v="IN89"/>
  </r>
  <r>
    <x v="0"/>
    <n v="246779414384"/>
    <x v="11"/>
    <n v="-182.5"/>
    <n v="-15885.24"/>
    <m/>
    <s v="19/04/2025"/>
    <s v="USD"/>
    <d v="2025-06-01T00:00:00"/>
    <n v="1"/>
    <s v="30/06/2025"/>
    <n v="210"/>
    <s v="IN89"/>
  </r>
  <r>
    <x v="0"/>
    <n v="246779413815"/>
    <x v="11"/>
    <n v="1"/>
    <n v="87.04"/>
    <s v="C: ASCENDAS27 P: A023951 I 246779413815"/>
    <s v="19/04/2025"/>
    <s v="USD"/>
    <d v="2025-06-01T00:00:00"/>
    <n v="1"/>
    <s v="30/06/2025"/>
    <n v="230"/>
    <s v="IN89"/>
  </r>
  <r>
    <x v="0"/>
    <n v="246779413936"/>
    <x v="11"/>
    <n v="0.55000000000000004"/>
    <n v="47.87"/>
    <s v="C: ASCENDAS27 P: A023951 I 246779413936"/>
    <s v="19/04/2025"/>
    <s v="USD"/>
    <d v="2025-06-01T00:00:00"/>
    <n v="1"/>
    <s v="30/06/2025"/>
    <n v="230"/>
    <s v="IN89"/>
  </r>
  <r>
    <x v="0"/>
    <n v="246779414384"/>
    <x v="11"/>
    <n v="3.65"/>
    <n v="317.7"/>
    <s v="C: ASCENDAS27 P: A023951 I 246779414384"/>
    <s v="19/04/2025"/>
    <s v="USD"/>
    <d v="2025-06-01T00:00:00"/>
    <n v="1"/>
    <s v="30/06/2025"/>
    <n v="230"/>
    <s v="IN89"/>
  </r>
  <r>
    <x v="0"/>
    <n v="246779413889"/>
    <x v="11"/>
    <n v="0.85"/>
    <n v="73.989999999999995"/>
    <s v="C: ASCENDAS27 P: A023951 I 246779413889"/>
    <s v="19/04/2025"/>
    <s v="USD"/>
    <d v="2025-06-01T00:00:00"/>
    <n v="1"/>
    <s v="30/06/2025"/>
    <n v="230"/>
    <s v="IN89"/>
  </r>
  <r>
    <x v="0"/>
    <n v="246779413920"/>
    <x v="11"/>
    <n v="0.45"/>
    <n v="39.17"/>
    <s v="C: ASCENDAS27 P: A023951 I 246779413920"/>
    <s v="19/04/2025"/>
    <s v="USD"/>
    <d v="2025-06-01T00:00:00"/>
    <n v="1"/>
    <s v="30/06/2025"/>
    <n v="230"/>
    <s v="IN89"/>
  </r>
  <r>
    <x v="0"/>
    <n v="246779413941"/>
    <x v="11"/>
    <n v="0.6"/>
    <n v="52.23"/>
    <s v="C: ASCENDAS27 P: A023951 I 246779413941"/>
    <s v="19/04/2025"/>
    <s v="USD"/>
    <d v="2025-06-01T00:00:00"/>
    <n v="1"/>
    <s v="30/06/2025"/>
    <n v="230"/>
    <s v="IN89"/>
  </r>
  <r>
    <x v="0"/>
    <n v="246779413936"/>
    <x v="11"/>
    <n v="0"/>
    <n v="28.38"/>
    <s v="C: ASCENDAS27 P: Matching"/>
    <s v="19/04/2025"/>
    <s v="USD"/>
    <d v="2025-06-01T00:00:00"/>
    <n v="10"/>
    <s v="30/06/2025"/>
    <n v="271"/>
    <s v="IN89"/>
  </r>
  <r>
    <x v="0"/>
    <n v="246779413889"/>
    <x v="11"/>
    <n v="0"/>
    <n v="43.85"/>
    <s v="C: ASCENDAS27 P: Matching"/>
    <s v="19/04/2025"/>
    <s v="USD"/>
    <d v="2025-06-01T00:00:00"/>
    <n v="28"/>
    <s v="30/06/2025"/>
    <n v="271"/>
    <s v="IN89"/>
  </r>
  <r>
    <x v="0"/>
    <n v="246779413920"/>
    <x v="11"/>
    <n v="0"/>
    <n v="23.21"/>
    <s v="C: ASCENDAS27 P: Matching"/>
    <s v="19/04/2025"/>
    <s v="USD"/>
    <d v="2025-06-01T00:00:00"/>
    <n v="32"/>
    <s v="30/06/2025"/>
    <n v="271"/>
    <s v="IN89"/>
  </r>
  <r>
    <x v="0"/>
    <n v="246779413941"/>
    <x v="11"/>
    <n v="0"/>
    <n v="30.95"/>
    <s v="C: ASCENDAS27 P: Matching"/>
    <s v="19/04/2025"/>
    <s v="USD"/>
    <d v="2025-06-01T00:00:00"/>
    <n v="36"/>
    <s v="30/06/2025"/>
    <n v="271"/>
    <s v="IN89"/>
  </r>
  <r>
    <x v="0"/>
    <n v="246779413815"/>
    <x v="11"/>
    <n v="0"/>
    <n v="51.59"/>
    <s v="C: ASCENDAS27 P: Matching"/>
    <s v="19/04/2025"/>
    <s v="USD"/>
    <d v="2025-06-01T00:00:00"/>
    <n v="58"/>
    <s v="30/06/2025"/>
    <n v="271"/>
    <s v="IN89"/>
  </r>
  <r>
    <x v="0"/>
    <n v="246779414384"/>
    <x v="11"/>
    <n v="0"/>
    <n v="188.32"/>
    <s v="C: ASCENDAS27 P: Matching"/>
    <s v="19/04/2025"/>
    <s v="USD"/>
    <d v="2025-06-01T00:00:00"/>
    <n v="88"/>
    <s v="30/06/2025"/>
    <n v="271"/>
    <s v="IN89"/>
  </r>
  <r>
    <x v="0"/>
    <n v="246779413747"/>
    <x v="11"/>
    <n v="-2.74"/>
    <n v="-238.5"/>
    <m/>
    <s v="19/04/2025"/>
    <s v="USD"/>
    <d v="2025-09-01T00:00:00"/>
    <n v="1"/>
    <s v="30/09/2025"/>
    <n v="210"/>
    <s v="IN89"/>
  </r>
  <r>
    <x v="0"/>
    <n v="246779413747"/>
    <x v="11"/>
    <n v="0.05"/>
    <n v="4.3499999999999996"/>
    <s v="C: ASCENDAS27 P: A023951 I 246779413747"/>
    <s v="19/04/2025"/>
    <s v="USD"/>
    <d v="2025-09-01T00:00:00"/>
    <n v="1"/>
    <s v="30/09/2025"/>
    <n v="230"/>
    <s v="IN89"/>
  </r>
  <r>
    <x v="0"/>
    <n v="246779413747"/>
    <x v="11"/>
    <n v="0"/>
    <n v="-4.34"/>
    <s v="C: ASCENDAS27 P: Matching"/>
    <s v="19/04/2025"/>
    <s v="USD"/>
    <d v="2025-09-01T00:00:00"/>
    <n v="58"/>
    <s v="30/09/2025"/>
    <n v="271"/>
    <s v="IN89"/>
  </r>
  <r>
    <x v="0"/>
    <n v="246779410315"/>
    <x v="12"/>
    <n v="-2380.9499999999998"/>
    <n v="-207243.64"/>
    <m/>
    <s v="22/03/2025"/>
    <s v="USD"/>
    <d v="2025-06-01T00:00:00"/>
    <n v="1"/>
    <d v="2025-12-06T00:00:00"/>
    <n v="210"/>
    <s v="IN89"/>
  </r>
  <r>
    <x v="0"/>
    <n v="246779410098"/>
    <x v="12"/>
    <n v="-2380.9499999999998"/>
    <n v="-206046.42"/>
    <m/>
    <s v="22/03/2025"/>
    <s v="USD"/>
    <d v="2025-06-01T00:00:00"/>
    <n v="1"/>
    <d v="2025-12-06T00:00:00"/>
    <n v="210"/>
    <s v="IN89"/>
  </r>
  <r>
    <x v="0"/>
    <n v="246779410132"/>
    <x v="12"/>
    <n v="-52.38"/>
    <n v="-4532.9399999999996"/>
    <m/>
    <s v="22/03/2025"/>
    <s v="USD"/>
    <d v="2025-06-01T00:00:00"/>
    <n v="1"/>
    <d v="2025-12-06T00:00:00"/>
    <n v="210"/>
    <s v="IN89"/>
  </r>
  <r>
    <x v="0"/>
    <n v="246779410131"/>
    <x v="12"/>
    <n v="-95.24"/>
    <n v="-8242.0300000000007"/>
    <m/>
    <s v="22/03/2025"/>
    <s v="USD"/>
    <d v="2025-06-01T00:00:00"/>
    <n v="1"/>
    <d v="2025-12-06T00:00:00"/>
    <n v="210"/>
    <s v="IN89"/>
  </r>
  <r>
    <x v="0"/>
    <n v="246779410312"/>
    <x v="12"/>
    <n v="-52.38"/>
    <n v="-4559.28"/>
    <m/>
    <s v="22/03/2025"/>
    <s v="USD"/>
    <d v="2025-06-01T00:00:00"/>
    <n v="1"/>
    <d v="2025-12-06T00:00:00"/>
    <n v="210"/>
    <s v="IN89"/>
  </r>
  <r>
    <x v="0"/>
    <n v="246779410132"/>
    <x v="12"/>
    <n v="1.05"/>
    <n v="90.87"/>
    <s v="C: ASCENDAS27 P: A023951 I 246779410132"/>
    <s v="22/03/2025"/>
    <s v="USD"/>
    <d v="2025-06-01T00:00:00"/>
    <n v="1"/>
    <d v="2025-12-06T00:00:00"/>
    <n v="230"/>
    <s v="IN89"/>
  </r>
  <r>
    <x v="0"/>
    <n v="246779410098"/>
    <x v="12"/>
    <n v="47.62"/>
    <n v="4121.01"/>
    <s v="C: ASCENDAS27 P: A023951 I 246779410098"/>
    <s v="22/03/2025"/>
    <s v="USD"/>
    <d v="2025-06-01T00:00:00"/>
    <n v="1"/>
    <d v="2025-12-06T00:00:00"/>
    <n v="230"/>
    <s v="IN89"/>
  </r>
  <r>
    <x v="0"/>
    <n v="246779410131"/>
    <x v="12"/>
    <n v="1.9"/>
    <n v="164.43"/>
    <s v="C: ASCENDAS27 P: A023951 I 246779410131"/>
    <s v="22/03/2025"/>
    <s v="USD"/>
    <d v="2025-06-01T00:00:00"/>
    <n v="1"/>
    <d v="2025-12-06T00:00:00"/>
    <n v="230"/>
    <s v="IN89"/>
  </r>
  <r>
    <x v="0"/>
    <n v="246779410315"/>
    <x v="12"/>
    <n v="47.62"/>
    <n v="4144.96"/>
    <s v="C: ASCENDAS27 P: A023951 I 246779410315"/>
    <s v="22/03/2025"/>
    <s v="USD"/>
    <d v="2025-06-01T00:00:00"/>
    <n v="1"/>
    <d v="2025-12-06T00:00:00"/>
    <n v="230"/>
    <s v="IN89"/>
  </r>
  <r>
    <x v="0"/>
    <n v="246779410312"/>
    <x v="12"/>
    <n v="1.05"/>
    <n v="91.39"/>
    <s v="C: ASCENDAS27 P: A023951 I 246779410312"/>
    <s v="22/03/2025"/>
    <s v="USD"/>
    <d v="2025-06-01T00:00:00"/>
    <n v="1"/>
    <d v="2025-12-06T00:00:00"/>
    <n v="230"/>
    <s v="IN89"/>
  </r>
  <r>
    <x v="0"/>
    <n v="246779410175"/>
    <x v="12"/>
    <n v="-52.38"/>
    <n v="-4532.9399999999996"/>
    <m/>
    <s v="22/03/2025"/>
    <s v="USD"/>
    <d v="2025-06-01T00:00:00"/>
    <n v="1"/>
    <d v="2025-12-06T00:00:00"/>
    <n v="210"/>
    <s v="IN89"/>
  </r>
  <r>
    <x v="0"/>
    <n v="246779410141"/>
    <x v="12"/>
    <n v="-2380.9499999999998"/>
    <n v="-206046.42"/>
    <m/>
    <s v="22/03/2025"/>
    <s v="USD"/>
    <d v="2025-06-01T00:00:00"/>
    <n v="1"/>
    <d v="2025-12-06T00:00:00"/>
    <n v="210"/>
    <s v="IN89"/>
  </r>
  <r>
    <x v="0"/>
    <n v="246779410217"/>
    <x v="12"/>
    <n v="-93.33"/>
    <n v="-8076.74"/>
    <s v="NO EXCHANGE RATE"/>
    <s v="22/03/2025"/>
    <s v="USD"/>
    <d v="2025-06-01T00:00:00"/>
    <n v="1"/>
    <d v="2025-12-06T00:00:00"/>
    <n v="210"/>
    <s v="IN89"/>
  </r>
  <r>
    <x v="0"/>
    <n v="246779410218"/>
    <x v="12"/>
    <n v="-51.33"/>
    <n v="-4442.08"/>
    <m/>
    <s v="22/03/2025"/>
    <s v="USD"/>
    <d v="2025-06-01T00:00:00"/>
    <n v="1"/>
    <d v="2025-12-06T00:00:00"/>
    <n v="210"/>
    <s v="IN89"/>
  </r>
  <r>
    <x v="0"/>
    <n v="246779410174"/>
    <x v="12"/>
    <n v="-95.24"/>
    <n v="-8242.0300000000007"/>
    <m/>
    <s v="22/03/2025"/>
    <s v="USD"/>
    <d v="2025-06-01T00:00:00"/>
    <n v="1"/>
    <d v="2025-12-06T00:00:00"/>
    <n v="210"/>
    <s v="IN89"/>
  </r>
  <r>
    <x v="0"/>
    <n v="246779410184"/>
    <x v="12"/>
    <n v="-2333.1799999999998"/>
    <n v="-201912.42"/>
    <s v="NO EXCHANGE RATE"/>
    <s v="22/03/2025"/>
    <s v="USD"/>
    <d v="2025-06-01T00:00:00"/>
    <n v="1"/>
    <d v="2025-12-06T00:00:00"/>
    <n v="210"/>
    <s v="IN89"/>
  </r>
  <r>
    <x v="0"/>
    <n v="246779410218"/>
    <x v="12"/>
    <n v="1.03"/>
    <n v="89.14"/>
    <s v="C: ASCENDAS27 P: A023951 I 246779410218"/>
    <s v="22/03/2025"/>
    <s v="USD"/>
    <d v="2025-06-01T00:00:00"/>
    <n v="1"/>
    <d v="2025-12-06T00:00:00"/>
    <n v="230"/>
    <s v="IN89"/>
  </r>
  <r>
    <x v="0"/>
    <n v="246779410175"/>
    <x v="12"/>
    <n v="1.05"/>
    <n v="90.87"/>
    <s v="C: ASCENDAS27 P: A023951 I 246779410175"/>
    <s v="22/03/2025"/>
    <s v="USD"/>
    <d v="2025-06-01T00:00:00"/>
    <n v="1"/>
    <d v="2025-12-06T00:00:00"/>
    <n v="230"/>
    <s v="IN89"/>
  </r>
  <r>
    <x v="0"/>
    <n v="246779410141"/>
    <x v="12"/>
    <n v="47.62"/>
    <n v="4121.01"/>
    <s v="C: ASCENDAS27 P: A023951 I 246779410141"/>
    <s v="22/03/2025"/>
    <s v="USD"/>
    <d v="2025-06-01T00:00:00"/>
    <n v="1"/>
    <d v="2025-12-06T00:00:00"/>
    <n v="230"/>
    <s v="IN89"/>
  </r>
  <r>
    <x v="0"/>
    <n v="246779410184"/>
    <x v="12"/>
    <n v="46.66"/>
    <n v="4037.94"/>
    <s v="C: ASCENDAS27 P: A023951 I 246779410184"/>
    <s v="22/03/2025"/>
    <s v="USD"/>
    <d v="2025-06-01T00:00:00"/>
    <n v="1"/>
    <d v="2025-12-06T00:00:00"/>
    <n v="230"/>
    <s v="IN89"/>
  </r>
  <r>
    <x v="0"/>
    <n v="246779410217"/>
    <x v="12"/>
    <n v="1.87"/>
    <n v="161.83000000000001"/>
    <s v="C: ASCENDAS27 P: A023951 I 246779410217"/>
    <s v="22/03/2025"/>
    <s v="USD"/>
    <d v="2025-06-01T00:00:00"/>
    <n v="1"/>
    <d v="2025-12-06T00:00:00"/>
    <n v="230"/>
    <s v="IN89"/>
  </r>
  <r>
    <x v="0"/>
    <n v="246779410174"/>
    <x v="12"/>
    <n v="1.9"/>
    <n v="164.43"/>
    <s v="C: ASCENDAS27 P: A023951 I 246779410174"/>
    <s v="22/03/2025"/>
    <s v="USD"/>
    <d v="2025-06-01T00:00:00"/>
    <n v="1"/>
    <d v="2025-12-06T00:00:00"/>
    <n v="230"/>
    <s v="IN89"/>
  </r>
  <r>
    <x v="0"/>
    <n v="246779410227"/>
    <x v="12"/>
    <n v="-2286.2399999999998"/>
    <n v="-197850.25"/>
    <m/>
    <s v="22/03/2025"/>
    <s v="USD"/>
    <d v="2025-06-01T00:00:00"/>
    <n v="1"/>
    <s v="26/06/2025"/>
    <n v="210"/>
    <s v="IN89"/>
  </r>
  <r>
    <x v="0"/>
    <n v="246779410227"/>
    <x v="12"/>
    <n v="45.72"/>
    <n v="3956.59"/>
    <s v="C: ASCENDAS27 P: A023951 I 246779410227"/>
    <s v="22/03/2025"/>
    <s v="USD"/>
    <d v="2025-06-01T00:00:00"/>
    <n v="1"/>
    <s v="26/06/2025"/>
    <n v="230"/>
    <s v="IN89"/>
  </r>
  <r>
    <x v="0"/>
    <n v="246779410260"/>
    <x v="12"/>
    <n v="-91.45"/>
    <n v="-7914.04"/>
    <m/>
    <s v="22/03/2025"/>
    <s v="USD"/>
    <d v="2025-06-01T00:00:00"/>
    <n v="1"/>
    <s v="30/06/2025"/>
    <n v="210"/>
    <s v="IN89"/>
  </r>
  <r>
    <x v="0"/>
    <n v="246779410080"/>
    <x v="12"/>
    <n v="-95.24"/>
    <n v="-8242.0300000000007"/>
    <m/>
    <s v="22/03/2025"/>
    <s v="USD"/>
    <d v="2025-06-01T00:00:00"/>
    <n v="1"/>
    <s v="30/06/2025"/>
    <n v="210"/>
    <s v="IN89"/>
  </r>
  <r>
    <x v="0"/>
    <n v="246779410064"/>
    <x v="12"/>
    <n v="-52.38"/>
    <n v="-4532.9399999999996"/>
    <m/>
    <s v="22/03/2025"/>
    <s v="USD"/>
    <d v="2025-06-01T00:00:00"/>
    <n v="1"/>
    <s v="30/06/2025"/>
    <n v="210"/>
    <s v="IN89"/>
  </r>
  <r>
    <x v="0"/>
    <n v="246779410010"/>
    <x v="12"/>
    <n v="-2380.9499999999998"/>
    <n v="-206046.42"/>
    <m/>
    <s v="22/03/2025"/>
    <s v="USD"/>
    <d v="2025-06-01T00:00:00"/>
    <n v="1"/>
    <s v="30/06/2025"/>
    <n v="210"/>
    <s v="IN89"/>
  </r>
  <r>
    <x v="0"/>
    <n v="246779410063"/>
    <x v="12"/>
    <n v="-95.24"/>
    <n v="-8242.0300000000007"/>
    <m/>
    <s v="22/03/2025"/>
    <s v="USD"/>
    <d v="2025-06-01T00:00:00"/>
    <n v="1"/>
    <s v="30/06/2025"/>
    <n v="210"/>
    <s v="IN89"/>
  </r>
  <r>
    <x v="0"/>
    <n v="246779410030"/>
    <x v="12"/>
    <n v="-2380.9499999999998"/>
    <n v="-206046.42"/>
    <m/>
    <s v="22/03/2025"/>
    <s v="USD"/>
    <d v="2025-06-01T00:00:00"/>
    <n v="1"/>
    <s v="30/06/2025"/>
    <n v="210"/>
    <s v="IN89"/>
  </r>
  <r>
    <x v="0"/>
    <n v="246779410261"/>
    <x v="12"/>
    <n v="-50.3"/>
    <n v="-4352.9399999999996"/>
    <m/>
    <s v="22/03/2025"/>
    <s v="USD"/>
    <d v="2025-06-01T00:00:00"/>
    <n v="1"/>
    <s v="30/06/2025"/>
    <n v="210"/>
    <s v="IN89"/>
  </r>
  <r>
    <x v="0"/>
    <n v="246779410064"/>
    <x v="12"/>
    <n v="1.05"/>
    <n v="90.87"/>
    <s v="C: ASCENDAS27 P: A023951 I 246779410064"/>
    <s v="22/03/2025"/>
    <s v="USD"/>
    <d v="2025-06-01T00:00:00"/>
    <n v="1"/>
    <s v="30/06/2025"/>
    <n v="230"/>
    <s v="IN89"/>
  </r>
  <r>
    <x v="0"/>
    <n v="246779410030"/>
    <x v="12"/>
    <n v="47.62"/>
    <n v="4121.01"/>
    <s v="C: ASCENDAS27 P: A023951 I 246779410030"/>
    <s v="22/03/2025"/>
    <s v="USD"/>
    <d v="2025-06-01T00:00:00"/>
    <n v="1"/>
    <s v="30/06/2025"/>
    <n v="230"/>
    <s v="IN89"/>
  </r>
  <r>
    <x v="0"/>
    <n v="246779410063"/>
    <x v="12"/>
    <n v="1.9"/>
    <n v="164.43"/>
    <s v="C: ASCENDAS27 P: A023951 I 246779410063"/>
    <s v="22/03/2025"/>
    <s v="USD"/>
    <d v="2025-06-01T00:00:00"/>
    <n v="1"/>
    <s v="30/06/2025"/>
    <n v="230"/>
    <s v="IN89"/>
  </r>
  <r>
    <x v="0"/>
    <n v="246779410260"/>
    <x v="12"/>
    <n v="1.83"/>
    <n v="158.37"/>
    <s v="C: ASCENDAS27 P: A023951 I 246779410260"/>
    <s v="22/03/2025"/>
    <s v="USD"/>
    <d v="2025-06-01T00:00:00"/>
    <n v="1"/>
    <s v="30/06/2025"/>
    <n v="230"/>
    <s v="IN89"/>
  </r>
  <r>
    <x v="0"/>
    <n v="246779410010"/>
    <x v="12"/>
    <n v="47.62"/>
    <n v="4121.01"/>
    <s v="C: ASCENDAS27 P: A023951 I 246779410010"/>
    <s v="22/03/2025"/>
    <s v="USD"/>
    <d v="2025-06-01T00:00:00"/>
    <n v="1"/>
    <s v="30/06/2025"/>
    <n v="230"/>
    <s v="IN89"/>
  </r>
  <r>
    <x v="0"/>
    <n v="246779410080"/>
    <x v="12"/>
    <n v="1.9"/>
    <n v="164.43"/>
    <s v="C: ASCENDAS27 P: A023951 I 246779410080"/>
    <s v="22/03/2025"/>
    <s v="USD"/>
    <d v="2025-06-01T00:00:00"/>
    <n v="1"/>
    <s v="30/06/2025"/>
    <n v="230"/>
    <s v="IN89"/>
  </r>
  <r>
    <x v="0"/>
    <n v="246779410261"/>
    <x v="12"/>
    <n v="1.01"/>
    <n v="87.4"/>
    <s v="C: ASCENDAS27 P: A023951 I 246779410261"/>
    <s v="22/03/2025"/>
    <s v="USD"/>
    <d v="2025-06-01T00:00:00"/>
    <n v="1"/>
    <s v="30/06/2025"/>
    <n v="230"/>
    <s v="IN89"/>
  </r>
  <r>
    <x v="0"/>
    <n v="246779410227"/>
    <x v="12"/>
    <n v="0"/>
    <n v="1232.44"/>
    <s v="C: ASCENDAS27 P: Matching"/>
    <s v="22/03/2025"/>
    <s v="USD"/>
    <d v="2025-06-01T00:00:00"/>
    <n v="2"/>
    <s v="30/06/2025"/>
    <n v="271"/>
    <s v="IN89"/>
  </r>
  <r>
    <x v="0"/>
    <n v="246779410260"/>
    <x v="12"/>
    <n v="0"/>
    <n v="49.29"/>
    <s v="C: ASCENDAS27 P: Matching"/>
    <s v="22/03/2025"/>
    <s v="USD"/>
    <d v="2025-06-01T00:00:00"/>
    <n v="8"/>
    <s v="30/06/2025"/>
    <n v="271"/>
    <s v="IN89"/>
  </r>
  <r>
    <x v="0"/>
    <n v="246779410080"/>
    <x v="12"/>
    <n v="0"/>
    <n v="51.34"/>
    <s v="C: ASCENDAS27 P: Matching"/>
    <s v="22/03/2025"/>
    <s v="USD"/>
    <d v="2025-06-01T00:00:00"/>
    <n v="76"/>
    <s v="30/06/2025"/>
    <n v="271"/>
    <s v="IN89"/>
  </r>
  <r>
    <x v="0"/>
    <n v="246779410064"/>
    <x v="12"/>
    <n v="0"/>
    <n v="28.23"/>
    <s v="C: ASCENDAS27 P: Matching"/>
    <s v="22/03/2025"/>
    <s v="USD"/>
    <d v="2025-06-01T00:00:00"/>
    <n v="80"/>
    <s v="30/06/2025"/>
    <n v="271"/>
    <s v="IN89"/>
  </r>
  <r>
    <x v="0"/>
    <n v="246779410010"/>
    <x v="12"/>
    <n v="0"/>
    <n v="1283.51"/>
    <s v="C: ASCENDAS27 P: Matching"/>
    <s v="22/03/2025"/>
    <s v="USD"/>
    <d v="2025-06-01T00:00:00"/>
    <n v="92"/>
    <s v="30/06/2025"/>
    <n v="271"/>
    <s v="IN89"/>
  </r>
  <r>
    <x v="0"/>
    <n v="246779410063"/>
    <x v="12"/>
    <n v="0"/>
    <n v="51.34"/>
    <s v="C: ASCENDAS27 P: Matching"/>
    <s v="22/03/2025"/>
    <s v="USD"/>
    <d v="2025-06-01T00:00:00"/>
    <n v="98"/>
    <s v="30/06/2025"/>
    <n v="271"/>
    <s v="IN89"/>
  </r>
  <r>
    <x v="0"/>
    <n v="246779410030"/>
    <x v="12"/>
    <n v="0"/>
    <n v="1283.51"/>
    <s v="C: ASCENDAS27 P: Matching"/>
    <s v="22/03/2025"/>
    <s v="USD"/>
    <d v="2025-06-01T00:00:00"/>
    <n v="100"/>
    <s v="30/06/2025"/>
    <n v="271"/>
    <s v="IN89"/>
  </r>
  <r>
    <x v="0"/>
    <n v="246779410261"/>
    <x v="12"/>
    <n v="0"/>
    <n v="27.12"/>
    <s v="C: ASCENDAS27 P: Matching"/>
    <s v="22/03/2025"/>
    <s v="USD"/>
    <d v="2025-06-01T00:00:00"/>
    <n v="102"/>
    <s v="30/06/2025"/>
    <n v="271"/>
    <s v="IN89"/>
  </r>
  <r>
    <x v="0"/>
    <n v="246779410311"/>
    <x v="12"/>
    <n v="-95.24"/>
    <n v="-8242.0300000000007"/>
    <m/>
    <s v="22/03/2025"/>
    <s v="USD"/>
    <d v="2025-09-01T00:00:00"/>
    <n v="1"/>
    <s v="30/09/2025"/>
    <n v="210"/>
    <s v="IN89"/>
  </r>
  <r>
    <x v="0"/>
    <n v="246779410311"/>
    <x v="12"/>
    <n v="1.9"/>
    <n v="164.43"/>
    <s v="C: ASCENDAS27 P: A023951 I 246779410311"/>
    <s v="22/03/2025"/>
    <s v="USD"/>
    <d v="2025-09-01T00:00:00"/>
    <n v="1"/>
    <s v="30/09/2025"/>
    <n v="230"/>
    <s v="IN89"/>
  </r>
  <r>
    <x v="0"/>
    <n v="246779410311"/>
    <x v="12"/>
    <n v="0"/>
    <n v="-197.88"/>
    <s v="C: ASCENDAS27 P: Matching"/>
    <s v="22/03/2025"/>
    <s v="USD"/>
    <d v="2025-09-01T00:00:00"/>
    <n v="2"/>
    <s v="30/09/2025"/>
    <n v="271"/>
    <s v="IN89"/>
  </r>
  <r>
    <x v="0"/>
    <n v="256779415769"/>
    <x v="13"/>
    <n v="-234.91"/>
    <n v="-20199.8"/>
    <s v="USD CURRENCY"/>
    <s v="18/08/2025"/>
    <s v="USD"/>
    <d v="2026-01-01T00:00:00"/>
    <n v="1"/>
    <s v="23/01/2026"/>
    <n v="210"/>
    <s v="IN89"/>
  </r>
  <r>
    <x v="0"/>
    <n v="256779415769"/>
    <x v="13"/>
    <n v="4.7"/>
    <n v="404.15"/>
    <s v="C: ASCENDAS27 P: A023951 I 256779415769"/>
    <s v="18/08/2025"/>
    <s v="USD"/>
    <d v="2026-01-01T00:00:00"/>
    <n v="1"/>
    <s v="23/01/2026"/>
    <n v="230"/>
    <s v="IN89"/>
  </r>
  <r>
    <x v="0"/>
    <n v="256779414741"/>
    <x v="14"/>
    <n v="-579.79"/>
    <n v="-49319.31"/>
    <s v="USD CURRENCY- NO EXHANGE RATE PROVIDED"/>
    <s v="19/07/2025"/>
    <s v="USD"/>
    <d v="2025-12-01T00:00:00"/>
    <n v="1"/>
    <s v="31/12/2025"/>
    <n v="210"/>
    <s v="IN89"/>
  </r>
  <r>
    <x v="0"/>
    <n v="256779414741"/>
    <x v="14"/>
    <n v="11.6"/>
    <n v="986.74"/>
    <s v="C: ASCENDAS27 P: A023951 I 256779414741"/>
    <s v="19/07/2025"/>
    <s v="USD"/>
    <d v="2025-12-01T00:00:00"/>
    <n v="1"/>
    <s v="31/12/2025"/>
    <n v="230"/>
    <s v="IN89"/>
  </r>
  <r>
    <x v="0"/>
    <n v="256779414741"/>
    <x v="14"/>
    <n v="0"/>
    <n v="-2742.45"/>
    <s v="C: ASCENDAS27 P: Matching"/>
    <s v="19/07/2025"/>
    <s v="USD"/>
    <d v="2025-12-01T00:00:00"/>
    <n v="86"/>
    <s v="31/12/2025"/>
    <n v="271"/>
    <s v="IN89"/>
  </r>
  <r>
    <x v="0"/>
    <n v="246779413202"/>
    <x v="15"/>
    <n v="-39.06"/>
    <n v="-3380.24"/>
    <m/>
    <s v="18/04/2025"/>
    <s v="USD"/>
    <d v="2025-06-01T00:00:00"/>
    <n v="1"/>
    <d v="2025-12-06T00:00:00"/>
    <n v="210"/>
    <s v="IN89"/>
  </r>
  <r>
    <x v="0"/>
    <n v="246779413202"/>
    <x v="15"/>
    <n v="0.78"/>
    <n v="67.5"/>
    <s v="C: ASCENDAS27 P: A023951 I 246779413202"/>
    <s v="18/04/2025"/>
    <s v="USD"/>
    <d v="2025-06-01T00:00:00"/>
    <n v="1"/>
    <d v="2025-12-06T00:00:00"/>
    <n v="230"/>
    <s v="IN89"/>
  </r>
  <r>
    <x v="0"/>
    <n v="246779412994"/>
    <x v="15"/>
    <n v="-2297.27"/>
    <n v="-199959.93"/>
    <m/>
    <s v="18/04/2025"/>
    <s v="USD"/>
    <d v="2025-06-01T00:00:00"/>
    <n v="1"/>
    <s v="30/06/2025"/>
    <n v="210"/>
    <s v="IN89"/>
  </r>
  <r>
    <x v="0"/>
    <n v="246779413023"/>
    <x v="15"/>
    <n v="-91.89"/>
    <n v="-7998.33"/>
    <m/>
    <s v="18/04/2025"/>
    <s v="USD"/>
    <d v="2025-06-01T00:00:00"/>
    <n v="1"/>
    <s v="30/06/2025"/>
    <n v="210"/>
    <s v="IN89"/>
  </r>
  <r>
    <x v="0"/>
    <n v="246779413024"/>
    <x v="15"/>
    <n v="-50.54"/>
    <n v="-4399.12"/>
    <m/>
    <s v="18/04/2025"/>
    <s v="USD"/>
    <d v="2025-06-01T00:00:00"/>
    <n v="1"/>
    <s v="30/06/2025"/>
    <n v="210"/>
    <s v="IN89"/>
  </r>
  <r>
    <x v="0"/>
    <n v="246779413024"/>
    <x v="15"/>
    <n v="1.01"/>
    <n v="87.91"/>
    <s v="C: ASCENDAS27 P: A023951 I 246779413024"/>
    <s v="18/04/2025"/>
    <s v="USD"/>
    <d v="2025-06-01T00:00:00"/>
    <n v="1"/>
    <s v="30/06/2025"/>
    <n v="230"/>
    <s v="IN89"/>
  </r>
  <r>
    <x v="0"/>
    <n v="246779412994"/>
    <x v="15"/>
    <n v="45.95"/>
    <n v="3999.6"/>
    <s v="C: ASCENDAS27 P: A023951 I 246779412994"/>
    <s v="18/04/2025"/>
    <s v="USD"/>
    <d v="2025-06-01T00:00:00"/>
    <n v="1"/>
    <s v="30/06/2025"/>
    <n v="230"/>
    <s v="IN89"/>
  </r>
  <r>
    <x v="0"/>
    <n v="246779413023"/>
    <x v="15"/>
    <n v="1.84"/>
    <n v="160.16"/>
    <s v="C: ASCENDAS27 P: A023951 I 246779413023"/>
    <s v="18/04/2025"/>
    <s v="USD"/>
    <d v="2025-06-01T00:00:00"/>
    <n v="1"/>
    <s v="30/06/2025"/>
    <n v="230"/>
    <s v="IN89"/>
  </r>
  <r>
    <x v="0"/>
    <n v="246779412994"/>
    <x v="15"/>
    <n v="0"/>
    <n v="2370.4299999999998"/>
    <s v="C: ASCENDAS27 P: Matching"/>
    <s v="18/04/2025"/>
    <s v="USD"/>
    <d v="2025-06-01T00:00:00"/>
    <n v="26"/>
    <s v="30/06/2025"/>
    <n v="271"/>
    <s v="IN89"/>
  </r>
  <r>
    <x v="0"/>
    <n v="246779413023"/>
    <x v="15"/>
    <n v="0"/>
    <n v="94.81"/>
    <s v="C: ASCENDAS27 P: Matching"/>
    <s v="18/04/2025"/>
    <s v="USD"/>
    <d v="2025-06-01T00:00:00"/>
    <n v="30"/>
    <s v="30/06/2025"/>
    <n v="271"/>
    <s v="IN89"/>
  </r>
  <r>
    <x v="0"/>
    <n v="246779413024"/>
    <x v="15"/>
    <n v="0"/>
    <n v="52.15"/>
    <s v="C: ASCENDAS27 P: Matching"/>
    <s v="18/04/2025"/>
    <s v="USD"/>
    <d v="2025-06-01T00:00:00"/>
    <n v="62"/>
    <s v="30/06/2025"/>
    <n v="271"/>
    <s v="IN89"/>
  </r>
  <r>
    <x v="0"/>
    <n v="246779410081"/>
    <x v="16"/>
    <n v="-52.38"/>
    <n v="-4532.9399999999996"/>
    <m/>
    <s v="21/03/2025"/>
    <s v="USD"/>
    <d v="2025-06-01T00:00:00"/>
    <n v="1"/>
    <s v="30/06/2025"/>
    <n v="210"/>
    <s v="IN89"/>
  </r>
  <r>
    <x v="0"/>
    <n v="246779410081"/>
    <x v="16"/>
    <n v="1.05"/>
    <n v="90.87"/>
    <s v="C: ASCENDAS27 P: A023951 I 246779410081"/>
    <s v="21/03/2025"/>
    <s v="USD"/>
    <d v="2025-06-01T00:00:00"/>
    <n v="1"/>
    <s v="30/06/2025"/>
    <n v="230"/>
    <s v="IN89"/>
  </r>
  <r>
    <x v="0"/>
    <n v="246779410081"/>
    <x v="16"/>
    <n v="0"/>
    <n v="28.23"/>
    <s v="C: ASCENDAS27 P: Matching"/>
    <s v="21/03/2025"/>
    <s v="USD"/>
    <d v="2025-06-01T00:00:00"/>
    <n v="96"/>
    <s v="30/06/2025"/>
    <n v="271"/>
    <s v="IN89"/>
  </r>
  <r>
    <x v="0"/>
    <n v="256779418424"/>
    <x v="17"/>
    <n v="-1334.62"/>
    <n v="-118326.74"/>
    <s v="USD CURRENCY"/>
    <s v="17/11/2025"/>
    <s v="USD"/>
    <d v="2025-12-01T00:00:00"/>
    <n v="1"/>
    <s v="15/12/2025"/>
    <n v="210"/>
    <s v="IN89"/>
  </r>
  <r>
    <x v="0"/>
    <n v="256779418433"/>
    <x v="17"/>
    <n v="-351.43"/>
    <n v="-31157.61"/>
    <s v="USD CURRENCY"/>
    <s v="17/11/2025"/>
    <s v="USD"/>
    <d v="2025-12-01T00:00:00"/>
    <n v="1"/>
    <s v="15/12/2025"/>
    <n v="210"/>
    <s v="IN89"/>
  </r>
  <r>
    <x v="0"/>
    <n v="256779418433"/>
    <x v="17"/>
    <n v="7.03"/>
    <n v="623.28"/>
    <s v="C: ASCENDAS27 P: A023951 I 256779418433"/>
    <s v="17/11/2025"/>
    <s v="USD"/>
    <d v="2025-12-01T00:00:00"/>
    <n v="1"/>
    <s v="15/12/2025"/>
    <n v="230"/>
    <s v="IN89"/>
  </r>
  <r>
    <x v="0"/>
    <n v="256779418424"/>
    <x v="17"/>
    <n v="26.69"/>
    <n v="2366.3200000000002"/>
    <s v="C: ASCENDAS27 P: A023951 I 256779418424"/>
    <s v="17/11/2025"/>
    <s v="USD"/>
    <d v="2025-12-01T00:00:00"/>
    <n v="1"/>
    <s v="15/12/2025"/>
    <n v="230"/>
    <s v="IN89"/>
  </r>
  <r>
    <x v="0"/>
    <n v="256779417597"/>
    <x v="18"/>
    <n v="-1055.04"/>
    <n v="-92476.28"/>
    <m/>
    <s v="18/10/2025"/>
    <s v="USD"/>
    <d v="2025-10-01T00:00:00"/>
    <n v="1"/>
    <s v="29/10/2025"/>
    <n v="210"/>
    <s v="IN89"/>
  </r>
  <r>
    <x v="0"/>
    <n v="256779417597"/>
    <x v="18"/>
    <n v="21.1"/>
    <n v="1849.46"/>
    <s v="C: ASCENDAS27 P: A023951 I 256779417597"/>
    <s v="18/10/2025"/>
    <s v="USD"/>
    <d v="2025-10-01T00:00:00"/>
    <n v="1"/>
    <s v="29/10/2025"/>
    <n v="230"/>
    <s v="IN89"/>
  </r>
  <r>
    <x v="0"/>
    <n v="256779417597"/>
    <x v="18"/>
    <n v="0"/>
    <n v="-621.04"/>
    <s v="C: ASCENDAS27 P: Matching"/>
    <s v="18/10/2025"/>
    <s v="USD"/>
    <d v="2025-10-01T00:00:00"/>
    <n v="68"/>
    <s v="31/10/2025"/>
    <n v="271"/>
    <s v="IN89"/>
  </r>
  <r>
    <x v="0"/>
    <n v="256779417580"/>
    <x v="18"/>
    <n v="-184.38"/>
    <n v="-184.38"/>
    <m/>
    <s v="18/10/2025"/>
    <s v="USD"/>
    <d v="2025-11-01T00:00:00"/>
    <n v="1"/>
    <d v="2025-11-11T00:00:00"/>
    <n v="210"/>
    <s v="IN89"/>
  </r>
  <r>
    <x v="0"/>
    <n v="256779417557"/>
    <x v="18"/>
    <n v="-725.96"/>
    <n v="-63631.79"/>
    <m/>
    <s v="18/10/2025"/>
    <s v="USD"/>
    <d v="2025-11-01T00:00:00"/>
    <n v="1"/>
    <d v="2025-11-11T00:00:00"/>
    <n v="210"/>
    <s v="IN89"/>
  </r>
  <r>
    <x v="0"/>
    <n v="256779417517"/>
    <x v="18"/>
    <n v="-4.68"/>
    <n v="-410.21"/>
    <m/>
    <s v="18/10/2025"/>
    <s v="USD"/>
    <d v="2025-11-01T00:00:00"/>
    <n v="1"/>
    <d v="2025-11-11T00:00:00"/>
    <n v="210"/>
    <s v="IN89"/>
  </r>
  <r>
    <x v="0"/>
    <n v="256779417580"/>
    <x v="18"/>
    <n v="3.69"/>
    <n v="3.69"/>
    <s v="C: ASCENDAS27 P: A023951 I 256779417580"/>
    <s v="18/10/2025"/>
    <s v="USD"/>
    <d v="2025-11-01T00:00:00"/>
    <n v="1"/>
    <d v="2025-11-11T00:00:00"/>
    <n v="230"/>
    <s v="IN89"/>
  </r>
  <r>
    <x v="0"/>
    <n v="256779417517"/>
    <x v="18"/>
    <n v="0.09"/>
    <n v="7.89"/>
    <s v="C: ASCENDAS27 P: A023951 I 256779417517"/>
    <s v="18/10/2025"/>
    <s v="USD"/>
    <d v="2025-11-01T00:00:00"/>
    <n v="1"/>
    <d v="2025-11-11T00:00:00"/>
    <n v="230"/>
    <s v="IN89"/>
  </r>
  <r>
    <x v="0"/>
    <n v="256779417557"/>
    <x v="18"/>
    <n v="14.52"/>
    <n v="1272.71"/>
    <s v="C: ASCENDAS27 P: A023951 I 256779417557"/>
    <s v="18/10/2025"/>
    <s v="USD"/>
    <d v="2025-11-01T00:00:00"/>
    <n v="1"/>
    <d v="2025-11-11T00:00:00"/>
    <n v="230"/>
    <s v="IN89"/>
  </r>
  <r>
    <x v="0"/>
    <s v="256779417580_D"/>
    <x v="18"/>
    <n v="-184.38"/>
    <n v="-16161.26"/>
    <s v="gst correction"/>
    <s v="18/10/2025"/>
    <s v="USD"/>
    <d v="2026-01-01T00:00:00"/>
    <n v="1"/>
    <s v="31/01/2026"/>
    <n v="210"/>
    <s v="IN89"/>
  </r>
  <r>
    <x v="0"/>
    <s v="256779417580_D"/>
    <x v="18"/>
    <n v="3.69"/>
    <n v="323.44"/>
    <s v="C: ASCENDAS27 P: A023951 I 256779417580_D"/>
    <s v="18/10/2025"/>
    <s v="USD"/>
    <d v="2026-01-01T00:00:00"/>
    <n v="1"/>
    <s v="31/01/2026"/>
    <n v="230"/>
    <s v="IN89"/>
  </r>
  <r>
    <x v="0"/>
    <s v="256779417580_D"/>
    <x v="18"/>
    <n v="0"/>
    <n v="-718.94"/>
    <s v="C: ASCENDAS27 P: Matching"/>
    <s v="18/10/2025"/>
    <s v="USD"/>
    <d v="2026-01-01T00:00:00"/>
    <n v="104"/>
    <s v="31/01/2026"/>
    <n v="271"/>
    <s v="IN89"/>
  </r>
  <r>
    <x v="0"/>
    <n v="256779415442"/>
    <x v="19"/>
    <n v="-1.59"/>
    <n v="-136.72"/>
    <m/>
    <s v="17/08/2025"/>
    <s v="USD"/>
    <d v="2025-10-01T00:00:00"/>
    <n v="1"/>
    <s v="29/10/2025"/>
    <n v="210"/>
    <s v="IN89"/>
  </r>
  <r>
    <x v="0"/>
    <n v="256779415426"/>
    <x v="19"/>
    <n v="-464.73"/>
    <n v="-39961.910000000003"/>
    <m/>
    <s v="17/08/2025"/>
    <s v="USD"/>
    <d v="2025-10-01T00:00:00"/>
    <n v="1"/>
    <s v="29/10/2025"/>
    <n v="210"/>
    <s v="IN89"/>
  </r>
  <r>
    <x v="0"/>
    <n v="256779415517"/>
    <x v="19"/>
    <n v="-116.74"/>
    <n v="-10038.42"/>
    <m/>
    <s v="17/08/2025"/>
    <s v="USD"/>
    <d v="2025-10-01T00:00:00"/>
    <n v="1"/>
    <s v="29/10/2025"/>
    <n v="210"/>
    <s v="IN89"/>
  </r>
  <r>
    <x v="0"/>
    <n v="256779415453"/>
    <x v="19"/>
    <n v="-293.45999999999998"/>
    <n v="-25234.48"/>
    <m/>
    <s v="17/08/2025"/>
    <s v="USD"/>
    <d v="2025-10-01T00:00:00"/>
    <n v="1"/>
    <s v="29/10/2025"/>
    <n v="210"/>
    <s v="IN89"/>
  </r>
  <r>
    <x v="0"/>
    <n v="256779415474"/>
    <x v="19"/>
    <n v="-608.41"/>
    <n v="-52316.88"/>
    <m/>
    <s v="17/08/2025"/>
    <s v="USD"/>
    <d v="2025-10-01T00:00:00"/>
    <n v="1"/>
    <s v="29/10/2025"/>
    <n v="210"/>
    <s v="IN89"/>
  </r>
  <r>
    <x v="0"/>
    <n v="256779415474"/>
    <x v="19"/>
    <n v="12.17"/>
    <n v="1046.49"/>
    <s v="C: ASCENDAS27 P: A023951 I 256779415474"/>
    <s v="17/08/2025"/>
    <s v="USD"/>
    <d v="2025-10-01T00:00:00"/>
    <n v="1"/>
    <s v="29/10/2025"/>
    <n v="230"/>
    <s v="IN89"/>
  </r>
  <r>
    <x v="0"/>
    <n v="256779415442"/>
    <x v="19"/>
    <n v="0.03"/>
    <n v="2.58"/>
    <s v="C: ASCENDAS27 P: A023951 I 256779415442"/>
    <s v="17/08/2025"/>
    <s v="USD"/>
    <d v="2025-10-01T00:00:00"/>
    <n v="1"/>
    <s v="29/10/2025"/>
    <n v="230"/>
    <s v="IN89"/>
  </r>
  <r>
    <x v="0"/>
    <n v="256779415453"/>
    <x v="19"/>
    <n v="5.87"/>
    <n v="504.76"/>
    <s v="C: ASCENDAS27 P: A023951 I 256779415453"/>
    <s v="17/08/2025"/>
    <s v="USD"/>
    <d v="2025-10-01T00:00:00"/>
    <n v="1"/>
    <s v="29/10/2025"/>
    <n v="230"/>
    <s v="IN89"/>
  </r>
  <r>
    <x v="0"/>
    <n v="256779415517"/>
    <x v="19"/>
    <n v="2.33"/>
    <n v="200.36"/>
    <s v="C: ASCENDAS27 P: A023951 I 256779415517"/>
    <s v="17/08/2025"/>
    <s v="USD"/>
    <d v="2025-10-01T00:00:00"/>
    <n v="1"/>
    <s v="29/10/2025"/>
    <n v="230"/>
    <s v="IN89"/>
  </r>
  <r>
    <x v="0"/>
    <n v="256779415426"/>
    <x v="19"/>
    <n v="9.2899999999999991"/>
    <n v="798.84"/>
    <s v="C: ASCENDAS27 P: A023951 I 256779415426"/>
    <s v="17/08/2025"/>
    <s v="USD"/>
    <d v="2025-10-01T00:00:00"/>
    <n v="1"/>
    <s v="29/10/2025"/>
    <n v="230"/>
    <s v="IN89"/>
  </r>
  <r>
    <x v="0"/>
    <n v="256779415442"/>
    <x v="19"/>
    <n v="0"/>
    <n v="-3.53"/>
    <s v="C: ASCENDAS27 P: Matching"/>
    <s v="17/08/2025"/>
    <s v="USD"/>
    <d v="2025-10-01T00:00:00"/>
    <n v="66"/>
    <s v="31/10/2025"/>
    <n v="271"/>
    <s v="IN89"/>
  </r>
  <r>
    <x v="0"/>
    <n v="256779415426"/>
    <x v="19"/>
    <n v="0"/>
    <n v="-1030.68"/>
    <s v="C: ASCENDAS27 P: Matching"/>
    <s v="17/08/2025"/>
    <s v="USD"/>
    <d v="2025-10-01T00:00:00"/>
    <n v="70"/>
    <s v="31/10/2025"/>
    <n v="271"/>
    <s v="IN89"/>
  </r>
  <r>
    <x v="0"/>
    <n v="256779415517"/>
    <x v="19"/>
    <n v="0"/>
    <n v="-258.92"/>
    <s v="C: ASCENDAS27 P: Matching"/>
    <s v="17/08/2025"/>
    <s v="USD"/>
    <d v="2025-10-01T00:00:00"/>
    <n v="72"/>
    <s v="31/10/2025"/>
    <n v="271"/>
    <s v="IN89"/>
  </r>
  <r>
    <x v="0"/>
    <n v="256779415453"/>
    <x v="19"/>
    <n v="0"/>
    <n v="-650.84"/>
    <s v="C: ASCENDAS27 P: Matching"/>
    <s v="17/08/2025"/>
    <s v="USD"/>
    <d v="2025-10-01T00:00:00"/>
    <n v="74"/>
    <s v="31/10/2025"/>
    <n v="271"/>
    <s v="IN89"/>
  </r>
  <r>
    <x v="0"/>
    <n v="256779415474"/>
    <x v="19"/>
    <n v="0"/>
    <n v="-1349.32"/>
    <s v="C: ASCENDAS27 P: Matching"/>
    <s v="17/08/2025"/>
    <s v="USD"/>
    <d v="2025-10-01T00:00:00"/>
    <n v="76"/>
    <s v="31/10/2025"/>
    <n v="271"/>
    <s v="IN89"/>
  </r>
  <r>
    <x v="0"/>
    <n v="256779414431"/>
    <x v="20"/>
    <n v="-52.38"/>
    <n v="-4455.66"/>
    <m/>
    <s v="18/07/2025"/>
    <s v="USD"/>
    <d v="2025-11-01T00:00:00"/>
    <n v="1"/>
    <s v="30/11/2025"/>
    <n v="210"/>
    <s v="IN89"/>
  </r>
  <r>
    <x v="0"/>
    <n v="256779414431"/>
    <x v="20"/>
    <n v="1.05"/>
    <n v="89.32"/>
    <s v="C: ASCENDAS27 P: A023951 I 256779414431"/>
    <s v="18/07/2025"/>
    <s v="USD"/>
    <d v="2025-11-01T00:00:00"/>
    <n v="1"/>
    <s v="30/11/2025"/>
    <n v="230"/>
    <s v="IN89"/>
  </r>
  <r>
    <x v="0"/>
    <n v="256779414431"/>
    <x v="20"/>
    <n v="0"/>
    <n v="-209.97"/>
    <s v="C: ASCENDAS27 P: Matching"/>
    <s v="18/07/2025"/>
    <s v="USD"/>
    <d v="2025-11-01T00:00:00"/>
    <n v="60"/>
    <s v="30/11/2025"/>
    <n v="271"/>
    <s v="IN89"/>
  </r>
  <r>
    <x v="0"/>
    <n v="246779411742"/>
    <x v="21"/>
    <n v="-23.27"/>
    <n v="-2025.48"/>
    <s v="NO EXCHANGE RATE"/>
    <s v="16/04/2025"/>
    <s v="USD"/>
    <d v="2025-06-01T00:00:00"/>
    <n v="1"/>
    <d v="2025-11-06T00:00:00"/>
    <n v="210"/>
    <s v="IN89"/>
  </r>
  <r>
    <x v="0"/>
    <n v="246779411742"/>
    <x v="21"/>
    <n v="0.47"/>
    <n v="40.909999999999997"/>
    <s v="C: ASCENDAS27 P: A023951 I 246779411742"/>
    <s v="16/04/2025"/>
    <s v="USD"/>
    <d v="2025-06-01T00:00:00"/>
    <n v="1"/>
    <d v="2025-11-06T00:00:00"/>
    <n v="230"/>
    <s v="IN89"/>
  </r>
  <r>
    <x v="0"/>
    <n v="246779411737"/>
    <x v="21"/>
    <n v="-28.54"/>
    <n v="-2484.19"/>
    <m/>
    <s v="16/04/2025"/>
    <s v="USD"/>
    <d v="2025-06-01T00:00:00"/>
    <n v="1"/>
    <d v="2025-12-06T00:00:00"/>
    <n v="210"/>
    <s v="IN89"/>
  </r>
  <r>
    <x v="0"/>
    <n v="246779411734"/>
    <x v="21"/>
    <n v="-22.83"/>
    <n v="-1987.18"/>
    <m/>
    <s v="16/04/2025"/>
    <s v="USD"/>
    <d v="2025-06-01T00:00:00"/>
    <n v="1"/>
    <d v="2025-12-06T00:00:00"/>
    <n v="210"/>
    <s v="IN89"/>
  </r>
  <r>
    <x v="0"/>
    <n v="246779411732"/>
    <x v="21"/>
    <n v="-28.54"/>
    <n v="-2484.19"/>
    <m/>
    <s v="16/04/2025"/>
    <s v="USD"/>
    <d v="2025-06-01T00:00:00"/>
    <n v="1"/>
    <d v="2025-12-06T00:00:00"/>
    <n v="210"/>
    <s v="IN89"/>
  </r>
  <r>
    <x v="0"/>
    <n v="246779411729"/>
    <x v="21"/>
    <n v="-34.25"/>
    <n v="-2981.2"/>
    <s v="NO EXCHANGE RATE"/>
    <s v="16/04/2025"/>
    <s v="USD"/>
    <d v="2025-06-01T00:00:00"/>
    <n v="1"/>
    <d v="2025-12-06T00:00:00"/>
    <n v="210"/>
    <s v="IN89"/>
  </r>
  <r>
    <x v="0"/>
    <n v="246779411724"/>
    <x v="21"/>
    <n v="-68.5"/>
    <n v="-5962.41"/>
    <m/>
    <s v="16/04/2025"/>
    <s v="USD"/>
    <d v="2025-06-01T00:00:00"/>
    <n v="1"/>
    <d v="2025-12-06T00:00:00"/>
    <n v="210"/>
    <s v="IN89"/>
  </r>
  <r>
    <x v="0"/>
    <n v="246779411721"/>
    <x v="21"/>
    <n v="-525.63"/>
    <n v="-45752.1"/>
    <m/>
    <s v="16/04/2025"/>
    <s v="USD"/>
    <d v="2025-06-01T00:00:00"/>
    <n v="1"/>
    <d v="2025-12-06T00:00:00"/>
    <n v="210"/>
    <s v="IN89"/>
  </r>
  <r>
    <x v="0"/>
    <n v="246779411741"/>
    <x v="21"/>
    <n v="-240"/>
    <n v="-20890.18"/>
    <m/>
    <s v="16/04/2025"/>
    <s v="USD"/>
    <d v="2025-06-01T00:00:00"/>
    <n v="1"/>
    <d v="2025-12-06T00:00:00"/>
    <n v="210"/>
    <s v="IN89"/>
  </r>
  <r>
    <x v="0"/>
    <n v="246779411735"/>
    <x v="21"/>
    <n v="-479.25"/>
    <n v="-41715.08"/>
    <m/>
    <s v="16/04/2025"/>
    <s v="USD"/>
    <d v="2025-06-01T00:00:00"/>
    <n v="1"/>
    <d v="2025-12-06T00:00:00"/>
    <n v="210"/>
    <s v="IN89"/>
  </r>
  <r>
    <x v="0"/>
    <n v="246779411733"/>
    <x v="21"/>
    <n v="-17.12"/>
    <n v="-1490.17"/>
    <m/>
    <s v="16/04/2025"/>
    <s v="USD"/>
    <d v="2025-06-01T00:00:00"/>
    <n v="1"/>
    <d v="2025-12-06T00:00:00"/>
    <n v="210"/>
    <s v="IN89"/>
  </r>
  <r>
    <x v="0"/>
    <n v="246779411727"/>
    <x v="21"/>
    <n v="-17.12"/>
    <n v="-1490.17"/>
    <m/>
    <s v="16/04/2025"/>
    <s v="USD"/>
    <d v="2025-06-01T00:00:00"/>
    <n v="1"/>
    <d v="2025-12-06T00:00:00"/>
    <n v="210"/>
    <s v="IN89"/>
  </r>
  <r>
    <x v="0"/>
    <n v="246779411726"/>
    <x v="21"/>
    <n v="-28.54"/>
    <n v="-2484.19"/>
    <m/>
    <s v="16/04/2025"/>
    <s v="USD"/>
    <d v="2025-06-01T00:00:00"/>
    <n v="1"/>
    <d v="2025-12-06T00:00:00"/>
    <n v="210"/>
    <s v="IN89"/>
  </r>
  <r>
    <x v="0"/>
    <n v="246779411720"/>
    <x v="21"/>
    <n v="-17.12"/>
    <n v="-1490.17"/>
    <m/>
    <s v="16/04/2025"/>
    <s v="USD"/>
    <d v="2025-06-01T00:00:00"/>
    <n v="1"/>
    <d v="2025-12-06T00:00:00"/>
    <n v="210"/>
    <s v="IN89"/>
  </r>
  <r>
    <x v="0"/>
    <n v="246779411718"/>
    <x v="21"/>
    <n v="-22.95"/>
    <n v="-1997.62"/>
    <m/>
    <s v="16/04/2025"/>
    <s v="USD"/>
    <d v="2025-06-01T00:00:00"/>
    <n v="1"/>
    <d v="2025-12-06T00:00:00"/>
    <n v="210"/>
    <s v="IN89"/>
  </r>
  <r>
    <x v="0"/>
    <n v="246779411637"/>
    <x v="21"/>
    <n v="-429.65"/>
    <n v="-37397.769999999997"/>
    <m/>
    <s v="16/04/2025"/>
    <s v="USD"/>
    <d v="2025-06-01T00:00:00"/>
    <n v="1"/>
    <d v="2025-12-06T00:00:00"/>
    <n v="210"/>
    <s v="IN89"/>
  </r>
  <r>
    <x v="0"/>
    <n v="246779411717"/>
    <x v="21"/>
    <n v="-45.67"/>
    <n v="-3975.23"/>
    <m/>
    <s v="16/04/2025"/>
    <s v="USD"/>
    <d v="2025-06-01T00:00:00"/>
    <n v="1"/>
    <d v="2025-12-06T00:00:00"/>
    <n v="210"/>
    <s v="IN89"/>
  </r>
  <r>
    <x v="0"/>
    <n v="246779411601"/>
    <x v="21"/>
    <n v="-23.39"/>
    <n v="-2035.92"/>
    <m/>
    <s v="16/04/2025"/>
    <s v="USD"/>
    <d v="2025-06-01T00:00:00"/>
    <n v="1"/>
    <d v="2025-12-06T00:00:00"/>
    <n v="210"/>
    <s v="IN89"/>
  </r>
  <r>
    <x v="0"/>
    <n v="246779411740"/>
    <x v="21"/>
    <n v="-22.83"/>
    <n v="-1987.18"/>
    <m/>
    <s v="16/04/2025"/>
    <s v="USD"/>
    <d v="2025-06-01T00:00:00"/>
    <n v="1"/>
    <d v="2025-12-06T00:00:00"/>
    <n v="210"/>
    <s v="IN89"/>
  </r>
  <r>
    <x v="0"/>
    <n v="246779411913"/>
    <x v="21"/>
    <n v="-28.41"/>
    <n v="-2472.88"/>
    <m/>
    <s v="16/04/2025"/>
    <s v="USD"/>
    <d v="2025-06-01T00:00:00"/>
    <n v="1"/>
    <d v="2025-12-06T00:00:00"/>
    <n v="210"/>
    <s v="IN89"/>
  </r>
  <r>
    <x v="0"/>
    <n v="246779411597"/>
    <x v="21"/>
    <n v="-57.29"/>
    <n v="-4986.66"/>
    <m/>
    <s v="16/04/2025"/>
    <s v="USD"/>
    <d v="2025-06-01T00:00:00"/>
    <n v="1"/>
    <d v="2025-12-06T00:00:00"/>
    <n v="210"/>
    <s v="IN89"/>
  </r>
  <r>
    <x v="0"/>
    <n v="246779411739"/>
    <x v="21"/>
    <n v="-34.25"/>
    <n v="-2981.2"/>
    <s v="NO EXCHANGE RATE"/>
    <s v="16/04/2025"/>
    <s v="USD"/>
    <d v="2025-06-01T00:00:00"/>
    <n v="1"/>
    <d v="2025-12-06T00:00:00"/>
    <n v="210"/>
    <s v="IN89"/>
  </r>
  <r>
    <x v="0"/>
    <n v="246779411914"/>
    <x v="21"/>
    <n v="-260"/>
    <n v="-22631.03"/>
    <m/>
    <s v="16/04/2025"/>
    <s v="USD"/>
    <d v="2025-06-01T00:00:00"/>
    <n v="1"/>
    <d v="2025-12-06T00:00:00"/>
    <n v="210"/>
    <s v="IN89"/>
  </r>
  <r>
    <x v="0"/>
    <n v="246779411596"/>
    <x v="21"/>
    <n v="-74.47"/>
    <n v="-6482.05"/>
    <m/>
    <s v="16/04/2025"/>
    <s v="USD"/>
    <d v="2025-06-01T00:00:00"/>
    <n v="1"/>
    <d v="2025-12-06T00:00:00"/>
    <n v="210"/>
    <s v="IN89"/>
  </r>
  <r>
    <x v="0"/>
    <n v="246779411738"/>
    <x v="21"/>
    <n v="-28.54"/>
    <n v="-2484.19"/>
    <m/>
    <s v="16/04/2025"/>
    <s v="USD"/>
    <d v="2025-06-01T00:00:00"/>
    <n v="1"/>
    <d v="2025-12-06T00:00:00"/>
    <n v="210"/>
    <s v="IN89"/>
  </r>
  <r>
    <x v="0"/>
    <n v="246779412040"/>
    <x v="21"/>
    <n v="-16.82"/>
    <n v="-1464.05"/>
    <s v="NO EXCHANGE RATE / 14 DAYS OLDER"/>
    <s v="16/04/2025"/>
    <s v="USD"/>
    <d v="2025-06-01T00:00:00"/>
    <n v="1"/>
    <d v="2025-12-06T00:00:00"/>
    <n v="210"/>
    <s v="IN89"/>
  </r>
  <r>
    <x v="0"/>
    <n v="246779411736"/>
    <x v="21"/>
    <n v="-22.83"/>
    <n v="-1987.18"/>
    <m/>
    <s v="16/04/2025"/>
    <s v="USD"/>
    <d v="2025-06-01T00:00:00"/>
    <n v="1"/>
    <d v="2025-12-06T00:00:00"/>
    <n v="210"/>
    <s v="IN89"/>
  </r>
  <r>
    <x v="0"/>
    <n v="246779411899"/>
    <x v="21"/>
    <n v="-62.49"/>
    <n v="-5439.28"/>
    <m/>
    <s v="16/04/2025"/>
    <s v="USD"/>
    <d v="2025-06-01T00:00:00"/>
    <n v="1"/>
    <d v="2025-12-06T00:00:00"/>
    <n v="210"/>
    <s v="IN89"/>
  </r>
  <r>
    <x v="0"/>
    <n v="246779411896"/>
    <x v="21"/>
    <n v="-39.770000000000003"/>
    <n v="-3461.68"/>
    <m/>
    <s v="16/04/2025"/>
    <s v="USD"/>
    <d v="2025-06-01T00:00:00"/>
    <n v="1"/>
    <d v="2025-12-06T00:00:00"/>
    <n v="210"/>
    <s v="IN89"/>
  </r>
  <r>
    <x v="0"/>
    <n v="246779411902"/>
    <x v="21"/>
    <n v="-2.13"/>
    <n v="-185.4"/>
    <m/>
    <s v="16/04/2025"/>
    <s v="USD"/>
    <d v="2025-06-01T00:00:00"/>
    <n v="1"/>
    <d v="2025-12-06T00:00:00"/>
    <n v="210"/>
    <s v="IN89"/>
  </r>
  <r>
    <x v="0"/>
    <n v="246779411723"/>
    <x v="21"/>
    <n v="-45.67"/>
    <n v="-3975.23"/>
    <s v="NO EXCHANGE RATE"/>
    <s v="16/04/2025"/>
    <s v="USD"/>
    <d v="2025-06-01T00:00:00"/>
    <n v="1"/>
    <d v="2025-12-06T00:00:00"/>
    <n v="210"/>
    <s v="IN89"/>
  </r>
  <r>
    <x v="0"/>
    <n v="246779411722"/>
    <x v="21"/>
    <n v="-39.96"/>
    <n v="-3478.21"/>
    <m/>
    <s v="16/04/2025"/>
    <s v="USD"/>
    <d v="2025-06-01T00:00:00"/>
    <n v="1"/>
    <d v="2025-12-06T00:00:00"/>
    <n v="210"/>
    <s v="IN89"/>
  </r>
  <r>
    <x v="0"/>
    <n v="246779411907"/>
    <x v="21"/>
    <n v="-17.04"/>
    <n v="-1483.2"/>
    <m/>
    <s v="16/04/2025"/>
    <s v="USD"/>
    <d v="2025-06-01T00:00:00"/>
    <n v="1"/>
    <d v="2025-12-06T00:00:00"/>
    <n v="210"/>
    <s v="IN89"/>
  </r>
  <r>
    <x v="0"/>
    <n v="246779411909"/>
    <x v="21"/>
    <n v="-28.41"/>
    <n v="-2472.88"/>
    <m/>
    <s v="16/04/2025"/>
    <s v="USD"/>
    <d v="2025-06-01T00:00:00"/>
    <n v="1"/>
    <d v="2025-12-06T00:00:00"/>
    <n v="210"/>
    <s v="IN89"/>
  </r>
  <r>
    <x v="0"/>
    <n v="246779411600"/>
    <x v="21"/>
    <n v="-2.6"/>
    <n v="-226.31"/>
    <m/>
    <s v="16/04/2025"/>
    <s v="USD"/>
    <d v="2025-06-01T00:00:00"/>
    <n v="1"/>
    <d v="2025-12-06T00:00:00"/>
    <n v="210"/>
    <s v="IN89"/>
  </r>
  <r>
    <x v="0"/>
    <n v="246779411595"/>
    <x v="21"/>
    <n v="-51.56"/>
    <n v="-4487.91"/>
    <m/>
    <s v="16/04/2025"/>
    <s v="USD"/>
    <d v="2025-06-01T00:00:00"/>
    <n v="1"/>
    <d v="2025-12-06T00:00:00"/>
    <n v="210"/>
    <s v="IN89"/>
  </r>
  <r>
    <x v="0"/>
    <n v="246779411594"/>
    <x v="21"/>
    <n v="-17.190000000000001"/>
    <n v="-1496.26"/>
    <m/>
    <s v="16/04/2025"/>
    <s v="USD"/>
    <d v="2025-06-01T00:00:00"/>
    <n v="1"/>
    <d v="2025-12-06T00:00:00"/>
    <n v="210"/>
    <s v="IN89"/>
  </r>
  <r>
    <x v="0"/>
    <n v="246779411599"/>
    <x v="21"/>
    <n v="-37.950000000000003"/>
    <n v="-3303.26"/>
    <m/>
    <s v="16/04/2025"/>
    <s v="USD"/>
    <d v="2025-06-01T00:00:00"/>
    <n v="1"/>
    <d v="2025-12-06T00:00:00"/>
    <n v="210"/>
    <s v="IN89"/>
  </r>
  <r>
    <x v="0"/>
    <n v="246779412111"/>
    <x v="21"/>
    <n v="-420.46"/>
    <n v="-36597.85"/>
    <m/>
    <s v="16/04/2025"/>
    <s v="USD"/>
    <d v="2025-06-01T00:00:00"/>
    <n v="1"/>
    <d v="2025-12-06T00:00:00"/>
    <n v="210"/>
    <s v="IN89"/>
  </r>
  <r>
    <x v="0"/>
    <n v="246779411895"/>
    <x v="21"/>
    <n v="-4.26"/>
    <n v="-370.8"/>
    <m/>
    <s v="16/04/2025"/>
    <s v="USD"/>
    <d v="2025-06-01T00:00:00"/>
    <n v="1"/>
    <d v="2025-12-06T00:00:00"/>
    <n v="210"/>
    <s v="IN89"/>
  </r>
  <r>
    <x v="0"/>
    <n v="246779412046"/>
    <x v="21"/>
    <n v="-16.82"/>
    <n v="-1464.05"/>
    <m/>
    <s v="16/04/2025"/>
    <s v="USD"/>
    <d v="2025-06-01T00:00:00"/>
    <n v="1"/>
    <d v="2025-12-06T00:00:00"/>
    <n v="210"/>
    <s v="IN89"/>
  </r>
  <r>
    <x v="0"/>
    <n v="246779411897"/>
    <x v="21"/>
    <n v="-22.72"/>
    <n v="-1977.6"/>
    <m/>
    <s v="16/04/2025"/>
    <s v="USD"/>
    <d v="2025-06-01T00:00:00"/>
    <n v="1"/>
    <d v="2025-12-06T00:00:00"/>
    <n v="210"/>
    <s v="IN89"/>
  </r>
  <r>
    <x v="0"/>
    <n v="246779412044"/>
    <x v="21"/>
    <n v="-30.37"/>
    <n v="-2643.48"/>
    <m/>
    <s v="16/04/2025"/>
    <s v="USD"/>
    <d v="2025-06-01T00:00:00"/>
    <n v="1"/>
    <d v="2025-12-06T00:00:00"/>
    <n v="210"/>
    <s v="IN89"/>
  </r>
  <r>
    <x v="0"/>
    <n v="246779411898"/>
    <x v="21"/>
    <n v="-7.1"/>
    <n v="-618"/>
    <m/>
    <s v="16/04/2025"/>
    <s v="USD"/>
    <d v="2025-06-01T00:00:00"/>
    <n v="1"/>
    <d v="2025-12-06T00:00:00"/>
    <n v="210"/>
    <s v="IN89"/>
  </r>
  <r>
    <x v="0"/>
    <n v="246779412043"/>
    <x v="21"/>
    <n v="-16.82"/>
    <n v="-1464.05"/>
    <m/>
    <s v="16/04/2025"/>
    <s v="USD"/>
    <d v="2025-06-01T00:00:00"/>
    <n v="1"/>
    <d v="2025-12-06T00:00:00"/>
    <n v="210"/>
    <s v="IN89"/>
  </r>
  <r>
    <x v="0"/>
    <n v="246779411915"/>
    <x v="21"/>
    <n v="-23.17"/>
    <n v="-2016.77"/>
    <m/>
    <s v="16/04/2025"/>
    <s v="USD"/>
    <d v="2025-06-01T00:00:00"/>
    <n v="1"/>
    <d v="2025-12-06T00:00:00"/>
    <n v="210"/>
    <s v="IN89"/>
  </r>
  <r>
    <x v="0"/>
    <n v="246779412041"/>
    <x v="21"/>
    <n v="-33.64"/>
    <n v="-2928.11"/>
    <s v="NO EXCHANGE RATE / 14 DAYS OLDER"/>
    <s v="16/04/2025"/>
    <s v="USD"/>
    <d v="2025-06-01T00:00:00"/>
    <n v="1"/>
    <d v="2025-12-06T00:00:00"/>
    <n v="210"/>
    <s v="IN89"/>
  </r>
  <r>
    <x v="0"/>
    <n v="246779411900"/>
    <x v="21"/>
    <n v="-73.849999999999994"/>
    <n v="-6428.08"/>
    <m/>
    <s v="16/04/2025"/>
    <s v="USD"/>
    <d v="2025-06-01T00:00:00"/>
    <n v="1"/>
    <d v="2025-12-06T00:00:00"/>
    <n v="210"/>
    <s v="IN89"/>
  </r>
  <r>
    <x v="0"/>
    <n v="246779412048"/>
    <x v="21"/>
    <n v="-22.78"/>
    <n v="-1982.83"/>
    <m/>
    <s v="16/04/2025"/>
    <s v="USD"/>
    <d v="2025-06-01T00:00:00"/>
    <n v="1"/>
    <d v="2025-12-06T00:00:00"/>
    <n v="210"/>
    <s v="IN89"/>
  </r>
  <r>
    <x v="0"/>
    <n v="246779411903"/>
    <x v="21"/>
    <n v="-3.55"/>
    <n v="-309"/>
    <m/>
    <s v="16/04/2025"/>
    <s v="USD"/>
    <d v="2025-06-01T00:00:00"/>
    <n v="1"/>
    <d v="2025-12-06T00:00:00"/>
    <n v="210"/>
    <s v="IN89"/>
  </r>
  <r>
    <x v="0"/>
    <n v="246779411910"/>
    <x v="21"/>
    <n v="-28.41"/>
    <n v="-2472.88"/>
    <m/>
    <s v="16/04/2025"/>
    <s v="USD"/>
    <d v="2025-06-01T00:00:00"/>
    <n v="1"/>
    <d v="2025-12-06T00:00:00"/>
    <n v="210"/>
    <s v="IN89"/>
  </r>
  <r>
    <x v="0"/>
    <n v="246779411598"/>
    <x v="21"/>
    <n v="-91.66"/>
    <n v="-7978.31"/>
    <m/>
    <s v="16/04/2025"/>
    <s v="USD"/>
    <d v="2025-06-01T00:00:00"/>
    <n v="1"/>
    <d v="2025-12-06T00:00:00"/>
    <n v="210"/>
    <s v="IN89"/>
  </r>
  <r>
    <x v="0"/>
    <n v="246779411593"/>
    <x v="21"/>
    <n v="-40.1"/>
    <n v="-3490.4"/>
    <m/>
    <s v="16/04/2025"/>
    <s v="USD"/>
    <d v="2025-06-01T00:00:00"/>
    <n v="1"/>
    <d v="2025-12-06T00:00:00"/>
    <n v="210"/>
    <s v="IN89"/>
  </r>
  <r>
    <x v="0"/>
    <n v="246779412045"/>
    <x v="21"/>
    <n v="-230"/>
    <n v="-20019.759999999998"/>
    <s v="NO EXCHANGE RATE / 14 DAYS OLDER"/>
    <s v="16/04/2025"/>
    <s v="USD"/>
    <d v="2025-06-01T00:00:00"/>
    <n v="1"/>
    <d v="2025-12-06T00:00:00"/>
    <n v="210"/>
    <s v="IN89"/>
  </r>
  <r>
    <x v="0"/>
    <n v="246779412042"/>
    <x v="21"/>
    <n v="-16.82"/>
    <n v="-1464.05"/>
    <s v="NO EXCHANGE RATE / 14 DAYS OLDER"/>
    <s v="16/04/2025"/>
    <s v="USD"/>
    <d v="2025-06-01T00:00:00"/>
    <n v="1"/>
    <d v="2025-12-06T00:00:00"/>
    <n v="210"/>
    <s v="IN89"/>
  </r>
  <r>
    <x v="0"/>
    <n v="246779412038"/>
    <x v="21"/>
    <n v="-33.64"/>
    <n v="-2928.11"/>
    <s v="NO EXCHANGE RATE / 14 DAYS OLDER"/>
    <s v="16/04/2025"/>
    <s v="USD"/>
    <d v="2025-06-01T00:00:00"/>
    <n v="1"/>
    <d v="2025-12-06T00:00:00"/>
    <n v="210"/>
    <s v="IN89"/>
  </r>
  <r>
    <x v="0"/>
    <n v="246779411901"/>
    <x v="21"/>
    <n v="-12.78"/>
    <n v="-1112.4000000000001"/>
    <m/>
    <s v="16/04/2025"/>
    <s v="USD"/>
    <d v="2025-06-01T00:00:00"/>
    <n v="1"/>
    <d v="2025-12-06T00:00:00"/>
    <n v="210"/>
    <s v="IN89"/>
  </r>
  <r>
    <x v="0"/>
    <n v="246779411906"/>
    <x v="21"/>
    <n v="-34.090000000000003"/>
    <n v="-2967.28"/>
    <m/>
    <s v="16/04/2025"/>
    <s v="USD"/>
    <d v="2025-06-01T00:00:00"/>
    <n v="1"/>
    <d v="2025-12-06T00:00:00"/>
    <n v="210"/>
    <s v="IN89"/>
  </r>
  <r>
    <x v="0"/>
    <n v="246779411911"/>
    <x v="21"/>
    <n v="-29.83"/>
    <n v="-2596.48"/>
    <m/>
    <s v="16/04/2025"/>
    <s v="USD"/>
    <d v="2025-06-01T00:00:00"/>
    <n v="1"/>
    <d v="2025-12-06T00:00:00"/>
    <n v="210"/>
    <s v="IN89"/>
  </r>
  <r>
    <x v="0"/>
    <n v="246779411731"/>
    <x v="21"/>
    <n v="-22.83"/>
    <n v="-1987.18"/>
    <m/>
    <s v="16/04/2025"/>
    <s v="USD"/>
    <d v="2025-06-01T00:00:00"/>
    <n v="1"/>
    <d v="2025-12-06T00:00:00"/>
    <n v="210"/>
    <s v="IN89"/>
  </r>
  <r>
    <x v="0"/>
    <n v="246779411725"/>
    <x v="21"/>
    <n v="-22.83"/>
    <n v="-1987.18"/>
    <m/>
    <s v="16/04/2025"/>
    <s v="USD"/>
    <d v="2025-06-01T00:00:00"/>
    <n v="1"/>
    <d v="2025-12-06T00:00:00"/>
    <n v="210"/>
    <s v="IN89"/>
  </r>
  <r>
    <x v="0"/>
    <n v="246779411905"/>
    <x v="21"/>
    <n v="-7.1"/>
    <n v="-618"/>
    <m/>
    <s v="16/04/2025"/>
    <s v="USD"/>
    <d v="2025-06-01T00:00:00"/>
    <n v="1"/>
    <d v="2025-12-06T00:00:00"/>
    <n v="210"/>
    <s v="IN89"/>
  </r>
  <r>
    <x v="0"/>
    <n v="246779411719"/>
    <x v="21"/>
    <n v="-28.54"/>
    <n v="-2484.19"/>
    <m/>
    <s v="16/04/2025"/>
    <s v="USD"/>
    <d v="2025-06-01T00:00:00"/>
    <n v="1"/>
    <d v="2025-12-06T00:00:00"/>
    <n v="210"/>
    <s v="IN89"/>
  </r>
  <r>
    <x v="0"/>
    <n v="246779411728"/>
    <x v="21"/>
    <n v="-11.42"/>
    <n v="-994.02"/>
    <m/>
    <s v="16/04/2025"/>
    <s v="USD"/>
    <d v="2025-06-01T00:00:00"/>
    <n v="1"/>
    <d v="2025-12-06T00:00:00"/>
    <n v="210"/>
    <s v="IN89"/>
  </r>
  <r>
    <x v="0"/>
    <n v="246779411601"/>
    <x v="21"/>
    <n v="0.47"/>
    <n v="40.909999999999997"/>
    <s v="C: ASCENDAS27 P: A023951 I 246779411601"/>
    <s v="16/04/2025"/>
    <s v="USD"/>
    <d v="2025-06-01T00:00:00"/>
    <n v="1"/>
    <d v="2025-12-06T00:00:00"/>
    <n v="230"/>
    <s v="IN89"/>
  </r>
  <r>
    <x v="0"/>
    <n v="246779411717"/>
    <x v="21"/>
    <n v="0.91"/>
    <n v="79.209999999999994"/>
    <s v="C: ASCENDAS27 P: A023951 I 246779411717"/>
    <s v="16/04/2025"/>
    <s v="USD"/>
    <d v="2025-06-01T00:00:00"/>
    <n v="1"/>
    <d v="2025-12-06T00:00:00"/>
    <n v="230"/>
    <s v="IN89"/>
  </r>
  <r>
    <x v="0"/>
    <n v="246779411913"/>
    <x v="21"/>
    <n v="0.56999999999999995"/>
    <n v="49.61"/>
    <s v="C: ASCENDAS27 P: A023951 I 246779411913"/>
    <s v="16/04/2025"/>
    <s v="USD"/>
    <d v="2025-06-01T00:00:00"/>
    <n v="1"/>
    <d v="2025-12-06T00:00:00"/>
    <n v="230"/>
    <s v="IN89"/>
  </r>
  <r>
    <x v="0"/>
    <n v="246779411740"/>
    <x v="21"/>
    <n v="0.46"/>
    <n v="40.04"/>
    <s v="C: ASCENDAS27 P: A023951 I 246779411740"/>
    <s v="16/04/2025"/>
    <s v="USD"/>
    <d v="2025-06-01T00:00:00"/>
    <n v="1"/>
    <d v="2025-12-06T00:00:00"/>
    <n v="230"/>
    <s v="IN89"/>
  </r>
  <r>
    <x v="0"/>
    <n v="246779412111"/>
    <x v="21"/>
    <n v="8.41"/>
    <n v="732.03"/>
    <s v="C: ASCENDAS27 P: A023951 I 246779412111"/>
    <s v="16/04/2025"/>
    <s v="USD"/>
    <d v="2025-06-01T00:00:00"/>
    <n v="1"/>
    <d v="2025-12-06T00:00:00"/>
    <n v="230"/>
    <s v="IN89"/>
  </r>
  <r>
    <x v="0"/>
    <n v="246779411722"/>
    <x v="21"/>
    <n v="0.8"/>
    <n v="69.63"/>
    <s v="C: ASCENDAS27 P: A023951 I 246779411722"/>
    <s v="16/04/2025"/>
    <s v="USD"/>
    <d v="2025-06-01T00:00:00"/>
    <n v="1"/>
    <d v="2025-12-06T00:00:00"/>
    <n v="230"/>
    <s v="IN89"/>
  </r>
  <r>
    <x v="0"/>
    <n v="246779412041"/>
    <x v="21"/>
    <n v="0.67"/>
    <n v="58.32"/>
    <s v="C: ASCENDAS27 P: A023951 I 246779412041"/>
    <s v="16/04/2025"/>
    <s v="USD"/>
    <d v="2025-06-01T00:00:00"/>
    <n v="1"/>
    <d v="2025-12-06T00:00:00"/>
    <n v="230"/>
    <s v="IN89"/>
  </r>
  <r>
    <x v="0"/>
    <n v="246779411898"/>
    <x v="21"/>
    <n v="0.14000000000000001"/>
    <n v="12.19"/>
    <s v="C: ASCENDAS27 P: A023951 I 246779411898"/>
    <s v="16/04/2025"/>
    <s v="USD"/>
    <d v="2025-06-01T00:00:00"/>
    <n v="1"/>
    <d v="2025-12-06T00:00:00"/>
    <n v="230"/>
    <s v="IN89"/>
  </r>
  <r>
    <x v="0"/>
    <n v="246779411729"/>
    <x v="21"/>
    <n v="0.69"/>
    <n v="60.06"/>
    <s v="C: ASCENDAS27 P: A023951 I 246779411729"/>
    <s v="16/04/2025"/>
    <s v="USD"/>
    <d v="2025-06-01T00:00:00"/>
    <n v="1"/>
    <d v="2025-12-06T00:00:00"/>
    <n v="230"/>
    <s v="IN89"/>
  </r>
  <r>
    <x v="0"/>
    <n v="246779411737"/>
    <x v="21"/>
    <n v="0.56999999999999995"/>
    <n v="49.61"/>
    <s v="C: ASCENDAS27 P: A023951 I 246779411737"/>
    <s v="16/04/2025"/>
    <s v="USD"/>
    <d v="2025-06-01T00:00:00"/>
    <n v="1"/>
    <d v="2025-12-06T00:00:00"/>
    <n v="230"/>
    <s v="IN89"/>
  </r>
  <r>
    <x v="0"/>
    <n v="246779411595"/>
    <x v="21"/>
    <n v="1.03"/>
    <n v="89.65"/>
    <s v="C: ASCENDAS27 P: A023951 I 246779411595"/>
    <s v="16/04/2025"/>
    <s v="USD"/>
    <d v="2025-06-01T00:00:00"/>
    <n v="1"/>
    <d v="2025-12-06T00:00:00"/>
    <n v="230"/>
    <s v="IN89"/>
  </r>
  <r>
    <x v="0"/>
    <n v="246779411727"/>
    <x v="21"/>
    <n v="0.34"/>
    <n v="29.59"/>
    <s v="C: ASCENDAS27 P: A023951 I 246779411727"/>
    <s v="16/04/2025"/>
    <s v="USD"/>
    <d v="2025-06-01T00:00:00"/>
    <n v="1"/>
    <d v="2025-12-06T00:00:00"/>
    <n v="230"/>
    <s v="IN89"/>
  </r>
  <r>
    <x v="0"/>
    <n v="246779411736"/>
    <x v="21"/>
    <n v="0.46"/>
    <n v="40.04"/>
    <s v="C: ASCENDAS27 P: A023951 I 246779411736"/>
    <s v="16/04/2025"/>
    <s v="USD"/>
    <d v="2025-06-01T00:00:00"/>
    <n v="1"/>
    <d v="2025-12-06T00:00:00"/>
    <n v="230"/>
    <s v="IN89"/>
  </r>
  <r>
    <x v="0"/>
    <n v="246779411732"/>
    <x v="21"/>
    <n v="0.56999999999999995"/>
    <n v="49.61"/>
    <s v="C: ASCENDAS27 P: A023951 I 246779411732"/>
    <s v="16/04/2025"/>
    <s v="USD"/>
    <d v="2025-06-01T00:00:00"/>
    <n v="1"/>
    <d v="2025-12-06T00:00:00"/>
    <n v="230"/>
    <s v="IN89"/>
  </r>
  <r>
    <x v="0"/>
    <n v="246779411899"/>
    <x v="21"/>
    <n v="1.25"/>
    <n v="108.8"/>
    <s v="C: ASCENDAS27 P: A023951 I 246779411899"/>
    <s v="16/04/2025"/>
    <s v="USD"/>
    <d v="2025-06-01T00:00:00"/>
    <n v="1"/>
    <d v="2025-12-06T00:00:00"/>
    <n v="230"/>
    <s v="IN89"/>
  </r>
  <r>
    <x v="0"/>
    <n v="246779411914"/>
    <x v="21"/>
    <n v="5.2"/>
    <n v="452.62"/>
    <s v="C: ASCENDAS27 P: A023951 I 246779411914"/>
    <s v="16/04/2025"/>
    <s v="USD"/>
    <d v="2025-06-01T00:00:00"/>
    <n v="1"/>
    <d v="2025-12-06T00:00:00"/>
    <n v="230"/>
    <s v="IN89"/>
  </r>
  <r>
    <x v="0"/>
    <n v="246779411895"/>
    <x v="21"/>
    <n v="0.09"/>
    <n v="7.83"/>
    <s v="C: ASCENDAS27 P: A023951 I 246779411895"/>
    <s v="16/04/2025"/>
    <s v="USD"/>
    <d v="2025-06-01T00:00:00"/>
    <n v="1"/>
    <d v="2025-12-06T00:00:00"/>
    <n v="230"/>
    <s v="IN89"/>
  </r>
  <r>
    <x v="0"/>
    <n v="246779411723"/>
    <x v="21"/>
    <n v="0.91"/>
    <n v="79.209999999999994"/>
    <s v="C: ASCENDAS27 P: A023951 I 246779411723"/>
    <s v="16/04/2025"/>
    <s v="USD"/>
    <d v="2025-06-01T00:00:00"/>
    <n v="1"/>
    <d v="2025-12-06T00:00:00"/>
    <n v="230"/>
    <s v="IN89"/>
  </r>
  <r>
    <x v="0"/>
    <n v="246779411897"/>
    <x v="21"/>
    <n v="0.45"/>
    <n v="39.17"/>
    <s v="C: ASCENDAS27 P: A023951 I 246779411897"/>
    <s v="16/04/2025"/>
    <s v="USD"/>
    <d v="2025-06-01T00:00:00"/>
    <n v="1"/>
    <d v="2025-12-06T00:00:00"/>
    <n v="230"/>
    <s v="IN89"/>
  </r>
  <r>
    <x v="0"/>
    <n v="246779412038"/>
    <x v="21"/>
    <n v="0.67"/>
    <n v="58.32"/>
    <s v="C: ASCENDAS27 P: A023951 I 246779412038"/>
    <s v="16/04/2025"/>
    <s v="USD"/>
    <d v="2025-06-01T00:00:00"/>
    <n v="1"/>
    <d v="2025-12-06T00:00:00"/>
    <n v="230"/>
    <s v="IN89"/>
  </r>
  <r>
    <x v="0"/>
    <n v="246779411909"/>
    <x v="21"/>
    <n v="0.56999999999999995"/>
    <n v="49.61"/>
    <s v="C: ASCENDAS27 P: A023951 I 246779411909"/>
    <s v="16/04/2025"/>
    <s v="USD"/>
    <d v="2025-06-01T00:00:00"/>
    <n v="1"/>
    <d v="2025-12-06T00:00:00"/>
    <n v="230"/>
    <s v="IN89"/>
  </r>
  <r>
    <x v="0"/>
    <n v="246779412042"/>
    <x v="21"/>
    <n v="0.34"/>
    <n v="29.59"/>
    <s v="C: ASCENDAS27 P: A023951 I 246779412042"/>
    <s v="16/04/2025"/>
    <s v="USD"/>
    <d v="2025-06-01T00:00:00"/>
    <n v="1"/>
    <d v="2025-12-06T00:00:00"/>
    <n v="230"/>
    <s v="IN89"/>
  </r>
  <r>
    <x v="0"/>
    <n v="246779411900"/>
    <x v="21"/>
    <n v="1.48"/>
    <n v="128.82"/>
    <s v="C: ASCENDAS27 P: A023951 I 246779411900"/>
    <s v="16/04/2025"/>
    <s v="USD"/>
    <d v="2025-06-01T00:00:00"/>
    <n v="1"/>
    <d v="2025-12-06T00:00:00"/>
    <n v="230"/>
    <s v="IN89"/>
  </r>
  <r>
    <x v="0"/>
    <n v="246779412048"/>
    <x v="21"/>
    <n v="0.46"/>
    <n v="40.04"/>
    <s v="C: ASCENDAS27 P: A023951 I 246779412048"/>
    <s v="16/04/2025"/>
    <s v="USD"/>
    <d v="2025-06-01T00:00:00"/>
    <n v="1"/>
    <d v="2025-12-06T00:00:00"/>
    <n v="230"/>
    <s v="IN89"/>
  </r>
  <r>
    <x v="0"/>
    <n v="246779412046"/>
    <x v="21"/>
    <n v="0.34"/>
    <n v="29.59"/>
    <s v="C: ASCENDAS27 P: A023951 I 246779412046"/>
    <s v="16/04/2025"/>
    <s v="USD"/>
    <d v="2025-06-01T00:00:00"/>
    <n v="1"/>
    <d v="2025-12-06T00:00:00"/>
    <n v="230"/>
    <s v="IN89"/>
  </r>
  <r>
    <x v="0"/>
    <n v="246779411597"/>
    <x v="21"/>
    <n v="1.1499999999999999"/>
    <n v="100.1"/>
    <s v="C: ASCENDAS27 P: A023951 I 246779411597"/>
    <s v="16/04/2025"/>
    <s v="USD"/>
    <d v="2025-06-01T00:00:00"/>
    <n v="1"/>
    <d v="2025-12-06T00:00:00"/>
    <n v="230"/>
    <s v="IN89"/>
  </r>
  <r>
    <x v="0"/>
    <n v="246779411637"/>
    <x v="21"/>
    <n v="8.59"/>
    <n v="747.69"/>
    <s v="C: ASCENDAS27 P: A023951 I 246779411637"/>
    <s v="16/04/2025"/>
    <s v="USD"/>
    <d v="2025-06-01T00:00:00"/>
    <n v="1"/>
    <d v="2025-12-06T00:00:00"/>
    <n v="230"/>
    <s v="IN89"/>
  </r>
  <r>
    <x v="0"/>
    <n v="246779411721"/>
    <x v="21"/>
    <n v="10.51"/>
    <n v="914.82"/>
    <s v="C: ASCENDAS27 P: A023951 I 246779411721"/>
    <s v="16/04/2025"/>
    <s v="USD"/>
    <d v="2025-06-01T00:00:00"/>
    <n v="1"/>
    <d v="2025-12-06T00:00:00"/>
    <n v="230"/>
    <s v="IN89"/>
  </r>
  <r>
    <x v="0"/>
    <n v="246779411720"/>
    <x v="21"/>
    <n v="0.34"/>
    <n v="29.59"/>
    <s v="C: ASCENDAS27 P: A023951 I 246779411720"/>
    <s v="16/04/2025"/>
    <s v="USD"/>
    <d v="2025-06-01T00:00:00"/>
    <n v="1"/>
    <d v="2025-12-06T00:00:00"/>
    <n v="230"/>
    <s v="IN89"/>
  </r>
  <r>
    <x v="0"/>
    <n v="246779412043"/>
    <x v="21"/>
    <n v="0.34"/>
    <n v="29.59"/>
    <s v="C: ASCENDAS27 P: A023951 I 246779412043"/>
    <s v="16/04/2025"/>
    <s v="USD"/>
    <d v="2025-06-01T00:00:00"/>
    <n v="1"/>
    <d v="2025-12-06T00:00:00"/>
    <n v="230"/>
    <s v="IN89"/>
  </r>
  <r>
    <x v="0"/>
    <n v="246779411718"/>
    <x v="21"/>
    <n v="0.46"/>
    <n v="40.04"/>
    <s v="C: ASCENDAS27 P: A023951 I 246779411718"/>
    <s v="16/04/2025"/>
    <s v="USD"/>
    <d v="2025-06-01T00:00:00"/>
    <n v="1"/>
    <d v="2025-12-06T00:00:00"/>
    <n v="230"/>
    <s v="IN89"/>
  </r>
  <r>
    <x v="0"/>
    <n v="246779411896"/>
    <x v="21"/>
    <n v="0.8"/>
    <n v="69.63"/>
    <s v="C: ASCENDAS27 P: A023951 I 246779411896"/>
    <s v="16/04/2025"/>
    <s v="USD"/>
    <d v="2025-06-01T00:00:00"/>
    <n v="1"/>
    <d v="2025-12-06T00:00:00"/>
    <n v="230"/>
    <s v="IN89"/>
  </r>
  <r>
    <x v="0"/>
    <n v="246779411738"/>
    <x v="21"/>
    <n v="0.56999999999999995"/>
    <n v="49.61"/>
    <s v="C: ASCENDAS27 P: A023951 I 246779411738"/>
    <s v="16/04/2025"/>
    <s v="USD"/>
    <d v="2025-06-01T00:00:00"/>
    <n v="1"/>
    <d v="2025-12-06T00:00:00"/>
    <n v="230"/>
    <s v="IN89"/>
  </r>
  <r>
    <x v="0"/>
    <n v="246779411598"/>
    <x v="21"/>
    <n v="1.83"/>
    <n v="159.29"/>
    <s v="C: ASCENDAS27 P: A023951 I 246779411598"/>
    <s v="16/04/2025"/>
    <s v="USD"/>
    <d v="2025-06-01T00:00:00"/>
    <n v="1"/>
    <d v="2025-12-06T00:00:00"/>
    <n v="230"/>
    <s v="IN89"/>
  </r>
  <r>
    <x v="0"/>
    <n v="246779411903"/>
    <x v="21"/>
    <n v="7.0000000000000007E-2"/>
    <n v="6.09"/>
    <s v="C: ASCENDAS27 P: A023951 I 246779411903"/>
    <s v="16/04/2025"/>
    <s v="USD"/>
    <d v="2025-06-01T00:00:00"/>
    <n v="1"/>
    <d v="2025-12-06T00:00:00"/>
    <n v="230"/>
    <s v="IN89"/>
  </r>
  <r>
    <x v="0"/>
    <n v="246779411593"/>
    <x v="21"/>
    <n v="0.8"/>
    <n v="69.63"/>
    <s v="C: ASCENDAS27 P: A023951 I 246779411593"/>
    <s v="16/04/2025"/>
    <s v="USD"/>
    <d v="2025-06-01T00:00:00"/>
    <n v="1"/>
    <d v="2025-12-06T00:00:00"/>
    <n v="230"/>
    <s v="IN89"/>
  </r>
  <r>
    <x v="0"/>
    <n v="246779411915"/>
    <x v="21"/>
    <n v="0.46"/>
    <n v="40.04"/>
    <s v="C: ASCENDAS27 P: A023951 I 246779411915"/>
    <s v="16/04/2025"/>
    <s v="USD"/>
    <d v="2025-06-01T00:00:00"/>
    <n v="1"/>
    <d v="2025-12-06T00:00:00"/>
    <n v="230"/>
    <s v="IN89"/>
  </r>
  <r>
    <x v="0"/>
    <n v="246779411739"/>
    <x v="21"/>
    <n v="0.69"/>
    <n v="60.06"/>
    <s v="C: ASCENDAS27 P: A023951 I 246779411739"/>
    <s v="16/04/2025"/>
    <s v="USD"/>
    <d v="2025-06-01T00:00:00"/>
    <n v="1"/>
    <d v="2025-12-06T00:00:00"/>
    <n v="230"/>
    <s v="IN89"/>
  </r>
  <r>
    <x v="0"/>
    <n v="246779412040"/>
    <x v="21"/>
    <n v="0.34"/>
    <n v="29.59"/>
    <s v="C: ASCENDAS27 P: A023951 I 246779412040"/>
    <s v="16/04/2025"/>
    <s v="USD"/>
    <d v="2025-06-01T00:00:00"/>
    <n v="1"/>
    <d v="2025-12-06T00:00:00"/>
    <n v="230"/>
    <s v="IN89"/>
  </r>
  <r>
    <x v="0"/>
    <n v="246779412045"/>
    <x v="21"/>
    <n v="4.5999999999999996"/>
    <n v="400.4"/>
    <s v="C: ASCENDAS27 P: A023951 I 246779412045"/>
    <s v="16/04/2025"/>
    <s v="USD"/>
    <d v="2025-06-01T00:00:00"/>
    <n v="1"/>
    <d v="2025-12-06T00:00:00"/>
    <n v="230"/>
    <s v="IN89"/>
  </r>
  <r>
    <x v="0"/>
    <n v="246779411596"/>
    <x v="21"/>
    <n v="1.49"/>
    <n v="129.69"/>
    <s v="C: ASCENDAS27 P: A023951 I 246779411596"/>
    <s v="16/04/2025"/>
    <s v="USD"/>
    <d v="2025-06-01T00:00:00"/>
    <n v="1"/>
    <d v="2025-12-06T00:00:00"/>
    <n v="230"/>
    <s v="IN89"/>
  </r>
  <r>
    <x v="0"/>
    <n v="246779411733"/>
    <x v="21"/>
    <n v="0.34"/>
    <n v="29.59"/>
    <s v="C: ASCENDAS27 P: A023951 I 246779411733"/>
    <s v="16/04/2025"/>
    <s v="USD"/>
    <d v="2025-06-01T00:00:00"/>
    <n v="1"/>
    <d v="2025-12-06T00:00:00"/>
    <n v="230"/>
    <s v="IN89"/>
  </r>
  <r>
    <x v="0"/>
    <n v="246779411594"/>
    <x v="21"/>
    <n v="0.34"/>
    <n v="29.59"/>
    <s v="C: ASCENDAS27 P: A023951 I 246779411594"/>
    <s v="16/04/2025"/>
    <s v="USD"/>
    <d v="2025-06-01T00:00:00"/>
    <n v="1"/>
    <d v="2025-12-06T00:00:00"/>
    <n v="230"/>
    <s v="IN89"/>
  </r>
  <r>
    <x v="0"/>
    <n v="246779411734"/>
    <x v="21"/>
    <n v="0.46"/>
    <n v="40.04"/>
    <s v="C: ASCENDAS27 P: A023951 I 246779411734"/>
    <s v="16/04/2025"/>
    <s v="USD"/>
    <d v="2025-06-01T00:00:00"/>
    <n v="1"/>
    <d v="2025-12-06T00:00:00"/>
    <n v="230"/>
    <s v="IN89"/>
  </r>
  <r>
    <x v="0"/>
    <n v="246779411741"/>
    <x v="21"/>
    <n v="4.8"/>
    <n v="417.8"/>
    <s v="C: ASCENDAS27 P: A023951 I 246779411741"/>
    <s v="16/04/2025"/>
    <s v="USD"/>
    <d v="2025-06-01T00:00:00"/>
    <n v="1"/>
    <d v="2025-12-06T00:00:00"/>
    <n v="230"/>
    <s v="IN89"/>
  </r>
  <r>
    <x v="0"/>
    <n v="246779411902"/>
    <x v="21"/>
    <n v="0.04"/>
    <n v="3.48"/>
    <s v="C: ASCENDAS27 P: A023951 I 246779411902"/>
    <s v="16/04/2025"/>
    <s v="USD"/>
    <d v="2025-06-01T00:00:00"/>
    <n v="1"/>
    <d v="2025-12-06T00:00:00"/>
    <n v="230"/>
    <s v="IN89"/>
  </r>
  <r>
    <x v="0"/>
    <n v="246779411910"/>
    <x v="21"/>
    <n v="0.56999999999999995"/>
    <n v="49.61"/>
    <s v="C: ASCENDAS27 P: A023951 I 246779411910"/>
    <s v="16/04/2025"/>
    <s v="USD"/>
    <d v="2025-06-01T00:00:00"/>
    <n v="1"/>
    <d v="2025-12-06T00:00:00"/>
    <n v="230"/>
    <s v="IN89"/>
  </r>
  <r>
    <x v="0"/>
    <n v="246779411600"/>
    <x v="21"/>
    <n v="0.05"/>
    <n v="4.3499999999999996"/>
    <s v="C: ASCENDAS27 P: A023951 I 246779411600"/>
    <s v="16/04/2025"/>
    <s v="USD"/>
    <d v="2025-06-01T00:00:00"/>
    <n v="1"/>
    <d v="2025-12-06T00:00:00"/>
    <n v="230"/>
    <s v="IN89"/>
  </r>
  <r>
    <x v="0"/>
    <n v="246779411907"/>
    <x v="21"/>
    <n v="0.34"/>
    <n v="29.59"/>
    <s v="C: ASCENDAS27 P: A023951 I 246779411907"/>
    <s v="16/04/2025"/>
    <s v="USD"/>
    <d v="2025-06-01T00:00:00"/>
    <n v="1"/>
    <d v="2025-12-06T00:00:00"/>
    <n v="230"/>
    <s v="IN89"/>
  </r>
  <r>
    <x v="0"/>
    <n v="246779412044"/>
    <x v="21"/>
    <n v="0.61"/>
    <n v="53.1"/>
    <s v="C: ASCENDAS27 P: A023951 I 246779412044"/>
    <s v="16/04/2025"/>
    <s v="USD"/>
    <d v="2025-06-01T00:00:00"/>
    <n v="1"/>
    <d v="2025-12-06T00:00:00"/>
    <n v="230"/>
    <s v="IN89"/>
  </r>
  <r>
    <x v="0"/>
    <n v="246779411724"/>
    <x v="21"/>
    <n v="1.37"/>
    <n v="119.25"/>
    <s v="C: ASCENDAS27 P: A023951 I 246779411724"/>
    <s v="16/04/2025"/>
    <s v="USD"/>
    <d v="2025-06-01T00:00:00"/>
    <n v="1"/>
    <d v="2025-12-06T00:00:00"/>
    <n v="230"/>
    <s v="IN89"/>
  </r>
  <r>
    <x v="0"/>
    <n v="246779411726"/>
    <x v="21"/>
    <n v="0.56999999999999995"/>
    <n v="49.61"/>
    <s v="C: ASCENDAS27 P: A023951 I 246779411726"/>
    <s v="16/04/2025"/>
    <s v="USD"/>
    <d v="2025-06-01T00:00:00"/>
    <n v="1"/>
    <d v="2025-12-06T00:00:00"/>
    <n v="230"/>
    <s v="IN89"/>
  </r>
  <r>
    <x v="0"/>
    <n v="246779411599"/>
    <x v="21"/>
    <n v="0.76"/>
    <n v="66.150000000000006"/>
    <s v="C: ASCENDAS27 P: A023951 I 246779411599"/>
    <s v="16/04/2025"/>
    <s v="USD"/>
    <d v="2025-06-01T00:00:00"/>
    <n v="1"/>
    <d v="2025-12-06T00:00:00"/>
    <n v="230"/>
    <s v="IN89"/>
  </r>
  <r>
    <x v="0"/>
    <n v="246779411735"/>
    <x v="21"/>
    <n v="9.59"/>
    <n v="834.74"/>
    <s v="C: ASCENDAS27 P: A023951 I 246779411735"/>
    <s v="16/04/2025"/>
    <s v="USD"/>
    <d v="2025-06-01T00:00:00"/>
    <n v="1"/>
    <d v="2025-12-06T00:00:00"/>
    <n v="230"/>
    <s v="IN89"/>
  </r>
  <r>
    <x v="0"/>
    <n v="246779411725"/>
    <x v="21"/>
    <n v="0.46"/>
    <n v="40.04"/>
    <s v="C: ASCENDAS27 P: A023951 I 246779411725"/>
    <s v="16/04/2025"/>
    <s v="USD"/>
    <d v="2025-06-01T00:00:00"/>
    <n v="1"/>
    <d v="2025-12-06T00:00:00"/>
    <n v="230"/>
    <s v="IN89"/>
  </r>
  <r>
    <x v="0"/>
    <n v="246779411911"/>
    <x v="21"/>
    <n v="0.6"/>
    <n v="52.23"/>
    <s v="C: ASCENDAS27 P: A023951 I 246779411911"/>
    <s v="16/04/2025"/>
    <s v="USD"/>
    <d v="2025-06-01T00:00:00"/>
    <n v="1"/>
    <d v="2025-12-06T00:00:00"/>
    <n v="230"/>
    <s v="IN89"/>
  </r>
  <r>
    <x v="0"/>
    <n v="246779411901"/>
    <x v="21"/>
    <n v="0.26"/>
    <n v="22.63"/>
    <s v="C: ASCENDAS27 P: A023951 I 246779411901"/>
    <s v="16/04/2025"/>
    <s v="USD"/>
    <d v="2025-06-01T00:00:00"/>
    <n v="1"/>
    <d v="2025-12-06T00:00:00"/>
    <n v="230"/>
    <s v="IN89"/>
  </r>
  <r>
    <x v="0"/>
    <n v="246779411905"/>
    <x v="21"/>
    <n v="0.14000000000000001"/>
    <n v="12.19"/>
    <s v="C: ASCENDAS27 P: A023951 I 246779411905"/>
    <s v="16/04/2025"/>
    <s v="USD"/>
    <d v="2025-06-01T00:00:00"/>
    <n v="1"/>
    <d v="2025-12-06T00:00:00"/>
    <n v="230"/>
    <s v="IN89"/>
  </r>
  <r>
    <x v="0"/>
    <n v="246779411731"/>
    <x v="21"/>
    <n v="0.46"/>
    <n v="40.04"/>
    <s v="C: ASCENDAS27 P: A023951 I 246779411731"/>
    <s v="16/04/2025"/>
    <s v="USD"/>
    <d v="2025-06-01T00:00:00"/>
    <n v="1"/>
    <d v="2025-12-06T00:00:00"/>
    <n v="230"/>
    <s v="IN89"/>
  </r>
  <r>
    <x v="0"/>
    <n v="246779411719"/>
    <x v="21"/>
    <n v="0.56999999999999995"/>
    <n v="49.61"/>
    <s v="C: ASCENDAS27 P: A023951 I 246779411719"/>
    <s v="16/04/2025"/>
    <s v="USD"/>
    <d v="2025-06-01T00:00:00"/>
    <n v="1"/>
    <d v="2025-12-06T00:00:00"/>
    <n v="230"/>
    <s v="IN89"/>
  </r>
  <r>
    <x v="0"/>
    <n v="246779411906"/>
    <x v="21"/>
    <n v="0.68"/>
    <n v="59.19"/>
    <s v="C: ASCENDAS27 P: A023951 I 246779411906"/>
    <s v="16/04/2025"/>
    <s v="USD"/>
    <d v="2025-06-01T00:00:00"/>
    <n v="1"/>
    <d v="2025-12-06T00:00:00"/>
    <n v="230"/>
    <s v="IN89"/>
  </r>
  <r>
    <x v="0"/>
    <n v="246779411904"/>
    <x v="21"/>
    <n v="-58.94"/>
    <n v="-5130.28"/>
    <m/>
    <s v="16/04/2025"/>
    <s v="USD"/>
    <d v="2025-06-01T00:00:00"/>
    <n v="1"/>
    <d v="2025-12-06T00:00:00"/>
    <n v="210"/>
    <s v="IN89"/>
  </r>
  <r>
    <x v="0"/>
    <n v="246779411728"/>
    <x v="21"/>
    <n v="0.23"/>
    <n v="20.02"/>
    <s v="C: ASCENDAS27 P: A023951 I 246779411728"/>
    <s v="16/04/2025"/>
    <s v="USD"/>
    <d v="2025-06-01T00:00:00"/>
    <n v="1"/>
    <d v="2025-12-06T00:00:00"/>
    <n v="230"/>
    <s v="IN89"/>
  </r>
  <r>
    <x v="0"/>
    <n v="246779411912"/>
    <x v="21"/>
    <n v="-11.36"/>
    <n v="-988.8"/>
    <m/>
    <s v="16/04/2025"/>
    <s v="USD"/>
    <d v="2025-06-01T00:00:00"/>
    <n v="1"/>
    <d v="2025-12-06T00:00:00"/>
    <n v="210"/>
    <s v="IN89"/>
  </r>
  <r>
    <x v="0"/>
    <n v="246779411904"/>
    <x v="21"/>
    <n v="1.18"/>
    <n v="102.71"/>
    <s v="C: ASCENDAS27 P: A023951 I 246779411904"/>
    <s v="16/04/2025"/>
    <s v="USD"/>
    <d v="2025-06-01T00:00:00"/>
    <n v="1"/>
    <d v="2025-12-06T00:00:00"/>
    <n v="230"/>
    <s v="IN89"/>
  </r>
  <r>
    <x v="0"/>
    <n v="246779411912"/>
    <x v="21"/>
    <n v="0.23"/>
    <n v="20.02"/>
    <s v="C: ASCENDAS27 P: A023951 I 246779411912"/>
    <s v="16/04/2025"/>
    <s v="USD"/>
    <d v="2025-06-01T00:00:00"/>
    <n v="1"/>
    <d v="2025-12-06T00:00:00"/>
    <n v="230"/>
    <s v="IN89"/>
  </r>
  <r>
    <x v="0"/>
    <n v="246779412036"/>
    <x v="21"/>
    <n v="-28.03"/>
    <n v="-2439.8000000000002"/>
    <m/>
    <s v="16/04/2025"/>
    <s v="USD"/>
    <d v="2025-06-01T00:00:00"/>
    <n v="1"/>
    <d v="2025-12-06T00:00:00"/>
    <n v="210"/>
    <s v="IN89"/>
  </r>
  <r>
    <x v="0"/>
    <n v="246779412034"/>
    <x v="21"/>
    <n v="-33.64"/>
    <n v="-2928.11"/>
    <m/>
    <s v="16/04/2025"/>
    <s v="USD"/>
    <d v="2025-06-01T00:00:00"/>
    <n v="1"/>
    <d v="2025-12-06T00:00:00"/>
    <n v="210"/>
    <s v="IN89"/>
  </r>
  <r>
    <x v="0"/>
    <n v="246779412039"/>
    <x v="21"/>
    <n v="-56.06"/>
    <n v="-4879.6000000000004"/>
    <m/>
    <s v="16/04/2025"/>
    <s v="USD"/>
    <d v="2025-06-01T00:00:00"/>
    <n v="1"/>
    <d v="2025-12-06T00:00:00"/>
    <n v="210"/>
    <s v="IN89"/>
  </r>
  <r>
    <x v="0"/>
    <n v="246779412028"/>
    <x v="21"/>
    <n v="-28.03"/>
    <n v="-2439.8000000000002"/>
    <m/>
    <s v="16/04/2025"/>
    <s v="USD"/>
    <d v="2025-06-01T00:00:00"/>
    <n v="1"/>
    <d v="2025-12-06T00:00:00"/>
    <n v="210"/>
    <s v="IN89"/>
  </r>
  <r>
    <x v="0"/>
    <n v="246779412037"/>
    <x v="21"/>
    <n v="-44.85"/>
    <n v="-3903.85"/>
    <s v="NO EXCHANGE RATE / 14 DAYS OLDER"/>
    <s v="16/04/2025"/>
    <s v="USD"/>
    <d v="2025-06-01T00:00:00"/>
    <n v="1"/>
    <d v="2025-12-06T00:00:00"/>
    <n v="210"/>
    <s v="IN89"/>
  </r>
  <r>
    <x v="0"/>
    <n v="246779412032"/>
    <x v="21"/>
    <n v="-33.64"/>
    <n v="-2928.11"/>
    <m/>
    <s v="16/04/2025"/>
    <s v="USD"/>
    <d v="2025-06-01T00:00:00"/>
    <n v="1"/>
    <d v="2025-12-06T00:00:00"/>
    <n v="210"/>
    <s v="IN89"/>
  </r>
  <r>
    <x v="0"/>
    <n v="246779412030"/>
    <x v="21"/>
    <n v="-16.82"/>
    <n v="-1464.05"/>
    <m/>
    <s v="16/04/2025"/>
    <s v="USD"/>
    <d v="2025-06-01T00:00:00"/>
    <n v="1"/>
    <d v="2025-12-06T00:00:00"/>
    <n v="210"/>
    <s v="IN89"/>
  </r>
  <r>
    <x v="0"/>
    <n v="246779412035"/>
    <x v="21"/>
    <n v="-72.88"/>
    <n v="-6343.65"/>
    <m/>
    <s v="16/04/2025"/>
    <s v="USD"/>
    <d v="2025-06-01T00:00:00"/>
    <n v="1"/>
    <d v="2025-12-06T00:00:00"/>
    <n v="210"/>
    <s v="IN89"/>
  </r>
  <r>
    <x v="0"/>
    <n v="246779412031"/>
    <x v="21"/>
    <n v="-28.03"/>
    <n v="-2439.8000000000002"/>
    <s v="NO EXCHANGE RATE / 14 DAYS OLDER"/>
    <s v="16/04/2025"/>
    <s v="USD"/>
    <d v="2025-06-01T00:00:00"/>
    <n v="1"/>
    <d v="2025-12-06T00:00:00"/>
    <n v="210"/>
    <s v="IN89"/>
  </r>
  <r>
    <x v="0"/>
    <n v="246779412029"/>
    <x v="21"/>
    <n v="-22.42"/>
    <n v="-1951.49"/>
    <m/>
    <s v="16/04/2025"/>
    <s v="USD"/>
    <d v="2025-06-01T00:00:00"/>
    <n v="1"/>
    <d v="2025-12-06T00:00:00"/>
    <n v="210"/>
    <s v="IN89"/>
  </r>
  <r>
    <x v="0"/>
    <n v="246779412032"/>
    <x v="21"/>
    <n v="0.67"/>
    <n v="58.32"/>
    <s v="C: ASCENDAS27 P: A023951 I 246779412032"/>
    <s v="16/04/2025"/>
    <s v="USD"/>
    <d v="2025-06-01T00:00:00"/>
    <n v="1"/>
    <d v="2025-12-06T00:00:00"/>
    <n v="230"/>
    <s v="IN89"/>
  </r>
  <r>
    <x v="0"/>
    <n v="246779412037"/>
    <x v="21"/>
    <n v="0.9"/>
    <n v="78.34"/>
    <s v="C: ASCENDAS27 P: A023951 I 246779412037"/>
    <s v="16/04/2025"/>
    <s v="USD"/>
    <d v="2025-06-01T00:00:00"/>
    <n v="1"/>
    <d v="2025-12-06T00:00:00"/>
    <n v="230"/>
    <s v="IN89"/>
  </r>
  <r>
    <x v="0"/>
    <n v="246779412030"/>
    <x v="21"/>
    <n v="0.34"/>
    <n v="29.59"/>
    <s v="C: ASCENDAS27 P: A023951 I 246779412030"/>
    <s v="16/04/2025"/>
    <s v="USD"/>
    <d v="2025-06-01T00:00:00"/>
    <n v="1"/>
    <d v="2025-12-06T00:00:00"/>
    <n v="230"/>
    <s v="IN89"/>
  </r>
  <r>
    <x v="0"/>
    <n v="246779412034"/>
    <x v="21"/>
    <n v="0.67"/>
    <n v="58.32"/>
    <s v="C: ASCENDAS27 P: A023951 I 246779412034"/>
    <s v="16/04/2025"/>
    <s v="USD"/>
    <d v="2025-06-01T00:00:00"/>
    <n v="1"/>
    <d v="2025-12-06T00:00:00"/>
    <n v="230"/>
    <s v="IN89"/>
  </r>
  <r>
    <x v="0"/>
    <n v="246779412039"/>
    <x v="21"/>
    <n v="1.1200000000000001"/>
    <n v="97.49"/>
    <s v="C: ASCENDAS27 P: A023951 I 246779412039"/>
    <s v="16/04/2025"/>
    <s v="USD"/>
    <d v="2025-06-01T00:00:00"/>
    <n v="1"/>
    <d v="2025-12-06T00:00:00"/>
    <n v="230"/>
    <s v="IN89"/>
  </r>
  <r>
    <x v="0"/>
    <n v="246779412036"/>
    <x v="21"/>
    <n v="0.56000000000000005"/>
    <n v="48.74"/>
    <s v="C: ASCENDAS27 P: A023951 I 246779412036"/>
    <s v="16/04/2025"/>
    <s v="USD"/>
    <d v="2025-06-01T00:00:00"/>
    <n v="1"/>
    <d v="2025-12-06T00:00:00"/>
    <n v="230"/>
    <s v="IN89"/>
  </r>
  <r>
    <x v="0"/>
    <n v="246779412028"/>
    <x v="21"/>
    <n v="0.56000000000000005"/>
    <n v="48.74"/>
    <s v="C: ASCENDAS27 P: A023951 I 246779412028"/>
    <s v="16/04/2025"/>
    <s v="USD"/>
    <d v="2025-06-01T00:00:00"/>
    <n v="1"/>
    <d v="2025-12-06T00:00:00"/>
    <n v="230"/>
    <s v="IN89"/>
  </r>
  <r>
    <x v="0"/>
    <n v="246779412031"/>
    <x v="21"/>
    <n v="0.56000000000000005"/>
    <n v="48.74"/>
    <s v="C: ASCENDAS27 P: A023951 I 246779412031"/>
    <s v="16/04/2025"/>
    <s v="USD"/>
    <d v="2025-06-01T00:00:00"/>
    <n v="1"/>
    <d v="2025-12-06T00:00:00"/>
    <n v="230"/>
    <s v="IN89"/>
  </r>
  <r>
    <x v="0"/>
    <n v="246779412029"/>
    <x v="21"/>
    <n v="0.45"/>
    <n v="39.17"/>
    <s v="C: ASCENDAS27 P: A023951 I 246779412029"/>
    <s v="16/04/2025"/>
    <s v="USD"/>
    <d v="2025-06-01T00:00:00"/>
    <n v="1"/>
    <d v="2025-12-06T00:00:00"/>
    <n v="230"/>
    <s v="IN89"/>
  </r>
  <r>
    <x v="0"/>
    <n v="246779412035"/>
    <x v="21"/>
    <n v="1.46"/>
    <n v="127.08"/>
    <s v="C: ASCENDAS27 P: A023951 I 246779412035"/>
    <s v="16/04/2025"/>
    <s v="USD"/>
    <d v="2025-06-01T00:00:00"/>
    <n v="1"/>
    <d v="2025-12-06T00:00:00"/>
    <n v="230"/>
    <s v="IN89"/>
  </r>
  <r>
    <x v="0"/>
    <n v="246779411973"/>
    <x v="21"/>
    <n v="-426.09"/>
    <n v="-37087.9"/>
    <m/>
    <s v="16/04/2025"/>
    <s v="USD"/>
    <d v="2025-06-01T00:00:00"/>
    <n v="1"/>
    <s v="30/06/2025"/>
    <n v="210"/>
    <s v="IN89"/>
  </r>
  <r>
    <x v="0"/>
    <n v="246779412033"/>
    <x v="21"/>
    <n v="-22.42"/>
    <n v="-1951.49"/>
    <m/>
    <s v="16/04/2025"/>
    <s v="USD"/>
    <d v="2025-06-01T00:00:00"/>
    <n v="1"/>
    <s v="30/06/2025"/>
    <n v="210"/>
    <s v="IN89"/>
  </r>
  <r>
    <x v="0"/>
    <n v="246779412047"/>
    <x v="21"/>
    <n v="-28.03"/>
    <n v="-2439.8000000000002"/>
    <m/>
    <s v="16/04/2025"/>
    <s v="USD"/>
    <d v="2025-06-01T00:00:00"/>
    <n v="1"/>
    <s v="30/06/2025"/>
    <n v="210"/>
    <s v="IN89"/>
  </r>
  <r>
    <x v="0"/>
    <n v="246779411908"/>
    <x v="21"/>
    <n v="-28.41"/>
    <n v="-2472.88"/>
    <m/>
    <s v="16/04/2025"/>
    <s v="USD"/>
    <d v="2025-06-01T00:00:00"/>
    <n v="1"/>
    <s v="30/06/2025"/>
    <n v="210"/>
    <s v="IN89"/>
  </r>
  <r>
    <x v="0"/>
    <n v="246779411973"/>
    <x v="21"/>
    <n v="8.52"/>
    <n v="741.6"/>
    <s v="C: ASCENDAS27 P: A023951 I 246779411973"/>
    <s v="16/04/2025"/>
    <s v="USD"/>
    <d v="2025-06-01T00:00:00"/>
    <n v="1"/>
    <s v="30/06/2025"/>
    <n v="230"/>
    <s v="IN89"/>
  </r>
  <r>
    <x v="0"/>
    <n v="246779412047"/>
    <x v="21"/>
    <n v="0.56000000000000005"/>
    <n v="48.74"/>
    <s v="C: ASCENDAS27 P: A023951 I 246779412047"/>
    <s v="16/04/2025"/>
    <s v="USD"/>
    <d v="2025-06-01T00:00:00"/>
    <n v="1"/>
    <s v="30/06/2025"/>
    <n v="230"/>
    <s v="IN89"/>
  </r>
  <r>
    <x v="0"/>
    <n v="246779411908"/>
    <x v="21"/>
    <n v="0.56999999999999995"/>
    <n v="49.61"/>
    <s v="C: ASCENDAS27 P: A023951 I 246779411908"/>
    <s v="16/04/2025"/>
    <s v="USD"/>
    <d v="2025-06-01T00:00:00"/>
    <n v="1"/>
    <s v="30/06/2025"/>
    <n v="230"/>
    <s v="IN89"/>
  </r>
  <r>
    <x v="0"/>
    <n v="246779412033"/>
    <x v="21"/>
    <n v="0.45"/>
    <n v="39.17"/>
    <s v="C: ASCENDAS27 P: A023951 I 246779412033"/>
    <s v="16/04/2025"/>
    <s v="USD"/>
    <d v="2025-06-01T00:00:00"/>
    <n v="1"/>
    <s v="30/06/2025"/>
    <n v="230"/>
    <s v="IN89"/>
  </r>
  <r>
    <x v="0"/>
    <n v="246779411973"/>
    <x v="21"/>
    <n v="0"/>
    <n v="439.66"/>
    <s v="C: ASCENDAS27 P: Matching"/>
    <s v="16/04/2025"/>
    <s v="USD"/>
    <d v="2025-06-01T00:00:00"/>
    <n v="4"/>
    <s v="30/06/2025"/>
    <n v="271"/>
    <s v="IN89"/>
  </r>
  <r>
    <x v="0"/>
    <n v="246779412033"/>
    <x v="21"/>
    <n v="0"/>
    <n v="23.13"/>
    <s v="C: ASCENDAS27 P: Matching"/>
    <s v="16/04/2025"/>
    <s v="USD"/>
    <d v="2025-06-01T00:00:00"/>
    <n v="6"/>
    <s v="30/06/2025"/>
    <n v="271"/>
    <s v="IN89"/>
  </r>
  <r>
    <x v="0"/>
    <n v="246779412047"/>
    <x v="21"/>
    <n v="0"/>
    <n v="28.93"/>
    <s v="C: ASCENDAS27 P: Matching"/>
    <s v="16/04/2025"/>
    <s v="USD"/>
    <d v="2025-06-01T00:00:00"/>
    <n v="86"/>
    <s v="30/06/2025"/>
    <n v="271"/>
    <s v="IN89"/>
  </r>
  <r>
    <x v="0"/>
    <n v="246779411908"/>
    <x v="21"/>
    <n v="0"/>
    <n v="29.32"/>
    <s v="C: ASCENDAS27 P: Matching"/>
    <s v="16/04/2025"/>
    <s v="USD"/>
    <d v="2025-06-01T00:00:00"/>
    <n v="94"/>
    <s v="30/06/2025"/>
    <n v="271"/>
    <s v="IN89"/>
  </r>
  <r>
    <x v="0"/>
    <n v="246779411730"/>
    <x v="21"/>
    <n v="-11.42"/>
    <n v="-994.02"/>
    <m/>
    <s v="16/04/2025"/>
    <s v="USD"/>
    <d v="2025-11-01T00:00:00"/>
    <n v="1"/>
    <s v="30/11/2025"/>
    <n v="210"/>
    <s v="IN89"/>
  </r>
  <r>
    <x v="0"/>
    <n v="246779411789"/>
    <x v="21"/>
    <n v="-428.11"/>
    <n v="-37263.730000000003"/>
    <m/>
    <s v="16/04/2025"/>
    <s v="USD"/>
    <d v="2025-11-01T00:00:00"/>
    <n v="1"/>
    <s v="30/11/2025"/>
    <n v="210"/>
    <s v="IN89"/>
  </r>
  <r>
    <x v="0"/>
    <n v="246779411789"/>
    <x v="21"/>
    <n v="8.56"/>
    <n v="745.08"/>
    <s v="C: ASCENDAS27 P: A023951 I 246779411789"/>
    <s v="16/04/2025"/>
    <s v="USD"/>
    <d v="2025-11-01T00:00:00"/>
    <n v="1"/>
    <s v="30/11/2025"/>
    <n v="230"/>
    <s v="IN89"/>
  </r>
  <r>
    <x v="0"/>
    <n v="246779411730"/>
    <x v="21"/>
    <n v="0.23"/>
    <n v="20.02"/>
    <s v="C: ASCENDAS27 P: A023951 I 246779411730"/>
    <s v="16/04/2025"/>
    <s v="USD"/>
    <d v="2025-11-01T00:00:00"/>
    <n v="1"/>
    <s v="30/11/2025"/>
    <n v="230"/>
    <s v="IN89"/>
  </r>
  <r>
    <x v="0"/>
    <n v="246779411730"/>
    <x v="21"/>
    <n v="0"/>
    <n v="-23.64"/>
    <s v="C: ASCENDAS27 P: Matching"/>
    <s v="16/04/2025"/>
    <s v="USD"/>
    <d v="2025-11-01T00:00:00"/>
    <n v="52"/>
    <s v="30/11/2025"/>
    <n v="271"/>
    <s v="IN89"/>
  </r>
  <r>
    <x v="0"/>
    <n v="246779411789"/>
    <x v="21"/>
    <n v="0"/>
    <n v="-886.24"/>
    <s v="C: ASCENDAS27 P: Matching"/>
    <s v="16/04/2025"/>
    <s v="USD"/>
    <d v="2025-11-01T00:00:00"/>
    <n v="54"/>
    <s v="30/11/2025"/>
    <n v="271"/>
    <s v="IN89"/>
  </r>
  <r>
    <x v="0"/>
    <n v="256779412012"/>
    <x v="22"/>
    <n v="0"/>
    <n v="-1051.22"/>
    <s v="NO EXCHANGE RATE"/>
    <s v="16/05/2025"/>
    <s v="INR"/>
    <d v="2025-06-01T00:00:00"/>
    <n v="1"/>
    <d v="2025-12-06T00:00:00"/>
    <n v="210"/>
    <s v="IN89"/>
  </r>
  <r>
    <x v="0"/>
    <n v="256779412012"/>
    <x v="22"/>
    <n v="0"/>
    <n v="22"/>
    <s v="C: ASCENDAS27 P: A023951 I 256779412012"/>
    <s v="16/05/2025"/>
    <s v="INR"/>
    <d v="2025-06-01T00:00:00"/>
    <n v="1"/>
    <d v="2025-12-06T00:00:00"/>
    <n v="230"/>
    <s v="IN89"/>
  </r>
  <r>
    <x v="0"/>
    <n v="256779412092"/>
    <x v="22"/>
    <n v="-289.17"/>
    <n v="-24789.67"/>
    <m/>
    <s v="16/05/2025"/>
    <s v="USD"/>
    <d v="2025-06-01T00:00:00"/>
    <n v="1"/>
    <s v="30/06/2025"/>
    <n v="210"/>
    <s v="IN89"/>
  </r>
  <r>
    <x v="0"/>
    <n v="256779412053"/>
    <x v="22"/>
    <n v="-985.93"/>
    <n v="-84520.79"/>
    <m/>
    <s v="16/05/2025"/>
    <s v="USD"/>
    <d v="2025-06-01T00:00:00"/>
    <n v="1"/>
    <s v="30/06/2025"/>
    <n v="210"/>
    <s v="IN89"/>
  </r>
  <r>
    <x v="0"/>
    <n v="256779412091"/>
    <x v="22"/>
    <n v="-96.4"/>
    <n v="-8264.08"/>
    <m/>
    <s v="16/05/2025"/>
    <s v="USD"/>
    <d v="2025-06-01T00:00:00"/>
    <n v="1"/>
    <s v="30/06/2025"/>
    <n v="210"/>
    <s v="IN89"/>
  </r>
  <r>
    <x v="0"/>
    <n v="256779412123"/>
    <x v="22"/>
    <n v="-3318.21"/>
    <n v="-284460.08"/>
    <m/>
    <s v="16/05/2025"/>
    <s v="USD"/>
    <d v="2025-06-01T00:00:00"/>
    <n v="1"/>
    <s v="30/06/2025"/>
    <n v="210"/>
    <s v="IN89"/>
  </r>
  <r>
    <x v="0"/>
    <n v="256779411969"/>
    <x v="22"/>
    <n v="-79.08"/>
    <n v="-6779.29"/>
    <m/>
    <s v="16/05/2025"/>
    <s v="USD"/>
    <d v="2025-06-01T00:00:00"/>
    <n v="1"/>
    <s v="30/06/2025"/>
    <n v="210"/>
    <s v="IN89"/>
  </r>
  <r>
    <x v="0"/>
    <n v="256779412053"/>
    <x v="22"/>
    <n v="19.72"/>
    <n v="1690.54"/>
    <s v="C: ASCENDAS27 P: A023951 I 256779412053"/>
    <s v="16/05/2025"/>
    <s v="USD"/>
    <d v="2025-06-01T00:00:00"/>
    <n v="1"/>
    <s v="30/06/2025"/>
    <n v="230"/>
    <s v="IN89"/>
  </r>
  <r>
    <x v="0"/>
    <n v="256779411969"/>
    <x v="22"/>
    <n v="1.58"/>
    <n v="135.44999999999999"/>
    <s v="C: ASCENDAS27 P: A023951 I 256779411969"/>
    <s v="16/05/2025"/>
    <s v="USD"/>
    <d v="2025-06-01T00:00:00"/>
    <n v="1"/>
    <s v="30/06/2025"/>
    <n v="230"/>
    <s v="IN89"/>
  </r>
  <r>
    <x v="0"/>
    <n v="256779412092"/>
    <x v="22"/>
    <n v="5.78"/>
    <n v="495.5"/>
    <s v="C: ASCENDAS27 P: A023951 I 256779412092"/>
    <s v="16/05/2025"/>
    <s v="USD"/>
    <d v="2025-06-01T00:00:00"/>
    <n v="1"/>
    <s v="30/06/2025"/>
    <n v="230"/>
    <s v="IN89"/>
  </r>
  <r>
    <x v="0"/>
    <n v="256779412123"/>
    <x v="22"/>
    <n v="66.36"/>
    <n v="5688.84"/>
    <s v="C: ASCENDAS27 P: A023951 I 256779412123"/>
    <s v="16/05/2025"/>
    <s v="USD"/>
    <d v="2025-06-01T00:00:00"/>
    <n v="1"/>
    <s v="30/06/2025"/>
    <n v="230"/>
    <s v="IN89"/>
  </r>
  <r>
    <x v="0"/>
    <n v="256779412091"/>
    <x v="22"/>
    <n v="1.93"/>
    <n v="165.45"/>
    <s v="C: ASCENDAS27 P: A023951 I 256779412091"/>
    <s v="16/05/2025"/>
    <s v="USD"/>
    <d v="2025-06-01T00:00:00"/>
    <n v="1"/>
    <s v="30/06/2025"/>
    <n v="230"/>
    <s v="IN89"/>
  </r>
  <r>
    <x v="0"/>
    <n v="256779412092"/>
    <x v="22"/>
    <n v="0"/>
    <n v="-74.400000000000006"/>
    <s v="C: ASCENDAS27 P: Matching"/>
    <s v="16/05/2025"/>
    <s v="USD"/>
    <d v="2025-06-01T00:00:00"/>
    <n v="38"/>
    <s v="30/06/2025"/>
    <n v="271"/>
    <s v="IN89"/>
  </r>
  <r>
    <x v="0"/>
    <n v="256779412053"/>
    <x v="22"/>
    <n v="0"/>
    <n v="-253.67"/>
    <s v="C: ASCENDAS27 P: Matching"/>
    <s v="16/05/2025"/>
    <s v="USD"/>
    <d v="2025-06-01T00:00:00"/>
    <n v="44"/>
    <s v="30/06/2025"/>
    <n v="271"/>
    <s v="IN89"/>
  </r>
  <r>
    <x v="0"/>
    <n v="256779412091"/>
    <x v="22"/>
    <n v="0"/>
    <n v="-24.8"/>
    <s v="C: ASCENDAS27 P: Matching"/>
    <s v="16/05/2025"/>
    <s v="USD"/>
    <d v="2025-06-01T00:00:00"/>
    <n v="64"/>
    <s v="30/06/2025"/>
    <n v="271"/>
    <s v="IN89"/>
  </r>
  <r>
    <x v="0"/>
    <n v="256779412123"/>
    <x v="22"/>
    <n v="0"/>
    <n v="-853.75"/>
    <s v="C: ASCENDAS27 P: Matching"/>
    <s v="16/05/2025"/>
    <s v="USD"/>
    <d v="2025-06-01T00:00:00"/>
    <n v="68"/>
    <s v="30/06/2025"/>
    <n v="271"/>
    <s v="IN89"/>
  </r>
  <r>
    <x v="0"/>
    <n v="256779411969"/>
    <x v="22"/>
    <n v="0"/>
    <n v="-20.350000000000001"/>
    <s v="C: ASCENDAS27 P: Matching"/>
    <s v="16/05/2025"/>
    <s v="USD"/>
    <d v="2025-06-01T00:00:00"/>
    <n v="82"/>
    <s v="30/06/2025"/>
    <n v="271"/>
    <s v="IN89"/>
  </r>
  <r>
    <x v="0"/>
    <n v="256779411867"/>
    <x v="22"/>
    <n v="-295"/>
    <n v="-25289.46"/>
    <m/>
    <s v="16/05/2025"/>
    <s v="USD"/>
    <d v="2025-09-01T00:00:00"/>
    <n v="1"/>
    <s v="30/09/2025"/>
    <n v="210"/>
    <s v="IN89"/>
  </r>
  <r>
    <x v="0"/>
    <n v="256779411867"/>
    <x v="22"/>
    <n v="5.9"/>
    <n v="505.79"/>
    <s v="C: ASCENDAS27 P: A023951 I 256779411867"/>
    <s v="16/05/2025"/>
    <s v="USD"/>
    <d v="2025-09-01T00:00:00"/>
    <n v="1"/>
    <s v="30/09/2025"/>
    <n v="230"/>
    <s v="IN89"/>
  </r>
  <r>
    <x v="0"/>
    <n v="256779411867"/>
    <x v="22"/>
    <n v="0"/>
    <n v="-847.79"/>
    <s v="C: ASCENDAS27 P: Matching"/>
    <s v="16/05/2025"/>
    <s v="USD"/>
    <d v="2025-09-01T00:00:00"/>
    <n v="4"/>
    <s v="30/09/2025"/>
    <n v="271"/>
    <s v="IN89"/>
  </r>
  <r>
    <x v="0"/>
    <n v="256779411970"/>
    <x v="22"/>
    <n v="-8.66"/>
    <n v="-742.4"/>
    <m/>
    <s v="16/05/2025"/>
    <s v="USD"/>
    <d v="2025-10-01T00:00:00"/>
    <n v="1"/>
    <s v="29/10/2025"/>
    <n v="210"/>
    <s v="IN89"/>
  </r>
  <r>
    <x v="0"/>
    <n v="256779411970"/>
    <x v="22"/>
    <n v="0.17"/>
    <n v="14.57"/>
    <s v="C: ASCENDAS27 P: A023951 I 256779411970"/>
    <s v="16/05/2025"/>
    <s v="USD"/>
    <d v="2025-10-01T00:00:00"/>
    <n v="1"/>
    <s v="29/10/2025"/>
    <n v="230"/>
    <s v="IN89"/>
  </r>
  <r>
    <x v="0"/>
    <n v="256779411867"/>
    <x v="22"/>
    <n v="0"/>
    <n v="117.64"/>
    <s v="C: ASCENDAS27 P: Matching"/>
    <s v="16/05/2025"/>
    <s v="USD"/>
    <d v="2025-10-01T00:00:00"/>
    <n v="2"/>
    <s v="31/10/2025"/>
    <n v="271"/>
    <s v="IN89"/>
  </r>
  <r>
    <x v="0"/>
    <n v="256779411970"/>
    <x v="22"/>
    <n v="0"/>
    <n v="-21.43"/>
    <s v="C: ASCENDAS27 P: Matching"/>
    <s v="16/05/2025"/>
    <s v="USD"/>
    <d v="2025-10-01T00:00:00"/>
    <n v="22"/>
    <s v="31/10/2025"/>
    <n v="271"/>
    <s v="IN89"/>
  </r>
  <r>
    <x v="0"/>
    <n v="256779411867"/>
    <x v="22"/>
    <n v="0"/>
    <n v="-260.83"/>
    <s v="C: ASCENDAS27 P: Matching"/>
    <s v="16/05/2025"/>
    <s v="USD"/>
    <d v="2025-11-01T00:00:00"/>
    <n v="2"/>
    <s v="30/11/2025"/>
    <n v="271"/>
    <s v="IN89"/>
  </r>
  <r>
    <x v="0"/>
    <n v="256779411867"/>
    <x v="22"/>
    <n v="0"/>
    <n v="-212.77"/>
    <s v="C: ASCENDAS27 P: Matching"/>
    <s v="16/05/2025"/>
    <s v="USD"/>
    <d v="2025-12-01T00:00:00"/>
    <n v="2"/>
    <s v="31/12/2025"/>
    <n v="271"/>
    <s v="IN89"/>
  </r>
  <r>
    <x v="0"/>
    <n v="256779411867"/>
    <x v="22"/>
    <n v="0"/>
    <n v="-503.02"/>
    <s v="C: ASCENDAS27 P: Matching"/>
    <s v="16/05/2025"/>
    <s v="USD"/>
    <d v="2026-01-01T00:00:00"/>
    <n v="2"/>
    <s v="31/01/2026"/>
    <n v="271"/>
    <s v="IN89"/>
  </r>
  <r>
    <x v="0"/>
    <n v="256779411468"/>
    <x v="23"/>
    <n v="-26.55"/>
    <n v="-2276.0500000000002"/>
    <m/>
    <s v="15/05/2025"/>
    <s v="USD"/>
    <d v="2025-06-01T00:00:00"/>
    <n v="1"/>
    <d v="2025-12-06T00:00:00"/>
    <n v="210"/>
    <s v="IN89"/>
  </r>
  <r>
    <x v="0"/>
    <n v="256779411468"/>
    <x v="23"/>
    <n v="0.53"/>
    <n v="45.44"/>
    <s v="C: ASCENDAS27 P: A023951 I 256779411468"/>
    <s v="15/05/2025"/>
    <s v="USD"/>
    <d v="2025-06-01T00:00:00"/>
    <n v="1"/>
    <d v="2025-12-06T00:00:00"/>
    <n v="230"/>
    <s v="IN89"/>
  </r>
  <r>
    <x v="0"/>
    <n v="256779411467"/>
    <x v="23"/>
    <n v="-35.4"/>
    <n v="-3034.73"/>
    <m/>
    <s v="15/05/2025"/>
    <s v="USD"/>
    <d v="2025-09-01T00:00:00"/>
    <n v="1"/>
    <s v="30/09/2025"/>
    <n v="210"/>
    <s v="IN89"/>
  </r>
  <r>
    <x v="0"/>
    <n v="256779411467"/>
    <x v="23"/>
    <n v="0.71"/>
    <n v="60.87"/>
    <s v="C: ASCENDAS27 P: A023951 I 256779411467"/>
    <s v="15/05/2025"/>
    <s v="USD"/>
    <d v="2025-09-01T00:00:00"/>
    <n v="1"/>
    <s v="30/09/2025"/>
    <n v="230"/>
    <s v="IN89"/>
  </r>
  <r>
    <x v="0"/>
    <n v="256779411467"/>
    <x v="23"/>
    <n v="0"/>
    <n v="-101.74"/>
    <s v="C: ASCENDAS27 P: Matching"/>
    <s v="15/05/2025"/>
    <s v="USD"/>
    <d v="2025-09-01T00:00:00"/>
    <n v="52"/>
    <s v="30/09/2025"/>
    <n v="271"/>
    <s v="IN89"/>
  </r>
  <r>
    <x v="0"/>
    <n v="256779411467"/>
    <x v="23"/>
    <n v="0"/>
    <n v="14.12"/>
    <s v="C: ASCENDAS27 P: Matching"/>
    <s v="15/05/2025"/>
    <s v="USD"/>
    <d v="2025-10-01T00:00:00"/>
    <n v="10"/>
    <s v="31/10/2025"/>
    <n v="271"/>
    <s v="IN89"/>
  </r>
  <r>
    <x v="0"/>
    <n v="256779411467"/>
    <x v="23"/>
    <n v="0"/>
    <n v="-31.3"/>
    <s v="C: ASCENDAS27 P: Matching"/>
    <s v="15/05/2025"/>
    <s v="USD"/>
    <d v="2025-11-01T00:00:00"/>
    <n v="16"/>
    <s v="30/11/2025"/>
    <n v="271"/>
    <s v="IN89"/>
  </r>
  <r>
    <x v="0"/>
    <n v="256779411466"/>
    <x v="23"/>
    <n v="-35.4"/>
    <n v="-3034.73"/>
    <m/>
    <s v="15/05/2025"/>
    <s v="USD"/>
    <d v="2025-12-01T00:00:00"/>
    <n v="1"/>
    <s v="15/12/2025"/>
    <n v="210"/>
    <s v="IN89"/>
  </r>
  <r>
    <x v="0"/>
    <n v="256779411465"/>
    <x v="23"/>
    <n v="-32.450000000000003"/>
    <n v="-2781.84"/>
    <m/>
    <s v="15/05/2025"/>
    <s v="USD"/>
    <d v="2025-12-01T00:00:00"/>
    <n v="1"/>
    <s v="15/12/2025"/>
    <n v="210"/>
    <s v="IN89"/>
  </r>
  <r>
    <x v="0"/>
    <n v="256779411465"/>
    <x v="23"/>
    <n v="0.65"/>
    <n v="55.72"/>
    <s v="C: ASCENDAS27 P: A023951 I 256779411465"/>
    <s v="15/05/2025"/>
    <s v="USD"/>
    <d v="2025-12-01T00:00:00"/>
    <n v="1"/>
    <s v="15/12/2025"/>
    <n v="230"/>
    <s v="IN89"/>
  </r>
  <r>
    <x v="0"/>
    <n v="256779411466"/>
    <x v="23"/>
    <n v="0.71"/>
    <n v="60.87"/>
    <s v="C: ASCENDAS27 P: A023951 I 256779411466"/>
    <s v="15/05/2025"/>
    <s v="USD"/>
    <d v="2025-12-01T00:00:00"/>
    <n v="1"/>
    <s v="15/12/2025"/>
    <n v="230"/>
    <s v="IN89"/>
  </r>
  <r>
    <x v="0"/>
    <n v="256779411463"/>
    <x v="23"/>
    <n v="-23.6"/>
    <n v="-2023.16"/>
    <m/>
    <s v="15/05/2025"/>
    <s v="USD"/>
    <d v="2025-12-01T00:00:00"/>
    <n v="1"/>
    <s v="15/12/2025"/>
    <n v="210"/>
    <s v="IN89"/>
  </r>
  <r>
    <x v="0"/>
    <n v="256779411463"/>
    <x v="23"/>
    <n v="0.47"/>
    <n v="40.29"/>
    <s v="C: ASCENDAS27 P: A023951 I 256779411463"/>
    <s v="15/05/2025"/>
    <s v="USD"/>
    <d v="2025-12-01T00:00:00"/>
    <n v="1"/>
    <s v="15/12/2025"/>
    <n v="230"/>
    <s v="IN89"/>
  </r>
  <r>
    <x v="0"/>
    <n v="256779411467"/>
    <x v="23"/>
    <n v="0"/>
    <n v="-25.53"/>
    <s v="C: ASCENDAS27 P: Matching"/>
    <s v="15/05/2025"/>
    <s v="USD"/>
    <d v="2025-12-01T00:00:00"/>
    <n v="16"/>
    <s v="31/12/2025"/>
    <n v="271"/>
    <s v="IN89"/>
  </r>
  <r>
    <x v="0"/>
    <n v="256779411466"/>
    <x v="23"/>
    <n v="0"/>
    <n v="-144.44999999999999"/>
    <s v="C: ASCENDAS27 P: Matching"/>
    <s v="15/05/2025"/>
    <s v="USD"/>
    <d v="2025-12-01T00:00:00"/>
    <n v="50"/>
    <s v="31/12/2025"/>
    <n v="271"/>
    <s v="IN89"/>
  </r>
  <r>
    <x v="0"/>
    <n v="256779411465"/>
    <x v="23"/>
    <n v="0"/>
    <n v="-132.41"/>
    <s v="C: ASCENDAS27 P: Matching"/>
    <s v="15/05/2025"/>
    <s v="USD"/>
    <d v="2025-12-01T00:00:00"/>
    <n v="52"/>
    <s v="31/12/2025"/>
    <n v="271"/>
    <s v="IN89"/>
  </r>
  <r>
    <x v="0"/>
    <n v="256779411463"/>
    <x v="23"/>
    <n v="0"/>
    <n v="-96.3"/>
    <s v="C: ASCENDAS27 P: Matching"/>
    <s v="15/05/2025"/>
    <s v="USD"/>
    <d v="2025-12-01T00:00:00"/>
    <n v="66"/>
    <s v="31/12/2025"/>
    <n v="271"/>
    <s v="IN89"/>
  </r>
  <r>
    <x v="0"/>
    <n v="256779411467"/>
    <x v="23"/>
    <n v="0"/>
    <n v="-60.36"/>
    <s v="C: ASCENDAS27 P: Matching"/>
    <s v="15/05/2025"/>
    <s v="USD"/>
    <d v="2026-01-01T00:00:00"/>
    <n v="16"/>
    <s v="31/01/2026"/>
    <n v="271"/>
    <s v="IN89"/>
  </r>
  <r>
    <x v="0"/>
    <n v="256779411466"/>
    <x v="23"/>
    <n v="0"/>
    <n v="-60.36"/>
    <s v="C: ASCENDAS27 P: Matching"/>
    <s v="15/05/2025"/>
    <s v="USD"/>
    <d v="2026-01-01T00:00:00"/>
    <n v="46"/>
    <s v="31/01/2026"/>
    <n v="271"/>
    <s v="IN89"/>
  </r>
  <r>
    <x v="0"/>
    <n v="256779411465"/>
    <x v="23"/>
    <n v="0"/>
    <n v="-55.33"/>
    <s v="C: ASCENDAS27 P: Matching"/>
    <s v="15/05/2025"/>
    <s v="USD"/>
    <d v="2026-01-01T00:00:00"/>
    <n v="48"/>
    <s v="31/01/2026"/>
    <n v="271"/>
    <s v="IN89"/>
  </r>
  <r>
    <x v="0"/>
    <n v="256779411463"/>
    <x v="23"/>
    <n v="0"/>
    <n v="-40.25"/>
    <s v="C: ASCENDAS27 P: Matching"/>
    <s v="15/05/2025"/>
    <s v="USD"/>
    <d v="2026-01-01T00:00:00"/>
    <n v="50"/>
    <s v="31/01/2026"/>
    <n v="271"/>
    <s v="IN89"/>
  </r>
  <r>
    <x v="0"/>
    <n v="246779411407"/>
    <x v="24"/>
    <n v="-57.23"/>
    <n v="-4981.4399999999996"/>
    <m/>
    <s v="13/04/2025"/>
    <s v="USD"/>
    <d v="2025-06-01T00:00:00"/>
    <n v="1"/>
    <d v="2025-12-06T00:00:00"/>
    <n v="210"/>
    <s v="IN89"/>
  </r>
  <r>
    <x v="0"/>
    <n v="246779411410"/>
    <x v="24"/>
    <n v="-40.06"/>
    <n v="-3486.92"/>
    <m/>
    <s v="13/04/2025"/>
    <s v="USD"/>
    <d v="2025-06-01T00:00:00"/>
    <n v="1"/>
    <d v="2025-12-06T00:00:00"/>
    <n v="210"/>
    <s v="IN89"/>
  </r>
  <r>
    <x v="0"/>
    <n v="246779411413"/>
    <x v="24"/>
    <n v="-40.06"/>
    <n v="-3486.92"/>
    <m/>
    <s v="13/04/2025"/>
    <s v="USD"/>
    <d v="2025-06-01T00:00:00"/>
    <n v="1"/>
    <d v="2025-12-06T00:00:00"/>
    <n v="210"/>
    <s v="IN89"/>
  </r>
  <r>
    <x v="0"/>
    <n v="246779411414"/>
    <x v="24"/>
    <n v="-28.62"/>
    <n v="-2491.15"/>
    <m/>
    <s v="13/04/2025"/>
    <s v="USD"/>
    <d v="2025-06-01T00:00:00"/>
    <n v="1"/>
    <d v="2025-12-06T00:00:00"/>
    <n v="210"/>
    <s v="IN89"/>
  </r>
  <r>
    <x v="0"/>
    <n v="246779411415"/>
    <x v="24"/>
    <n v="-22.89"/>
    <n v="-1992.4"/>
    <m/>
    <s v="13/04/2025"/>
    <s v="USD"/>
    <d v="2025-06-01T00:00:00"/>
    <n v="1"/>
    <d v="2025-12-06T00:00:00"/>
    <n v="210"/>
    <s v="IN89"/>
  </r>
  <r>
    <x v="0"/>
    <n v="246779411417"/>
    <x v="24"/>
    <n v="-68.680000000000007"/>
    <n v="-5978.07"/>
    <m/>
    <s v="13/04/2025"/>
    <s v="USD"/>
    <d v="2025-06-01T00:00:00"/>
    <n v="1"/>
    <d v="2025-12-06T00:00:00"/>
    <n v="210"/>
    <s v="IN89"/>
  </r>
  <r>
    <x v="0"/>
    <n v="246779411419"/>
    <x v="24"/>
    <n v="-23.35"/>
    <n v="-2032.44"/>
    <m/>
    <s v="13/04/2025"/>
    <s v="USD"/>
    <d v="2025-06-01T00:00:00"/>
    <n v="1"/>
    <d v="2025-12-06T00:00:00"/>
    <n v="210"/>
    <s v="IN89"/>
  </r>
  <r>
    <x v="0"/>
    <n v="246779411409"/>
    <x v="24"/>
    <n v="-249.55"/>
    <n v="-21721.43"/>
    <s v="NO EXCHANGE RATE"/>
    <s v="13/04/2025"/>
    <s v="USD"/>
    <d v="2025-06-01T00:00:00"/>
    <n v="1"/>
    <d v="2025-12-06T00:00:00"/>
    <n v="210"/>
    <s v="IN89"/>
  </r>
  <r>
    <x v="0"/>
    <n v="246779411408"/>
    <x v="24"/>
    <n v="-40.06"/>
    <n v="-3486.92"/>
    <m/>
    <s v="13/04/2025"/>
    <s v="USD"/>
    <d v="2025-06-01T00:00:00"/>
    <n v="1"/>
    <d v="2025-12-06T00:00:00"/>
    <n v="210"/>
    <s v="IN89"/>
  </r>
  <r>
    <x v="0"/>
    <n v="246779411411"/>
    <x v="24"/>
    <n v="-45.79"/>
    <n v="-3985.67"/>
    <m/>
    <s v="13/04/2025"/>
    <s v="USD"/>
    <d v="2025-06-01T00:00:00"/>
    <n v="1"/>
    <d v="2025-12-06T00:00:00"/>
    <n v="210"/>
    <s v="IN89"/>
  </r>
  <r>
    <x v="0"/>
    <n v="246779411412"/>
    <x v="24"/>
    <n v="-20.03"/>
    <n v="-1743.46"/>
    <m/>
    <s v="13/04/2025"/>
    <s v="USD"/>
    <d v="2025-06-01T00:00:00"/>
    <n v="1"/>
    <d v="2025-12-06T00:00:00"/>
    <n v="210"/>
    <s v="IN89"/>
  </r>
  <r>
    <x v="0"/>
    <n v="246779411416"/>
    <x v="24"/>
    <n v="-114.46"/>
    <n v="-9962.8700000000008"/>
    <m/>
    <s v="13/04/2025"/>
    <s v="USD"/>
    <d v="2025-06-01T00:00:00"/>
    <n v="1"/>
    <d v="2025-12-06T00:00:00"/>
    <n v="210"/>
    <s v="IN89"/>
  </r>
  <r>
    <x v="0"/>
    <n v="246779411418"/>
    <x v="24"/>
    <n v="-312.5"/>
    <n v="-27200.75"/>
    <m/>
    <s v="13/04/2025"/>
    <s v="USD"/>
    <d v="2025-06-01T00:00:00"/>
    <n v="1"/>
    <d v="2025-12-06T00:00:00"/>
    <n v="210"/>
    <s v="IN89"/>
  </r>
  <r>
    <x v="0"/>
    <n v="246779411414"/>
    <x v="24"/>
    <n v="0.56999999999999995"/>
    <n v="49.61"/>
    <s v="C: ASCENDAS27 P: A023951 I 246779411414"/>
    <s v="13/04/2025"/>
    <s v="USD"/>
    <d v="2025-06-01T00:00:00"/>
    <n v="1"/>
    <d v="2025-12-06T00:00:00"/>
    <n v="230"/>
    <s v="IN89"/>
  </r>
  <r>
    <x v="0"/>
    <n v="246779411408"/>
    <x v="24"/>
    <n v="0.8"/>
    <n v="69.63"/>
    <s v="C: ASCENDAS27 P: A023951 I 246779411408"/>
    <s v="13/04/2025"/>
    <s v="USD"/>
    <d v="2025-06-01T00:00:00"/>
    <n v="1"/>
    <d v="2025-12-06T00:00:00"/>
    <n v="230"/>
    <s v="IN89"/>
  </r>
  <r>
    <x v="0"/>
    <n v="246779411413"/>
    <x v="24"/>
    <n v="0.8"/>
    <n v="69.63"/>
    <s v="C: ASCENDAS27 P: A023951 I 246779411413"/>
    <s v="13/04/2025"/>
    <s v="USD"/>
    <d v="2025-06-01T00:00:00"/>
    <n v="1"/>
    <d v="2025-12-06T00:00:00"/>
    <n v="230"/>
    <s v="IN89"/>
  </r>
  <r>
    <x v="0"/>
    <n v="246779411410"/>
    <x v="24"/>
    <n v="0.8"/>
    <n v="69.63"/>
    <s v="C: ASCENDAS27 P: A023951 I 246779411410"/>
    <s v="13/04/2025"/>
    <s v="USD"/>
    <d v="2025-06-01T00:00:00"/>
    <n v="1"/>
    <d v="2025-12-06T00:00:00"/>
    <n v="230"/>
    <s v="IN89"/>
  </r>
  <r>
    <x v="0"/>
    <n v="246779411416"/>
    <x v="24"/>
    <n v="2.29"/>
    <n v="199.33"/>
    <s v="C: ASCENDAS27 P: A023951 I 246779411416"/>
    <s v="13/04/2025"/>
    <s v="USD"/>
    <d v="2025-06-01T00:00:00"/>
    <n v="1"/>
    <d v="2025-12-06T00:00:00"/>
    <n v="230"/>
    <s v="IN89"/>
  </r>
  <r>
    <x v="0"/>
    <n v="246779411409"/>
    <x v="24"/>
    <n v="4.99"/>
    <n v="434.34"/>
    <s v="C: ASCENDAS27 P: A023951 I 246779411409"/>
    <s v="13/04/2025"/>
    <s v="USD"/>
    <d v="2025-06-01T00:00:00"/>
    <n v="1"/>
    <d v="2025-12-06T00:00:00"/>
    <n v="230"/>
    <s v="IN89"/>
  </r>
  <r>
    <x v="0"/>
    <n v="246779411411"/>
    <x v="24"/>
    <n v="0.92"/>
    <n v="80.08"/>
    <s v="C: ASCENDAS27 P: A023951 I 246779411411"/>
    <s v="13/04/2025"/>
    <s v="USD"/>
    <d v="2025-06-01T00:00:00"/>
    <n v="1"/>
    <d v="2025-12-06T00:00:00"/>
    <n v="230"/>
    <s v="IN89"/>
  </r>
  <r>
    <x v="0"/>
    <n v="246779411418"/>
    <x v="24"/>
    <n v="6.25"/>
    <n v="544.02"/>
    <s v="C: ASCENDAS27 P: A023951 I 246779411418"/>
    <s v="13/04/2025"/>
    <s v="USD"/>
    <d v="2025-06-01T00:00:00"/>
    <n v="1"/>
    <d v="2025-12-06T00:00:00"/>
    <n v="230"/>
    <s v="IN89"/>
  </r>
  <r>
    <x v="0"/>
    <n v="246779411415"/>
    <x v="24"/>
    <n v="0.46"/>
    <n v="40.04"/>
    <s v="C: ASCENDAS27 P: A023951 I 246779411415"/>
    <s v="13/04/2025"/>
    <s v="USD"/>
    <d v="2025-06-01T00:00:00"/>
    <n v="1"/>
    <d v="2025-12-06T00:00:00"/>
    <n v="230"/>
    <s v="IN89"/>
  </r>
  <r>
    <x v="0"/>
    <n v="246779411419"/>
    <x v="24"/>
    <n v="0.47"/>
    <n v="40.909999999999997"/>
    <s v="C: ASCENDAS27 P: A023951 I 246779411419"/>
    <s v="13/04/2025"/>
    <s v="USD"/>
    <d v="2025-06-01T00:00:00"/>
    <n v="1"/>
    <d v="2025-12-06T00:00:00"/>
    <n v="230"/>
    <s v="IN89"/>
  </r>
  <r>
    <x v="0"/>
    <n v="246779411417"/>
    <x v="24"/>
    <n v="1.37"/>
    <n v="119.25"/>
    <s v="C: ASCENDAS27 P: A023951 I 246779411417"/>
    <s v="13/04/2025"/>
    <s v="USD"/>
    <d v="2025-06-01T00:00:00"/>
    <n v="1"/>
    <d v="2025-12-06T00:00:00"/>
    <n v="230"/>
    <s v="IN89"/>
  </r>
  <r>
    <x v="0"/>
    <n v="246779411407"/>
    <x v="24"/>
    <n v="1.1399999999999999"/>
    <n v="99.23"/>
    <s v="C: ASCENDAS27 P: A023951 I 246779411407"/>
    <s v="13/04/2025"/>
    <s v="USD"/>
    <d v="2025-06-01T00:00:00"/>
    <n v="1"/>
    <d v="2025-12-06T00:00:00"/>
    <n v="230"/>
    <s v="IN89"/>
  </r>
  <r>
    <x v="0"/>
    <n v="246779411412"/>
    <x v="24"/>
    <n v="0.4"/>
    <n v="34.82"/>
    <s v="C: ASCENDAS27 P: A023951 I 246779411412"/>
    <s v="13/04/2025"/>
    <s v="USD"/>
    <d v="2025-06-01T00:00:00"/>
    <n v="1"/>
    <d v="2025-12-06T00:00:00"/>
    <n v="230"/>
    <s v="IN89"/>
  </r>
  <r>
    <x v="0"/>
    <s v="246779411409_D"/>
    <x v="24"/>
    <n v="-249.55"/>
    <n v="-21721.43"/>
    <s v="VAT FLAG CORRECTION"/>
    <s v="13/04/2025"/>
    <s v="USD"/>
    <d v="2025-07-01T00:00:00"/>
    <n v="1"/>
    <s v="22/07/2025"/>
    <n v="210"/>
    <s v="IN89"/>
  </r>
  <r>
    <x v="0"/>
    <s v="246779411409_D"/>
    <x v="24"/>
    <n v="4.99"/>
    <n v="434.34"/>
    <s v="C: ASCENDAS27 P: A023951 I 246779411409_D"/>
    <s v="13/04/2025"/>
    <s v="USD"/>
    <d v="2025-07-01T00:00:00"/>
    <n v="1"/>
    <s v="22/07/2025"/>
    <n v="230"/>
    <s v="IN89"/>
  </r>
  <r>
    <x v="0"/>
    <n v="246779411312"/>
    <x v="25"/>
    <n v="-27"/>
    <n v="-2350.15"/>
    <m/>
    <d v="2025-12-04T00:00:00"/>
    <s v="USD"/>
    <d v="2025-06-01T00:00:00"/>
    <n v="1"/>
    <d v="2025-12-06T00:00:00"/>
    <n v="210"/>
    <s v="IN89"/>
  </r>
  <r>
    <x v="0"/>
    <n v="246779411312"/>
    <x v="25"/>
    <n v="0.54"/>
    <n v="47"/>
    <s v="C: ASCENDAS27 P: A023951 I 246779411312"/>
    <d v="2025-12-04T00:00:00"/>
    <s v="USD"/>
    <d v="2025-06-01T00:00:00"/>
    <n v="1"/>
    <d v="2025-12-06T00:00:00"/>
    <n v="230"/>
    <s v="IN89"/>
  </r>
  <r>
    <x v="0"/>
    <n v="256779415389"/>
    <x v="26"/>
    <n v="-170.62"/>
    <n v="-15094.75"/>
    <m/>
    <d v="2025-09-08T00:00:00"/>
    <s v="USD"/>
    <d v="2025-09-01T00:00:00"/>
    <n v="1"/>
    <s v="30/09/2025"/>
    <n v="210"/>
    <s v="IN89"/>
  </r>
  <r>
    <x v="0"/>
    <n v="256779415346"/>
    <x v="26"/>
    <n v="-17.5"/>
    <n v="-1548.23"/>
    <m/>
    <d v="2025-09-08T00:00:00"/>
    <s v="USD"/>
    <d v="2025-09-01T00:00:00"/>
    <n v="1"/>
    <s v="30/09/2025"/>
    <n v="210"/>
    <s v="IN89"/>
  </r>
  <r>
    <x v="0"/>
    <n v="256779415350"/>
    <x v="26"/>
    <n v="-22.5"/>
    <n v="-1990.58"/>
    <m/>
    <d v="2025-09-08T00:00:00"/>
    <s v="USD"/>
    <d v="2025-09-01T00:00:00"/>
    <n v="1"/>
    <s v="30/09/2025"/>
    <n v="210"/>
    <s v="IN89"/>
  </r>
  <r>
    <x v="0"/>
    <n v="256779415316"/>
    <x v="26"/>
    <n v="-60"/>
    <n v="-5308.2"/>
    <m/>
    <d v="2025-09-08T00:00:00"/>
    <s v="USD"/>
    <d v="2025-09-01T00:00:00"/>
    <n v="1"/>
    <s v="30/09/2025"/>
    <n v="210"/>
    <s v="IN89"/>
  </r>
  <r>
    <x v="0"/>
    <n v="256779415355"/>
    <x v="26"/>
    <n v="-21.37"/>
    <n v="-1890.6"/>
    <m/>
    <d v="2025-09-08T00:00:00"/>
    <s v="USD"/>
    <d v="2025-09-01T00:00:00"/>
    <n v="1"/>
    <s v="30/09/2025"/>
    <n v="210"/>
    <s v="IN89"/>
  </r>
  <r>
    <x v="0"/>
    <n v="256779415303"/>
    <x v="26"/>
    <n v="-100"/>
    <n v="-8847"/>
    <m/>
    <d v="2025-09-08T00:00:00"/>
    <s v="USD"/>
    <d v="2025-09-01T00:00:00"/>
    <n v="1"/>
    <s v="30/09/2025"/>
    <n v="210"/>
    <s v="IN89"/>
  </r>
  <r>
    <x v="0"/>
    <n v="256779415333"/>
    <x v="26"/>
    <n v="-22.5"/>
    <n v="-1990.58"/>
    <m/>
    <d v="2025-09-08T00:00:00"/>
    <s v="USD"/>
    <d v="2025-09-01T00:00:00"/>
    <n v="1"/>
    <s v="30/09/2025"/>
    <n v="210"/>
    <s v="IN89"/>
  </r>
  <r>
    <x v="0"/>
    <n v="256779415304"/>
    <x v="26"/>
    <n v="-30"/>
    <n v="-2654.1"/>
    <m/>
    <d v="2025-09-08T00:00:00"/>
    <s v="USD"/>
    <d v="2025-09-01T00:00:00"/>
    <n v="1"/>
    <s v="30/09/2025"/>
    <n v="210"/>
    <s v="IN89"/>
  </r>
  <r>
    <x v="0"/>
    <n v="256779415377"/>
    <x v="26"/>
    <n v="-50"/>
    <n v="-4423.5"/>
    <m/>
    <d v="2025-09-08T00:00:00"/>
    <s v="USD"/>
    <d v="2025-09-01T00:00:00"/>
    <n v="1"/>
    <s v="30/09/2025"/>
    <n v="210"/>
    <s v="IN89"/>
  </r>
  <r>
    <x v="0"/>
    <n v="256779415298"/>
    <x v="26"/>
    <n v="-24"/>
    <n v="-2123.2800000000002"/>
    <m/>
    <d v="2025-09-08T00:00:00"/>
    <s v="USD"/>
    <d v="2025-09-01T00:00:00"/>
    <n v="1"/>
    <s v="30/09/2025"/>
    <n v="210"/>
    <s v="IN89"/>
  </r>
  <r>
    <x v="0"/>
    <n v="256779415380"/>
    <x v="26"/>
    <n v="-200"/>
    <n v="-17694"/>
    <m/>
    <d v="2025-09-08T00:00:00"/>
    <s v="USD"/>
    <d v="2025-09-01T00:00:00"/>
    <n v="1"/>
    <s v="30/09/2025"/>
    <n v="210"/>
    <s v="IN89"/>
  </r>
  <r>
    <x v="0"/>
    <n v="256779415341"/>
    <x v="26"/>
    <n v="-15"/>
    <n v="-1327.05"/>
    <m/>
    <d v="2025-09-08T00:00:00"/>
    <s v="USD"/>
    <d v="2025-09-01T00:00:00"/>
    <n v="1"/>
    <s v="30/09/2025"/>
    <n v="210"/>
    <s v="IN89"/>
  </r>
  <r>
    <x v="0"/>
    <n v="256779415385"/>
    <x v="26"/>
    <n v="-24"/>
    <n v="-2123.2800000000002"/>
    <m/>
    <d v="2025-09-08T00:00:00"/>
    <s v="USD"/>
    <d v="2025-09-01T00:00:00"/>
    <n v="1"/>
    <s v="30/09/2025"/>
    <n v="210"/>
    <s v="IN89"/>
  </r>
  <r>
    <x v="0"/>
    <n v="256779415293"/>
    <x v="26"/>
    <n v="-24"/>
    <n v="-2123.2800000000002"/>
    <m/>
    <d v="2025-09-08T00:00:00"/>
    <s v="USD"/>
    <d v="2025-09-01T00:00:00"/>
    <n v="1"/>
    <s v="30/09/2025"/>
    <n v="210"/>
    <s v="IN89"/>
  </r>
  <r>
    <x v="0"/>
    <n v="256779415359"/>
    <x v="26"/>
    <n v="-200"/>
    <n v="-17694"/>
    <m/>
    <d v="2025-09-08T00:00:00"/>
    <s v="USD"/>
    <d v="2025-09-01T00:00:00"/>
    <n v="1"/>
    <s v="30/09/2025"/>
    <n v="210"/>
    <s v="IN89"/>
  </r>
  <r>
    <x v="0"/>
    <n v="256779415374"/>
    <x v="26"/>
    <n v="-469.38"/>
    <n v="-41526.050000000003"/>
    <m/>
    <d v="2025-09-08T00:00:00"/>
    <s v="USD"/>
    <d v="2025-09-01T00:00:00"/>
    <n v="1"/>
    <s v="30/09/2025"/>
    <n v="210"/>
    <s v="IN89"/>
  </r>
  <r>
    <x v="0"/>
    <n v="256779415338"/>
    <x v="26"/>
    <n v="-12.5"/>
    <n v="-1105.8800000000001"/>
    <m/>
    <d v="2025-09-08T00:00:00"/>
    <s v="USD"/>
    <d v="2025-09-01T00:00:00"/>
    <n v="1"/>
    <s v="30/09/2025"/>
    <n v="210"/>
    <s v="IN89"/>
  </r>
  <r>
    <x v="0"/>
    <n v="256779415344"/>
    <x v="26"/>
    <n v="-25"/>
    <n v="-2211.75"/>
    <m/>
    <d v="2025-09-08T00:00:00"/>
    <s v="USD"/>
    <d v="2025-09-01T00:00:00"/>
    <n v="1"/>
    <s v="30/09/2025"/>
    <n v="210"/>
    <s v="IN89"/>
  </r>
  <r>
    <x v="0"/>
    <n v="256779415345"/>
    <x v="26"/>
    <n v="-25"/>
    <n v="-2211.75"/>
    <m/>
    <d v="2025-09-08T00:00:00"/>
    <s v="USD"/>
    <d v="2025-09-01T00:00:00"/>
    <n v="1"/>
    <s v="30/09/2025"/>
    <n v="210"/>
    <s v="IN89"/>
  </r>
  <r>
    <x v="0"/>
    <n v="256779415388"/>
    <x v="26"/>
    <n v="-2261.63"/>
    <n v="-200086.41"/>
    <m/>
    <d v="2025-09-08T00:00:00"/>
    <s v="USD"/>
    <d v="2025-09-01T00:00:00"/>
    <n v="1"/>
    <s v="30/09/2025"/>
    <n v="210"/>
    <s v="IN89"/>
  </r>
  <r>
    <x v="0"/>
    <n v="256779415310"/>
    <x v="26"/>
    <n v="-30"/>
    <n v="-2654.1"/>
    <m/>
    <d v="2025-09-08T00:00:00"/>
    <s v="USD"/>
    <d v="2025-09-01T00:00:00"/>
    <n v="1"/>
    <s v="30/09/2025"/>
    <n v="210"/>
    <s v="IN89"/>
  </r>
  <r>
    <x v="0"/>
    <n v="256779415379"/>
    <x v="26"/>
    <n v="-233.11"/>
    <n v="-20623.240000000002"/>
    <m/>
    <d v="2025-09-08T00:00:00"/>
    <s v="USD"/>
    <d v="2025-09-01T00:00:00"/>
    <n v="1"/>
    <s v="30/09/2025"/>
    <n v="210"/>
    <s v="IN89"/>
  </r>
  <r>
    <x v="0"/>
    <n v="256779415384"/>
    <x v="26"/>
    <n v="-350"/>
    <n v="-30964.5"/>
    <m/>
    <d v="2025-09-08T00:00:00"/>
    <s v="USD"/>
    <d v="2025-09-01T00:00:00"/>
    <n v="1"/>
    <s v="30/09/2025"/>
    <n v="210"/>
    <s v="IN89"/>
  </r>
  <r>
    <x v="0"/>
    <n v="256779415339"/>
    <x v="26"/>
    <n v="-27.39"/>
    <n v="-2423.19"/>
    <m/>
    <d v="2025-09-08T00:00:00"/>
    <s v="USD"/>
    <d v="2025-09-01T00:00:00"/>
    <n v="1"/>
    <s v="30/09/2025"/>
    <n v="210"/>
    <s v="IN89"/>
  </r>
  <r>
    <x v="0"/>
    <n v="256779415393"/>
    <x v="26"/>
    <n v="-60"/>
    <n v="-5308.2"/>
    <m/>
    <d v="2025-09-08T00:00:00"/>
    <s v="USD"/>
    <d v="2025-09-01T00:00:00"/>
    <n v="1"/>
    <s v="30/09/2025"/>
    <n v="210"/>
    <s v="IN89"/>
  </r>
  <r>
    <x v="0"/>
    <n v="256779415357"/>
    <x v="26"/>
    <n v="-207.27"/>
    <n v="-18337.18"/>
    <m/>
    <d v="2025-09-08T00:00:00"/>
    <s v="USD"/>
    <d v="2025-09-01T00:00:00"/>
    <n v="1"/>
    <s v="30/09/2025"/>
    <n v="210"/>
    <s v="IN89"/>
  </r>
  <r>
    <x v="0"/>
    <n v="256779415300"/>
    <x v="26"/>
    <n v="-24"/>
    <n v="-2123.2800000000002"/>
    <m/>
    <d v="2025-09-08T00:00:00"/>
    <s v="USD"/>
    <d v="2025-09-01T00:00:00"/>
    <n v="1"/>
    <s v="30/09/2025"/>
    <n v="210"/>
    <s v="IN89"/>
  </r>
  <r>
    <x v="0"/>
    <n v="256779415375"/>
    <x v="26"/>
    <n v="-360"/>
    <n v="-31849.200000000001"/>
    <m/>
    <d v="2025-09-08T00:00:00"/>
    <s v="USD"/>
    <d v="2025-09-01T00:00:00"/>
    <n v="1"/>
    <s v="30/09/2025"/>
    <n v="210"/>
    <s v="IN89"/>
  </r>
  <r>
    <x v="0"/>
    <n v="256779415349"/>
    <x v="26"/>
    <n v="-27.5"/>
    <n v="-2432.9299999999998"/>
    <m/>
    <d v="2025-09-08T00:00:00"/>
    <s v="USD"/>
    <d v="2025-09-01T00:00:00"/>
    <n v="1"/>
    <s v="30/09/2025"/>
    <n v="210"/>
    <s v="IN89"/>
  </r>
  <r>
    <x v="0"/>
    <n v="256779415308"/>
    <x v="26"/>
    <n v="-30"/>
    <n v="-2654.1"/>
    <m/>
    <d v="2025-09-08T00:00:00"/>
    <s v="USD"/>
    <d v="2025-09-01T00:00:00"/>
    <n v="1"/>
    <s v="30/09/2025"/>
    <n v="210"/>
    <s v="IN89"/>
  </r>
  <r>
    <x v="0"/>
    <n v="256779415360"/>
    <x v="26"/>
    <n v="-60"/>
    <n v="-5308.2"/>
    <m/>
    <d v="2025-09-08T00:00:00"/>
    <s v="USD"/>
    <d v="2025-09-01T00:00:00"/>
    <n v="1"/>
    <s v="30/09/2025"/>
    <n v="210"/>
    <s v="IN89"/>
  </r>
  <r>
    <x v="0"/>
    <n v="256779415318"/>
    <x v="26"/>
    <n v="-254.65"/>
    <n v="-22528.89"/>
    <m/>
    <d v="2025-09-08T00:00:00"/>
    <s v="USD"/>
    <d v="2025-09-01T00:00:00"/>
    <n v="1"/>
    <s v="30/09/2025"/>
    <n v="210"/>
    <s v="IN89"/>
  </r>
  <r>
    <x v="0"/>
    <n v="256779415378"/>
    <x v="26"/>
    <n v="-120"/>
    <n v="-10616.4"/>
    <m/>
    <d v="2025-09-08T00:00:00"/>
    <s v="USD"/>
    <d v="2025-09-01T00:00:00"/>
    <n v="1"/>
    <s v="30/09/2025"/>
    <n v="210"/>
    <s v="IN89"/>
  </r>
  <r>
    <x v="0"/>
    <n v="256779415391"/>
    <x v="26"/>
    <n v="-820.07"/>
    <n v="-72551.59"/>
    <m/>
    <d v="2025-09-08T00:00:00"/>
    <s v="USD"/>
    <d v="2025-09-01T00:00:00"/>
    <n v="1"/>
    <s v="30/09/2025"/>
    <n v="210"/>
    <s v="IN89"/>
  </r>
  <r>
    <x v="0"/>
    <n v="256779415334"/>
    <x v="26"/>
    <n v="-22.5"/>
    <n v="-1990.58"/>
    <m/>
    <d v="2025-09-08T00:00:00"/>
    <s v="USD"/>
    <d v="2025-09-01T00:00:00"/>
    <n v="1"/>
    <s v="30/09/2025"/>
    <n v="210"/>
    <s v="IN89"/>
  </r>
  <r>
    <x v="0"/>
    <n v="256779415371"/>
    <x v="26"/>
    <n v="-43.32"/>
    <n v="-3832.52"/>
    <m/>
    <d v="2025-09-08T00:00:00"/>
    <s v="USD"/>
    <d v="2025-09-01T00:00:00"/>
    <n v="1"/>
    <s v="30/09/2025"/>
    <n v="210"/>
    <s v="IN89"/>
  </r>
  <r>
    <x v="0"/>
    <n v="256779415305"/>
    <x v="26"/>
    <n v="-30"/>
    <n v="-2654.1"/>
    <m/>
    <d v="2025-09-08T00:00:00"/>
    <s v="USD"/>
    <d v="2025-09-01T00:00:00"/>
    <n v="1"/>
    <s v="30/09/2025"/>
    <n v="210"/>
    <s v="IN89"/>
  </r>
  <r>
    <x v="0"/>
    <n v="256779415315"/>
    <x v="26"/>
    <n v="-120"/>
    <n v="-10616.4"/>
    <m/>
    <d v="2025-09-08T00:00:00"/>
    <s v="USD"/>
    <d v="2025-09-01T00:00:00"/>
    <n v="1"/>
    <s v="30/09/2025"/>
    <n v="210"/>
    <s v="IN89"/>
  </r>
  <r>
    <x v="0"/>
    <n v="256779415356"/>
    <x v="26"/>
    <n v="-72"/>
    <n v="-6369.84"/>
    <m/>
    <d v="2025-09-08T00:00:00"/>
    <s v="USD"/>
    <d v="2025-09-01T00:00:00"/>
    <n v="1"/>
    <s v="30/09/2025"/>
    <n v="210"/>
    <s v="IN89"/>
  </r>
  <r>
    <x v="0"/>
    <n v="256779415383"/>
    <x v="26"/>
    <n v="-155.80000000000001"/>
    <n v="-13783.63"/>
    <m/>
    <d v="2025-09-08T00:00:00"/>
    <s v="USD"/>
    <d v="2025-09-01T00:00:00"/>
    <n v="1"/>
    <s v="30/09/2025"/>
    <n v="210"/>
    <s v="IN89"/>
  </r>
  <r>
    <x v="0"/>
    <n v="256779415372"/>
    <x v="26"/>
    <n v="-155.38"/>
    <n v="-13746.47"/>
    <m/>
    <d v="2025-09-08T00:00:00"/>
    <s v="USD"/>
    <d v="2025-09-01T00:00:00"/>
    <n v="1"/>
    <s v="30/09/2025"/>
    <n v="210"/>
    <s v="IN89"/>
  </r>
  <r>
    <x v="0"/>
    <n v="256779415361"/>
    <x v="26"/>
    <n v="-67.5"/>
    <n v="-5971.73"/>
    <m/>
    <d v="2025-09-08T00:00:00"/>
    <s v="USD"/>
    <d v="2025-09-01T00:00:00"/>
    <n v="1"/>
    <s v="30/09/2025"/>
    <n v="210"/>
    <s v="IN89"/>
  </r>
  <r>
    <x v="0"/>
    <n v="256779415317"/>
    <x v="26"/>
    <n v="-200"/>
    <n v="-17694"/>
    <m/>
    <d v="2025-09-08T00:00:00"/>
    <s v="USD"/>
    <d v="2025-09-01T00:00:00"/>
    <n v="1"/>
    <s v="30/09/2025"/>
    <n v="210"/>
    <s v="IN89"/>
  </r>
  <r>
    <x v="0"/>
    <n v="256779415394"/>
    <x v="26"/>
    <n v="-96"/>
    <n v="-8493.1200000000008"/>
    <m/>
    <d v="2025-09-08T00:00:00"/>
    <s v="USD"/>
    <d v="2025-09-01T00:00:00"/>
    <n v="1"/>
    <s v="30/09/2025"/>
    <n v="210"/>
    <s v="IN89"/>
  </r>
  <r>
    <x v="0"/>
    <n v="256779415314"/>
    <x v="26"/>
    <n v="-179.14"/>
    <n v="-15848.52"/>
    <m/>
    <d v="2025-09-08T00:00:00"/>
    <s v="USD"/>
    <d v="2025-09-01T00:00:00"/>
    <n v="1"/>
    <s v="30/09/2025"/>
    <n v="210"/>
    <s v="IN89"/>
  </r>
  <r>
    <x v="0"/>
    <n v="256779415352"/>
    <x v="26"/>
    <n v="-155.91999999999999"/>
    <n v="-13794.24"/>
    <m/>
    <d v="2025-09-08T00:00:00"/>
    <s v="USD"/>
    <d v="2025-09-01T00:00:00"/>
    <n v="1"/>
    <s v="30/09/2025"/>
    <n v="210"/>
    <s v="IN89"/>
  </r>
  <r>
    <x v="0"/>
    <n v="256779415342"/>
    <x v="26"/>
    <n v="-2.5"/>
    <n v="-221.18"/>
    <m/>
    <d v="2025-09-08T00:00:00"/>
    <s v="USD"/>
    <d v="2025-09-01T00:00:00"/>
    <n v="1"/>
    <s v="30/09/2025"/>
    <n v="210"/>
    <s v="IN89"/>
  </r>
  <r>
    <x v="0"/>
    <n v="256779415376"/>
    <x v="26"/>
    <n v="-60"/>
    <n v="-5308.2"/>
    <m/>
    <d v="2025-09-08T00:00:00"/>
    <s v="USD"/>
    <d v="2025-09-01T00:00:00"/>
    <n v="1"/>
    <s v="30/09/2025"/>
    <n v="210"/>
    <s v="IN89"/>
  </r>
  <r>
    <x v="0"/>
    <n v="256779415336"/>
    <x v="26"/>
    <n v="-5"/>
    <n v="-442.35"/>
    <m/>
    <d v="2025-09-08T00:00:00"/>
    <s v="USD"/>
    <d v="2025-09-01T00:00:00"/>
    <n v="1"/>
    <s v="30/09/2025"/>
    <n v="210"/>
    <s v="IN89"/>
  </r>
  <r>
    <x v="0"/>
    <n v="256779415382"/>
    <x v="26"/>
    <n v="-117.64"/>
    <n v="-10407.61"/>
    <m/>
    <d v="2025-09-08T00:00:00"/>
    <s v="USD"/>
    <d v="2025-09-01T00:00:00"/>
    <n v="1"/>
    <s v="30/09/2025"/>
    <n v="210"/>
    <s v="IN89"/>
  </r>
  <r>
    <x v="0"/>
    <n v="256779415295"/>
    <x v="26"/>
    <n v="-24"/>
    <n v="-2123.2800000000002"/>
    <m/>
    <d v="2025-09-08T00:00:00"/>
    <s v="USD"/>
    <d v="2025-09-01T00:00:00"/>
    <n v="1"/>
    <s v="30/09/2025"/>
    <n v="210"/>
    <s v="IN89"/>
  </r>
  <r>
    <x v="0"/>
    <n v="256779415326"/>
    <x v="26"/>
    <n v="-185.05"/>
    <n v="-16371.37"/>
    <m/>
    <d v="2025-09-08T00:00:00"/>
    <s v="USD"/>
    <d v="2025-09-01T00:00:00"/>
    <n v="1"/>
    <s v="30/09/2025"/>
    <n v="210"/>
    <s v="IN89"/>
  </r>
  <r>
    <x v="0"/>
    <n v="256779415306"/>
    <x v="26"/>
    <n v="-30"/>
    <n v="-2654.1"/>
    <m/>
    <d v="2025-09-08T00:00:00"/>
    <s v="USD"/>
    <d v="2025-09-01T00:00:00"/>
    <n v="1"/>
    <s v="30/09/2025"/>
    <n v="210"/>
    <s v="IN89"/>
  </r>
  <r>
    <x v="0"/>
    <n v="256779415390"/>
    <x v="26"/>
    <n v="-110.96"/>
    <n v="-9816.6299999999992"/>
    <m/>
    <d v="2025-09-08T00:00:00"/>
    <s v="USD"/>
    <d v="2025-09-01T00:00:00"/>
    <n v="1"/>
    <s v="30/09/2025"/>
    <n v="210"/>
    <s v="IN89"/>
  </r>
  <r>
    <x v="0"/>
    <n v="256779415340"/>
    <x v="26"/>
    <n v="-25.84"/>
    <n v="-2286.06"/>
    <m/>
    <d v="2025-09-08T00:00:00"/>
    <s v="USD"/>
    <d v="2025-09-01T00:00:00"/>
    <n v="1"/>
    <s v="30/09/2025"/>
    <n v="210"/>
    <s v="IN89"/>
  </r>
  <r>
    <x v="0"/>
    <n v="256779415343"/>
    <x v="26"/>
    <n v="-1"/>
    <n v="-88.47"/>
    <m/>
    <d v="2025-09-08T00:00:00"/>
    <s v="USD"/>
    <d v="2025-09-01T00:00:00"/>
    <n v="1"/>
    <s v="30/09/2025"/>
    <n v="210"/>
    <s v="IN89"/>
  </r>
  <r>
    <x v="0"/>
    <n v="256779415395"/>
    <x v="26"/>
    <n v="-205.72"/>
    <n v="-18200.05"/>
    <m/>
    <d v="2025-09-08T00:00:00"/>
    <s v="USD"/>
    <d v="2025-09-01T00:00:00"/>
    <n v="1"/>
    <s v="30/09/2025"/>
    <n v="210"/>
    <s v="IN89"/>
  </r>
  <r>
    <x v="0"/>
    <n v="256779415381"/>
    <x v="26"/>
    <n v="-60"/>
    <n v="-5308.2"/>
    <m/>
    <d v="2025-09-08T00:00:00"/>
    <s v="USD"/>
    <d v="2025-09-01T00:00:00"/>
    <n v="1"/>
    <s v="30/09/2025"/>
    <n v="210"/>
    <s v="IN89"/>
  </r>
  <r>
    <x v="0"/>
    <n v="256779415392"/>
    <x v="26"/>
    <n v="-200"/>
    <n v="-17694"/>
    <m/>
    <d v="2025-09-08T00:00:00"/>
    <s v="USD"/>
    <d v="2025-09-01T00:00:00"/>
    <n v="1"/>
    <s v="30/09/2025"/>
    <n v="210"/>
    <s v="IN89"/>
  </r>
  <r>
    <x v="0"/>
    <n v="256779415358"/>
    <x v="26"/>
    <n v="-96"/>
    <n v="-8493.1200000000008"/>
    <m/>
    <d v="2025-09-08T00:00:00"/>
    <s v="USD"/>
    <d v="2025-09-01T00:00:00"/>
    <n v="1"/>
    <s v="30/09/2025"/>
    <n v="210"/>
    <s v="IN89"/>
  </r>
  <r>
    <x v="0"/>
    <n v="256779415337"/>
    <x v="26"/>
    <n v="-17.5"/>
    <n v="-1548.23"/>
    <m/>
    <d v="2025-09-08T00:00:00"/>
    <s v="USD"/>
    <d v="2025-09-01T00:00:00"/>
    <n v="1"/>
    <s v="30/09/2025"/>
    <n v="210"/>
    <s v="IN89"/>
  </r>
  <r>
    <x v="0"/>
    <n v="256779415362"/>
    <x v="26"/>
    <n v="-3"/>
    <n v="-265.41000000000003"/>
    <m/>
    <d v="2025-09-08T00:00:00"/>
    <s v="USD"/>
    <d v="2025-09-01T00:00:00"/>
    <n v="1"/>
    <s v="30/09/2025"/>
    <n v="210"/>
    <s v="IN89"/>
  </r>
  <r>
    <x v="0"/>
    <n v="256779415373"/>
    <x v="26"/>
    <n v="-2.63"/>
    <n v="-232.68"/>
    <m/>
    <d v="2025-09-08T00:00:00"/>
    <s v="USD"/>
    <d v="2025-09-01T00:00:00"/>
    <n v="1"/>
    <s v="30/09/2025"/>
    <n v="210"/>
    <s v="IN89"/>
  </r>
  <r>
    <x v="0"/>
    <n v="256779415386"/>
    <x v="26"/>
    <n v="-7.5"/>
    <n v="-663.53"/>
    <m/>
    <d v="2025-09-08T00:00:00"/>
    <s v="USD"/>
    <d v="2025-09-01T00:00:00"/>
    <n v="1"/>
    <s v="30/09/2025"/>
    <n v="210"/>
    <s v="IN89"/>
  </r>
  <r>
    <x v="0"/>
    <n v="256779415348"/>
    <x v="26"/>
    <n v="-7.5"/>
    <n v="-663.53"/>
    <m/>
    <d v="2025-09-08T00:00:00"/>
    <s v="USD"/>
    <d v="2025-09-01T00:00:00"/>
    <n v="1"/>
    <s v="30/09/2025"/>
    <n v="210"/>
    <s v="IN89"/>
  </r>
  <r>
    <x v="0"/>
    <n v="256779415369"/>
    <x v="26"/>
    <n v="-3"/>
    <n v="-265.41000000000003"/>
    <m/>
    <d v="2025-09-08T00:00:00"/>
    <s v="USD"/>
    <d v="2025-09-01T00:00:00"/>
    <n v="1"/>
    <s v="30/09/2025"/>
    <n v="210"/>
    <s v="IN89"/>
  </r>
  <r>
    <x v="0"/>
    <n v="256779415364"/>
    <x v="26"/>
    <n v="-200"/>
    <n v="-17694"/>
    <m/>
    <d v="2025-09-08T00:00:00"/>
    <s v="USD"/>
    <d v="2025-09-01T00:00:00"/>
    <n v="1"/>
    <s v="30/09/2025"/>
    <n v="210"/>
    <s v="IN89"/>
  </r>
  <r>
    <x v="0"/>
    <n v="256779415299"/>
    <x v="26"/>
    <n v="-24"/>
    <n v="-2123.2800000000002"/>
    <m/>
    <d v="2025-09-08T00:00:00"/>
    <s v="USD"/>
    <d v="2025-09-01T00:00:00"/>
    <n v="1"/>
    <s v="30/09/2025"/>
    <n v="210"/>
    <s v="IN89"/>
  </r>
  <r>
    <x v="0"/>
    <n v="256779415335"/>
    <x v="26"/>
    <n v="-25"/>
    <n v="-2211.75"/>
    <m/>
    <d v="2025-09-08T00:00:00"/>
    <s v="USD"/>
    <d v="2025-09-01T00:00:00"/>
    <n v="1"/>
    <s v="30/09/2025"/>
    <n v="210"/>
    <s v="IN89"/>
  </r>
  <r>
    <x v="0"/>
    <n v="256779415292"/>
    <x v="26"/>
    <n v="-24"/>
    <n v="-2123.2800000000002"/>
    <m/>
    <d v="2025-09-08T00:00:00"/>
    <s v="USD"/>
    <d v="2025-09-01T00:00:00"/>
    <n v="1"/>
    <s v="30/09/2025"/>
    <n v="210"/>
    <s v="IN89"/>
  </r>
  <r>
    <x v="0"/>
    <n v="256779415370"/>
    <x v="26"/>
    <n v="-72"/>
    <n v="-6369.84"/>
    <m/>
    <d v="2025-09-08T00:00:00"/>
    <s v="USD"/>
    <d v="2025-09-01T00:00:00"/>
    <n v="1"/>
    <s v="30/09/2025"/>
    <n v="210"/>
    <s v="IN89"/>
  </r>
  <r>
    <x v="0"/>
    <n v="256779415294"/>
    <x v="26"/>
    <n v="-24"/>
    <n v="-2123.2800000000002"/>
    <m/>
    <d v="2025-09-08T00:00:00"/>
    <s v="USD"/>
    <d v="2025-09-01T00:00:00"/>
    <n v="1"/>
    <s v="30/09/2025"/>
    <n v="210"/>
    <s v="IN89"/>
  </r>
  <r>
    <x v="0"/>
    <n v="256779415307"/>
    <x v="26"/>
    <n v="-30"/>
    <n v="-2654.1"/>
    <m/>
    <d v="2025-09-08T00:00:00"/>
    <s v="USD"/>
    <d v="2025-09-01T00:00:00"/>
    <n v="1"/>
    <s v="30/09/2025"/>
    <n v="210"/>
    <s v="IN89"/>
  </r>
  <r>
    <x v="0"/>
    <n v="256779415347"/>
    <x v="26"/>
    <n v="-20"/>
    <n v="-1769.4"/>
    <m/>
    <d v="2025-09-08T00:00:00"/>
    <s v="USD"/>
    <d v="2025-09-01T00:00:00"/>
    <n v="1"/>
    <s v="30/09/2025"/>
    <n v="210"/>
    <s v="IN89"/>
  </r>
  <r>
    <x v="0"/>
    <n v="256779415317"/>
    <x v="26"/>
    <n v="4"/>
    <n v="353.88"/>
    <s v="C: ASCENDAS27 P: A023951 I 256779415317"/>
    <d v="2025-09-08T00:00:00"/>
    <s v="USD"/>
    <d v="2025-09-01T00:00:00"/>
    <n v="1"/>
    <s v="30/09/2025"/>
    <n v="230"/>
    <s v="IN89"/>
  </r>
  <r>
    <x v="0"/>
    <n v="256779415346"/>
    <x v="26"/>
    <n v="0.35"/>
    <n v="30.96"/>
    <s v="C: ASCENDAS27 P: A023951 I 256779415346"/>
    <d v="2025-09-08T00:00:00"/>
    <s v="USD"/>
    <d v="2025-09-01T00:00:00"/>
    <n v="1"/>
    <s v="30/09/2025"/>
    <n v="230"/>
    <s v="IN89"/>
  </r>
  <r>
    <x v="0"/>
    <n v="256779415339"/>
    <x v="26"/>
    <n v="0.55000000000000004"/>
    <n v="48.66"/>
    <s v="C: ASCENDAS27 P: A023951 I 256779415339"/>
    <d v="2025-09-08T00:00:00"/>
    <s v="USD"/>
    <d v="2025-09-01T00:00:00"/>
    <n v="1"/>
    <s v="30/09/2025"/>
    <n v="230"/>
    <s v="IN89"/>
  </r>
  <r>
    <x v="0"/>
    <n v="256779415371"/>
    <x v="26"/>
    <n v="0.87"/>
    <n v="76.97"/>
    <s v="C: ASCENDAS27 P: A023951 I 256779415371"/>
    <d v="2025-09-08T00:00:00"/>
    <s v="USD"/>
    <d v="2025-09-01T00:00:00"/>
    <n v="1"/>
    <s v="30/09/2025"/>
    <n v="230"/>
    <s v="IN89"/>
  </r>
  <r>
    <x v="0"/>
    <n v="256779415338"/>
    <x v="26"/>
    <n v="0.25"/>
    <n v="22.12"/>
    <s v="C: ASCENDAS27 P: A023951 I 256779415338"/>
    <d v="2025-09-08T00:00:00"/>
    <s v="USD"/>
    <d v="2025-09-01T00:00:00"/>
    <n v="1"/>
    <s v="30/09/2025"/>
    <n v="230"/>
    <s v="IN89"/>
  </r>
  <r>
    <x v="0"/>
    <n v="256779415359"/>
    <x v="26"/>
    <n v="4"/>
    <n v="353.88"/>
    <s v="C: ASCENDAS27 P: A023951 I 256779415359"/>
    <d v="2025-09-08T00:00:00"/>
    <s v="USD"/>
    <d v="2025-09-01T00:00:00"/>
    <n v="1"/>
    <s v="30/09/2025"/>
    <n v="230"/>
    <s v="IN89"/>
  </r>
  <r>
    <x v="0"/>
    <n v="256779415381"/>
    <x v="26"/>
    <n v="1.2"/>
    <n v="106.16"/>
    <s v="C: ASCENDAS27 P: A023951 I 256779415381"/>
    <d v="2025-09-08T00:00:00"/>
    <s v="USD"/>
    <d v="2025-09-01T00:00:00"/>
    <n v="1"/>
    <s v="30/09/2025"/>
    <n v="230"/>
    <s v="IN89"/>
  </r>
  <r>
    <x v="0"/>
    <n v="256779415391"/>
    <x v="26"/>
    <n v="16.399999999999999"/>
    <n v="1450.91"/>
    <s v="C: ASCENDAS27 P: A023951 I 256779415391"/>
    <d v="2025-09-08T00:00:00"/>
    <s v="USD"/>
    <d v="2025-09-01T00:00:00"/>
    <n v="1"/>
    <s v="30/09/2025"/>
    <n v="230"/>
    <s v="IN89"/>
  </r>
  <r>
    <x v="0"/>
    <n v="256779415358"/>
    <x v="26"/>
    <n v="1.92"/>
    <n v="169.86"/>
    <s v="C: ASCENDAS27 P: A023951 I 256779415358"/>
    <d v="2025-09-08T00:00:00"/>
    <s v="USD"/>
    <d v="2025-09-01T00:00:00"/>
    <n v="1"/>
    <s v="30/09/2025"/>
    <n v="230"/>
    <s v="IN89"/>
  </r>
  <r>
    <x v="0"/>
    <n v="256779415305"/>
    <x v="26"/>
    <n v="0.6"/>
    <n v="53.08"/>
    <s v="C: ASCENDAS27 P: A023951 I 256779415305"/>
    <d v="2025-09-08T00:00:00"/>
    <s v="USD"/>
    <d v="2025-09-01T00:00:00"/>
    <n v="1"/>
    <s v="30/09/2025"/>
    <n v="230"/>
    <s v="IN89"/>
  </r>
  <r>
    <x v="0"/>
    <n v="256779415345"/>
    <x v="26"/>
    <n v="0.5"/>
    <n v="44.24"/>
    <s v="C: ASCENDAS27 P: A023951 I 256779415345"/>
    <d v="2025-09-08T00:00:00"/>
    <s v="USD"/>
    <d v="2025-09-01T00:00:00"/>
    <n v="1"/>
    <s v="30/09/2025"/>
    <n v="230"/>
    <s v="IN89"/>
  </r>
  <r>
    <x v="0"/>
    <n v="256779415300"/>
    <x v="26"/>
    <n v="0.48"/>
    <n v="42.47"/>
    <s v="C: ASCENDAS27 P: A023951 I 256779415300"/>
    <d v="2025-09-08T00:00:00"/>
    <s v="USD"/>
    <d v="2025-09-01T00:00:00"/>
    <n v="1"/>
    <s v="30/09/2025"/>
    <n v="230"/>
    <s v="IN89"/>
  </r>
  <r>
    <x v="0"/>
    <n v="256779415352"/>
    <x v="26"/>
    <n v="3.12"/>
    <n v="276.02999999999997"/>
    <s v="C: ASCENDAS27 P: A023951 I 256779415352"/>
    <d v="2025-09-08T00:00:00"/>
    <s v="USD"/>
    <d v="2025-09-01T00:00:00"/>
    <n v="1"/>
    <s v="30/09/2025"/>
    <n v="230"/>
    <s v="IN89"/>
  </r>
  <r>
    <x v="0"/>
    <n v="256779415304"/>
    <x v="26"/>
    <n v="0.6"/>
    <n v="53.08"/>
    <s v="C: ASCENDAS27 P: A023951 I 256779415304"/>
    <d v="2025-09-08T00:00:00"/>
    <s v="USD"/>
    <d v="2025-09-01T00:00:00"/>
    <n v="1"/>
    <s v="30/09/2025"/>
    <n v="230"/>
    <s v="IN89"/>
  </r>
  <r>
    <x v="0"/>
    <n v="256779415379"/>
    <x v="26"/>
    <n v="4.66"/>
    <n v="412.27"/>
    <s v="C: ASCENDAS27 P: A023951 I 256779415379"/>
    <d v="2025-09-08T00:00:00"/>
    <s v="USD"/>
    <d v="2025-09-01T00:00:00"/>
    <n v="1"/>
    <s v="30/09/2025"/>
    <n v="230"/>
    <s v="IN89"/>
  </r>
  <r>
    <x v="0"/>
    <n v="256779415303"/>
    <x v="26"/>
    <n v="2"/>
    <n v="176.94"/>
    <s v="C: ASCENDAS27 P: A023951 I 256779415303"/>
    <d v="2025-09-08T00:00:00"/>
    <s v="USD"/>
    <d v="2025-09-01T00:00:00"/>
    <n v="1"/>
    <s v="30/09/2025"/>
    <n v="230"/>
    <s v="IN89"/>
  </r>
  <r>
    <x v="0"/>
    <n v="256779415377"/>
    <x v="26"/>
    <n v="1"/>
    <n v="88.47"/>
    <s v="C: ASCENDAS27 P: A023951 I 256779415377"/>
    <d v="2025-09-08T00:00:00"/>
    <s v="USD"/>
    <d v="2025-09-01T00:00:00"/>
    <n v="1"/>
    <s v="30/09/2025"/>
    <n v="230"/>
    <s v="IN89"/>
  </r>
  <r>
    <x v="0"/>
    <n v="256779415392"/>
    <x v="26"/>
    <n v="4"/>
    <n v="353.88"/>
    <s v="C: ASCENDAS27 P: A023951 I 256779415392"/>
    <d v="2025-09-08T00:00:00"/>
    <s v="USD"/>
    <d v="2025-09-01T00:00:00"/>
    <n v="1"/>
    <s v="30/09/2025"/>
    <n v="230"/>
    <s v="IN89"/>
  </r>
  <r>
    <x v="0"/>
    <n v="256779415393"/>
    <x v="26"/>
    <n v="1.2"/>
    <n v="106.16"/>
    <s v="C: ASCENDAS27 P: A023951 I 256779415393"/>
    <d v="2025-09-08T00:00:00"/>
    <s v="USD"/>
    <d v="2025-09-01T00:00:00"/>
    <n v="1"/>
    <s v="30/09/2025"/>
    <n v="230"/>
    <s v="IN89"/>
  </r>
  <r>
    <x v="0"/>
    <n v="256779415362"/>
    <x v="26"/>
    <n v="0.06"/>
    <n v="5.31"/>
    <s v="C: ASCENDAS27 P: A023951 I 256779415362"/>
    <d v="2025-09-08T00:00:00"/>
    <s v="USD"/>
    <d v="2025-09-01T00:00:00"/>
    <n v="1"/>
    <s v="30/09/2025"/>
    <n v="230"/>
    <s v="IN89"/>
  </r>
  <r>
    <x v="0"/>
    <n v="256779415315"/>
    <x v="26"/>
    <n v="2.4"/>
    <n v="212.33"/>
    <s v="C: ASCENDAS27 P: A023951 I 256779415315"/>
    <d v="2025-09-08T00:00:00"/>
    <s v="USD"/>
    <d v="2025-09-01T00:00:00"/>
    <n v="1"/>
    <s v="30/09/2025"/>
    <n v="230"/>
    <s v="IN89"/>
  </r>
  <r>
    <x v="0"/>
    <n v="256779415378"/>
    <x v="26"/>
    <n v="2.4"/>
    <n v="212.33"/>
    <s v="C: ASCENDAS27 P: A023951 I 256779415378"/>
    <d v="2025-09-08T00:00:00"/>
    <s v="USD"/>
    <d v="2025-09-01T00:00:00"/>
    <n v="1"/>
    <s v="30/09/2025"/>
    <n v="230"/>
    <s v="IN89"/>
  </r>
  <r>
    <x v="0"/>
    <n v="256779415356"/>
    <x v="26"/>
    <n v="1.44"/>
    <n v="127.4"/>
    <s v="C: ASCENDAS27 P: A023951 I 256779415356"/>
    <d v="2025-09-08T00:00:00"/>
    <s v="USD"/>
    <d v="2025-09-01T00:00:00"/>
    <n v="1"/>
    <s v="30/09/2025"/>
    <n v="230"/>
    <s v="IN89"/>
  </r>
  <r>
    <x v="0"/>
    <n v="256779415383"/>
    <x v="26"/>
    <n v="3.12"/>
    <n v="276.02999999999997"/>
    <s v="C: ASCENDAS27 P: A023951 I 256779415383"/>
    <d v="2025-09-08T00:00:00"/>
    <s v="USD"/>
    <d v="2025-09-01T00:00:00"/>
    <n v="1"/>
    <s v="30/09/2025"/>
    <n v="230"/>
    <s v="IN89"/>
  </r>
  <r>
    <x v="0"/>
    <n v="256779415375"/>
    <x v="26"/>
    <n v="7.2"/>
    <n v="636.98"/>
    <s v="C: ASCENDAS27 P: A023951 I 256779415375"/>
    <d v="2025-09-08T00:00:00"/>
    <s v="USD"/>
    <d v="2025-09-01T00:00:00"/>
    <n v="1"/>
    <s v="30/09/2025"/>
    <n v="230"/>
    <s v="IN89"/>
  </r>
  <r>
    <x v="0"/>
    <n v="256779415373"/>
    <x v="26"/>
    <n v="0.05"/>
    <n v="4.42"/>
    <s v="C: ASCENDAS27 P: A023951 I 256779415373"/>
    <d v="2025-09-08T00:00:00"/>
    <s v="USD"/>
    <d v="2025-09-01T00:00:00"/>
    <n v="1"/>
    <s v="30/09/2025"/>
    <n v="230"/>
    <s v="IN89"/>
  </r>
  <r>
    <x v="0"/>
    <n v="256779415342"/>
    <x v="26"/>
    <n v="0.05"/>
    <n v="4.42"/>
    <s v="C: ASCENDAS27 P: A023951 I 256779415342"/>
    <d v="2025-09-08T00:00:00"/>
    <s v="USD"/>
    <d v="2025-09-01T00:00:00"/>
    <n v="1"/>
    <s v="30/09/2025"/>
    <n v="230"/>
    <s v="IN89"/>
  </r>
  <r>
    <x v="0"/>
    <n v="256779415372"/>
    <x v="26"/>
    <n v="3.11"/>
    <n v="275.14"/>
    <s v="C: ASCENDAS27 P: A023951 I 256779415372"/>
    <d v="2025-09-08T00:00:00"/>
    <s v="USD"/>
    <d v="2025-09-01T00:00:00"/>
    <n v="1"/>
    <s v="30/09/2025"/>
    <n v="230"/>
    <s v="IN89"/>
  </r>
  <r>
    <x v="0"/>
    <n v="256779415369"/>
    <x v="26"/>
    <n v="0.06"/>
    <n v="5.31"/>
    <s v="C: ASCENDAS27 P: A023951 I 256779415369"/>
    <d v="2025-09-08T00:00:00"/>
    <s v="USD"/>
    <d v="2025-09-01T00:00:00"/>
    <n v="1"/>
    <s v="30/09/2025"/>
    <n v="230"/>
    <s v="IN89"/>
  </r>
  <r>
    <x v="0"/>
    <n v="256779415361"/>
    <x v="26"/>
    <n v="1.35"/>
    <n v="119.43"/>
    <s v="C: ASCENDAS27 P: A023951 I 256779415361"/>
    <d v="2025-09-08T00:00:00"/>
    <s v="USD"/>
    <d v="2025-09-01T00:00:00"/>
    <n v="1"/>
    <s v="30/09/2025"/>
    <n v="230"/>
    <s v="IN89"/>
  </r>
  <r>
    <x v="0"/>
    <n v="256779415306"/>
    <x v="26"/>
    <n v="0.6"/>
    <n v="53.08"/>
    <s v="C: ASCENDAS27 P: A023951 I 256779415306"/>
    <d v="2025-09-08T00:00:00"/>
    <s v="USD"/>
    <d v="2025-09-01T00:00:00"/>
    <n v="1"/>
    <s v="30/09/2025"/>
    <n v="230"/>
    <s v="IN89"/>
  </r>
  <r>
    <x v="0"/>
    <n v="256779415333"/>
    <x v="26"/>
    <n v="0.45"/>
    <n v="39.81"/>
    <s v="C: ASCENDAS27 P: A023951 I 256779415333"/>
    <d v="2025-09-08T00:00:00"/>
    <s v="USD"/>
    <d v="2025-09-01T00:00:00"/>
    <n v="1"/>
    <s v="30/09/2025"/>
    <n v="230"/>
    <s v="IN89"/>
  </r>
  <r>
    <x v="0"/>
    <n v="256779415298"/>
    <x v="26"/>
    <n v="0.48"/>
    <n v="42.47"/>
    <s v="C: ASCENDAS27 P: A023951 I 256779415298"/>
    <d v="2025-09-08T00:00:00"/>
    <s v="USD"/>
    <d v="2025-09-01T00:00:00"/>
    <n v="1"/>
    <s v="30/09/2025"/>
    <n v="230"/>
    <s v="IN89"/>
  </r>
  <r>
    <x v="0"/>
    <n v="256779415386"/>
    <x v="26"/>
    <n v="0.15"/>
    <n v="13.27"/>
    <s v="C: ASCENDAS27 P: A023951 I 256779415386"/>
    <d v="2025-09-08T00:00:00"/>
    <s v="USD"/>
    <d v="2025-09-01T00:00:00"/>
    <n v="1"/>
    <s v="30/09/2025"/>
    <n v="230"/>
    <s v="IN89"/>
  </r>
  <r>
    <x v="0"/>
    <n v="256779415336"/>
    <x v="26"/>
    <n v="0.1"/>
    <n v="8.85"/>
    <s v="C: ASCENDAS27 P: A023951 I 256779415336"/>
    <d v="2025-09-08T00:00:00"/>
    <s v="USD"/>
    <d v="2025-09-01T00:00:00"/>
    <n v="1"/>
    <s v="30/09/2025"/>
    <n v="230"/>
    <s v="IN89"/>
  </r>
  <r>
    <x v="0"/>
    <n v="256779415341"/>
    <x v="26"/>
    <n v="0.3"/>
    <n v="26.54"/>
    <s v="C: ASCENDAS27 P: A023951 I 256779415341"/>
    <d v="2025-09-08T00:00:00"/>
    <s v="USD"/>
    <d v="2025-09-01T00:00:00"/>
    <n v="1"/>
    <s v="30/09/2025"/>
    <n v="230"/>
    <s v="IN89"/>
  </r>
  <r>
    <x v="0"/>
    <n v="256779415380"/>
    <x v="26"/>
    <n v="4"/>
    <n v="353.88"/>
    <s v="C: ASCENDAS27 P: A023951 I 256779415380"/>
    <d v="2025-09-08T00:00:00"/>
    <s v="USD"/>
    <d v="2025-09-01T00:00:00"/>
    <n v="1"/>
    <s v="30/09/2025"/>
    <n v="230"/>
    <s v="IN89"/>
  </r>
  <r>
    <x v="0"/>
    <n v="256779415318"/>
    <x v="26"/>
    <n v="5.09"/>
    <n v="450.31"/>
    <s v="C: ASCENDAS27 P: A023951 I 256779415318"/>
    <d v="2025-09-08T00:00:00"/>
    <s v="USD"/>
    <d v="2025-09-01T00:00:00"/>
    <n v="1"/>
    <s v="30/09/2025"/>
    <n v="230"/>
    <s v="IN89"/>
  </r>
  <r>
    <x v="0"/>
    <n v="256779415384"/>
    <x v="26"/>
    <n v="7"/>
    <n v="619.29"/>
    <s v="C: ASCENDAS27 P: A023951 I 256779415384"/>
    <d v="2025-09-08T00:00:00"/>
    <s v="USD"/>
    <d v="2025-09-01T00:00:00"/>
    <n v="1"/>
    <s v="30/09/2025"/>
    <n v="230"/>
    <s v="IN89"/>
  </r>
  <r>
    <x v="0"/>
    <n v="256779415344"/>
    <x v="26"/>
    <n v="0.5"/>
    <n v="44.24"/>
    <s v="C: ASCENDAS27 P: A023951 I 256779415344"/>
    <d v="2025-09-08T00:00:00"/>
    <s v="USD"/>
    <d v="2025-09-01T00:00:00"/>
    <n v="1"/>
    <s v="30/09/2025"/>
    <n v="230"/>
    <s v="IN89"/>
  </r>
  <r>
    <x v="0"/>
    <n v="256779415382"/>
    <x v="26"/>
    <n v="2.35"/>
    <n v="207.9"/>
    <s v="C: ASCENDAS27 P: A023951 I 256779415382"/>
    <d v="2025-09-08T00:00:00"/>
    <s v="USD"/>
    <d v="2025-09-01T00:00:00"/>
    <n v="1"/>
    <s v="30/09/2025"/>
    <n v="230"/>
    <s v="IN89"/>
  </r>
  <r>
    <x v="0"/>
    <n v="256779415314"/>
    <x v="26"/>
    <n v="3.58"/>
    <n v="316.72000000000003"/>
    <s v="C: ASCENDAS27 P: A023951 I 256779415314"/>
    <d v="2025-09-08T00:00:00"/>
    <s v="USD"/>
    <d v="2025-09-01T00:00:00"/>
    <n v="1"/>
    <s v="30/09/2025"/>
    <n v="230"/>
    <s v="IN89"/>
  </r>
  <r>
    <x v="0"/>
    <n v="256779415355"/>
    <x v="26"/>
    <n v="0.43"/>
    <n v="38.04"/>
    <s v="C: ASCENDAS27 P: A023951 I 256779415355"/>
    <d v="2025-09-08T00:00:00"/>
    <s v="USD"/>
    <d v="2025-09-01T00:00:00"/>
    <n v="1"/>
    <s v="30/09/2025"/>
    <n v="230"/>
    <s v="IN89"/>
  </r>
  <r>
    <x v="0"/>
    <n v="256779415376"/>
    <x v="26"/>
    <n v="1.2"/>
    <n v="106.16"/>
    <s v="C: ASCENDAS27 P: A023951 I 256779415376"/>
    <d v="2025-09-08T00:00:00"/>
    <s v="USD"/>
    <d v="2025-09-01T00:00:00"/>
    <n v="1"/>
    <s v="30/09/2025"/>
    <n v="230"/>
    <s v="IN89"/>
  </r>
  <r>
    <x v="0"/>
    <n v="256779415334"/>
    <x v="26"/>
    <n v="0.45"/>
    <n v="39.81"/>
    <s v="C: ASCENDAS27 P: A023951 I 256779415334"/>
    <d v="2025-09-08T00:00:00"/>
    <s v="USD"/>
    <d v="2025-09-01T00:00:00"/>
    <n v="1"/>
    <s v="30/09/2025"/>
    <n v="230"/>
    <s v="IN89"/>
  </r>
  <r>
    <x v="0"/>
    <n v="256779415337"/>
    <x v="26"/>
    <n v="0.35"/>
    <n v="30.96"/>
    <s v="C: ASCENDAS27 P: A023951 I 256779415337"/>
    <d v="2025-09-08T00:00:00"/>
    <s v="USD"/>
    <d v="2025-09-01T00:00:00"/>
    <n v="1"/>
    <s v="30/09/2025"/>
    <n v="230"/>
    <s v="IN89"/>
  </r>
  <r>
    <x v="0"/>
    <n v="256779415357"/>
    <x v="26"/>
    <n v="4.1500000000000004"/>
    <n v="367.15"/>
    <s v="C: ASCENDAS27 P: A023951 I 256779415357"/>
    <d v="2025-09-08T00:00:00"/>
    <s v="USD"/>
    <d v="2025-09-01T00:00:00"/>
    <n v="1"/>
    <s v="30/09/2025"/>
    <n v="230"/>
    <s v="IN89"/>
  </r>
  <r>
    <x v="0"/>
    <n v="256779415340"/>
    <x v="26"/>
    <n v="0.52"/>
    <n v="46"/>
    <s v="C: ASCENDAS27 P: A023951 I 256779415340"/>
    <d v="2025-09-08T00:00:00"/>
    <s v="USD"/>
    <d v="2025-09-01T00:00:00"/>
    <n v="1"/>
    <s v="30/09/2025"/>
    <n v="230"/>
    <s v="IN89"/>
  </r>
  <r>
    <x v="0"/>
    <n v="256779415343"/>
    <x v="26"/>
    <n v="0.02"/>
    <n v="1.77"/>
    <s v="C: ASCENDAS27 P: A023951 I 256779415343"/>
    <d v="2025-09-08T00:00:00"/>
    <s v="USD"/>
    <d v="2025-09-01T00:00:00"/>
    <n v="1"/>
    <s v="30/09/2025"/>
    <n v="230"/>
    <s v="IN89"/>
  </r>
  <r>
    <x v="0"/>
    <n v="256779415308"/>
    <x v="26"/>
    <n v="0.6"/>
    <n v="53.08"/>
    <s v="C: ASCENDAS27 P: A023951 I 256779415308"/>
    <d v="2025-09-08T00:00:00"/>
    <s v="USD"/>
    <d v="2025-09-01T00:00:00"/>
    <n v="1"/>
    <s v="30/09/2025"/>
    <n v="230"/>
    <s v="IN89"/>
  </r>
  <r>
    <x v="0"/>
    <n v="256779415310"/>
    <x v="26"/>
    <n v="0.6"/>
    <n v="53.08"/>
    <s v="C: ASCENDAS27 P: A023951 I 256779415310"/>
    <d v="2025-09-08T00:00:00"/>
    <s v="USD"/>
    <d v="2025-09-01T00:00:00"/>
    <n v="1"/>
    <s v="30/09/2025"/>
    <n v="230"/>
    <s v="IN89"/>
  </r>
  <r>
    <x v="0"/>
    <n v="256779415349"/>
    <x v="26"/>
    <n v="0.55000000000000004"/>
    <n v="48.66"/>
    <s v="C: ASCENDAS27 P: A023951 I 256779415349"/>
    <d v="2025-09-08T00:00:00"/>
    <s v="USD"/>
    <d v="2025-09-01T00:00:00"/>
    <n v="1"/>
    <s v="30/09/2025"/>
    <n v="230"/>
    <s v="IN89"/>
  </r>
  <r>
    <x v="0"/>
    <n v="256779415295"/>
    <x v="26"/>
    <n v="0.48"/>
    <n v="42.47"/>
    <s v="C: ASCENDAS27 P: A023951 I 256779415295"/>
    <d v="2025-09-08T00:00:00"/>
    <s v="USD"/>
    <d v="2025-09-01T00:00:00"/>
    <n v="1"/>
    <s v="30/09/2025"/>
    <n v="230"/>
    <s v="IN89"/>
  </r>
  <r>
    <x v="0"/>
    <n v="256779415389"/>
    <x v="26"/>
    <n v="3.41"/>
    <n v="301.68"/>
    <s v="C: ASCENDAS27 P: A023951 I 256779415389"/>
    <d v="2025-09-08T00:00:00"/>
    <s v="USD"/>
    <d v="2025-09-01T00:00:00"/>
    <n v="1"/>
    <s v="30/09/2025"/>
    <n v="230"/>
    <s v="IN89"/>
  </r>
  <r>
    <x v="0"/>
    <n v="256779415388"/>
    <x v="26"/>
    <n v="45.23"/>
    <n v="4001.5"/>
    <s v="C: ASCENDAS27 P: A023951 I 256779415388"/>
    <d v="2025-09-08T00:00:00"/>
    <s v="USD"/>
    <d v="2025-09-01T00:00:00"/>
    <n v="1"/>
    <s v="30/09/2025"/>
    <n v="230"/>
    <s v="IN89"/>
  </r>
  <r>
    <x v="0"/>
    <n v="256779415348"/>
    <x v="26"/>
    <n v="0.15"/>
    <n v="13.27"/>
    <s v="C: ASCENDAS27 P: A023951 I 256779415348"/>
    <d v="2025-09-08T00:00:00"/>
    <s v="USD"/>
    <d v="2025-09-01T00:00:00"/>
    <n v="1"/>
    <s v="30/09/2025"/>
    <n v="230"/>
    <s v="IN89"/>
  </r>
  <r>
    <x v="0"/>
    <n v="256779415390"/>
    <x v="26"/>
    <n v="2.2200000000000002"/>
    <n v="196.4"/>
    <s v="C: ASCENDAS27 P: A023951 I 256779415390"/>
    <d v="2025-09-08T00:00:00"/>
    <s v="USD"/>
    <d v="2025-09-01T00:00:00"/>
    <n v="1"/>
    <s v="30/09/2025"/>
    <n v="230"/>
    <s v="IN89"/>
  </r>
  <r>
    <x v="0"/>
    <n v="256779415395"/>
    <x v="26"/>
    <n v="4.1100000000000003"/>
    <n v="363.61"/>
    <s v="C: ASCENDAS27 P: A023951 I 256779415395"/>
    <d v="2025-09-08T00:00:00"/>
    <s v="USD"/>
    <d v="2025-09-01T00:00:00"/>
    <n v="1"/>
    <s v="30/09/2025"/>
    <n v="230"/>
    <s v="IN89"/>
  </r>
  <r>
    <x v="0"/>
    <n v="256779415326"/>
    <x v="26"/>
    <n v="3.7"/>
    <n v="327.33999999999997"/>
    <s v="C: ASCENDAS27 P: A023951 I 256779415326"/>
    <d v="2025-09-08T00:00:00"/>
    <s v="USD"/>
    <d v="2025-09-01T00:00:00"/>
    <n v="1"/>
    <s v="30/09/2025"/>
    <n v="230"/>
    <s v="IN89"/>
  </r>
  <r>
    <x v="0"/>
    <n v="256779415350"/>
    <x v="26"/>
    <n v="0.45"/>
    <n v="39.81"/>
    <s v="C: ASCENDAS27 P: A023951 I 256779415350"/>
    <d v="2025-09-08T00:00:00"/>
    <s v="USD"/>
    <d v="2025-09-01T00:00:00"/>
    <n v="1"/>
    <s v="30/09/2025"/>
    <n v="230"/>
    <s v="IN89"/>
  </r>
  <r>
    <x v="0"/>
    <n v="256779415394"/>
    <x v="26"/>
    <n v="1.92"/>
    <n v="169.86"/>
    <s v="C: ASCENDAS27 P: A023951 I 256779415394"/>
    <d v="2025-09-08T00:00:00"/>
    <s v="USD"/>
    <d v="2025-09-01T00:00:00"/>
    <n v="1"/>
    <s v="30/09/2025"/>
    <n v="230"/>
    <s v="IN89"/>
  </r>
  <r>
    <x v="0"/>
    <n v="256779415360"/>
    <x v="26"/>
    <n v="1.2"/>
    <n v="106.16"/>
    <s v="C: ASCENDAS27 P: A023951 I 256779415360"/>
    <d v="2025-09-08T00:00:00"/>
    <s v="USD"/>
    <d v="2025-09-01T00:00:00"/>
    <n v="1"/>
    <s v="30/09/2025"/>
    <n v="230"/>
    <s v="IN89"/>
  </r>
  <r>
    <x v="0"/>
    <n v="256779415294"/>
    <x v="26"/>
    <n v="0.48"/>
    <n v="42.47"/>
    <s v="C: ASCENDAS27 P: A023951 I 256779415294"/>
    <d v="2025-09-08T00:00:00"/>
    <s v="USD"/>
    <d v="2025-09-01T00:00:00"/>
    <n v="1"/>
    <s v="30/09/2025"/>
    <n v="230"/>
    <s v="IN89"/>
  </r>
  <r>
    <x v="0"/>
    <n v="256779415370"/>
    <x v="26"/>
    <n v="1.44"/>
    <n v="127.4"/>
    <s v="C: ASCENDAS27 P: A023951 I 256779415370"/>
    <d v="2025-09-08T00:00:00"/>
    <s v="USD"/>
    <d v="2025-09-01T00:00:00"/>
    <n v="1"/>
    <s v="30/09/2025"/>
    <n v="230"/>
    <s v="IN89"/>
  </r>
  <r>
    <x v="0"/>
    <n v="256779415335"/>
    <x v="26"/>
    <n v="0.5"/>
    <n v="44.24"/>
    <s v="C: ASCENDAS27 P: A023951 I 256779415335"/>
    <d v="2025-09-08T00:00:00"/>
    <s v="USD"/>
    <d v="2025-09-01T00:00:00"/>
    <n v="1"/>
    <s v="30/09/2025"/>
    <n v="230"/>
    <s v="IN89"/>
  </r>
  <r>
    <x v="0"/>
    <n v="256779415364"/>
    <x v="26"/>
    <n v="4"/>
    <n v="353.88"/>
    <s v="C: ASCENDAS27 P: A023951 I 256779415364"/>
    <d v="2025-09-08T00:00:00"/>
    <s v="USD"/>
    <d v="2025-09-01T00:00:00"/>
    <n v="1"/>
    <s v="30/09/2025"/>
    <n v="230"/>
    <s v="IN89"/>
  </r>
  <r>
    <x v="0"/>
    <n v="256779415299"/>
    <x v="26"/>
    <n v="0.48"/>
    <n v="42.47"/>
    <s v="C: ASCENDAS27 P: A023951 I 256779415299"/>
    <d v="2025-09-08T00:00:00"/>
    <s v="USD"/>
    <d v="2025-09-01T00:00:00"/>
    <n v="1"/>
    <s v="30/09/2025"/>
    <n v="230"/>
    <s v="IN89"/>
  </r>
  <r>
    <x v="0"/>
    <n v="256779415307"/>
    <x v="26"/>
    <n v="0.6"/>
    <n v="53.08"/>
    <s v="C: ASCENDAS27 P: A023951 I 256779415307"/>
    <d v="2025-09-08T00:00:00"/>
    <s v="USD"/>
    <d v="2025-09-01T00:00:00"/>
    <n v="1"/>
    <s v="30/09/2025"/>
    <n v="230"/>
    <s v="IN89"/>
  </r>
  <r>
    <x v="0"/>
    <n v="256779415347"/>
    <x v="26"/>
    <n v="0.4"/>
    <n v="35.39"/>
    <s v="C: ASCENDAS27 P: A023951 I 256779415347"/>
    <d v="2025-09-08T00:00:00"/>
    <s v="USD"/>
    <d v="2025-09-01T00:00:00"/>
    <n v="1"/>
    <s v="30/09/2025"/>
    <n v="230"/>
    <s v="IN89"/>
  </r>
  <r>
    <x v="0"/>
    <n v="256779415297"/>
    <x v="26"/>
    <n v="-24"/>
    <n v="-2123.2800000000002"/>
    <m/>
    <d v="2025-09-08T00:00:00"/>
    <s v="USD"/>
    <d v="2025-09-01T00:00:00"/>
    <n v="1"/>
    <s v="30/09/2025"/>
    <n v="210"/>
    <s v="IN89"/>
  </r>
  <r>
    <x v="0"/>
    <n v="256779415291"/>
    <x v="26"/>
    <n v="-24"/>
    <n v="-2123.2800000000002"/>
    <m/>
    <d v="2025-09-08T00:00:00"/>
    <s v="USD"/>
    <d v="2025-09-01T00:00:00"/>
    <n v="1"/>
    <s v="30/09/2025"/>
    <n v="210"/>
    <s v="IN89"/>
  </r>
  <r>
    <x v="0"/>
    <n v="256779415316"/>
    <x v="26"/>
    <n v="1.2"/>
    <n v="106.16"/>
    <s v="C: ASCENDAS27 P: A023951 I 256779415316"/>
    <d v="2025-09-08T00:00:00"/>
    <s v="USD"/>
    <d v="2025-09-01T00:00:00"/>
    <n v="1"/>
    <s v="30/09/2025"/>
    <n v="230"/>
    <s v="IN89"/>
  </r>
  <r>
    <x v="0"/>
    <n v="256779415297"/>
    <x v="26"/>
    <n v="0.48"/>
    <n v="42.47"/>
    <s v="C: ASCENDAS27 P: A023951 I 256779415297"/>
    <d v="2025-09-08T00:00:00"/>
    <s v="USD"/>
    <d v="2025-09-01T00:00:00"/>
    <n v="1"/>
    <s v="30/09/2025"/>
    <n v="230"/>
    <s v="IN89"/>
  </r>
  <r>
    <x v="0"/>
    <n v="256779415292"/>
    <x v="26"/>
    <n v="0.48"/>
    <n v="42.47"/>
    <s v="C: ASCENDAS27 P: A023951 I 256779415292"/>
    <d v="2025-09-08T00:00:00"/>
    <s v="USD"/>
    <d v="2025-09-01T00:00:00"/>
    <n v="1"/>
    <s v="30/09/2025"/>
    <n v="230"/>
    <s v="IN89"/>
  </r>
  <r>
    <x v="0"/>
    <n v="256779415389"/>
    <x v="26"/>
    <n v="0"/>
    <n v="-31.68"/>
    <s v="C: ASCENDAS27 P: Matching"/>
    <d v="2025-09-08T00:00:00"/>
    <s v="USD"/>
    <d v="2025-09-01T00:00:00"/>
    <n v="6"/>
    <s v="30/09/2025"/>
    <n v="271"/>
    <s v="IN89"/>
  </r>
  <r>
    <x v="0"/>
    <n v="256779415346"/>
    <x v="26"/>
    <n v="0"/>
    <n v="-3.24"/>
    <s v="C: ASCENDAS27 P: Matching"/>
    <d v="2025-09-08T00:00:00"/>
    <s v="USD"/>
    <d v="2025-09-01T00:00:00"/>
    <n v="8"/>
    <s v="30/09/2025"/>
    <n v="271"/>
    <s v="IN89"/>
  </r>
  <r>
    <x v="0"/>
    <n v="256779415350"/>
    <x v="26"/>
    <n v="0"/>
    <n v="-4.17"/>
    <s v="C: ASCENDAS27 P: Matching"/>
    <d v="2025-09-08T00:00:00"/>
    <s v="USD"/>
    <d v="2025-09-01T00:00:00"/>
    <n v="10"/>
    <s v="30/09/2025"/>
    <n v="271"/>
    <s v="IN89"/>
  </r>
  <r>
    <x v="0"/>
    <n v="256779415316"/>
    <x v="26"/>
    <n v="0"/>
    <n v="-11.14"/>
    <s v="C: ASCENDAS27 P: Matching"/>
    <d v="2025-09-08T00:00:00"/>
    <s v="USD"/>
    <d v="2025-09-01T00:00:00"/>
    <n v="12"/>
    <s v="30/09/2025"/>
    <n v="271"/>
    <s v="IN89"/>
  </r>
  <r>
    <x v="0"/>
    <n v="256779415355"/>
    <x v="26"/>
    <n v="0"/>
    <n v="-3.97"/>
    <s v="C: ASCENDAS27 P: Matching"/>
    <d v="2025-09-08T00:00:00"/>
    <s v="USD"/>
    <d v="2025-09-01T00:00:00"/>
    <n v="14"/>
    <s v="30/09/2025"/>
    <n v="271"/>
    <s v="IN89"/>
  </r>
  <r>
    <x v="0"/>
    <n v="256779415303"/>
    <x v="26"/>
    <n v="0"/>
    <n v="-18.57"/>
    <s v="C: ASCENDAS27 P: Matching"/>
    <d v="2025-09-08T00:00:00"/>
    <s v="USD"/>
    <d v="2025-09-01T00:00:00"/>
    <n v="18"/>
    <s v="30/09/2025"/>
    <n v="271"/>
    <s v="IN89"/>
  </r>
  <r>
    <x v="0"/>
    <n v="256779415333"/>
    <x v="26"/>
    <n v="0"/>
    <n v="-4.17"/>
    <s v="C: ASCENDAS27 P: Matching"/>
    <d v="2025-09-08T00:00:00"/>
    <s v="USD"/>
    <d v="2025-09-01T00:00:00"/>
    <n v="20"/>
    <s v="30/09/2025"/>
    <n v="271"/>
    <s v="IN89"/>
  </r>
  <r>
    <x v="0"/>
    <n v="256779415304"/>
    <x v="26"/>
    <n v="0"/>
    <n v="-5.57"/>
    <s v="C: ASCENDAS27 P: Matching"/>
    <d v="2025-09-08T00:00:00"/>
    <s v="USD"/>
    <d v="2025-09-01T00:00:00"/>
    <n v="22"/>
    <s v="30/09/2025"/>
    <n v="271"/>
    <s v="IN89"/>
  </r>
  <r>
    <x v="0"/>
    <n v="256779415377"/>
    <x v="26"/>
    <n v="0"/>
    <n v="-9.2899999999999991"/>
    <s v="C: ASCENDAS27 P: Matching"/>
    <d v="2025-09-08T00:00:00"/>
    <s v="USD"/>
    <d v="2025-09-01T00:00:00"/>
    <n v="24"/>
    <s v="30/09/2025"/>
    <n v="271"/>
    <s v="IN89"/>
  </r>
  <r>
    <x v="0"/>
    <n v="256779415298"/>
    <x v="26"/>
    <n v="0"/>
    <n v="-4.46"/>
    <s v="C: ASCENDAS27 P: Matching"/>
    <d v="2025-09-08T00:00:00"/>
    <s v="USD"/>
    <d v="2025-09-01T00:00:00"/>
    <n v="28"/>
    <s v="30/09/2025"/>
    <n v="271"/>
    <s v="IN89"/>
  </r>
  <r>
    <x v="0"/>
    <n v="256779415380"/>
    <x v="26"/>
    <n v="0"/>
    <n v="-37.14"/>
    <s v="C: ASCENDAS27 P: Matching"/>
    <d v="2025-09-08T00:00:00"/>
    <s v="USD"/>
    <d v="2025-09-01T00:00:00"/>
    <n v="30"/>
    <s v="30/09/2025"/>
    <n v="271"/>
    <s v="IN89"/>
  </r>
  <r>
    <x v="0"/>
    <n v="256779415341"/>
    <x v="26"/>
    <n v="0"/>
    <n v="-2.78"/>
    <s v="C: ASCENDAS27 P: Matching"/>
    <d v="2025-09-08T00:00:00"/>
    <s v="USD"/>
    <d v="2025-09-01T00:00:00"/>
    <n v="32"/>
    <s v="30/09/2025"/>
    <n v="271"/>
    <s v="IN89"/>
  </r>
  <r>
    <x v="0"/>
    <n v="256779415359"/>
    <x v="26"/>
    <n v="0"/>
    <n v="-37.14"/>
    <s v="C: ASCENDAS27 P: Matching"/>
    <d v="2025-09-08T00:00:00"/>
    <s v="USD"/>
    <d v="2025-09-01T00:00:00"/>
    <n v="34"/>
    <s v="30/09/2025"/>
    <n v="271"/>
    <s v="IN89"/>
  </r>
  <r>
    <x v="0"/>
    <n v="256779415338"/>
    <x v="26"/>
    <n v="0"/>
    <n v="-2.3199999999999998"/>
    <s v="C: ASCENDAS27 P: Matching"/>
    <d v="2025-09-08T00:00:00"/>
    <s v="USD"/>
    <d v="2025-09-01T00:00:00"/>
    <n v="36"/>
    <s v="30/09/2025"/>
    <n v="271"/>
    <s v="IN89"/>
  </r>
  <r>
    <x v="0"/>
    <n v="256779415344"/>
    <x v="26"/>
    <n v="0"/>
    <n v="-4.6500000000000004"/>
    <s v="C: ASCENDAS27 P: Matching"/>
    <d v="2025-09-08T00:00:00"/>
    <s v="USD"/>
    <d v="2025-09-01T00:00:00"/>
    <n v="38"/>
    <s v="30/09/2025"/>
    <n v="271"/>
    <s v="IN89"/>
  </r>
  <r>
    <x v="0"/>
    <n v="256779415345"/>
    <x v="26"/>
    <n v="0"/>
    <n v="-4.6500000000000004"/>
    <s v="C: ASCENDAS27 P: Matching"/>
    <d v="2025-09-08T00:00:00"/>
    <s v="USD"/>
    <d v="2025-09-01T00:00:00"/>
    <n v="40"/>
    <s v="30/09/2025"/>
    <n v="271"/>
    <s v="IN89"/>
  </r>
  <r>
    <x v="0"/>
    <n v="256779415388"/>
    <x v="26"/>
    <n v="0"/>
    <n v="-420"/>
    <s v="C: ASCENDAS27 P: Matching"/>
    <d v="2025-09-08T00:00:00"/>
    <s v="USD"/>
    <d v="2025-09-01T00:00:00"/>
    <n v="42"/>
    <s v="30/09/2025"/>
    <n v="271"/>
    <s v="IN89"/>
  </r>
  <r>
    <x v="0"/>
    <n v="256779415310"/>
    <x v="26"/>
    <n v="0"/>
    <n v="-5.57"/>
    <s v="C: ASCENDAS27 P: Matching"/>
    <d v="2025-09-08T00:00:00"/>
    <s v="USD"/>
    <d v="2025-09-01T00:00:00"/>
    <n v="44"/>
    <s v="30/09/2025"/>
    <n v="271"/>
    <s v="IN89"/>
  </r>
  <r>
    <x v="0"/>
    <n v="256779415379"/>
    <x v="26"/>
    <n v="0"/>
    <n v="-43.29"/>
    <s v="C: ASCENDAS27 P: Matching"/>
    <d v="2025-09-08T00:00:00"/>
    <s v="USD"/>
    <d v="2025-09-01T00:00:00"/>
    <n v="46"/>
    <s v="30/09/2025"/>
    <n v="271"/>
    <s v="IN89"/>
  </r>
  <r>
    <x v="0"/>
    <n v="256779415384"/>
    <x v="26"/>
    <n v="0"/>
    <n v="-65"/>
    <s v="C: ASCENDAS27 P: Matching"/>
    <d v="2025-09-08T00:00:00"/>
    <s v="USD"/>
    <d v="2025-09-01T00:00:00"/>
    <n v="48"/>
    <s v="30/09/2025"/>
    <n v="271"/>
    <s v="IN89"/>
  </r>
  <r>
    <x v="0"/>
    <n v="256779415339"/>
    <x v="26"/>
    <n v="0"/>
    <n v="-5.09"/>
    <s v="C: ASCENDAS27 P: Matching"/>
    <d v="2025-09-08T00:00:00"/>
    <s v="USD"/>
    <d v="2025-09-01T00:00:00"/>
    <n v="50"/>
    <s v="30/09/2025"/>
    <n v="271"/>
    <s v="IN89"/>
  </r>
  <r>
    <x v="0"/>
    <n v="256779415393"/>
    <x v="26"/>
    <n v="0"/>
    <n v="-11.14"/>
    <s v="C: ASCENDAS27 P: Matching"/>
    <d v="2025-09-08T00:00:00"/>
    <s v="USD"/>
    <d v="2025-09-01T00:00:00"/>
    <n v="54"/>
    <s v="30/09/2025"/>
    <n v="271"/>
    <s v="IN89"/>
  </r>
  <r>
    <x v="0"/>
    <n v="256779415357"/>
    <x v="26"/>
    <n v="0"/>
    <n v="-38.49"/>
    <s v="C: ASCENDAS27 P: Matching"/>
    <d v="2025-09-08T00:00:00"/>
    <s v="USD"/>
    <d v="2025-09-01T00:00:00"/>
    <n v="56"/>
    <s v="30/09/2025"/>
    <n v="271"/>
    <s v="IN89"/>
  </r>
  <r>
    <x v="0"/>
    <n v="256779415300"/>
    <x v="26"/>
    <n v="0"/>
    <n v="-4.46"/>
    <s v="C: ASCENDAS27 P: Matching"/>
    <d v="2025-09-08T00:00:00"/>
    <s v="USD"/>
    <d v="2025-09-01T00:00:00"/>
    <n v="60"/>
    <s v="30/09/2025"/>
    <n v="271"/>
    <s v="IN89"/>
  </r>
  <r>
    <x v="0"/>
    <n v="256779415375"/>
    <x v="26"/>
    <n v="0"/>
    <n v="-66.849999999999994"/>
    <s v="C: ASCENDAS27 P: Matching"/>
    <d v="2025-09-08T00:00:00"/>
    <s v="USD"/>
    <d v="2025-09-01T00:00:00"/>
    <n v="62"/>
    <s v="30/09/2025"/>
    <n v="271"/>
    <s v="IN89"/>
  </r>
  <r>
    <x v="0"/>
    <n v="256779415349"/>
    <x v="26"/>
    <n v="0"/>
    <n v="-5.0999999999999996"/>
    <s v="C: ASCENDAS27 P: Matching"/>
    <d v="2025-09-08T00:00:00"/>
    <s v="USD"/>
    <d v="2025-09-01T00:00:00"/>
    <n v="66"/>
    <s v="30/09/2025"/>
    <n v="271"/>
    <s v="IN89"/>
  </r>
  <r>
    <x v="0"/>
    <n v="256779415308"/>
    <x v="26"/>
    <n v="0"/>
    <n v="-5.57"/>
    <s v="C: ASCENDAS27 P: Matching"/>
    <d v="2025-09-08T00:00:00"/>
    <s v="USD"/>
    <d v="2025-09-01T00:00:00"/>
    <n v="68"/>
    <s v="30/09/2025"/>
    <n v="271"/>
    <s v="IN89"/>
  </r>
  <r>
    <x v="0"/>
    <n v="256779415360"/>
    <x v="26"/>
    <n v="0"/>
    <n v="-11.14"/>
    <s v="C: ASCENDAS27 P: Matching"/>
    <d v="2025-09-08T00:00:00"/>
    <s v="USD"/>
    <d v="2025-09-01T00:00:00"/>
    <n v="72"/>
    <s v="30/09/2025"/>
    <n v="271"/>
    <s v="IN89"/>
  </r>
  <r>
    <x v="0"/>
    <n v="256779415318"/>
    <x v="26"/>
    <n v="0"/>
    <n v="-47.28"/>
    <s v="C: ASCENDAS27 P: Matching"/>
    <d v="2025-09-08T00:00:00"/>
    <s v="USD"/>
    <d v="2025-09-01T00:00:00"/>
    <n v="74"/>
    <s v="30/09/2025"/>
    <n v="271"/>
    <s v="IN89"/>
  </r>
  <r>
    <x v="0"/>
    <n v="256779415378"/>
    <x v="26"/>
    <n v="0"/>
    <n v="-22.29"/>
    <s v="C: ASCENDAS27 P: Matching"/>
    <d v="2025-09-08T00:00:00"/>
    <s v="USD"/>
    <d v="2025-09-01T00:00:00"/>
    <n v="76"/>
    <s v="30/09/2025"/>
    <n v="271"/>
    <s v="IN89"/>
  </r>
  <r>
    <x v="0"/>
    <n v="256779415391"/>
    <x v="26"/>
    <n v="0"/>
    <n v="-152.30000000000001"/>
    <s v="C: ASCENDAS27 P: Matching"/>
    <d v="2025-09-08T00:00:00"/>
    <s v="USD"/>
    <d v="2025-09-01T00:00:00"/>
    <n v="78"/>
    <s v="30/09/2025"/>
    <n v="271"/>
    <s v="IN89"/>
  </r>
  <r>
    <x v="0"/>
    <n v="256779415334"/>
    <x v="26"/>
    <n v="0"/>
    <n v="-4.17"/>
    <s v="C: ASCENDAS27 P: Matching"/>
    <d v="2025-09-08T00:00:00"/>
    <s v="USD"/>
    <d v="2025-09-01T00:00:00"/>
    <n v="80"/>
    <s v="30/09/2025"/>
    <n v="271"/>
    <s v="IN89"/>
  </r>
  <r>
    <x v="0"/>
    <n v="256779415371"/>
    <x v="26"/>
    <n v="0"/>
    <n v="-8.0500000000000007"/>
    <s v="C: ASCENDAS27 P: Matching"/>
    <d v="2025-09-08T00:00:00"/>
    <s v="USD"/>
    <d v="2025-09-01T00:00:00"/>
    <n v="82"/>
    <s v="30/09/2025"/>
    <n v="271"/>
    <s v="IN89"/>
  </r>
  <r>
    <x v="0"/>
    <n v="256779415315"/>
    <x v="26"/>
    <n v="0"/>
    <n v="-22.29"/>
    <s v="C: ASCENDAS27 P: Matching"/>
    <d v="2025-09-08T00:00:00"/>
    <s v="USD"/>
    <d v="2025-09-01T00:00:00"/>
    <n v="84"/>
    <s v="30/09/2025"/>
    <n v="271"/>
    <s v="IN89"/>
  </r>
  <r>
    <x v="0"/>
    <n v="256779415305"/>
    <x v="26"/>
    <n v="0"/>
    <n v="-5.57"/>
    <s v="C: ASCENDAS27 P: Matching"/>
    <d v="2025-09-08T00:00:00"/>
    <s v="USD"/>
    <d v="2025-09-01T00:00:00"/>
    <n v="86"/>
    <s v="30/09/2025"/>
    <n v="271"/>
    <s v="IN89"/>
  </r>
  <r>
    <x v="0"/>
    <n v="256779415356"/>
    <x v="26"/>
    <n v="0"/>
    <n v="-13.37"/>
    <s v="C: ASCENDAS27 P: Matching"/>
    <d v="2025-09-08T00:00:00"/>
    <s v="USD"/>
    <d v="2025-09-01T00:00:00"/>
    <n v="88"/>
    <s v="30/09/2025"/>
    <n v="271"/>
    <s v="IN89"/>
  </r>
  <r>
    <x v="0"/>
    <n v="256779415383"/>
    <x v="26"/>
    <n v="0"/>
    <n v="-28.93"/>
    <s v="C: ASCENDAS27 P: Matching"/>
    <d v="2025-09-08T00:00:00"/>
    <s v="USD"/>
    <d v="2025-09-01T00:00:00"/>
    <n v="90"/>
    <s v="30/09/2025"/>
    <n v="271"/>
    <s v="IN89"/>
  </r>
  <r>
    <x v="0"/>
    <n v="256779415372"/>
    <x v="26"/>
    <n v="0"/>
    <n v="-28.85"/>
    <s v="C: ASCENDAS27 P: Matching"/>
    <d v="2025-09-08T00:00:00"/>
    <s v="USD"/>
    <d v="2025-09-01T00:00:00"/>
    <n v="92"/>
    <s v="30/09/2025"/>
    <n v="271"/>
    <s v="IN89"/>
  </r>
  <r>
    <x v="0"/>
    <n v="256779415361"/>
    <x v="26"/>
    <n v="0"/>
    <n v="-12.53"/>
    <s v="C: ASCENDAS27 P: Matching"/>
    <d v="2025-09-08T00:00:00"/>
    <s v="USD"/>
    <d v="2025-09-01T00:00:00"/>
    <n v="94"/>
    <s v="30/09/2025"/>
    <n v="271"/>
    <s v="IN89"/>
  </r>
  <r>
    <x v="0"/>
    <n v="256779415317"/>
    <x v="26"/>
    <n v="0"/>
    <n v="-37.14"/>
    <s v="C: ASCENDAS27 P: Matching"/>
    <d v="2025-09-08T00:00:00"/>
    <s v="USD"/>
    <d v="2025-09-01T00:00:00"/>
    <n v="96"/>
    <s v="30/09/2025"/>
    <n v="271"/>
    <s v="IN89"/>
  </r>
  <r>
    <x v="0"/>
    <n v="256779415394"/>
    <x v="26"/>
    <n v="0"/>
    <n v="-17.829999999999998"/>
    <s v="C: ASCENDAS27 P: Matching"/>
    <d v="2025-09-08T00:00:00"/>
    <s v="USD"/>
    <d v="2025-09-01T00:00:00"/>
    <n v="98"/>
    <s v="30/09/2025"/>
    <n v="271"/>
    <s v="IN89"/>
  </r>
  <r>
    <x v="0"/>
    <n v="256779415314"/>
    <x v="26"/>
    <n v="0"/>
    <n v="-33.26"/>
    <s v="C: ASCENDAS27 P: Matching"/>
    <d v="2025-09-08T00:00:00"/>
    <s v="USD"/>
    <d v="2025-09-01T00:00:00"/>
    <n v="100"/>
    <s v="30/09/2025"/>
    <n v="271"/>
    <s v="IN89"/>
  </r>
  <r>
    <x v="0"/>
    <n v="256779415352"/>
    <x v="26"/>
    <n v="0"/>
    <n v="-28.96"/>
    <s v="C: ASCENDAS27 P: Matching"/>
    <d v="2025-09-08T00:00:00"/>
    <s v="USD"/>
    <d v="2025-09-01T00:00:00"/>
    <n v="102"/>
    <s v="30/09/2025"/>
    <n v="271"/>
    <s v="IN89"/>
  </r>
  <r>
    <x v="0"/>
    <n v="256779415342"/>
    <x v="26"/>
    <n v="0"/>
    <n v="-0.46"/>
    <s v="C: ASCENDAS27 P: Matching"/>
    <d v="2025-09-08T00:00:00"/>
    <s v="USD"/>
    <d v="2025-09-01T00:00:00"/>
    <n v="106"/>
    <s v="30/09/2025"/>
    <n v="271"/>
    <s v="IN89"/>
  </r>
  <r>
    <x v="0"/>
    <n v="256779415376"/>
    <x v="26"/>
    <n v="0"/>
    <n v="-11.14"/>
    <s v="C: ASCENDAS27 P: Matching"/>
    <d v="2025-09-08T00:00:00"/>
    <s v="USD"/>
    <d v="2025-09-01T00:00:00"/>
    <n v="108"/>
    <s v="30/09/2025"/>
    <n v="271"/>
    <s v="IN89"/>
  </r>
  <r>
    <x v="0"/>
    <n v="256779415336"/>
    <x v="26"/>
    <n v="0"/>
    <n v="-0.93"/>
    <s v="C: ASCENDAS27 P: Matching"/>
    <d v="2025-09-08T00:00:00"/>
    <s v="USD"/>
    <d v="2025-09-01T00:00:00"/>
    <n v="110"/>
    <s v="30/09/2025"/>
    <n v="271"/>
    <s v="IN89"/>
  </r>
  <r>
    <x v="0"/>
    <n v="256779415382"/>
    <x v="26"/>
    <n v="0"/>
    <n v="-21.84"/>
    <s v="C: ASCENDAS27 P: Matching"/>
    <d v="2025-09-08T00:00:00"/>
    <s v="USD"/>
    <d v="2025-09-01T00:00:00"/>
    <n v="114"/>
    <s v="30/09/2025"/>
    <n v="271"/>
    <s v="IN89"/>
  </r>
  <r>
    <x v="0"/>
    <n v="256779415295"/>
    <x v="26"/>
    <n v="0"/>
    <n v="-4.46"/>
    <s v="C: ASCENDAS27 P: Matching"/>
    <d v="2025-09-08T00:00:00"/>
    <s v="USD"/>
    <d v="2025-09-01T00:00:00"/>
    <n v="116"/>
    <s v="30/09/2025"/>
    <n v="271"/>
    <s v="IN89"/>
  </r>
  <r>
    <x v="0"/>
    <n v="256779415326"/>
    <x v="26"/>
    <n v="0"/>
    <n v="-34.369999999999997"/>
    <s v="C: ASCENDAS27 P: Matching"/>
    <d v="2025-09-08T00:00:00"/>
    <s v="USD"/>
    <d v="2025-09-01T00:00:00"/>
    <n v="118"/>
    <s v="30/09/2025"/>
    <n v="271"/>
    <s v="IN89"/>
  </r>
  <r>
    <x v="0"/>
    <n v="256779415306"/>
    <x v="26"/>
    <n v="0"/>
    <n v="-5.57"/>
    <s v="C: ASCENDAS27 P: Matching"/>
    <d v="2025-09-08T00:00:00"/>
    <s v="USD"/>
    <d v="2025-09-01T00:00:00"/>
    <n v="120"/>
    <s v="30/09/2025"/>
    <n v="271"/>
    <s v="IN89"/>
  </r>
  <r>
    <x v="0"/>
    <n v="256779415390"/>
    <x v="26"/>
    <n v="0"/>
    <n v="-20.6"/>
    <s v="C: ASCENDAS27 P: Matching"/>
    <d v="2025-09-08T00:00:00"/>
    <s v="USD"/>
    <d v="2025-09-01T00:00:00"/>
    <n v="122"/>
    <s v="30/09/2025"/>
    <n v="271"/>
    <s v="IN89"/>
  </r>
  <r>
    <x v="0"/>
    <n v="256779415340"/>
    <x v="26"/>
    <n v="0"/>
    <n v="-4.8"/>
    <s v="C: ASCENDAS27 P: Matching"/>
    <d v="2025-09-08T00:00:00"/>
    <s v="USD"/>
    <d v="2025-09-01T00:00:00"/>
    <n v="124"/>
    <s v="30/09/2025"/>
    <n v="271"/>
    <s v="IN89"/>
  </r>
  <r>
    <x v="0"/>
    <n v="256779415343"/>
    <x v="26"/>
    <n v="0"/>
    <n v="-0.19"/>
    <s v="C: ASCENDAS27 P: Matching"/>
    <d v="2025-09-08T00:00:00"/>
    <s v="USD"/>
    <d v="2025-09-01T00:00:00"/>
    <n v="126"/>
    <s v="30/09/2025"/>
    <n v="271"/>
    <s v="IN89"/>
  </r>
  <r>
    <x v="0"/>
    <n v="256779415395"/>
    <x v="26"/>
    <n v="0"/>
    <n v="-38.200000000000003"/>
    <s v="C: ASCENDAS27 P: Matching"/>
    <d v="2025-09-08T00:00:00"/>
    <s v="USD"/>
    <d v="2025-09-01T00:00:00"/>
    <n v="128"/>
    <s v="30/09/2025"/>
    <n v="271"/>
    <s v="IN89"/>
  </r>
  <r>
    <x v="0"/>
    <n v="256779415381"/>
    <x v="26"/>
    <n v="0"/>
    <n v="-11.14"/>
    <s v="C: ASCENDAS27 P: Matching"/>
    <d v="2025-09-08T00:00:00"/>
    <s v="USD"/>
    <d v="2025-09-01T00:00:00"/>
    <n v="130"/>
    <s v="30/09/2025"/>
    <n v="271"/>
    <s v="IN89"/>
  </r>
  <r>
    <x v="0"/>
    <n v="256779415392"/>
    <x v="26"/>
    <n v="0"/>
    <n v="-37.14"/>
    <s v="C: ASCENDAS27 P: Matching"/>
    <d v="2025-09-08T00:00:00"/>
    <s v="USD"/>
    <d v="2025-09-01T00:00:00"/>
    <n v="132"/>
    <s v="30/09/2025"/>
    <n v="271"/>
    <s v="IN89"/>
  </r>
  <r>
    <x v="0"/>
    <n v="256779415358"/>
    <x v="26"/>
    <n v="0"/>
    <n v="-17.829999999999998"/>
    <s v="C: ASCENDAS27 P: Matching"/>
    <d v="2025-09-08T00:00:00"/>
    <s v="USD"/>
    <d v="2025-09-01T00:00:00"/>
    <n v="134"/>
    <s v="30/09/2025"/>
    <n v="271"/>
    <s v="IN89"/>
  </r>
  <r>
    <x v="0"/>
    <n v="256779415337"/>
    <x v="26"/>
    <n v="0"/>
    <n v="-3.24"/>
    <s v="C: ASCENDAS27 P: Matching"/>
    <d v="2025-09-08T00:00:00"/>
    <s v="USD"/>
    <d v="2025-09-01T00:00:00"/>
    <n v="136"/>
    <s v="30/09/2025"/>
    <n v="271"/>
    <s v="IN89"/>
  </r>
  <r>
    <x v="0"/>
    <n v="256779415362"/>
    <x v="26"/>
    <n v="0"/>
    <n v="-0.56000000000000005"/>
    <s v="C: ASCENDAS27 P: Matching"/>
    <d v="2025-09-08T00:00:00"/>
    <s v="USD"/>
    <d v="2025-09-01T00:00:00"/>
    <n v="138"/>
    <s v="30/09/2025"/>
    <n v="271"/>
    <s v="IN89"/>
  </r>
  <r>
    <x v="0"/>
    <n v="256779415373"/>
    <x v="26"/>
    <n v="0"/>
    <n v="-0.48"/>
    <s v="C: ASCENDAS27 P: Matching"/>
    <d v="2025-09-08T00:00:00"/>
    <s v="USD"/>
    <d v="2025-09-01T00:00:00"/>
    <n v="140"/>
    <s v="30/09/2025"/>
    <n v="271"/>
    <s v="IN89"/>
  </r>
  <r>
    <x v="0"/>
    <n v="256779415386"/>
    <x v="26"/>
    <n v="0"/>
    <n v="-1.39"/>
    <s v="C: ASCENDAS27 P: Matching"/>
    <d v="2025-09-08T00:00:00"/>
    <s v="USD"/>
    <d v="2025-09-01T00:00:00"/>
    <n v="142"/>
    <s v="30/09/2025"/>
    <n v="271"/>
    <s v="IN89"/>
  </r>
  <r>
    <x v="0"/>
    <n v="256779415348"/>
    <x v="26"/>
    <n v="0"/>
    <n v="-1.39"/>
    <s v="C: ASCENDAS27 P: Matching"/>
    <d v="2025-09-08T00:00:00"/>
    <s v="USD"/>
    <d v="2025-09-01T00:00:00"/>
    <n v="144"/>
    <s v="30/09/2025"/>
    <n v="271"/>
    <s v="IN89"/>
  </r>
  <r>
    <x v="0"/>
    <n v="256779415369"/>
    <x v="26"/>
    <n v="0"/>
    <n v="-0.56000000000000005"/>
    <s v="C: ASCENDAS27 P: Matching"/>
    <d v="2025-09-08T00:00:00"/>
    <s v="USD"/>
    <d v="2025-09-01T00:00:00"/>
    <n v="146"/>
    <s v="30/09/2025"/>
    <n v="271"/>
    <s v="IN89"/>
  </r>
  <r>
    <x v="0"/>
    <n v="256779415364"/>
    <x v="26"/>
    <n v="0"/>
    <n v="-37.14"/>
    <s v="C: ASCENDAS27 P: Matching"/>
    <d v="2025-09-08T00:00:00"/>
    <s v="USD"/>
    <d v="2025-09-01T00:00:00"/>
    <n v="148"/>
    <s v="30/09/2025"/>
    <n v="271"/>
    <s v="IN89"/>
  </r>
  <r>
    <x v="0"/>
    <n v="256779415299"/>
    <x v="26"/>
    <n v="0"/>
    <n v="-4.46"/>
    <s v="C: ASCENDAS27 P: Matching"/>
    <d v="2025-09-08T00:00:00"/>
    <s v="USD"/>
    <d v="2025-09-01T00:00:00"/>
    <n v="150"/>
    <s v="30/09/2025"/>
    <n v="271"/>
    <s v="IN89"/>
  </r>
  <r>
    <x v="0"/>
    <n v="256779415335"/>
    <x v="26"/>
    <n v="0"/>
    <n v="-4.6500000000000004"/>
    <s v="C: ASCENDAS27 P: Matching"/>
    <d v="2025-09-08T00:00:00"/>
    <s v="USD"/>
    <d v="2025-09-01T00:00:00"/>
    <n v="152"/>
    <s v="30/09/2025"/>
    <n v="271"/>
    <s v="IN89"/>
  </r>
  <r>
    <x v="0"/>
    <n v="256779415292"/>
    <x v="26"/>
    <n v="0"/>
    <n v="-4.46"/>
    <s v="C: ASCENDAS27 P: Matching"/>
    <d v="2025-09-08T00:00:00"/>
    <s v="USD"/>
    <d v="2025-09-01T00:00:00"/>
    <n v="154"/>
    <s v="30/09/2025"/>
    <n v="271"/>
    <s v="IN89"/>
  </r>
  <r>
    <x v="0"/>
    <n v="256779415370"/>
    <x v="26"/>
    <n v="0"/>
    <n v="-13.37"/>
    <s v="C: ASCENDAS27 P: Matching"/>
    <d v="2025-09-08T00:00:00"/>
    <s v="USD"/>
    <d v="2025-09-01T00:00:00"/>
    <n v="156"/>
    <s v="30/09/2025"/>
    <n v="271"/>
    <s v="IN89"/>
  </r>
  <r>
    <x v="0"/>
    <n v="256779415294"/>
    <x v="26"/>
    <n v="0"/>
    <n v="-4.46"/>
    <s v="C: ASCENDAS27 P: Matching"/>
    <d v="2025-09-08T00:00:00"/>
    <s v="USD"/>
    <d v="2025-09-01T00:00:00"/>
    <n v="158"/>
    <s v="30/09/2025"/>
    <n v="271"/>
    <s v="IN89"/>
  </r>
  <r>
    <x v="0"/>
    <n v="256779415307"/>
    <x v="26"/>
    <n v="0"/>
    <n v="-5.57"/>
    <s v="C: ASCENDAS27 P: Matching"/>
    <d v="2025-09-08T00:00:00"/>
    <s v="USD"/>
    <d v="2025-09-01T00:00:00"/>
    <n v="160"/>
    <s v="30/09/2025"/>
    <n v="271"/>
    <s v="IN89"/>
  </r>
  <r>
    <x v="0"/>
    <n v="256779415347"/>
    <x v="26"/>
    <n v="0"/>
    <n v="-3.72"/>
    <s v="C: ASCENDAS27 P: Matching"/>
    <d v="2025-09-08T00:00:00"/>
    <s v="USD"/>
    <d v="2025-09-01T00:00:00"/>
    <n v="162"/>
    <s v="30/09/2025"/>
    <n v="271"/>
    <s v="IN89"/>
  </r>
  <r>
    <x v="0"/>
    <n v="256779415297"/>
    <x v="26"/>
    <n v="0"/>
    <n v="-4.46"/>
    <s v="C: ASCENDAS27 P: Matching"/>
    <d v="2025-09-08T00:00:00"/>
    <s v="USD"/>
    <d v="2025-09-01T00:00:00"/>
    <n v="164"/>
    <s v="30/09/2025"/>
    <n v="271"/>
    <s v="IN89"/>
  </r>
  <r>
    <x v="0"/>
    <n v="256779415312"/>
    <x v="26"/>
    <n v="-200"/>
    <n v="-17694"/>
    <m/>
    <d v="2025-09-08T00:00:00"/>
    <s v="USD"/>
    <d v="2025-10-01T00:00:00"/>
    <n v="1"/>
    <s v="29/10/2025"/>
    <n v="210"/>
    <s v="IN89"/>
  </r>
  <r>
    <x v="0"/>
    <n v="256779415327"/>
    <x v="26"/>
    <n v="-20"/>
    <n v="-1769.4"/>
    <m/>
    <d v="2025-09-08T00:00:00"/>
    <s v="USD"/>
    <d v="2025-10-01T00:00:00"/>
    <n v="1"/>
    <s v="29/10/2025"/>
    <n v="210"/>
    <s v="IN89"/>
  </r>
  <r>
    <x v="0"/>
    <n v="256779415351"/>
    <x v="26"/>
    <n v="-17.03"/>
    <n v="-1464.4"/>
    <m/>
    <d v="2025-09-08T00:00:00"/>
    <s v="USD"/>
    <d v="2025-10-01T00:00:00"/>
    <n v="1"/>
    <s v="29/10/2025"/>
    <n v="210"/>
    <s v="IN89"/>
  </r>
  <r>
    <x v="0"/>
    <n v="256779415324"/>
    <x v="26"/>
    <n v="-146.65"/>
    <n v="-12974.13"/>
    <m/>
    <d v="2025-09-08T00:00:00"/>
    <s v="USD"/>
    <d v="2025-10-01T00:00:00"/>
    <n v="1"/>
    <s v="29/10/2025"/>
    <n v="210"/>
    <s v="IN89"/>
  </r>
  <r>
    <x v="0"/>
    <n v="256779415322"/>
    <x v="26"/>
    <n v="-192"/>
    <n v="-16986.240000000002"/>
    <m/>
    <d v="2025-09-08T00:00:00"/>
    <s v="USD"/>
    <d v="2025-10-01T00:00:00"/>
    <n v="1"/>
    <s v="29/10/2025"/>
    <n v="210"/>
    <s v="IN89"/>
  </r>
  <r>
    <x v="0"/>
    <n v="256779415366"/>
    <x v="26"/>
    <n v="-192"/>
    <n v="-16986.240000000002"/>
    <m/>
    <d v="2025-09-08T00:00:00"/>
    <s v="USD"/>
    <d v="2025-10-01T00:00:00"/>
    <n v="1"/>
    <s v="29/10/2025"/>
    <n v="210"/>
    <s v="IN89"/>
  </r>
  <r>
    <x v="0"/>
    <n v="256779415365"/>
    <x v="26"/>
    <n v="-313"/>
    <n v="-27691.11"/>
    <m/>
    <d v="2025-09-08T00:00:00"/>
    <s v="USD"/>
    <d v="2025-10-01T00:00:00"/>
    <n v="1"/>
    <s v="29/10/2025"/>
    <n v="210"/>
    <s v="IN89"/>
  </r>
  <r>
    <x v="0"/>
    <n v="256779415311"/>
    <x v="26"/>
    <n v="-77.48"/>
    <n v="-6854.66"/>
    <m/>
    <d v="2025-09-08T00:00:00"/>
    <s v="USD"/>
    <d v="2025-10-01T00:00:00"/>
    <n v="1"/>
    <s v="29/10/2025"/>
    <n v="210"/>
    <s v="IN89"/>
  </r>
  <r>
    <x v="0"/>
    <n v="256779415368"/>
    <x v="26"/>
    <n v="-60"/>
    <n v="-5308.2"/>
    <m/>
    <d v="2025-09-08T00:00:00"/>
    <s v="USD"/>
    <d v="2025-10-01T00:00:00"/>
    <n v="1"/>
    <s v="29/10/2025"/>
    <n v="210"/>
    <s v="IN89"/>
  </r>
  <r>
    <x v="0"/>
    <n v="256779415320"/>
    <x v="26"/>
    <n v="-12.5"/>
    <n v="-1105.8800000000001"/>
    <m/>
    <d v="2025-09-08T00:00:00"/>
    <s v="USD"/>
    <d v="2025-10-01T00:00:00"/>
    <n v="1"/>
    <s v="29/10/2025"/>
    <n v="210"/>
    <s v="IN89"/>
  </r>
  <r>
    <x v="0"/>
    <n v="256779415301"/>
    <x v="26"/>
    <n v="-30"/>
    <n v="-2654.1"/>
    <m/>
    <d v="2025-09-08T00:00:00"/>
    <s v="USD"/>
    <d v="2025-10-01T00:00:00"/>
    <n v="1"/>
    <s v="29/10/2025"/>
    <n v="210"/>
    <s v="IN89"/>
  </r>
  <r>
    <x v="0"/>
    <n v="256779415329"/>
    <x v="26"/>
    <n v="-27.5"/>
    <n v="-2432.9299999999998"/>
    <m/>
    <d v="2025-09-08T00:00:00"/>
    <s v="USD"/>
    <d v="2025-10-01T00:00:00"/>
    <n v="1"/>
    <s v="29/10/2025"/>
    <n v="210"/>
    <s v="IN89"/>
  </r>
  <r>
    <x v="0"/>
    <n v="256779415367"/>
    <x v="26"/>
    <n v="-200"/>
    <n v="-17694"/>
    <m/>
    <d v="2025-09-08T00:00:00"/>
    <s v="USD"/>
    <d v="2025-10-01T00:00:00"/>
    <n v="1"/>
    <s v="29/10/2025"/>
    <n v="210"/>
    <s v="IN89"/>
  </r>
  <r>
    <x v="0"/>
    <n v="256779415353"/>
    <x v="26"/>
    <n v="-200"/>
    <n v="-17694"/>
    <m/>
    <d v="2025-09-08T00:00:00"/>
    <s v="USD"/>
    <d v="2025-10-01T00:00:00"/>
    <n v="1"/>
    <s v="29/10/2025"/>
    <n v="210"/>
    <s v="IN89"/>
  </r>
  <r>
    <x v="0"/>
    <n v="256779415330"/>
    <x v="26"/>
    <n v="-22.5"/>
    <n v="-1990.58"/>
    <m/>
    <d v="2025-09-08T00:00:00"/>
    <s v="USD"/>
    <d v="2025-10-01T00:00:00"/>
    <n v="1"/>
    <s v="29/10/2025"/>
    <n v="210"/>
    <s v="IN89"/>
  </r>
  <r>
    <x v="0"/>
    <n v="256779415354"/>
    <x v="26"/>
    <n v="-60"/>
    <n v="-5308.2"/>
    <m/>
    <d v="2025-09-08T00:00:00"/>
    <s v="USD"/>
    <d v="2025-10-01T00:00:00"/>
    <n v="1"/>
    <s v="29/10/2025"/>
    <n v="210"/>
    <s v="IN89"/>
  </r>
  <r>
    <x v="0"/>
    <n v="256779415387"/>
    <x v="26"/>
    <n v="-70.900000000000006"/>
    <n v="-6096.66"/>
    <m/>
    <d v="2025-09-08T00:00:00"/>
    <s v="USD"/>
    <d v="2025-10-01T00:00:00"/>
    <n v="1"/>
    <s v="29/10/2025"/>
    <n v="210"/>
    <s v="IN89"/>
  </r>
  <r>
    <x v="0"/>
    <n v="256779415313"/>
    <x v="26"/>
    <n v="-60"/>
    <n v="-5308.2"/>
    <m/>
    <d v="2025-09-08T00:00:00"/>
    <s v="USD"/>
    <d v="2025-10-01T00:00:00"/>
    <n v="1"/>
    <s v="29/10/2025"/>
    <n v="210"/>
    <s v="IN89"/>
  </r>
  <r>
    <x v="0"/>
    <n v="256779415323"/>
    <x v="26"/>
    <n v="-211.75"/>
    <n v="-18733.52"/>
    <m/>
    <d v="2025-09-08T00:00:00"/>
    <s v="USD"/>
    <d v="2025-10-01T00:00:00"/>
    <n v="1"/>
    <s v="29/10/2025"/>
    <n v="210"/>
    <s v="IN89"/>
  </r>
  <r>
    <x v="0"/>
    <n v="256779415309"/>
    <x v="26"/>
    <n v="-30"/>
    <n v="-2654.1"/>
    <m/>
    <d v="2025-09-08T00:00:00"/>
    <s v="USD"/>
    <d v="2025-10-01T00:00:00"/>
    <n v="1"/>
    <s v="29/10/2025"/>
    <n v="210"/>
    <s v="IN89"/>
  </r>
  <r>
    <x v="0"/>
    <n v="256779415302"/>
    <x v="26"/>
    <n v="-30"/>
    <n v="-2654.1"/>
    <m/>
    <d v="2025-09-08T00:00:00"/>
    <s v="USD"/>
    <d v="2025-10-01T00:00:00"/>
    <n v="1"/>
    <s v="29/10/2025"/>
    <n v="210"/>
    <s v="IN89"/>
  </r>
  <r>
    <x v="0"/>
    <n v="256779415289"/>
    <x v="26"/>
    <n v="-250"/>
    <n v="-22117.5"/>
    <m/>
    <d v="2025-09-08T00:00:00"/>
    <s v="USD"/>
    <d v="2025-10-01T00:00:00"/>
    <n v="1"/>
    <s v="29/10/2025"/>
    <n v="210"/>
    <s v="IN89"/>
  </r>
  <r>
    <x v="0"/>
    <n v="256779415325"/>
    <x v="26"/>
    <n v="-192"/>
    <n v="-16986.240000000002"/>
    <m/>
    <d v="2025-09-08T00:00:00"/>
    <s v="USD"/>
    <d v="2025-10-01T00:00:00"/>
    <n v="1"/>
    <s v="29/10/2025"/>
    <n v="210"/>
    <s v="IN89"/>
  </r>
  <r>
    <x v="0"/>
    <n v="256779415353"/>
    <x v="26"/>
    <n v="4"/>
    <n v="353.88"/>
    <s v="C: ASCENDAS27 P: A023951 I 256779415353"/>
    <d v="2025-09-08T00:00:00"/>
    <s v="USD"/>
    <d v="2025-10-01T00:00:00"/>
    <n v="1"/>
    <s v="29/10/2025"/>
    <n v="230"/>
    <s v="IN89"/>
  </r>
  <r>
    <x v="0"/>
    <n v="256779415330"/>
    <x v="26"/>
    <n v="0.45"/>
    <n v="39.81"/>
    <s v="C: ASCENDAS27 P: A023951 I 256779415330"/>
    <d v="2025-09-08T00:00:00"/>
    <s v="USD"/>
    <d v="2025-10-01T00:00:00"/>
    <n v="1"/>
    <s v="29/10/2025"/>
    <n v="230"/>
    <s v="IN89"/>
  </r>
  <r>
    <x v="0"/>
    <n v="256779415366"/>
    <x v="26"/>
    <n v="3.84"/>
    <n v="339.72"/>
    <s v="C: ASCENDAS27 P: A023951 I 256779415366"/>
    <d v="2025-09-08T00:00:00"/>
    <s v="USD"/>
    <d v="2025-10-01T00:00:00"/>
    <n v="1"/>
    <s v="29/10/2025"/>
    <n v="230"/>
    <s v="IN89"/>
  </r>
  <r>
    <x v="0"/>
    <n v="256779415311"/>
    <x v="26"/>
    <n v="1.55"/>
    <n v="137.13"/>
    <s v="C: ASCENDAS27 P: A023951 I 256779415311"/>
    <d v="2025-09-08T00:00:00"/>
    <s v="USD"/>
    <d v="2025-10-01T00:00:00"/>
    <n v="1"/>
    <s v="29/10/2025"/>
    <n v="230"/>
    <s v="IN89"/>
  </r>
  <r>
    <x v="0"/>
    <n v="256779415320"/>
    <x v="26"/>
    <n v="0.25"/>
    <n v="22.12"/>
    <s v="C: ASCENDAS27 P: A023951 I 256779415320"/>
    <d v="2025-09-08T00:00:00"/>
    <s v="USD"/>
    <d v="2025-10-01T00:00:00"/>
    <n v="1"/>
    <s v="29/10/2025"/>
    <n v="230"/>
    <s v="IN89"/>
  </r>
  <r>
    <x v="0"/>
    <n v="256779415329"/>
    <x v="26"/>
    <n v="0.55000000000000004"/>
    <n v="48.66"/>
    <s v="C: ASCENDAS27 P: A023951 I 256779415329"/>
    <d v="2025-09-08T00:00:00"/>
    <s v="USD"/>
    <d v="2025-10-01T00:00:00"/>
    <n v="1"/>
    <s v="29/10/2025"/>
    <n v="230"/>
    <s v="IN89"/>
  </r>
  <r>
    <x v="0"/>
    <n v="256779415327"/>
    <x v="26"/>
    <n v="0.4"/>
    <n v="35.39"/>
    <s v="C: ASCENDAS27 P: A023951 I 256779415327"/>
    <d v="2025-09-08T00:00:00"/>
    <s v="USD"/>
    <d v="2025-10-01T00:00:00"/>
    <n v="1"/>
    <s v="29/10/2025"/>
    <n v="230"/>
    <s v="IN89"/>
  </r>
  <r>
    <x v="0"/>
    <n v="256779415367"/>
    <x v="26"/>
    <n v="4"/>
    <n v="353.88"/>
    <s v="C: ASCENDAS27 P: A023951 I 256779415367"/>
    <d v="2025-09-08T00:00:00"/>
    <s v="USD"/>
    <d v="2025-10-01T00:00:00"/>
    <n v="1"/>
    <s v="29/10/2025"/>
    <n v="230"/>
    <s v="IN89"/>
  </r>
  <r>
    <x v="0"/>
    <n v="256779415368"/>
    <x v="26"/>
    <n v="1.2"/>
    <n v="106.16"/>
    <s v="C: ASCENDAS27 P: A023951 I 256779415368"/>
    <d v="2025-09-08T00:00:00"/>
    <s v="USD"/>
    <d v="2025-10-01T00:00:00"/>
    <n v="1"/>
    <s v="29/10/2025"/>
    <n v="230"/>
    <s v="IN89"/>
  </r>
  <r>
    <x v="0"/>
    <n v="256779415312"/>
    <x v="26"/>
    <n v="4"/>
    <n v="353.88"/>
    <s v="C: ASCENDAS27 P: A023951 I 256779415312"/>
    <d v="2025-09-08T00:00:00"/>
    <s v="USD"/>
    <d v="2025-10-01T00:00:00"/>
    <n v="1"/>
    <s v="29/10/2025"/>
    <n v="230"/>
    <s v="IN89"/>
  </r>
  <r>
    <x v="0"/>
    <n v="256779415301"/>
    <x v="26"/>
    <n v="0.6"/>
    <n v="53.08"/>
    <s v="C: ASCENDAS27 P: A023951 I 256779415301"/>
    <d v="2025-09-08T00:00:00"/>
    <s v="USD"/>
    <d v="2025-10-01T00:00:00"/>
    <n v="1"/>
    <s v="29/10/2025"/>
    <n v="230"/>
    <s v="IN89"/>
  </r>
  <r>
    <x v="0"/>
    <n v="256779415324"/>
    <x v="26"/>
    <n v="2.93"/>
    <n v="259.22000000000003"/>
    <s v="C: ASCENDAS27 P: A023951 I 256779415324"/>
    <d v="2025-09-08T00:00:00"/>
    <s v="USD"/>
    <d v="2025-10-01T00:00:00"/>
    <n v="1"/>
    <s v="29/10/2025"/>
    <n v="230"/>
    <s v="IN89"/>
  </r>
  <r>
    <x v="0"/>
    <n v="256779415322"/>
    <x v="26"/>
    <n v="3.84"/>
    <n v="339.72"/>
    <s v="C: ASCENDAS27 P: A023951 I 256779415322"/>
    <d v="2025-09-08T00:00:00"/>
    <s v="USD"/>
    <d v="2025-10-01T00:00:00"/>
    <n v="1"/>
    <s v="29/10/2025"/>
    <n v="230"/>
    <s v="IN89"/>
  </r>
  <r>
    <x v="0"/>
    <n v="256779415354"/>
    <x v="26"/>
    <n v="1.2"/>
    <n v="106.16"/>
    <s v="C: ASCENDAS27 P: A023951 I 256779415354"/>
    <d v="2025-09-08T00:00:00"/>
    <s v="USD"/>
    <d v="2025-10-01T00:00:00"/>
    <n v="1"/>
    <s v="29/10/2025"/>
    <n v="230"/>
    <s v="IN89"/>
  </r>
  <r>
    <x v="0"/>
    <n v="256779415351"/>
    <x v="26"/>
    <n v="0.34"/>
    <n v="29.24"/>
    <s v="C: ASCENDAS27 P: A023951 I 256779415351"/>
    <d v="2025-09-08T00:00:00"/>
    <s v="USD"/>
    <d v="2025-10-01T00:00:00"/>
    <n v="1"/>
    <s v="29/10/2025"/>
    <n v="230"/>
    <s v="IN89"/>
  </r>
  <r>
    <x v="0"/>
    <n v="256779415365"/>
    <x v="26"/>
    <n v="6.26"/>
    <n v="553.82000000000005"/>
    <s v="C: ASCENDAS27 P: A023951 I 256779415365"/>
    <d v="2025-09-08T00:00:00"/>
    <s v="USD"/>
    <d v="2025-10-01T00:00:00"/>
    <n v="1"/>
    <s v="29/10/2025"/>
    <n v="230"/>
    <s v="IN89"/>
  </r>
  <r>
    <x v="0"/>
    <n v="256779415323"/>
    <x v="26"/>
    <n v="4.24"/>
    <n v="375.11"/>
    <s v="C: ASCENDAS27 P: A023951 I 256779415323"/>
    <d v="2025-09-08T00:00:00"/>
    <s v="USD"/>
    <d v="2025-10-01T00:00:00"/>
    <n v="1"/>
    <s v="29/10/2025"/>
    <n v="230"/>
    <s v="IN89"/>
  </r>
  <r>
    <x v="0"/>
    <n v="256779415387"/>
    <x v="26"/>
    <n v="1.42"/>
    <n v="122.11"/>
    <s v="C: ASCENDAS27 P: A023951 I 256779415387"/>
    <d v="2025-09-08T00:00:00"/>
    <s v="USD"/>
    <d v="2025-10-01T00:00:00"/>
    <n v="1"/>
    <s v="29/10/2025"/>
    <n v="230"/>
    <s v="IN89"/>
  </r>
  <r>
    <x v="0"/>
    <n v="256779415289"/>
    <x v="26"/>
    <n v="5"/>
    <n v="442.35"/>
    <s v="C: ASCENDAS27 P: A023951 I 256779415289"/>
    <d v="2025-09-08T00:00:00"/>
    <s v="USD"/>
    <d v="2025-10-01T00:00:00"/>
    <n v="1"/>
    <s v="29/10/2025"/>
    <n v="230"/>
    <s v="IN89"/>
  </r>
  <r>
    <x v="0"/>
    <n v="256779415302"/>
    <x v="26"/>
    <n v="0.6"/>
    <n v="53.08"/>
    <s v="C: ASCENDAS27 P: A023951 I 256779415302"/>
    <d v="2025-09-08T00:00:00"/>
    <s v="USD"/>
    <d v="2025-10-01T00:00:00"/>
    <n v="1"/>
    <s v="29/10/2025"/>
    <n v="230"/>
    <s v="IN89"/>
  </r>
  <r>
    <x v="0"/>
    <n v="256779415313"/>
    <x v="26"/>
    <n v="1.2"/>
    <n v="106.16"/>
    <s v="C: ASCENDAS27 P: A023951 I 256779415313"/>
    <d v="2025-09-08T00:00:00"/>
    <s v="USD"/>
    <d v="2025-10-01T00:00:00"/>
    <n v="1"/>
    <s v="29/10/2025"/>
    <n v="230"/>
    <s v="IN89"/>
  </r>
  <r>
    <x v="0"/>
    <n v="256779415309"/>
    <x v="26"/>
    <n v="0.6"/>
    <n v="53.08"/>
    <s v="C: ASCENDAS27 P: A023951 I 256779415309"/>
    <d v="2025-09-08T00:00:00"/>
    <s v="USD"/>
    <d v="2025-10-01T00:00:00"/>
    <n v="1"/>
    <s v="29/10/2025"/>
    <n v="230"/>
    <s v="IN89"/>
  </r>
  <r>
    <x v="0"/>
    <n v="256779415325"/>
    <x v="26"/>
    <n v="3.84"/>
    <n v="339.72"/>
    <s v="C: ASCENDAS27 P: A023951 I 256779415325"/>
    <d v="2025-09-08T00:00:00"/>
    <s v="USD"/>
    <d v="2025-10-01T00:00:00"/>
    <n v="1"/>
    <s v="29/10/2025"/>
    <n v="230"/>
    <s v="IN89"/>
  </r>
  <r>
    <x v="0"/>
    <n v="256779415331"/>
    <x v="26"/>
    <n v="-22.5"/>
    <n v="-1990.58"/>
    <m/>
    <d v="2025-09-08T00:00:00"/>
    <s v="USD"/>
    <d v="2025-10-01T00:00:00"/>
    <n v="1"/>
    <s v="29/10/2025"/>
    <n v="210"/>
    <s v="IN89"/>
  </r>
  <r>
    <x v="0"/>
    <n v="256779415331"/>
    <x v="26"/>
    <n v="0.45"/>
    <n v="39.81"/>
    <s v="C: ASCENDAS27 P: A023951 I 256779415331"/>
    <d v="2025-09-08T00:00:00"/>
    <s v="USD"/>
    <d v="2025-10-01T00:00:00"/>
    <n v="1"/>
    <s v="29/10/2025"/>
    <n v="230"/>
    <s v="IN89"/>
  </r>
  <r>
    <x v="0"/>
    <n v="256779415290"/>
    <x v="26"/>
    <n v="-24"/>
    <n v="-2123.2800000000002"/>
    <m/>
    <d v="2025-09-08T00:00:00"/>
    <s v="USD"/>
    <d v="2025-10-01T00:00:00"/>
    <n v="1"/>
    <s v="29/10/2025"/>
    <n v="210"/>
    <s v="IN89"/>
  </r>
  <r>
    <x v="0"/>
    <n v="256779415290"/>
    <x v="26"/>
    <n v="0.48"/>
    <n v="42.47"/>
    <s v="C: ASCENDAS27 P: A023951 I 256779415290"/>
    <d v="2025-09-08T00:00:00"/>
    <s v="USD"/>
    <d v="2025-10-01T00:00:00"/>
    <n v="1"/>
    <s v="29/10/2025"/>
    <n v="230"/>
    <s v="IN89"/>
  </r>
  <r>
    <x v="0"/>
    <n v="256779415303"/>
    <x v="26"/>
    <n v="0"/>
    <n v="39.880000000000003"/>
    <s v="C: ASCENDAS27 P: Matching"/>
    <d v="2025-09-08T00:00:00"/>
    <s v="USD"/>
    <d v="2025-10-01T00:00:00"/>
    <n v="4"/>
    <s v="31/10/2025"/>
    <n v="271"/>
    <s v="IN89"/>
  </r>
  <r>
    <x v="0"/>
    <n v="256779415304"/>
    <x v="26"/>
    <n v="0"/>
    <n v="11.96"/>
    <s v="C: ASCENDAS27 P: Matching"/>
    <d v="2025-09-08T00:00:00"/>
    <s v="USD"/>
    <d v="2025-10-01T00:00:00"/>
    <n v="6"/>
    <s v="31/10/2025"/>
    <n v="271"/>
    <s v="IN89"/>
  </r>
  <r>
    <x v="0"/>
    <n v="256779415339"/>
    <x v="26"/>
    <n v="0"/>
    <n v="10.92"/>
    <s v="C: ASCENDAS27 P: Matching"/>
    <d v="2025-09-08T00:00:00"/>
    <s v="USD"/>
    <d v="2025-10-01T00:00:00"/>
    <n v="8"/>
    <s v="31/10/2025"/>
    <n v="271"/>
    <s v="IN89"/>
  </r>
  <r>
    <x v="0"/>
    <n v="256779415308"/>
    <x v="26"/>
    <n v="0"/>
    <n v="11.96"/>
    <s v="C: ASCENDAS27 P: Matching"/>
    <d v="2025-09-08T00:00:00"/>
    <s v="USD"/>
    <d v="2025-10-01T00:00:00"/>
    <n v="12"/>
    <s v="31/10/2025"/>
    <n v="271"/>
    <s v="IN89"/>
  </r>
  <r>
    <x v="0"/>
    <n v="256779415305"/>
    <x v="26"/>
    <n v="0"/>
    <n v="11.96"/>
    <s v="C: ASCENDAS27 P: Matching"/>
    <d v="2025-09-08T00:00:00"/>
    <s v="USD"/>
    <d v="2025-10-01T00:00:00"/>
    <n v="14"/>
    <s v="31/10/2025"/>
    <n v="271"/>
    <s v="IN89"/>
  </r>
  <r>
    <x v="0"/>
    <n v="256779415306"/>
    <x v="26"/>
    <n v="0"/>
    <n v="11.96"/>
    <s v="C: ASCENDAS27 P: Matching"/>
    <d v="2025-09-08T00:00:00"/>
    <s v="USD"/>
    <d v="2025-10-01T00:00:00"/>
    <n v="16"/>
    <s v="31/10/2025"/>
    <n v="271"/>
    <s v="IN89"/>
  </r>
  <r>
    <x v="0"/>
    <n v="256779415307"/>
    <x v="26"/>
    <n v="0"/>
    <n v="11.96"/>
    <s v="C: ASCENDAS27 P: Matching"/>
    <d v="2025-09-08T00:00:00"/>
    <s v="USD"/>
    <d v="2025-10-01T00:00:00"/>
    <n v="18"/>
    <s v="31/10/2025"/>
    <n v="271"/>
    <s v="IN89"/>
  </r>
  <r>
    <x v="0"/>
    <n v="256779415312"/>
    <x v="26"/>
    <n v="0"/>
    <n v="42.62"/>
    <s v="C: ASCENDAS27 P: Matching"/>
    <d v="2025-09-08T00:00:00"/>
    <s v="USD"/>
    <d v="2025-10-01T00:00:00"/>
    <n v="20"/>
    <s v="31/10/2025"/>
    <n v="271"/>
    <s v="IN89"/>
  </r>
  <r>
    <x v="0"/>
    <n v="256779415327"/>
    <x v="26"/>
    <n v="0"/>
    <n v="4.26"/>
    <s v="C: ASCENDAS27 P: Matching"/>
    <d v="2025-09-08T00:00:00"/>
    <s v="USD"/>
    <d v="2025-10-01T00:00:00"/>
    <n v="24"/>
    <s v="31/10/2025"/>
    <n v="271"/>
    <s v="IN89"/>
  </r>
  <r>
    <x v="0"/>
    <n v="256779415351"/>
    <x v="26"/>
    <n v="0"/>
    <n v="-37.78"/>
    <s v="C: ASCENDAS27 P: Matching"/>
    <d v="2025-09-08T00:00:00"/>
    <s v="USD"/>
    <d v="2025-10-01T00:00:00"/>
    <n v="26"/>
    <s v="31/10/2025"/>
    <n v="271"/>
    <s v="IN89"/>
  </r>
  <r>
    <x v="0"/>
    <n v="256779415324"/>
    <x v="26"/>
    <n v="0"/>
    <n v="31.25"/>
    <s v="C: ASCENDAS27 P: Matching"/>
    <d v="2025-09-08T00:00:00"/>
    <s v="USD"/>
    <d v="2025-10-01T00:00:00"/>
    <n v="28"/>
    <s v="31/10/2025"/>
    <n v="271"/>
    <s v="IN89"/>
  </r>
  <r>
    <x v="0"/>
    <n v="256779415322"/>
    <x v="26"/>
    <n v="0"/>
    <n v="40.92"/>
    <s v="C: ASCENDAS27 P: Matching"/>
    <d v="2025-09-08T00:00:00"/>
    <s v="USD"/>
    <d v="2025-10-01T00:00:00"/>
    <n v="30"/>
    <s v="31/10/2025"/>
    <n v="271"/>
    <s v="IN89"/>
  </r>
  <r>
    <x v="0"/>
    <n v="256779415366"/>
    <x v="26"/>
    <n v="0"/>
    <n v="40.92"/>
    <s v="C: ASCENDAS27 P: Matching"/>
    <d v="2025-09-08T00:00:00"/>
    <s v="USD"/>
    <d v="2025-10-01T00:00:00"/>
    <n v="32"/>
    <s v="31/10/2025"/>
    <n v="271"/>
    <s v="IN89"/>
  </r>
  <r>
    <x v="0"/>
    <n v="256779415365"/>
    <x v="26"/>
    <n v="0"/>
    <n v="66.7"/>
    <s v="C: ASCENDAS27 P: Matching"/>
    <d v="2025-09-08T00:00:00"/>
    <s v="USD"/>
    <d v="2025-10-01T00:00:00"/>
    <n v="34"/>
    <s v="31/10/2025"/>
    <n v="271"/>
    <s v="IN89"/>
  </r>
  <r>
    <x v="0"/>
    <n v="256779415311"/>
    <x v="26"/>
    <n v="0"/>
    <n v="16.510000000000002"/>
    <s v="C: ASCENDAS27 P: Matching"/>
    <d v="2025-09-08T00:00:00"/>
    <s v="USD"/>
    <d v="2025-10-01T00:00:00"/>
    <n v="36"/>
    <s v="31/10/2025"/>
    <n v="271"/>
    <s v="IN89"/>
  </r>
  <r>
    <x v="0"/>
    <n v="256779415368"/>
    <x v="26"/>
    <n v="0"/>
    <n v="12.79"/>
    <s v="C: ASCENDAS27 P: Matching"/>
    <d v="2025-09-08T00:00:00"/>
    <s v="USD"/>
    <d v="2025-10-01T00:00:00"/>
    <n v="38"/>
    <s v="31/10/2025"/>
    <n v="271"/>
    <s v="IN89"/>
  </r>
  <r>
    <x v="0"/>
    <n v="256779415320"/>
    <x v="26"/>
    <n v="0"/>
    <n v="2.67"/>
    <s v="C: ASCENDAS27 P: Matching"/>
    <d v="2025-09-08T00:00:00"/>
    <s v="USD"/>
    <d v="2025-10-01T00:00:00"/>
    <n v="40"/>
    <s v="31/10/2025"/>
    <n v="271"/>
    <s v="IN89"/>
  </r>
  <r>
    <x v="0"/>
    <n v="256779415301"/>
    <x v="26"/>
    <n v="0"/>
    <n v="6.39"/>
    <s v="C: ASCENDAS27 P: Matching"/>
    <d v="2025-09-08T00:00:00"/>
    <s v="USD"/>
    <d v="2025-10-01T00:00:00"/>
    <n v="42"/>
    <s v="31/10/2025"/>
    <n v="271"/>
    <s v="IN89"/>
  </r>
  <r>
    <x v="0"/>
    <n v="256779415329"/>
    <x v="26"/>
    <n v="0"/>
    <n v="5.86"/>
    <s v="C: ASCENDAS27 P: Matching"/>
    <d v="2025-09-08T00:00:00"/>
    <s v="USD"/>
    <d v="2025-10-01T00:00:00"/>
    <n v="44"/>
    <s v="31/10/2025"/>
    <n v="271"/>
    <s v="IN89"/>
  </r>
  <r>
    <x v="0"/>
    <n v="256779415367"/>
    <x v="26"/>
    <n v="0"/>
    <n v="42.62"/>
    <s v="C: ASCENDAS27 P: Matching"/>
    <d v="2025-09-08T00:00:00"/>
    <s v="USD"/>
    <d v="2025-10-01T00:00:00"/>
    <n v="46"/>
    <s v="31/10/2025"/>
    <n v="271"/>
    <s v="IN89"/>
  </r>
  <r>
    <x v="0"/>
    <n v="256779415353"/>
    <x v="26"/>
    <n v="0"/>
    <n v="42.62"/>
    <s v="C: ASCENDAS27 P: Matching"/>
    <d v="2025-09-08T00:00:00"/>
    <s v="USD"/>
    <d v="2025-10-01T00:00:00"/>
    <n v="48"/>
    <s v="31/10/2025"/>
    <n v="271"/>
    <s v="IN89"/>
  </r>
  <r>
    <x v="0"/>
    <n v="256779415330"/>
    <x v="26"/>
    <n v="0"/>
    <n v="4.8"/>
    <s v="C: ASCENDAS27 P: Matching"/>
    <d v="2025-09-08T00:00:00"/>
    <s v="USD"/>
    <d v="2025-10-01T00:00:00"/>
    <n v="50"/>
    <s v="31/10/2025"/>
    <n v="271"/>
    <s v="IN89"/>
  </r>
  <r>
    <x v="0"/>
    <n v="256779415354"/>
    <x v="26"/>
    <n v="0"/>
    <n v="12.79"/>
    <s v="C: ASCENDAS27 P: Matching"/>
    <d v="2025-09-08T00:00:00"/>
    <s v="USD"/>
    <d v="2025-10-01T00:00:00"/>
    <n v="52"/>
    <s v="31/10/2025"/>
    <n v="271"/>
    <s v="IN89"/>
  </r>
  <r>
    <x v="0"/>
    <n v="256779415387"/>
    <x v="26"/>
    <n v="0"/>
    <n v="-157.24"/>
    <s v="C: ASCENDAS27 P: Matching"/>
    <d v="2025-09-08T00:00:00"/>
    <s v="USD"/>
    <d v="2025-10-01T00:00:00"/>
    <n v="80"/>
    <s v="31/10/2025"/>
    <n v="271"/>
    <s v="IN89"/>
  </r>
  <r>
    <x v="0"/>
    <n v="256779415313"/>
    <x v="26"/>
    <n v="0"/>
    <n v="12.79"/>
    <s v="C: ASCENDAS27 P: Matching"/>
    <d v="2025-09-08T00:00:00"/>
    <s v="USD"/>
    <d v="2025-10-01T00:00:00"/>
    <n v="86"/>
    <s v="31/10/2025"/>
    <n v="271"/>
    <s v="IN89"/>
  </r>
  <r>
    <x v="0"/>
    <n v="256779415323"/>
    <x v="26"/>
    <n v="0"/>
    <n v="45.12"/>
    <s v="C: ASCENDAS27 P: Matching"/>
    <d v="2025-09-08T00:00:00"/>
    <s v="USD"/>
    <d v="2025-10-01T00:00:00"/>
    <n v="88"/>
    <s v="31/10/2025"/>
    <n v="271"/>
    <s v="IN89"/>
  </r>
  <r>
    <x v="0"/>
    <n v="256779415309"/>
    <x v="26"/>
    <n v="0"/>
    <n v="6.39"/>
    <s v="C: ASCENDAS27 P: Matching"/>
    <d v="2025-09-08T00:00:00"/>
    <s v="USD"/>
    <d v="2025-10-01T00:00:00"/>
    <n v="90"/>
    <s v="31/10/2025"/>
    <n v="271"/>
    <s v="IN89"/>
  </r>
  <r>
    <x v="0"/>
    <n v="256779415302"/>
    <x v="26"/>
    <n v="0"/>
    <n v="6.39"/>
    <s v="C: ASCENDAS27 P: Matching"/>
    <d v="2025-09-08T00:00:00"/>
    <s v="USD"/>
    <d v="2025-10-01T00:00:00"/>
    <n v="92"/>
    <s v="31/10/2025"/>
    <n v="271"/>
    <s v="IN89"/>
  </r>
  <r>
    <x v="0"/>
    <n v="256779415289"/>
    <x v="26"/>
    <n v="0"/>
    <n v="53.27"/>
    <s v="C: ASCENDAS27 P: Matching"/>
    <d v="2025-09-08T00:00:00"/>
    <s v="USD"/>
    <d v="2025-10-01T00:00:00"/>
    <n v="94"/>
    <s v="31/10/2025"/>
    <n v="271"/>
    <s v="IN89"/>
  </r>
  <r>
    <x v="0"/>
    <n v="256779415325"/>
    <x v="26"/>
    <n v="0"/>
    <n v="40.92"/>
    <s v="C: ASCENDAS27 P: Matching"/>
    <d v="2025-09-08T00:00:00"/>
    <s v="USD"/>
    <d v="2025-10-01T00:00:00"/>
    <n v="96"/>
    <s v="31/10/2025"/>
    <n v="271"/>
    <s v="IN89"/>
  </r>
  <r>
    <x v="0"/>
    <n v="256779415331"/>
    <x v="26"/>
    <n v="0"/>
    <n v="4.8"/>
    <s v="C: ASCENDAS27 P: Matching"/>
    <d v="2025-09-08T00:00:00"/>
    <s v="USD"/>
    <d v="2025-10-01T00:00:00"/>
    <n v="98"/>
    <s v="31/10/2025"/>
    <n v="271"/>
    <s v="IN89"/>
  </r>
  <r>
    <x v="0"/>
    <n v="256779415290"/>
    <x v="26"/>
    <n v="0"/>
    <n v="5.1100000000000003"/>
    <s v="C: ASCENDAS27 P: Matching"/>
    <d v="2025-09-08T00:00:00"/>
    <s v="USD"/>
    <d v="2025-10-01T00:00:00"/>
    <n v="100"/>
    <s v="31/10/2025"/>
    <n v="271"/>
    <s v="IN89"/>
  </r>
  <r>
    <x v="0"/>
    <n v="256779415319"/>
    <x v="26"/>
    <n v="-140.16999999999999"/>
    <n v="-12400.84"/>
    <m/>
    <d v="2025-09-08T00:00:00"/>
    <s v="USD"/>
    <d v="2025-11-01T00:00:00"/>
    <n v="1"/>
    <s v="14/11/2025"/>
    <n v="210"/>
    <s v="IN89"/>
  </r>
  <r>
    <x v="0"/>
    <n v="256779415319"/>
    <x v="26"/>
    <n v="2.8"/>
    <n v="247.72"/>
    <s v="C: ASCENDAS27 P: A023951 I 256779415319"/>
    <d v="2025-09-08T00:00:00"/>
    <s v="USD"/>
    <d v="2025-11-01T00:00:00"/>
    <n v="1"/>
    <s v="14/11/2025"/>
    <n v="230"/>
    <s v="IN89"/>
  </r>
  <r>
    <x v="0"/>
    <n v="256779415303"/>
    <x v="26"/>
    <n v="0"/>
    <n v="-88.42"/>
    <s v="C: ASCENDAS27 P: Matching"/>
    <d v="2025-09-08T00:00:00"/>
    <s v="USD"/>
    <d v="2025-11-01T00:00:00"/>
    <n v="4"/>
    <s v="30/11/2025"/>
    <n v="271"/>
    <s v="IN89"/>
  </r>
  <r>
    <x v="0"/>
    <n v="256779415304"/>
    <x v="26"/>
    <n v="0"/>
    <n v="-26.52"/>
    <s v="C: ASCENDAS27 P: Matching"/>
    <d v="2025-09-08T00:00:00"/>
    <s v="USD"/>
    <d v="2025-11-01T00:00:00"/>
    <n v="6"/>
    <s v="30/11/2025"/>
    <n v="271"/>
    <s v="IN89"/>
  </r>
  <r>
    <x v="0"/>
    <n v="256779415385"/>
    <x v="26"/>
    <n v="0"/>
    <n v="-0.32"/>
    <s v="C: ASCENDAS27 P: Matching"/>
    <d v="2025-09-08T00:00:00"/>
    <s v="USD"/>
    <d v="2025-11-01T00:00:00"/>
    <n v="8"/>
    <s v="30/11/2025"/>
    <n v="271"/>
    <s v="IN89"/>
  </r>
  <r>
    <x v="0"/>
    <n v="256779415293"/>
    <x v="26"/>
    <n v="0"/>
    <n v="-0.32"/>
    <s v="C: ASCENDAS27 P: Matching"/>
    <d v="2025-09-08T00:00:00"/>
    <s v="USD"/>
    <d v="2025-11-01T00:00:00"/>
    <n v="10"/>
    <s v="30/11/2025"/>
    <n v="271"/>
    <s v="IN89"/>
  </r>
  <r>
    <x v="0"/>
    <n v="256779415374"/>
    <x v="26"/>
    <n v="0"/>
    <n v="-6.43"/>
    <s v="C: ASCENDAS27 P: Matching"/>
    <d v="2025-09-08T00:00:00"/>
    <s v="USD"/>
    <d v="2025-11-01T00:00:00"/>
    <n v="12"/>
    <s v="30/11/2025"/>
    <n v="271"/>
    <s v="IN89"/>
  </r>
  <r>
    <x v="0"/>
    <n v="256779415339"/>
    <x v="26"/>
    <n v="0"/>
    <n v="-24.21"/>
    <s v="C: ASCENDAS27 P: Matching"/>
    <d v="2025-09-08T00:00:00"/>
    <s v="USD"/>
    <d v="2025-11-01T00:00:00"/>
    <n v="14"/>
    <s v="30/11/2025"/>
    <n v="271"/>
    <s v="IN89"/>
  </r>
  <r>
    <x v="0"/>
    <n v="256779415308"/>
    <x v="26"/>
    <n v="0"/>
    <n v="-26.52"/>
    <s v="C: ASCENDAS27 P: Matching"/>
    <d v="2025-09-08T00:00:00"/>
    <s v="USD"/>
    <d v="2025-11-01T00:00:00"/>
    <n v="18"/>
    <s v="30/11/2025"/>
    <n v="271"/>
    <s v="IN89"/>
  </r>
  <r>
    <x v="0"/>
    <n v="256779415305"/>
    <x v="26"/>
    <n v="0"/>
    <n v="-26.52"/>
    <s v="C: ASCENDAS27 P: Matching"/>
    <d v="2025-09-08T00:00:00"/>
    <s v="USD"/>
    <d v="2025-11-01T00:00:00"/>
    <n v="20"/>
    <s v="30/11/2025"/>
    <n v="271"/>
    <s v="IN89"/>
  </r>
  <r>
    <x v="0"/>
    <n v="256779415306"/>
    <x v="26"/>
    <n v="0"/>
    <n v="-26.52"/>
    <s v="C: ASCENDAS27 P: Matching"/>
    <d v="2025-09-08T00:00:00"/>
    <s v="USD"/>
    <d v="2025-11-01T00:00:00"/>
    <n v="22"/>
    <s v="30/11/2025"/>
    <n v="271"/>
    <s v="IN89"/>
  </r>
  <r>
    <x v="0"/>
    <n v="256779415307"/>
    <x v="26"/>
    <n v="0"/>
    <n v="-26.52"/>
    <s v="C: ASCENDAS27 P: Matching"/>
    <d v="2025-09-08T00:00:00"/>
    <s v="USD"/>
    <d v="2025-11-01T00:00:00"/>
    <n v="24"/>
    <s v="30/11/2025"/>
    <n v="271"/>
    <s v="IN89"/>
  </r>
  <r>
    <x v="0"/>
    <n v="256779415291"/>
    <x v="26"/>
    <n v="0"/>
    <n v="-0.32"/>
    <s v="C: ASCENDAS27 P: Matching"/>
    <d v="2025-09-08T00:00:00"/>
    <s v="USD"/>
    <d v="2025-11-01T00:00:00"/>
    <n v="26"/>
    <s v="30/11/2025"/>
    <n v="271"/>
    <s v="IN89"/>
  </r>
  <r>
    <x v="0"/>
    <n v="256779415319"/>
    <x v="26"/>
    <n v="0"/>
    <n v="-94.07"/>
    <s v="C: ASCENDAS27 P: Matching"/>
    <d v="2025-09-08T00:00:00"/>
    <s v="USD"/>
    <d v="2025-11-01T00:00:00"/>
    <n v="48"/>
    <s v="30/11/2025"/>
    <n v="271"/>
    <s v="IN89"/>
  </r>
  <r>
    <x v="0"/>
    <n v="256779415332"/>
    <x v="26"/>
    <n v="-2.5"/>
    <n v="-221.18"/>
    <m/>
    <d v="2025-09-08T00:00:00"/>
    <s v="USD"/>
    <d v="2025-12-01T00:00:00"/>
    <n v="1"/>
    <s v="31/12/2025"/>
    <n v="210"/>
    <s v="IN89"/>
  </r>
  <r>
    <x v="0"/>
    <n v="256779415332"/>
    <x v="26"/>
    <n v="0.05"/>
    <n v="4.42"/>
    <s v="C: ASCENDAS27 P: A023951 I 256779415332"/>
    <d v="2025-09-08T00:00:00"/>
    <s v="USD"/>
    <d v="2025-12-01T00:00:00"/>
    <n v="1"/>
    <s v="31/12/2025"/>
    <n v="230"/>
    <s v="IN89"/>
  </r>
  <r>
    <x v="0"/>
    <n v="256779415328"/>
    <x v="26"/>
    <n v="-22.5"/>
    <n v="-1990.58"/>
    <m/>
    <d v="2025-09-08T00:00:00"/>
    <s v="USD"/>
    <d v="2025-12-01T00:00:00"/>
    <n v="1"/>
    <s v="31/12/2025"/>
    <n v="210"/>
    <s v="IN89"/>
  </r>
  <r>
    <x v="0"/>
    <n v="256779415328"/>
    <x v="26"/>
    <n v="0.45"/>
    <n v="39.81"/>
    <s v="C: ASCENDAS27 P: A023951 I 256779415328"/>
    <d v="2025-09-08T00:00:00"/>
    <s v="USD"/>
    <d v="2025-12-01T00:00:00"/>
    <n v="1"/>
    <s v="31/12/2025"/>
    <n v="230"/>
    <s v="IN89"/>
  </r>
  <r>
    <x v="0"/>
    <n v="256779415303"/>
    <x v="26"/>
    <n v="0"/>
    <n v="-72.12"/>
    <s v="C: ASCENDAS27 P: Matching"/>
    <d v="2025-09-08T00:00:00"/>
    <s v="USD"/>
    <d v="2025-12-01T00:00:00"/>
    <n v="4"/>
    <s v="31/12/2025"/>
    <n v="271"/>
    <s v="IN89"/>
  </r>
  <r>
    <x v="0"/>
    <n v="256779415304"/>
    <x v="26"/>
    <n v="0"/>
    <n v="-21.64"/>
    <s v="C: ASCENDAS27 P: Matching"/>
    <d v="2025-09-08T00:00:00"/>
    <s v="USD"/>
    <d v="2025-12-01T00:00:00"/>
    <n v="6"/>
    <s v="31/12/2025"/>
    <n v="271"/>
    <s v="IN89"/>
  </r>
  <r>
    <x v="0"/>
    <n v="256779415385"/>
    <x v="26"/>
    <n v="0"/>
    <n v="-0.36"/>
    <s v="C: ASCENDAS27 P: Matching"/>
    <d v="2025-09-08T00:00:00"/>
    <s v="USD"/>
    <d v="2025-12-01T00:00:00"/>
    <n v="8"/>
    <s v="31/12/2025"/>
    <n v="271"/>
    <s v="IN89"/>
  </r>
  <r>
    <x v="0"/>
    <n v="256779415293"/>
    <x v="26"/>
    <n v="0"/>
    <n v="-0.36"/>
    <s v="C: ASCENDAS27 P: Matching"/>
    <d v="2025-09-08T00:00:00"/>
    <s v="USD"/>
    <d v="2025-12-01T00:00:00"/>
    <n v="10"/>
    <s v="31/12/2025"/>
    <n v="271"/>
    <s v="IN89"/>
  </r>
  <r>
    <x v="0"/>
    <n v="256779415374"/>
    <x v="26"/>
    <n v="0"/>
    <n v="-6.91"/>
    <s v="C: ASCENDAS27 P: Matching"/>
    <d v="2025-09-08T00:00:00"/>
    <s v="USD"/>
    <d v="2025-12-01T00:00:00"/>
    <n v="12"/>
    <s v="31/12/2025"/>
    <n v="271"/>
    <s v="IN89"/>
  </r>
  <r>
    <x v="0"/>
    <n v="256779415339"/>
    <x v="26"/>
    <n v="0"/>
    <n v="-19.760000000000002"/>
    <s v="C: ASCENDAS27 P: Matching"/>
    <d v="2025-09-08T00:00:00"/>
    <s v="USD"/>
    <d v="2025-12-01T00:00:00"/>
    <n v="14"/>
    <s v="31/12/2025"/>
    <n v="271"/>
    <s v="IN89"/>
  </r>
  <r>
    <x v="0"/>
    <n v="256779415308"/>
    <x v="26"/>
    <n v="0"/>
    <n v="-21.64"/>
    <s v="C: ASCENDAS27 P: Matching"/>
    <d v="2025-09-08T00:00:00"/>
    <s v="USD"/>
    <d v="2025-12-01T00:00:00"/>
    <n v="18"/>
    <s v="31/12/2025"/>
    <n v="271"/>
    <s v="IN89"/>
  </r>
  <r>
    <x v="0"/>
    <n v="256779415305"/>
    <x v="26"/>
    <n v="0"/>
    <n v="-21.64"/>
    <s v="C: ASCENDAS27 P: Matching"/>
    <d v="2025-09-08T00:00:00"/>
    <s v="USD"/>
    <d v="2025-12-01T00:00:00"/>
    <n v="20"/>
    <s v="31/12/2025"/>
    <n v="271"/>
    <s v="IN89"/>
  </r>
  <r>
    <x v="0"/>
    <n v="256779415306"/>
    <x v="26"/>
    <n v="0"/>
    <n v="-21.64"/>
    <s v="C: ASCENDAS27 P: Matching"/>
    <d v="2025-09-08T00:00:00"/>
    <s v="USD"/>
    <d v="2025-12-01T00:00:00"/>
    <n v="22"/>
    <s v="31/12/2025"/>
    <n v="271"/>
    <s v="IN89"/>
  </r>
  <r>
    <x v="0"/>
    <n v="256779415307"/>
    <x v="26"/>
    <n v="0"/>
    <n v="-21.64"/>
    <s v="C: ASCENDAS27 P: Matching"/>
    <d v="2025-09-08T00:00:00"/>
    <s v="USD"/>
    <d v="2025-12-01T00:00:00"/>
    <n v="24"/>
    <s v="31/12/2025"/>
    <n v="271"/>
    <s v="IN89"/>
  </r>
  <r>
    <x v="0"/>
    <n v="256779415291"/>
    <x v="26"/>
    <n v="0"/>
    <n v="-0.36"/>
    <s v="C: ASCENDAS27 P: Matching"/>
    <d v="2025-09-08T00:00:00"/>
    <s v="USD"/>
    <d v="2025-12-01T00:00:00"/>
    <n v="26"/>
    <s v="31/12/2025"/>
    <n v="271"/>
    <s v="IN89"/>
  </r>
  <r>
    <x v="0"/>
    <n v="256779415332"/>
    <x v="26"/>
    <n v="0"/>
    <n v="-3.47"/>
    <s v="C: ASCENDAS27 P: Matching"/>
    <d v="2025-09-08T00:00:00"/>
    <s v="USD"/>
    <d v="2025-12-01T00:00:00"/>
    <n v="78"/>
    <s v="31/12/2025"/>
    <n v="271"/>
    <s v="IN89"/>
  </r>
  <r>
    <x v="0"/>
    <n v="256779415328"/>
    <x v="26"/>
    <n v="0"/>
    <n v="-31.32"/>
    <s v="C: ASCENDAS27 P: Matching"/>
    <d v="2025-09-08T00:00:00"/>
    <s v="USD"/>
    <d v="2025-12-01T00:00:00"/>
    <n v="80"/>
    <s v="31/12/2025"/>
    <n v="271"/>
    <s v="IN89"/>
  </r>
  <r>
    <x v="0"/>
    <n v="256779415321"/>
    <x v="26"/>
    <n v="-212.5"/>
    <n v="-18799.88"/>
    <m/>
    <d v="2025-09-08T00:00:00"/>
    <s v="USD"/>
    <d v="2026-01-01T00:00:00"/>
    <n v="1"/>
    <s v="27/01/2026"/>
    <n v="210"/>
    <s v="IN89"/>
  </r>
  <r>
    <x v="0"/>
    <n v="256779415321"/>
    <x v="26"/>
    <n v="4.25"/>
    <n v="376"/>
    <s v="C: ASCENDAS27 P: A023951 I 256779415321"/>
    <d v="2025-09-08T00:00:00"/>
    <s v="USD"/>
    <d v="2026-01-01T00:00:00"/>
    <n v="1"/>
    <s v="27/01/2026"/>
    <n v="230"/>
    <s v="IN89"/>
  </r>
  <r>
    <x v="0"/>
    <n v="256779415303"/>
    <x v="26"/>
    <n v="0"/>
    <n v="-170.52"/>
    <s v="C: ASCENDAS27 P: Matching"/>
    <d v="2025-09-08T00:00:00"/>
    <s v="USD"/>
    <d v="2026-01-01T00:00:00"/>
    <n v="4"/>
    <s v="31/01/2026"/>
    <n v="271"/>
    <s v="IN89"/>
  </r>
  <r>
    <x v="0"/>
    <n v="256779415304"/>
    <x v="26"/>
    <n v="0"/>
    <n v="-51.15"/>
    <s v="C: ASCENDAS27 P: Matching"/>
    <d v="2025-09-08T00:00:00"/>
    <s v="USD"/>
    <d v="2026-01-01T00:00:00"/>
    <n v="6"/>
    <s v="31/01/2026"/>
    <n v="271"/>
    <s v="IN89"/>
  </r>
  <r>
    <x v="0"/>
    <n v="256779415385"/>
    <x v="26"/>
    <n v="0"/>
    <n v="-0.83"/>
    <s v="C: ASCENDAS27 P: Matching"/>
    <d v="2025-09-08T00:00:00"/>
    <s v="USD"/>
    <d v="2026-01-01T00:00:00"/>
    <n v="8"/>
    <s v="31/01/2026"/>
    <n v="271"/>
    <s v="IN89"/>
  </r>
  <r>
    <x v="0"/>
    <n v="256779415293"/>
    <x v="26"/>
    <n v="0"/>
    <n v="-0.83"/>
    <s v="C: ASCENDAS27 P: Matching"/>
    <d v="2025-09-08T00:00:00"/>
    <s v="USD"/>
    <d v="2026-01-01T00:00:00"/>
    <n v="10"/>
    <s v="31/01/2026"/>
    <n v="271"/>
    <s v="IN89"/>
  </r>
  <r>
    <x v="0"/>
    <n v="256779415374"/>
    <x v="26"/>
    <n v="0"/>
    <n v="-16.34"/>
    <s v="C: ASCENDAS27 P: Matching"/>
    <d v="2025-09-08T00:00:00"/>
    <s v="USD"/>
    <d v="2026-01-01T00:00:00"/>
    <n v="12"/>
    <s v="31/01/2026"/>
    <n v="271"/>
    <s v="IN89"/>
  </r>
  <r>
    <x v="0"/>
    <n v="256779415339"/>
    <x v="26"/>
    <n v="0"/>
    <n v="-46.7"/>
    <s v="C: ASCENDAS27 P: Matching"/>
    <d v="2025-09-08T00:00:00"/>
    <s v="USD"/>
    <d v="2026-01-01T00:00:00"/>
    <n v="14"/>
    <s v="31/01/2026"/>
    <n v="271"/>
    <s v="IN89"/>
  </r>
  <r>
    <x v="0"/>
    <n v="256779415308"/>
    <x v="26"/>
    <n v="0"/>
    <n v="-51.15"/>
    <s v="C: ASCENDAS27 P: Matching"/>
    <d v="2025-09-08T00:00:00"/>
    <s v="USD"/>
    <d v="2026-01-01T00:00:00"/>
    <n v="18"/>
    <s v="31/01/2026"/>
    <n v="271"/>
    <s v="IN89"/>
  </r>
  <r>
    <x v="0"/>
    <n v="256779415305"/>
    <x v="26"/>
    <n v="0"/>
    <n v="-51.15"/>
    <s v="C: ASCENDAS27 P: Matching"/>
    <d v="2025-09-08T00:00:00"/>
    <s v="USD"/>
    <d v="2026-01-01T00:00:00"/>
    <n v="20"/>
    <s v="31/01/2026"/>
    <n v="271"/>
    <s v="IN89"/>
  </r>
  <r>
    <x v="0"/>
    <n v="256779415306"/>
    <x v="26"/>
    <n v="0"/>
    <n v="-51.15"/>
    <s v="C: ASCENDAS27 P: Matching"/>
    <d v="2025-09-08T00:00:00"/>
    <s v="USD"/>
    <d v="2026-01-01T00:00:00"/>
    <n v="22"/>
    <s v="31/01/2026"/>
    <n v="271"/>
    <s v="IN89"/>
  </r>
  <r>
    <x v="0"/>
    <n v="256779415307"/>
    <x v="26"/>
    <n v="0"/>
    <n v="-51.15"/>
    <s v="C: ASCENDAS27 P: Matching"/>
    <d v="2025-09-08T00:00:00"/>
    <s v="USD"/>
    <d v="2026-01-01T00:00:00"/>
    <n v="24"/>
    <s v="31/01/2026"/>
    <n v="271"/>
    <s v="IN89"/>
  </r>
  <r>
    <x v="0"/>
    <n v="256779415291"/>
    <x v="26"/>
    <n v="0"/>
    <n v="-0.83"/>
    <s v="C: ASCENDAS27 P: Matching"/>
    <d v="2025-09-08T00:00:00"/>
    <s v="USD"/>
    <d v="2026-01-01T00:00:00"/>
    <n v="26"/>
    <s v="31/01/2026"/>
    <n v="271"/>
    <s v="IN89"/>
  </r>
  <r>
    <x v="0"/>
    <n v="256779415321"/>
    <x v="26"/>
    <n v="0"/>
    <n v="-658.22"/>
    <s v="C: ASCENDAS27 P: Matching"/>
    <d v="2025-09-08T00:00:00"/>
    <s v="USD"/>
    <d v="2026-01-01T00:00:00"/>
    <n v="54"/>
    <s v="31/01/2026"/>
    <n v="271"/>
    <s v="IN89"/>
  </r>
  <r>
    <x v="0"/>
    <n v="256779414358"/>
    <x v="27"/>
    <n v="-2339.4299999999998"/>
    <n v="-199001.51"/>
    <s v="SUPPLIER GSTIN NOT FOUND"/>
    <d v="2025-10-07T00:00:00"/>
    <s v="USD"/>
    <d v="2026-01-01T00:00:00"/>
    <n v="1"/>
    <s v="27/01/2026"/>
    <n v="210"/>
    <s v="IN89"/>
  </r>
  <r>
    <x v="0"/>
    <n v="256779414359"/>
    <x v="27"/>
    <n v="-93.58"/>
    <n v="-7960.3"/>
    <m/>
    <d v="2025-10-07T00:00:00"/>
    <s v="USD"/>
    <d v="2026-01-01T00:00:00"/>
    <n v="1"/>
    <s v="27/01/2026"/>
    <n v="210"/>
    <s v="IN89"/>
  </r>
  <r>
    <x v="0"/>
    <n v="256779414360"/>
    <x v="27"/>
    <n v="-51.47"/>
    <n v="-4378.25"/>
    <s v="SUPPLIER GSTIN NOT FOUND"/>
    <d v="2025-10-07T00:00:00"/>
    <s v="USD"/>
    <d v="2026-01-01T00:00:00"/>
    <n v="1"/>
    <s v="27/01/2026"/>
    <n v="210"/>
    <s v="IN89"/>
  </r>
  <r>
    <x v="0"/>
    <n v="256779414359"/>
    <x v="27"/>
    <n v="1.87"/>
    <n v="159.07"/>
    <s v="C: ASCENDAS27 P: A023951 I 256779414359"/>
    <d v="2025-10-07T00:00:00"/>
    <s v="USD"/>
    <d v="2026-01-01T00:00:00"/>
    <n v="1"/>
    <s v="27/01/2026"/>
    <n v="230"/>
    <s v="IN89"/>
  </r>
  <r>
    <x v="0"/>
    <n v="256779414358"/>
    <x v="27"/>
    <n v="46.79"/>
    <n v="3980.15"/>
    <s v="C: ASCENDAS27 P: A023951 I 256779414358"/>
    <d v="2025-10-07T00:00:00"/>
    <s v="USD"/>
    <d v="2026-01-01T00:00:00"/>
    <n v="1"/>
    <s v="27/01/2026"/>
    <n v="230"/>
    <s v="IN89"/>
  </r>
  <r>
    <x v="0"/>
    <n v="256779414360"/>
    <x v="27"/>
    <n v="1.03"/>
    <n v="87.62"/>
    <s v="C: ASCENDAS27 P: A023951 I 256779414360"/>
    <d v="2025-10-07T00:00:00"/>
    <s v="USD"/>
    <d v="2026-01-01T00:00:00"/>
    <n v="1"/>
    <s v="27/01/2026"/>
    <n v="230"/>
    <s v="IN89"/>
  </r>
  <r>
    <x v="0"/>
    <n v="256779414358"/>
    <x v="27"/>
    <n v="0"/>
    <n v="-15054.92"/>
    <s v="C: ASCENDAS27 P: Matching"/>
    <d v="2025-10-07T00:00:00"/>
    <s v="USD"/>
    <d v="2026-01-01T00:00:00"/>
    <n v="58"/>
    <s v="31/01/2026"/>
    <n v="271"/>
    <s v="IN89"/>
  </r>
  <r>
    <x v="0"/>
    <n v="256779414359"/>
    <x v="27"/>
    <n v="0"/>
    <n v="-602.22"/>
    <s v="C: ASCENDAS27 P: Matching"/>
    <d v="2025-10-07T00:00:00"/>
    <s v="USD"/>
    <d v="2026-01-01T00:00:00"/>
    <n v="60"/>
    <s v="31/01/2026"/>
    <n v="271"/>
    <s v="IN89"/>
  </r>
  <r>
    <x v="0"/>
    <n v="256779414360"/>
    <x v="27"/>
    <n v="0"/>
    <n v="-331.22"/>
    <s v="C: ASCENDAS27 P: Matching"/>
    <d v="2025-10-07T00:00:00"/>
    <s v="USD"/>
    <d v="2026-01-01T00:00:00"/>
    <n v="66"/>
    <s v="31/01/2026"/>
    <n v="271"/>
    <s v="IN89"/>
  </r>
  <r>
    <x v="0"/>
    <n v="256779413240"/>
    <x v="28"/>
    <n v="-424.03"/>
    <n v="-36201.339999999997"/>
    <m/>
    <d v="2025-09-06T00:00:00"/>
    <s v="USD"/>
    <d v="2025-11-01T00:00:00"/>
    <n v="1"/>
    <s v="30/11/2025"/>
    <n v="210"/>
    <s v="IN89"/>
  </r>
  <r>
    <x v="0"/>
    <n v="256779413146"/>
    <x v="28"/>
    <n v="0"/>
    <n v="-200000"/>
    <m/>
    <d v="2025-09-06T00:00:00"/>
    <s v="INR"/>
    <d v="2025-11-01T00:00:00"/>
    <n v="1"/>
    <s v="30/11/2025"/>
    <n v="210"/>
    <s v="IN89"/>
  </r>
  <r>
    <x v="0"/>
    <n v="256779413148"/>
    <x v="28"/>
    <n v="0"/>
    <n v="-4400"/>
    <m/>
    <d v="2025-09-06T00:00:00"/>
    <s v="INR"/>
    <d v="2025-11-01T00:00:00"/>
    <n v="1"/>
    <s v="30/11/2025"/>
    <n v="210"/>
    <s v="IN89"/>
  </r>
  <r>
    <x v="0"/>
    <n v="256779413147"/>
    <x v="28"/>
    <n v="0"/>
    <n v="-8000"/>
    <m/>
    <d v="2025-09-06T00:00:00"/>
    <s v="INR"/>
    <d v="2025-11-01T00:00:00"/>
    <n v="1"/>
    <s v="30/11/2025"/>
    <n v="210"/>
    <s v="IN89"/>
  </r>
  <r>
    <x v="0"/>
    <n v="256779413250"/>
    <x v="28"/>
    <n v="-423.28"/>
    <n v="-36137.300000000003"/>
    <m/>
    <d v="2025-09-06T00:00:00"/>
    <s v="USD"/>
    <d v="2025-11-01T00:00:00"/>
    <n v="1"/>
    <s v="30/11/2025"/>
    <n v="210"/>
    <s v="IN89"/>
  </r>
  <r>
    <x v="0"/>
    <n v="256779413148"/>
    <x v="28"/>
    <n v="0"/>
    <n v="88"/>
    <s v="C: ASCENDAS27 P: A023951 I 256779413148"/>
    <d v="2025-09-06T00:00:00"/>
    <s v="INR"/>
    <d v="2025-11-01T00:00:00"/>
    <n v="1"/>
    <s v="30/11/2025"/>
    <n v="230"/>
    <s v="IN89"/>
  </r>
  <r>
    <x v="0"/>
    <n v="256779413146"/>
    <x v="28"/>
    <n v="0"/>
    <n v="4000"/>
    <s v="C: ASCENDAS27 P: A023951 I 256779413146"/>
    <d v="2025-09-06T00:00:00"/>
    <s v="INR"/>
    <d v="2025-11-01T00:00:00"/>
    <n v="1"/>
    <s v="30/11/2025"/>
    <n v="230"/>
    <s v="IN89"/>
  </r>
  <r>
    <x v="0"/>
    <n v="256779413147"/>
    <x v="28"/>
    <n v="0"/>
    <n v="160"/>
    <s v="C: ASCENDAS27 P: A023951 I 256779413147"/>
    <d v="2025-09-06T00:00:00"/>
    <s v="INR"/>
    <d v="2025-11-01T00:00:00"/>
    <n v="1"/>
    <s v="30/11/2025"/>
    <n v="230"/>
    <s v="IN89"/>
  </r>
  <r>
    <x v="0"/>
    <n v="256779413250"/>
    <x v="28"/>
    <n v="8.4700000000000006"/>
    <n v="723.12"/>
    <s v="C: ASCENDAS27 P: A023951 I 256779413250"/>
    <d v="2025-09-06T00:00:00"/>
    <s v="USD"/>
    <d v="2025-11-01T00:00:00"/>
    <n v="1"/>
    <s v="30/11/2025"/>
    <n v="230"/>
    <s v="IN89"/>
  </r>
  <r>
    <x v="0"/>
    <n v="256779413240"/>
    <x v="28"/>
    <n v="8.48"/>
    <n v="723.98"/>
    <s v="C: ASCENDAS27 P: A023951 I 256779413240"/>
    <d v="2025-09-06T00:00:00"/>
    <s v="USD"/>
    <d v="2025-11-01T00:00:00"/>
    <n v="1"/>
    <s v="30/11/2025"/>
    <n v="230"/>
    <s v="IN89"/>
  </r>
  <r>
    <x v="0"/>
    <n v="256779413240"/>
    <x v="28"/>
    <n v="0"/>
    <n v="-1570.91"/>
    <s v="C: ASCENDAS27 P: Matching"/>
    <d v="2025-09-06T00:00:00"/>
    <s v="USD"/>
    <d v="2025-11-01T00:00:00"/>
    <n v="56"/>
    <s v="30/11/2025"/>
    <n v="271"/>
    <s v="IN89"/>
  </r>
  <r>
    <x v="0"/>
    <n v="256779413250"/>
    <x v="28"/>
    <n v="0"/>
    <n v="-1568.11"/>
    <s v="C: ASCENDAS27 P: Matching"/>
    <d v="2025-09-06T00:00:00"/>
    <s v="USD"/>
    <d v="2025-11-01T00:00:00"/>
    <n v="64"/>
    <s v="30/11/2025"/>
    <n v="271"/>
    <s v="IN89"/>
  </r>
  <r>
    <x v="0"/>
    <n v="256779419995"/>
    <x v="29"/>
    <n v="-187.19"/>
    <n v="-16688.88"/>
    <m/>
    <d v="2026-08-01T00:00:00"/>
    <s v="USD"/>
    <d v="2026-01-01T00:00:00"/>
    <n v="1"/>
    <s v="28/01/2026"/>
    <n v="210"/>
    <s v="IN89"/>
  </r>
  <r>
    <x v="0"/>
    <n v="256779419995"/>
    <x v="29"/>
    <n v="3.74"/>
    <n v="333.44"/>
    <s v="C: ASCENDAS27 P: A023951 I 256779419995"/>
    <d v="2026-08-01T00:00:00"/>
    <s v="USD"/>
    <d v="2026-01-01T00:00:00"/>
    <n v="1"/>
    <s v="28/01/2026"/>
    <n v="230"/>
    <s v="IN89"/>
  </r>
  <r>
    <x v="0"/>
    <n v="256779419995"/>
    <x v="29"/>
    <n v="0"/>
    <n v="-454.22"/>
    <s v="C: ASCENDAS27 P: Matching"/>
    <d v="2026-08-01T00:00:00"/>
    <s v="USD"/>
    <d v="2026-01-01T00:00:00"/>
    <n v="70"/>
    <s v="31/01/2026"/>
    <n v="271"/>
    <s v="IN89"/>
  </r>
  <r>
    <x v="0"/>
    <n v="256779419858"/>
    <x v="30"/>
    <n v="-147.37"/>
    <n v="-13138.74"/>
    <s v="USD CURRENCY"/>
    <d v="2026-07-01T00:00:00"/>
    <s v="USD"/>
    <d v="2026-01-01T00:00:00"/>
    <n v="1"/>
    <s v="28/01/2026"/>
    <n v="210"/>
    <s v="IN89"/>
  </r>
  <r>
    <x v="0"/>
    <n v="256779419858"/>
    <x v="30"/>
    <n v="2.95"/>
    <n v="263.01"/>
    <s v="C: ASCENDAS27 P: A023951 I 256779419858"/>
    <d v="2026-07-01T00:00:00"/>
    <s v="USD"/>
    <d v="2026-01-01T00:00:00"/>
    <n v="1"/>
    <s v="28/01/2026"/>
    <n v="230"/>
    <s v="IN89"/>
  </r>
  <r>
    <x v="0"/>
    <n v="256779419858"/>
    <x v="30"/>
    <n v="0"/>
    <n v="-290.25"/>
    <s v="C: ASCENDAS27 P: Matching"/>
    <d v="2026-07-01T00:00:00"/>
    <s v="USD"/>
    <d v="2026-01-01T00:00:00"/>
    <n v="72"/>
    <s v="31/01/2026"/>
    <n v="271"/>
    <s v="IN89"/>
  </r>
  <r>
    <x v="0"/>
    <n v="256779419858"/>
    <x v="30"/>
    <n v="0"/>
    <n v="-67.33"/>
    <s v="C: ASCENDAS27 P: Matching"/>
    <d v="2026-07-01T00:00:00"/>
    <s v="USD"/>
    <d v="2026-01-01T00:00:00"/>
    <n v="74"/>
    <s v="31/01/2026"/>
    <n v="271"/>
    <s v="IN89"/>
  </r>
  <r>
    <x v="0"/>
    <n v="256779416255"/>
    <x v="31"/>
    <n v="-392"/>
    <n v="-33959.32"/>
    <m/>
    <d v="2025-07-09T00:00:00"/>
    <s v="USD"/>
    <d v="2025-10-01T00:00:00"/>
    <n v="1"/>
    <s v="31/10/2025"/>
    <n v="210"/>
    <s v="IN89"/>
  </r>
  <r>
    <x v="0"/>
    <n v="256779416169"/>
    <x v="31"/>
    <n v="-257"/>
    <n v="-22264.14"/>
    <m/>
    <d v="2025-07-09T00:00:00"/>
    <s v="USD"/>
    <d v="2025-10-01T00:00:00"/>
    <n v="1"/>
    <s v="31/10/2025"/>
    <n v="210"/>
    <s v="IN89"/>
  </r>
  <r>
    <x v="0"/>
    <n v="256779416442"/>
    <x v="31"/>
    <n v="-1053"/>
    <n v="-91222.35"/>
    <m/>
    <d v="2025-07-09T00:00:00"/>
    <s v="USD"/>
    <d v="2025-10-01T00:00:00"/>
    <n v="1"/>
    <s v="31/10/2025"/>
    <n v="210"/>
    <s v="IN89"/>
  </r>
  <r>
    <x v="0"/>
    <n v="256779416214"/>
    <x v="31"/>
    <n v="-212"/>
    <n v="-18365.75"/>
    <m/>
    <d v="2025-07-09T00:00:00"/>
    <s v="USD"/>
    <d v="2025-10-01T00:00:00"/>
    <n v="1"/>
    <s v="31/10/2025"/>
    <n v="210"/>
    <s v="IN89"/>
  </r>
  <r>
    <x v="0"/>
    <n v="256779416454"/>
    <x v="31"/>
    <n v="-411"/>
    <n v="-35605.300000000003"/>
    <m/>
    <d v="2025-07-09T00:00:00"/>
    <s v="USD"/>
    <d v="2025-10-01T00:00:00"/>
    <n v="1"/>
    <s v="31/10/2025"/>
    <n v="210"/>
    <s v="IN89"/>
  </r>
  <r>
    <x v="0"/>
    <n v="256779416442"/>
    <x v="31"/>
    <n v="21.06"/>
    <n v="1824.45"/>
    <s v="C: ASCENDAS27 P: A023951 I 256779416442"/>
    <d v="2025-07-09T00:00:00"/>
    <s v="USD"/>
    <d v="2025-10-01T00:00:00"/>
    <n v="1"/>
    <s v="31/10/2025"/>
    <n v="230"/>
    <s v="IN89"/>
  </r>
  <r>
    <x v="0"/>
    <n v="256779416169"/>
    <x v="31"/>
    <n v="5.14"/>
    <n v="445.28"/>
    <s v="C: ASCENDAS27 P: A023951 I 256779416169"/>
    <d v="2025-07-09T00:00:00"/>
    <s v="USD"/>
    <d v="2025-10-01T00:00:00"/>
    <n v="1"/>
    <s v="31/10/2025"/>
    <n v="230"/>
    <s v="IN89"/>
  </r>
  <r>
    <x v="0"/>
    <n v="256779416214"/>
    <x v="31"/>
    <n v="4.24"/>
    <n v="367.31"/>
    <s v="C: ASCENDAS27 P: A023951 I 256779416214"/>
    <d v="2025-07-09T00:00:00"/>
    <s v="USD"/>
    <d v="2025-10-01T00:00:00"/>
    <n v="1"/>
    <s v="31/10/2025"/>
    <n v="230"/>
    <s v="IN89"/>
  </r>
  <r>
    <x v="0"/>
    <n v="256779416454"/>
    <x v="31"/>
    <n v="8.2200000000000006"/>
    <n v="712.11"/>
    <s v="C: ASCENDAS27 P: A023951 I 256779416454"/>
    <d v="2025-07-09T00:00:00"/>
    <s v="USD"/>
    <d v="2025-10-01T00:00:00"/>
    <n v="1"/>
    <s v="31/10/2025"/>
    <n v="230"/>
    <s v="IN89"/>
  </r>
  <r>
    <x v="0"/>
    <n v="256779416255"/>
    <x v="31"/>
    <n v="7.84"/>
    <n v="679.19"/>
    <s v="C: ASCENDAS27 P: A023951 I 256779416255"/>
    <d v="2025-07-09T00:00:00"/>
    <s v="USD"/>
    <d v="2025-10-01T00:00:00"/>
    <n v="1"/>
    <s v="31/10/2025"/>
    <n v="230"/>
    <s v="IN89"/>
  </r>
  <r>
    <x v="0"/>
    <n v="256779416096"/>
    <x v="31"/>
    <n v="-7386.34"/>
    <n v="-639885.32999999996"/>
    <m/>
    <d v="2025-07-09T00:00:00"/>
    <s v="USD"/>
    <d v="2025-10-01T00:00:00"/>
    <n v="1"/>
    <s v="31/10/2025"/>
    <n v="210"/>
    <s v="IN89"/>
  </r>
  <r>
    <x v="0"/>
    <n v="256779416096"/>
    <x v="31"/>
    <n v="147.72999999999999"/>
    <n v="12797.98"/>
    <s v="C: ASCENDAS27 P: A023951 I 256779416096"/>
    <d v="2025-07-09T00:00:00"/>
    <s v="USD"/>
    <d v="2025-10-01T00:00:00"/>
    <n v="1"/>
    <s v="31/10/2025"/>
    <n v="230"/>
    <s v="IN89"/>
  </r>
  <r>
    <x v="0"/>
    <n v="256779416255"/>
    <x v="31"/>
    <n v="0"/>
    <n v="-622.98"/>
    <s v="C: ASCENDAS27 P: Matching"/>
    <d v="2025-07-09T00:00:00"/>
    <s v="USD"/>
    <d v="2025-10-01T00:00:00"/>
    <n v="102"/>
    <s v="31/10/2025"/>
    <n v="271"/>
    <s v="IN89"/>
  </r>
  <r>
    <x v="0"/>
    <n v="256779416169"/>
    <x v="31"/>
    <n v="0"/>
    <n v="-408.43"/>
    <s v="C: ASCENDAS27 P: Matching"/>
    <d v="2025-07-09T00:00:00"/>
    <s v="USD"/>
    <d v="2025-10-01T00:00:00"/>
    <n v="104"/>
    <s v="31/10/2025"/>
    <n v="271"/>
    <s v="IN89"/>
  </r>
  <r>
    <x v="0"/>
    <n v="256779416442"/>
    <x v="31"/>
    <n v="0"/>
    <n v="-1673.46"/>
    <s v="C: ASCENDAS27 P: Matching"/>
    <d v="2025-07-09T00:00:00"/>
    <s v="USD"/>
    <d v="2025-10-01T00:00:00"/>
    <n v="106"/>
    <s v="31/10/2025"/>
    <n v="271"/>
    <s v="IN89"/>
  </r>
  <r>
    <x v="0"/>
    <n v="256779416214"/>
    <x v="31"/>
    <n v="0"/>
    <n v="-336.91"/>
    <s v="C: ASCENDAS27 P: Matching"/>
    <d v="2025-07-09T00:00:00"/>
    <s v="USD"/>
    <d v="2025-10-01T00:00:00"/>
    <n v="108"/>
    <s v="31/10/2025"/>
    <n v="271"/>
    <s v="IN89"/>
  </r>
  <r>
    <x v="0"/>
    <n v="256779416454"/>
    <x v="31"/>
    <n v="0"/>
    <n v="-653.17999999999995"/>
    <s v="C: ASCENDAS27 P: Matching"/>
    <d v="2025-07-09T00:00:00"/>
    <s v="USD"/>
    <d v="2025-10-01T00:00:00"/>
    <n v="110"/>
    <s v="31/10/2025"/>
    <n v="271"/>
    <s v="IN89"/>
  </r>
  <r>
    <x v="0"/>
    <n v="256779416096"/>
    <x v="31"/>
    <n v="0"/>
    <n v="-11738.6"/>
    <s v="C: ASCENDAS27 P: Matching"/>
    <d v="2025-07-09T00:00:00"/>
    <s v="USD"/>
    <d v="2025-10-01T00:00:00"/>
    <n v="112"/>
    <s v="31/10/2025"/>
    <n v="271"/>
    <s v="IN89"/>
  </r>
  <r>
    <x v="0"/>
    <n v="256779416137"/>
    <x v="31"/>
    <n v="-55"/>
    <n v="-4764.7"/>
    <s v="14 DAYS OLDER; NO EXCHANGE RATE PROVIDEDE"/>
    <d v="2025-07-09T00:00:00"/>
    <s v="USD"/>
    <d v="2025-11-01T00:00:00"/>
    <n v="1"/>
    <s v="24/11/2025"/>
    <n v="210"/>
    <s v="IN89"/>
  </r>
  <r>
    <x v="0"/>
    <n v="256779416137"/>
    <x v="31"/>
    <n v="1.1000000000000001"/>
    <n v="95.29"/>
    <s v="C: ASCENDAS27 P: A023951 I 256779416137"/>
    <d v="2025-07-09T00:00:00"/>
    <s v="USD"/>
    <d v="2025-11-01T00:00:00"/>
    <n v="1"/>
    <s v="24/11/2025"/>
    <n v="230"/>
    <s v="IN89"/>
  </r>
  <r>
    <x v="0"/>
    <n v="256779416255"/>
    <x v="31"/>
    <n v="0"/>
    <n v="-346.59"/>
    <s v="C: ASCENDAS27 P: Matching"/>
    <d v="2025-07-09T00:00:00"/>
    <s v="USD"/>
    <d v="2025-11-01T00:00:00"/>
    <n v="32"/>
    <s v="30/11/2025"/>
    <n v="271"/>
    <s v="IN89"/>
  </r>
  <r>
    <x v="0"/>
    <n v="256779416169"/>
    <x v="31"/>
    <n v="0"/>
    <n v="-227.23"/>
    <s v="C: ASCENDAS27 P: Matching"/>
    <d v="2025-07-09T00:00:00"/>
    <s v="USD"/>
    <d v="2025-11-01T00:00:00"/>
    <n v="34"/>
    <s v="30/11/2025"/>
    <n v="271"/>
    <s v="IN89"/>
  </r>
  <r>
    <x v="0"/>
    <n v="256779416442"/>
    <x v="31"/>
    <n v="0"/>
    <n v="-931.02"/>
    <s v="C: ASCENDAS27 P: Matching"/>
    <d v="2025-07-09T00:00:00"/>
    <s v="USD"/>
    <d v="2025-11-01T00:00:00"/>
    <n v="36"/>
    <s v="30/11/2025"/>
    <n v="271"/>
    <s v="IN89"/>
  </r>
  <r>
    <x v="0"/>
    <n v="256779416214"/>
    <x v="31"/>
    <n v="0"/>
    <n v="-187.45"/>
    <s v="C: ASCENDAS27 P: Matching"/>
    <d v="2025-07-09T00:00:00"/>
    <s v="USD"/>
    <d v="2025-11-01T00:00:00"/>
    <n v="38"/>
    <s v="30/11/2025"/>
    <n v="271"/>
    <s v="IN89"/>
  </r>
  <r>
    <x v="0"/>
    <n v="256779416454"/>
    <x v="31"/>
    <n v="0"/>
    <n v="-363.39"/>
    <s v="C: ASCENDAS27 P: Matching"/>
    <d v="2025-07-09T00:00:00"/>
    <s v="USD"/>
    <d v="2025-11-01T00:00:00"/>
    <n v="40"/>
    <s v="30/11/2025"/>
    <n v="271"/>
    <s v="IN89"/>
  </r>
  <r>
    <x v="0"/>
    <n v="256779416137"/>
    <x v="31"/>
    <n v="0"/>
    <n v="-136.03"/>
    <s v="C: ASCENDAS27 P: Matching"/>
    <d v="2025-07-09T00:00:00"/>
    <s v="USD"/>
    <d v="2025-11-01T00:00:00"/>
    <n v="50"/>
    <s v="30/11/2025"/>
    <n v="271"/>
    <s v="IN89"/>
  </r>
  <r>
    <x v="0"/>
    <n v="256779416255"/>
    <x v="31"/>
    <n v="0"/>
    <n v="-282.73"/>
    <s v="C: ASCENDAS27 P: Matching"/>
    <d v="2025-07-09T00:00:00"/>
    <s v="USD"/>
    <d v="2025-12-01T00:00:00"/>
    <n v="32"/>
    <s v="31/12/2025"/>
    <n v="271"/>
    <s v="IN89"/>
  </r>
  <r>
    <x v="0"/>
    <n v="256779416169"/>
    <x v="31"/>
    <n v="0"/>
    <n v="-185.36"/>
    <s v="C: ASCENDAS27 P: Matching"/>
    <d v="2025-07-09T00:00:00"/>
    <s v="USD"/>
    <d v="2025-12-01T00:00:00"/>
    <n v="34"/>
    <s v="31/12/2025"/>
    <n v="271"/>
    <s v="IN89"/>
  </r>
  <r>
    <x v="0"/>
    <n v="256779416442"/>
    <x v="31"/>
    <n v="0"/>
    <n v="-759.48"/>
    <s v="C: ASCENDAS27 P: Matching"/>
    <d v="2025-07-09T00:00:00"/>
    <s v="USD"/>
    <d v="2025-12-01T00:00:00"/>
    <n v="36"/>
    <s v="31/12/2025"/>
    <n v="271"/>
    <s v="IN89"/>
  </r>
  <r>
    <x v="0"/>
    <n v="256779416214"/>
    <x v="31"/>
    <n v="0"/>
    <n v="-152.9"/>
    <s v="C: ASCENDAS27 P: Matching"/>
    <d v="2025-07-09T00:00:00"/>
    <s v="USD"/>
    <d v="2025-12-01T00:00:00"/>
    <n v="38"/>
    <s v="31/12/2025"/>
    <n v="271"/>
    <s v="IN89"/>
  </r>
  <r>
    <x v="0"/>
    <n v="256779416454"/>
    <x v="31"/>
    <n v="0"/>
    <n v="-296.44"/>
    <s v="C: ASCENDAS27 P: Matching"/>
    <d v="2025-07-09T00:00:00"/>
    <s v="USD"/>
    <d v="2025-12-01T00:00:00"/>
    <n v="40"/>
    <s v="31/12/2025"/>
    <n v="271"/>
    <s v="IN89"/>
  </r>
  <r>
    <x v="0"/>
    <n v="256779416137"/>
    <x v="31"/>
    <n v="0"/>
    <n v="-39.67"/>
    <s v="C: ASCENDAS27 P: Matching"/>
    <d v="2025-07-09T00:00:00"/>
    <s v="USD"/>
    <d v="2025-12-01T00:00:00"/>
    <n v="48"/>
    <s v="31/12/2025"/>
    <n v="271"/>
    <s v="IN89"/>
  </r>
  <r>
    <x v="0"/>
    <n v="256779416255"/>
    <x v="31"/>
    <n v="0"/>
    <n v="-668.43"/>
    <s v="C: ASCENDAS27 P: Matching"/>
    <d v="2025-07-09T00:00:00"/>
    <s v="USD"/>
    <d v="2026-01-01T00:00:00"/>
    <n v="32"/>
    <s v="31/01/2026"/>
    <n v="271"/>
    <s v="IN89"/>
  </r>
  <r>
    <x v="0"/>
    <n v="256779416169"/>
    <x v="31"/>
    <n v="0"/>
    <n v="-438.24"/>
    <s v="C: ASCENDAS27 P: Matching"/>
    <d v="2025-07-09T00:00:00"/>
    <s v="USD"/>
    <d v="2026-01-01T00:00:00"/>
    <n v="34"/>
    <s v="31/01/2026"/>
    <n v="271"/>
    <s v="IN89"/>
  </r>
  <r>
    <x v="0"/>
    <n v="256779416442"/>
    <x v="31"/>
    <n v="0"/>
    <n v="-1795.56"/>
    <s v="C: ASCENDAS27 P: Matching"/>
    <d v="2025-07-09T00:00:00"/>
    <s v="USD"/>
    <d v="2026-01-01T00:00:00"/>
    <n v="36"/>
    <s v="31/01/2026"/>
    <n v="271"/>
    <s v="IN89"/>
  </r>
  <r>
    <x v="0"/>
    <n v="256779416214"/>
    <x v="31"/>
    <n v="0"/>
    <n v="-361.5"/>
    <s v="C: ASCENDAS27 P: Matching"/>
    <d v="2025-07-09T00:00:00"/>
    <s v="USD"/>
    <d v="2026-01-01T00:00:00"/>
    <n v="38"/>
    <s v="31/01/2026"/>
    <n v="271"/>
    <s v="IN89"/>
  </r>
  <r>
    <x v="0"/>
    <n v="256779416454"/>
    <x v="31"/>
    <n v="0"/>
    <n v="-700.83"/>
    <s v="C: ASCENDAS27 P: Matching"/>
    <d v="2025-07-09T00:00:00"/>
    <s v="USD"/>
    <d v="2026-01-01T00:00:00"/>
    <n v="40"/>
    <s v="31/01/2026"/>
    <n v="271"/>
    <s v="IN89"/>
  </r>
  <r>
    <x v="0"/>
    <n v="256779416137"/>
    <x v="31"/>
    <n v="0"/>
    <n v="-93.79"/>
    <s v="C: ASCENDAS27 P: Matching"/>
    <d v="2025-07-09T00:00:00"/>
    <s v="USD"/>
    <d v="2026-01-01T00:00:00"/>
    <n v="44"/>
    <s v="31/01/2026"/>
    <n v="271"/>
    <s v="IN89"/>
  </r>
  <r>
    <x v="0"/>
    <n v="256779418176"/>
    <x v="32"/>
    <n v="-639.04999999999995"/>
    <n v="-56657.85"/>
    <s v="USD CURRENCY"/>
    <d v="2025-06-11T00:00:00"/>
    <s v="USD"/>
    <d v="2026-01-01T00:00:00"/>
    <n v="1"/>
    <s v="27/01/2026"/>
    <n v="210"/>
    <s v="IN89"/>
  </r>
  <r>
    <x v="0"/>
    <n v="256779418176"/>
    <x v="32"/>
    <n v="12.78"/>
    <n v="1133.07"/>
    <s v="C: ASCENDAS27 P: A023951 I 256779418176"/>
    <d v="2025-06-11T00:00:00"/>
    <s v="USD"/>
    <d v="2026-01-01T00:00:00"/>
    <n v="1"/>
    <s v="27/01/2026"/>
    <n v="230"/>
    <s v="IN89"/>
  </r>
  <r>
    <x v="0"/>
    <n v="256779419983"/>
    <x v="33"/>
    <n v="-55.63"/>
    <n v="-4959.68"/>
    <s v="USD CURRENCY"/>
    <d v="2026-05-01T00:00:00"/>
    <s v="USD"/>
    <d v="2026-01-01T00:00:00"/>
    <n v="1"/>
    <s v="28/01/2026"/>
    <n v="210"/>
    <s v="IN89"/>
  </r>
  <r>
    <x v="0"/>
    <n v="256779419983"/>
    <x v="33"/>
    <n v="1.1100000000000001"/>
    <n v="98.96"/>
    <s v="C: ASCENDAS27 P: A023951 I 256779419983"/>
    <d v="2026-05-01T00:00:00"/>
    <s v="USD"/>
    <d v="2026-01-01T00:00:00"/>
    <n v="1"/>
    <s v="28/01/2026"/>
    <n v="230"/>
    <s v="IN89"/>
  </r>
  <r>
    <x v="0"/>
    <n v="256779419983"/>
    <x v="33"/>
    <n v="0"/>
    <n v="-134.99"/>
    <s v="C: ASCENDAS27 P: Matching"/>
    <d v="2026-05-01T00:00:00"/>
    <s v="USD"/>
    <d v="2026-01-01T00:00:00"/>
    <n v="98"/>
    <s v="31/01/2026"/>
    <n v="271"/>
    <s v="IN89"/>
  </r>
  <r>
    <x v="0"/>
    <n v="256779418006"/>
    <x v="34"/>
    <n v="-4667.07"/>
    <n v="-413780.08"/>
    <s v="USD CURRENCY"/>
    <d v="2025-05-11T00:00:00"/>
    <s v="USD"/>
    <d v="2026-01-01T00:00:00"/>
    <n v="1"/>
    <s v="27/01/2026"/>
    <n v="210"/>
    <s v="IN89"/>
  </r>
  <r>
    <x v="0"/>
    <n v="256779418006"/>
    <x v="34"/>
    <n v="93.34"/>
    <n v="8275.48"/>
    <s v="C: ASCENDAS27 P: A023951 I 256779418006"/>
    <d v="2025-05-11T00:00:00"/>
    <s v="USD"/>
    <d v="2026-01-01T00:00:00"/>
    <n v="1"/>
    <s v="27/01/2026"/>
    <n v="230"/>
    <s v="IN89"/>
  </r>
  <r>
    <x v="0"/>
    <n v="246779410904"/>
    <x v="35"/>
    <n v="-1665.82"/>
    <n v="-144997"/>
    <m/>
    <d v="2025-05-04T00:00:00"/>
    <s v="USD"/>
    <d v="2025-06-01T00:00:00"/>
    <n v="1"/>
    <d v="2025-12-06T00:00:00"/>
    <n v="210"/>
    <s v="IN89"/>
  </r>
  <r>
    <x v="0"/>
    <n v="246779410904"/>
    <x v="35"/>
    <n v="33.32"/>
    <n v="2900.25"/>
    <s v="C: ASCENDAS27 P: A023951 I 246779410904"/>
    <d v="2025-05-04T00:00:00"/>
    <s v="USD"/>
    <d v="2025-06-01T00:00:00"/>
    <n v="1"/>
    <d v="2025-12-06T00:00:00"/>
    <n v="230"/>
    <s v="IN89"/>
  </r>
  <r>
    <x v="0"/>
    <n v="246779410882"/>
    <x v="35"/>
    <n v="-2232.73"/>
    <n v="-194342.21"/>
    <m/>
    <d v="2025-05-04T00:00:00"/>
    <s v="USD"/>
    <d v="2025-06-01T00:00:00"/>
    <n v="1"/>
    <s v="30/06/2025"/>
    <n v="210"/>
    <s v="IN89"/>
  </r>
  <r>
    <x v="0"/>
    <n v="246779410882"/>
    <x v="35"/>
    <n v="44.65"/>
    <n v="3886.44"/>
    <s v="C: ASCENDAS27 P: A023951 I 246779410882"/>
    <d v="2025-05-04T00:00:00"/>
    <s v="USD"/>
    <d v="2025-06-01T00:00:00"/>
    <n v="1"/>
    <s v="30/06/2025"/>
    <n v="230"/>
    <s v="IN89"/>
  </r>
  <r>
    <x v="0"/>
    <n v="246779410882"/>
    <x v="35"/>
    <n v="0"/>
    <n v="2303.84"/>
    <s v="C: ASCENDAS27 P: Matching"/>
    <d v="2025-05-04T00:00:00"/>
    <s v="USD"/>
    <d v="2025-06-01T00:00:00"/>
    <n v="50"/>
    <s v="30/06/2025"/>
    <n v="271"/>
    <s v="IN89"/>
  </r>
  <r>
    <x v="0"/>
    <n v="256779419908"/>
    <x v="36"/>
    <n v="-375.94"/>
    <n v="-33516.85"/>
    <s v="USD CURRENCY"/>
    <d v="2026-04-01T00:00:00"/>
    <s v="USD"/>
    <d v="2026-01-01T00:00:00"/>
    <n v="1"/>
    <s v="28/01/2026"/>
    <n v="210"/>
    <s v="IN89"/>
  </r>
  <r>
    <x v="0"/>
    <n v="256779419808"/>
    <x v="36"/>
    <n v="-27.95"/>
    <n v="-2491.88"/>
    <m/>
    <d v="2026-04-01T00:00:00"/>
    <s v="USD"/>
    <d v="2026-01-01T00:00:00"/>
    <n v="1"/>
    <s v="28/01/2026"/>
    <n v="210"/>
    <s v="IN89"/>
  </r>
  <r>
    <x v="0"/>
    <n v="256779419908"/>
    <x v="36"/>
    <n v="7.52"/>
    <n v="670.44"/>
    <s v="C: ASCENDAS27 P: A023951 I 256779419908"/>
    <d v="2026-04-01T00:00:00"/>
    <s v="USD"/>
    <d v="2026-01-01T00:00:00"/>
    <n v="1"/>
    <s v="28/01/2026"/>
    <n v="230"/>
    <s v="IN89"/>
  </r>
  <r>
    <x v="0"/>
    <n v="256779419808"/>
    <x v="36"/>
    <n v="0.56000000000000005"/>
    <n v="49.93"/>
    <s v="C: ASCENDAS27 P: A023951 I 256779419808"/>
    <d v="2026-04-01T00:00:00"/>
    <s v="USD"/>
    <d v="2026-01-01T00:00:00"/>
    <n v="1"/>
    <s v="28/01/2026"/>
    <n v="230"/>
    <s v="IN89"/>
  </r>
  <r>
    <x v="0"/>
    <n v="256779419908"/>
    <x v="36"/>
    <n v="0"/>
    <n v="-912.18"/>
    <s v="C: ASCENDAS27 P: Matching"/>
    <d v="2026-04-01T00:00:00"/>
    <s v="USD"/>
    <d v="2026-01-01T00:00:00"/>
    <n v="76"/>
    <s v="31/01/2026"/>
    <n v="271"/>
    <s v="IN89"/>
  </r>
  <r>
    <x v="0"/>
    <n v="256779419808"/>
    <x v="36"/>
    <n v="0"/>
    <n v="-67.819999999999993"/>
    <s v="C: ASCENDAS27 P: Matching"/>
    <d v="2026-04-01T00:00:00"/>
    <s v="USD"/>
    <d v="2026-01-01T00:00:00"/>
    <n v="94"/>
    <s v="31/01/2026"/>
    <n v="271"/>
    <s v="IN89"/>
  </r>
  <r>
    <x v="0"/>
    <n v="256779419211"/>
    <x v="37"/>
    <n v="-28.18"/>
    <n v="-2486.96"/>
    <s v="USD CURRENCY"/>
    <d v="2025-05-12T00:00:00"/>
    <s v="USD"/>
    <d v="2025-12-01T00:00:00"/>
    <n v="1"/>
    <s v="15/12/2025"/>
    <n v="210"/>
    <s v="IN89"/>
  </r>
  <r>
    <x v="0"/>
    <n v="256779419211"/>
    <x v="37"/>
    <n v="0.56000000000000005"/>
    <n v="49.42"/>
    <s v="C: ASCENDAS27 P: A023951 I 256779419211"/>
    <d v="2025-05-12T00:00:00"/>
    <s v="USD"/>
    <d v="2025-12-01T00:00:00"/>
    <n v="1"/>
    <s v="15/12/2025"/>
    <n v="230"/>
    <s v="IN89"/>
  </r>
  <r>
    <x v="0"/>
    <n v="256779419165"/>
    <x v="37"/>
    <n v="-191.57"/>
    <n v="-16906.55"/>
    <s v="USD CURRENCY"/>
    <d v="2025-05-12T00:00:00"/>
    <s v="USD"/>
    <d v="2025-12-01T00:00:00"/>
    <n v="1"/>
    <s v="19/12/2025"/>
    <n v="210"/>
    <s v="IN89"/>
  </r>
  <r>
    <x v="0"/>
    <n v="256779419192"/>
    <x v="37"/>
    <n v="-171.87"/>
    <n v="-15167.97"/>
    <s v="USD CURRENCY"/>
    <d v="2025-05-12T00:00:00"/>
    <s v="USD"/>
    <d v="2025-12-01T00:00:00"/>
    <n v="1"/>
    <s v="19/12/2025"/>
    <n v="210"/>
    <s v="IN89"/>
  </r>
  <r>
    <x v="0"/>
    <n v="256779418777"/>
    <x v="37"/>
    <n v="-2272.64"/>
    <n v="-200566.32"/>
    <s v="USD CURRENCY"/>
    <d v="2025-05-12T00:00:00"/>
    <s v="USD"/>
    <d v="2025-12-01T00:00:00"/>
    <n v="1"/>
    <s v="19/12/2025"/>
    <n v="210"/>
    <s v="IN89"/>
  </r>
  <r>
    <x v="0"/>
    <n v="256779418779"/>
    <x v="37"/>
    <n v="-50"/>
    <n v="-4412.63"/>
    <s v="USD CURRENCY"/>
    <d v="2025-05-12T00:00:00"/>
    <s v="USD"/>
    <d v="2025-12-01T00:00:00"/>
    <n v="1"/>
    <s v="19/12/2025"/>
    <n v="210"/>
    <s v="IN89"/>
  </r>
  <r>
    <x v="0"/>
    <n v="256779419165"/>
    <x v="37"/>
    <n v="3.83"/>
    <n v="338.01"/>
    <s v="C: ASCENDAS27 P: A023951 I 256779419165"/>
    <d v="2025-05-12T00:00:00"/>
    <s v="USD"/>
    <d v="2025-12-01T00:00:00"/>
    <n v="1"/>
    <s v="19/12/2025"/>
    <n v="230"/>
    <s v="IN89"/>
  </r>
  <r>
    <x v="0"/>
    <n v="256779419192"/>
    <x v="37"/>
    <n v="3.44"/>
    <n v="303.58999999999997"/>
    <s v="C: ASCENDAS27 P: A023951 I 256779419192"/>
    <d v="2025-05-12T00:00:00"/>
    <s v="USD"/>
    <d v="2025-12-01T00:00:00"/>
    <n v="1"/>
    <s v="19/12/2025"/>
    <n v="230"/>
    <s v="IN89"/>
  </r>
  <r>
    <x v="0"/>
    <n v="256779418777"/>
    <x v="37"/>
    <n v="45.45"/>
    <n v="4011.08"/>
    <s v="C: ASCENDAS27 P: A023951 I 256779418777"/>
    <d v="2025-05-12T00:00:00"/>
    <s v="USD"/>
    <d v="2025-12-01T00:00:00"/>
    <n v="1"/>
    <s v="19/12/2025"/>
    <n v="230"/>
    <s v="IN89"/>
  </r>
  <r>
    <x v="0"/>
    <n v="256779418779"/>
    <x v="37"/>
    <n v="1"/>
    <n v="88.25"/>
    <s v="C: ASCENDAS27 P: A023951 I 256779418779"/>
    <d v="2025-05-12T00:00:00"/>
    <s v="USD"/>
    <d v="2025-12-01T00:00:00"/>
    <n v="1"/>
    <s v="19/12/2025"/>
    <n v="230"/>
    <s v="IN89"/>
  </r>
  <r>
    <x v="0"/>
    <n v="256779419165"/>
    <x v="37"/>
    <n v="0"/>
    <n v="-307.55"/>
    <s v="C: ASCENDAS27 P: Matching"/>
    <d v="2025-05-12T00:00:00"/>
    <s v="USD"/>
    <d v="2025-12-01T00:00:00"/>
    <n v="68"/>
    <s v="31/12/2025"/>
    <n v="271"/>
    <s v="IN89"/>
  </r>
  <r>
    <x v="0"/>
    <n v="256779419192"/>
    <x v="37"/>
    <n v="0"/>
    <n v="-275.92"/>
    <s v="C: ASCENDAS27 P: Matching"/>
    <d v="2025-05-12T00:00:00"/>
    <s v="USD"/>
    <d v="2025-12-01T00:00:00"/>
    <n v="70"/>
    <s v="31/12/2025"/>
    <n v="271"/>
    <s v="IN89"/>
  </r>
  <r>
    <x v="0"/>
    <n v="256779418777"/>
    <x v="37"/>
    <n v="0"/>
    <n v="-3648.54"/>
    <s v="C: ASCENDAS27 P: Matching"/>
    <d v="2025-05-12T00:00:00"/>
    <s v="USD"/>
    <d v="2025-12-01T00:00:00"/>
    <n v="72"/>
    <s v="31/12/2025"/>
    <n v="271"/>
    <s v="IN89"/>
  </r>
  <r>
    <x v="0"/>
    <n v="256779418779"/>
    <x v="37"/>
    <n v="0"/>
    <n v="-80.27"/>
    <s v="C: ASCENDAS27 P: Matching"/>
    <d v="2025-05-12T00:00:00"/>
    <s v="USD"/>
    <d v="2025-12-01T00:00:00"/>
    <n v="74"/>
    <s v="31/12/2025"/>
    <n v="271"/>
    <s v="IN89"/>
  </r>
  <r>
    <x v="0"/>
    <n v="256779418778"/>
    <x v="37"/>
    <n v="-90.91"/>
    <n v="-8023.04"/>
    <s v="USD CURRENCY"/>
    <d v="2025-05-12T00:00:00"/>
    <s v="USD"/>
    <d v="2026-01-01T00:00:00"/>
    <n v="1"/>
    <s v="27/01/2026"/>
    <n v="210"/>
    <s v="IN89"/>
  </r>
  <r>
    <x v="0"/>
    <n v="256779418892"/>
    <x v="37"/>
    <n v="-1683.97"/>
    <n v="-148614.68"/>
    <s v="USD CURRENCY"/>
    <d v="2025-05-12T00:00:00"/>
    <s v="USD"/>
    <d v="2026-01-01T00:00:00"/>
    <n v="1"/>
    <s v="27/01/2026"/>
    <n v="210"/>
    <s v="IN89"/>
  </r>
  <r>
    <x v="0"/>
    <n v="256779418778"/>
    <x v="37"/>
    <n v="1.82"/>
    <n v="160.62"/>
    <s v="C: ASCENDAS27 P: A023951 I 256779418778"/>
    <d v="2025-05-12T00:00:00"/>
    <s v="USD"/>
    <d v="2026-01-01T00:00:00"/>
    <n v="1"/>
    <s v="27/01/2026"/>
    <n v="230"/>
    <s v="IN89"/>
  </r>
  <r>
    <x v="0"/>
    <n v="256779418892"/>
    <x v="37"/>
    <n v="33.68"/>
    <n v="2972.35"/>
    <s v="C: ASCENDAS27 P: A023951 I 256779418892"/>
    <d v="2025-05-12T00:00:00"/>
    <s v="USD"/>
    <d v="2026-01-01T00:00:00"/>
    <n v="1"/>
    <s v="27/01/2026"/>
    <n v="230"/>
    <s v="IN89"/>
  </r>
  <r>
    <x v="0"/>
    <n v="256779418904"/>
    <x v="37"/>
    <n v="-1273.92"/>
    <n v="-112426.72"/>
    <s v="USD CURRENCY"/>
    <d v="2025-05-12T00:00:00"/>
    <s v="USD"/>
    <d v="2026-01-01T00:00:00"/>
    <n v="1"/>
    <s v="27/01/2026"/>
    <n v="210"/>
    <s v="IN89"/>
  </r>
  <r>
    <x v="0"/>
    <n v="256779418904"/>
    <x v="37"/>
    <n v="25.48"/>
    <n v="2248.6799999999998"/>
    <s v="C: ASCENDAS27 P: A023951 I 256779418904"/>
    <d v="2025-05-12T00:00:00"/>
    <s v="USD"/>
    <d v="2026-01-01T00:00:00"/>
    <n v="1"/>
    <s v="27/01/2026"/>
    <n v="230"/>
    <s v="IN89"/>
  </r>
  <r>
    <x v="0"/>
    <n v="256779418778"/>
    <x v="37"/>
    <n v="0"/>
    <n v="-300.95999999999998"/>
    <s v="C: ASCENDAS27 P: Matching"/>
    <d v="2025-05-12T00:00:00"/>
    <s v="USD"/>
    <d v="2026-01-01T00:00:00"/>
    <n v="56"/>
    <s v="31/01/2026"/>
    <n v="271"/>
    <s v="IN89"/>
  </r>
  <r>
    <x v="0"/>
    <n v="256779417971"/>
    <x v="38"/>
    <n v="-94.81"/>
    <n v="-8405.81"/>
    <s v="USD CURRENCY"/>
    <d v="2025-04-11T00:00:00"/>
    <s v="USD"/>
    <d v="2025-12-01T00:00:00"/>
    <n v="1"/>
    <s v="14/12/2025"/>
    <n v="210"/>
    <s v="IN89"/>
  </r>
  <r>
    <x v="0"/>
    <n v="256779417971"/>
    <x v="38"/>
    <n v="1.9"/>
    <n v="168.45"/>
    <s v="C: ASCENDAS27 P: A023951 I 256779417971"/>
    <d v="2025-04-11T00:00:00"/>
    <s v="USD"/>
    <d v="2025-12-01T00:00:00"/>
    <n v="1"/>
    <s v="14/12/2025"/>
    <n v="230"/>
    <s v="IN89"/>
  </r>
  <r>
    <x v="0"/>
    <n v="256779417875"/>
    <x v="38"/>
    <n v="-2267.81"/>
    <n v="-201062.89"/>
    <s v="USD CURRENCY"/>
    <d v="2025-04-11T00:00:00"/>
    <s v="USD"/>
    <d v="2025-12-01T00:00:00"/>
    <n v="1"/>
    <s v="15/12/2025"/>
    <n v="210"/>
    <s v="IN89"/>
  </r>
  <r>
    <x v="0"/>
    <n v="256779417876"/>
    <x v="38"/>
    <n v="-90.71"/>
    <n v="-8042.3"/>
    <s v="USD CURRENCY"/>
    <d v="2025-04-11T00:00:00"/>
    <s v="USD"/>
    <d v="2025-12-01T00:00:00"/>
    <n v="1"/>
    <s v="15/12/2025"/>
    <n v="210"/>
    <s v="IN89"/>
  </r>
  <r>
    <x v="0"/>
    <n v="256779417877"/>
    <x v="38"/>
    <n v="-49.89"/>
    <n v="-4423.22"/>
    <s v="USD CURRENCY"/>
    <d v="2025-04-11T00:00:00"/>
    <s v="USD"/>
    <d v="2025-12-01T00:00:00"/>
    <n v="1"/>
    <s v="15/12/2025"/>
    <n v="210"/>
    <s v="IN89"/>
  </r>
  <r>
    <x v="0"/>
    <n v="256779418391"/>
    <x v="38"/>
    <n v="-38.51"/>
    <n v="-3414.28"/>
    <s v="USD CURRENCY"/>
    <d v="2025-04-11T00:00:00"/>
    <s v="USD"/>
    <d v="2025-12-01T00:00:00"/>
    <n v="1"/>
    <s v="15/12/2025"/>
    <n v="210"/>
    <s v="IN89"/>
  </r>
  <r>
    <x v="0"/>
    <n v="256779417931"/>
    <x v="38"/>
    <n v="-288.83999999999997"/>
    <n v="-25608.41"/>
    <s v="USD CURRENCY"/>
    <d v="2025-04-11T00:00:00"/>
    <s v="USD"/>
    <d v="2025-12-01T00:00:00"/>
    <n v="1"/>
    <s v="15/12/2025"/>
    <n v="210"/>
    <s v="IN89"/>
  </r>
  <r>
    <x v="0"/>
    <n v="256779417875"/>
    <x v="38"/>
    <n v="45.36"/>
    <n v="4021.59"/>
    <s v="C: ASCENDAS27 P: A023951 I 256779417875"/>
    <d v="2025-04-11T00:00:00"/>
    <s v="USD"/>
    <d v="2025-12-01T00:00:00"/>
    <n v="1"/>
    <s v="15/12/2025"/>
    <n v="230"/>
    <s v="IN89"/>
  </r>
  <r>
    <x v="0"/>
    <n v="256779417876"/>
    <x v="38"/>
    <n v="1.81"/>
    <n v="160.47"/>
    <s v="C: ASCENDAS27 P: A023951 I 256779417876"/>
    <d v="2025-04-11T00:00:00"/>
    <s v="USD"/>
    <d v="2025-12-01T00:00:00"/>
    <n v="1"/>
    <s v="15/12/2025"/>
    <n v="230"/>
    <s v="IN89"/>
  </r>
  <r>
    <x v="0"/>
    <n v="256779417931"/>
    <x v="38"/>
    <n v="5.78"/>
    <n v="512.45000000000005"/>
    <s v="C: ASCENDAS27 P: A023951 I 256779417931"/>
    <d v="2025-04-11T00:00:00"/>
    <s v="USD"/>
    <d v="2025-12-01T00:00:00"/>
    <n v="1"/>
    <s v="15/12/2025"/>
    <n v="230"/>
    <s v="IN89"/>
  </r>
  <r>
    <x v="0"/>
    <n v="256779418391"/>
    <x v="38"/>
    <n v="0.77"/>
    <n v="68.27"/>
    <s v="C: ASCENDAS27 P: A023951 I 256779418391"/>
    <d v="2025-04-11T00:00:00"/>
    <s v="USD"/>
    <d v="2025-12-01T00:00:00"/>
    <n v="1"/>
    <s v="15/12/2025"/>
    <n v="230"/>
    <s v="IN89"/>
  </r>
  <r>
    <x v="0"/>
    <n v="256779417877"/>
    <x v="38"/>
    <n v="1"/>
    <n v="88.66"/>
    <s v="C: ASCENDAS27 P: A023951 I 256779417877"/>
    <d v="2025-04-11T00:00:00"/>
    <s v="USD"/>
    <d v="2025-12-01T00:00:00"/>
    <n v="1"/>
    <s v="15/12/2025"/>
    <n v="230"/>
    <s v="IN89"/>
  </r>
  <r>
    <x v="0"/>
    <n v="256779417892"/>
    <x v="38"/>
    <n v="-58.45"/>
    <n v="-5182.1499999999996"/>
    <s v="USD CURRENCY"/>
    <d v="2025-04-11T00:00:00"/>
    <s v="USD"/>
    <d v="2025-12-01T00:00:00"/>
    <n v="1"/>
    <s v="15/12/2025"/>
    <n v="210"/>
    <s v="IN89"/>
  </r>
  <r>
    <x v="0"/>
    <n v="256779417892"/>
    <x v="38"/>
    <n v="1.17"/>
    <n v="103.73"/>
    <s v="C: ASCENDAS27 P: A023951 I 256779417892"/>
    <d v="2025-04-11T00:00:00"/>
    <s v="USD"/>
    <d v="2025-12-01T00:00:00"/>
    <n v="1"/>
    <s v="15/12/2025"/>
    <n v="230"/>
    <s v="IN89"/>
  </r>
  <r>
    <x v="0"/>
    <n v="256779417875"/>
    <x v="38"/>
    <n v="0"/>
    <n v="-2736.39"/>
    <s v="C: ASCENDAS27 P: Matching"/>
    <d v="2025-04-11T00:00:00"/>
    <s v="USD"/>
    <d v="2025-12-01T00:00:00"/>
    <n v="60"/>
    <s v="31/12/2025"/>
    <n v="271"/>
    <s v="IN89"/>
  </r>
  <r>
    <x v="0"/>
    <n v="256779417876"/>
    <x v="38"/>
    <n v="0"/>
    <n v="-109.46"/>
    <s v="C: ASCENDAS27 P: Matching"/>
    <d v="2025-04-11T00:00:00"/>
    <s v="USD"/>
    <d v="2025-12-01T00:00:00"/>
    <n v="62"/>
    <s v="31/12/2025"/>
    <n v="271"/>
    <s v="IN89"/>
  </r>
  <r>
    <x v="0"/>
    <n v="256779417877"/>
    <x v="38"/>
    <n v="0"/>
    <n v="-60.2"/>
    <s v="C: ASCENDAS27 P: Matching"/>
    <d v="2025-04-11T00:00:00"/>
    <s v="USD"/>
    <d v="2025-12-01T00:00:00"/>
    <n v="64"/>
    <s v="31/12/2025"/>
    <n v="271"/>
    <s v="IN89"/>
  </r>
  <r>
    <x v="0"/>
    <n v="256779419971"/>
    <x v="39"/>
    <n v="-90.19"/>
    <n v="-8040.87"/>
    <s v="USD CUURENCY"/>
    <d v="2026-03-01T00:00:00"/>
    <s v="USD"/>
    <d v="2026-01-01T00:00:00"/>
    <n v="1"/>
    <s v="28/01/2026"/>
    <n v="210"/>
    <s v="IN89"/>
  </r>
  <r>
    <x v="0"/>
    <n v="256779419972"/>
    <x v="39"/>
    <n v="-49.61"/>
    <n v="-4422.97"/>
    <m/>
    <d v="2026-03-01T00:00:00"/>
    <s v="USD"/>
    <d v="2026-01-01T00:00:00"/>
    <n v="1"/>
    <s v="28/01/2026"/>
    <n v="210"/>
    <s v="IN89"/>
  </r>
  <r>
    <x v="0"/>
    <n v="256779419970"/>
    <x v="39"/>
    <n v="-2254.79"/>
    <n v="-201025.31"/>
    <s v="USD CURRENCY"/>
    <d v="2026-03-01T00:00:00"/>
    <s v="USD"/>
    <d v="2026-01-01T00:00:00"/>
    <n v="1"/>
    <s v="28/01/2026"/>
    <n v="210"/>
    <s v="IN89"/>
  </r>
  <r>
    <x v="0"/>
    <n v="256779419972"/>
    <x v="39"/>
    <n v="0.99"/>
    <n v="88.26"/>
    <s v="C: ASCENDAS27 P: A023951 I 256779419972"/>
    <d v="2026-03-01T00:00:00"/>
    <s v="USD"/>
    <d v="2026-01-01T00:00:00"/>
    <n v="1"/>
    <s v="28/01/2026"/>
    <n v="230"/>
    <s v="IN89"/>
  </r>
  <r>
    <x v="0"/>
    <n v="256779419970"/>
    <x v="39"/>
    <n v="45.1"/>
    <n v="4020.88"/>
    <s v="C: ASCENDAS27 P: A023951 I 256779419970"/>
    <d v="2026-03-01T00:00:00"/>
    <s v="USD"/>
    <d v="2026-01-01T00:00:00"/>
    <n v="1"/>
    <s v="28/01/2026"/>
    <n v="230"/>
    <s v="IN89"/>
  </r>
  <r>
    <x v="0"/>
    <n v="256779419971"/>
    <x v="39"/>
    <n v="1.8"/>
    <n v="160.47999999999999"/>
    <s v="C: ASCENDAS27 P: A023951 I 256779419971"/>
    <d v="2026-03-01T00:00:00"/>
    <s v="USD"/>
    <d v="2026-01-01T00:00:00"/>
    <n v="1"/>
    <s v="28/01/2026"/>
    <n v="230"/>
    <s v="IN89"/>
  </r>
  <r>
    <x v="0"/>
    <n v="256779419971"/>
    <x v="39"/>
    <n v="0"/>
    <n v="-218.85"/>
    <s v="C: ASCENDAS27 P: Matching"/>
    <d v="2026-03-01T00:00:00"/>
    <s v="USD"/>
    <d v="2026-01-01T00:00:00"/>
    <n v="86"/>
    <s v="31/01/2026"/>
    <n v="271"/>
    <s v="IN89"/>
  </r>
  <r>
    <x v="0"/>
    <n v="256779419972"/>
    <x v="39"/>
    <n v="0"/>
    <n v="-120.38"/>
    <s v="C: ASCENDAS27 P: Matching"/>
    <d v="2026-03-01T00:00:00"/>
    <s v="USD"/>
    <d v="2026-01-01T00:00:00"/>
    <n v="96"/>
    <s v="31/01/2026"/>
    <n v="271"/>
    <s v="IN89"/>
  </r>
  <r>
    <x v="0"/>
    <n v="256779419970"/>
    <x v="39"/>
    <n v="0"/>
    <n v="-5471.08"/>
    <s v="C: ASCENDAS27 P: Matching"/>
    <d v="2026-03-01T00:00:00"/>
    <s v="USD"/>
    <d v="2026-01-01T00:00:00"/>
    <n v="100"/>
    <s v="31/01/2026"/>
    <n v="271"/>
    <s v="IN89"/>
  </r>
  <r>
    <x v="0"/>
    <n v="256779416909"/>
    <x v="40"/>
    <n v="-989.55"/>
    <n v="-87733"/>
    <m/>
    <d v="2025-03-11T00:00:00"/>
    <s v="USD"/>
    <d v="2025-12-01T00:00:00"/>
    <n v="1"/>
    <s v="31/12/2025"/>
    <n v="210"/>
    <s v="IN89"/>
  </r>
  <r>
    <x v="0"/>
    <n v="256779416909"/>
    <x v="40"/>
    <n v="19.79"/>
    <n v="1754.57"/>
    <s v="C: ASCENDAS27 P: A023951 I 256779416909"/>
    <d v="2025-03-11T00:00:00"/>
    <s v="USD"/>
    <d v="2025-12-01T00:00:00"/>
    <n v="1"/>
    <s v="31/12/2025"/>
    <n v="230"/>
    <s v="IN89"/>
  </r>
  <r>
    <x v="0"/>
    <n v="256779416909"/>
    <x v="40"/>
    <n v="0"/>
    <n v="-1194.02"/>
    <s v="C: ASCENDAS27 P: Matching"/>
    <d v="2025-03-11T00:00:00"/>
    <s v="USD"/>
    <d v="2025-12-01T00:00:00"/>
    <n v="84"/>
    <s v="31/12/2025"/>
    <n v="271"/>
    <s v="IN89"/>
  </r>
  <r>
    <x v="0"/>
    <n v="256779417134"/>
    <x v="41"/>
    <n v="-536.44000000000005"/>
    <n v="-47020"/>
    <m/>
    <d v="2025-04-10T00:00:00"/>
    <s v="USD"/>
    <d v="2025-10-01T00:00:00"/>
    <n v="1"/>
    <s v="29/10/2025"/>
    <n v="210"/>
    <s v="IN89"/>
  </r>
  <r>
    <x v="0"/>
    <n v="256779417200"/>
    <x v="41"/>
    <n v="-100.74"/>
    <n v="-8830.0499999999993"/>
    <m/>
    <d v="2025-04-10T00:00:00"/>
    <s v="USD"/>
    <d v="2025-10-01T00:00:00"/>
    <n v="1"/>
    <s v="29/10/2025"/>
    <n v="210"/>
    <s v="IN89"/>
  </r>
  <r>
    <x v="0"/>
    <n v="256779417238"/>
    <x v="41"/>
    <n v="-608.78"/>
    <n v="-53360.74"/>
    <m/>
    <d v="2025-04-10T00:00:00"/>
    <s v="USD"/>
    <d v="2025-10-01T00:00:00"/>
    <n v="1"/>
    <s v="29/10/2025"/>
    <n v="210"/>
    <s v="IN89"/>
  </r>
  <r>
    <x v="0"/>
    <n v="256779417137"/>
    <x v="41"/>
    <n v="-409.79"/>
    <n v="-35918.879999999997"/>
    <m/>
    <d v="2025-04-10T00:00:00"/>
    <s v="USD"/>
    <d v="2025-10-01T00:00:00"/>
    <n v="1"/>
    <s v="29/10/2025"/>
    <n v="210"/>
    <s v="IN89"/>
  </r>
  <r>
    <x v="0"/>
    <n v="256779417137"/>
    <x v="41"/>
    <n v="8.1999999999999993"/>
    <n v="718.75"/>
    <s v="C: ASCENDAS27 P: A023951 I 256779417137"/>
    <d v="2025-04-10T00:00:00"/>
    <s v="USD"/>
    <d v="2025-10-01T00:00:00"/>
    <n v="1"/>
    <s v="29/10/2025"/>
    <n v="230"/>
    <s v="IN89"/>
  </r>
  <r>
    <x v="0"/>
    <n v="256779417134"/>
    <x v="41"/>
    <n v="10.73"/>
    <n v="940.51"/>
    <s v="C: ASCENDAS27 P: A023951 I 256779417134"/>
    <d v="2025-04-10T00:00:00"/>
    <s v="USD"/>
    <d v="2025-10-01T00:00:00"/>
    <n v="1"/>
    <s v="29/10/2025"/>
    <n v="230"/>
    <s v="IN89"/>
  </r>
  <r>
    <x v="0"/>
    <n v="256779417200"/>
    <x v="41"/>
    <n v="2.0099999999999998"/>
    <n v="176.18"/>
    <s v="C: ASCENDAS27 P: A023951 I 256779417200"/>
    <d v="2025-04-10T00:00:00"/>
    <s v="USD"/>
    <d v="2025-10-01T00:00:00"/>
    <n v="1"/>
    <s v="29/10/2025"/>
    <n v="230"/>
    <s v="IN89"/>
  </r>
  <r>
    <x v="0"/>
    <n v="256779417238"/>
    <x v="41"/>
    <n v="12.18"/>
    <n v="1067.5999999999999"/>
    <s v="C: ASCENDAS27 P: A023951 I 256779417238"/>
    <d v="2025-04-10T00:00:00"/>
    <s v="USD"/>
    <d v="2025-10-01T00:00:00"/>
    <n v="1"/>
    <s v="29/10/2025"/>
    <n v="230"/>
    <s v="IN89"/>
  </r>
  <r>
    <x v="0"/>
    <n v="256779417134"/>
    <x v="41"/>
    <n v="0"/>
    <n v="-315.77"/>
    <s v="C: ASCENDAS27 P: Matching"/>
    <d v="2025-04-10T00:00:00"/>
    <s v="USD"/>
    <d v="2025-10-01T00:00:00"/>
    <n v="54"/>
    <s v="31/10/2025"/>
    <n v="271"/>
    <s v="IN89"/>
  </r>
  <r>
    <x v="0"/>
    <n v="256779417200"/>
    <x v="41"/>
    <n v="0"/>
    <n v="-59.31"/>
    <s v="C: ASCENDAS27 P: Matching"/>
    <d v="2025-04-10T00:00:00"/>
    <s v="USD"/>
    <d v="2025-10-01T00:00:00"/>
    <n v="56"/>
    <s v="31/10/2025"/>
    <n v="271"/>
    <s v="IN89"/>
  </r>
  <r>
    <x v="0"/>
    <n v="256779417238"/>
    <x v="41"/>
    <n v="0"/>
    <n v="-358.34"/>
    <s v="C: ASCENDAS27 P: Matching"/>
    <d v="2025-04-10T00:00:00"/>
    <s v="USD"/>
    <d v="2025-10-01T00:00:00"/>
    <n v="58"/>
    <s v="31/10/2025"/>
    <n v="271"/>
    <s v="IN89"/>
  </r>
  <r>
    <x v="0"/>
    <n v="256779417137"/>
    <x v="41"/>
    <n v="0"/>
    <n v="-241.22"/>
    <s v="C: ASCENDAS27 P: Matching"/>
    <d v="2025-04-10T00:00:00"/>
    <s v="USD"/>
    <d v="2025-10-01T00:00:00"/>
    <n v="62"/>
    <s v="31/10/2025"/>
    <n v="271"/>
    <s v="IN89"/>
  </r>
  <r>
    <x v="0"/>
    <n v="256779417349"/>
    <x v="41"/>
    <n v="-91.41"/>
    <n v="-8012.26"/>
    <m/>
    <d v="2025-04-10T00:00:00"/>
    <s v="USD"/>
    <d v="2025-11-01T00:00:00"/>
    <n v="1"/>
    <d v="2025-11-11T00:00:00"/>
    <n v="210"/>
    <s v="IN89"/>
  </r>
  <r>
    <x v="0"/>
    <n v="256779417158"/>
    <x v="41"/>
    <n v="-110"/>
    <n v="-9641.7099999999991"/>
    <m/>
    <d v="2025-04-10T00:00:00"/>
    <s v="USD"/>
    <d v="2025-11-01T00:00:00"/>
    <n v="1"/>
    <d v="2025-11-11T00:00:00"/>
    <n v="210"/>
    <s v="IN89"/>
  </r>
  <r>
    <x v="0"/>
    <n v="256779417350"/>
    <x v="41"/>
    <n v="-50"/>
    <n v="-4382.6000000000004"/>
    <m/>
    <d v="2025-04-10T00:00:00"/>
    <s v="USD"/>
    <d v="2025-11-01T00:00:00"/>
    <n v="1"/>
    <d v="2025-11-11T00:00:00"/>
    <n v="210"/>
    <s v="IN89"/>
  </r>
  <r>
    <x v="0"/>
    <n v="256779417257"/>
    <x v="41"/>
    <n v="-22.77"/>
    <n v="-1995.83"/>
    <m/>
    <d v="2025-04-10T00:00:00"/>
    <s v="USD"/>
    <d v="2025-11-01T00:00:00"/>
    <n v="1"/>
    <d v="2025-11-11T00:00:00"/>
    <n v="210"/>
    <s v="IN89"/>
  </r>
  <r>
    <x v="0"/>
    <n v="256779417348"/>
    <x v="41"/>
    <n v="-2285.34"/>
    <n v="-200314.44"/>
    <m/>
    <d v="2025-04-10T00:00:00"/>
    <s v="USD"/>
    <d v="2025-11-01T00:00:00"/>
    <n v="1"/>
    <d v="2025-11-11T00:00:00"/>
    <n v="210"/>
    <s v="IN89"/>
  </r>
  <r>
    <x v="0"/>
    <n v="256779417257"/>
    <x v="41"/>
    <n v="0.46"/>
    <n v="40.32"/>
    <s v="C: ASCENDAS27 P: A023951 I 256779417257"/>
    <d v="2025-04-10T00:00:00"/>
    <s v="USD"/>
    <d v="2025-11-01T00:00:00"/>
    <n v="1"/>
    <d v="2025-11-11T00:00:00"/>
    <n v="230"/>
    <s v="IN89"/>
  </r>
  <r>
    <x v="0"/>
    <n v="256779417350"/>
    <x v="41"/>
    <n v="1"/>
    <n v="87.65"/>
    <s v="C: ASCENDAS27 P: A023951 I 256779417350"/>
    <d v="2025-04-10T00:00:00"/>
    <s v="USD"/>
    <d v="2025-11-01T00:00:00"/>
    <n v="1"/>
    <d v="2025-11-11T00:00:00"/>
    <n v="230"/>
    <s v="IN89"/>
  </r>
  <r>
    <x v="0"/>
    <n v="256779417349"/>
    <x v="41"/>
    <n v="1.83"/>
    <n v="160.4"/>
    <s v="C: ASCENDAS27 P: A023951 I 256779417349"/>
    <d v="2025-04-10T00:00:00"/>
    <s v="USD"/>
    <d v="2025-11-01T00:00:00"/>
    <n v="1"/>
    <d v="2025-11-11T00:00:00"/>
    <n v="230"/>
    <s v="IN89"/>
  </r>
  <r>
    <x v="0"/>
    <n v="256779417348"/>
    <x v="41"/>
    <n v="45.71"/>
    <n v="4006.57"/>
    <s v="C: ASCENDAS27 P: A023951 I 256779417348"/>
    <d v="2025-04-10T00:00:00"/>
    <s v="USD"/>
    <d v="2025-11-01T00:00:00"/>
    <n v="1"/>
    <d v="2025-11-11T00:00:00"/>
    <n v="230"/>
    <s v="IN89"/>
  </r>
  <r>
    <x v="0"/>
    <n v="256779417158"/>
    <x v="41"/>
    <n v="2.2000000000000002"/>
    <n v="192.83"/>
    <s v="C: ASCENDAS27 P: A023951 I 256779417158"/>
    <d v="2025-04-10T00:00:00"/>
    <s v="USD"/>
    <d v="2025-11-01T00:00:00"/>
    <n v="1"/>
    <d v="2025-11-11T00:00:00"/>
    <n v="230"/>
    <s v="IN89"/>
  </r>
  <r>
    <x v="0"/>
    <n v="256779417349"/>
    <x v="41"/>
    <n v="0"/>
    <n v="-134.63"/>
    <s v="C: ASCENDAS27 P: Matching"/>
    <d v="2025-04-10T00:00:00"/>
    <s v="USD"/>
    <d v="2025-11-01T00:00:00"/>
    <n v="42"/>
    <s v="30/11/2025"/>
    <n v="271"/>
    <s v="IN89"/>
  </r>
  <r>
    <x v="0"/>
    <n v="256779417350"/>
    <x v="41"/>
    <n v="0"/>
    <n v="-73.63"/>
    <s v="C: ASCENDAS27 P: Matching"/>
    <d v="2025-04-10T00:00:00"/>
    <s v="USD"/>
    <d v="2025-11-01T00:00:00"/>
    <n v="44"/>
    <s v="30/11/2025"/>
    <n v="271"/>
    <s v="IN89"/>
  </r>
  <r>
    <x v="0"/>
    <n v="256779417348"/>
    <x v="41"/>
    <n v="0"/>
    <n v="-3365.85"/>
    <s v="C: ASCENDAS27 P: Matching"/>
    <d v="2025-04-10T00:00:00"/>
    <s v="USD"/>
    <d v="2025-11-01T00:00:00"/>
    <n v="46"/>
    <s v="30/11/2025"/>
    <n v="271"/>
    <s v="IN89"/>
  </r>
  <r>
    <x v="0"/>
    <n v="256779417317"/>
    <x v="41"/>
    <n v="-170.85"/>
    <n v="-14975.33"/>
    <m/>
    <d v="2025-04-10T00:00:00"/>
    <s v="USD"/>
    <d v="2025-12-01T00:00:00"/>
    <n v="1"/>
    <s v="15/12/2025"/>
    <n v="210"/>
    <s v="IN89"/>
  </r>
  <r>
    <x v="0"/>
    <n v="256779417317"/>
    <x v="41"/>
    <n v="3.42"/>
    <n v="299.77"/>
    <s v="C: ASCENDAS27 P: A023951 I 256779417317"/>
    <d v="2025-04-10T00:00:00"/>
    <s v="USD"/>
    <d v="2025-12-01T00:00:00"/>
    <n v="1"/>
    <s v="15/12/2025"/>
    <n v="230"/>
    <s v="IN89"/>
  </r>
  <r>
    <x v="0"/>
    <n v="256779417280"/>
    <x v="41"/>
    <n v="-249.98"/>
    <n v="-21911.23"/>
    <m/>
    <d v="2025-04-10T00:00:00"/>
    <s v="USD"/>
    <d v="2025-12-01T00:00:00"/>
    <n v="1"/>
    <s v="15/12/2025"/>
    <n v="210"/>
    <s v="IN89"/>
  </r>
  <r>
    <x v="0"/>
    <n v="256779417280"/>
    <x v="41"/>
    <n v="5"/>
    <n v="438.26"/>
    <s v="C: ASCENDAS27 P: A023951 I 256779417280"/>
    <d v="2025-04-10T00:00:00"/>
    <s v="USD"/>
    <d v="2025-12-01T00:00:00"/>
    <n v="1"/>
    <s v="15/12/2025"/>
    <n v="230"/>
    <s v="IN89"/>
  </r>
  <r>
    <x v="0"/>
    <n v="256779417349"/>
    <x v="41"/>
    <n v="0"/>
    <n v="-65.92"/>
    <s v="C: ASCENDAS27 P: Matching"/>
    <d v="2025-04-10T00:00:00"/>
    <s v="USD"/>
    <d v="2025-12-01T00:00:00"/>
    <n v="42"/>
    <s v="31/12/2025"/>
    <n v="271"/>
    <s v="IN89"/>
  </r>
  <r>
    <x v="0"/>
    <n v="256779417350"/>
    <x v="41"/>
    <n v="0"/>
    <n v="-36.07"/>
    <s v="C: ASCENDAS27 P: Matching"/>
    <d v="2025-04-10T00:00:00"/>
    <s v="USD"/>
    <d v="2025-12-01T00:00:00"/>
    <n v="44"/>
    <s v="31/12/2025"/>
    <n v="271"/>
    <s v="IN89"/>
  </r>
  <r>
    <x v="0"/>
    <n v="256779417348"/>
    <x v="41"/>
    <n v="0"/>
    <n v="-1648.3"/>
    <s v="C: ASCENDAS27 P: Matching"/>
    <d v="2025-04-10T00:00:00"/>
    <s v="USD"/>
    <d v="2025-12-01T00:00:00"/>
    <n v="46"/>
    <s v="31/12/2025"/>
    <n v="271"/>
    <s v="IN89"/>
  </r>
  <r>
    <x v="0"/>
    <n v="256779417350"/>
    <x v="41"/>
    <n v="0"/>
    <n v="-85.26"/>
    <s v="C: ASCENDAS27 P: Matching"/>
    <d v="2025-04-10T00:00:00"/>
    <s v="USD"/>
    <d v="2026-01-01T00:00:00"/>
    <n v="42"/>
    <s v="31/01/2026"/>
    <n v="271"/>
    <s v="IN89"/>
  </r>
  <r>
    <x v="0"/>
    <n v="256779415209"/>
    <x v="42"/>
    <n v="-63.26"/>
    <n v="-5596.61"/>
    <m/>
    <d v="2025-03-08T00:00:00"/>
    <s v="USD"/>
    <d v="2025-09-01T00:00:00"/>
    <n v="1"/>
    <s v="30/09/2025"/>
    <n v="210"/>
    <s v="IN89"/>
  </r>
  <r>
    <x v="0"/>
    <n v="256779415270"/>
    <x v="42"/>
    <n v="-420.86"/>
    <n v="-37233.480000000003"/>
    <m/>
    <d v="2025-03-08T00:00:00"/>
    <s v="USD"/>
    <d v="2025-09-01T00:00:00"/>
    <n v="1"/>
    <s v="30/09/2025"/>
    <n v="210"/>
    <s v="IN89"/>
  </r>
  <r>
    <x v="0"/>
    <n v="256779415208"/>
    <x v="42"/>
    <n v="-183.43"/>
    <n v="-16228.05"/>
    <m/>
    <d v="2025-03-08T00:00:00"/>
    <s v="USD"/>
    <d v="2025-09-01T00:00:00"/>
    <n v="1"/>
    <s v="30/09/2025"/>
    <n v="210"/>
    <s v="IN89"/>
  </r>
  <r>
    <x v="0"/>
    <n v="256779415210"/>
    <x v="42"/>
    <n v="-9629.6299999999992"/>
    <n v="-851933.37"/>
    <m/>
    <d v="2025-03-08T00:00:00"/>
    <s v="USD"/>
    <d v="2025-09-01T00:00:00"/>
    <n v="1"/>
    <s v="30/09/2025"/>
    <n v="210"/>
    <s v="IN89"/>
  </r>
  <r>
    <x v="0"/>
    <n v="256779415270"/>
    <x v="42"/>
    <n v="8.42"/>
    <n v="744.92"/>
    <s v="C: ASCENDAS27 P: A023951 I 256779415270"/>
    <d v="2025-03-08T00:00:00"/>
    <s v="USD"/>
    <d v="2025-09-01T00:00:00"/>
    <n v="1"/>
    <s v="30/09/2025"/>
    <n v="230"/>
    <s v="IN89"/>
  </r>
  <r>
    <x v="0"/>
    <n v="256779415209"/>
    <x v="42"/>
    <n v="1.27"/>
    <n v="112.36"/>
    <s v="C: ASCENDAS27 P: A023951 I 256779415209"/>
    <d v="2025-03-08T00:00:00"/>
    <s v="USD"/>
    <d v="2025-09-01T00:00:00"/>
    <n v="1"/>
    <s v="30/09/2025"/>
    <n v="230"/>
    <s v="IN89"/>
  </r>
  <r>
    <x v="0"/>
    <n v="256779415208"/>
    <x v="42"/>
    <n v="3.67"/>
    <n v="324.68"/>
    <s v="C: ASCENDAS27 P: A023951 I 256779415208"/>
    <d v="2025-03-08T00:00:00"/>
    <s v="USD"/>
    <d v="2025-09-01T00:00:00"/>
    <n v="1"/>
    <s v="30/09/2025"/>
    <n v="230"/>
    <s v="IN89"/>
  </r>
  <r>
    <x v="0"/>
    <n v="256779415210"/>
    <x v="42"/>
    <n v="192.59"/>
    <n v="17038.439999999999"/>
    <s v="C: ASCENDAS27 P: A023951 I 256779415210"/>
    <d v="2025-03-08T00:00:00"/>
    <s v="USD"/>
    <d v="2025-09-01T00:00:00"/>
    <n v="1"/>
    <s v="30/09/2025"/>
    <n v="230"/>
    <s v="IN89"/>
  </r>
  <r>
    <x v="0"/>
    <n v="256779415209"/>
    <x v="42"/>
    <n v="0"/>
    <n v="-11.75"/>
    <s v="C: ASCENDAS27 P: Matching"/>
    <d v="2025-03-08T00:00:00"/>
    <s v="USD"/>
    <d v="2025-09-01T00:00:00"/>
    <n v="16"/>
    <s v="30/09/2025"/>
    <n v="271"/>
    <s v="IN89"/>
  </r>
  <r>
    <x v="0"/>
    <n v="256779415270"/>
    <x v="42"/>
    <n v="0"/>
    <n v="-78.16"/>
    <s v="C: ASCENDAS27 P: Matching"/>
    <d v="2025-03-08T00:00:00"/>
    <s v="USD"/>
    <d v="2025-09-01T00:00:00"/>
    <n v="26"/>
    <s v="30/09/2025"/>
    <n v="271"/>
    <s v="IN89"/>
  </r>
  <r>
    <x v="0"/>
    <n v="256779415208"/>
    <x v="42"/>
    <n v="0"/>
    <n v="-34.06"/>
    <s v="C: ASCENDAS27 P: Matching"/>
    <d v="2025-03-08T00:00:00"/>
    <s v="USD"/>
    <d v="2025-09-01T00:00:00"/>
    <n v="104"/>
    <s v="30/09/2025"/>
    <n v="271"/>
    <s v="IN89"/>
  </r>
  <r>
    <x v="0"/>
    <n v="256779415210"/>
    <x v="42"/>
    <n v="0"/>
    <n v="-1788.28"/>
    <s v="C: ASCENDAS27 P: Matching"/>
    <d v="2025-03-08T00:00:00"/>
    <s v="USD"/>
    <d v="2025-09-01T00:00:00"/>
    <n v="112"/>
    <s v="30/09/2025"/>
    <n v="271"/>
    <s v="IN89"/>
  </r>
  <r>
    <x v="0"/>
    <n v="256779415012"/>
    <x v="42"/>
    <n v="-184"/>
    <n v="-15822.07"/>
    <m/>
    <d v="2025-03-08T00:00:00"/>
    <s v="USD"/>
    <d v="2025-10-01T00:00:00"/>
    <n v="1"/>
    <s v="29/10/2025"/>
    <n v="210"/>
    <s v="IN89"/>
  </r>
  <r>
    <x v="0"/>
    <n v="256779415261"/>
    <x v="42"/>
    <n v="-292.26"/>
    <n v="-25131.29"/>
    <m/>
    <d v="2025-03-08T00:00:00"/>
    <s v="USD"/>
    <d v="2025-10-01T00:00:00"/>
    <n v="1"/>
    <s v="29/10/2025"/>
    <n v="210"/>
    <s v="IN89"/>
  </r>
  <r>
    <x v="0"/>
    <n v="256779415012"/>
    <x v="42"/>
    <n v="3.68"/>
    <n v="316.44"/>
    <s v="C: ASCENDAS27 P: A023951 I 256779415012"/>
    <d v="2025-03-08T00:00:00"/>
    <s v="USD"/>
    <d v="2025-10-01T00:00:00"/>
    <n v="1"/>
    <s v="29/10/2025"/>
    <n v="230"/>
    <s v="IN89"/>
  </r>
  <r>
    <x v="0"/>
    <n v="256779415261"/>
    <x v="42"/>
    <n v="5.85"/>
    <n v="503.04"/>
    <s v="C: ASCENDAS27 P: A023951 I 256779415261"/>
    <d v="2025-03-08T00:00:00"/>
    <s v="USD"/>
    <d v="2025-10-01T00:00:00"/>
    <n v="1"/>
    <s v="29/10/2025"/>
    <n v="230"/>
    <s v="IN89"/>
  </r>
  <r>
    <x v="0"/>
    <n v="256779415012"/>
    <x v="42"/>
    <n v="0"/>
    <n v="-408.07"/>
    <s v="C: ASCENDAS27 P: Matching"/>
    <d v="2025-03-08T00:00:00"/>
    <s v="USD"/>
    <d v="2025-10-01T00:00:00"/>
    <n v="60"/>
    <s v="31/10/2025"/>
    <n v="271"/>
    <s v="IN89"/>
  </r>
  <r>
    <x v="0"/>
    <n v="256779415261"/>
    <x v="42"/>
    <n v="0"/>
    <n v="-648.16999999999996"/>
    <s v="C: ASCENDAS27 P: Matching"/>
    <d v="2025-03-08T00:00:00"/>
    <s v="USD"/>
    <d v="2025-10-01T00:00:00"/>
    <n v="78"/>
    <s v="31/10/2025"/>
    <n v="271"/>
    <s v="IN89"/>
  </r>
  <r>
    <x v="0"/>
    <n v="256779414859"/>
    <x v="42"/>
    <n v="-318.47000000000003"/>
    <n v="-27385.08"/>
    <m/>
    <d v="2025-03-08T00:00:00"/>
    <s v="USD"/>
    <d v="2025-11-01T00:00:00"/>
    <n v="1"/>
    <d v="2025-11-11T00:00:00"/>
    <n v="210"/>
    <s v="IN89"/>
  </r>
  <r>
    <x v="0"/>
    <n v="256779414859"/>
    <x v="42"/>
    <n v="6.37"/>
    <n v="547.75"/>
    <s v="C: ASCENDAS27 P: A023951 I 256779414859"/>
    <d v="2025-03-08T00:00:00"/>
    <s v="USD"/>
    <d v="2025-11-01T00:00:00"/>
    <n v="1"/>
    <d v="2025-11-11T00:00:00"/>
    <n v="230"/>
    <s v="IN89"/>
  </r>
  <r>
    <x v="0"/>
    <n v="256779415012"/>
    <x v="42"/>
    <n v="0"/>
    <n v="-162.69"/>
    <s v="C: ASCENDAS27 P: Matching"/>
    <d v="2025-03-08T00:00:00"/>
    <s v="USD"/>
    <d v="2025-11-01T00:00:00"/>
    <n v="28"/>
    <s v="30/11/2025"/>
    <n v="271"/>
    <s v="IN89"/>
  </r>
  <r>
    <x v="0"/>
    <n v="256779415261"/>
    <x v="42"/>
    <n v="0"/>
    <n v="-258.39999999999998"/>
    <s v="C: ASCENDAS27 P: Matching"/>
    <d v="2025-03-08T00:00:00"/>
    <s v="USD"/>
    <d v="2025-11-01T00:00:00"/>
    <n v="30"/>
    <s v="30/11/2025"/>
    <n v="271"/>
    <s v="IN89"/>
  </r>
  <r>
    <x v="0"/>
    <n v="256779415012"/>
    <x v="42"/>
    <n v="0"/>
    <n v="-132.71"/>
    <s v="C: ASCENDAS27 P: Matching"/>
    <d v="2025-03-08T00:00:00"/>
    <s v="USD"/>
    <d v="2025-12-01T00:00:00"/>
    <n v="28"/>
    <s v="31/12/2025"/>
    <n v="271"/>
    <s v="IN89"/>
  </r>
  <r>
    <x v="0"/>
    <n v="256779415261"/>
    <x v="42"/>
    <n v="0"/>
    <n v="-210.79"/>
    <s v="C: ASCENDAS27 P: Matching"/>
    <d v="2025-03-08T00:00:00"/>
    <s v="USD"/>
    <d v="2025-12-01T00:00:00"/>
    <n v="30"/>
    <s v="31/12/2025"/>
    <n v="271"/>
    <s v="IN89"/>
  </r>
  <r>
    <x v="0"/>
    <n v="256779414918"/>
    <x v="42"/>
    <n v="-51.16"/>
    <n v="-4399.22"/>
    <m/>
    <d v="2025-03-08T00:00:00"/>
    <s v="USD"/>
    <d v="2026-01-01T00:00:00"/>
    <n v="1"/>
    <s v="27/01/2026"/>
    <n v="210"/>
    <s v="IN89"/>
  </r>
  <r>
    <x v="0"/>
    <n v="256779414917"/>
    <x v="42"/>
    <n v="-93.02"/>
    <n v="-7998.74"/>
    <s v="GSTIN NOT FOUND"/>
    <d v="2025-03-08T00:00:00"/>
    <s v="USD"/>
    <d v="2026-01-01T00:00:00"/>
    <n v="1"/>
    <s v="27/01/2026"/>
    <n v="210"/>
    <s v="IN89"/>
  </r>
  <r>
    <x v="0"/>
    <n v="256779414917"/>
    <x v="42"/>
    <n v="1.86"/>
    <n v="159.94"/>
    <s v="C: ASCENDAS27 P: A023951 I 256779414917"/>
    <d v="2025-03-08T00:00:00"/>
    <s v="USD"/>
    <d v="2026-01-01T00:00:00"/>
    <n v="1"/>
    <s v="27/01/2026"/>
    <n v="230"/>
    <s v="IN89"/>
  </r>
  <r>
    <x v="0"/>
    <n v="256779414918"/>
    <x v="42"/>
    <n v="1.02"/>
    <n v="87.71"/>
    <s v="C: ASCENDAS27 P: A023951 I 256779414918"/>
    <d v="2025-03-08T00:00:00"/>
    <s v="USD"/>
    <d v="2026-01-01T00:00:00"/>
    <n v="1"/>
    <s v="27/01/2026"/>
    <n v="230"/>
    <s v="IN89"/>
  </r>
  <r>
    <x v="0"/>
    <n v="256779414916"/>
    <x v="42"/>
    <n v="-2325.56"/>
    <n v="-199973.77"/>
    <s v="GSTIN NOT FOUND"/>
    <d v="2025-03-08T00:00:00"/>
    <s v="USD"/>
    <d v="2026-01-01T00:00:00"/>
    <n v="1"/>
    <s v="27/01/2026"/>
    <n v="210"/>
    <s v="IN89"/>
  </r>
  <r>
    <x v="0"/>
    <n v="256779414916"/>
    <x v="42"/>
    <n v="46.51"/>
    <n v="3999.37"/>
    <s v="C: ASCENDAS27 P: A023951 I 256779414916"/>
    <d v="2025-03-08T00:00:00"/>
    <s v="USD"/>
    <d v="2026-01-01T00:00:00"/>
    <n v="1"/>
    <s v="27/01/2026"/>
    <n v="230"/>
    <s v="IN89"/>
  </r>
  <r>
    <x v="0"/>
    <n v="256779415012"/>
    <x v="42"/>
    <n v="0"/>
    <n v="-313.75"/>
    <s v="C: ASCENDAS27 P: Matching"/>
    <d v="2025-03-08T00:00:00"/>
    <s v="USD"/>
    <d v="2026-01-01T00:00:00"/>
    <n v="28"/>
    <s v="31/01/2026"/>
    <n v="271"/>
    <s v="IN89"/>
  </r>
  <r>
    <x v="0"/>
    <n v="256779415261"/>
    <x v="42"/>
    <n v="0"/>
    <n v="-498.35"/>
    <s v="C: ASCENDAS27 P: Matching"/>
    <d v="2025-03-08T00:00:00"/>
    <s v="USD"/>
    <d v="2026-01-01T00:00:00"/>
    <n v="30"/>
    <s v="31/01/2026"/>
    <n v="271"/>
    <s v="IN89"/>
  </r>
  <r>
    <x v="0"/>
    <n v="256779414918"/>
    <x v="42"/>
    <n v="0"/>
    <n v="-282.85000000000002"/>
    <s v="C: ASCENDAS27 P: Matching"/>
    <d v="2025-03-08T00:00:00"/>
    <s v="USD"/>
    <d v="2026-01-01T00:00:00"/>
    <n v="62"/>
    <s v="31/01/2026"/>
    <n v="271"/>
    <s v="IN89"/>
  </r>
  <r>
    <x v="0"/>
    <n v="256779414917"/>
    <x v="42"/>
    <n v="0"/>
    <n v="-514.26"/>
    <s v="C: ASCENDAS27 P: Matching"/>
    <d v="2025-03-08T00:00:00"/>
    <s v="USD"/>
    <d v="2026-01-01T00:00:00"/>
    <n v="64"/>
    <s v="31/01/2026"/>
    <n v="271"/>
    <s v="IN89"/>
  </r>
  <r>
    <x v="0"/>
    <n v="256779414916"/>
    <x v="42"/>
    <n v="0"/>
    <n v="-12856.62"/>
    <s v="C: ASCENDAS27 P: Matching"/>
    <d v="2025-03-08T00:00:00"/>
    <s v="USD"/>
    <d v="2026-01-01T00:00:00"/>
    <n v="68"/>
    <s v="31/01/2026"/>
    <n v="271"/>
    <s v="IN89"/>
  </r>
  <r>
    <x v="0"/>
    <n v="256779410818"/>
    <x v="43"/>
    <n v="0"/>
    <n v="-1231.96"/>
    <s v="NO EXCHANGE RATE"/>
    <d v="2025-04-05T00:00:00"/>
    <s v="INR"/>
    <d v="2025-06-01T00:00:00"/>
    <n v="1"/>
    <d v="2025-12-06T00:00:00"/>
    <n v="210"/>
    <s v="IN89"/>
  </r>
  <r>
    <x v="0"/>
    <n v="256779410818"/>
    <x v="43"/>
    <n v="0"/>
    <n v="25"/>
    <s v="C: ASCENDAS27 P: A023951 I 256779410818"/>
    <d v="2025-04-05T00:00:00"/>
    <s v="INR"/>
    <d v="2025-06-01T00:00:00"/>
    <n v="1"/>
    <d v="2025-12-06T00:00:00"/>
    <n v="230"/>
    <s v="IN89"/>
  </r>
  <r>
    <x v="0"/>
    <n v="256779410801"/>
    <x v="43"/>
    <n v="-2829.48"/>
    <n v="-242562.74"/>
    <m/>
    <d v="2025-04-05T00:00:00"/>
    <s v="USD"/>
    <d v="2025-06-01T00:00:00"/>
    <n v="1"/>
    <s v="30/06/2025"/>
    <n v="210"/>
    <s v="IN89"/>
  </r>
  <r>
    <x v="0"/>
    <n v="256779410801"/>
    <x v="43"/>
    <n v="56.59"/>
    <n v="4851.29"/>
    <s v="C: ASCENDAS27 P: A023951 I 256779410801"/>
    <d v="2025-04-05T00:00:00"/>
    <s v="USD"/>
    <d v="2025-06-01T00:00:00"/>
    <n v="1"/>
    <s v="30/06/2025"/>
    <n v="230"/>
    <s v="IN89"/>
  </r>
  <r>
    <x v="0"/>
    <n v="256779410801"/>
    <x v="43"/>
    <n v="0"/>
    <n v="-728"/>
    <s v="C: ASCENDAS27 P: Matching"/>
    <d v="2025-04-05T00:00:00"/>
    <s v="USD"/>
    <d v="2025-06-01T00:00:00"/>
    <n v="12"/>
    <s v="30/06/2025"/>
    <n v="271"/>
    <s v="IN89"/>
  </r>
  <r>
    <x v="0"/>
    <n v="246779410826"/>
    <x v="44"/>
    <n v="-3"/>
    <n v="-261.13"/>
    <m/>
    <d v="2025-03-04T00:00:00"/>
    <s v="USD"/>
    <d v="2025-06-01T00:00:00"/>
    <n v="1"/>
    <d v="2025-12-06T00:00:00"/>
    <n v="210"/>
    <s v="IN89"/>
  </r>
  <r>
    <x v="0"/>
    <n v="246779410826"/>
    <x v="44"/>
    <n v="0.06"/>
    <n v="5.22"/>
    <s v="C: ASCENDAS27 P: A023951 I 246779410826"/>
    <d v="2025-03-04T00:00:00"/>
    <s v="USD"/>
    <d v="2025-06-01T00:00:00"/>
    <n v="1"/>
    <d v="2025-12-06T00:00:00"/>
    <n v="230"/>
    <s v="IN89"/>
  </r>
  <r>
    <x v="0"/>
    <n v="246779410743"/>
    <x v="44"/>
    <n v="-3"/>
    <n v="-261.13"/>
    <m/>
    <d v="2025-03-04T00:00:00"/>
    <s v="USD"/>
    <d v="2025-06-01T00:00:00"/>
    <n v="1"/>
    <s v="30/06/2025"/>
    <n v="210"/>
    <s v="IN89"/>
  </r>
  <r>
    <x v="0"/>
    <n v="246779410743"/>
    <x v="44"/>
    <n v="0.06"/>
    <n v="5.22"/>
    <s v="C: ASCENDAS27 P: A023951 I 246779410743"/>
    <d v="2025-03-04T00:00:00"/>
    <s v="USD"/>
    <d v="2025-06-01T00:00:00"/>
    <n v="1"/>
    <s v="30/06/2025"/>
    <n v="230"/>
    <s v="IN89"/>
  </r>
  <r>
    <x v="0"/>
    <n v="246779410743"/>
    <x v="44"/>
    <n v="0"/>
    <n v="3.1"/>
    <s v="C: ASCENDAS27 P: Matching"/>
    <d v="2025-03-04T00:00:00"/>
    <s v="USD"/>
    <d v="2025-06-01T00:00:00"/>
    <n v="90"/>
    <s v="30/06/2025"/>
    <n v="271"/>
    <s v="IN89"/>
  </r>
  <r>
    <x v="0"/>
    <n v="246779410665"/>
    <x v="44"/>
    <n v="-3.54"/>
    <n v="-308.13"/>
    <s v="NO EXCHANGE RATE"/>
    <d v="2025-03-04T00:00:00"/>
    <s v="USD"/>
    <d v="2025-12-01T00:00:00"/>
    <n v="1"/>
    <s v="31/12/2025"/>
    <n v="210"/>
    <s v="IN89"/>
  </r>
  <r>
    <x v="0"/>
    <n v="246779410665"/>
    <x v="44"/>
    <n v="7.0000000000000007E-2"/>
    <n v="6.09"/>
    <s v="C: ASCENDAS27 P: A023951 I 246779410665"/>
    <d v="2025-03-04T00:00:00"/>
    <s v="USD"/>
    <d v="2025-12-01T00:00:00"/>
    <n v="1"/>
    <s v="31/12/2025"/>
    <n v="230"/>
    <s v="IN89"/>
  </r>
  <r>
    <x v="0"/>
    <n v="246779410665"/>
    <x v="44"/>
    <n v="0"/>
    <n v="-9.8800000000000008"/>
    <s v="C: ASCENDAS27 P: Matching"/>
    <d v="2025-03-04T00:00:00"/>
    <s v="USD"/>
    <d v="2025-12-01T00:00:00"/>
    <n v="82"/>
    <s v="31/12/2025"/>
    <n v="271"/>
    <s v="IN89"/>
  </r>
  <r>
    <x v="0"/>
    <n v="246779410665"/>
    <x v="44"/>
    <n v="0"/>
    <n v="-6.04"/>
    <s v="C: ASCENDAS27 P: Matching"/>
    <d v="2025-03-04T00:00:00"/>
    <s v="USD"/>
    <d v="2026-01-01T00:00:00"/>
    <n v="52"/>
    <s v="31/01/2026"/>
    <n v="271"/>
    <s v="IN89"/>
  </r>
  <r>
    <x v="0"/>
    <n v="256779419122"/>
    <x v="45"/>
    <n v="-670.42"/>
    <n v="-59439.1"/>
    <s v="USD CURRENCY"/>
    <d v="2025-03-12T00:00:00"/>
    <s v="USD"/>
    <d v="2025-12-01T00:00:00"/>
    <n v="1"/>
    <s v="19/12/2025"/>
    <n v="210"/>
    <s v="IN89"/>
  </r>
  <r>
    <x v="0"/>
    <n v="256779419122"/>
    <x v="45"/>
    <n v="13.41"/>
    <n v="1188.92"/>
    <s v="C: ASCENDAS27 P: A023951 I 256779419122"/>
    <d v="2025-03-12T00:00:00"/>
    <s v="USD"/>
    <d v="2025-12-01T00:00:00"/>
    <n v="1"/>
    <s v="19/12/2025"/>
    <n v="230"/>
    <s v="IN89"/>
  </r>
  <r>
    <x v="0"/>
    <n v="256779419122"/>
    <x v="45"/>
    <n v="0"/>
    <n v="-808.94"/>
    <s v="C: ASCENDAS27 P: Matching"/>
    <d v="2025-03-12T00:00:00"/>
    <s v="USD"/>
    <d v="2025-12-01T00:00:00"/>
    <n v="76"/>
    <s v="31/12/2025"/>
    <n v="271"/>
    <s v="IN89"/>
  </r>
  <r>
    <x v="0"/>
    <n v="256779410262"/>
    <x v="46"/>
    <n v="0"/>
    <n v="-93.33"/>
    <s v="NO EXCHANGE RATE"/>
    <d v="2025-03-05T00:00:00"/>
    <s v="INR"/>
    <d v="2025-06-01T00:00:00"/>
    <n v="1"/>
    <d v="2025-12-06T00:00:00"/>
    <n v="210"/>
    <s v="IN89"/>
  </r>
  <r>
    <x v="0"/>
    <n v="256779410263"/>
    <x v="46"/>
    <n v="0"/>
    <n v="-51.33"/>
    <s v="NO EXCHANGE RATE"/>
    <d v="2025-03-05T00:00:00"/>
    <s v="INR"/>
    <d v="2025-06-01T00:00:00"/>
    <n v="1"/>
    <d v="2025-12-06T00:00:00"/>
    <n v="210"/>
    <s v="IN89"/>
  </r>
  <r>
    <x v="0"/>
    <n v="256779410262"/>
    <x v="46"/>
    <n v="0"/>
    <n v="2"/>
    <s v="C: ASCENDAS27 P: A023951 I 256779410262"/>
    <d v="2025-03-05T00:00:00"/>
    <s v="INR"/>
    <d v="2025-06-01T00:00:00"/>
    <n v="1"/>
    <d v="2025-12-06T00:00:00"/>
    <n v="230"/>
    <s v="IN89"/>
  </r>
  <r>
    <x v="0"/>
    <n v="256779410263"/>
    <x v="46"/>
    <n v="0"/>
    <n v="2"/>
    <s v="C: ASCENDAS27 P: A023951 I 256779410263"/>
    <d v="2025-03-05T00:00:00"/>
    <s v="INR"/>
    <d v="2025-06-01T00:00:00"/>
    <n v="1"/>
    <d v="2025-12-06T00:00:00"/>
    <n v="230"/>
    <s v="IN89"/>
  </r>
  <r>
    <x v="0"/>
    <n v="256779410196"/>
    <x v="46"/>
    <n v="-246.52"/>
    <n v="-21133.41"/>
    <m/>
    <d v="2025-03-05T00:00:00"/>
    <s v="USD"/>
    <d v="2025-06-01T00:00:00"/>
    <n v="1"/>
    <s v="30/06/2025"/>
    <n v="210"/>
    <s v="IN89"/>
  </r>
  <r>
    <x v="0"/>
    <n v="256779410303"/>
    <x v="46"/>
    <n v="-91.45"/>
    <n v="-7839.73"/>
    <m/>
    <d v="2025-03-05T00:00:00"/>
    <s v="USD"/>
    <d v="2025-06-01T00:00:00"/>
    <n v="1"/>
    <s v="30/06/2025"/>
    <n v="210"/>
    <s v="IN89"/>
  </r>
  <r>
    <x v="0"/>
    <n v="256779410304"/>
    <x v="46"/>
    <n v="-50.3"/>
    <n v="-4312.07"/>
    <m/>
    <d v="2025-03-05T00:00:00"/>
    <s v="USD"/>
    <d v="2025-06-01T00:00:00"/>
    <n v="1"/>
    <s v="30/06/2025"/>
    <n v="210"/>
    <s v="IN89"/>
  </r>
  <r>
    <x v="0"/>
    <n v="256779410196"/>
    <x v="46"/>
    <n v="4.93"/>
    <n v="422.63"/>
    <s v="C: ASCENDAS27 P: A023951 I 256779410196"/>
    <d v="2025-03-05T00:00:00"/>
    <s v="USD"/>
    <d v="2025-06-01T00:00:00"/>
    <n v="1"/>
    <s v="30/06/2025"/>
    <n v="230"/>
    <s v="IN89"/>
  </r>
  <r>
    <x v="0"/>
    <n v="256779410303"/>
    <x v="46"/>
    <n v="1.83"/>
    <n v="156.88"/>
    <s v="C: ASCENDAS27 P: A023951 I 256779410303"/>
    <d v="2025-03-05T00:00:00"/>
    <s v="USD"/>
    <d v="2025-06-01T00:00:00"/>
    <n v="1"/>
    <s v="30/06/2025"/>
    <n v="230"/>
    <s v="IN89"/>
  </r>
  <r>
    <x v="0"/>
    <n v="256779410304"/>
    <x v="46"/>
    <n v="1.01"/>
    <n v="86.58"/>
    <s v="C: ASCENDAS27 P: A023951 I 256779410304"/>
    <d v="2025-03-05T00:00:00"/>
    <s v="USD"/>
    <d v="2025-06-01T00:00:00"/>
    <n v="1"/>
    <s v="30/06/2025"/>
    <n v="230"/>
    <s v="IN89"/>
  </r>
  <r>
    <x v="0"/>
    <n v="256779410196"/>
    <x v="46"/>
    <n v="0"/>
    <n v="-63.43"/>
    <s v="C: ASCENDAS27 P: Matching"/>
    <d v="2025-03-05T00:00:00"/>
    <s v="USD"/>
    <d v="2025-06-01T00:00:00"/>
    <n v="34"/>
    <s v="30/06/2025"/>
    <n v="271"/>
    <s v="IN89"/>
  </r>
  <r>
    <x v="0"/>
    <n v="256779410303"/>
    <x v="46"/>
    <n v="0"/>
    <n v="-23.53"/>
    <s v="C: ASCENDAS27 P: Matching"/>
    <d v="2025-03-05T00:00:00"/>
    <s v="USD"/>
    <d v="2025-06-01T00:00:00"/>
    <n v="40"/>
    <s v="30/06/2025"/>
    <n v="271"/>
    <s v="IN89"/>
  </r>
  <r>
    <x v="0"/>
    <n v="256779410304"/>
    <x v="46"/>
    <n v="0"/>
    <n v="-12.93"/>
    <s v="C: ASCENDAS27 P: Matching"/>
    <d v="2025-03-05T00:00:00"/>
    <s v="USD"/>
    <d v="2025-06-01T00:00:00"/>
    <n v="60"/>
    <s v="30/06/2025"/>
    <n v="271"/>
    <s v="IN89"/>
  </r>
  <r>
    <x v="0"/>
    <n v="246779410436"/>
    <x v="47"/>
    <n v="-1332.41"/>
    <n v="-115976.18"/>
    <m/>
    <d v="2025-02-04T00:00:00"/>
    <s v="USD"/>
    <d v="2025-06-01T00:00:00"/>
    <n v="1"/>
    <d v="2025-12-06T00:00:00"/>
    <n v="210"/>
    <s v="IN89"/>
  </r>
  <r>
    <x v="0"/>
    <n v="246779410413"/>
    <x v="47"/>
    <n v="-694.12"/>
    <n v="-60417.88"/>
    <m/>
    <d v="2025-02-04T00:00:00"/>
    <s v="USD"/>
    <d v="2025-06-01T00:00:00"/>
    <n v="1"/>
    <d v="2025-12-06T00:00:00"/>
    <n v="210"/>
    <s v="IN89"/>
  </r>
  <r>
    <x v="0"/>
    <n v="246779410413"/>
    <x v="47"/>
    <n v="13.88"/>
    <n v="1208.1500000000001"/>
    <s v="C: ASCENDAS27 P: A023951 I 246779410413"/>
    <d v="2025-02-04T00:00:00"/>
    <s v="USD"/>
    <d v="2025-06-01T00:00:00"/>
    <n v="1"/>
    <d v="2025-12-06T00:00:00"/>
    <n v="230"/>
    <s v="IN89"/>
  </r>
  <r>
    <x v="0"/>
    <n v="246779410436"/>
    <x v="47"/>
    <n v="26.65"/>
    <n v="2319.6799999999998"/>
    <s v="C: ASCENDAS27 P: A023951 I 246779410436"/>
    <d v="2025-02-04T00:00:00"/>
    <s v="USD"/>
    <d v="2025-06-01T00:00:00"/>
    <n v="1"/>
    <d v="2025-12-06T00:00:00"/>
    <n v="230"/>
    <s v="IN89"/>
  </r>
  <r>
    <x v="0"/>
    <n v="246779410389"/>
    <x v="47"/>
    <n v="-542.08000000000004"/>
    <n v="-47183.95"/>
    <s v="NO EXCHANGE RATE"/>
    <d v="2025-02-04T00:00:00"/>
    <s v="USD"/>
    <d v="2025-06-01T00:00:00"/>
    <n v="1"/>
    <d v="2025-12-06T00:00:00"/>
    <n v="210"/>
    <s v="IN89"/>
  </r>
  <r>
    <x v="0"/>
    <n v="246779410389"/>
    <x v="47"/>
    <n v="10.84"/>
    <n v="943.54"/>
    <s v="C: ASCENDAS27 P: A023951 I 246779410389"/>
    <d v="2025-02-04T00:00:00"/>
    <s v="USD"/>
    <d v="2025-06-01T00:00:00"/>
    <n v="1"/>
    <d v="2025-12-06T00:00:00"/>
    <n v="230"/>
    <s v="IN89"/>
  </r>
  <r>
    <x v="0"/>
    <n v="256779413931"/>
    <x v="48"/>
    <n v="-395.23"/>
    <n v="-33619.879999999997"/>
    <m/>
    <d v="2025-02-07T00:00:00"/>
    <s v="USD"/>
    <d v="2025-11-01T00:00:00"/>
    <n v="1"/>
    <s v="30/11/2025"/>
    <n v="210"/>
    <s v="IN89"/>
  </r>
  <r>
    <x v="0"/>
    <n v="256779413972"/>
    <x v="48"/>
    <n v="0"/>
    <n v="-262"/>
    <m/>
    <d v="2025-02-07T00:00:00"/>
    <s v="INR"/>
    <d v="2025-11-01T00:00:00"/>
    <n v="1"/>
    <s v="30/11/2025"/>
    <n v="210"/>
    <s v="IN89"/>
  </r>
  <r>
    <x v="0"/>
    <n v="256779413972"/>
    <x v="48"/>
    <n v="0"/>
    <n v="6"/>
    <s v="C: ASCENDAS27 P: A023951 I 256779413972"/>
    <d v="2025-02-07T00:00:00"/>
    <s v="INR"/>
    <d v="2025-11-01T00:00:00"/>
    <n v="1"/>
    <s v="30/11/2025"/>
    <n v="230"/>
    <s v="IN89"/>
  </r>
  <r>
    <x v="0"/>
    <n v="256779413931"/>
    <x v="48"/>
    <n v="7.9"/>
    <n v="672.01"/>
    <s v="C: ASCENDAS27 P: A023951 I 256779413931"/>
    <d v="2025-02-07T00:00:00"/>
    <s v="USD"/>
    <d v="2025-11-01T00:00:00"/>
    <n v="1"/>
    <s v="30/11/2025"/>
    <n v="230"/>
    <s v="IN89"/>
  </r>
  <r>
    <x v="0"/>
    <n v="256779413931"/>
    <x v="48"/>
    <n v="0"/>
    <n v="-1584.45"/>
    <s v="C: ASCENDAS27 P: Matching"/>
    <d v="2025-02-07T00:00:00"/>
    <s v="USD"/>
    <d v="2025-11-01T00:00:00"/>
    <n v="62"/>
    <s v="30/11/2025"/>
    <n v="271"/>
    <s v="IN89"/>
  </r>
  <r>
    <x v="0"/>
    <n v="256779416028"/>
    <x v="49"/>
    <n v="-2324.77"/>
    <n v="-201396.93"/>
    <s v="USD CURRENCY"/>
    <s v="31/08/2025"/>
    <s v="USD"/>
    <d v="2025-12-01T00:00:00"/>
    <n v="1"/>
    <s v="15/12/2025"/>
    <n v="210"/>
    <s v="IN89"/>
  </r>
  <r>
    <x v="0"/>
    <n v="256779416029"/>
    <x v="49"/>
    <n v="-92.99"/>
    <n v="-8055.81"/>
    <s v="USD CURRENCY"/>
    <s v="31/08/2025"/>
    <s v="USD"/>
    <d v="2025-12-01T00:00:00"/>
    <n v="1"/>
    <s v="15/12/2025"/>
    <n v="210"/>
    <s v="IN89"/>
  </r>
  <r>
    <x v="0"/>
    <n v="256779416030"/>
    <x v="49"/>
    <n v="-51.14"/>
    <n v="-4430.3"/>
    <s v="USD CURRENCY"/>
    <s v="31/08/2025"/>
    <s v="USD"/>
    <d v="2025-12-01T00:00:00"/>
    <n v="1"/>
    <s v="15/12/2025"/>
    <n v="210"/>
    <s v="IN89"/>
  </r>
  <r>
    <x v="0"/>
    <n v="256779416030"/>
    <x v="49"/>
    <n v="1.02"/>
    <n v="88.36"/>
    <s v="C: ASCENDAS27 P: A023951 I 256779416030"/>
    <s v="31/08/2025"/>
    <s v="USD"/>
    <d v="2025-12-01T00:00:00"/>
    <n v="1"/>
    <s v="15/12/2025"/>
    <n v="230"/>
    <s v="IN89"/>
  </r>
  <r>
    <x v="0"/>
    <n v="256779416028"/>
    <x v="49"/>
    <n v="46.5"/>
    <n v="4028.34"/>
    <s v="C: ASCENDAS27 P: A023951 I 256779416028"/>
    <s v="31/08/2025"/>
    <s v="USD"/>
    <d v="2025-12-01T00:00:00"/>
    <n v="1"/>
    <s v="15/12/2025"/>
    <n v="230"/>
    <s v="IN89"/>
  </r>
  <r>
    <x v="0"/>
    <n v="256779416029"/>
    <x v="49"/>
    <n v="1.86"/>
    <n v="161.13"/>
    <s v="C: ASCENDAS27 P: A023951 I 256779416029"/>
    <s v="31/08/2025"/>
    <s v="USD"/>
    <d v="2025-12-01T00:00:00"/>
    <n v="1"/>
    <s v="15/12/2025"/>
    <n v="230"/>
    <s v="IN89"/>
  </r>
  <r>
    <x v="0"/>
    <n v="256779416028"/>
    <x v="49"/>
    <n v="0"/>
    <n v="-7426.8"/>
    <s v="C: ASCENDAS27 P: Matching"/>
    <s v="31/08/2025"/>
    <s v="USD"/>
    <d v="2025-12-01T00:00:00"/>
    <n v="54"/>
    <s v="31/12/2025"/>
    <n v="271"/>
    <s v="IN89"/>
  </r>
  <r>
    <x v="0"/>
    <n v="256779416029"/>
    <x v="49"/>
    <n v="0"/>
    <n v="-297.06"/>
    <s v="C: ASCENDAS27 P: Matching"/>
    <s v="31/08/2025"/>
    <s v="USD"/>
    <d v="2025-12-01T00:00:00"/>
    <n v="56"/>
    <s v="31/12/2025"/>
    <n v="271"/>
    <s v="IN89"/>
  </r>
  <r>
    <x v="0"/>
    <n v="256779416030"/>
    <x v="49"/>
    <n v="0"/>
    <n v="-163.38"/>
    <s v="C: ASCENDAS27 P: Matching"/>
    <s v="31/08/2025"/>
    <s v="USD"/>
    <d v="2025-12-01T00:00:00"/>
    <n v="58"/>
    <s v="31/12/2025"/>
    <n v="271"/>
    <s v="IN89"/>
  </r>
  <r>
    <x v="1"/>
    <n v="2439105"/>
    <x v="14"/>
    <n v="0"/>
    <n v="1760137.77"/>
    <s v="Outwards remit C-A023951 USD20175.95@87.24"/>
    <m/>
    <s v="INR"/>
    <d v="2025-06-01T00:00:00"/>
    <m/>
    <m/>
    <m/>
    <n v="52421432"/>
  </r>
  <r>
    <x v="2"/>
    <s v="246779411409_R"/>
    <x v="24"/>
    <n v="249.55"/>
    <n v="21721.43"/>
    <s v="NO EXCHANGE RATE"/>
    <m/>
    <s v="USD"/>
    <d v="2025-07-01T00:00:00"/>
    <m/>
    <m/>
    <m/>
    <n v="53826350"/>
  </r>
  <r>
    <x v="1"/>
    <n v="2512590"/>
    <x v="50"/>
    <n v="0"/>
    <n v="2396201.27"/>
    <s v="Outwards remit C-A023951 USD 27632.46@86.72"/>
    <m/>
    <s v="INR"/>
    <d v="2025-07-01T00:00:00"/>
    <m/>
    <m/>
    <m/>
    <n v="54915840"/>
  </r>
  <r>
    <x v="1"/>
    <n v="2513416"/>
    <x v="50"/>
    <n v="0"/>
    <n v="2396201.27"/>
    <s v="PAYMENT BATCH OF JUL'25"/>
    <m/>
    <s v="INR"/>
    <d v="2025-07-01T00:00:00"/>
    <m/>
    <m/>
    <m/>
    <n v="54947512"/>
  </r>
  <r>
    <x v="1"/>
    <n v="2516019"/>
    <x v="51"/>
    <n v="0"/>
    <n v="-2396201.27"/>
    <s v="PAYMENT BATCH OF JUL'25"/>
    <m/>
    <s v="INR"/>
    <d v="2025-07-01T00:00:00"/>
    <m/>
    <m/>
    <m/>
    <n v="54956542"/>
  </r>
  <r>
    <x v="2"/>
    <s v="246779411409_R"/>
    <x v="24"/>
    <n v="0"/>
    <n v="-2.0499999999999998"/>
    <s v="C: ASCENDAS27 P: Matching"/>
    <m/>
    <s v="USD"/>
    <d v="2025-07-01T00:00:00"/>
    <m/>
    <m/>
    <m/>
    <n v="54969548"/>
  </r>
  <r>
    <x v="1"/>
    <n v="2667796"/>
    <x v="52"/>
    <n v="0"/>
    <n v="1721315.82"/>
    <s v="Outwards remit C-A023951 USD19499.67@88.27"/>
    <m/>
    <s v="INR"/>
    <d v="2025-10-01T00:00:00"/>
    <m/>
    <m/>
    <m/>
    <n v="61574185"/>
  </r>
  <r>
    <x v="1"/>
    <n v="2717597"/>
    <x v="53"/>
    <n v="0"/>
    <n v="1899719.56"/>
    <s v="Outwards remit C-I001611 USD 21,525.94@88.25257138"/>
    <m/>
    <s v="INR"/>
    <d v="2025-11-01T00:00:00"/>
    <m/>
    <m/>
    <m/>
    <n v="63769663"/>
  </r>
  <r>
    <x v="1"/>
    <n v="2771552"/>
    <x v="54"/>
    <n v="0"/>
    <n v="715665.04"/>
    <s v="Outwards remit C-A023951 USD 8,027.22@89.154780497"/>
    <m/>
    <s v="INR"/>
    <d v="2025-12-01T00:00:00"/>
    <m/>
    <m/>
    <m/>
    <n v="66083232"/>
  </r>
  <r>
    <x v="2"/>
    <s v="256779417580_R"/>
    <x v="18"/>
    <n v="184.38"/>
    <n v="184.38"/>
    <m/>
    <m/>
    <s v="USD"/>
    <d v="2026-01-01T00:00:00"/>
    <m/>
    <m/>
    <m/>
    <n v="68208016"/>
  </r>
  <r>
    <x v="1"/>
    <n v="2829968"/>
    <x v="55"/>
    <n v="0"/>
    <n v="1869680.81"/>
    <s v="Outwards remit C-A023951 USD 20,799.48@1"/>
    <m/>
    <s v="INR"/>
    <d v="2026-01-01T00:00:00"/>
    <m/>
    <m/>
    <m/>
    <n v="68345876"/>
  </r>
  <r>
    <x v="3"/>
    <n v="2830735"/>
    <x v="56"/>
    <n v="0"/>
    <n v="-7756"/>
    <s v="Exchange rate diference for JUN'25  USD 20175.95"/>
    <m/>
    <s v="INR"/>
    <d v="2026-01-01T00:00:00"/>
    <m/>
    <m/>
    <m/>
    <n v="68369723"/>
  </r>
  <r>
    <x v="3"/>
    <n v="2830736"/>
    <x v="56"/>
    <n v="0"/>
    <n v="-15004"/>
    <s v="Exchange rate diference for JUL'25  USD 27632.46"/>
    <m/>
    <s v="INR"/>
    <d v="2026-01-01T00:00:00"/>
    <m/>
    <m/>
    <m/>
    <n v="68369723"/>
  </r>
  <r>
    <x v="1"/>
    <n v="2830737"/>
    <x v="56"/>
    <n v="0"/>
    <n v="8452"/>
    <s v="Exchange rate diference for OCT'25  USD 19499.67"/>
    <m/>
    <s v="INR"/>
    <d v="2026-01-01T00:00:00"/>
    <m/>
    <m/>
    <m/>
    <n v="68369723"/>
  </r>
  <r>
    <x v="3"/>
    <n v="2830738"/>
    <x v="56"/>
    <n v="0"/>
    <n v="-17437"/>
    <s v="Exchange rate diference for NOV'25  USD 21525.94"/>
    <m/>
    <s v="INR"/>
    <d v="2026-01-01T00:00:00"/>
    <m/>
    <m/>
    <m/>
    <n v="68369723"/>
  </r>
  <r>
    <x v="3"/>
    <n v="2830739"/>
    <x v="56"/>
    <n v="0"/>
    <n v="-5206"/>
    <s v="Exchange rate diference for DEC'25  USD 8027.22"/>
    <m/>
    <s v="INR"/>
    <d v="2026-01-01T00:00:00"/>
    <m/>
    <m/>
    <m/>
    <n v="68369723"/>
  </r>
  <r>
    <x v="2"/>
    <s v="256779417580_R"/>
    <x v="18"/>
    <n v="-3.69"/>
    <n v="-3.69"/>
    <s v="C: ASCENDAS27 P: A023951 C 256779"/>
    <m/>
    <s v="USD"/>
    <d v="2026-01-01T00:00:00"/>
    <m/>
    <m/>
    <m/>
    <n v="68389624"/>
  </r>
  <r>
    <x v="2"/>
    <s v="256779417580_R"/>
    <x v="18"/>
    <n v="0"/>
    <n v="16376.07"/>
    <s v="C: ASCENDAS27 P: Matching"/>
    <m/>
    <s v="USD"/>
    <d v="2026-01-01T00:00:00"/>
    <m/>
    <m/>
    <m/>
    <n v="68459189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6">
  <r>
    <s v="KUEHNE+NAGEL PVT. LTD."/>
    <n v="2025"/>
    <d v="2025-07-10T00:00:00"/>
    <x v="0"/>
    <x v="0"/>
    <n v="256779421326"/>
    <s v="USD"/>
    <n v="-70.8"/>
    <s v="INR"/>
    <n v="-6088.85"/>
    <s v="Credit note raised against INV 256779414309"/>
  </r>
  <r>
    <s v="KUEHNE+NAGEL PVT. LTD."/>
    <n v="2025"/>
    <d v="2025-07-10T00:00:00"/>
    <x v="0"/>
    <x v="0"/>
    <n v="256779421327"/>
    <s v="USD"/>
    <n v="-113.28"/>
    <s v="INR"/>
    <n v="-9742.16"/>
    <s v="Credit note raised against INV 256779414309"/>
  </r>
  <r>
    <s v="KUEHNE+NAGEL PVT. LTD."/>
    <n v="2025"/>
    <d v="2025-07-10T00:00:00"/>
    <x v="0"/>
    <x v="0"/>
    <n v="256779421328"/>
    <s v="USD"/>
    <n v="-242.75"/>
    <s v="INR"/>
    <n v="-20876.66"/>
    <s v="Credit note raised against INV 256779414309"/>
  </r>
  <r>
    <s v="KUEHNE+NAGEL PVT. LTD."/>
    <n v="2025"/>
    <d v="2025-09-04T00:00:00"/>
    <x v="1"/>
    <x v="1"/>
    <n v="256779416909"/>
    <s v="USD"/>
    <n v="989.55"/>
    <s v="INR"/>
    <n v="86599.81"/>
    <s v="CODC Inbound chgs - 16-31 Aug  25"/>
  </r>
  <r>
    <s v="KUEHNE+NAGEL PVT. LTD."/>
    <n v="2025"/>
    <d v="2025-09-04T00:00:00"/>
    <x v="1"/>
    <x v="1"/>
    <n v="256779417134"/>
    <s v="USD"/>
    <n v="536.44000000000005"/>
    <s v="INR"/>
    <n v="46946.19"/>
    <s v="VAS - 16-31 Aug 25"/>
  </r>
  <r>
    <s v="KUEHNE+NAGEL PVT. LTD."/>
    <n v="2025"/>
    <d v="2025-09-04T00:00:00"/>
    <x v="1"/>
    <x v="1"/>
    <n v="256779417137"/>
    <s v="USD"/>
    <n v="409.79"/>
    <s v="INR"/>
    <n v="35862.5"/>
    <s v="WEIGHMENT - 16-31 Aug 25"/>
  </r>
  <r>
    <s v="KUEHNE+NAGEL PVT. LTD."/>
    <n v="2025"/>
    <d v="2025-09-04T00:00:00"/>
    <x v="1"/>
    <x v="1"/>
    <n v="256779417158"/>
    <s v="USD"/>
    <n v="110"/>
    <s v="INR"/>
    <n v="9626.58"/>
    <s v="Intra 16-31 Aug 25"/>
  </r>
  <r>
    <s v="KUEHNE+NAGEL PVT. LTD."/>
    <n v="2025"/>
    <d v="2025-09-04T00:00:00"/>
    <x v="1"/>
    <x v="1"/>
    <n v="256779417200"/>
    <s v="USD"/>
    <n v="100.74"/>
    <s v="INR"/>
    <n v="8816.19"/>
    <s v="Empty Lolo Chgs - 01 - 31 AUG 25"/>
  </r>
  <r>
    <s v="KUEHNE+NAGEL PVT. LTD."/>
    <n v="2025"/>
    <d v="2025-09-04T00:00:00"/>
    <x v="1"/>
    <x v="1"/>
    <n v="256779417238"/>
    <s v="USD"/>
    <n v="608.78"/>
    <s v="INR"/>
    <n v="53276.97"/>
    <s v="PORT SSR Chgs Aug 25"/>
  </r>
  <r>
    <s v="KUEHNE+NAGEL PVT. LTD."/>
    <n v="2025"/>
    <d v="2025-09-04T00:00:00"/>
    <x v="1"/>
    <x v="1"/>
    <n v="256779417250"/>
    <s v="USD"/>
    <n v="50"/>
    <s v="INR"/>
    <n v="4375.72"/>
    <s v="Scanning  Chgs - 16 - 31 Aug 25"/>
  </r>
  <r>
    <s v="KUEHNE+NAGEL PVT. LTD."/>
    <n v="2025"/>
    <d v="2025-09-04T00:00:00"/>
    <x v="1"/>
    <x v="1"/>
    <n v="256779417257"/>
    <s v="USD"/>
    <n v="22.77"/>
    <s v="INR"/>
    <n v="1992.7"/>
    <s v="Bond Stamp Paper Chgs 01 - 31 Aug 25"/>
  </r>
  <r>
    <s v="KUEHNE+NAGEL PVT. LTD."/>
    <n v="2025"/>
    <d v="2025-09-04T00:00:00"/>
    <x v="1"/>
    <x v="1"/>
    <n v="256779417280"/>
    <s v="USD"/>
    <n v="249.98"/>
    <s v="INR"/>
    <n v="21876.83"/>
    <s v="LCL Chgs - 16 - 31 AUG 25"/>
  </r>
  <r>
    <s v="KUEHNE+NAGEL PVT. LTD."/>
    <n v="2025"/>
    <d v="2025-09-04T00:00:00"/>
    <x v="1"/>
    <x v="1"/>
    <n v="256779417317"/>
    <s v="USD"/>
    <n v="170.85"/>
    <s v="INR"/>
    <n v="14951.82"/>
    <s v="Outbound chgs - 16 - 31 Aug 25"/>
  </r>
  <r>
    <s v="KUEHNE+NAGEL PVT. LTD."/>
    <n v="2025"/>
    <d v="2025-07-04T00:00:00"/>
    <x v="1"/>
    <x v="2"/>
    <n v="256779414859"/>
    <s v="USD"/>
    <n v="318.47000000000003"/>
    <s v="INR"/>
    <n v="27388.63"/>
    <s v="LCL Chgs - 16 - 30 JUN 25"/>
  </r>
  <r>
    <s v="KUEHNE+NAGEL PVT. LTD."/>
    <n v="2025"/>
    <d v="2025-07-04T00:00:00"/>
    <x v="1"/>
    <x v="2"/>
    <n v="256779415012"/>
    <s v="USD"/>
    <n v="184.3"/>
    <s v="INR"/>
    <n v="15849.92"/>
    <s v="Outbound chgs - 16 - 30 Jun 25"/>
  </r>
  <r>
    <s v="KUEHNE+NAGEL PVT. LTD."/>
    <n v="2025"/>
    <d v="2025-07-04T00:00:00"/>
    <x v="1"/>
    <x v="2"/>
    <n v="256779415208"/>
    <s v="USD"/>
    <n v="183.43"/>
    <s v="INR"/>
    <n v="15775.1"/>
    <s v="Unit Storage - 1-30 June 25"/>
  </r>
  <r>
    <s v="KUEHNE+NAGEL PVT. LTD."/>
    <n v="2025"/>
    <d v="2025-07-04T00:00:00"/>
    <x v="1"/>
    <x v="2"/>
    <n v="256779415209"/>
    <s v="USD"/>
    <n v="63.26"/>
    <s v="INR"/>
    <n v="5440.4"/>
    <s v="Unit Storage - 1-30 June 25"/>
  </r>
  <r>
    <s v="KUEHNE+NAGEL PVT. LTD."/>
    <n v="2025"/>
    <d v="2025-07-04T00:00:00"/>
    <x v="1"/>
    <x v="2"/>
    <n v="256779415210"/>
    <s v="USD"/>
    <n v="9629.6299999999992"/>
    <s v="INR"/>
    <n v="828154.63"/>
    <s v="Unit Storage - 1-30 June 25"/>
  </r>
  <r>
    <s v="KUEHNE+NAGEL PVT. LTD."/>
    <n v="2025"/>
    <d v="2025-07-04T00:00:00"/>
    <x v="1"/>
    <x v="2"/>
    <n v="256779415261"/>
    <s v="USD"/>
    <n v="292.95999999999998"/>
    <s v="INR"/>
    <n v="25194.76"/>
    <s v="VAS - 16-30 June 25"/>
  </r>
  <r>
    <s v="KUEHNE+NAGEL PVT. LTD."/>
    <n v="2025"/>
    <d v="2025-07-04T00:00:00"/>
    <x v="1"/>
    <x v="2"/>
    <n v="256779415270"/>
    <s v="USD"/>
    <n v="420.86"/>
    <s v="INR"/>
    <n v="36194.239999999998"/>
    <s v="Weighment- 16-30 June 25"/>
  </r>
  <r>
    <s v="KUEHNE+NAGEL PVT. LTD."/>
    <n v="2025"/>
    <d v="2025-11-05T00:00:00"/>
    <x v="1"/>
    <x v="3"/>
    <n v="256779418816"/>
    <s v="USD"/>
    <n v="891"/>
    <s v="INR"/>
    <n v="78411.02"/>
    <s v="VAS-16 -31 Oct 25"/>
  </r>
  <r>
    <s v="KUEHNE+NAGEL PVT. LTD."/>
    <n v="2025"/>
    <d v="2025-11-05T00:00:00"/>
    <x v="1"/>
    <x v="3"/>
    <n v="256779418872"/>
    <s v="USD"/>
    <n v="5939.04"/>
    <s v="INR"/>
    <n v="522655.65"/>
    <s v="Unit Storage - 1-31 Oct 2025"/>
  </r>
  <r>
    <s v="KUEHNE+NAGEL PVT. LTD."/>
    <n v="2025"/>
    <d v="2025-11-05T00:00:00"/>
    <x v="1"/>
    <x v="3"/>
    <n v="256779418892"/>
    <s v="USD"/>
    <n v="1683.97"/>
    <s v="INR"/>
    <n v="148195.07"/>
    <s v="CODC Inbound chgs - 16-31 Oct 25"/>
  </r>
  <r>
    <s v="KUEHNE+NAGEL PVT. LTD."/>
    <n v="2025"/>
    <d v="2025-11-05T00:00:00"/>
    <x v="1"/>
    <x v="3"/>
    <n v="256779418904"/>
    <s v="USD"/>
    <n v="1273.92"/>
    <s v="INR"/>
    <n v="112109.28"/>
    <s v="CODC Out chgs -16-31 Oct 25"/>
  </r>
  <r>
    <s v="KUEHNE+NAGEL PVT. LTD."/>
    <n v="2025"/>
    <d v="2025-11-05T00:00:00"/>
    <x v="1"/>
    <x v="3"/>
    <n v="256779419165"/>
    <s v="USD"/>
    <n v="191.57"/>
    <s v="INR"/>
    <n v="16858.810000000001"/>
    <s v="Outbound chgs - 16 - 31 Oct 25"/>
  </r>
  <r>
    <s v="KUEHNE+NAGEL PVT. LTD."/>
    <n v="2025"/>
    <d v="2025-11-05T00:00:00"/>
    <x v="1"/>
    <x v="3"/>
    <n v="256779419192"/>
    <s v="USD"/>
    <n v="171.87"/>
    <s v="INR"/>
    <n v="15125.14"/>
    <s v="Empty Lolo Chgs - 01 - 31 OCT 25"/>
  </r>
  <r>
    <s v="KUEHNE+NAGEL PVT. LTD."/>
    <n v="2025"/>
    <d v="2025-11-05T00:00:00"/>
    <x v="1"/>
    <x v="3"/>
    <n v="256779419211"/>
    <s v="USD"/>
    <n v="28.18"/>
    <s v="INR"/>
    <n v="2479.94"/>
    <s v="Internet Activity Chgs - Oct 25"/>
  </r>
  <r>
    <s v="KUEHNE+NAGEL PVT. LTD."/>
    <n v="2025"/>
    <d v="2025-11-05T00:00:00"/>
    <x v="1"/>
    <x v="3"/>
    <n v="256779419222"/>
    <s v="USD"/>
    <n v="3537"/>
    <s v="INR"/>
    <n v="311267.99"/>
    <s v="PORT SSR Chgs Oct 25"/>
  </r>
  <r>
    <s v="KUEHNE+NAGEL PVT. LTD."/>
    <n v="2025"/>
    <d v="2025-11-03T00:00:00"/>
    <x v="1"/>
    <x v="4"/>
    <n v="256779419122"/>
    <s v="USD"/>
    <n v="670.42"/>
    <s v="INR"/>
    <n v="58999.23"/>
    <s v="LCL Chgs - 16 - 31 OCT 25"/>
  </r>
  <r>
    <s v="KUEHNE+NAGEL PVT. LTD."/>
    <n v="2025"/>
    <d v="2025-11-03T00:00:00"/>
    <x v="0"/>
    <x v="4"/>
    <n v="256779422067"/>
    <s v="USD"/>
    <n v="-4608.8"/>
    <s v="INR"/>
    <n v="-405590.02"/>
    <s v="CN issued against 256779417093"/>
  </r>
  <r>
    <s v="KUEHNE+NAGEL PVT. LTD."/>
    <n v="2025"/>
    <d v="2025-08-08T00:00:00"/>
    <x v="1"/>
    <x v="5"/>
    <n v="256779416096"/>
    <s v="USD"/>
    <n v="7386.34"/>
    <s v="INR"/>
    <n v="635447.72"/>
    <s v="Unit Storage - 1-31 July 25"/>
  </r>
  <r>
    <s v="KUEHNE+NAGEL PVT. LTD."/>
    <n v="2025"/>
    <d v="2025-08-08T00:00:00"/>
    <x v="1"/>
    <x v="5"/>
    <n v="256779416137"/>
    <s v="USD"/>
    <n v="55.28"/>
    <s v="INR"/>
    <n v="4755.75"/>
    <s v="Empty Lolo Chgs - 01 - 31 JUL 25"/>
  </r>
  <r>
    <s v="KUEHNE+NAGEL PVT. LTD."/>
    <n v="2025"/>
    <d v="2025-08-08T00:00:00"/>
    <x v="1"/>
    <x v="5"/>
    <n v="256779416169"/>
    <s v="USD"/>
    <n v="256.97000000000003"/>
    <s v="INR"/>
    <n v="22107.16"/>
    <s v="LCL Chgs - 16 - 31 JUL 25"/>
  </r>
  <r>
    <s v="KUEHNE+NAGEL PVT. LTD."/>
    <n v="2025"/>
    <d v="2025-08-08T00:00:00"/>
    <x v="1"/>
    <x v="5"/>
    <n v="256779416214"/>
    <s v="USD"/>
    <n v="212.34"/>
    <s v="INR"/>
    <n v="18267.64"/>
    <s v="Outbound chgs - 16 - 31 Jul 25"/>
  </r>
  <r>
    <s v="KUEHNE+NAGEL PVT. LTD."/>
    <n v="2025"/>
    <d v="2025-08-08T00:00:00"/>
    <x v="1"/>
    <x v="5"/>
    <n v="256779416255"/>
    <s v="USD"/>
    <n v="392.28"/>
    <s v="INR"/>
    <n v="33747.9"/>
    <s v="CODC Out chgs - 16 - 31 Jul 25"/>
  </r>
  <r>
    <s v="KUEHNE+NAGEL PVT. LTD."/>
    <n v="2025"/>
    <d v="2025-08-08T00:00:00"/>
    <x v="1"/>
    <x v="5"/>
    <n v="256779416442"/>
    <s v="USD"/>
    <n v="1053.3399999999999"/>
    <s v="INR"/>
    <n v="90618.97"/>
    <s v="VAS 16-31 July 25"/>
  </r>
  <r>
    <s v="KUEHNE+NAGEL PVT. LTD."/>
    <n v="2025"/>
    <d v="2025-08-08T00:00:00"/>
    <x v="1"/>
    <x v="5"/>
    <n v="256779416454"/>
    <s v="USD"/>
    <n v="411.19"/>
    <s v="INR"/>
    <n v="35374.730000000003"/>
    <s v="Weighment - 16-31 July 25"/>
  </r>
  <r>
    <s v="KUEHNE+NAGEL PVT. LTD."/>
    <n v="2025"/>
    <d v="2025-06-04T00:00:00"/>
    <x v="1"/>
    <x v="6"/>
    <n v="256779414156"/>
    <s v="USD"/>
    <n v="83.66"/>
    <s v="INR"/>
    <n v="7152.16"/>
    <s v="CODC Inbound chgs - 16 - 31 May 25"/>
  </r>
  <r>
    <s v="KUEHNE+NAGEL PVT. LTD."/>
    <n v="2025"/>
    <d v="2025-06-04T00:00:00"/>
    <x v="1"/>
    <x v="6"/>
    <n v="256779414173"/>
    <s v="USD"/>
    <n v="2668.72"/>
    <s v="INR"/>
    <n v="228150.95"/>
    <s v="PORT SSR Chgs - 16 - 31 May 25"/>
  </r>
  <r>
    <s v="KUEHNE+NAGEL PVT. LTD."/>
    <n v="2025"/>
    <d v="2025-06-04T00:00:00"/>
    <x v="1"/>
    <x v="6"/>
    <n v="256779414206"/>
    <s v="USD"/>
    <n v="201.33"/>
    <s v="INR"/>
    <n v="17211.86"/>
    <s v="Outbound chgs - 16 - 31 MAY 25"/>
  </r>
  <r>
    <s v="KUEHNE+NAGEL PVT. LTD."/>
    <n v="2025"/>
    <d v="2025-06-04T00:00:00"/>
    <x v="1"/>
    <x v="6"/>
    <n v="256779414260"/>
    <s v="USD"/>
    <n v="130.93"/>
    <s v="INR"/>
    <n v="11193.31"/>
    <s v="Detention Chgs - 01 - 15 MAY 25"/>
  </r>
  <r>
    <s v="KUEHNE+NAGEL PVT. LTD."/>
    <n v="2025"/>
    <d v="2025-06-04T00:00:00"/>
    <x v="1"/>
    <x v="6"/>
    <n v="256779414271"/>
    <s v="USD"/>
    <n v="967.68"/>
    <s v="INR"/>
    <n v="82727.72"/>
    <s v="Empty Lolo Chgs - 01 - 31 MAY 25"/>
  </r>
  <r>
    <s v="KUEHNE+NAGEL PVT. LTD."/>
    <n v="2025"/>
    <d v="2025-06-04T00:00:00"/>
    <x v="1"/>
    <x v="6"/>
    <n v="256779414309"/>
    <s v="USD"/>
    <n v="662.83"/>
    <s v="INR"/>
    <n v="56665.85"/>
    <s v="Transportation In Chgs - 16-31 MAY 25"/>
  </r>
  <r>
    <s v="KUEHNE+NAGEL PVT. LTD."/>
    <n v="2025"/>
    <d v="2025-05-14T00:00:00"/>
    <x v="0"/>
    <x v="7"/>
    <n v="256779420272"/>
    <s v="USD"/>
    <n v="-40.06"/>
    <s v="INR"/>
    <n v="-3472.85"/>
    <s v="Credit note against 246779412202"/>
  </r>
  <r>
    <s v="KUEHNE+NAGEL PVT. LTD."/>
    <n v="2025"/>
    <d v="2025-05-14T00:00:00"/>
    <x v="0"/>
    <x v="7"/>
    <n v="256779420273"/>
    <s v="USD"/>
    <n v="-28.62"/>
    <s v="INR"/>
    <n v="-2481.1"/>
    <s v="Credit note against 246779412203"/>
  </r>
  <r>
    <s v="KUEHNE+NAGEL PVT. LTD."/>
    <n v="2025"/>
    <d v="2025-05-14T00:00:00"/>
    <x v="0"/>
    <x v="7"/>
    <n v="256779420275"/>
    <s v="USD"/>
    <n v="-114.46"/>
    <s v="INR"/>
    <n v="-9922.68"/>
    <s v="Credit note against 246779412205"/>
  </r>
  <r>
    <s v="KUEHNE+NAGEL PVT. LTD."/>
    <n v="2025"/>
    <d v="2025-05-14T00:00:00"/>
    <x v="0"/>
    <x v="7"/>
    <n v="256779420276"/>
    <s v="USD"/>
    <n v="-68.680000000000007"/>
    <s v="INR"/>
    <n v="-5953.96"/>
    <s v="Credit note against 246779412206"/>
  </r>
  <r>
    <s v="KUEHNE+NAGEL PVT. LTD."/>
    <n v="2025"/>
    <d v="2025-05-14T00:00:00"/>
    <x v="0"/>
    <x v="7"/>
    <n v="256779420268"/>
    <s v="USD"/>
    <n v="-249.55"/>
    <s v="INR"/>
    <n v="-21633.8"/>
    <s v="Credit note against 246779412198"/>
  </r>
  <r>
    <s v="KUEHNE+NAGEL PVT. LTD."/>
    <n v="2025"/>
    <d v="2025-05-14T00:00:00"/>
    <x v="0"/>
    <x v="7"/>
    <n v="256779420269"/>
    <s v="USD"/>
    <n v="-40.06"/>
    <s v="INR"/>
    <n v="-3472.85"/>
    <s v="Credit note against 246779412199"/>
  </r>
  <r>
    <s v="KUEHNE+NAGEL PVT. LTD."/>
    <n v="2025"/>
    <d v="2025-05-14T00:00:00"/>
    <x v="0"/>
    <x v="7"/>
    <n v="256779420274"/>
    <s v="USD"/>
    <n v="-22.89"/>
    <s v="INR"/>
    <n v="-1984.36"/>
    <s v="Credit note against 246779412204"/>
  </r>
  <r>
    <s v="KUEHNE+NAGEL PVT. LTD."/>
    <n v="2025"/>
    <d v="2025-05-14T00:00:00"/>
    <x v="0"/>
    <x v="7"/>
    <n v="256779420277"/>
    <s v="USD"/>
    <n v="-312.5"/>
    <s v="INR"/>
    <n v="-27091.02"/>
    <s v="Credit note against 246779412207"/>
  </r>
  <r>
    <s v="KUEHNE+NAGEL PVT. LTD."/>
    <n v="2025"/>
    <d v="2025-05-14T00:00:00"/>
    <x v="0"/>
    <x v="7"/>
    <n v="256779420278"/>
    <s v="USD"/>
    <n v="-23.35"/>
    <s v="INR"/>
    <n v="-2024.24"/>
    <s v="Credit note against 246779412208"/>
  </r>
  <r>
    <s v="KUEHNE+NAGEL PVT. LTD."/>
    <n v="2025"/>
    <d v="2025-05-14T00:00:00"/>
    <x v="0"/>
    <x v="7"/>
    <n v="256779420266"/>
    <s v="USD"/>
    <n v="-57.23"/>
    <s v="INR"/>
    <n v="-4961.34"/>
    <s v="Credit note against 246779412196"/>
  </r>
  <r>
    <s v="KUEHNE+NAGEL PVT. LTD."/>
    <n v="2025"/>
    <d v="2025-05-14T00:00:00"/>
    <x v="0"/>
    <x v="7"/>
    <n v="256779420267"/>
    <s v="USD"/>
    <n v="-40.06"/>
    <s v="INR"/>
    <n v="-3472.85"/>
    <s v="Credit note against 246779412197"/>
  </r>
  <r>
    <s v="KUEHNE+NAGEL PVT. LTD."/>
    <n v="2025"/>
    <d v="2025-05-14T00:00:00"/>
    <x v="0"/>
    <x v="7"/>
    <n v="256779420270"/>
    <s v="USD"/>
    <n v="-45.79"/>
    <s v="INR"/>
    <n v="-3969.59"/>
    <s v="Credit note against 246779412200"/>
  </r>
  <r>
    <s v="KUEHNE+NAGEL PVT. LTD."/>
    <n v="2025"/>
    <d v="2025-05-14T00:00:00"/>
    <x v="0"/>
    <x v="7"/>
    <n v="256779420271"/>
    <s v="USD"/>
    <n v="-20.03"/>
    <s v="INR"/>
    <n v="-1736.43"/>
    <s v="Credit note against 246779412201"/>
  </r>
  <r>
    <s v="KUEHNE+NAGEL PVT. LTD."/>
    <n v="2025"/>
    <d v="2025-05-14T00:00:00"/>
    <x v="0"/>
    <x v="7"/>
    <n v="256779420492"/>
    <s v="USD"/>
    <n v="-2333.1799999999998"/>
    <s v="INR"/>
    <n v="-202804.25"/>
    <s v="Credit note against 256779410231"/>
  </r>
  <r>
    <s v="KUEHNE+NAGEL PVT. LTD."/>
    <n v="2025"/>
    <d v="2025-05-14T00:00:00"/>
    <x v="0"/>
    <x v="7"/>
    <n v="256779420526"/>
    <s v="USD"/>
    <n v="-2286.2399999999998"/>
    <s v="INR"/>
    <n v="-198724.14"/>
    <s v="Credit note against 256779410272"/>
  </r>
  <r>
    <s v="KUEHNE+NAGEL PVT. LTD."/>
    <n v="2025"/>
    <d v="2025-05-16T00:00:00"/>
    <x v="1"/>
    <x v="8"/>
    <n v="256779413280"/>
    <s v="USD"/>
    <n v="59"/>
    <s v="INR"/>
    <n v="5073.04"/>
    <s v="Scanning  Chgs - 16 - 31 Apr 25"/>
  </r>
  <r>
    <s v="KUEHNE+NAGEL PVT. LTD."/>
    <n v="2025"/>
    <d v="2025-05-16T00:00:00"/>
    <x v="1"/>
    <x v="8"/>
    <n v="256779413308"/>
    <s v="USD"/>
    <n v="723.47"/>
    <s v="INR"/>
    <n v="62206.63"/>
    <s v="LCL Chgs - 16 - 30 Apr 25"/>
  </r>
  <r>
    <s v="KUEHNE+NAGEL PVT. LTD."/>
    <n v="2025"/>
    <d v="2025-05-16T00:00:00"/>
    <x v="1"/>
    <x v="8"/>
    <n v="256779413348"/>
    <s v="USD"/>
    <n v="138.82"/>
    <s v="INR"/>
    <n v="11936.26"/>
    <s v="Outbound chgs - 16 - 30 Apr 25"/>
  </r>
  <r>
    <s v="KUEHNE+NAGEL PVT. LTD."/>
    <n v="2025"/>
    <d v="2025-12-09T00:00:00"/>
    <x v="1"/>
    <x v="9"/>
    <n v="256779419995"/>
    <s v="USD"/>
    <n v="187.19"/>
    <s v="INR"/>
    <n v="16603.78"/>
    <s v="CODC LCL Chgs -16-30 Nov 25"/>
  </r>
  <r>
    <s v="KUEHNE+NAGEL PVT. LTD."/>
    <n v="2025"/>
    <d v="2025-05-28T00:00:00"/>
    <x v="1"/>
    <x v="10"/>
    <n v="256779413908"/>
    <s v="USD"/>
    <n v="3200.83"/>
    <s v="INR"/>
    <n v="275219.21000000002"/>
    <s v="Storage Chgs - 01 - 31 Apr 25"/>
  </r>
  <r>
    <s v="KUEHNE+NAGEL PVT. LTD."/>
    <n v="2025"/>
    <d v="2025-07-18T00:00:00"/>
    <x v="1"/>
    <x v="11"/>
    <n v="256779415426"/>
    <s v="USD"/>
    <n v="464.73"/>
    <s v="INR"/>
    <n v="39967.089999999997"/>
    <s v="PORT SSR Chgs Apr &amp; May 25"/>
  </r>
  <r>
    <s v="KUEHNE+NAGEL PVT. LTD."/>
    <n v="2025"/>
    <d v="2025-07-18T00:00:00"/>
    <x v="1"/>
    <x v="11"/>
    <n v="256779415442"/>
    <s v="USD"/>
    <n v="1.59"/>
    <s v="INR"/>
    <n v="136.74"/>
    <s v="CODC Inbound Chgs - 01 - 15 July 25"/>
  </r>
  <r>
    <s v="KUEHNE+NAGEL PVT. LTD."/>
    <n v="2025"/>
    <d v="2025-07-18T00:00:00"/>
    <x v="1"/>
    <x v="11"/>
    <n v="256779415453"/>
    <s v="USD"/>
    <n v="293.45999999999998"/>
    <s v="INR"/>
    <n v="25237.759999999998"/>
    <s v="CODC Out chgs - 01 - 15 July 25"/>
  </r>
  <r>
    <s v="KUEHNE+NAGEL PVT. LTD."/>
    <n v="2025"/>
    <d v="2025-07-18T00:00:00"/>
    <x v="1"/>
    <x v="11"/>
    <n v="256779415474"/>
    <s v="USD"/>
    <n v="608.41"/>
    <s v="INR"/>
    <n v="52323.67"/>
    <s v="Transportation In Chgs - 01 - 15 JUL 25"/>
  </r>
  <r>
    <s v="KUEHNE+NAGEL PVT. LTD."/>
    <n v="2025"/>
    <d v="2025-07-18T00:00:00"/>
    <x v="1"/>
    <x v="11"/>
    <n v="256779415517"/>
    <s v="USD"/>
    <n v="116.74"/>
    <s v="INR"/>
    <n v="10039.719999999999"/>
    <s v="Outbound chgs - 01 - 15 Jul 25"/>
  </r>
  <r>
    <s v="KUEHNE+NAGEL PVT. LTD."/>
    <n v="2025"/>
    <d v="2025-07-18T00:00:00"/>
    <x v="1"/>
    <x v="11"/>
    <n v="256779415792"/>
    <s v="USD"/>
    <n v="608.41"/>
    <s v="INR"/>
    <n v="52323.67"/>
    <s v="Transportation In Chgs - 01 - 15 JUL 25"/>
  </r>
  <r>
    <s v="KUEHNE+NAGEL PVT. LTD."/>
    <n v="2025"/>
    <d v="2025-03-13T00:00:00"/>
    <x v="1"/>
    <x v="12"/>
    <n v="246779411312"/>
    <s v="USD"/>
    <n v="27"/>
    <s v="INR"/>
    <n v="2340.66"/>
    <s v="Scanning Charges for the month of October, 2024"/>
  </r>
  <r>
    <s v="KUEHNE+NAGEL PVT. LTD."/>
    <n v="2025"/>
    <d v="2025-03-20T00:00:00"/>
    <x v="1"/>
    <x v="13"/>
    <n v="246779413730"/>
    <s v="USD"/>
    <n v="3.2"/>
    <s v="INR"/>
    <n v="277.41000000000003"/>
    <s v="Outbound Handling charges for Jan 2025"/>
  </r>
  <r>
    <s v="KUEHNE+NAGEL PVT. LTD."/>
    <n v="2025"/>
    <d v="2025-03-20T00:00:00"/>
    <x v="1"/>
    <x v="13"/>
    <n v="246779413747"/>
    <s v="USD"/>
    <n v="2.74"/>
    <s v="INR"/>
    <n v="237.53"/>
    <s v="Outbound Handling charges for Feb 2025"/>
  </r>
  <r>
    <s v="KUEHNE+NAGEL PVT. LTD."/>
    <n v="2025"/>
    <d v="2025-03-20T00:00:00"/>
    <x v="1"/>
    <x v="13"/>
    <n v="246779413815"/>
    <s v="USD"/>
    <n v="50"/>
    <s v="INR"/>
    <n v="4334.5600000000004"/>
    <s v="Scanning Charges for the month of Feb 2025"/>
  </r>
  <r>
    <s v="KUEHNE+NAGEL PVT. LTD."/>
    <n v="2025"/>
    <d v="2025-03-20T00:00:00"/>
    <x v="1"/>
    <x v="13"/>
    <n v="246779413920"/>
    <s v="USD"/>
    <n v="22.5"/>
    <s v="INR"/>
    <n v="1950.55"/>
    <s v="Outbound Handling charges for Feb 2025"/>
  </r>
  <r>
    <s v="KUEHNE+NAGEL PVT. LTD."/>
    <n v="2025"/>
    <d v="2025-03-20T00:00:00"/>
    <x v="1"/>
    <x v="13"/>
    <n v="246779413936"/>
    <s v="USD"/>
    <n v="27.5"/>
    <s v="INR"/>
    <n v="2384.0100000000002"/>
    <s v="Outbound Handling charges for Feb 2025"/>
  </r>
  <r>
    <s v="KUEHNE+NAGEL PVT. LTD."/>
    <n v="2025"/>
    <d v="2025-03-20T00:00:00"/>
    <x v="1"/>
    <x v="13"/>
    <n v="246779413941"/>
    <s v="USD"/>
    <n v="30"/>
    <s v="INR"/>
    <n v="2600.7399999999998"/>
    <s v="Outbound Handling charges for Feb 2025"/>
  </r>
  <r>
    <s v="KUEHNE+NAGEL PVT. LTD."/>
    <n v="2025"/>
    <d v="2025-03-20T00:00:00"/>
    <x v="1"/>
    <x v="13"/>
    <n v="246779414384"/>
    <s v="USD"/>
    <n v="182.5"/>
    <s v="INR"/>
    <n v="15821.15"/>
    <s v="Inbound Handling charges for Nov 2024"/>
  </r>
  <r>
    <s v="KUEHNE+NAGEL PVT. LTD."/>
    <n v="2025"/>
    <d v="2025-03-20T00:00:00"/>
    <x v="1"/>
    <x v="13"/>
    <n v="246779414385"/>
    <s v="USD"/>
    <n v="240"/>
    <s v="INR"/>
    <n v="20805.900000000001"/>
    <s v="LCL Movement Charges for Nov 2024"/>
  </r>
  <r>
    <s v="KUEHNE+NAGEL PVT. LTD."/>
    <n v="2025"/>
    <d v="2025-03-20T00:00:00"/>
    <x v="1"/>
    <x v="13"/>
    <n v="246779414057"/>
    <s v="USD"/>
    <n v="43.07"/>
    <s v="INR"/>
    <n v="3733.79"/>
    <s v="Inbound Handling charges for Jan 2025"/>
  </r>
  <r>
    <s v="KUEHNE+NAGEL PVT. LTD."/>
    <n v="2025"/>
    <d v="2025-03-20T00:00:00"/>
    <x v="1"/>
    <x v="13"/>
    <n v="246779414058"/>
    <s v="USD"/>
    <n v="398.23"/>
    <s v="INR"/>
    <n v="34523.06"/>
    <s v="Inbound Handling charges for Jan 2025"/>
  </r>
  <r>
    <s v="KUEHNE+NAGEL PVT. LTD."/>
    <n v="2025"/>
    <d v="2025-03-20T00:00:00"/>
    <x v="1"/>
    <x v="13"/>
    <n v="246779414120"/>
    <s v="USD"/>
    <n v="250.75"/>
    <s v="INR"/>
    <n v="21737.83"/>
    <s v="Inbound Handling charges for  Sep 2024"/>
  </r>
  <r>
    <s v="KUEHNE+NAGEL PVT. LTD."/>
    <n v="2025"/>
    <d v="2025-03-20T00:00:00"/>
    <x v="1"/>
    <x v="13"/>
    <n v="246779414121"/>
    <s v="USD"/>
    <n v="226.56"/>
    <s v="INR"/>
    <n v="19640.77"/>
    <s v="LCL charges for  Sep 2024"/>
  </r>
  <r>
    <s v="KUEHNE+NAGEL PVT. LTD."/>
    <n v="2025"/>
    <d v="2025-03-20T00:00:00"/>
    <x v="1"/>
    <x v="13"/>
    <n v="246779414122"/>
    <s v="USD"/>
    <n v="35.4"/>
    <s v="INR"/>
    <n v="3068.87"/>
    <s v="Cy-WH Destuff charges for Sep 2024"/>
  </r>
  <r>
    <s v="KUEHNE+NAGEL PVT. LTD."/>
    <n v="2025"/>
    <d v="2025-03-20T00:00:00"/>
    <x v="1"/>
    <x v="13"/>
    <n v="246779414204"/>
    <s v="USD"/>
    <n v="249.87"/>
    <s v="INR"/>
    <n v="21661.55"/>
    <s v="Outbound Handling charges for Sep 2024"/>
  </r>
  <r>
    <s v="KUEHNE+NAGEL PVT. LTD."/>
    <n v="2025"/>
    <d v="2025-03-20T00:00:00"/>
    <x v="1"/>
    <x v="13"/>
    <n v="246779414460"/>
    <s v="USD"/>
    <n v="173.05"/>
    <s v="INR"/>
    <n v="15001.92"/>
    <s v="Inbound Handling charges for Jan 2025"/>
  </r>
  <r>
    <s v="KUEHNE+NAGEL PVT. LTD."/>
    <n v="2025"/>
    <d v="2025-03-20T00:00:00"/>
    <x v="1"/>
    <x v="13"/>
    <n v="246779414461"/>
    <s v="USD"/>
    <n v="226.56"/>
    <s v="INR"/>
    <n v="19640.77"/>
    <s v="LCL charges for Jan 2025"/>
  </r>
  <r>
    <s v="KUEHNE+NAGEL PVT. LTD."/>
    <n v="2025"/>
    <d v="2025-03-20T00:00:00"/>
    <x v="1"/>
    <x v="13"/>
    <n v="246779414525"/>
    <s v="USD"/>
    <n v="211.39"/>
    <s v="INR"/>
    <n v="18325.669999999998"/>
    <s v="Inbound Handling charges for Feb 2025"/>
  </r>
  <r>
    <s v="KUEHNE+NAGEL PVT. LTD."/>
    <n v="2025"/>
    <d v="2025-03-20T00:00:00"/>
    <x v="1"/>
    <x v="13"/>
    <n v="246779414526"/>
    <s v="USD"/>
    <n v="141.6"/>
    <s v="INR"/>
    <n v="12275.48"/>
    <s v="LCL Movement Charges for Feb 2025"/>
  </r>
  <r>
    <s v="KUEHNE+NAGEL PVT. LTD."/>
    <n v="2025"/>
    <d v="2025-03-20T00:00:00"/>
    <x v="1"/>
    <x v="13"/>
    <n v="246779414527"/>
    <s v="USD"/>
    <n v="70.8"/>
    <s v="INR"/>
    <n v="6137.74"/>
    <s v="Empty transportation Charges for Feb 2025"/>
  </r>
  <r>
    <s v="KUEHNE+NAGEL PVT. LTD."/>
    <n v="2025"/>
    <d v="2025-03-20T00:00:00"/>
    <x v="1"/>
    <x v="13"/>
    <n v="246779414528"/>
    <s v="USD"/>
    <n v="236"/>
    <s v="INR"/>
    <n v="20459.14"/>
    <s v="Transportation Charges for Feb 2025"/>
  </r>
  <r>
    <s v="KUEHNE+NAGEL PVT. LTD."/>
    <n v="2025"/>
    <d v="2025-03-20T00:00:00"/>
    <x v="1"/>
    <x v="13"/>
    <n v="246779414781"/>
    <s v="USD"/>
    <n v="218.36"/>
    <s v="INR"/>
    <n v="18929.900000000001"/>
    <s v="Outbound Handling charges for Feb 2025"/>
  </r>
  <r>
    <s v="KUEHNE+NAGEL PVT. LTD."/>
    <n v="2025"/>
    <d v="2025-03-20T00:00:00"/>
    <x v="1"/>
    <x v="13"/>
    <n v="246779414863"/>
    <s v="USD"/>
    <n v="23.6"/>
    <s v="INR"/>
    <n v="2045.91"/>
    <s v="Outbound Handling charges for Jan 2025"/>
  </r>
  <r>
    <s v="KUEHNE+NAGEL PVT. LTD."/>
    <n v="2025"/>
    <d v="2025-03-20T00:00:00"/>
    <x v="1"/>
    <x v="13"/>
    <n v="246779414864"/>
    <s v="USD"/>
    <n v="26.55"/>
    <s v="INR"/>
    <n v="2301.65"/>
    <s v="Outbound Handling charges for Jan 2025"/>
  </r>
  <r>
    <s v="KUEHNE+NAGEL PVT. LTD."/>
    <n v="2025"/>
    <d v="2025-03-20T00:00:00"/>
    <x v="1"/>
    <x v="13"/>
    <n v="246779414865"/>
    <s v="USD"/>
    <n v="32.450000000000003"/>
    <s v="INR"/>
    <n v="2813.13"/>
    <s v="Outbound Handling charges for Jan 2025"/>
  </r>
  <r>
    <s v="KUEHNE+NAGEL PVT. LTD."/>
    <n v="2025"/>
    <d v="2025-03-20T00:00:00"/>
    <x v="1"/>
    <x v="13"/>
    <n v="246779414866"/>
    <s v="USD"/>
    <n v="26.55"/>
    <s v="INR"/>
    <n v="2301.65"/>
    <s v="Outbound Handling charges for Jan 2025"/>
  </r>
  <r>
    <s v="KUEHNE+NAGEL PVT. LTD."/>
    <n v="2025"/>
    <d v="2025-03-20T00:00:00"/>
    <x v="1"/>
    <x v="13"/>
    <n v="246779414867"/>
    <s v="USD"/>
    <n v="26.55"/>
    <s v="INR"/>
    <n v="2301.65"/>
    <s v="Outbound Handling charges for Jan 2025"/>
  </r>
  <r>
    <s v="KUEHNE+NAGEL PVT. LTD."/>
    <n v="2025"/>
    <d v="2025-03-20T00:00:00"/>
    <x v="1"/>
    <x v="13"/>
    <n v="246779414868"/>
    <s v="USD"/>
    <n v="2.95"/>
    <s v="INR"/>
    <n v="255.74"/>
    <s v="Outbound Handling charges for Jan 2025"/>
  </r>
  <r>
    <s v="KUEHNE+NAGEL PVT. LTD."/>
    <n v="2025"/>
    <d v="2025-03-20T00:00:00"/>
    <x v="1"/>
    <x v="13"/>
    <n v="246779414869"/>
    <s v="USD"/>
    <n v="35.4"/>
    <s v="INR"/>
    <n v="3068.87"/>
    <s v="Outbound Handling charges for Jan 2025"/>
  </r>
  <r>
    <s v="KUEHNE+NAGEL PVT. LTD."/>
    <n v="2025"/>
    <d v="2025-03-20T00:00:00"/>
    <x v="1"/>
    <x v="13"/>
    <n v="246779413889"/>
    <s v="USD"/>
    <n v="42.5"/>
    <s v="INR"/>
    <n v="3684.38"/>
    <s v="Outbound Handling charges for Feb 2025"/>
  </r>
  <r>
    <s v="KUEHNE+NAGEL PVT. LTD."/>
    <n v="2025"/>
    <d v="2025-03-20T00:00:00"/>
    <x v="1"/>
    <x v="13"/>
    <n v="246779414662"/>
    <s v="USD"/>
    <n v="275"/>
    <s v="INR"/>
    <n v="23840.1"/>
    <s v="Outbound Handling charges for Nov 2024"/>
  </r>
  <r>
    <s v="KUEHNE+NAGEL PVT. LTD."/>
    <n v="2025"/>
    <d v="2025-03-20T00:00:00"/>
    <x v="1"/>
    <x v="13"/>
    <n v="246779414663"/>
    <s v="USD"/>
    <n v="45"/>
    <s v="INR"/>
    <n v="3901.11"/>
    <s v="CY-MOVEMENT CHARGES for Nov 2024"/>
  </r>
  <r>
    <s v="KUEHNE+NAGEL PVT. LTD."/>
    <n v="2025"/>
    <d v="2025-03-20T00:00:00"/>
    <x v="1"/>
    <x v="13"/>
    <n v="246779414590"/>
    <s v="USD"/>
    <n v="300.49"/>
    <s v="INR"/>
    <n v="26049.86"/>
    <s v="Outbound Handling charges for Oct 2024"/>
  </r>
  <r>
    <s v="KUEHNE+NAGEL PVT. LTD."/>
    <n v="2025"/>
    <d v="2025-03-20T00:00:00"/>
    <x v="1"/>
    <x v="13"/>
    <n v="246779414726"/>
    <s v="USD"/>
    <n v="165.4"/>
    <s v="INR"/>
    <n v="14338.73"/>
    <s v="Outbound Handling charges for Jan 2025"/>
  </r>
  <r>
    <s v="KUEHNE+NAGEL PVT. LTD."/>
    <n v="2025"/>
    <d v="2025-02-20T00:00:00"/>
    <x v="1"/>
    <x v="14"/>
    <n v="246779410010"/>
    <s v="USD"/>
    <n v="2380.9499999999998"/>
    <s v="INR"/>
    <n v="205484.7"/>
    <s v="Fixed Rental charges for Aug 2024"/>
  </r>
  <r>
    <s v="KUEHNE+NAGEL PVT. LTD."/>
    <n v="2025"/>
    <d v="2025-02-20T00:00:00"/>
    <x v="1"/>
    <x v="14"/>
    <n v="246779410030"/>
    <s v="USD"/>
    <n v="2380.9499999999998"/>
    <s v="INR"/>
    <n v="205484.7"/>
    <s v="Fixed Rental charges for Sept 2024"/>
  </r>
  <r>
    <s v="KUEHNE+NAGEL PVT. LTD."/>
    <n v="2025"/>
    <d v="2025-02-20T00:00:00"/>
    <x v="1"/>
    <x v="14"/>
    <n v="246779410063"/>
    <s v="USD"/>
    <n v="95.24"/>
    <s v="INR"/>
    <n v="8219.56"/>
    <s v="Office space charges for Sept 2024"/>
  </r>
  <r>
    <s v="KUEHNE+NAGEL PVT. LTD."/>
    <n v="2025"/>
    <d v="2025-02-20T00:00:00"/>
    <x v="1"/>
    <x v="14"/>
    <n v="246779410064"/>
    <s v="USD"/>
    <n v="52.38"/>
    <s v="INR"/>
    <n v="4520.59"/>
    <s v="Utility charge- Electricity for Sept 2024"/>
  </r>
  <r>
    <s v="KUEHNE+NAGEL PVT. LTD."/>
    <n v="2025"/>
    <d v="2025-02-20T00:00:00"/>
    <x v="1"/>
    <x v="14"/>
    <n v="246779410080"/>
    <s v="USD"/>
    <n v="95.24"/>
    <s v="INR"/>
    <n v="8219.56"/>
    <s v="Office space charges - Aug, 2024"/>
  </r>
  <r>
    <s v="KUEHNE+NAGEL PVT. LTD."/>
    <n v="2025"/>
    <d v="2025-02-20T00:00:00"/>
    <x v="1"/>
    <x v="14"/>
    <n v="246779410098"/>
    <s v="USD"/>
    <n v="2380.9499999999998"/>
    <s v="INR"/>
    <n v="205484.7"/>
    <s v="Fixed Rental charges for Nov 2024"/>
  </r>
  <r>
    <s v="KUEHNE+NAGEL PVT. LTD."/>
    <n v="2025"/>
    <d v="2025-02-20T00:00:00"/>
    <x v="1"/>
    <x v="14"/>
    <n v="246779410131"/>
    <s v="USD"/>
    <n v="95.24"/>
    <s v="INR"/>
    <n v="8219.56"/>
    <s v="Office space charges for Nov 2024"/>
  </r>
  <r>
    <s v="KUEHNE+NAGEL PVT. LTD."/>
    <n v="2025"/>
    <d v="2025-02-20T00:00:00"/>
    <x v="1"/>
    <x v="14"/>
    <n v="246779410132"/>
    <s v="USD"/>
    <n v="52.38"/>
    <s v="INR"/>
    <n v="4520.59"/>
    <s v="Utility charge- Electricity for Nov 2024"/>
  </r>
  <r>
    <s v="KUEHNE+NAGEL PVT. LTD."/>
    <n v="2025"/>
    <d v="2025-02-20T00:00:00"/>
    <x v="1"/>
    <x v="14"/>
    <n v="246779410141"/>
    <s v="USD"/>
    <n v="2380.9499999999998"/>
    <s v="INR"/>
    <n v="205484.7"/>
    <s v="Fixed Rental charges for Dec 2024"/>
  </r>
  <r>
    <s v="KUEHNE+NAGEL PVT. LTD."/>
    <n v="2025"/>
    <d v="2025-02-20T00:00:00"/>
    <x v="1"/>
    <x v="14"/>
    <n v="246779410174"/>
    <s v="USD"/>
    <n v="95.24"/>
    <s v="INR"/>
    <n v="8219.56"/>
    <s v="Office space charges for Dec 2024"/>
  </r>
  <r>
    <s v="KUEHNE+NAGEL PVT. LTD."/>
    <n v="2025"/>
    <d v="2025-02-20T00:00:00"/>
    <x v="1"/>
    <x v="14"/>
    <n v="246779410175"/>
    <s v="USD"/>
    <n v="52.38"/>
    <s v="INR"/>
    <n v="4520.59"/>
    <s v="Utility charge- Electricity for Dec 2024"/>
  </r>
  <r>
    <s v="KUEHNE+NAGEL PVT. LTD."/>
    <n v="2025"/>
    <d v="2025-02-20T00:00:00"/>
    <x v="1"/>
    <x v="14"/>
    <n v="246779410184"/>
    <s v="USD"/>
    <n v="2333.1799999999998"/>
    <s v="INR"/>
    <n v="201361.97"/>
    <s v="Fixed Rental charges for Jan 2025"/>
  </r>
  <r>
    <s v="KUEHNE+NAGEL PVT. LTD."/>
    <n v="2025"/>
    <d v="2025-02-20T00:00:00"/>
    <x v="1"/>
    <x v="14"/>
    <n v="246779410217"/>
    <s v="USD"/>
    <n v="93.33"/>
    <s v="INR"/>
    <n v="8054.72"/>
    <s v="Office space charges for Jan 2025"/>
  </r>
  <r>
    <s v="KUEHNE+NAGEL PVT. LTD."/>
    <n v="2025"/>
    <d v="2025-02-20T00:00:00"/>
    <x v="1"/>
    <x v="14"/>
    <n v="246779410218"/>
    <s v="USD"/>
    <n v="51.33"/>
    <s v="INR"/>
    <n v="4429.97"/>
    <s v="Utility charge- Electricity for Jan 2025"/>
  </r>
  <r>
    <s v="KUEHNE+NAGEL PVT. LTD."/>
    <n v="2025"/>
    <d v="2025-02-20T00:00:00"/>
    <x v="1"/>
    <x v="14"/>
    <n v="246779410260"/>
    <s v="USD"/>
    <n v="91.45"/>
    <s v="INR"/>
    <n v="7892.47"/>
    <s v="Office space charges for Feb 2025"/>
  </r>
  <r>
    <s v="KUEHNE+NAGEL PVT. LTD."/>
    <n v="2025"/>
    <d v="2025-02-20T00:00:00"/>
    <x v="1"/>
    <x v="14"/>
    <n v="246779410261"/>
    <s v="USD"/>
    <n v="50.3"/>
    <s v="INR"/>
    <n v="4341.07"/>
    <s v="Utility charge- Electricity for Feb 2025"/>
  </r>
  <r>
    <s v="KUEHNE+NAGEL PVT. LTD."/>
    <n v="2025"/>
    <d v="2025-02-20T00:00:00"/>
    <x v="1"/>
    <x v="14"/>
    <n v="246779410311"/>
    <s v="USD"/>
    <n v="95.24"/>
    <s v="INR"/>
    <n v="8219.56"/>
    <s v="Office space charges for Oct 2024"/>
  </r>
  <r>
    <s v="KUEHNE+NAGEL PVT. LTD."/>
    <n v="2025"/>
    <d v="2025-02-20T00:00:00"/>
    <x v="1"/>
    <x v="14"/>
    <n v="246779410312"/>
    <s v="USD"/>
    <n v="52.38"/>
    <s v="INR"/>
    <n v="4520.59"/>
    <s v="Utility charge- Electricity for Oct 2024"/>
  </r>
  <r>
    <s v="KUEHNE+NAGEL PVT. LTD."/>
    <n v="2025"/>
    <d v="2025-02-20T00:00:00"/>
    <x v="1"/>
    <x v="14"/>
    <n v="246779410315"/>
    <s v="USD"/>
    <n v="2380.9499999999998"/>
    <s v="INR"/>
    <n v="205484.7"/>
    <s v="Fixed Rental charges for Oct 2024"/>
  </r>
  <r>
    <s v="KUEHNE+NAGEL PVT. LTD."/>
    <n v="2025"/>
    <d v="2025-02-20T00:00:00"/>
    <x v="1"/>
    <x v="14"/>
    <n v="246779410227"/>
    <s v="USD"/>
    <n v="2286.2399999999998"/>
    <s v="INR"/>
    <n v="197310.88"/>
    <s v="Fixed Rental charges for Feb 2025"/>
  </r>
  <r>
    <s v="KUEHNE+NAGEL PVT. LTD."/>
    <n v="2025"/>
    <d v="2025-08-20T00:00:00"/>
    <x v="1"/>
    <x v="15"/>
    <n v="256779416593"/>
    <s v="USD"/>
    <n v="810"/>
    <s v="INR"/>
    <n v="69684.399999999994"/>
    <s v="Empty Cont Out Chgs - 16 - 31 Jul 25"/>
  </r>
  <r>
    <s v="KUEHNE+NAGEL PVT. LTD."/>
    <n v="2025"/>
    <d v="2025-08-20T00:00:00"/>
    <x v="1"/>
    <x v="15"/>
    <n v="256779416600"/>
    <s v="USD"/>
    <n v="737.41"/>
    <s v="INR"/>
    <n v="63439.47"/>
    <s v="CODC Inbound chgs - 1 -15 Aug  25"/>
  </r>
  <r>
    <s v="KUEHNE+NAGEL PVT. LTD."/>
    <n v="2025"/>
    <d v="2025-08-20T00:00:00"/>
    <x v="1"/>
    <x v="15"/>
    <n v="256779416801"/>
    <s v="USD"/>
    <n v="110"/>
    <s v="INR"/>
    <n v="9463.31"/>
    <s v="INTRA-Aug 25- 1-15"/>
  </r>
  <r>
    <s v="KUEHNE+NAGEL PVT. LTD."/>
    <n v="2025"/>
    <d v="2025-08-20T00:00:00"/>
    <x v="1"/>
    <x v="15"/>
    <n v="256779416807"/>
    <s v="USD"/>
    <n v="248.96"/>
    <s v="INR"/>
    <n v="21418.06"/>
    <s v="VAS-Aug 25- 1-15"/>
  </r>
  <r>
    <s v="KUEHNE+NAGEL PVT. LTD."/>
    <n v="2025"/>
    <d v="2025-08-20T00:00:00"/>
    <x v="1"/>
    <x v="15"/>
    <n v="256779416814"/>
    <s v="USD"/>
    <n v="230"/>
    <s v="INR"/>
    <n v="19786.93"/>
    <s v="Transportation In Chgs - 01 - 15 Aug 25"/>
  </r>
  <r>
    <s v="KUEHNE+NAGEL PVT. LTD."/>
    <n v="2025"/>
    <d v="2025-08-20T00:00:00"/>
    <x v="1"/>
    <x v="15"/>
    <n v="256779416838"/>
    <s v="USD"/>
    <n v="685.03"/>
    <s v="INR"/>
    <n v="58933.21"/>
    <s v="LCL Chgs - 01 - 15 AUG 25"/>
  </r>
  <r>
    <s v="KUEHNE+NAGEL PVT. LTD."/>
    <n v="2025"/>
    <d v="2025-08-20T00:00:00"/>
    <x v="1"/>
    <x v="15"/>
    <n v="256779416869"/>
    <s v="USD"/>
    <n v="115.98"/>
    <s v="INR"/>
    <n v="9977.77"/>
    <s v="Outbound chgs - 01 - 15 Aug 25"/>
  </r>
  <r>
    <s v="KUEHNE+NAGEL PVT. LTD."/>
    <n v="2025"/>
    <d v="2025-12-08T00:00:00"/>
    <x v="1"/>
    <x v="16"/>
    <n v="256779419858"/>
    <s v="USD"/>
    <n v="147.37"/>
    <s v="INR"/>
    <n v="13071.74"/>
    <s v="LCL Chgs - 16 - 30 NOV 25"/>
  </r>
  <r>
    <s v="KUEHNE+NAGEL PVT. LTD."/>
    <n v="2025"/>
    <d v="2025-02-19T00:00:00"/>
    <x v="1"/>
    <x v="17"/>
    <n v="246779410081"/>
    <s v="USD"/>
    <n v="52.38"/>
    <s v="INR"/>
    <n v="4520.59"/>
    <s v="Utility charge- Electricity - Aug, 2024"/>
  </r>
  <r>
    <s v="KUEHNE+NAGEL PVT. LTD."/>
    <n v="2025"/>
    <d v="2025-05-20T00:00:00"/>
    <x v="1"/>
    <x v="18"/>
    <n v="256779413835"/>
    <s v="USD"/>
    <n v="206.02"/>
    <s v="INR"/>
    <n v="17714.36"/>
    <s v="VAS -1-15 May 25, Ex.rate 85.43"/>
  </r>
  <r>
    <s v="KUEHNE+NAGEL PVT. LTD."/>
    <n v="2025"/>
    <d v="2025-05-20T00:00:00"/>
    <x v="1"/>
    <x v="18"/>
    <n v="256779413480"/>
    <s v="USD"/>
    <n v="183.84"/>
    <s v="INR"/>
    <n v="15807.24"/>
    <s v="Outbound chgs - 01 - 15 MAY 25"/>
  </r>
  <r>
    <s v="KUEHNE+NAGEL PVT. LTD."/>
    <n v="2025"/>
    <d v="2025-05-20T00:00:00"/>
    <x v="1"/>
    <x v="18"/>
    <n v="256779413879"/>
    <s v="USD"/>
    <n v="37.17"/>
    <s v="INR"/>
    <n v="3196.01"/>
    <s v="LCL Chgs - 01-15 MAY 25"/>
  </r>
  <r>
    <s v="KUEHNE+NAGEL PVT. LTD."/>
    <n v="2025"/>
    <d v="2025-08-04T00:00:00"/>
    <x v="0"/>
    <x v="19"/>
    <n v="256779421623"/>
    <s v="USD"/>
    <n v="-608.41"/>
    <s v="INR"/>
    <n v="-52323.67"/>
    <s v="Credit note raised against 256779415792"/>
  </r>
  <r>
    <s v="KUEHNE+NAGEL PVT. LTD."/>
    <n v="2025"/>
    <d v="2025-04-03T00:00:00"/>
    <x v="1"/>
    <x v="20"/>
    <n v="256779410196"/>
    <s v="USD"/>
    <n v="246.52"/>
    <s v="INR"/>
    <n v="21427.97"/>
    <s v="VAS Activity -1 -15 Mar 25, Ex Rate. 87.01"/>
  </r>
  <r>
    <s v="KUEHNE+NAGEL PVT. LTD."/>
    <n v="2025"/>
    <d v="2025-04-03T00:00:00"/>
    <x v="1"/>
    <x v="20"/>
    <n v="256779410262"/>
    <s v="USD"/>
    <n v="93.33"/>
    <s v="INR"/>
    <n v="8112.41"/>
    <s v="Office space charges for Jan 2025"/>
  </r>
  <r>
    <s v="KUEHNE+NAGEL PVT. LTD."/>
    <n v="2025"/>
    <d v="2025-04-03T00:00:00"/>
    <x v="1"/>
    <x v="20"/>
    <n v="256779410263"/>
    <s v="USD"/>
    <n v="51.33"/>
    <s v="INR"/>
    <n v="4461.7"/>
    <s v="Utility charge- Electricity for Jan 2025"/>
  </r>
  <r>
    <s v="KUEHNE+NAGEL PVT. LTD."/>
    <n v="2025"/>
    <d v="2025-04-03T00:00:00"/>
    <x v="1"/>
    <x v="20"/>
    <n v="256779410272"/>
    <s v="USD"/>
    <n v="2286.2399999999998"/>
    <s v="INR"/>
    <n v="198724.14"/>
    <s v="Fixed Rental charges for Feb 2025"/>
  </r>
  <r>
    <s v="KUEHNE+NAGEL PVT. LTD."/>
    <n v="2025"/>
    <d v="2025-04-03T00:00:00"/>
    <x v="1"/>
    <x v="20"/>
    <n v="256779410303"/>
    <s v="USD"/>
    <n v="91.45"/>
    <s v="INR"/>
    <n v="7949"/>
    <s v="Office space charges for Feb 2025"/>
  </r>
  <r>
    <s v="KUEHNE+NAGEL PVT. LTD."/>
    <n v="2025"/>
    <d v="2025-04-03T00:00:00"/>
    <x v="1"/>
    <x v="20"/>
    <n v="256779410304"/>
    <s v="USD"/>
    <n v="50.3"/>
    <s v="INR"/>
    <n v="4372.17"/>
    <s v="Utility charge- Electricity for Feb 2025"/>
  </r>
  <r>
    <s v="KUEHNE+NAGEL PVT. LTD."/>
    <n v="2025"/>
    <d v="2025-04-03T00:00:00"/>
    <x v="1"/>
    <x v="20"/>
    <n v="256779410076"/>
    <s v="USD"/>
    <n v="25.22"/>
    <s v="INR"/>
    <n v="2192.17"/>
    <s v="Inbound Handling charges for Mar 2025"/>
  </r>
  <r>
    <s v="KUEHNE+NAGEL PVT. LTD."/>
    <n v="2025"/>
    <d v="2025-04-03T00:00:00"/>
    <x v="1"/>
    <x v="20"/>
    <n v="256779410077"/>
    <s v="USD"/>
    <n v="84.96"/>
    <s v="INR"/>
    <n v="7384.88"/>
    <s v="LCL charges for Mar 2025"/>
  </r>
  <r>
    <s v="KUEHNE+NAGEL PVT. LTD."/>
    <n v="2025"/>
    <d v="2025-04-03T00:00:00"/>
    <x v="1"/>
    <x v="20"/>
    <n v="256779410127"/>
    <s v="USD"/>
    <n v="183.99"/>
    <s v="INR"/>
    <n v="15992.75"/>
    <s v="Outbound Handling charges for Mar 25"/>
  </r>
  <r>
    <s v="KUEHNE+NAGEL PVT. LTD."/>
    <n v="2025"/>
    <d v="2025-04-03T00:00:00"/>
    <x v="1"/>
    <x v="20"/>
    <n v="256779410213"/>
    <s v="USD"/>
    <n v="236"/>
    <s v="INR"/>
    <n v="20513.55"/>
    <s v="Transportation Inbound charges for Jan 2025"/>
  </r>
  <r>
    <s v="KUEHNE+NAGEL PVT. LTD."/>
    <n v="2025"/>
    <d v="2025-04-03T00:00:00"/>
    <x v="1"/>
    <x v="20"/>
    <n v="256779410214"/>
    <s v="USD"/>
    <n v="70.8"/>
    <s v="INR"/>
    <n v="6154.06"/>
    <s v="Empty Cont Out charges for Jan 2025"/>
  </r>
  <r>
    <s v="KUEHNE+NAGEL PVT. LTD."/>
    <n v="2025"/>
    <d v="2025-04-03T00:00:00"/>
    <x v="1"/>
    <x v="20"/>
    <n v="256779410231"/>
    <s v="USD"/>
    <n v="2333.1799999999998"/>
    <s v="INR"/>
    <n v="202804.25"/>
    <s v="Fixed Rental charges for Jan 2025"/>
  </r>
  <r>
    <s v="KUEHNE+NAGEL PVT. LTD."/>
    <n v="2025"/>
    <d v="2025-10-20T00:00:00"/>
    <x v="1"/>
    <x v="21"/>
    <n v="256779418653"/>
    <s v="USD"/>
    <n v="170.68"/>
    <s v="INR"/>
    <n v="15052.4"/>
    <s v="LCL Chgs - 01 - 15 OCT 25"/>
  </r>
  <r>
    <s v="KUEHNE+NAGEL PVT. LTD."/>
    <n v="2025"/>
    <d v="2025-10-20T00:00:00"/>
    <x v="1"/>
    <x v="21"/>
    <n v="256779418692"/>
    <s v="USD"/>
    <n v="531.26"/>
    <s v="INR"/>
    <n v="46852.23"/>
    <s v="Outbound chgs - 01 - 15 Oct 25"/>
  </r>
  <r>
    <s v="KUEHNE+NAGEL PVT. LTD."/>
    <n v="2025"/>
    <d v="2025-04-21T00:00:00"/>
    <x v="1"/>
    <x v="22"/>
    <n v="256779412155"/>
    <s v="USD"/>
    <n v="2330.73"/>
    <s v="INR"/>
    <n v="199999.94"/>
    <s v="Fixed Storage Charges for April 2025"/>
  </r>
  <r>
    <s v="KUEHNE+NAGEL PVT. LTD."/>
    <n v="2025"/>
    <d v="2025-04-21T00:00:00"/>
    <x v="1"/>
    <x v="22"/>
    <n v="256779412184"/>
    <s v="USD"/>
    <n v="93.23"/>
    <s v="INR"/>
    <n v="8000.07"/>
    <s v="Fixed Storage Charges for April 2025"/>
  </r>
  <r>
    <s v="KUEHNE+NAGEL PVT. LTD."/>
    <n v="2025"/>
    <d v="2025-04-21T00:00:00"/>
    <x v="1"/>
    <x v="22"/>
    <n v="256779412185"/>
    <s v="USD"/>
    <n v="51.28"/>
    <s v="INR"/>
    <n v="4400.34"/>
    <s v="Fixed Storage Charges for April 2025"/>
  </r>
  <r>
    <s v="KUEHNE+NAGEL PVT. LTD."/>
    <n v="2025"/>
    <d v="2025-04-21T00:00:00"/>
    <x v="1"/>
    <x v="22"/>
    <n v="256779412189"/>
    <s v="INR"/>
    <n v="262.20999999999998"/>
    <s v="INR"/>
    <n v="262.20999999999998"/>
    <s v="Fixed Storage Charges for April 2025"/>
  </r>
  <r>
    <s v="KUEHNE+NAGEL PVT. LTD."/>
    <n v="2025"/>
    <d v="2025-07-24T00:00:00"/>
    <x v="0"/>
    <x v="23"/>
    <n v="256779421498"/>
    <s v="USD"/>
    <n v="-95.24"/>
    <s v="INR"/>
    <n v="-8190.7"/>
    <s v="Credit note raised against 256779414430"/>
  </r>
  <r>
    <s v="KUEHNE+NAGEL PVT. LTD."/>
    <n v="2025"/>
    <d v="2025-07-24T00:00:00"/>
    <x v="0"/>
    <x v="23"/>
    <n v="256779421512"/>
    <s v="USD"/>
    <n v="-2333.1799999999998"/>
    <s v="INR"/>
    <n v="-200655.04"/>
    <s v="Credit note raised against 256779414445"/>
  </r>
  <r>
    <s v="KUEHNE+NAGEL PVT. LTD."/>
    <n v="2025"/>
    <d v="2025-05-23T00:00:00"/>
    <x v="0"/>
    <x v="24"/>
    <n v="256779421106"/>
    <s v="USD"/>
    <n v="-707.71"/>
    <s v="INR"/>
    <n v="-60851.519999999997"/>
    <s v="Credit Note against 256779413161"/>
  </r>
  <r>
    <s v="KUEHNE+NAGEL PVT. LTD."/>
    <n v="2025"/>
    <d v="2025-05-23T00:00:00"/>
    <x v="0"/>
    <x v="24"/>
    <n v="256779421109"/>
    <s v="USD"/>
    <n v="-3.78"/>
    <s v="INR"/>
    <n v="-325.02"/>
    <s v="Credit Note against 256779413169"/>
  </r>
  <r>
    <s v="KUEHNE+NAGEL PVT. LTD."/>
    <n v="2025"/>
    <d v="2025-05-21T00:00:00"/>
    <x v="1"/>
    <x v="25"/>
    <n v="256779413391"/>
    <s v="USD"/>
    <n v="253.29"/>
    <s v="INR"/>
    <n v="21778.81"/>
    <s v="InKPI-CODC-1-15 May 25-BOE9821502"/>
  </r>
  <r>
    <s v="KUEHNE+NAGEL PVT. LTD."/>
    <n v="2025"/>
    <d v="2025-05-21T00:00:00"/>
    <x v="1"/>
    <x v="25"/>
    <n v="256779413392"/>
    <s v="USD"/>
    <n v="218.17"/>
    <s v="INR"/>
    <n v="18759.060000000001"/>
    <s v="InKPI-CODC-1-15 May 25-BOE9821502"/>
  </r>
  <r>
    <s v="KUEHNE+NAGEL PVT. LTD."/>
    <n v="2025"/>
    <d v="2025-05-21T00:00:00"/>
    <x v="1"/>
    <x v="25"/>
    <n v="256779413393"/>
    <s v="USD"/>
    <n v="229.87"/>
    <s v="INR"/>
    <n v="19765.07"/>
    <s v="InKPI-CODC-1-15 May 25-BOE9821502"/>
  </r>
  <r>
    <s v="KUEHNE+NAGEL PVT. LTD."/>
    <n v="2025"/>
    <d v="2025-05-21T00:00:00"/>
    <x v="1"/>
    <x v="25"/>
    <n v="256779413394"/>
    <s v="USD"/>
    <n v="218.17"/>
    <s v="INR"/>
    <n v="18759.060000000001"/>
    <s v="InKPI-CODC-1-15 May 25-BOE9821502"/>
  </r>
  <r>
    <s v="KUEHNE+NAGEL PVT. LTD."/>
    <n v="2025"/>
    <d v="2025-05-21T00:00:00"/>
    <x v="1"/>
    <x v="25"/>
    <n v="256779413395"/>
    <s v="USD"/>
    <n v="264.98"/>
    <s v="INR"/>
    <n v="22783.96"/>
    <s v="InKPI-CODC-1-15 May 25-BOE9921502"/>
  </r>
  <r>
    <s v="KUEHNE+NAGEL PVT. LTD."/>
    <n v="2025"/>
    <d v="2025-05-21T00:00:00"/>
    <x v="1"/>
    <x v="25"/>
    <n v="256779413396"/>
    <s v="USD"/>
    <n v="218.17"/>
    <s v="INR"/>
    <n v="18759.060000000001"/>
    <s v="InKPI-CODC-1-15 May 25-BOE9921502"/>
  </r>
  <r>
    <s v="KUEHNE+NAGEL PVT. LTD."/>
    <n v="2025"/>
    <d v="2025-05-21T00:00:00"/>
    <x v="1"/>
    <x v="25"/>
    <n v="256779413397"/>
    <s v="USD"/>
    <n v="229.87"/>
    <s v="INR"/>
    <n v="19765.07"/>
    <s v="InKPI-CODC-1-15 May 25-BOE9921502"/>
  </r>
  <r>
    <s v="KUEHNE+NAGEL PVT. LTD."/>
    <n v="2025"/>
    <d v="2025-05-21T00:00:00"/>
    <x v="1"/>
    <x v="25"/>
    <n v="256779413398"/>
    <s v="USD"/>
    <n v="218.17"/>
    <s v="INR"/>
    <n v="18759.060000000001"/>
    <s v="InKPI-CODC-1-15 May 25-BOE9921502"/>
  </r>
  <r>
    <s v="KUEHNE+NAGEL PVT. LTD."/>
    <n v="2025"/>
    <d v="2025-05-21T00:00:00"/>
    <x v="1"/>
    <x v="25"/>
    <n v="256779413399"/>
    <s v="USD"/>
    <n v="229.87"/>
    <s v="INR"/>
    <n v="19765.07"/>
    <s v="InKPI-CODC-1-15 May 25-BOE9921502"/>
  </r>
  <r>
    <s v="KUEHNE+NAGEL PVT. LTD."/>
    <n v="2025"/>
    <d v="2025-05-21T00:00:00"/>
    <x v="1"/>
    <x v="25"/>
    <n v="256779413400"/>
    <s v="USD"/>
    <n v="218.17"/>
    <s v="INR"/>
    <n v="18759.060000000001"/>
    <s v="InKPI-CODC-1-15 May 25-BOE9921502"/>
  </r>
  <r>
    <s v="KUEHNE+NAGEL PVT. LTD."/>
    <n v="2025"/>
    <d v="2025-05-21T00:00:00"/>
    <x v="1"/>
    <x v="25"/>
    <n v="256779413401"/>
    <s v="USD"/>
    <n v="229.87"/>
    <s v="INR"/>
    <n v="19765.07"/>
    <s v="InKPI-CODC-1-15 May 25-BOE9921502"/>
  </r>
  <r>
    <s v="KUEHNE+NAGEL PVT. LTD."/>
    <n v="2025"/>
    <d v="2025-05-21T00:00:00"/>
    <x v="1"/>
    <x v="25"/>
    <n v="256779413402"/>
    <s v="USD"/>
    <n v="229.87"/>
    <s v="INR"/>
    <n v="19765.07"/>
    <s v="InKPI-CODC-1-15 May 25-BOE9921502"/>
  </r>
  <r>
    <s v="KUEHNE+NAGEL PVT. LTD."/>
    <n v="2025"/>
    <d v="2025-05-21T00:00:00"/>
    <x v="1"/>
    <x v="25"/>
    <n v="256779413403"/>
    <s v="USD"/>
    <n v="402.88"/>
    <s v="INR"/>
    <n v="34641.11"/>
    <s v="InKPI-CODC-1-15 May 25-BOE9918629"/>
  </r>
  <r>
    <s v="KUEHNE+NAGEL PVT. LTD."/>
    <n v="2025"/>
    <d v="2025-08-21T00:00:00"/>
    <x v="0"/>
    <x v="26"/>
    <n v="256779421698"/>
    <s v="USD"/>
    <n v="-30"/>
    <s v="INR"/>
    <n v="-2580.9"/>
    <s v="CN ISSUED TOWARDS BILL NO.256779415304"/>
  </r>
  <r>
    <s v="KUEHNE+NAGEL PVT. LTD."/>
    <n v="2025"/>
    <d v="2025-08-21T00:00:00"/>
    <x v="0"/>
    <x v="26"/>
    <n v="256779421699"/>
    <s v="USD"/>
    <n v="-30"/>
    <s v="INR"/>
    <n v="-2580.9"/>
    <s v="CN ISSUED TOWARDS BILL NO.256779415305"/>
  </r>
  <r>
    <s v="KUEHNE+NAGEL PVT. LTD."/>
    <n v="2025"/>
    <d v="2025-08-21T00:00:00"/>
    <x v="0"/>
    <x v="26"/>
    <n v="256779421700"/>
    <s v="USD"/>
    <n v="-30"/>
    <s v="INR"/>
    <n v="-2580.9"/>
    <s v="CN ISSUED TOWARDS BILL NO.256779415306"/>
  </r>
  <r>
    <s v="KUEHNE+NAGEL PVT. LTD."/>
    <n v="2025"/>
    <d v="2025-08-21T00:00:00"/>
    <x v="0"/>
    <x v="26"/>
    <n v="256779421701"/>
    <s v="USD"/>
    <n v="-30"/>
    <s v="INR"/>
    <n v="-2580.9"/>
    <s v="CN ISSUED TOWARDS BILL NO.256779415307"/>
  </r>
  <r>
    <s v="KUEHNE+NAGEL PVT. LTD."/>
    <n v="2025"/>
    <d v="2025-08-21T00:00:00"/>
    <x v="0"/>
    <x v="26"/>
    <n v="256779421702"/>
    <s v="USD"/>
    <n v="-30"/>
    <s v="INR"/>
    <n v="-2580.9"/>
    <s v="CN ISSUED TOWARDS BILL NO.256779415308"/>
  </r>
  <r>
    <s v="KUEHNE+NAGEL PVT. LTD."/>
    <n v="2025"/>
    <d v="2025-08-21T00:00:00"/>
    <x v="0"/>
    <x v="26"/>
    <n v="256779421703"/>
    <s v="USD"/>
    <n v="-27.39"/>
    <s v="INR"/>
    <n v="-2356.36"/>
    <s v="CN ISSUED TOWARDS BILL NO.256779415339"/>
  </r>
  <r>
    <s v="KUEHNE+NAGEL PVT. LTD."/>
    <n v="2025"/>
    <d v="2025-08-21T00:00:00"/>
    <x v="0"/>
    <x v="26"/>
    <n v="256779421705"/>
    <s v="USD"/>
    <n v="-212.5"/>
    <s v="INR"/>
    <n v="-18281.400000000001"/>
    <s v="CN ISSUED TOWARDS BILL NO.256779415321"/>
  </r>
  <r>
    <s v="KUEHNE+NAGEL PVT. LTD."/>
    <n v="2025"/>
    <d v="2025-08-21T00:00:00"/>
    <x v="0"/>
    <x v="26"/>
    <n v="256779421706"/>
    <s v="USD"/>
    <n v="-362.02"/>
    <s v="INR"/>
    <n v="-31144.62"/>
    <s v="CN ISSUED TOWARDS BILL NO.256779415374"/>
  </r>
  <r>
    <s v="KUEHNE+NAGEL PVT. LTD."/>
    <n v="2025"/>
    <d v="2025-08-21T00:00:00"/>
    <x v="0"/>
    <x v="26"/>
    <n v="256779421707"/>
    <s v="USD"/>
    <n v="-228.75"/>
    <s v="INR"/>
    <n v="-19679.39"/>
    <s v="CN ISSUED TOWARDS BILL NO.246779414662"/>
  </r>
  <r>
    <s v="KUEHNE+NAGEL PVT. LTD."/>
    <n v="2025"/>
    <d v="2025-08-21T00:00:00"/>
    <x v="0"/>
    <x v="26"/>
    <n v="256779421708"/>
    <s v="USD"/>
    <n v="-281.5"/>
    <s v="INR"/>
    <n v="-24217.48"/>
    <s v="CN ISSUED TOWARDS BILL NO.256779415365"/>
  </r>
  <r>
    <s v="KUEHNE+NAGEL PVT. LTD."/>
    <n v="2025"/>
    <d v="2025-04-24T00:00:00"/>
    <x v="1"/>
    <x v="27"/>
    <n v="256779412776"/>
    <s v="USD"/>
    <n v="632.46"/>
    <s v="INR"/>
    <n v="54974.57"/>
    <s v="VAS 1-15 April-25,Ex.Rate-85.69"/>
  </r>
  <r>
    <s v="KUEHNE+NAGEL PVT. LTD."/>
    <n v="2025"/>
    <d v="2025-06-18T00:00:00"/>
    <x v="1"/>
    <x v="28"/>
    <n v="256779414431"/>
    <s v="USD"/>
    <n v="52.38"/>
    <s v="INR"/>
    <n v="4478.01"/>
    <s v="Utility charge- Electricity for Nov 2024"/>
  </r>
  <r>
    <s v="KUEHNE+NAGEL PVT. LTD."/>
    <n v="2025"/>
    <d v="2025-06-18T00:00:00"/>
    <x v="1"/>
    <x v="28"/>
    <n v="256779414430"/>
    <s v="USD"/>
    <n v="95.24"/>
    <s v="INR"/>
    <n v="8142.14"/>
    <s v="Office space charges for Nov 2024"/>
  </r>
  <r>
    <s v="KUEHNE+NAGEL PVT. LTD."/>
    <n v="2025"/>
    <d v="2025-06-18T00:00:00"/>
    <x v="1"/>
    <x v="28"/>
    <n v="256779414445"/>
    <s v="USD"/>
    <n v="2333.1799999999998"/>
    <s v="INR"/>
    <n v="199465.38"/>
    <s v="Fixed Rental charges for Jan 2025"/>
  </r>
  <r>
    <s v="KUEHNE+NAGEL PVT. LTD."/>
    <n v="2025"/>
    <d v="2025-10-21T00:00:00"/>
    <x v="1"/>
    <x v="29"/>
    <n v="256779418474"/>
    <s v="USD"/>
    <n v="562.38"/>
    <s v="INR"/>
    <n v="49596.73"/>
    <s v="VAS  -1-15 Oct 2025"/>
  </r>
  <r>
    <s v="KUEHNE+NAGEL PVT. LTD."/>
    <n v="2025"/>
    <d v="2025-10-21T00:00:00"/>
    <x v="1"/>
    <x v="29"/>
    <n v="256779418480"/>
    <s v="USD"/>
    <n v="13.59"/>
    <s v="INR"/>
    <n v="1198.51"/>
    <s v="Weighment  -1-15 Oct 2025"/>
  </r>
  <r>
    <s v="KUEHNE+NAGEL PVT. LTD."/>
    <n v="2025"/>
    <d v="2025-10-21T00:00:00"/>
    <x v="1"/>
    <x v="29"/>
    <n v="256779418489"/>
    <s v="USD"/>
    <n v="562.38"/>
    <s v="INR"/>
    <n v="49596.73"/>
    <s v="VAS  -1-15 Oct 2025"/>
  </r>
  <r>
    <s v="KUEHNE+NAGEL PVT. LTD."/>
    <n v="2025"/>
    <d v="2025-10-21T00:00:00"/>
    <x v="1"/>
    <x v="29"/>
    <n v="256779418495"/>
    <s v="USD"/>
    <n v="13.59"/>
    <s v="INR"/>
    <n v="1198.51"/>
    <s v="Weighment  -1-15 Oct 2025"/>
  </r>
  <r>
    <s v="KUEHNE+NAGEL PVT. LTD."/>
    <n v="2025"/>
    <d v="2025-03-19T00:00:00"/>
    <x v="1"/>
    <x v="30"/>
    <n v="246779412994"/>
    <s v="USD"/>
    <n v="2297.27"/>
    <s v="INR"/>
    <n v="199153.23"/>
    <s v="Fixed Storage Charges for Mar 2025"/>
  </r>
  <r>
    <s v="KUEHNE+NAGEL PVT. LTD."/>
    <n v="2025"/>
    <d v="2025-03-19T00:00:00"/>
    <x v="1"/>
    <x v="30"/>
    <n v="246779413023"/>
    <s v="USD"/>
    <n v="91.89"/>
    <s v="INR"/>
    <n v="7966.06"/>
    <s v="Fixed Storage Charges for Mar 2025"/>
  </r>
  <r>
    <s v="KUEHNE+NAGEL PVT. LTD."/>
    <n v="2025"/>
    <d v="2025-03-19T00:00:00"/>
    <x v="1"/>
    <x v="30"/>
    <n v="246779413024"/>
    <s v="USD"/>
    <n v="50.54"/>
    <s v="INR"/>
    <n v="4381.38"/>
    <s v="Fixed Storage Charges for Mar 2025"/>
  </r>
  <r>
    <s v="KUEHNE+NAGEL PVT. LTD."/>
    <n v="2025"/>
    <d v="2025-03-19T00:00:00"/>
    <x v="1"/>
    <x v="30"/>
    <n v="246779413202"/>
    <s v="USD"/>
    <n v="39.06"/>
    <s v="INR"/>
    <n v="3386.16"/>
    <s v="CAAU8009071-Port SSR Shifting Jan 2025. Exch rate"/>
  </r>
  <r>
    <s v="KUEHNE+NAGEL PVT. LTD."/>
    <n v="2025"/>
    <d v="2025-03-19T00:00:00"/>
    <x v="1"/>
    <x v="30"/>
    <n v="246779413317"/>
    <s v="USD"/>
    <n v="20.100000000000001"/>
    <s v="INR"/>
    <n v="1742.49"/>
    <s v="WHSU5159898-Port SSR Storage Feb 2025. Exch rate -"/>
  </r>
  <r>
    <s v="KUEHNE+NAGEL PVT. LTD."/>
    <n v="2025"/>
    <d v="2025-06-19T00:00:00"/>
    <x v="1"/>
    <x v="31"/>
    <n v="256779414741"/>
    <s v="USD"/>
    <n v="579.79"/>
    <s v="INR"/>
    <n v="49566.7"/>
    <s v="VAS 1-15 June 25, Exch 86.10"/>
  </r>
  <r>
    <s v="KUEHNE+NAGEL PVT. LTD."/>
    <n v="2025"/>
    <d v="2025-11-20T00:00:00"/>
    <x v="1"/>
    <x v="32"/>
    <n v="256779419620"/>
    <s v="USD"/>
    <n v="102.39"/>
    <s v="INR"/>
    <n v="9010.67"/>
    <s v="Outbound chgs - 01 - 15 Nov 25"/>
  </r>
  <r>
    <s v="KUEHNE+NAGEL PVT. LTD."/>
    <n v="2025"/>
    <d v="2025-11-20T00:00:00"/>
    <x v="1"/>
    <x v="32"/>
    <n v="256779419531"/>
    <s v="USD"/>
    <n v="417.77"/>
    <s v="INR"/>
    <n v="36765.18"/>
    <s v="CODC LCL Chgs -1-15 Nov 25"/>
  </r>
  <r>
    <s v="KUEHNE+NAGEL PVT. LTD."/>
    <n v="2025"/>
    <d v="2025-11-20T00:00:00"/>
    <x v="1"/>
    <x v="32"/>
    <n v="256779419542"/>
    <s v="USD"/>
    <n v="409.4"/>
    <s v="INR"/>
    <n v="36028.589999999997"/>
    <s v="CODC Out chgs -1-15 Nov 25"/>
  </r>
  <r>
    <s v="KUEHNE+NAGEL PVT. LTD."/>
    <n v="2025"/>
    <d v="2025-11-20T00:00:00"/>
    <x v="1"/>
    <x v="32"/>
    <n v="256779419581"/>
    <s v="USD"/>
    <n v="156.19999999999999"/>
    <s v="INR"/>
    <n v="13746.13"/>
    <s v="LCL Chgs - 01 - 15 NOV 25"/>
  </r>
  <r>
    <s v="KUEHNE+NAGEL PVT. LTD."/>
    <n v="2025"/>
    <d v="2025-04-22T00:00:00"/>
    <x v="1"/>
    <x v="33"/>
    <n v="256779412524"/>
    <s v="USD"/>
    <n v="36.5"/>
    <s v="INR"/>
    <n v="3172.65"/>
    <s v="Inbound Handling charges for Feb 2025"/>
  </r>
  <r>
    <s v="KUEHNE+NAGEL PVT. LTD."/>
    <n v="2025"/>
    <d v="2025-04-22T00:00:00"/>
    <x v="1"/>
    <x v="33"/>
    <n v="256779412529"/>
    <s v="USD"/>
    <n v="29.57"/>
    <s v="INR"/>
    <n v="2570.2800000000002"/>
    <s v="Inbound Handling charges for Feb 2025"/>
  </r>
  <r>
    <s v="KUEHNE+NAGEL PVT. LTD."/>
    <n v="2025"/>
    <d v="2025-04-22T00:00:00"/>
    <x v="1"/>
    <x v="33"/>
    <n v="256779412536"/>
    <s v="USD"/>
    <n v="37.020000000000003"/>
    <s v="INR"/>
    <n v="3217.85"/>
    <s v="Inbound Handling charges for Feb 2025"/>
  </r>
  <r>
    <s v="KUEHNE+NAGEL PVT. LTD."/>
    <n v="2025"/>
    <d v="2025-04-22T00:00:00"/>
    <x v="1"/>
    <x v="33"/>
    <n v="256779412537"/>
    <s v="USD"/>
    <n v="407.58"/>
    <s v="INR"/>
    <n v="35427.599999999999"/>
    <s v="Inbound Handling charges for Feb 2025"/>
  </r>
  <r>
    <s v="KUEHNE+NAGEL PVT. LTD."/>
    <n v="2025"/>
    <d v="2025-04-22T00:00:00"/>
    <x v="1"/>
    <x v="33"/>
    <n v="256779412562"/>
    <s v="USD"/>
    <n v="54.65"/>
    <s v="INR"/>
    <n v="4750.28"/>
    <s v="Inbound Handling charges for Feb 2025"/>
  </r>
  <r>
    <s v="KUEHNE+NAGEL PVT. LTD."/>
    <n v="2025"/>
    <d v="2025-04-22T00:00:00"/>
    <x v="1"/>
    <x v="33"/>
    <n v="256779412563"/>
    <s v="USD"/>
    <n v="27"/>
    <s v="INR"/>
    <n v="2346.89"/>
    <s v="Inbound Handling charges for Feb 2025"/>
  </r>
  <r>
    <s v="KUEHNE+NAGEL PVT. LTD."/>
    <n v="2025"/>
    <d v="2025-04-22T00:00:00"/>
    <x v="1"/>
    <x v="33"/>
    <n v="256779412564"/>
    <s v="USD"/>
    <n v="55.2"/>
    <s v="INR"/>
    <n v="4798.08"/>
    <s v="Inbound Handling charges for Feb 2025"/>
  </r>
  <r>
    <s v="KUEHNE+NAGEL PVT. LTD."/>
    <n v="2025"/>
    <d v="2025-04-22T00:00:00"/>
    <x v="1"/>
    <x v="33"/>
    <n v="256779412570"/>
    <s v="USD"/>
    <n v="43.38"/>
    <s v="INR"/>
    <n v="3770.67"/>
    <s v="Inbound Handling charges for Feb 2025"/>
  </r>
  <r>
    <s v="KUEHNE+NAGEL PVT. LTD."/>
    <n v="2025"/>
    <d v="2025-04-22T00:00:00"/>
    <x v="1"/>
    <x v="33"/>
    <n v="256779412576"/>
    <s v="USD"/>
    <n v="46"/>
    <s v="INR"/>
    <n v="3998.4"/>
    <s v="Inbound Handling charges for Feb 2025"/>
  </r>
  <r>
    <s v="KUEHNE+NAGEL PVT. LTD."/>
    <n v="2025"/>
    <d v="2025-04-22T00:00:00"/>
    <x v="1"/>
    <x v="33"/>
    <n v="256779412577"/>
    <s v="USD"/>
    <n v="46"/>
    <s v="INR"/>
    <n v="3998.4"/>
    <s v="Inbound Handling charges for Feb 2025"/>
  </r>
  <r>
    <s v="KUEHNE+NAGEL PVT. LTD."/>
    <n v="2025"/>
    <d v="2025-04-22T00:00:00"/>
    <x v="1"/>
    <x v="33"/>
    <n v="256779412579"/>
    <s v="USD"/>
    <n v="57.6"/>
    <s v="INR"/>
    <n v="5006.7"/>
    <s v="Inbound Handling charges for Feb 2025"/>
  </r>
  <r>
    <s v="KUEHNE+NAGEL PVT. LTD."/>
    <n v="2025"/>
    <d v="2025-04-22T00:00:00"/>
    <x v="1"/>
    <x v="33"/>
    <n v="256779412580"/>
    <s v="USD"/>
    <n v="40.5"/>
    <s v="INR"/>
    <n v="3520.33"/>
    <s v="Inbound Handling charges for Feb 2025"/>
  </r>
  <r>
    <s v="KUEHNE+NAGEL PVT. LTD."/>
    <n v="2025"/>
    <d v="2025-04-22T00:00:00"/>
    <x v="1"/>
    <x v="33"/>
    <n v="256779412581"/>
    <s v="USD"/>
    <n v="51.5"/>
    <s v="INR"/>
    <n v="4476.47"/>
    <s v="Inbound Handling charges for Feb 2025"/>
  </r>
  <r>
    <s v="KUEHNE+NAGEL PVT. LTD."/>
    <n v="2025"/>
    <d v="2025-04-22T00:00:00"/>
    <x v="1"/>
    <x v="33"/>
    <n v="256779412583"/>
    <s v="USD"/>
    <n v="51.75"/>
    <s v="INR"/>
    <n v="4498.2"/>
    <s v="Inbound Handling charges for Feb 2025"/>
  </r>
  <r>
    <s v="KUEHNE+NAGEL PVT. LTD."/>
    <n v="2025"/>
    <d v="2025-04-22T00:00:00"/>
    <x v="1"/>
    <x v="33"/>
    <n v="256779412585"/>
    <s v="USD"/>
    <n v="48.75"/>
    <s v="INR"/>
    <n v="4237.4399999999996"/>
    <s v="Inbound Handling charges for Feb 2025"/>
  </r>
  <r>
    <s v="KUEHNE+NAGEL PVT. LTD."/>
    <n v="2025"/>
    <d v="2025-04-22T00:00:00"/>
    <x v="1"/>
    <x v="33"/>
    <n v="256779412586"/>
    <s v="USD"/>
    <n v="51.5"/>
    <s v="INR"/>
    <n v="4476.47"/>
    <s v="Inbound Handling charges for Feb 2025"/>
  </r>
  <r>
    <s v="KUEHNE+NAGEL PVT. LTD."/>
    <n v="2025"/>
    <d v="2025-04-22T00:00:00"/>
    <x v="1"/>
    <x v="33"/>
    <n v="256779412609"/>
    <s v="USD"/>
    <n v="700.06"/>
    <s v="INR"/>
    <n v="60850.49"/>
    <s v="Inbound Handling charges for 31 Mar 2025"/>
  </r>
  <r>
    <s v="KUEHNE+NAGEL PVT. LTD."/>
    <n v="2025"/>
    <d v="2025-04-22T00:00:00"/>
    <x v="1"/>
    <x v="33"/>
    <n v="256779412649"/>
    <s v="USD"/>
    <n v="79.650000000000006"/>
    <s v="INR"/>
    <n v="6923.32"/>
    <s v="Outbound Handling charges for 31 Mar 25"/>
  </r>
  <r>
    <s v="KUEHNE+NAGEL PVT. LTD."/>
    <n v="2025"/>
    <d v="2025-09-18T00:00:00"/>
    <x v="1"/>
    <x v="34"/>
    <n v="256779417517"/>
    <s v="USD"/>
    <n v="4.68"/>
    <s v="INR"/>
    <n v="409.57"/>
    <s v="Outbound chgs - 01 - 15 Sep 25"/>
  </r>
  <r>
    <s v="KUEHNE+NAGEL PVT. LTD."/>
    <n v="2025"/>
    <d v="2025-09-18T00:00:00"/>
    <x v="1"/>
    <x v="34"/>
    <n v="256779417557"/>
    <s v="USD"/>
    <n v="725.96"/>
    <s v="INR"/>
    <n v="63531.9"/>
    <s v="LCL Chgs - 01 - 15 SEP 25"/>
  </r>
  <r>
    <s v="KUEHNE+NAGEL PVT. LTD."/>
    <n v="2025"/>
    <d v="2025-09-18T00:00:00"/>
    <x v="1"/>
    <x v="34"/>
    <n v="256779417580"/>
    <s v="USD"/>
    <n v="184.38"/>
    <s v="INR"/>
    <n v="16135.89"/>
    <s v="CODC Inbound chgs - 1-15  Sep  25"/>
  </r>
  <r>
    <s v="KUEHNE+NAGEL PVT. LTD."/>
    <n v="2025"/>
    <d v="2025-09-18T00:00:00"/>
    <x v="1"/>
    <x v="34"/>
    <n v="256779417597"/>
    <s v="USD"/>
    <n v="1055.04"/>
    <s v="INR"/>
    <n v="92331.12"/>
    <s v="CODC Out chgs -1-15 Sep 25"/>
  </r>
  <r>
    <s v="KUEHNE+NAGEL PVT. LTD."/>
    <n v="2025"/>
    <d v="2025-12-05T00:00:00"/>
    <x v="1"/>
    <x v="35"/>
    <n v="256779419808"/>
    <s v="USD"/>
    <n v="27.95"/>
    <s v="INR"/>
    <n v="2479.17"/>
    <s v="Internet Activity Chgs - Nov 25"/>
  </r>
  <r>
    <s v="KUEHNE+NAGEL PVT. LTD."/>
    <n v="2025"/>
    <d v="2025-12-05T00:00:00"/>
    <x v="1"/>
    <x v="35"/>
    <n v="256779419908"/>
    <s v="USD"/>
    <n v="375.94"/>
    <s v="INR"/>
    <n v="33345.93"/>
    <s v="Outbound chgs - 16 - 30 Nov 25"/>
  </r>
  <r>
    <s v="KUEHNE+NAGEL PVT. LTD."/>
    <n v="2025"/>
    <d v="2025-05-22T00:00:00"/>
    <x v="0"/>
    <x v="36"/>
    <n v="256779420844"/>
    <s v="INR"/>
    <n v="-262.20999999999998"/>
    <s v="INR"/>
    <n v="-262.20999999999998"/>
    <s v="Credit Note against 256779412140"/>
  </r>
  <r>
    <s v="KUEHNE+NAGEL PVT. LTD."/>
    <n v="2025"/>
    <d v="2025-05-22T00:00:00"/>
    <x v="0"/>
    <x v="36"/>
    <n v="256779420845"/>
    <s v="USD"/>
    <n v="-466.37"/>
    <s v="INR"/>
    <n v="-40430.199999999997"/>
    <s v="Credit Note against 246779413076"/>
  </r>
  <r>
    <s v="KUEHNE+NAGEL PVT. LTD."/>
    <n v="2025"/>
    <d v="2025-09-22T00:00:00"/>
    <x v="1"/>
    <x v="37"/>
    <n v="256779417744"/>
    <s v="USD"/>
    <n v="870"/>
    <s v="INR"/>
    <n v="76137.47"/>
    <s v="Transportation IN Chargs"/>
  </r>
  <r>
    <s v="KUEHNE+NAGEL PVT. LTD."/>
    <n v="2025"/>
    <d v="2025-09-22T00:00:00"/>
    <x v="1"/>
    <x v="37"/>
    <n v="256779417801"/>
    <s v="USD"/>
    <n v="4755.47"/>
    <s v="INR"/>
    <n v="416171.77"/>
    <s v="Unit - Storage - Aug 25"/>
  </r>
  <r>
    <s v="KUEHNE+NAGEL PVT. LTD."/>
    <n v="2025"/>
    <d v="2025-04-23T00:00:00"/>
    <x v="1"/>
    <x v="38"/>
    <n v="256779412884"/>
    <s v="USD"/>
    <n v="136.08000000000001"/>
    <s v="INR"/>
    <n v="11828.32"/>
    <s v="LCL Chgs - 01 - 15 Apr 25"/>
  </r>
  <r>
    <s v="KUEHNE+NAGEL PVT. LTD."/>
    <n v="2025"/>
    <d v="2025-04-23T00:00:00"/>
    <x v="1"/>
    <x v="38"/>
    <n v="256779412918"/>
    <s v="USD"/>
    <n v="183.35"/>
    <s v="INR"/>
    <n v="15937.12"/>
    <s v="Outbound chgs - 01 - 15 Apr 25"/>
  </r>
  <r>
    <s v="KUEHNE+NAGEL PVT. LTD."/>
    <n v="2025"/>
    <d v="2025-04-23T00:00:00"/>
    <x v="1"/>
    <x v="38"/>
    <n v="256779412948"/>
    <s v="USD"/>
    <n v="3.1"/>
    <s v="INR"/>
    <n v="269.45999999999998"/>
    <s v="Outbound chgs - 01 - 15 Apr 25"/>
  </r>
  <r>
    <s v="KUEHNE+NAGEL PVT. LTD."/>
    <n v="2025"/>
    <d v="2025-03-21T00:00:00"/>
    <x v="1"/>
    <x v="39"/>
    <n v="246779414296"/>
    <s v="USD"/>
    <n v="553.87"/>
    <s v="INR"/>
    <n v="48015.69"/>
    <s v="Inbound Handling charges for Oct 2024"/>
  </r>
  <r>
    <s v="KUEHNE+NAGEL PVT. LTD."/>
    <n v="2025"/>
    <d v="2025-03-21T00:00:00"/>
    <x v="1"/>
    <x v="39"/>
    <n v="246779414297"/>
    <s v="USD"/>
    <n v="424.8"/>
    <s v="INR"/>
    <n v="36826.449999999997"/>
    <s v="LCL Movement Charges for Oct 2024"/>
  </r>
  <r>
    <s v="KUEHNE+NAGEL PVT. LTD."/>
    <n v="2025"/>
    <d v="2025-03-21T00:00:00"/>
    <x v="1"/>
    <x v="39"/>
    <n v="246779414298"/>
    <s v="USD"/>
    <n v="70.8"/>
    <s v="INR"/>
    <n v="6137.74"/>
    <s v="CY-MOVEMENT CHARGES for Oct 2024"/>
  </r>
  <r>
    <s v="KUEHNE+NAGEL PVT. LTD."/>
    <n v="2025"/>
    <d v="2025-06-02T00:00:00"/>
    <x v="1"/>
    <x v="40"/>
    <n v="256779413931"/>
    <s v="USD"/>
    <n v="395.23"/>
    <s v="INR"/>
    <n v="33788.519999999997"/>
    <s v="Port SSR Charges - Shifting for Aug to D"/>
  </r>
  <r>
    <s v="KUEHNE+NAGEL PVT. LTD."/>
    <n v="2025"/>
    <d v="2025-06-02T00:00:00"/>
    <x v="1"/>
    <x v="40"/>
    <n v="256779413972"/>
    <s v="INR"/>
    <n v="262.20999999999998"/>
    <s v="INR"/>
    <n v="262.20999999999998"/>
    <s v="Fixed Internet Charges for April,2025"/>
  </r>
  <r>
    <s v="KUEHNE+NAGEL PVT. LTD."/>
    <n v="2025"/>
    <d v="2025-10-07T00:00:00"/>
    <x v="1"/>
    <x v="41"/>
    <n v="256779418176"/>
    <s v="USD"/>
    <n v="639.04999999999995"/>
    <s v="INR"/>
    <n v="56358.31"/>
    <s v="VAS-16-30 Sept 25"/>
  </r>
  <r>
    <s v="KUEHNE+NAGEL PVT. LTD."/>
    <n v="2025"/>
    <d v="2025-10-07T00:00:00"/>
    <x v="1"/>
    <x v="41"/>
    <n v="256779418185"/>
    <s v="USD"/>
    <n v="405.44"/>
    <s v="INR"/>
    <n v="35756.07"/>
    <s v="Weighment-16-30 Sept 25"/>
  </r>
  <r>
    <s v="KUEHNE+NAGEL PVT. LTD."/>
    <n v="2025"/>
    <d v="2025-07-19T00:00:00"/>
    <x v="1"/>
    <x v="42"/>
    <n v="256779415769"/>
    <s v="USD"/>
    <n v="234.91"/>
    <s v="INR"/>
    <n v="20202.419999999998"/>
    <s v="VAS - 1-15 July 25"/>
  </r>
  <r>
    <s v="KUEHNE+NAGEL PVT. LTD."/>
    <n v="2025"/>
    <d v="2025-05-10T00:00:00"/>
    <x v="1"/>
    <x v="43"/>
    <n v="256779413240"/>
    <s v="USD"/>
    <n v="424.03"/>
    <s v="INR"/>
    <n v="36459.67"/>
    <s v="VAS - 16-30 April 25, Ex.Rate-85.05"/>
  </r>
  <r>
    <s v="KUEHNE+NAGEL PVT. LTD."/>
    <n v="2025"/>
    <d v="2025-05-10T00:00:00"/>
    <x v="1"/>
    <x v="43"/>
    <n v="256779413250"/>
    <s v="USD"/>
    <n v="423.28"/>
    <s v="INR"/>
    <n v="36395.18"/>
    <s v="Weighment-16-30 April25, Ex.Rate-85.05"/>
  </r>
  <r>
    <s v="KUEHNE+NAGEL PVT. LTD."/>
    <n v="2025"/>
    <d v="2025-05-10T00:00:00"/>
    <x v="1"/>
    <x v="43"/>
    <n v="256779413161"/>
    <s v="USD"/>
    <n v="707.71"/>
    <s v="INR"/>
    <n v="60851.519999999997"/>
    <s v="CODC Inbound chgs - 16 - 30 Apr 25"/>
  </r>
  <r>
    <s v="KUEHNE+NAGEL PVT. LTD."/>
    <n v="2025"/>
    <d v="2025-05-10T00:00:00"/>
    <x v="1"/>
    <x v="43"/>
    <n v="256779413169"/>
    <s v="USD"/>
    <n v="3.78"/>
    <s v="INR"/>
    <n v="325.02"/>
    <s v="CODC Out chgs - 16 - 30 Apr 25"/>
  </r>
  <r>
    <s v="KUEHNE+NAGEL PVT. LTD."/>
    <n v="2025"/>
    <d v="2025-12-06T00:00:00"/>
    <x v="1"/>
    <x v="44"/>
    <n v="256779419983"/>
    <s v="USD"/>
    <n v="55.63"/>
    <s v="INR"/>
    <n v="4934.3900000000003"/>
    <s v="PORT SSR Chgs Nov 25"/>
  </r>
  <r>
    <s v="KUEHNE+NAGEL PVT. LTD."/>
    <n v="2025"/>
    <d v="2025-10-18T00:00:00"/>
    <x v="1"/>
    <x v="45"/>
    <n v="256779418424"/>
    <s v="USD"/>
    <n v="1334.62"/>
    <s v="INR"/>
    <n v="117701.17"/>
    <s v="CODC Inbound chgs - 1-15 Oct 25"/>
  </r>
  <r>
    <s v="KUEHNE+NAGEL PVT. LTD."/>
    <n v="2025"/>
    <d v="2025-10-18T00:00:00"/>
    <x v="1"/>
    <x v="45"/>
    <n v="256779418433"/>
    <s v="USD"/>
    <n v="351.43"/>
    <s v="INR"/>
    <n v="30992.880000000001"/>
    <s v="CODC Out chgs -1-15 Oct 25"/>
  </r>
  <r>
    <s v="KUEHNE+NAGEL PVT. LTD."/>
    <n v="2025"/>
    <d v="2025-06-07T00:00:00"/>
    <x v="1"/>
    <x v="46"/>
    <n v="256779414253"/>
    <s v="USD"/>
    <n v="9947.26"/>
    <s v="INR"/>
    <n v="850399.02"/>
    <s v="Unit storage -1-31 May 25"/>
  </r>
  <r>
    <s v="KUEHNE+NAGEL PVT. LTD."/>
    <n v="2025"/>
    <d v="2025-10-06T00:00:00"/>
    <x v="1"/>
    <x v="47"/>
    <n v="256779418006"/>
    <s v="USD"/>
    <n v="4667.07"/>
    <s v="INR"/>
    <n v="411592.5"/>
    <s v="Unit Storage - 1-30 Sept 2025"/>
  </r>
  <r>
    <s v="KUEHNE+NAGEL PVT. LTD."/>
    <n v="2025"/>
    <d v="2025-10-05T00:00:00"/>
    <x v="1"/>
    <x v="48"/>
    <n v="256779417892"/>
    <s v="USD"/>
    <n v="58.45"/>
    <s v="INR"/>
    <n v="5154.75"/>
    <s v="Empty Lolo Chgs - 01 - 30 SEP 25"/>
  </r>
  <r>
    <s v="KUEHNE+NAGEL PVT. LTD."/>
    <n v="2025"/>
    <d v="2025-10-05T00:00:00"/>
    <x v="1"/>
    <x v="48"/>
    <n v="256779417931"/>
    <s v="USD"/>
    <n v="288.83999999999997"/>
    <s v="INR"/>
    <n v="25473.02"/>
    <s v="LCL Chgs - 16 - 30 SEP 25"/>
  </r>
  <r>
    <s v="KUEHNE+NAGEL PVT. LTD."/>
    <n v="2025"/>
    <d v="2025-10-05T00:00:00"/>
    <x v="1"/>
    <x v="48"/>
    <n v="256779417971"/>
    <s v="USD"/>
    <n v="94.81"/>
    <s v="INR"/>
    <n v="8361.3700000000008"/>
    <s v="Outbound chgs - 16 - 30 Sep 25"/>
  </r>
  <r>
    <s v="KUEHNE+NAGEL PVT. LTD."/>
    <n v="2025"/>
    <d v="2025-10-05T00:00:00"/>
    <x v="1"/>
    <x v="48"/>
    <n v="256779418357"/>
    <s v="USD"/>
    <n v="394.19"/>
    <s v="INR"/>
    <n v="34763.919999999998"/>
    <s v="Internet Activity Chgs - Aug 24 to Sep 25"/>
  </r>
  <r>
    <s v="KUEHNE+NAGEL PVT. LTD."/>
    <n v="2025"/>
    <d v="2025-10-05T00:00:00"/>
    <x v="1"/>
    <x v="48"/>
    <n v="256779418391"/>
    <s v="USD"/>
    <n v="38.51"/>
    <s v="INR"/>
    <n v="3396.23"/>
    <s v="PORT SSR Chgs Sep 25"/>
  </r>
  <r>
    <s v="KUEHNE+NAGEL PVT. LTD."/>
    <n v="2025"/>
    <d v="2025-10-05T00:00:00"/>
    <x v="1"/>
    <x v="48"/>
    <n v="256779418068"/>
    <s v="USD"/>
    <n v="94.81"/>
    <s v="INR"/>
    <n v="8361.3700000000008"/>
    <s v="Outbound chgs - 16 - 30 Sep 25"/>
  </r>
  <r>
    <s v="KUEHNE+NAGEL PVT. LTD."/>
    <n v="2025"/>
    <d v="2025-09-06T00:00:00"/>
    <x v="1"/>
    <x v="49"/>
    <n v="256779417093"/>
    <s v="USD"/>
    <n v="4608.8"/>
    <s v="INR"/>
    <n v="403336.04"/>
    <s v="Unit-Storage-1-31 Aug 25"/>
  </r>
  <r>
    <s v="KUEHNE+NAGEL PVT. LTD."/>
    <n v="2025"/>
    <d v="2025-05-18T00:00:00"/>
    <x v="1"/>
    <x v="50"/>
    <n v="256779413859"/>
    <s v="USD"/>
    <n v="413"/>
    <s v="INR"/>
    <n v="35511.269999999997"/>
    <s v="Scanning  Chgs - 01 - 15 May 25"/>
  </r>
  <r>
    <s v="KUEHNE+NAGEL PVT. LTD."/>
    <n v="2026"/>
    <d v="2026-01-02T00:00:00"/>
    <x v="1"/>
    <x v="51"/>
    <n v="256779440007"/>
    <s v="USD"/>
    <n v="1332.49"/>
    <s v="INR"/>
    <n v="120914.33"/>
    <s v="Unit Storage - 1-30 Nov 2025"/>
  </r>
  <r>
    <s v="KUEHNE+NAGEL PVT. LTD."/>
    <n v="2026"/>
    <d v="2026-01-05T00:00:00"/>
    <x v="0"/>
    <x v="52"/>
    <n v="256779422164"/>
    <s v="USD"/>
    <n v="-562.38"/>
    <s v="INR"/>
    <n v="-51032.13"/>
    <s v="Credit note for Duplicate invoice -256779418489"/>
  </r>
  <r>
    <s v="KUEHNE+NAGEL PVT. LTD."/>
    <n v="2026"/>
    <d v="2026-01-05T00:00:00"/>
    <x v="0"/>
    <x v="52"/>
    <n v="256779422170"/>
    <s v="USD"/>
    <n v="-13.59"/>
    <s v="INR"/>
    <n v="-1233.2"/>
    <s v="Credit note for Duplicate invoice -256779418495"/>
  </r>
  <r>
    <s v="KUEHNE+NAGEL PVT. LTD."/>
    <n v="2026"/>
    <d v="2026-01-05T00:00:00"/>
    <x v="1"/>
    <x v="52"/>
    <n v="256779440060"/>
    <s v="USD"/>
    <n v="198.57"/>
    <s v="INR"/>
    <n v="18018.87"/>
    <s v="CODC LCL Chgs -01-15 Dec 25"/>
  </r>
  <r>
    <s v="KUEHNE+NAGEL PVT. LTD."/>
    <n v="2026"/>
    <d v="2026-01-05T00:00:00"/>
    <x v="1"/>
    <x v="52"/>
    <n v="256779440067"/>
    <s v="USD"/>
    <n v="100.07"/>
    <s v="INR"/>
    <n v="9080.67"/>
    <s v="CODC Out chgs -1-15 Dec 25"/>
  </r>
  <r>
    <s v="KUEHNE+NAGEL PVT. LTD."/>
    <n v="2026"/>
    <d v="2026-01-05T00:00:00"/>
    <x v="1"/>
    <x v="52"/>
    <n v="256779440078"/>
    <s v="USD"/>
    <n v="78.75"/>
    <s v="INR"/>
    <n v="7146.02"/>
    <s v="Outbound chgs - 01 - 15 Dec 25"/>
  </r>
  <r>
    <s v="KUEHNE+NAGEL PVT. LTD."/>
    <n v="2026"/>
    <d v="2026-01-05T00:00:00"/>
    <x v="1"/>
    <x v="52"/>
    <n v="256779440116"/>
    <s v="USD"/>
    <n v="498.28"/>
    <s v="INR"/>
    <n v="45215.49"/>
    <s v="LCL Chgs - 01 - 15 DEC 25"/>
  </r>
  <r>
    <s v="KUEHNE+NAGEL PVT. LTD."/>
    <n v="2026"/>
    <d v="2026-01-08T00:00:00"/>
    <x v="2"/>
    <x v="53"/>
    <s v=""/>
    <s v="INR"/>
    <n v="-719881.09"/>
    <s v="INR"/>
    <n v="-719881.09"/>
    <s v=""/>
  </r>
  <r>
    <s v="KUEHNE+NAGEL PVT. LTD."/>
    <n v="2026"/>
    <d v="2026-01-09T00:00:00"/>
    <x v="1"/>
    <x v="54"/>
    <n v="256779440126"/>
    <s v="USD"/>
    <n v="122.48"/>
    <s v="INR"/>
    <n v="11114.22"/>
    <s v="CODC Out chgs -1-15 Nov 25"/>
  </r>
  <r>
    <s v="KUEHNE+NAGEL PVT. LTD."/>
    <n v="2026"/>
    <d v="2026-01-09T00:00:00"/>
    <x v="1"/>
    <x v="54"/>
    <n v="256779440136"/>
    <s v="USD"/>
    <n v="27.81"/>
    <s v="INR"/>
    <n v="2523.5700000000002"/>
    <s v="Internet Activity Chgs - Dec 25"/>
  </r>
  <r>
    <s v="KUEHNE+NAGEL PVT. LTD."/>
    <n v="2026"/>
    <d v="2026-01-06T00:00:00"/>
    <x v="1"/>
    <x v="55"/>
    <n v="256779440150"/>
    <s v="USD"/>
    <n v="112.85"/>
    <s v="INR"/>
    <n v="10240.36"/>
    <s v="Empty Lolo Chgs - 01 - 31 DEC 25"/>
  </r>
  <r>
    <s v="KUEHNE+NAGEL PVT. LTD."/>
    <n v="2026"/>
    <d v="2026-01-06T00:00:00"/>
    <x v="1"/>
    <x v="55"/>
    <n v="256779440159"/>
    <s v="USD"/>
    <n v="160.22"/>
    <s v="INR"/>
    <n v="14538.87"/>
    <s v="PORT SSR Chgs Dec 25"/>
  </r>
  <r>
    <s v="KUEHNE+NAGEL PVT. LTD."/>
    <n v="2026"/>
    <d v="2026-01-06T00:00:00"/>
    <x v="1"/>
    <x v="55"/>
    <n v="256779440208"/>
    <s v="USD"/>
    <n v="650.12"/>
    <s v="INR"/>
    <n v="58993.93"/>
    <s v="LCL Chgs - 16 - 31 DEC 25"/>
  </r>
  <r>
    <s v="KUEHNE+NAGEL PVT. LTD."/>
    <n v="2026"/>
    <d v="2026-01-12T00:00:00"/>
    <x v="1"/>
    <x v="56"/>
    <n v="256779440227"/>
    <s v="USD"/>
    <n v="304.07"/>
    <s v="INR"/>
    <n v="27592.27"/>
    <s v="Outbound chgs - 16 - 31 Dec 25"/>
  </r>
  <r>
    <s v="KUEHNE+NAGEL PVT. LTD."/>
    <n v="2026"/>
    <d v="2026-01-06T00:00:00"/>
    <x v="1"/>
    <x v="55"/>
    <n v="256779440238"/>
    <s v="USD"/>
    <n v="1083.58"/>
    <s v="INR"/>
    <n v="98327.45"/>
    <s v="Unit Storage - 1-31 DEC 2025"/>
  </r>
  <r>
    <s v="KUEHNE+NAGEL PVT. LTD."/>
    <n v="2026"/>
    <d v="2026-01-12T00:00:00"/>
    <x v="1"/>
    <x v="56"/>
    <n v="256779440285"/>
    <s v="USD"/>
    <n v="535.29"/>
    <s v="INR"/>
    <n v="48573.9"/>
    <s v="VAS-Dec 25 - 16-31"/>
  </r>
  <r>
    <s v="KUEHNE+NAGEL PVT. LTD."/>
    <n v="2026"/>
    <d v="2026-01-06T00:00:00"/>
    <x v="1"/>
    <x v="55"/>
    <n v="256779440309"/>
    <s v="INR"/>
    <n v="200000"/>
    <s v="INR"/>
    <n v="200000"/>
    <s v="Fixed Storage Charges for January 2026"/>
  </r>
  <r>
    <s v="KUEHNE+NAGEL PVT. LTD."/>
    <n v="2026"/>
    <d v="2026-01-06T00:00:00"/>
    <x v="1"/>
    <x v="55"/>
    <n v="256779440310"/>
    <s v="INR"/>
    <n v="8000"/>
    <s v="INR"/>
    <n v="8000"/>
    <s v="Fixed Storage Charges for January 2026"/>
  </r>
  <r>
    <s v="KUEHNE+NAGEL PVT. LTD."/>
    <n v="2026"/>
    <d v="2026-01-06T00:00:00"/>
    <x v="1"/>
    <x v="55"/>
    <n v="256779440311"/>
    <s v="INR"/>
    <n v="4400"/>
    <s v="INR"/>
    <n v="4400"/>
    <s v="Fixed Storage Charges for January 2026"/>
  </r>
  <r>
    <s v="KUEHNE+NAGEL PVT. LTD."/>
    <n v="2026"/>
    <d v="2026-01-13T00:00:00"/>
    <x v="1"/>
    <x v="57"/>
    <n v="256779440363"/>
    <s v="USD"/>
    <n v="937.45"/>
    <s v="INR"/>
    <n v="85067.16"/>
    <s v="VAS - NOV 25,16-30"/>
  </r>
  <r>
    <s v="KUEHNE+NAGEL PVT. LTD."/>
    <n v="2026"/>
    <d v="2026-01-21T00:00:00"/>
    <x v="1"/>
    <x v="58"/>
    <n v="256779440381"/>
    <s v="USD"/>
    <n v="6.79"/>
    <s v="INR"/>
    <n v="616.15"/>
    <s v="CODC Out chgs -1-15 JAN 26"/>
  </r>
  <r>
    <s v="KUEHNE+NAGEL PVT. LTD."/>
    <n v="2026"/>
    <d v="2026-01-21T00:00:00"/>
    <x v="1"/>
    <x v="58"/>
    <n v="256779440388"/>
    <s v="USD"/>
    <n v="57.29"/>
    <s v="INR"/>
    <n v="5198.67"/>
    <s v="CODC LCL Chgs -1-15 JAN 26"/>
  </r>
  <r>
    <s v="KUEHNE+NAGEL PVT. LTD."/>
    <n v="2026"/>
    <d v="2026-01-23T00:00:00"/>
    <x v="1"/>
    <x v="59"/>
    <n v="256779440411"/>
    <s v="USD"/>
    <n v="554.49"/>
    <s v="INR"/>
    <n v="50316.160000000003"/>
    <s v="LCL Chgs - 01 - 15 JAN 26"/>
  </r>
  <r>
    <s v="KUEHNE+NAGEL PVT. LTD."/>
    <n v="2026"/>
    <d v="2026-01-23T00:00:00"/>
    <x v="1"/>
    <x v="59"/>
    <n v="256779440427"/>
    <s v="USD"/>
    <n v="44.06"/>
    <s v="INR"/>
    <n v="3998.14"/>
    <s v="Outbound chgs - 01 - 15 JAN 26"/>
  </r>
  <r>
    <s v="KUEHNE+NAGEL PVT. LTD."/>
    <n v="2026"/>
    <d v="2026-01-27T00:00:00"/>
    <x v="1"/>
    <x v="60"/>
    <n v="256779440443"/>
    <s v="USD"/>
    <n v="18.41"/>
    <s v="INR"/>
    <n v="1670.58"/>
    <s v="VAS-1-15 Jan 2026"/>
  </r>
  <r>
    <s v="KUEHNE+NAGEL PVT. LTD."/>
    <n v="2025"/>
    <d v="2025-07-10T00:00:00"/>
    <x v="1"/>
    <x v="0"/>
    <n v="256779415364"/>
    <s v="USD"/>
    <n v="200"/>
    <s v="INR"/>
    <n v="17200.13"/>
    <s v="CY Longstanding Transportation chgs for 31 MAR 202"/>
  </r>
  <r>
    <s v="KUEHNE+NAGEL PVT. LTD."/>
    <n v="2025"/>
    <d v="2025-07-10T00:00:00"/>
    <x v="1"/>
    <x v="0"/>
    <n v="256779415365"/>
    <s v="USD"/>
    <n v="313"/>
    <s v="INR"/>
    <n v="26918.21"/>
    <s v="Inbound Handling charges for Dec 2024"/>
  </r>
  <r>
    <s v="KUEHNE+NAGEL PVT. LTD."/>
    <n v="2025"/>
    <d v="2025-07-10T00:00:00"/>
    <x v="1"/>
    <x v="0"/>
    <n v="256779415366"/>
    <s v="USD"/>
    <n v="192"/>
    <s v="INR"/>
    <n v="16512.13"/>
    <s v="LCL charges for Dec 2024"/>
  </r>
  <r>
    <s v="KUEHNE+NAGEL PVT. LTD."/>
    <n v="2025"/>
    <d v="2025-07-10T00:00:00"/>
    <x v="1"/>
    <x v="0"/>
    <n v="256779415367"/>
    <s v="USD"/>
    <n v="200"/>
    <s v="INR"/>
    <n v="17200.13"/>
    <s v="Transportation Inbound charges for Dec 2024"/>
  </r>
  <r>
    <s v="KUEHNE+NAGEL PVT. LTD."/>
    <n v="2025"/>
    <d v="2025-07-10T00:00:00"/>
    <x v="1"/>
    <x v="0"/>
    <n v="256779415368"/>
    <s v="USD"/>
    <n v="60"/>
    <s v="INR"/>
    <n v="5160.04"/>
    <s v="Empty Cont. Outbound charges for Dec 2024"/>
  </r>
  <r>
    <s v="KUEHNE+NAGEL PVT. LTD."/>
    <n v="2025"/>
    <d v="2025-07-10T00:00:00"/>
    <x v="1"/>
    <x v="0"/>
    <n v="256779415369"/>
    <s v="USD"/>
    <n v="3"/>
    <s v="INR"/>
    <n v="258"/>
    <s v="Outbound Handling for Oct 2024"/>
  </r>
  <r>
    <s v="KUEHNE+NAGEL PVT. LTD."/>
    <n v="2025"/>
    <d v="2025-07-10T00:00:00"/>
    <x v="1"/>
    <x v="0"/>
    <n v="256779415370"/>
    <s v="USD"/>
    <n v="72"/>
    <s v="INR"/>
    <n v="6192.05"/>
    <s v="LCL Chgs - 01 - 15 Apr 25 ( BOE9231261 / 9272978 /"/>
  </r>
  <r>
    <s v="KUEHNE+NAGEL PVT. LTD."/>
    <n v="2025"/>
    <d v="2025-07-10T00:00:00"/>
    <x v="1"/>
    <x v="0"/>
    <n v="256779415371"/>
    <s v="USD"/>
    <n v="43.32"/>
    <s v="INR"/>
    <n v="3725.55"/>
    <s v="Inbound chgs - 01 - 15 Apr 25 ( BOE9231261 / 92729"/>
  </r>
  <r>
    <s v="KUEHNE+NAGEL PVT. LTD."/>
    <n v="2025"/>
    <d v="2025-07-10T00:00:00"/>
    <x v="1"/>
    <x v="0"/>
    <n v="256779415372"/>
    <s v="USD"/>
    <n v="155.38"/>
    <s v="INR"/>
    <n v="13362.78"/>
    <s v="Outbound chgs - 01 - 15 Apr 25 ( DTA8744354 )"/>
  </r>
  <r>
    <s v="KUEHNE+NAGEL PVT. LTD."/>
    <n v="2025"/>
    <d v="2025-07-10T00:00:00"/>
    <x v="1"/>
    <x v="0"/>
    <n v="256779415373"/>
    <s v="USD"/>
    <n v="2.63"/>
    <s v="INR"/>
    <n v="226.18"/>
    <s v="CODC Outbound chgs - 01 - 15 Apr 25 ( DTA9177079 )"/>
  </r>
  <r>
    <s v="KUEHNE+NAGEL PVT. LTD."/>
    <n v="2025"/>
    <d v="2025-07-10T00:00:00"/>
    <x v="1"/>
    <x v="0"/>
    <n v="256779415374"/>
    <s v="USD"/>
    <n v="469.38"/>
    <s v="INR"/>
    <n v="40366.99"/>
    <s v="Inbound Handling charges for Oct 2024"/>
  </r>
  <r>
    <s v="KUEHNE+NAGEL PVT. LTD."/>
    <n v="2025"/>
    <d v="2025-07-10T00:00:00"/>
    <x v="1"/>
    <x v="0"/>
    <n v="256779415375"/>
    <s v="USD"/>
    <n v="360"/>
    <s v="INR"/>
    <n v="30960.240000000002"/>
    <s v="LCL Movement Charges for Oct 2024"/>
  </r>
  <r>
    <s v="KUEHNE+NAGEL PVT. LTD."/>
    <n v="2025"/>
    <d v="2025-07-10T00:00:00"/>
    <x v="1"/>
    <x v="0"/>
    <n v="256779415376"/>
    <s v="USD"/>
    <n v="60"/>
    <s v="INR"/>
    <n v="5160.04"/>
    <s v="CY-MOVEMENT CHARGES for Oct 2024"/>
  </r>
  <r>
    <s v="KUEHNE+NAGEL PVT. LTD."/>
    <n v="2025"/>
    <d v="2025-07-10T00:00:00"/>
    <x v="0"/>
    <x v="0"/>
    <n v="256779421222"/>
    <s v="USD"/>
    <n v="-295"/>
    <s v="INR"/>
    <n v="-25370.2"/>
    <s v="Credit note raised against INV 256779411867"/>
  </r>
  <r>
    <s v="KUEHNE+NAGEL PVT. LTD."/>
    <n v="2025"/>
    <d v="2025-07-10T00:00:00"/>
    <x v="0"/>
    <x v="0"/>
    <n v="256779421223"/>
    <s v="USD"/>
    <n v="-28.32"/>
    <s v="INR"/>
    <n v="-2435.54"/>
    <s v="Credit note raised against INV 246779414057"/>
  </r>
  <r>
    <s v="KUEHNE+NAGEL PVT. LTD."/>
    <n v="2025"/>
    <d v="2025-07-10T00:00:00"/>
    <x v="0"/>
    <x v="0"/>
    <n v="256779421224"/>
    <s v="USD"/>
    <n v="-28.32"/>
    <s v="INR"/>
    <n v="-2435.54"/>
    <s v="Credit note raised against INV 256779411091"/>
  </r>
  <r>
    <s v="KUEHNE+NAGEL PVT. LTD."/>
    <n v="2025"/>
    <d v="2025-07-10T00:00:00"/>
    <x v="0"/>
    <x v="0"/>
    <n v="256779421225"/>
    <s v="USD"/>
    <n v="-28.32"/>
    <s v="INR"/>
    <n v="-2435.54"/>
    <s v="Credit note raised against INV 256779411092"/>
  </r>
  <r>
    <s v="KUEHNE+NAGEL PVT. LTD."/>
    <n v="2025"/>
    <d v="2025-07-10T00:00:00"/>
    <x v="0"/>
    <x v="0"/>
    <n v="256779421226"/>
    <s v="USD"/>
    <n v="-28.32"/>
    <s v="INR"/>
    <n v="-2435.54"/>
    <s v="Credit note raised against INV 256779411093"/>
  </r>
  <r>
    <s v="KUEHNE+NAGEL PVT. LTD."/>
    <n v="2025"/>
    <d v="2025-07-10T00:00:00"/>
    <x v="0"/>
    <x v="0"/>
    <n v="256779421227"/>
    <s v="USD"/>
    <n v="-28.32"/>
    <s v="INR"/>
    <n v="-2435.54"/>
    <s v="Credit note raised against INV 256779411094"/>
  </r>
  <r>
    <s v="KUEHNE+NAGEL PVT. LTD."/>
    <n v="2025"/>
    <d v="2025-07-10T00:00:00"/>
    <x v="0"/>
    <x v="0"/>
    <n v="256779421228"/>
    <s v="USD"/>
    <n v="-28.32"/>
    <s v="INR"/>
    <n v="-2435.54"/>
    <s v="Credit note raised against INV 256779411095"/>
  </r>
  <r>
    <s v="KUEHNE+NAGEL PVT. LTD."/>
    <n v="2025"/>
    <d v="2025-07-10T00:00:00"/>
    <x v="0"/>
    <x v="0"/>
    <n v="256779421229"/>
    <s v="USD"/>
    <n v="-28.32"/>
    <s v="INR"/>
    <n v="-2435.54"/>
    <s v="Credit note raised against INV 256779411096"/>
  </r>
  <r>
    <s v="KUEHNE+NAGEL PVT. LTD."/>
    <n v="2025"/>
    <d v="2025-07-10T00:00:00"/>
    <x v="0"/>
    <x v="0"/>
    <n v="256779421230"/>
    <s v="USD"/>
    <n v="-28.32"/>
    <s v="INR"/>
    <n v="-2435.54"/>
    <s v="Credit note raised against INV 256779411098"/>
  </r>
  <r>
    <s v="KUEHNE+NAGEL PVT. LTD."/>
    <n v="2025"/>
    <d v="2025-07-10T00:00:00"/>
    <x v="0"/>
    <x v="0"/>
    <n v="256779421231"/>
    <s v="USD"/>
    <n v="-28.32"/>
    <s v="INR"/>
    <n v="-2435.54"/>
    <s v="Credit note raised against INV 256779411099"/>
  </r>
  <r>
    <s v="KUEHNE+NAGEL PVT. LTD."/>
    <n v="2025"/>
    <d v="2025-07-10T00:00:00"/>
    <x v="0"/>
    <x v="0"/>
    <n v="256779421232"/>
    <s v="USD"/>
    <n v="-28.32"/>
    <s v="INR"/>
    <n v="-2435.54"/>
    <s v="Credit note raised against INV 256779411100"/>
  </r>
  <r>
    <s v="KUEHNE+NAGEL PVT. LTD."/>
    <n v="2025"/>
    <d v="2025-07-10T00:00:00"/>
    <x v="0"/>
    <x v="0"/>
    <n v="256779421233"/>
    <s v="USD"/>
    <n v="-28.32"/>
    <s v="INR"/>
    <n v="-2435.54"/>
    <s v="Credit note raised against INV 256779411101"/>
  </r>
  <r>
    <s v="KUEHNE+NAGEL PVT. LTD."/>
    <n v="2025"/>
    <d v="2025-07-10T00:00:00"/>
    <x v="0"/>
    <x v="0"/>
    <n v="256779421234"/>
    <s v="USD"/>
    <n v="-35.4"/>
    <s v="INR"/>
    <n v="-3044.42"/>
    <s v="Credit note raised against INV 246779414122"/>
  </r>
  <r>
    <s v="KUEHNE+NAGEL PVT. LTD."/>
    <n v="2025"/>
    <d v="2025-07-10T00:00:00"/>
    <x v="0"/>
    <x v="0"/>
    <n v="256779421235"/>
    <s v="USD"/>
    <n v="-35.4"/>
    <s v="INR"/>
    <n v="-3044.42"/>
    <s v="Credit note raised against INV 246779414869"/>
  </r>
  <r>
    <s v="KUEHNE+NAGEL PVT. LTD."/>
    <n v="2025"/>
    <d v="2025-07-10T00:00:00"/>
    <x v="0"/>
    <x v="0"/>
    <n v="256779421237"/>
    <s v="USD"/>
    <n v="-35.4"/>
    <s v="INR"/>
    <n v="-3044.42"/>
    <s v="Credit note raised against INV 256779411458"/>
  </r>
  <r>
    <s v="KUEHNE+NAGEL PVT. LTD."/>
    <n v="2025"/>
    <d v="2025-07-10T00:00:00"/>
    <x v="0"/>
    <x v="0"/>
    <n v="256779421238"/>
    <s v="USD"/>
    <n v="-35.4"/>
    <s v="INR"/>
    <n v="-3044.42"/>
    <s v="Credit note raised against INV 256779411461"/>
  </r>
  <r>
    <s v="KUEHNE+NAGEL PVT. LTD."/>
    <n v="2025"/>
    <d v="2025-07-10T00:00:00"/>
    <x v="0"/>
    <x v="0"/>
    <n v="256779421239"/>
    <s v="USD"/>
    <n v="-35.4"/>
    <s v="INR"/>
    <n v="-3044.42"/>
    <s v="Credit note raised against INV 256779411466"/>
  </r>
  <r>
    <s v="KUEHNE+NAGEL PVT. LTD."/>
    <n v="2025"/>
    <d v="2025-07-10T00:00:00"/>
    <x v="0"/>
    <x v="0"/>
    <n v="256779421240"/>
    <s v="USD"/>
    <n v="-35.4"/>
    <s v="INR"/>
    <n v="-3044.42"/>
    <s v="Credit note raised against INV 256779411467"/>
  </r>
  <r>
    <s v="KUEHNE+NAGEL PVT. LTD."/>
    <n v="2025"/>
    <d v="2025-07-10T00:00:00"/>
    <x v="0"/>
    <x v="0"/>
    <n v="256779421241"/>
    <s v="USD"/>
    <n v="-35.4"/>
    <s v="INR"/>
    <n v="-3044.42"/>
    <s v="Credit note raised against INV 256779411469"/>
  </r>
  <r>
    <s v="KUEHNE+NAGEL PVT. LTD."/>
    <n v="2025"/>
    <d v="2025-07-10T00:00:00"/>
    <x v="0"/>
    <x v="0"/>
    <n v="256779421242"/>
    <s v="USD"/>
    <n v="-35.4"/>
    <s v="INR"/>
    <n v="-3044.42"/>
    <s v="Credit note raised against INV 256779411797"/>
  </r>
  <r>
    <s v="KUEHNE+NAGEL PVT. LTD."/>
    <n v="2025"/>
    <d v="2025-07-10T00:00:00"/>
    <x v="0"/>
    <x v="0"/>
    <n v="256779421243"/>
    <s v="USD"/>
    <n v="-35.4"/>
    <s v="INR"/>
    <n v="-3044.42"/>
    <s v="Credit note raised against INV 256779412609"/>
  </r>
  <r>
    <s v="KUEHNE+NAGEL PVT. LTD."/>
    <n v="2025"/>
    <d v="2025-07-10T00:00:00"/>
    <x v="0"/>
    <x v="0"/>
    <n v="256779421244"/>
    <s v="USD"/>
    <n v="-91.43"/>
    <s v="INR"/>
    <n v="-7863.04"/>
    <s v="Credit note raised against INV 246779414058"/>
  </r>
  <r>
    <s v="KUEHNE+NAGEL PVT. LTD."/>
    <n v="2025"/>
    <d v="2025-07-10T00:00:00"/>
    <x v="0"/>
    <x v="0"/>
    <n v="256779421245"/>
    <s v="USD"/>
    <n v="-236"/>
    <s v="INR"/>
    <n v="-20296.16"/>
    <s v="Credit note raised against INV 246779414058"/>
  </r>
  <r>
    <s v="KUEHNE+NAGEL PVT. LTD."/>
    <n v="2025"/>
    <d v="2025-07-10T00:00:00"/>
    <x v="0"/>
    <x v="0"/>
    <n v="256779421246"/>
    <s v="USD"/>
    <n v="-70.8"/>
    <s v="INR"/>
    <n v="-6088.85"/>
    <s v="Credit note raised against INV 246779414058"/>
  </r>
  <r>
    <s v="KUEHNE+NAGEL PVT. LTD."/>
    <n v="2025"/>
    <d v="2025-07-10T00:00:00"/>
    <x v="0"/>
    <x v="0"/>
    <n v="256779421247"/>
    <s v="USD"/>
    <n v="-211.39"/>
    <s v="INR"/>
    <n v="-18179.68"/>
    <s v="Credit note raised against INV 246779414525"/>
  </r>
  <r>
    <s v="KUEHNE+NAGEL PVT. LTD."/>
    <n v="2025"/>
    <d v="2025-07-10T00:00:00"/>
    <x v="0"/>
    <x v="0"/>
    <n v="256779421248"/>
    <s v="USD"/>
    <n v="-141.6"/>
    <s v="INR"/>
    <n v="-12177.69"/>
    <s v="Credit note raised against INV 246779414526"/>
  </r>
  <r>
    <s v="KUEHNE+NAGEL PVT. LTD."/>
    <n v="2025"/>
    <d v="2025-07-10T00:00:00"/>
    <x v="0"/>
    <x v="0"/>
    <n v="256779421249"/>
    <s v="USD"/>
    <n v="-70.8"/>
    <s v="INR"/>
    <n v="-6088.85"/>
    <s v="Credit note raised against INV 246779414527"/>
  </r>
  <r>
    <s v="KUEHNE+NAGEL PVT. LTD."/>
    <n v="2025"/>
    <d v="2025-07-10T00:00:00"/>
    <x v="0"/>
    <x v="0"/>
    <n v="256779421250"/>
    <s v="USD"/>
    <n v="-236"/>
    <s v="INR"/>
    <n v="-20296.16"/>
    <s v="Credit note raised against INV 246779414528"/>
  </r>
  <r>
    <s v="KUEHNE+NAGEL PVT. LTD."/>
    <n v="2025"/>
    <d v="2025-07-10T00:00:00"/>
    <x v="0"/>
    <x v="0"/>
    <n v="256779421251"/>
    <s v="USD"/>
    <n v="-300.49"/>
    <s v="INR"/>
    <n v="-25842.34"/>
    <s v="Credit note raised against INV 246779414590"/>
  </r>
  <r>
    <s v="KUEHNE+NAGEL PVT. LTD."/>
    <n v="2025"/>
    <d v="2025-07-10T00:00:00"/>
    <x v="0"/>
    <x v="0"/>
    <n v="256779421252"/>
    <s v="USD"/>
    <n v="-165.4"/>
    <s v="INR"/>
    <n v="-14224.51"/>
    <s v="Credit note raised against INV 246779414726"/>
  </r>
  <r>
    <s v="KUEHNE+NAGEL PVT. LTD."/>
    <n v="2025"/>
    <d v="2025-07-10T00:00:00"/>
    <x v="0"/>
    <x v="0"/>
    <n v="256779421253"/>
    <s v="USD"/>
    <n v="-14.75"/>
    <s v="INR"/>
    <n v="-1268.51"/>
    <s v="Credit note raised against INV 246779414057"/>
  </r>
  <r>
    <s v="KUEHNE+NAGEL PVT. LTD."/>
    <n v="2025"/>
    <d v="2025-07-10T00:00:00"/>
    <x v="0"/>
    <x v="0"/>
    <n v="256779421254"/>
    <s v="USD"/>
    <n v="-250.75"/>
    <s v="INR"/>
    <n v="-21564.67"/>
    <s v="Credit note raised against INV 246779414120"/>
  </r>
  <r>
    <s v="KUEHNE+NAGEL PVT. LTD."/>
    <n v="2025"/>
    <d v="2025-07-10T00:00:00"/>
    <x v="0"/>
    <x v="0"/>
    <n v="256779421255"/>
    <s v="USD"/>
    <n v="-226.56"/>
    <s v="INR"/>
    <n v="-19484.310000000001"/>
    <s v="Credit note raised against INV 246779414121"/>
  </r>
  <r>
    <s v="KUEHNE+NAGEL PVT. LTD."/>
    <n v="2025"/>
    <d v="2025-07-10T00:00:00"/>
    <x v="0"/>
    <x v="0"/>
    <n v="256779421256"/>
    <s v="USD"/>
    <n v="-249.87"/>
    <s v="INR"/>
    <n v="-21488.99"/>
    <s v="Credit note raised against INV 246779414204"/>
  </r>
  <r>
    <s v="KUEHNE+NAGEL PVT. LTD."/>
    <n v="2025"/>
    <d v="2025-07-10T00:00:00"/>
    <x v="0"/>
    <x v="0"/>
    <n v="256779421257"/>
    <s v="USD"/>
    <n v="-173.05"/>
    <s v="INR"/>
    <n v="-14882.42"/>
    <s v="Credit note raised against INV 246779414460"/>
  </r>
  <r>
    <s v="KUEHNE+NAGEL PVT. LTD."/>
    <n v="2025"/>
    <d v="2025-07-10T00:00:00"/>
    <x v="0"/>
    <x v="0"/>
    <n v="256779421258"/>
    <s v="USD"/>
    <n v="-226.56"/>
    <s v="INR"/>
    <n v="-19484.310000000001"/>
    <s v="Credit note raised against INV 246779414461"/>
  </r>
  <r>
    <s v="KUEHNE+NAGEL PVT. LTD."/>
    <n v="2025"/>
    <d v="2025-07-10T00:00:00"/>
    <x v="0"/>
    <x v="0"/>
    <n v="256779421259"/>
    <s v="USD"/>
    <n v="-218.36"/>
    <s v="INR"/>
    <n v="-18779.11"/>
    <s v="Credit note raised against INV 246779414781"/>
  </r>
  <r>
    <s v="KUEHNE+NAGEL PVT. LTD."/>
    <n v="2025"/>
    <d v="2025-07-10T00:00:00"/>
    <x v="0"/>
    <x v="0"/>
    <n v="256779421260"/>
    <s v="USD"/>
    <n v="-23.6"/>
    <s v="INR"/>
    <n v="-2029.62"/>
    <s v="Credit note raised against INV 246779414863"/>
  </r>
  <r>
    <s v="KUEHNE+NAGEL PVT. LTD."/>
    <n v="2025"/>
    <d v="2025-07-10T00:00:00"/>
    <x v="0"/>
    <x v="0"/>
    <n v="256779421261"/>
    <s v="USD"/>
    <n v="-26.55"/>
    <s v="INR"/>
    <n v="-2283.3200000000002"/>
    <s v="Credit note raised against INV 246779414864"/>
  </r>
  <r>
    <s v="KUEHNE+NAGEL PVT. LTD."/>
    <n v="2025"/>
    <d v="2025-07-10T00:00:00"/>
    <x v="0"/>
    <x v="0"/>
    <n v="256779421262"/>
    <s v="USD"/>
    <n v="-32.450000000000003"/>
    <s v="INR"/>
    <n v="-2790.72"/>
    <s v="Credit note raised against INV 246779414865"/>
  </r>
  <r>
    <s v="KUEHNE+NAGEL PVT. LTD."/>
    <n v="2025"/>
    <d v="2025-07-10T00:00:00"/>
    <x v="0"/>
    <x v="0"/>
    <n v="256779421263"/>
    <s v="USD"/>
    <n v="-26.55"/>
    <s v="INR"/>
    <n v="-2283.3200000000002"/>
    <s v="Credit note raised against INV 246779414866"/>
  </r>
  <r>
    <s v="KUEHNE+NAGEL PVT. LTD."/>
    <n v="2025"/>
    <d v="2025-07-10T00:00:00"/>
    <x v="0"/>
    <x v="0"/>
    <n v="256779421264"/>
    <s v="USD"/>
    <n v="-26.55"/>
    <s v="INR"/>
    <n v="-2283.3200000000002"/>
    <s v="Credit note raised against INV 246779414867"/>
  </r>
  <r>
    <s v="KUEHNE+NAGEL PVT. LTD."/>
    <n v="2025"/>
    <d v="2025-07-10T00:00:00"/>
    <x v="0"/>
    <x v="0"/>
    <n v="256779421265"/>
    <s v="USD"/>
    <n v="-2.95"/>
    <s v="INR"/>
    <n v="-253.7"/>
    <s v="Credit note raised against INV 246779414868"/>
  </r>
  <r>
    <s v="KUEHNE+NAGEL PVT. LTD."/>
    <n v="2025"/>
    <d v="2025-07-10T00:00:00"/>
    <x v="0"/>
    <x v="0"/>
    <n v="256779421266"/>
    <s v="USD"/>
    <n v="-26.55"/>
    <s v="INR"/>
    <n v="-2283.3200000000002"/>
    <s v="Credit note raised against INV 256779411091"/>
  </r>
  <r>
    <s v="KUEHNE+NAGEL PVT. LTD."/>
    <n v="2025"/>
    <d v="2025-07-10T00:00:00"/>
    <x v="0"/>
    <x v="0"/>
    <n v="256779421267"/>
    <s v="USD"/>
    <n v="-26.55"/>
    <s v="INR"/>
    <n v="-2283.3200000000002"/>
    <s v="Credit note raised against INV 256779411092"/>
  </r>
  <r>
    <s v="KUEHNE+NAGEL PVT. LTD."/>
    <n v="2025"/>
    <d v="2025-07-10T00:00:00"/>
    <x v="0"/>
    <x v="0"/>
    <n v="256779421268"/>
    <s v="USD"/>
    <n v="-29.5"/>
    <s v="INR"/>
    <n v="-2537.02"/>
    <s v="Credit note raised against INV 256779411093"/>
  </r>
  <r>
    <s v="KUEHNE+NAGEL PVT. LTD."/>
    <n v="2025"/>
    <d v="2025-07-10T00:00:00"/>
    <x v="0"/>
    <x v="0"/>
    <n v="256779421269"/>
    <s v="USD"/>
    <n v="-5.9"/>
    <s v="INR"/>
    <n v="-507.4"/>
    <s v="Credit note raised against INV 256779411094"/>
  </r>
  <r>
    <s v="KUEHNE+NAGEL PVT. LTD."/>
    <n v="2025"/>
    <d v="2025-07-10T00:00:00"/>
    <x v="0"/>
    <x v="0"/>
    <n v="256779421270"/>
    <s v="USD"/>
    <n v="-20.65"/>
    <s v="INR"/>
    <n v="-1775.91"/>
    <s v="Credit note raised against INV 256779411095"/>
  </r>
  <r>
    <s v="KUEHNE+NAGEL PVT. LTD."/>
    <n v="2025"/>
    <d v="2025-07-10T00:00:00"/>
    <x v="0"/>
    <x v="0"/>
    <n v="256779421271"/>
    <s v="USD"/>
    <n v="-14.75"/>
    <s v="INR"/>
    <n v="-1268.51"/>
    <s v="Credit note raised against INV 256779411096"/>
  </r>
  <r>
    <s v="KUEHNE+NAGEL PVT. LTD."/>
    <n v="2025"/>
    <d v="2025-07-10T00:00:00"/>
    <x v="0"/>
    <x v="0"/>
    <n v="256779421272"/>
    <s v="USD"/>
    <n v="-32.32"/>
    <s v="INR"/>
    <n v="-2779.54"/>
    <s v="Credit note raised against INV 256779411098"/>
  </r>
  <r>
    <s v="KUEHNE+NAGEL PVT. LTD."/>
    <n v="2025"/>
    <d v="2025-07-10T00:00:00"/>
    <x v="0"/>
    <x v="0"/>
    <n v="256779421273"/>
    <s v="USD"/>
    <n v="-30.49"/>
    <s v="INR"/>
    <n v="-2622.16"/>
    <s v="Credit note raised against INV 256779411099"/>
  </r>
  <r>
    <s v="KUEHNE+NAGEL PVT. LTD."/>
    <n v="2025"/>
    <d v="2025-07-10T00:00:00"/>
    <x v="0"/>
    <x v="0"/>
    <n v="256779421274"/>
    <s v="USD"/>
    <n v="-17.7"/>
    <s v="INR"/>
    <n v="-1522.21"/>
    <s v="Credit note raised against INV 256779411100"/>
  </r>
  <r>
    <s v="KUEHNE+NAGEL PVT. LTD."/>
    <n v="2025"/>
    <d v="2025-07-10T00:00:00"/>
    <x v="0"/>
    <x v="0"/>
    <n v="256779421275"/>
    <s v="USD"/>
    <n v="-2.95"/>
    <s v="INR"/>
    <n v="-253.7"/>
    <s v="Credit note raised against INV 256779411101"/>
  </r>
  <r>
    <s v="KUEHNE+NAGEL PVT. LTD."/>
    <n v="2025"/>
    <d v="2025-07-10T00:00:00"/>
    <x v="0"/>
    <x v="0"/>
    <n v="256779421276"/>
    <s v="USD"/>
    <n v="-1.18"/>
    <s v="INR"/>
    <n v="-101.48"/>
    <s v="Credit note raised against INV 256779411101"/>
  </r>
  <r>
    <s v="KUEHNE+NAGEL PVT. LTD."/>
    <n v="2025"/>
    <d v="2025-07-10T00:00:00"/>
    <x v="0"/>
    <x v="0"/>
    <n v="256779421277"/>
    <s v="USD"/>
    <n v="-29.5"/>
    <s v="INR"/>
    <n v="-2537.02"/>
    <s v="Credit note raised against INV 256779411459"/>
  </r>
  <r>
    <s v="KUEHNE+NAGEL PVT. LTD."/>
    <n v="2025"/>
    <d v="2025-07-10T00:00:00"/>
    <x v="0"/>
    <x v="0"/>
    <n v="256779421278"/>
    <s v="USD"/>
    <n v="-29.5"/>
    <s v="INR"/>
    <n v="-2537.02"/>
    <s v="Credit note raised against INV 256779411460"/>
  </r>
  <r>
    <s v="KUEHNE+NAGEL PVT. LTD."/>
    <n v="2025"/>
    <d v="2025-07-10T00:00:00"/>
    <x v="0"/>
    <x v="0"/>
    <n v="256779421279"/>
    <s v="USD"/>
    <n v="-20.65"/>
    <s v="INR"/>
    <n v="-1775.91"/>
    <s v="Credit note raised against INV 256779411462"/>
  </r>
  <r>
    <s v="KUEHNE+NAGEL PVT. LTD."/>
    <n v="2025"/>
    <d v="2025-07-10T00:00:00"/>
    <x v="0"/>
    <x v="0"/>
    <n v="256779421280"/>
    <s v="USD"/>
    <n v="-23.6"/>
    <s v="INR"/>
    <n v="-2029.62"/>
    <s v="Credit note raised against INV 256779411463"/>
  </r>
  <r>
    <s v="KUEHNE+NAGEL PVT. LTD."/>
    <n v="2025"/>
    <d v="2025-07-10T00:00:00"/>
    <x v="0"/>
    <x v="0"/>
    <n v="256779421281"/>
    <s v="USD"/>
    <n v="-8.85"/>
    <s v="INR"/>
    <n v="-761.11"/>
    <s v="Credit note raised against INV 256779411464"/>
  </r>
  <r>
    <s v="KUEHNE+NAGEL PVT. LTD."/>
    <n v="2025"/>
    <d v="2025-07-10T00:00:00"/>
    <x v="0"/>
    <x v="0"/>
    <n v="256779421282"/>
    <s v="USD"/>
    <n v="-32.450000000000003"/>
    <s v="INR"/>
    <n v="-2790.72"/>
    <s v="Credit note raised against INV 256779411465"/>
  </r>
  <r>
    <s v="KUEHNE+NAGEL PVT. LTD."/>
    <n v="2025"/>
    <d v="2025-07-10T00:00:00"/>
    <x v="0"/>
    <x v="0"/>
    <n v="256779421283"/>
    <s v="USD"/>
    <n v="-26.55"/>
    <s v="INR"/>
    <n v="-2283.3200000000002"/>
    <s v="Credit note raised against INV 256779411468"/>
  </r>
  <r>
    <s v="KUEHNE+NAGEL PVT. LTD."/>
    <n v="2025"/>
    <d v="2025-07-10T00:00:00"/>
    <x v="0"/>
    <x v="0"/>
    <n v="256779421284"/>
    <s v="USD"/>
    <n v="-20.100000000000001"/>
    <s v="INR"/>
    <n v="-1728.61"/>
    <s v="Credit note raised against INV 246779413317"/>
  </r>
  <r>
    <s v="KUEHNE+NAGEL PVT. LTD."/>
    <n v="2025"/>
    <d v="2025-07-10T00:00:00"/>
    <x v="0"/>
    <x v="0"/>
    <n v="256779421285"/>
    <s v="USD"/>
    <n v="-183.99"/>
    <s v="INR"/>
    <n v="-15823.26"/>
    <s v="Credit note raised against INV 256779410127"/>
  </r>
  <r>
    <s v="KUEHNE+NAGEL PVT. LTD."/>
    <n v="2025"/>
    <d v="2025-07-10T00:00:00"/>
    <x v="0"/>
    <x v="0"/>
    <n v="256779421286"/>
    <s v="USD"/>
    <n v="-236"/>
    <s v="INR"/>
    <n v="-20296.16"/>
    <s v="Credit note raised against INV 256779410213"/>
  </r>
  <r>
    <s v="KUEHNE+NAGEL PVT. LTD."/>
    <n v="2025"/>
    <d v="2025-07-10T00:00:00"/>
    <x v="0"/>
    <x v="0"/>
    <n v="256779421287"/>
    <s v="USD"/>
    <n v="-70.8"/>
    <s v="INR"/>
    <n v="-6088.85"/>
    <s v="Credit note raised against INV 256779410214"/>
  </r>
  <r>
    <s v="KUEHNE+NAGEL PVT. LTD."/>
    <n v="2025"/>
    <d v="2025-07-10T00:00:00"/>
    <x v="0"/>
    <x v="0"/>
    <n v="256779421288"/>
    <s v="USD"/>
    <n v="-25.22"/>
    <s v="INR"/>
    <n v="-2168.94"/>
    <s v="Credit note raised against INV 256779410076"/>
  </r>
  <r>
    <s v="KUEHNE+NAGEL PVT. LTD."/>
    <n v="2025"/>
    <d v="2025-07-10T00:00:00"/>
    <x v="0"/>
    <x v="0"/>
    <n v="256779421289"/>
    <s v="USD"/>
    <n v="-84.96"/>
    <s v="INR"/>
    <n v="-7306.62"/>
    <s v="Credit note raised against INV 256779410077"/>
  </r>
  <r>
    <s v="KUEHNE+NAGEL PVT. LTD."/>
    <n v="2025"/>
    <d v="2025-07-10T00:00:00"/>
    <x v="0"/>
    <x v="0"/>
    <n v="256779421290"/>
    <s v="USD"/>
    <n v="-244.58"/>
    <s v="INR"/>
    <n v="-21034.04"/>
    <s v="Credit note raised against INV 256779412609"/>
  </r>
  <r>
    <s v="KUEHNE+NAGEL PVT. LTD."/>
    <n v="2025"/>
    <d v="2025-07-10T00:00:00"/>
    <x v="0"/>
    <x v="0"/>
    <n v="256779421291"/>
    <s v="USD"/>
    <n v="-113.28"/>
    <s v="INR"/>
    <n v="-9742.16"/>
    <s v="Credit note raised against INV 256779412609"/>
  </r>
  <r>
    <s v="KUEHNE+NAGEL PVT. LTD."/>
    <n v="2025"/>
    <d v="2025-07-10T00:00:00"/>
    <x v="0"/>
    <x v="0"/>
    <n v="256779421292"/>
    <s v="USD"/>
    <n v="-236"/>
    <s v="INR"/>
    <n v="-20296.16"/>
    <s v="Credit note raised against INV 256779412609"/>
  </r>
  <r>
    <s v="KUEHNE+NAGEL PVT. LTD."/>
    <n v="2025"/>
    <d v="2025-07-10T00:00:00"/>
    <x v="0"/>
    <x v="0"/>
    <n v="256779421293"/>
    <s v="USD"/>
    <n v="-70.8"/>
    <s v="INR"/>
    <n v="-6088.85"/>
    <s v="Credit note raised against INV 256779412609"/>
  </r>
  <r>
    <s v="KUEHNE+NAGEL PVT. LTD."/>
    <n v="2025"/>
    <d v="2025-07-10T00:00:00"/>
    <x v="0"/>
    <x v="0"/>
    <n v="256779421294"/>
    <s v="USD"/>
    <n v="-79.650000000000006"/>
    <s v="INR"/>
    <n v="-6849.95"/>
    <s v="Credit note raised against INV 256779412649"/>
  </r>
  <r>
    <s v="KUEHNE+NAGEL PVT. LTD."/>
    <n v="2025"/>
    <d v="2025-07-10T00:00:00"/>
    <x v="0"/>
    <x v="0"/>
    <n v="256779421295"/>
    <s v="USD"/>
    <n v="-3.54"/>
    <s v="INR"/>
    <n v="-304.44"/>
    <s v="Credit note raised against INV 246779410482"/>
  </r>
  <r>
    <s v="KUEHNE+NAGEL PVT. LTD."/>
    <n v="2025"/>
    <d v="2025-07-10T00:00:00"/>
    <x v="0"/>
    <x v="0"/>
    <n v="256779421296"/>
    <s v="USD"/>
    <n v="-3.54"/>
    <s v="INR"/>
    <n v="-304.44"/>
    <s v="Credit note raised against INV 246779410483"/>
  </r>
  <r>
    <s v="KUEHNE+NAGEL PVT. LTD."/>
    <n v="2025"/>
    <d v="2025-07-10T00:00:00"/>
    <x v="0"/>
    <x v="0"/>
    <n v="256779421297"/>
    <s v="USD"/>
    <n v="-236"/>
    <s v="INR"/>
    <n v="-20296.16"/>
    <s v="Credit note raised against INV 256779411722"/>
  </r>
  <r>
    <s v="KUEHNE+NAGEL PVT. LTD."/>
    <n v="2025"/>
    <d v="2025-07-10T00:00:00"/>
    <x v="0"/>
    <x v="0"/>
    <n v="256779421298"/>
    <s v="USD"/>
    <n v="-369.34"/>
    <s v="INR"/>
    <n v="-31763.49"/>
    <s v="Credit note raised against INV 256779411795"/>
  </r>
  <r>
    <s v="KUEHNE+NAGEL PVT. LTD."/>
    <n v="2025"/>
    <d v="2025-07-10T00:00:00"/>
    <x v="0"/>
    <x v="0"/>
    <n v="256779421299"/>
    <s v="USD"/>
    <n v="-226.56"/>
    <s v="INR"/>
    <n v="-19484.310000000001"/>
    <s v="Credit note raised against INV 256779411796"/>
  </r>
  <r>
    <s v="KUEHNE+NAGEL PVT. LTD."/>
    <n v="2025"/>
    <d v="2025-07-10T00:00:00"/>
    <x v="0"/>
    <x v="0"/>
    <n v="256779421300"/>
    <s v="USD"/>
    <n v="-236"/>
    <s v="INR"/>
    <n v="-20296.16"/>
    <s v="Credit note raised against INV 256779411798"/>
  </r>
  <r>
    <s v="KUEHNE+NAGEL PVT. LTD."/>
    <n v="2025"/>
    <d v="2025-07-10T00:00:00"/>
    <x v="0"/>
    <x v="0"/>
    <n v="256779421301"/>
    <s v="USD"/>
    <n v="-70.8"/>
    <s v="INR"/>
    <n v="-6088.85"/>
    <s v="Credit note raised against INV 256779411799"/>
  </r>
  <r>
    <s v="KUEHNE+NAGEL PVT. LTD."/>
    <n v="2025"/>
    <d v="2025-07-10T00:00:00"/>
    <x v="0"/>
    <x v="0"/>
    <n v="256779421302"/>
    <s v="USD"/>
    <n v="-3.54"/>
    <s v="INR"/>
    <n v="-304.44"/>
    <s v="Credit note raised against INV 246779410665"/>
  </r>
  <r>
    <s v="KUEHNE+NAGEL PVT. LTD."/>
    <n v="2025"/>
    <d v="2025-07-10T00:00:00"/>
    <x v="0"/>
    <x v="0"/>
    <n v="256779421303"/>
    <s v="USD"/>
    <n v="-84.96"/>
    <s v="INR"/>
    <n v="-7306.62"/>
    <s v="Credit note raised against INV 256779412884"/>
  </r>
  <r>
    <s v="KUEHNE+NAGEL PVT. LTD."/>
    <n v="2025"/>
    <d v="2025-07-10T00:00:00"/>
    <x v="0"/>
    <x v="0"/>
    <n v="256779421304"/>
    <s v="USD"/>
    <n v="-51.12"/>
    <s v="INR"/>
    <n v="-4396.3500000000004"/>
    <s v="Credit note raised against INV 256779412884"/>
  </r>
  <r>
    <s v="KUEHNE+NAGEL PVT. LTD."/>
    <n v="2025"/>
    <d v="2025-07-10T00:00:00"/>
    <x v="0"/>
    <x v="0"/>
    <n v="256779421305"/>
    <s v="USD"/>
    <n v="-183.35"/>
    <s v="INR"/>
    <n v="-15768.22"/>
    <s v="Credit note raised against INV 256779412918"/>
  </r>
  <r>
    <s v="KUEHNE+NAGEL PVT. LTD."/>
    <n v="2025"/>
    <d v="2025-07-10T00:00:00"/>
    <x v="0"/>
    <x v="0"/>
    <n v="256779421306"/>
    <s v="USD"/>
    <n v="-3.1"/>
    <s v="INR"/>
    <n v="-266.60000000000002"/>
    <s v="Credit note raised against INV 256779412948"/>
  </r>
  <r>
    <s v="KUEHNE+NAGEL PVT. LTD."/>
    <n v="2025"/>
    <d v="2025-07-10T00:00:00"/>
    <x v="0"/>
    <x v="0"/>
    <n v="256779421307"/>
    <s v="USD"/>
    <n v="-553.87"/>
    <s v="INR"/>
    <n v="-47633.19"/>
    <s v="Credit note raised against INV 246779414296"/>
  </r>
  <r>
    <s v="KUEHNE+NAGEL PVT. LTD."/>
    <n v="2025"/>
    <d v="2025-07-10T00:00:00"/>
    <x v="0"/>
    <x v="0"/>
    <n v="256779421308"/>
    <s v="USD"/>
    <n v="-424.8"/>
    <s v="INR"/>
    <n v="-36533.08"/>
    <s v="Credit note raised against INV 246779414297"/>
  </r>
  <r>
    <s v="KUEHNE+NAGEL PVT. LTD."/>
    <n v="2025"/>
    <d v="2025-07-10T00:00:00"/>
    <x v="0"/>
    <x v="0"/>
    <n v="256779421309"/>
    <s v="USD"/>
    <n v="-70.8"/>
    <s v="INR"/>
    <n v="-6088.85"/>
    <s v="Credit note raised against INV 246779414298"/>
  </r>
  <r>
    <s v="KUEHNE+NAGEL PVT. LTD."/>
    <n v="2025"/>
    <d v="2025-07-10T00:00:00"/>
    <x v="1"/>
    <x v="0"/>
    <n v="256779415304"/>
    <s v="USD"/>
    <n v="30"/>
    <s v="INR"/>
    <n v="2580.02"/>
    <s v="Outbound Handling Charges Aug 2024"/>
  </r>
  <r>
    <s v="KUEHNE+NAGEL PVT. LTD."/>
    <n v="2025"/>
    <d v="2025-07-10T00:00:00"/>
    <x v="1"/>
    <x v="0"/>
    <n v="256779415305"/>
    <s v="USD"/>
    <n v="30"/>
    <s v="INR"/>
    <n v="2580.02"/>
    <s v="Outbound Handling Charges Aug 2024"/>
  </r>
  <r>
    <s v="KUEHNE+NAGEL PVT. LTD."/>
    <n v="2025"/>
    <d v="2025-07-10T00:00:00"/>
    <x v="1"/>
    <x v="0"/>
    <n v="256779415306"/>
    <s v="USD"/>
    <n v="30"/>
    <s v="INR"/>
    <n v="2580.02"/>
    <s v="Outbound Handling Charges Aug 2024"/>
  </r>
  <r>
    <s v="KUEHNE+NAGEL PVT. LTD."/>
    <n v="2025"/>
    <d v="2025-07-10T00:00:00"/>
    <x v="1"/>
    <x v="0"/>
    <n v="256779415307"/>
    <s v="USD"/>
    <n v="30"/>
    <s v="INR"/>
    <n v="2580.02"/>
    <s v="Outbound Handling Charges Aug 2024"/>
  </r>
  <r>
    <s v="KUEHNE+NAGEL PVT. LTD."/>
    <n v="2025"/>
    <d v="2025-07-10T00:00:00"/>
    <x v="1"/>
    <x v="0"/>
    <n v="256779415308"/>
    <s v="USD"/>
    <n v="30"/>
    <s v="INR"/>
    <n v="2580.02"/>
    <s v="Outbound Handling Charges Aug 2024"/>
  </r>
  <r>
    <s v="KUEHNE+NAGEL PVT. LTD."/>
    <n v="2025"/>
    <d v="2025-07-10T00:00:00"/>
    <x v="1"/>
    <x v="0"/>
    <n v="256779415321"/>
    <s v="USD"/>
    <n v="212.5"/>
    <s v="INR"/>
    <n v="18275.14"/>
    <s v="Inbound Handling charges for  Sep 2024"/>
  </r>
  <r>
    <s v="KUEHNE+NAGEL PVT. LTD."/>
    <n v="2025"/>
    <d v="2025-07-10T00:00:00"/>
    <x v="1"/>
    <x v="0"/>
    <n v="256779415339"/>
    <s v="USD"/>
    <n v="27.39"/>
    <s v="INR"/>
    <n v="2355.56"/>
    <s v="Inbound Handling for August 24"/>
  </r>
  <r>
    <s v="KUEHNE+NAGEL PVT. LTD."/>
    <n v="2025"/>
    <d v="2025-07-10T00:00:00"/>
    <x v="1"/>
    <x v="0"/>
    <n v="256779415377"/>
    <s v="USD"/>
    <n v="50"/>
    <s v="INR"/>
    <n v="4300.03"/>
    <s v="Scanning Chgs - 16 - 31 Apr 25 ( BOE9523237 )"/>
  </r>
  <r>
    <s v="KUEHNE+NAGEL PVT. LTD."/>
    <n v="2025"/>
    <d v="2025-07-10T00:00:00"/>
    <x v="1"/>
    <x v="0"/>
    <n v="256779415378"/>
    <s v="USD"/>
    <n v="120"/>
    <s v="INR"/>
    <n v="10320.08"/>
    <s v="LCL Chgs - 16 - 30 Apr 25 ( BOE9471796/9501725 )"/>
  </r>
  <r>
    <s v="KUEHNE+NAGEL PVT. LTD."/>
    <n v="2025"/>
    <d v="2025-07-10T00:00:00"/>
    <x v="1"/>
    <x v="0"/>
    <n v="256779415379"/>
    <s v="USD"/>
    <n v="233.11"/>
    <s v="INR"/>
    <n v="20047.62"/>
    <s v="Inbound chgs -16 - 30 Apr 25 ( BOE9471796/9501725"/>
  </r>
  <r>
    <s v="KUEHNE+NAGEL PVT. LTD."/>
    <n v="2025"/>
    <d v="2025-07-10T00:00:00"/>
    <x v="1"/>
    <x v="0"/>
    <n v="256779415380"/>
    <s v="USD"/>
    <n v="200"/>
    <s v="INR"/>
    <n v="17200.13"/>
    <s v="Transportation In Chgs - 16 - 30 Apr 25 ( BOE94717"/>
  </r>
  <r>
    <s v="KUEHNE+NAGEL PVT. LTD."/>
    <n v="2025"/>
    <d v="2025-07-10T00:00:00"/>
    <x v="1"/>
    <x v="0"/>
    <n v="256779415381"/>
    <s v="USD"/>
    <n v="60"/>
    <s v="INR"/>
    <n v="5160.04"/>
    <s v="Empty Cont Out - 16 - 30 Apr 25 ( BOE9471796/95017"/>
  </r>
  <r>
    <s v="KUEHNE+NAGEL PVT. LTD."/>
    <n v="2025"/>
    <d v="2025-07-10T00:00:00"/>
    <x v="1"/>
    <x v="0"/>
    <n v="256779415382"/>
    <s v="USD"/>
    <n v="117.64"/>
    <s v="INR"/>
    <n v="10117.120000000001"/>
    <s v="Outbound chgs - 16 - 30 Apr 25 ( DTA9452390 )"/>
  </r>
  <r>
    <s v="KUEHNE+NAGEL PVT. LTD."/>
    <n v="2025"/>
    <d v="2025-07-10T00:00:00"/>
    <x v="1"/>
    <x v="0"/>
    <n v="256779415383"/>
    <s v="USD"/>
    <n v="155.80000000000001"/>
    <s v="INR"/>
    <n v="13398.9"/>
    <s v="Outbound chgs - 01 - 15 MAY 25 ( DTA9652445/951659"/>
  </r>
  <r>
    <s v="KUEHNE+NAGEL PVT. LTD."/>
    <n v="2025"/>
    <d v="2025-07-10T00:00:00"/>
    <x v="1"/>
    <x v="0"/>
    <n v="256779415384"/>
    <s v="USD"/>
    <n v="350"/>
    <s v="INR"/>
    <n v="30100.23"/>
    <s v="Scanning  Chgs - 01 - 15 May 25 (BOE9821502)"/>
  </r>
  <r>
    <s v="KUEHNE+NAGEL PVT. LTD."/>
    <n v="2025"/>
    <d v="2025-07-10T00:00:00"/>
    <x v="1"/>
    <x v="0"/>
    <n v="256779415385"/>
    <s v="USD"/>
    <n v="24"/>
    <s v="INR"/>
    <n v="2064.02"/>
    <s v="LCL Chgs - 01-15 MAY 25 ( BOE9963613 )"/>
  </r>
  <r>
    <s v="KUEHNE+NAGEL PVT. LTD."/>
    <n v="2025"/>
    <d v="2025-07-10T00:00:00"/>
    <x v="1"/>
    <x v="0"/>
    <n v="256779415386"/>
    <s v="USD"/>
    <n v="7.5"/>
    <s v="INR"/>
    <n v="645.01"/>
    <s v="Inbound chgs -01-15 MAY 25 ( BOE9963613 )"/>
  </r>
  <r>
    <s v="KUEHNE+NAGEL PVT. LTD."/>
    <n v="2025"/>
    <d v="2025-07-10T00:00:00"/>
    <x v="1"/>
    <x v="0"/>
    <n v="256779415387"/>
    <s v="USD"/>
    <n v="70.900000000000006"/>
    <s v="INR"/>
    <n v="6097.45"/>
    <s v="CODC Inbound chgs - 16 - 31 May 25 ( 9918629 )"/>
  </r>
  <r>
    <s v="KUEHNE+NAGEL PVT. LTD."/>
    <n v="2025"/>
    <d v="2025-07-10T00:00:00"/>
    <x v="1"/>
    <x v="0"/>
    <n v="256779415388"/>
    <s v="USD"/>
    <n v="2261.63"/>
    <s v="INR"/>
    <n v="194501.7"/>
    <s v="PORT SSR Chgs - 16 - 31 May 25"/>
  </r>
  <r>
    <s v="KUEHNE+NAGEL PVT. LTD."/>
    <n v="2025"/>
    <d v="2025-07-10T00:00:00"/>
    <x v="1"/>
    <x v="0"/>
    <n v="256779415389"/>
    <s v="USD"/>
    <n v="170.62"/>
    <s v="INR"/>
    <n v="14673.43"/>
    <s v="Outbound chgs - 16 - 31 MAY 25 ( DTA2037850 )"/>
  </r>
  <r>
    <s v="KUEHNE+NAGEL PVT. LTD."/>
    <n v="2025"/>
    <d v="2025-07-10T00:00:00"/>
    <x v="1"/>
    <x v="0"/>
    <n v="256779415390"/>
    <s v="USD"/>
    <n v="110.96"/>
    <s v="INR"/>
    <n v="9542.6299999999992"/>
    <s v="Detention Chgs - 01 - 15 MAY 25"/>
  </r>
  <r>
    <s v="KUEHNE+NAGEL PVT. LTD."/>
    <n v="2025"/>
    <d v="2025-07-10T00:00:00"/>
    <x v="1"/>
    <x v="0"/>
    <n v="256779415391"/>
    <s v="USD"/>
    <n v="820.07"/>
    <s v="INR"/>
    <n v="70526.570000000007"/>
    <s v="Empty Lolo Chgs - 01 - 31 MAY 25"/>
  </r>
  <r>
    <s v="KUEHNE+NAGEL PVT. LTD."/>
    <n v="2025"/>
    <d v="2025-07-10T00:00:00"/>
    <x v="1"/>
    <x v="0"/>
    <n v="256779415392"/>
    <s v="USD"/>
    <n v="200"/>
    <s v="INR"/>
    <n v="17200.13"/>
    <s v="Transportation In Chgs - 16-31 MAY 25"/>
  </r>
  <r>
    <s v="KUEHNE+NAGEL PVT. LTD."/>
    <n v="2025"/>
    <d v="2025-07-10T00:00:00"/>
    <x v="1"/>
    <x v="0"/>
    <n v="256779415393"/>
    <s v="USD"/>
    <n v="60"/>
    <s v="INR"/>
    <n v="5160.04"/>
    <s v="Empty Cont Out - 16-31 MAY 25"/>
  </r>
  <r>
    <s v="KUEHNE+NAGEL PVT. LTD."/>
    <n v="2025"/>
    <d v="2025-07-10T00:00:00"/>
    <x v="1"/>
    <x v="0"/>
    <n v="256779415394"/>
    <s v="USD"/>
    <n v="96"/>
    <s v="INR"/>
    <n v="8256.06"/>
    <s v="LCL Chgs - 16-31 MAY 25"/>
  </r>
  <r>
    <s v="KUEHNE+NAGEL PVT. LTD."/>
    <n v="2025"/>
    <d v="2025-07-10T00:00:00"/>
    <x v="1"/>
    <x v="0"/>
    <n v="256779415395"/>
    <s v="USD"/>
    <n v="205.72"/>
    <s v="INR"/>
    <n v="17692.060000000001"/>
    <s v="Inbound chgs -16-31 MAY 25"/>
  </r>
  <r>
    <s v="KUEHNE+NAGEL PVT. LTD."/>
    <n v="2025"/>
    <d v="2025-07-10T00:00:00"/>
    <x v="0"/>
    <x v="0"/>
    <n v="256779421310"/>
    <s v="USD"/>
    <n v="-59"/>
    <s v="INR"/>
    <n v="-5074.04"/>
    <s v="Credit note raised against INV 256779413280"/>
  </r>
  <r>
    <s v="KUEHNE+NAGEL PVT. LTD."/>
    <n v="2025"/>
    <d v="2025-07-10T00:00:00"/>
    <x v="0"/>
    <x v="0"/>
    <n v="256779421311"/>
    <s v="USD"/>
    <n v="-141.6"/>
    <s v="INR"/>
    <n v="-12177.69"/>
    <s v="Credit note raised against INV 256779413308"/>
  </r>
  <r>
    <s v="KUEHNE+NAGEL PVT. LTD."/>
    <n v="2025"/>
    <d v="2025-07-10T00:00:00"/>
    <x v="0"/>
    <x v="0"/>
    <n v="256779421312"/>
    <s v="USD"/>
    <n v="-275.07"/>
    <s v="INR"/>
    <n v="-23656.2"/>
    <s v="Credit note raised against INV 256779413308"/>
  </r>
  <r>
    <s v="KUEHNE+NAGEL PVT. LTD."/>
    <n v="2025"/>
    <d v="2025-07-10T00:00:00"/>
    <x v="0"/>
    <x v="0"/>
    <n v="256779421313"/>
    <s v="USD"/>
    <n v="-236"/>
    <s v="INR"/>
    <n v="-20296.16"/>
    <s v="Credit note raised against INV 256779413308"/>
  </r>
  <r>
    <s v="KUEHNE+NAGEL PVT. LTD."/>
    <n v="2025"/>
    <d v="2025-07-10T00:00:00"/>
    <x v="0"/>
    <x v="0"/>
    <n v="256779421314"/>
    <s v="USD"/>
    <n v="-70.8"/>
    <s v="INR"/>
    <n v="-6088.85"/>
    <s v="Credit note raised against INV 256779413308"/>
  </r>
  <r>
    <s v="KUEHNE+NAGEL PVT. LTD."/>
    <n v="2025"/>
    <d v="2025-07-10T00:00:00"/>
    <x v="0"/>
    <x v="0"/>
    <n v="256779421315"/>
    <s v="USD"/>
    <n v="-138.82"/>
    <s v="INR"/>
    <n v="-11938.61"/>
    <s v="Credit note raised against INV 256779413348"/>
  </r>
  <r>
    <s v="KUEHNE+NAGEL PVT. LTD."/>
    <n v="2025"/>
    <d v="2025-07-10T00:00:00"/>
    <x v="0"/>
    <x v="0"/>
    <n v="256779421316"/>
    <s v="USD"/>
    <n v="-183.84"/>
    <s v="INR"/>
    <n v="-15810.36"/>
    <s v="Credit note raised against INV 256779413480"/>
  </r>
  <r>
    <s v="KUEHNE+NAGEL PVT. LTD."/>
    <n v="2025"/>
    <d v="2025-07-10T00:00:00"/>
    <x v="0"/>
    <x v="0"/>
    <n v="256779421317"/>
    <s v="USD"/>
    <n v="-413"/>
    <s v="INR"/>
    <n v="-35518.28"/>
    <s v="Credit note raised against INV 256779413859"/>
  </r>
  <r>
    <s v="KUEHNE+NAGEL PVT. LTD."/>
    <n v="2025"/>
    <d v="2025-07-10T00:00:00"/>
    <x v="0"/>
    <x v="0"/>
    <n v="256779421318"/>
    <s v="USD"/>
    <n v="-28.32"/>
    <s v="INR"/>
    <n v="-2435.54"/>
    <s v="Credit note raised against INV 256779413879"/>
  </r>
  <r>
    <s v="KUEHNE+NAGEL PVT. LTD."/>
    <n v="2025"/>
    <d v="2025-07-10T00:00:00"/>
    <x v="0"/>
    <x v="0"/>
    <n v="256779421319"/>
    <s v="USD"/>
    <n v="-8.85"/>
    <s v="INR"/>
    <n v="-761.11"/>
    <s v="Credit note raised against INV 256779413879"/>
  </r>
  <r>
    <s v="KUEHNE+NAGEL PVT. LTD."/>
    <n v="2025"/>
    <d v="2025-07-10T00:00:00"/>
    <x v="0"/>
    <x v="0"/>
    <n v="256779421320"/>
    <s v="USD"/>
    <n v="-83.66"/>
    <s v="INR"/>
    <n v="-7194.82"/>
    <s v="Credit note raised against INV 256779414156"/>
  </r>
  <r>
    <s v="KUEHNE+NAGEL PVT. LTD."/>
    <n v="2025"/>
    <d v="2025-07-10T00:00:00"/>
    <x v="0"/>
    <x v="0"/>
    <n v="256779421321"/>
    <s v="USD"/>
    <n v="-2668.72"/>
    <s v="INR"/>
    <n v="-229511.71"/>
    <s v="Credit note raised against INV 256779414173"/>
  </r>
  <r>
    <s v="KUEHNE+NAGEL PVT. LTD."/>
    <n v="2025"/>
    <d v="2025-07-10T00:00:00"/>
    <x v="0"/>
    <x v="0"/>
    <n v="256779421322"/>
    <s v="USD"/>
    <n v="-201.33"/>
    <s v="INR"/>
    <n v="-17314.509999999998"/>
    <s v="Credit note raised against INV 256779414206"/>
  </r>
  <r>
    <s v="KUEHNE+NAGEL PVT. LTD."/>
    <n v="2025"/>
    <d v="2025-07-10T00:00:00"/>
    <x v="0"/>
    <x v="0"/>
    <n v="256779421323"/>
    <s v="USD"/>
    <n v="-130.93"/>
    <s v="INR"/>
    <n v="-11260.07"/>
    <s v="Credit note raised against INV 256779414260"/>
  </r>
  <r>
    <s v="KUEHNE+NAGEL PVT. LTD."/>
    <n v="2025"/>
    <d v="2025-07-10T00:00:00"/>
    <x v="0"/>
    <x v="0"/>
    <n v="256779421324"/>
    <s v="USD"/>
    <n v="-967.68"/>
    <s v="INR"/>
    <n v="-83221.13"/>
    <s v="Credit note raised against INV 256779414271"/>
  </r>
  <r>
    <s v="KUEHNE+NAGEL PVT. LTD."/>
    <n v="2025"/>
    <d v="2025-07-10T00:00:00"/>
    <x v="0"/>
    <x v="0"/>
    <n v="256779421325"/>
    <s v="USD"/>
    <n v="-236"/>
    <s v="INR"/>
    <n v="-20296.16"/>
    <s v="Credit note raised against INV 256779414309"/>
  </r>
  <r>
    <s v="KUEHNE+NAGEL PVT. LTD."/>
    <n v="2025"/>
    <d v="2025-03-17T00:00:00"/>
    <x v="1"/>
    <x v="61"/>
    <n v="246779411739"/>
    <s v="USD"/>
    <n v="34.25"/>
    <s v="INR"/>
    <n v="2969.18"/>
    <s v="VAS Activity Charges for the month of October, 24"/>
  </r>
  <r>
    <s v="KUEHNE+NAGEL PVT. LTD."/>
    <n v="2025"/>
    <d v="2025-03-17T00:00:00"/>
    <x v="1"/>
    <x v="61"/>
    <n v="246779411740"/>
    <s v="USD"/>
    <n v="22.83"/>
    <s v="INR"/>
    <n v="1979.16"/>
    <s v="VAS Activity Charges for the month of October, 24"/>
  </r>
  <r>
    <s v="KUEHNE+NAGEL PVT. LTD."/>
    <n v="2025"/>
    <d v="2025-03-17T00:00:00"/>
    <x v="1"/>
    <x v="61"/>
    <n v="246779411741"/>
    <s v="USD"/>
    <n v="240"/>
    <s v="INR"/>
    <n v="20805.900000000001"/>
    <s v="VAS Activity Charges for the month of October, 24"/>
  </r>
  <r>
    <s v="KUEHNE+NAGEL PVT. LTD."/>
    <n v="2025"/>
    <d v="2025-03-17T00:00:00"/>
    <x v="1"/>
    <x v="61"/>
    <n v="246779411742"/>
    <s v="USD"/>
    <n v="23.27"/>
    <s v="INR"/>
    <n v="2017.31"/>
    <s v="VAS Activity Charges for the month of October, 24"/>
  </r>
  <r>
    <s v="KUEHNE+NAGEL PVT. LTD."/>
    <n v="2025"/>
    <d v="2025-03-17T00:00:00"/>
    <x v="1"/>
    <x v="61"/>
    <n v="246779411789"/>
    <s v="USD"/>
    <n v="428.11"/>
    <s v="INR"/>
    <n v="37113.4"/>
    <s v="VAS Activity Charges for the month of October, 24"/>
  </r>
  <r>
    <s v="KUEHNE+NAGEL PVT. LTD."/>
    <n v="2025"/>
    <d v="2025-03-17T00:00:00"/>
    <x v="1"/>
    <x v="61"/>
    <n v="246779411895"/>
    <s v="USD"/>
    <n v="4.26"/>
    <s v="INR"/>
    <n v="369.3"/>
    <s v="VAS Activity Charges for the month of November, 24"/>
  </r>
  <r>
    <s v="KUEHNE+NAGEL PVT. LTD."/>
    <n v="2025"/>
    <d v="2025-03-17T00:00:00"/>
    <x v="1"/>
    <x v="61"/>
    <n v="246779411896"/>
    <s v="USD"/>
    <n v="39.770000000000003"/>
    <s v="INR"/>
    <n v="3447.71"/>
    <s v="VAS Activity Charges for the month of November, 24"/>
  </r>
  <r>
    <s v="KUEHNE+NAGEL PVT. LTD."/>
    <n v="2025"/>
    <d v="2025-03-17T00:00:00"/>
    <x v="1"/>
    <x v="61"/>
    <n v="246779411915"/>
    <s v="USD"/>
    <n v="23.17"/>
    <s v="INR"/>
    <n v="2008.64"/>
    <s v="VAS Activity Charges for the month of November, 24"/>
  </r>
  <r>
    <s v="KUEHNE+NAGEL PVT. LTD."/>
    <n v="2025"/>
    <d v="2025-03-17T00:00:00"/>
    <x v="1"/>
    <x v="61"/>
    <n v="246779411973"/>
    <s v="USD"/>
    <n v="426.09"/>
    <s v="INR"/>
    <n v="36938.28"/>
    <s v="VAS Activity Charges for the month of November, 24"/>
  </r>
  <r>
    <s v="KUEHNE+NAGEL PVT. LTD."/>
    <n v="2025"/>
    <d v="2025-03-17T00:00:00"/>
    <x v="1"/>
    <x v="61"/>
    <n v="246779412044"/>
    <s v="USD"/>
    <n v="30.37"/>
    <s v="INR"/>
    <n v="2632.81"/>
    <s v="VAS Activity Charges for the month of December, 24"/>
  </r>
  <r>
    <s v="KUEHNE+NAGEL PVT. LTD."/>
    <n v="2025"/>
    <d v="2025-03-17T00:00:00"/>
    <x v="1"/>
    <x v="61"/>
    <n v="246779412046"/>
    <s v="USD"/>
    <n v="16.82"/>
    <s v="INR"/>
    <n v="1458.15"/>
    <s v="VAS Activity Charges for the month of December, 24"/>
  </r>
  <r>
    <s v="KUEHNE+NAGEL PVT. LTD."/>
    <n v="2025"/>
    <d v="2025-04-15T00:00:00"/>
    <x v="1"/>
    <x v="62"/>
    <n v="256779411091"/>
    <s v="USD"/>
    <n v="54.87"/>
    <s v="INR"/>
    <n v="4769.3999999999996"/>
    <s v="LCL Charges August 2024"/>
  </r>
  <r>
    <s v="KUEHNE+NAGEL PVT. LTD."/>
    <n v="2025"/>
    <d v="2025-04-15T00:00:00"/>
    <x v="1"/>
    <x v="62"/>
    <n v="256779411092"/>
    <s v="USD"/>
    <n v="54.87"/>
    <s v="INR"/>
    <n v="4769.3999999999996"/>
    <s v="LCL Charges August 2024"/>
  </r>
  <r>
    <s v="KUEHNE+NAGEL PVT. LTD."/>
    <n v="2025"/>
    <d v="2025-04-15T00:00:00"/>
    <x v="1"/>
    <x v="62"/>
    <n v="256779411093"/>
    <s v="USD"/>
    <n v="57.82"/>
    <s v="INR"/>
    <n v="5025.82"/>
    <s v="LCL Charges August 2024"/>
  </r>
  <r>
    <s v="KUEHNE+NAGEL PVT. LTD."/>
    <n v="2025"/>
    <d v="2025-04-15T00:00:00"/>
    <x v="1"/>
    <x v="62"/>
    <n v="256779411094"/>
    <s v="USD"/>
    <n v="34.22"/>
    <s v="INR"/>
    <n v="2974.46"/>
    <s v="LCL Charges August 2024"/>
  </r>
  <r>
    <s v="KUEHNE+NAGEL PVT. LTD."/>
    <n v="2025"/>
    <d v="2025-04-15T00:00:00"/>
    <x v="1"/>
    <x v="62"/>
    <n v="256779411095"/>
    <s v="USD"/>
    <n v="48.97"/>
    <s v="INR"/>
    <n v="4256.5600000000004"/>
    <s v="LCL Charges August 2024"/>
  </r>
  <r>
    <s v="KUEHNE+NAGEL PVT. LTD."/>
    <n v="2025"/>
    <d v="2025-04-15T00:00:00"/>
    <x v="1"/>
    <x v="62"/>
    <n v="256779411096"/>
    <s v="USD"/>
    <n v="43.07"/>
    <s v="INR"/>
    <n v="3743.72"/>
    <s v="LCL Charges August 2024"/>
  </r>
  <r>
    <s v="KUEHNE+NAGEL PVT. LTD."/>
    <n v="2025"/>
    <d v="2025-04-15T00:00:00"/>
    <x v="1"/>
    <x v="62"/>
    <n v="256779411098"/>
    <s v="USD"/>
    <n v="60.64"/>
    <s v="INR"/>
    <n v="5270.94"/>
    <s v="LCL Charges August 2024"/>
  </r>
  <r>
    <s v="KUEHNE+NAGEL PVT. LTD."/>
    <n v="2025"/>
    <d v="2025-04-15T00:00:00"/>
    <x v="1"/>
    <x v="62"/>
    <n v="256779411099"/>
    <s v="USD"/>
    <n v="58.81"/>
    <s v="INR"/>
    <n v="5111.87"/>
    <s v="LCL Charges August 2024"/>
  </r>
  <r>
    <s v="KUEHNE+NAGEL PVT. LTD."/>
    <n v="2025"/>
    <d v="2025-04-15T00:00:00"/>
    <x v="1"/>
    <x v="62"/>
    <n v="256779411100"/>
    <s v="USD"/>
    <n v="46.02"/>
    <s v="INR"/>
    <n v="4000.14"/>
    <s v="LCL Charges August 2024"/>
  </r>
  <r>
    <s v="KUEHNE+NAGEL PVT. LTD."/>
    <n v="2025"/>
    <d v="2025-04-15T00:00:00"/>
    <x v="1"/>
    <x v="62"/>
    <n v="256779411101"/>
    <s v="USD"/>
    <n v="32.450000000000003"/>
    <s v="INR"/>
    <n v="2820.61"/>
    <s v="LCL Charges August 2024"/>
  </r>
  <r>
    <s v="KUEHNE+NAGEL PVT. LTD."/>
    <n v="2025"/>
    <d v="2025-04-15T00:00:00"/>
    <x v="1"/>
    <x v="62"/>
    <n v="256779411458"/>
    <s v="USD"/>
    <n v="35.4"/>
    <s v="INR"/>
    <n v="3077.03"/>
    <s v="Outbound Handling Charges Aug 2024"/>
  </r>
  <r>
    <s v="KUEHNE+NAGEL PVT. LTD."/>
    <n v="2025"/>
    <d v="2025-04-15T00:00:00"/>
    <x v="1"/>
    <x v="62"/>
    <n v="256779411459"/>
    <s v="USD"/>
    <n v="29.5"/>
    <s v="INR"/>
    <n v="2564.19"/>
    <s v="Outbound Handling Charges Aug 2024"/>
  </r>
  <r>
    <s v="KUEHNE+NAGEL PVT. LTD."/>
    <n v="2025"/>
    <d v="2025-04-15T00:00:00"/>
    <x v="1"/>
    <x v="62"/>
    <n v="256779411460"/>
    <s v="USD"/>
    <n v="29.5"/>
    <s v="INR"/>
    <n v="2564.19"/>
    <s v="Outbound Handling Charges Aug 2024"/>
  </r>
  <r>
    <s v="KUEHNE+NAGEL PVT. LTD."/>
    <n v="2025"/>
    <d v="2025-04-15T00:00:00"/>
    <x v="1"/>
    <x v="62"/>
    <n v="256779411461"/>
    <s v="USD"/>
    <n v="35.4"/>
    <s v="INR"/>
    <n v="3077.03"/>
    <s v="Outbound Handling Charges Aug 2024"/>
  </r>
  <r>
    <s v="KUEHNE+NAGEL PVT. LTD."/>
    <n v="2025"/>
    <d v="2025-04-15T00:00:00"/>
    <x v="1"/>
    <x v="62"/>
    <n v="256779411462"/>
    <s v="USD"/>
    <n v="20.65"/>
    <s v="INR"/>
    <n v="1794.94"/>
    <s v="Outbound Handling Charges Aug 2024"/>
  </r>
  <r>
    <s v="KUEHNE+NAGEL PVT. LTD."/>
    <n v="2025"/>
    <d v="2025-04-15T00:00:00"/>
    <x v="1"/>
    <x v="62"/>
    <n v="256779411463"/>
    <s v="USD"/>
    <n v="23.6"/>
    <s v="INR"/>
    <n v="2051.35"/>
    <s v="Outbound Handling Charges Aug 2024"/>
  </r>
  <r>
    <s v="KUEHNE+NAGEL PVT. LTD."/>
    <n v="2025"/>
    <d v="2025-04-15T00:00:00"/>
    <x v="1"/>
    <x v="62"/>
    <n v="256779411464"/>
    <s v="USD"/>
    <n v="8.85"/>
    <s v="INR"/>
    <n v="769.26"/>
    <s v="Outbound Handling Charges Aug 2024"/>
  </r>
  <r>
    <s v="KUEHNE+NAGEL PVT. LTD."/>
    <n v="2025"/>
    <d v="2025-04-15T00:00:00"/>
    <x v="1"/>
    <x v="62"/>
    <n v="256779411465"/>
    <s v="USD"/>
    <n v="32.450000000000003"/>
    <s v="INR"/>
    <n v="2820.61"/>
    <s v="Outbound Handling Charges Aug 2024"/>
  </r>
  <r>
    <s v="KUEHNE+NAGEL PVT. LTD."/>
    <n v="2025"/>
    <d v="2025-04-15T00:00:00"/>
    <x v="1"/>
    <x v="62"/>
    <n v="256779411466"/>
    <s v="USD"/>
    <n v="35.4"/>
    <s v="INR"/>
    <n v="3077.03"/>
    <s v="Outbound Handling Charges Aug 2024"/>
  </r>
  <r>
    <s v="KUEHNE+NAGEL PVT. LTD."/>
    <n v="2025"/>
    <d v="2025-04-15T00:00:00"/>
    <x v="1"/>
    <x v="62"/>
    <n v="256779411467"/>
    <s v="USD"/>
    <n v="35.4"/>
    <s v="INR"/>
    <n v="3077.03"/>
    <s v="Outbound Handling Charges Aug 2024"/>
  </r>
  <r>
    <s v="KUEHNE+NAGEL PVT. LTD."/>
    <n v="2025"/>
    <d v="2025-04-15T00:00:00"/>
    <x v="1"/>
    <x v="62"/>
    <n v="256779411468"/>
    <s v="USD"/>
    <n v="26.55"/>
    <s v="INR"/>
    <n v="2307.77"/>
    <s v="Outbound Handling Charges Aug 2024"/>
  </r>
  <r>
    <s v="KUEHNE+NAGEL PVT. LTD."/>
    <n v="2025"/>
    <d v="2025-04-15T00:00:00"/>
    <x v="1"/>
    <x v="62"/>
    <n v="256779411469"/>
    <s v="USD"/>
    <n v="35.4"/>
    <s v="INR"/>
    <n v="3077.03"/>
    <s v="Outbound Handling Charges Aug 2024"/>
  </r>
  <r>
    <s v="KUEHNE+NAGEL PVT. LTD."/>
    <n v="2025"/>
    <d v="2025-10-17T00:00:00"/>
    <x v="0"/>
    <x v="63"/>
    <n v="256779422006"/>
    <s v="USD"/>
    <n v="-94.81"/>
    <s v="INR"/>
    <n v="-8361.3700000000008"/>
    <s v="Credit note raised against 256779418068"/>
  </r>
  <r>
    <s v="KUEHNE+NAGEL PVT. LTD."/>
    <n v="2025"/>
    <d v="2025-04-16T00:00:00"/>
    <x v="1"/>
    <x v="64"/>
    <n v="256779411969"/>
    <s v="USD"/>
    <n v="79.08"/>
    <s v="INR"/>
    <n v="6873.78"/>
    <s v="WHSU5018375-Port SSR Shifting Mar 2025. Exch rate"/>
  </r>
  <r>
    <s v="KUEHNE+NAGEL PVT. LTD."/>
    <n v="2025"/>
    <d v="2025-04-16T00:00:00"/>
    <x v="1"/>
    <x v="64"/>
    <n v="256779411970"/>
    <s v="USD"/>
    <n v="8.66"/>
    <s v="INR"/>
    <n v="752.74"/>
    <s v="WHSU5018375-Port SSR Shifting Mar 2025. Exch rate"/>
  </r>
  <r>
    <s v="KUEHNE+NAGEL PVT. LTD."/>
    <n v="2025"/>
    <d v="2025-04-16T00:00:00"/>
    <x v="1"/>
    <x v="64"/>
    <n v="256779412012"/>
    <s v="USD"/>
    <n v="1051.22"/>
    <s v="INR"/>
    <n v="91373.96"/>
    <s v="VAS Activity - Jan 25, Ex Rate. 86.64"/>
  </r>
  <r>
    <s v="KUEHNE+NAGEL PVT. LTD."/>
    <n v="2025"/>
    <d v="2025-04-16T00:00:00"/>
    <x v="1"/>
    <x v="64"/>
    <n v="256779412053"/>
    <s v="USD"/>
    <n v="985.93"/>
    <s v="INR"/>
    <n v="85698.83"/>
    <s v="VAS Activity - Feb 25, Ex Rate. 87.40"/>
  </r>
  <r>
    <s v="KUEHNE+NAGEL PVT. LTD."/>
    <n v="2025"/>
    <d v="2025-04-16T00:00:00"/>
    <x v="1"/>
    <x v="64"/>
    <n v="256779412091"/>
    <s v="USD"/>
    <n v="96.4"/>
    <s v="INR"/>
    <n v="8379.26"/>
    <s v="VAS Activity - Mar 25, 16-31, Ex Rate. 85.58"/>
  </r>
  <r>
    <s v="KUEHNE+NAGEL PVT. LTD."/>
    <n v="2025"/>
    <d v="2025-04-16T00:00:00"/>
    <x v="1"/>
    <x v="64"/>
    <n v="256779412092"/>
    <s v="USD"/>
    <n v="289.17"/>
    <s v="INR"/>
    <n v="25135.18"/>
    <s v="VAS Activity - Mar 25, 16-31, Ex Rate. 85.58"/>
  </r>
  <r>
    <s v="KUEHNE+NAGEL PVT. LTD."/>
    <n v="2025"/>
    <d v="2025-04-16T00:00:00"/>
    <x v="1"/>
    <x v="64"/>
    <n v="256779412123"/>
    <s v="USD"/>
    <n v="3318.21"/>
    <s v="INR"/>
    <n v="288424.84999999998"/>
    <s v="Storage Charges Mar, 25 Exch Rate 85.58"/>
  </r>
  <r>
    <s v="KUEHNE+NAGEL PVT. LTD."/>
    <n v="2025"/>
    <d v="2025-04-16T00:00:00"/>
    <x v="1"/>
    <x v="64"/>
    <n v="256779411722"/>
    <s v="USD"/>
    <n v="236"/>
    <s v="INR"/>
    <n v="20513.55"/>
    <s v="CY Longstanding Transportation chgs for 31 MAR 202"/>
  </r>
  <r>
    <s v="KUEHNE+NAGEL PVT. LTD."/>
    <n v="2025"/>
    <d v="2025-04-16T00:00:00"/>
    <x v="1"/>
    <x v="64"/>
    <n v="256779411795"/>
    <s v="USD"/>
    <n v="369.34"/>
    <s v="INR"/>
    <n v="32103.7"/>
    <s v="Inbound Handling charges for Dec 2024"/>
  </r>
  <r>
    <s v="KUEHNE+NAGEL PVT. LTD."/>
    <n v="2025"/>
    <d v="2025-04-16T00:00:00"/>
    <x v="1"/>
    <x v="64"/>
    <n v="256779411796"/>
    <s v="USD"/>
    <n v="226.56"/>
    <s v="INR"/>
    <n v="19693.009999999998"/>
    <s v="LCL charges for Dec 2024"/>
  </r>
  <r>
    <s v="KUEHNE+NAGEL PVT. LTD."/>
    <n v="2025"/>
    <d v="2025-04-16T00:00:00"/>
    <x v="1"/>
    <x v="64"/>
    <n v="256779411797"/>
    <s v="USD"/>
    <n v="35.4"/>
    <s v="INR"/>
    <n v="3077.03"/>
    <s v="Cy-WH Destuff charges for Dec 2024"/>
  </r>
  <r>
    <s v="KUEHNE+NAGEL PVT. LTD."/>
    <n v="2025"/>
    <d v="2025-04-16T00:00:00"/>
    <x v="1"/>
    <x v="64"/>
    <n v="256779411798"/>
    <s v="USD"/>
    <n v="236"/>
    <s v="INR"/>
    <n v="20513.55"/>
    <s v="Transportation Inbound charges for Dec 2024"/>
  </r>
  <r>
    <s v="KUEHNE+NAGEL PVT. LTD."/>
    <n v="2025"/>
    <d v="2025-04-16T00:00:00"/>
    <x v="1"/>
    <x v="64"/>
    <n v="256779411799"/>
    <s v="USD"/>
    <n v="70.8"/>
    <s v="INR"/>
    <n v="6154.06"/>
    <s v="Empty Cont. Outbound charges for Dec 2024"/>
  </r>
  <r>
    <s v="KUEHNE+NAGEL PVT. LTD."/>
    <n v="2025"/>
    <d v="2025-04-16T00:00:00"/>
    <x v="1"/>
    <x v="64"/>
    <n v="256779411867"/>
    <s v="USD"/>
    <n v="295"/>
    <s v="INR"/>
    <n v="25641.94"/>
    <s v="Outbound Handling charges for Dec 2024"/>
  </r>
  <r>
    <s v="KUEHNE+NAGEL PVT. LTD."/>
    <n v="2025"/>
    <d v="2025-07-25T00:00:00"/>
    <x v="1"/>
    <x v="65"/>
    <n v="256779415989"/>
    <s v="USD"/>
    <n v="299.83999999999997"/>
    <s v="INR"/>
    <n v="25786.44"/>
    <s v="VAS 16-31 May 25 Ex.85.48"/>
  </r>
  <r>
    <s v="KUEHNE+NAGEL PVT. LTD."/>
    <n v="2025"/>
    <d v="2025-07-25T00:00:00"/>
    <x v="1"/>
    <x v="65"/>
    <n v="256779416007"/>
    <s v="USD"/>
    <n v="421.15"/>
    <s v="INR"/>
    <n v="36219.18"/>
    <s v="Weighment -16-31 May 25, Ex.85.48"/>
  </r>
  <r>
    <s v="KUEHNE+NAGEL PVT. LTD."/>
    <n v="2025"/>
    <d v="2025-03-14T00:00:00"/>
    <x v="1"/>
    <x v="66"/>
    <n v="246779411407"/>
    <s v="USD"/>
    <n v="57.23"/>
    <s v="INR"/>
    <n v="4961.34"/>
    <s v="VAS Activity Charges for the month of August, 24"/>
  </r>
  <r>
    <s v="KUEHNE+NAGEL PVT. LTD."/>
    <n v="2025"/>
    <d v="2025-03-14T00:00:00"/>
    <x v="1"/>
    <x v="66"/>
    <n v="246779411411"/>
    <s v="USD"/>
    <n v="45.79"/>
    <s v="INR"/>
    <n v="3969.59"/>
    <s v="VAS Activity Charges for the month of August, 24"/>
  </r>
  <r>
    <s v="KUEHNE+NAGEL PVT. LTD."/>
    <n v="2025"/>
    <d v="2025-03-14T00:00:00"/>
    <x v="1"/>
    <x v="66"/>
    <n v="246779411412"/>
    <s v="USD"/>
    <n v="20.03"/>
    <s v="INR"/>
    <n v="1736.43"/>
    <s v="VAS Activity Charges for the month of August, 24"/>
  </r>
  <r>
    <s v="KUEHNE+NAGEL PVT. LTD."/>
    <n v="2025"/>
    <d v="2025-03-14T00:00:00"/>
    <x v="1"/>
    <x v="66"/>
    <n v="246779411413"/>
    <s v="USD"/>
    <n v="40.06"/>
    <s v="INR"/>
    <n v="3472.85"/>
    <s v="VAS Activity Charges for the month of August, 24"/>
  </r>
  <r>
    <s v="KUEHNE+NAGEL PVT. LTD."/>
    <n v="2025"/>
    <d v="2025-03-14T00:00:00"/>
    <x v="1"/>
    <x v="66"/>
    <n v="246779411415"/>
    <s v="USD"/>
    <n v="22.89"/>
    <s v="INR"/>
    <n v="1984.36"/>
    <s v="VAS Activity Charges for the month of August, 24"/>
  </r>
  <r>
    <s v="KUEHNE+NAGEL PVT. LTD."/>
    <n v="2025"/>
    <d v="2025-03-14T00:00:00"/>
    <x v="1"/>
    <x v="66"/>
    <n v="246779411419"/>
    <s v="USD"/>
    <n v="23.35"/>
    <s v="INR"/>
    <n v="2024.24"/>
    <s v="VAS Activity Charges for the month of August, 24"/>
  </r>
  <r>
    <s v="KUEHNE+NAGEL PVT. LTD."/>
    <n v="2025"/>
    <d v="2025-03-14T00:00:00"/>
    <x v="1"/>
    <x v="66"/>
    <n v="246779412207"/>
    <s v="USD"/>
    <n v="312.5"/>
    <s v="INR"/>
    <n v="27091.02"/>
    <s v="VAS Activity Charges for the month of August, 24"/>
  </r>
  <r>
    <s v="KUEHNE+NAGEL PVT. LTD."/>
    <n v="2025"/>
    <d v="2025-03-14T00:00:00"/>
    <x v="1"/>
    <x v="66"/>
    <n v="246779412208"/>
    <s v="USD"/>
    <n v="23.35"/>
    <s v="INR"/>
    <n v="2024.24"/>
    <s v="VAS Activity Charges for the month of August, 24"/>
  </r>
  <r>
    <s v="KUEHNE+NAGEL PVT. LTD."/>
    <n v="2025"/>
    <d v="2025-03-14T00:00:00"/>
    <x v="1"/>
    <x v="66"/>
    <n v="246779412197"/>
    <s v="USD"/>
    <n v="40.06"/>
    <s v="INR"/>
    <n v="3472.85"/>
    <s v="VAS Activity Charges for the month of August, 24"/>
  </r>
  <r>
    <s v="KUEHNE+NAGEL PVT. LTD."/>
    <n v="2025"/>
    <d v="2025-03-14T00:00:00"/>
    <x v="1"/>
    <x v="66"/>
    <n v="246779412198"/>
    <s v="USD"/>
    <n v="249.55"/>
    <s v="INR"/>
    <n v="21633.8"/>
    <s v="VAS Activity Charges for the month of August, 24"/>
  </r>
  <r>
    <s v="KUEHNE+NAGEL PVT. LTD."/>
    <n v="2025"/>
    <d v="2025-03-14T00:00:00"/>
    <x v="1"/>
    <x v="66"/>
    <n v="246779412199"/>
    <s v="USD"/>
    <n v="40.06"/>
    <s v="INR"/>
    <n v="3472.85"/>
    <s v="VAS Activity Charges for the month of August, 24"/>
  </r>
  <r>
    <s v="KUEHNE+NAGEL PVT. LTD."/>
    <n v="2025"/>
    <d v="2025-03-14T00:00:00"/>
    <x v="1"/>
    <x v="66"/>
    <n v="246779412200"/>
    <s v="USD"/>
    <n v="45.79"/>
    <s v="INR"/>
    <n v="3969.59"/>
    <s v="VAS Activity Charges for the month of August, 24"/>
  </r>
  <r>
    <s v="KUEHNE+NAGEL PVT. LTD."/>
    <n v="2025"/>
    <d v="2025-03-14T00:00:00"/>
    <x v="1"/>
    <x v="66"/>
    <n v="246779411408"/>
    <s v="USD"/>
    <n v="40.06"/>
    <s v="INR"/>
    <n v="3472.85"/>
    <s v="VAS Activity Charges for the month of August, 24"/>
  </r>
  <r>
    <s v="KUEHNE+NAGEL PVT. LTD."/>
    <n v="2025"/>
    <d v="2025-03-14T00:00:00"/>
    <x v="1"/>
    <x v="66"/>
    <n v="246779411409"/>
    <s v="USD"/>
    <n v="249.55"/>
    <s v="INR"/>
    <n v="21633.8"/>
    <s v="VAS Activity Charges for the month of August, 24"/>
  </r>
  <r>
    <s v="KUEHNE+NAGEL PVT. LTD."/>
    <n v="2025"/>
    <d v="2025-03-14T00:00:00"/>
    <x v="1"/>
    <x v="66"/>
    <n v="246779411410"/>
    <s v="USD"/>
    <n v="40.06"/>
    <s v="INR"/>
    <n v="3472.85"/>
    <s v="VAS Activity Charges for the month of August, 24"/>
  </r>
  <r>
    <s v="KUEHNE+NAGEL PVT. LTD."/>
    <n v="2025"/>
    <d v="2025-03-14T00:00:00"/>
    <x v="1"/>
    <x v="66"/>
    <n v="246779411414"/>
    <s v="USD"/>
    <n v="28.62"/>
    <s v="INR"/>
    <n v="2481.1"/>
    <s v="VAS Activity Charges for the month of August, 24"/>
  </r>
  <r>
    <s v="KUEHNE+NAGEL PVT. LTD."/>
    <n v="2025"/>
    <d v="2025-03-14T00:00:00"/>
    <x v="1"/>
    <x v="66"/>
    <n v="246779411416"/>
    <s v="USD"/>
    <n v="114.46"/>
    <s v="INR"/>
    <n v="9922.68"/>
    <s v="VAS Activity Charges for the month of August, 24"/>
  </r>
  <r>
    <s v="KUEHNE+NAGEL PVT. LTD."/>
    <n v="2025"/>
    <d v="2025-03-14T00:00:00"/>
    <x v="1"/>
    <x v="66"/>
    <n v="246779411417"/>
    <s v="USD"/>
    <n v="68.680000000000007"/>
    <s v="INR"/>
    <n v="5953.96"/>
    <s v="VAS Activity Charges for the month of August, 24"/>
  </r>
  <r>
    <s v="KUEHNE+NAGEL PVT. LTD."/>
    <n v="2025"/>
    <d v="2025-03-14T00:00:00"/>
    <x v="1"/>
    <x v="66"/>
    <n v="246779411418"/>
    <s v="USD"/>
    <n v="312.5"/>
    <s v="INR"/>
    <n v="27091.02"/>
    <s v="VAS Activity Charges for the month of August, 24"/>
  </r>
  <r>
    <s v="KUEHNE+NAGEL PVT. LTD."/>
    <n v="2025"/>
    <d v="2025-03-14T00:00:00"/>
    <x v="1"/>
    <x v="66"/>
    <n v="246779412202"/>
    <s v="USD"/>
    <n v="40.06"/>
    <s v="INR"/>
    <n v="3472.85"/>
    <s v="VAS Activity Charges for the month of August, 24"/>
  </r>
  <r>
    <s v="KUEHNE+NAGEL PVT. LTD."/>
    <n v="2025"/>
    <d v="2025-03-14T00:00:00"/>
    <x v="1"/>
    <x v="66"/>
    <n v="246779412203"/>
    <s v="USD"/>
    <n v="28.62"/>
    <s v="INR"/>
    <n v="2481.1"/>
    <s v="VAS Activity Charges for the month of August, 24"/>
  </r>
  <r>
    <s v="KUEHNE+NAGEL PVT. LTD."/>
    <n v="2025"/>
    <d v="2025-03-14T00:00:00"/>
    <x v="1"/>
    <x v="66"/>
    <n v="246779412204"/>
    <s v="USD"/>
    <n v="22.89"/>
    <s v="INR"/>
    <n v="1984.36"/>
    <s v="VAS Activity Charges for the month of August, 24"/>
  </r>
  <r>
    <s v="KUEHNE+NAGEL PVT. LTD."/>
    <n v="2025"/>
    <d v="2025-03-14T00:00:00"/>
    <x v="1"/>
    <x v="66"/>
    <n v="246779412205"/>
    <s v="USD"/>
    <n v="114.46"/>
    <s v="INR"/>
    <n v="9922.68"/>
    <s v="VAS Activity Charges for the month of August, 24"/>
  </r>
  <r>
    <s v="KUEHNE+NAGEL PVT. LTD."/>
    <n v="2025"/>
    <d v="2025-03-14T00:00:00"/>
    <x v="1"/>
    <x v="66"/>
    <n v="246779412206"/>
    <s v="USD"/>
    <n v="68.680000000000007"/>
    <s v="INR"/>
    <n v="5953.96"/>
    <s v="VAS Activity Charges for the month of August, 24"/>
  </r>
  <r>
    <s v="KUEHNE+NAGEL PVT. LTD."/>
    <n v="2025"/>
    <d v="2025-03-14T00:00:00"/>
    <x v="1"/>
    <x v="66"/>
    <n v="246779412196"/>
    <s v="USD"/>
    <n v="57.23"/>
    <s v="INR"/>
    <n v="4961.34"/>
    <s v="VAS Activity Charges for the month of August, 24"/>
  </r>
  <r>
    <s v="KUEHNE+NAGEL PVT. LTD."/>
    <n v="2025"/>
    <d v="2025-03-14T00:00:00"/>
    <x v="1"/>
    <x v="66"/>
    <n v="246779412201"/>
    <s v="USD"/>
    <n v="20.03"/>
    <s v="INR"/>
    <n v="1736.43"/>
    <s v="VAS Activity Charges for the month of August, 24"/>
  </r>
  <r>
    <s v="KUEHNE+NAGEL PVT. LTD."/>
    <n v="2025"/>
    <d v="2025-07-10T00:00:00"/>
    <x v="1"/>
    <x v="0"/>
    <n v="256779415289"/>
    <s v="USD"/>
    <n v="250"/>
    <s v="INR"/>
    <n v="21500.17"/>
    <s v="Outbound Handling charges for Dec 2024"/>
  </r>
  <r>
    <s v="KUEHNE+NAGEL PVT. LTD."/>
    <n v="2025"/>
    <d v="2025-07-10T00:00:00"/>
    <x v="1"/>
    <x v="0"/>
    <n v="256779415290"/>
    <s v="USD"/>
    <n v="24"/>
    <s v="INR"/>
    <n v="2064.02"/>
    <s v="LCL charges for Jan 2025"/>
  </r>
  <r>
    <s v="KUEHNE+NAGEL PVT. LTD."/>
    <n v="2025"/>
    <d v="2025-07-10T00:00:00"/>
    <x v="1"/>
    <x v="0"/>
    <n v="256779415291"/>
    <s v="USD"/>
    <n v="24"/>
    <s v="INR"/>
    <n v="2064.02"/>
    <s v="LCL Charges August 2024"/>
  </r>
  <r>
    <s v="KUEHNE+NAGEL PVT. LTD."/>
    <n v="2025"/>
    <d v="2025-07-10T00:00:00"/>
    <x v="1"/>
    <x v="0"/>
    <n v="256779415292"/>
    <s v="USD"/>
    <n v="24"/>
    <s v="INR"/>
    <n v="2064.02"/>
    <s v="LCL Charges August 2024"/>
  </r>
  <r>
    <s v="KUEHNE+NAGEL PVT. LTD."/>
    <n v="2025"/>
    <d v="2025-07-10T00:00:00"/>
    <x v="1"/>
    <x v="0"/>
    <n v="256779415293"/>
    <s v="USD"/>
    <n v="24"/>
    <s v="INR"/>
    <n v="2064.02"/>
    <s v="LCL Charges August 2024"/>
  </r>
  <r>
    <s v="KUEHNE+NAGEL PVT. LTD."/>
    <n v="2025"/>
    <d v="2025-07-10T00:00:00"/>
    <x v="1"/>
    <x v="0"/>
    <n v="256779415294"/>
    <s v="USD"/>
    <n v="24"/>
    <s v="INR"/>
    <n v="2064.02"/>
    <s v="LCL Charges August 2024"/>
  </r>
  <r>
    <s v="KUEHNE+NAGEL PVT. LTD."/>
    <n v="2025"/>
    <d v="2025-07-10T00:00:00"/>
    <x v="1"/>
    <x v="0"/>
    <n v="256779415295"/>
    <s v="USD"/>
    <n v="24"/>
    <s v="INR"/>
    <n v="2064.02"/>
    <s v="LCL Charges August 2024"/>
  </r>
  <r>
    <s v="KUEHNE+NAGEL PVT. LTD."/>
    <n v="2025"/>
    <d v="2025-07-10T00:00:00"/>
    <x v="1"/>
    <x v="0"/>
    <n v="256779415296"/>
    <s v="USD"/>
    <n v="24"/>
    <s v="INR"/>
    <n v="2064.02"/>
    <s v="LCL Charges August 2024"/>
  </r>
  <r>
    <s v="KUEHNE+NAGEL PVT. LTD."/>
    <n v="2025"/>
    <d v="2025-07-10T00:00:00"/>
    <x v="1"/>
    <x v="0"/>
    <n v="256779415297"/>
    <s v="USD"/>
    <n v="24"/>
    <s v="INR"/>
    <n v="2064.02"/>
    <s v="LCL Charges August 2024"/>
  </r>
  <r>
    <s v="KUEHNE+NAGEL PVT. LTD."/>
    <n v="2025"/>
    <d v="2025-07-10T00:00:00"/>
    <x v="1"/>
    <x v="0"/>
    <n v="256779415298"/>
    <s v="USD"/>
    <n v="24"/>
    <s v="INR"/>
    <n v="2064.02"/>
    <s v="LCL Charges August 2024"/>
  </r>
  <r>
    <s v="KUEHNE+NAGEL PVT. LTD."/>
    <n v="2025"/>
    <d v="2025-07-10T00:00:00"/>
    <x v="1"/>
    <x v="0"/>
    <n v="256779415299"/>
    <s v="USD"/>
    <n v="24"/>
    <s v="INR"/>
    <n v="2064.02"/>
    <s v="LCL Charges August 2024"/>
  </r>
  <r>
    <s v="KUEHNE+NAGEL PVT. LTD."/>
    <n v="2025"/>
    <d v="2025-07-10T00:00:00"/>
    <x v="1"/>
    <x v="0"/>
    <n v="256779415300"/>
    <s v="USD"/>
    <n v="24"/>
    <s v="INR"/>
    <n v="2064.02"/>
    <s v="LCL Charges August 2024"/>
  </r>
  <r>
    <s v="KUEHNE+NAGEL PVT. LTD."/>
    <n v="2025"/>
    <d v="2025-07-10T00:00:00"/>
    <x v="1"/>
    <x v="0"/>
    <n v="256779415301"/>
    <s v="USD"/>
    <n v="30"/>
    <s v="INR"/>
    <n v="2580.02"/>
    <s v="Cy-WH Destuff charges for Sep 2024"/>
  </r>
  <r>
    <s v="KUEHNE+NAGEL PVT. LTD."/>
    <n v="2025"/>
    <d v="2025-07-10T00:00:00"/>
    <x v="1"/>
    <x v="0"/>
    <n v="256779415302"/>
    <s v="USD"/>
    <n v="30"/>
    <s v="INR"/>
    <n v="2580.02"/>
    <s v="Outbound Handling charges for Jan 2025"/>
  </r>
  <r>
    <s v="KUEHNE+NAGEL PVT. LTD."/>
    <n v="2025"/>
    <d v="2025-07-10T00:00:00"/>
    <x v="1"/>
    <x v="0"/>
    <n v="256779415309"/>
    <s v="USD"/>
    <n v="30"/>
    <s v="INR"/>
    <n v="2580.02"/>
    <s v="Cy-WH Destuff charges for Dec 2024"/>
  </r>
  <r>
    <s v="KUEHNE+NAGEL PVT. LTD."/>
    <n v="2025"/>
    <d v="2025-07-10T00:00:00"/>
    <x v="1"/>
    <x v="0"/>
    <n v="256779415310"/>
    <s v="USD"/>
    <n v="30"/>
    <s v="INR"/>
    <n v="2580.02"/>
    <s v="Cy-WH Destuff charges for 31 Mar 2025"/>
  </r>
  <r>
    <s v="KUEHNE+NAGEL PVT. LTD."/>
    <n v="2025"/>
    <d v="2025-07-10T00:00:00"/>
    <x v="1"/>
    <x v="0"/>
    <n v="256779415311"/>
    <s v="USD"/>
    <n v="77.48"/>
    <s v="INR"/>
    <n v="6663.33"/>
    <s v="Inbound Handling charges for Jan 2025"/>
  </r>
  <r>
    <s v="KUEHNE+NAGEL PVT. LTD."/>
    <n v="2025"/>
    <d v="2025-07-10T00:00:00"/>
    <x v="1"/>
    <x v="0"/>
    <n v="256779415312"/>
    <s v="USD"/>
    <n v="200"/>
    <s v="INR"/>
    <n v="17200.13"/>
    <s v="Transportation Inbound charges for Jan 2025"/>
  </r>
  <r>
    <s v="KUEHNE+NAGEL PVT. LTD."/>
    <n v="2025"/>
    <d v="2025-07-10T00:00:00"/>
    <x v="1"/>
    <x v="0"/>
    <n v="256779415313"/>
    <s v="USD"/>
    <n v="60"/>
    <s v="INR"/>
    <n v="5160.04"/>
    <s v="Empty Cont Outbound charges for Jan 2025"/>
  </r>
  <r>
    <s v="KUEHNE+NAGEL PVT. LTD."/>
    <n v="2025"/>
    <d v="2025-07-10T00:00:00"/>
    <x v="1"/>
    <x v="0"/>
    <n v="256779415314"/>
    <s v="USD"/>
    <n v="179.14"/>
    <s v="INR"/>
    <n v="15406.16"/>
    <s v="Inbound Handling charges for Feb 2025"/>
  </r>
  <r>
    <s v="KUEHNE+NAGEL PVT. LTD."/>
    <n v="2025"/>
    <d v="2025-07-10T00:00:00"/>
    <x v="1"/>
    <x v="0"/>
    <n v="256779415315"/>
    <s v="USD"/>
    <n v="120"/>
    <s v="INR"/>
    <n v="10320.08"/>
    <s v="LCL Movement Charges for Feb 2025"/>
  </r>
  <r>
    <s v="KUEHNE+NAGEL PVT. LTD."/>
    <n v="2025"/>
    <d v="2025-07-10T00:00:00"/>
    <x v="1"/>
    <x v="0"/>
    <n v="256779415316"/>
    <s v="USD"/>
    <n v="60"/>
    <s v="INR"/>
    <n v="5160.04"/>
    <s v="Empty transportation Charges for Feb 2025"/>
  </r>
  <r>
    <s v="KUEHNE+NAGEL PVT. LTD."/>
    <n v="2025"/>
    <d v="2025-07-10T00:00:00"/>
    <x v="1"/>
    <x v="0"/>
    <n v="256779415317"/>
    <s v="USD"/>
    <n v="200"/>
    <s v="INR"/>
    <n v="17200.13"/>
    <s v="Transportation Charges for Feb 2025"/>
  </r>
  <r>
    <s v="KUEHNE+NAGEL PVT. LTD."/>
    <n v="2025"/>
    <d v="2025-07-10T00:00:00"/>
    <x v="1"/>
    <x v="0"/>
    <n v="256779415318"/>
    <s v="USD"/>
    <n v="254.65"/>
    <s v="INR"/>
    <n v="21900.07"/>
    <s v="Outbound Handling charges for Oct 2024"/>
  </r>
  <r>
    <s v="KUEHNE+NAGEL PVT. LTD."/>
    <n v="2025"/>
    <d v="2025-07-10T00:00:00"/>
    <x v="1"/>
    <x v="0"/>
    <n v="256779415319"/>
    <s v="USD"/>
    <n v="140.16999999999999"/>
    <s v="INR"/>
    <n v="12054.71"/>
    <s v="Outbound Handling charges for Jan 2025"/>
  </r>
  <r>
    <s v="KUEHNE+NAGEL PVT. LTD."/>
    <n v="2025"/>
    <d v="2025-07-10T00:00:00"/>
    <x v="1"/>
    <x v="0"/>
    <n v="256779415320"/>
    <s v="USD"/>
    <n v="12.5"/>
    <s v="INR"/>
    <n v="1075.01"/>
    <s v="Inbound Handling charges for Jan 2025"/>
  </r>
  <r>
    <s v="KUEHNE+NAGEL PVT. LTD."/>
    <n v="2025"/>
    <d v="2025-07-10T00:00:00"/>
    <x v="1"/>
    <x v="0"/>
    <n v="256779415322"/>
    <s v="USD"/>
    <n v="192"/>
    <s v="INR"/>
    <n v="16512.13"/>
    <s v="LCL charges for  Sep 2024"/>
  </r>
  <r>
    <s v="KUEHNE+NAGEL PVT. LTD."/>
    <n v="2025"/>
    <d v="2025-07-10T00:00:00"/>
    <x v="1"/>
    <x v="0"/>
    <n v="256779415323"/>
    <s v="USD"/>
    <n v="211.75"/>
    <s v="INR"/>
    <n v="18210.64"/>
    <s v="Outbound Handling charges for Sep 2024"/>
  </r>
  <r>
    <s v="KUEHNE+NAGEL PVT. LTD."/>
    <n v="2025"/>
    <d v="2025-07-10T00:00:00"/>
    <x v="1"/>
    <x v="0"/>
    <n v="256779415324"/>
    <s v="USD"/>
    <n v="146.65"/>
    <s v="INR"/>
    <n v="12612"/>
    <s v="Inbound Handling charges for Jan 2025"/>
  </r>
  <r>
    <s v="KUEHNE+NAGEL PVT. LTD."/>
    <n v="2025"/>
    <d v="2025-07-10T00:00:00"/>
    <x v="1"/>
    <x v="0"/>
    <n v="256779415325"/>
    <s v="USD"/>
    <n v="192"/>
    <s v="INR"/>
    <n v="16512.13"/>
    <s v="LCL charges for Jan 2025"/>
  </r>
  <r>
    <s v="KUEHNE+NAGEL PVT. LTD."/>
    <n v="2025"/>
    <d v="2025-07-10T00:00:00"/>
    <x v="1"/>
    <x v="0"/>
    <n v="256779415326"/>
    <s v="USD"/>
    <n v="185.05"/>
    <s v="INR"/>
    <n v="15914.42"/>
    <s v="Outbound Handling charges for Feb 2025"/>
  </r>
  <r>
    <s v="KUEHNE+NAGEL PVT. LTD."/>
    <n v="2025"/>
    <d v="2025-07-10T00:00:00"/>
    <x v="1"/>
    <x v="0"/>
    <n v="256779415327"/>
    <s v="USD"/>
    <n v="20"/>
    <s v="INR"/>
    <n v="1720.01"/>
    <s v="Outbound Handling charges for Jan 2025"/>
  </r>
  <r>
    <s v="KUEHNE+NAGEL PVT. LTD."/>
    <n v="2025"/>
    <d v="2025-07-10T00:00:00"/>
    <x v="1"/>
    <x v="0"/>
    <n v="256779415328"/>
    <s v="USD"/>
    <n v="22.5"/>
    <s v="INR"/>
    <n v="1935.02"/>
    <s v="Outbound Handling charges for Jan 2025"/>
  </r>
  <r>
    <s v="KUEHNE+NAGEL PVT. LTD."/>
    <n v="2025"/>
    <d v="2025-07-10T00:00:00"/>
    <x v="1"/>
    <x v="0"/>
    <n v="256779415329"/>
    <s v="USD"/>
    <n v="27.5"/>
    <s v="INR"/>
    <n v="2365.02"/>
    <s v="Outbound Handling charges for Jan 2025"/>
  </r>
  <r>
    <s v="KUEHNE+NAGEL PVT. LTD."/>
    <n v="2025"/>
    <d v="2025-07-10T00:00:00"/>
    <x v="1"/>
    <x v="0"/>
    <n v="256779415330"/>
    <s v="USD"/>
    <n v="22.5"/>
    <s v="INR"/>
    <n v="1935.02"/>
    <s v="Outbound Handling charges for Jan 2025"/>
  </r>
  <r>
    <s v="KUEHNE+NAGEL PVT. LTD."/>
    <n v="2025"/>
    <d v="2025-07-10T00:00:00"/>
    <x v="1"/>
    <x v="0"/>
    <n v="256779415331"/>
    <s v="USD"/>
    <n v="22.5"/>
    <s v="INR"/>
    <n v="1935.02"/>
    <s v="Outbound Handling charges for Jan 2025"/>
  </r>
  <r>
    <s v="KUEHNE+NAGEL PVT. LTD."/>
    <n v="2025"/>
    <d v="2025-07-10T00:00:00"/>
    <x v="1"/>
    <x v="0"/>
    <n v="256779415332"/>
    <s v="USD"/>
    <n v="2.5"/>
    <s v="INR"/>
    <n v="215"/>
    <s v="Outbound Handling charges for Jan 2025"/>
  </r>
  <r>
    <s v="KUEHNE+NAGEL PVT. LTD."/>
    <n v="2025"/>
    <d v="2025-07-10T00:00:00"/>
    <x v="1"/>
    <x v="0"/>
    <n v="256779415333"/>
    <s v="USD"/>
    <n v="22.5"/>
    <s v="INR"/>
    <n v="1935.02"/>
    <s v="Inbound Handling for August 24"/>
  </r>
  <r>
    <s v="KUEHNE+NAGEL PVT. LTD."/>
    <n v="2025"/>
    <d v="2025-07-10T00:00:00"/>
    <x v="1"/>
    <x v="0"/>
    <n v="256779415334"/>
    <s v="USD"/>
    <n v="22.5"/>
    <s v="INR"/>
    <n v="1935.02"/>
    <s v="Inbound Handling for August 24"/>
  </r>
  <r>
    <s v="KUEHNE+NAGEL PVT. LTD."/>
    <n v="2025"/>
    <d v="2025-07-10T00:00:00"/>
    <x v="1"/>
    <x v="0"/>
    <n v="256779415335"/>
    <s v="USD"/>
    <n v="25"/>
    <s v="INR"/>
    <n v="2150.02"/>
    <s v="Inbound Handling for August 24"/>
  </r>
  <r>
    <s v="KUEHNE+NAGEL PVT. LTD."/>
    <n v="2025"/>
    <d v="2025-07-10T00:00:00"/>
    <x v="1"/>
    <x v="0"/>
    <n v="256779415337"/>
    <s v="USD"/>
    <n v="17.5"/>
    <s v="INR"/>
    <n v="1505.01"/>
    <s v="Inbound Handling for August 24"/>
  </r>
  <r>
    <s v="KUEHNE+NAGEL PVT. LTD."/>
    <n v="2025"/>
    <d v="2025-07-10T00:00:00"/>
    <x v="1"/>
    <x v="0"/>
    <n v="256779415338"/>
    <s v="USD"/>
    <n v="12.5"/>
    <s v="INR"/>
    <n v="1075.01"/>
    <s v="Inbound Handling for August 24"/>
  </r>
  <r>
    <s v="KUEHNE+NAGEL PVT. LTD."/>
    <n v="2025"/>
    <d v="2025-07-10T00:00:00"/>
    <x v="1"/>
    <x v="0"/>
    <n v="256779415340"/>
    <s v="USD"/>
    <n v="25.84"/>
    <s v="INR"/>
    <n v="2222.2600000000002"/>
    <s v="Inbound Handling for August 24"/>
  </r>
  <r>
    <s v="KUEHNE+NAGEL PVT. LTD."/>
    <n v="2025"/>
    <d v="2025-07-10T00:00:00"/>
    <x v="1"/>
    <x v="0"/>
    <n v="256779415341"/>
    <s v="USD"/>
    <n v="15"/>
    <s v="INR"/>
    <n v="1290.01"/>
    <s v="Inbound Handling for August 24"/>
  </r>
  <r>
    <s v="KUEHNE+NAGEL PVT. LTD."/>
    <n v="2025"/>
    <d v="2025-07-10T00:00:00"/>
    <x v="1"/>
    <x v="0"/>
    <n v="256779415342"/>
    <s v="USD"/>
    <n v="2.5"/>
    <s v="INR"/>
    <n v="215"/>
    <s v="Inbound Handling for August 24"/>
  </r>
  <r>
    <s v="KUEHNE+NAGEL PVT. LTD."/>
    <n v="2025"/>
    <d v="2025-07-10T00:00:00"/>
    <x v="1"/>
    <x v="0"/>
    <n v="256779415343"/>
    <s v="USD"/>
    <n v="1"/>
    <s v="INR"/>
    <n v="86"/>
    <s v="Loose Unloading Charges August 2024"/>
  </r>
  <r>
    <s v="KUEHNE+NAGEL PVT. LTD."/>
    <n v="2025"/>
    <d v="2025-07-10T00:00:00"/>
    <x v="1"/>
    <x v="0"/>
    <n v="256779415344"/>
    <s v="USD"/>
    <n v="25"/>
    <s v="INR"/>
    <n v="2150.02"/>
    <s v="Outbound Handling Charges Aug 2024"/>
  </r>
  <r>
    <s v="KUEHNE+NAGEL PVT. LTD."/>
    <n v="2025"/>
    <d v="2025-07-10T00:00:00"/>
    <x v="1"/>
    <x v="0"/>
    <n v="256779415345"/>
    <s v="USD"/>
    <n v="25"/>
    <s v="INR"/>
    <n v="2150.02"/>
    <s v="Outbound Handling Charges Aug 2024"/>
  </r>
  <r>
    <s v="KUEHNE+NAGEL PVT. LTD."/>
    <n v="2025"/>
    <d v="2025-07-10T00:00:00"/>
    <x v="1"/>
    <x v="0"/>
    <n v="256779415346"/>
    <s v="USD"/>
    <n v="17.5"/>
    <s v="INR"/>
    <n v="1505.01"/>
    <s v="Outbound Handling Charges Aug 2024"/>
  </r>
  <r>
    <s v="KUEHNE+NAGEL PVT. LTD."/>
    <n v="2025"/>
    <d v="2025-07-10T00:00:00"/>
    <x v="1"/>
    <x v="0"/>
    <n v="256779415347"/>
    <s v="USD"/>
    <n v="20"/>
    <s v="INR"/>
    <n v="1720.01"/>
    <s v="Outbound Handling Charges Aug 2024"/>
  </r>
  <r>
    <s v="KUEHNE+NAGEL PVT. LTD."/>
    <n v="2025"/>
    <d v="2025-07-10T00:00:00"/>
    <x v="1"/>
    <x v="0"/>
    <n v="256779415348"/>
    <s v="USD"/>
    <n v="7.5"/>
    <s v="INR"/>
    <n v="645.01"/>
    <s v="Outbound Handling Charges Aug 2024"/>
  </r>
  <r>
    <s v="KUEHNE+NAGEL PVT. LTD."/>
    <n v="2025"/>
    <d v="2025-07-10T00:00:00"/>
    <x v="1"/>
    <x v="0"/>
    <n v="256779415349"/>
    <s v="USD"/>
    <n v="27.5"/>
    <s v="INR"/>
    <n v="2365.02"/>
    <s v="Outbound Handling Charges Aug 2024"/>
  </r>
  <r>
    <s v="KUEHNE+NAGEL PVT. LTD."/>
    <n v="2025"/>
    <d v="2025-07-10T00:00:00"/>
    <x v="1"/>
    <x v="0"/>
    <n v="256779415350"/>
    <s v="USD"/>
    <n v="22.5"/>
    <s v="INR"/>
    <n v="1935.02"/>
    <s v="Outbound Handling Charges Aug 2024"/>
  </r>
  <r>
    <s v="KUEHNE+NAGEL PVT. LTD."/>
    <n v="2025"/>
    <d v="2025-07-10T00:00:00"/>
    <x v="1"/>
    <x v="0"/>
    <n v="256779415351"/>
    <s v="USD"/>
    <n v="17.03"/>
    <s v="INR"/>
    <n v="1464.59"/>
    <s v="WHSU5159898-Port SSR Storage Feb 2025. Exch rate -"/>
  </r>
  <r>
    <s v="KUEHNE+NAGEL PVT. LTD."/>
    <n v="2025"/>
    <d v="2025-07-10T00:00:00"/>
    <x v="1"/>
    <x v="0"/>
    <n v="256779415352"/>
    <s v="USD"/>
    <n v="155.91999999999999"/>
    <s v="INR"/>
    <n v="13409.22"/>
    <s v="Outbound Handling charges for Mar 25"/>
  </r>
  <r>
    <s v="KUEHNE+NAGEL PVT. LTD."/>
    <n v="2025"/>
    <d v="2025-07-10T00:00:00"/>
    <x v="1"/>
    <x v="0"/>
    <n v="256779415353"/>
    <s v="USD"/>
    <n v="200"/>
    <s v="INR"/>
    <n v="17200.13"/>
    <s v="Transportation Inbound charges for Jan 2025"/>
  </r>
  <r>
    <s v="KUEHNE+NAGEL PVT. LTD."/>
    <n v="2025"/>
    <d v="2025-07-10T00:00:00"/>
    <x v="1"/>
    <x v="0"/>
    <n v="256779415354"/>
    <s v="USD"/>
    <n v="60"/>
    <s v="INR"/>
    <n v="5160.04"/>
    <s v="Empty Cont Out charges for Jan 2025"/>
  </r>
  <r>
    <s v="KUEHNE+NAGEL PVT. LTD."/>
    <n v="2025"/>
    <d v="2025-07-10T00:00:00"/>
    <x v="1"/>
    <x v="0"/>
    <n v="256779415355"/>
    <s v="USD"/>
    <n v="21.37"/>
    <s v="INR"/>
    <n v="1837.83"/>
    <s v="Inbound Handling charges for Mar 2025"/>
  </r>
  <r>
    <s v="KUEHNE+NAGEL PVT. LTD."/>
    <n v="2025"/>
    <d v="2025-07-10T00:00:00"/>
    <x v="1"/>
    <x v="0"/>
    <n v="256779415356"/>
    <s v="USD"/>
    <n v="72"/>
    <s v="INR"/>
    <n v="6192.05"/>
    <s v="LCL charges for Mar 2025"/>
  </r>
  <r>
    <s v="KUEHNE+NAGEL PVT. LTD."/>
    <n v="2025"/>
    <d v="2025-07-10T00:00:00"/>
    <x v="1"/>
    <x v="0"/>
    <n v="256779415357"/>
    <s v="USD"/>
    <n v="207.27"/>
    <s v="INR"/>
    <n v="17825.36"/>
    <s v="Inbound Handling charges for 31 Mar 2025"/>
  </r>
  <r>
    <s v="KUEHNE+NAGEL PVT. LTD."/>
    <n v="2025"/>
    <d v="2025-07-10T00:00:00"/>
    <x v="1"/>
    <x v="0"/>
    <n v="256779415358"/>
    <s v="USD"/>
    <n v="96"/>
    <s v="INR"/>
    <n v="8256.06"/>
    <s v="LCL charges for 31 Mar 2025"/>
  </r>
  <r>
    <s v="KUEHNE+NAGEL PVT. LTD."/>
    <n v="2025"/>
    <d v="2025-07-10T00:00:00"/>
    <x v="1"/>
    <x v="0"/>
    <n v="256779415359"/>
    <s v="USD"/>
    <n v="200"/>
    <s v="INR"/>
    <n v="17200.13"/>
    <s v="Transportation Inbound charges for 31 Mar 2025"/>
  </r>
  <r>
    <s v="KUEHNE+NAGEL PVT. LTD."/>
    <n v="2025"/>
    <d v="2025-07-10T00:00:00"/>
    <x v="1"/>
    <x v="0"/>
    <n v="256779415360"/>
    <s v="USD"/>
    <n v="60"/>
    <s v="INR"/>
    <n v="5160.04"/>
    <s v="Empty Cont. Outbound charges for 31 Mar 2025"/>
  </r>
  <r>
    <s v="KUEHNE+NAGEL PVT. LTD."/>
    <n v="2025"/>
    <d v="2025-07-10T00:00:00"/>
    <x v="1"/>
    <x v="0"/>
    <n v="256779415361"/>
    <s v="USD"/>
    <n v="67.5"/>
    <s v="INR"/>
    <n v="5805.05"/>
    <s v="Outbound Handling charges for 31 Mar 25"/>
  </r>
  <r>
    <s v="KUEHNE+NAGEL PVT. LTD."/>
    <n v="2025"/>
    <d v="2025-07-10T00:00:00"/>
    <x v="1"/>
    <x v="0"/>
    <n v="256779415362"/>
    <s v="USD"/>
    <n v="3"/>
    <s v="INR"/>
    <n v="258"/>
    <s v="Outbound Handling for Aug 2024"/>
  </r>
  <r>
    <s v="KUEHNE+NAGEL PVT. LTD."/>
    <n v="2025"/>
    <d v="2025-07-10T00:00:00"/>
    <x v="1"/>
    <x v="0"/>
    <n v="256779415363"/>
    <s v="USD"/>
    <n v="3"/>
    <s v="INR"/>
    <n v="258"/>
    <s v="Outbound Handling for Aug 2024"/>
  </r>
  <r>
    <s v="KUEHNE+NAGEL PVT. LTD."/>
    <n v="2025"/>
    <d v="2025-07-23T00:00:00"/>
    <x v="2"/>
    <x v="67"/>
    <s v=""/>
    <s v="USD"/>
    <n v="0"/>
    <s v="INR"/>
    <n v="0"/>
    <s v=""/>
  </r>
  <r>
    <s v="KUEHNE+NAGEL PVT. LTD."/>
    <n v="2025"/>
    <d v="2025-07-23T00:00:00"/>
    <x v="2"/>
    <x v="67"/>
    <s v=""/>
    <s v="USD"/>
    <n v="0"/>
    <s v="INR"/>
    <n v="0"/>
    <s v=""/>
  </r>
  <r>
    <s v="KUEHNE+NAGEL PVT. LTD."/>
    <n v="2025"/>
    <d v="2025-07-23T00:00:00"/>
    <x v="2"/>
    <x v="67"/>
    <s v=""/>
    <s v="USD"/>
    <n v="0"/>
    <s v="INR"/>
    <n v="0"/>
    <s v=""/>
  </r>
  <r>
    <s v="KUEHNE+NAGEL PVT. LTD."/>
    <n v="2025"/>
    <d v="2025-07-23T00:00:00"/>
    <x v="2"/>
    <x v="67"/>
    <s v=""/>
    <s v="USD"/>
    <n v="0"/>
    <s v="INR"/>
    <n v="0"/>
    <s v=""/>
  </r>
  <r>
    <s v="KUEHNE+NAGEL PVT. LTD."/>
    <n v="2025"/>
    <d v="2025-07-23T00:00:00"/>
    <x v="2"/>
    <x v="67"/>
    <s v=""/>
    <s v="USD"/>
    <n v="0"/>
    <s v="INR"/>
    <n v="0"/>
    <s v=""/>
  </r>
  <r>
    <s v="KUEHNE+NAGEL PVT. LTD."/>
    <n v="2025"/>
    <d v="2025-07-23T00:00:00"/>
    <x v="2"/>
    <x v="67"/>
    <s v=""/>
    <s v="USD"/>
    <n v="0"/>
    <s v="INR"/>
    <n v="0"/>
    <s v=""/>
  </r>
  <r>
    <s v="KUEHNE+NAGEL PVT. LTD."/>
    <n v="2025"/>
    <d v="2025-07-23T00:00:00"/>
    <x v="2"/>
    <x v="67"/>
    <s v=""/>
    <s v="USD"/>
    <n v="0"/>
    <s v="INR"/>
    <n v="0"/>
    <s v=""/>
  </r>
  <r>
    <s v="KUEHNE+NAGEL PVT. LTD."/>
    <n v="2025"/>
    <d v="2025-04-11T00:00:00"/>
    <x v="3"/>
    <x v="68"/>
    <s v=""/>
    <s v="INR"/>
    <n v="1"/>
    <s v="INR"/>
    <n v="1"/>
    <s v="Overpayment"/>
  </r>
  <r>
    <s v="KUEHNE+NAGEL PVT. LTD."/>
    <n v="2025"/>
    <d v="2025-04-11T00:00:00"/>
    <x v="3"/>
    <x v="68"/>
    <s v=""/>
    <s v="INR"/>
    <n v="-1"/>
    <s v="INR"/>
    <n v="-1"/>
    <s v="Overpayment"/>
  </r>
  <r>
    <s v="KUEHNE+NAGEL PVT. LTD."/>
    <n v="2025"/>
    <d v="2025-09-02T00:00:00"/>
    <x v="4"/>
    <x v="69"/>
    <s v=""/>
    <s v="INR"/>
    <n v="212521.54"/>
    <s v="INR"/>
    <n v="208845.74"/>
    <s v=""/>
  </r>
  <r>
    <s v="KUEHNE+NAGEL PVT. LTD."/>
    <n v="2025"/>
    <d v="2025-09-02T00:00:00"/>
    <x v="4"/>
    <x v="69"/>
    <s v=""/>
    <s v="INR"/>
    <n v="-212521.54"/>
    <s v="INR"/>
    <n v="-207607.52"/>
    <s v=""/>
  </r>
  <r>
    <s v="KUEHNE+NAGEL PVT. LTD."/>
    <n v="2025"/>
    <d v="2025-11-13T00:00:00"/>
    <x v="2"/>
    <x v="70"/>
    <s v=""/>
    <s v="USD"/>
    <n v="4603.4799999999996"/>
    <s v="INR"/>
    <n v="396450.85"/>
    <s v=""/>
  </r>
  <r>
    <s v="KUEHNE+NAGEL PVT. LTD."/>
    <n v="2025"/>
    <d v="2025-11-13T00:00:00"/>
    <x v="2"/>
    <x v="70"/>
    <s v=""/>
    <s v="USD"/>
    <n v="2.98"/>
    <s v="INR"/>
    <n v="262.20999999999998"/>
    <s v=""/>
  </r>
  <r>
    <s v="KUEHNE+NAGEL PVT. LTD."/>
    <n v="2025"/>
    <d v="2025-11-13T00:00:00"/>
    <x v="2"/>
    <x v="70"/>
    <s v=""/>
    <s v="USD"/>
    <n v="-2.98"/>
    <s v="INR"/>
    <n v="-262.20999999999998"/>
    <s v=""/>
  </r>
  <r>
    <s v="KUEHNE+NAGEL PVT. LTD."/>
    <n v="2025"/>
    <d v="2025-11-13T00:00:00"/>
    <x v="2"/>
    <x v="70"/>
    <s v=""/>
    <s v="USD"/>
    <n v="5558.96"/>
    <s v="INR"/>
    <n v="478086.37"/>
    <s v=""/>
  </r>
  <r>
    <s v="KUEHNE+NAGEL PVT. LTD."/>
    <n v="2025"/>
    <d v="2025-11-13T00:00:00"/>
    <x v="2"/>
    <x v="70"/>
    <s v=""/>
    <s v="USD"/>
    <n v="-3891.99"/>
    <s v="INR"/>
    <n v="-338298.81"/>
    <s v=""/>
  </r>
  <r>
    <s v="KUEHNE+NAGEL PVT. LTD."/>
    <n v="2025"/>
    <d v="2025-11-13T00:00:00"/>
    <x v="2"/>
    <x v="70"/>
    <s v=""/>
    <s v="USD"/>
    <n v="-6270.45"/>
    <s v="INR"/>
    <n v="-536832.30000000005"/>
    <s v=""/>
  </r>
  <r>
    <s v="KUEHNE+NAGEL PVT. LTD."/>
    <n v="2025"/>
    <d v="2025-11-13T00:00:00"/>
    <x v="2"/>
    <x v="70"/>
    <s v=""/>
    <s v="INR"/>
    <n v="77508.990000000005"/>
    <s v="INR"/>
    <n v="75771.03"/>
    <s v=""/>
  </r>
  <r>
    <s v="KUEHNE+NAGEL PVT. LTD."/>
    <n v="2025"/>
    <d v="2025-11-13T00:00:00"/>
    <x v="2"/>
    <x v="70"/>
    <s v=""/>
    <s v="INR"/>
    <n v="-20130.78"/>
    <s v="INR"/>
    <n v="-20130.78"/>
    <s v=""/>
  </r>
  <r>
    <s v="KUEHNE+NAGEL PVT. LTD."/>
    <n v="2025"/>
    <d v="2025-11-13T00:00:00"/>
    <x v="2"/>
    <x v="70"/>
    <s v=""/>
    <s v="INR"/>
    <n v="-746.27"/>
    <s v="INR"/>
    <n v="-746.27"/>
    <s v=""/>
  </r>
  <r>
    <s v="KUEHNE+NAGEL PVT. LTD."/>
    <n v="2025"/>
    <d v="2025-11-13T00:00:00"/>
    <x v="2"/>
    <x v="70"/>
    <s v=""/>
    <s v="INR"/>
    <n v="-24772.95"/>
    <s v="INR"/>
    <n v="-24772.95"/>
    <s v=""/>
  </r>
  <r>
    <s v="KUEHNE+NAGEL PVT. LTD."/>
    <n v="2025"/>
    <d v="2025-11-13T00:00:00"/>
    <x v="2"/>
    <x v="70"/>
    <s v=""/>
    <s v="INR"/>
    <n v="-31858.99"/>
    <s v="INR"/>
    <n v="-31858.99"/>
    <s v=""/>
  </r>
  <r>
    <s v="KUEHNE+NAGEL PVT. LTD."/>
    <n v="2025"/>
    <d v="2025-10-10T00:00:00"/>
    <x v="2"/>
    <x v="71"/>
    <s v=""/>
    <s v="INR"/>
    <n v="-1746430.23"/>
    <s v="INR"/>
    <n v="-1746430.23"/>
    <s v=""/>
  </r>
  <r>
    <s v="KUEHNE+NAGEL PVT. LTD."/>
    <n v="2025"/>
    <d v="2025-10-10T00:00:00"/>
    <x v="2"/>
    <x v="71"/>
    <s v=""/>
    <s v="INR"/>
    <n v="-2385233.9500000002"/>
    <s v="INR"/>
    <n v="-2385233.9500000002"/>
    <s v=""/>
  </r>
  <r>
    <s v="KUEHNE+NAGEL PVT. LTD."/>
    <n v="2025"/>
    <d v="2025-10-28T00:00:00"/>
    <x v="2"/>
    <x v="72"/>
    <s v=""/>
    <s v="INR"/>
    <n v="-1719090.91"/>
    <s v="INR"/>
    <n v="-1719090.91"/>
    <s v=""/>
  </r>
  <r>
    <s v="KUEHNE+NAGEL PVT. LTD."/>
    <n v="2025"/>
    <d v="2025-11-26T00:00:00"/>
    <x v="2"/>
    <x v="73"/>
    <s v=""/>
    <s v="INR"/>
    <n v="-1917961.25"/>
    <s v="INR"/>
    <n v="-1917961.25"/>
    <s v=""/>
  </r>
  <r>
    <s v="KUEHNE+NAGEL PVT. LTD."/>
    <n v="2025"/>
    <d v="2025-03-28T00:00:00"/>
    <x v="5"/>
    <x v="74"/>
    <s v="6779ZR25000004"/>
    <s v="INR"/>
    <n v="1"/>
    <s v="INR"/>
    <n v="1"/>
    <s v="Overpayment"/>
  </r>
  <r>
    <s v="KUEHNE+NAGEL PVT. LTD."/>
    <n v="2025"/>
    <d v="2025-02-13T00:00:00"/>
    <x v="5"/>
    <x v="74"/>
    <s v="6779ZP25000139"/>
    <s v="INR"/>
    <n v="-1"/>
    <s v="INR"/>
    <n v="-1"/>
    <s v="Overpayment"/>
  </r>
  <r>
    <s v="KUEHNE+NAGEL PVT. LTD."/>
    <n v="2025"/>
    <d v="2025-04-17T00:00:00"/>
    <x v="1"/>
    <x v="75"/>
    <n v="256779412140"/>
    <s v="INR"/>
    <n v="262.20999999999998"/>
    <s v="INR"/>
    <n v="262.20999999999998"/>
    <s v="Fixed Storage Charges for April 2025"/>
  </r>
  <r>
    <s v="KUEHNE+NAGEL PVT. LTD."/>
    <n v="2025"/>
    <d v="2025-03-19T00:00:00"/>
    <x v="1"/>
    <x v="30"/>
    <n v="246779413076"/>
    <s v="USD"/>
    <n v="466.37"/>
    <s v="INR"/>
    <n v="40430.199999999997"/>
    <s v="Port SSR Charges - Shifting for Aug to Dec,24."/>
  </r>
  <r>
    <s v="KUEHNE+NAGEL PVT. LTD."/>
    <n v="2025"/>
    <d v="2025-05-10T00:00:00"/>
    <x v="1"/>
    <x v="43"/>
    <n v="256779413147"/>
    <s v="INR"/>
    <n v="8000"/>
    <s v="INR"/>
    <n v="8000"/>
    <s v="Fixed Storage Charges fo MAY 2025"/>
  </r>
  <r>
    <s v="KUEHNE+NAGEL PVT. LTD."/>
    <n v="2025"/>
    <d v="2025-06-10T00:00:00"/>
    <x v="1"/>
    <x v="76"/>
    <n v="256779414359"/>
    <s v="INR"/>
    <n v="8000"/>
    <s v="INR"/>
    <n v="8000"/>
    <s v="Fixed Storage Charges fo JUNE 2025"/>
  </r>
  <r>
    <s v="KUEHNE+NAGEL PVT. LTD."/>
    <n v="2025"/>
    <d v="2025-07-04T00:00:00"/>
    <x v="1"/>
    <x v="2"/>
    <n v="256779414917"/>
    <s v="INR"/>
    <n v="8000"/>
    <s v="INR"/>
    <n v="8000"/>
    <s v="Fixed Storage Charges fo JULY 2025"/>
  </r>
  <r>
    <s v="KUEHNE+NAGEL PVT. LTD."/>
    <n v="2025"/>
    <d v="2025-08-01T00:00:00"/>
    <x v="1"/>
    <x v="77"/>
    <n v="256779416029"/>
    <s v="INR"/>
    <n v="8000"/>
    <s v="INR"/>
    <n v="8000"/>
    <s v="Fixed Storage Charges for August 2025"/>
  </r>
  <r>
    <s v="KUEHNE+NAGEL PVT. LTD."/>
    <n v="2025"/>
    <d v="2025-09-04T00:00:00"/>
    <x v="1"/>
    <x v="1"/>
    <n v="256779417349"/>
    <s v="INR"/>
    <n v="8000"/>
    <s v="INR"/>
    <n v="8000"/>
    <s v="Fixed Storage Charges for September 2025"/>
  </r>
  <r>
    <s v="KUEHNE+NAGEL PVT. LTD."/>
    <n v="2025"/>
    <d v="2025-10-05T00:00:00"/>
    <x v="1"/>
    <x v="48"/>
    <n v="256779417876"/>
    <s v="INR"/>
    <n v="8000"/>
    <s v="INR"/>
    <n v="8000"/>
    <s v="Fixed Storage Charges for October 2025"/>
  </r>
  <r>
    <s v="KUEHNE+NAGEL PVT. LTD."/>
    <n v="2025"/>
    <d v="2025-11-05T00:00:00"/>
    <x v="1"/>
    <x v="3"/>
    <n v="256779418778"/>
    <s v="INR"/>
    <n v="8000"/>
    <s v="INR"/>
    <n v="8000"/>
    <s v="Fixed Storage Charges for November 2025"/>
  </r>
  <r>
    <s v="KUEHNE+NAGEL PVT. LTD."/>
    <n v="2025"/>
    <d v="2025-12-04T00:00:00"/>
    <x v="1"/>
    <x v="78"/>
    <n v="256779419971"/>
    <s v="INR"/>
    <n v="8000"/>
    <s v="INR"/>
    <n v="8000"/>
    <s v="Fixed Storage Charges for December 2025"/>
  </r>
  <r>
    <s v="KUEHNE+NAGEL PVT. LTD."/>
    <n v="2025"/>
    <d v="2025-05-10T00:00:00"/>
    <x v="1"/>
    <x v="43"/>
    <n v="256779413148"/>
    <s v="INR"/>
    <n v="4400"/>
    <s v="INR"/>
    <n v="4400"/>
    <s v="Fixed Storage Charges fo MAY 2025"/>
  </r>
  <r>
    <s v="KUEHNE+NAGEL PVT. LTD."/>
    <n v="2025"/>
    <d v="2025-06-10T00:00:00"/>
    <x v="1"/>
    <x v="76"/>
    <n v="256779414360"/>
    <s v="INR"/>
    <n v="4400"/>
    <s v="INR"/>
    <n v="4400"/>
    <s v="Fixed Storage Charges fo JUNE 2025"/>
  </r>
  <r>
    <s v="KUEHNE+NAGEL PVT. LTD."/>
    <n v="2025"/>
    <d v="2025-07-04T00:00:00"/>
    <x v="1"/>
    <x v="2"/>
    <n v="256779414918"/>
    <s v="INR"/>
    <n v="4400"/>
    <s v="INR"/>
    <n v="4400"/>
    <s v="Fixed Storage Charges fo JULY 2025"/>
  </r>
  <r>
    <s v="KUEHNE+NAGEL PVT. LTD."/>
    <n v="2025"/>
    <d v="2025-08-01T00:00:00"/>
    <x v="1"/>
    <x v="77"/>
    <n v="256779416030"/>
    <s v="INR"/>
    <n v="4400"/>
    <s v="INR"/>
    <n v="4400"/>
    <s v="Fixed Storage Charges for August 2025"/>
  </r>
  <r>
    <s v="KUEHNE+NAGEL PVT. LTD."/>
    <n v="2025"/>
    <d v="2025-09-04T00:00:00"/>
    <x v="1"/>
    <x v="1"/>
    <n v="256779417350"/>
    <s v="INR"/>
    <n v="4400"/>
    <s v="INR"/>
    <n v="4400"/>
    <s v="Fixed Storage Charges for September 2025"/>
  </r>
  <r>
    <s v="KUEHNE+NAGEL PVT. LTD."/>
    <n v="2025"/>
    <d v="2025-10-05T00:00:00"/>
    <x v="1"/>
    <x v="48"/>
    <n v="256779417877"/>
    <s v="INR"/>
    <n v="4400"/>
    <s v="INR"/>
    <n v="4400"/>
    <s v="Fixed Storage Charges for October 2025"/>
  </r>
  <r>
    <s v="KUEHNE+NAGEL PVT. LTD."/>
    <n v="2025"/>
    <d v="2025-11-05T00:00:00"/>
    <x v="1"/>
    <x v="3"/>
    <n v="256779418779"/>
    <s v="INR"/>
    <n v="4400"/>
    <s v="INR"/>
    <n v="4400"/>
    <s v="Fixed Storage Charges for November 2025"/>
  </r>
  <r>
    <s v="KUEHNE+NAGEL PVT. LTD."/>
    <n v="2025"/>
    <d v="2025-12-04T00:00:00"/>
    <x v="1"/>
    <x v="78"/>
    <n v="256779419972"/>
    <s v="INR"/>
    <n v="4400"/>
    <s v="INR"/>
    <n v="4400"/>
    <s v="Fixed Storage Charges for December 2025"/>
  </r>
  <r>
    <s v="KUEHNE+NAGEL PVT. LTD."/>
    <n v="2025"/>
    <d v="2025-05-10T00:00:00"/>
    <x v="1"/>
    <x v="43"/>
    <n v="256779413146"/>
    <s v="INR"/>
    <n v="200000"/>
    <s v="INR"/>
    <n v="200000"/>
    <s v="Fixed Storage Charges fo MAY 2025"/>
  </r>
  <r>
    <s v="KUEHNE+NAGEL PVT. LTD."/>
    <n v="2025"/>
    <d v="2025-06-10T00:00:00"/>
    <x v="1"/>
    <x v="76"/>
    <n v="256779414358"/>
    <s v="INR"/>
    <n v="200000"/>
    <s v="INR"/>
    <n v="200000"/>
    <s v="Fixed Storage Charges fo JUNE 2025"/>
  </r>
  <r>
    <s v="KUEHNE+NAGEL PVT. LTD."/>
    <n v="2025"/>
    <d v="2025-07-04T00:00:00"/>
    <x v="1"/>
    <x v="2"/>
    <n v="256779414916"/>
    <s v="INR"/>
    <n v="200000"/>
    <s v="INR"/>
    <n v="200000"/>
    <s v="Fixed Storage Charges fo JULY 2025"/>
  </r>
  <r>
    <s v="KUEHNE+NAGEL PVT. LTD."/>
    <n v="2025"/>
    <d v="2025-08-01T00:00:00"/>
    <x v="1"/>
    <x v="77"/>
    <n v="256779416028"/>
    <s v="INR"/>
    <n v="200000"/>
    <s v="INR"/>
    <n v="200000"/>
    <s v="Fixed Storage Charges for August 2025"/>
  </r>
  <r>
    <s v="KUEHNE+NAGEL PVT. LTD."/>
    <n v="2025"/>
    <d v="2025-09-04T00:00:00"/>
    <x v="1"/>
    <x v="1"/>
    <n v="256779417348"/>
    <s v="INR"/>
    <n v="200000"/>
    <s v="INR"/>
    <n v="200000"/>
    <s v="Fixed Storage Charges for September 2025"/>
  </r>
  <r>
    <s v="KUEHNE+NAGEL PVT. LTD."/>
    <n v="2025"/>
    <d v="2025-10-05T00:00:00"/>
    <x v="1"/>
    <x v="48"/>
    <n v="256779417875"/>
    <s v="INR"/>
    <n v="200000"/>
    <s v="INR"/>
    <n v="200000"/>
    <s v="Fixed Storage Charges for October 2025"/>
  </r>
  <r>
    <s v="KUEHNE+NAGEL PVT. LTD."/>
    <n v="2025"/>
    <d v="2025-11-05T00:00:00"/>
    <x v="1"/>
    <x v="3"/>
    <n v="256779418777"/>
    <s v="INR"/>
    <n v="200000"/>
    <s v="INR"/>
    <n v="200000"/>
    <s v="Fixed Storage Charges for November 2025"/>
  </r>
  <r>
    <s v="KUEHNE+NAGEL PVT. LTD."/>
    <n v="2025"/>
    <d v="2025-12-04T00:00:00"/>
    <x v="1"/>
    <x v="78"/>
    <n v="256779419970"/>
    <s v="INR"/>
    <n v="200000"/>
    <s v="INR"/>
    <n v="200000"/>
    <s v="Fixed Storage Charges for December 2025"/>
  </r>
  <r>
    <s v="KUEHNE+NAGEL PVT. LTD."/>
    <n v="2025"/>
    <d v="2025-07-10T00:00:00"/>
    <x v="1"/>
    <x v="0"/>
    <n v="256779415336"/>
    <s v="USD"/>
    <n v="5"/>
    <s v="INR"/>
    <n v="430"/>
    <s v="Inbound Handling for August 24"/>
  </r>
  <r>
    <s v="KUEHNE+NAGEL PVT. LTD."/>
    <n v="2025"/>
    <d v="2025-07-10T00:00:00"/>
    <x v="0"/>
    <x v="0"/>
    <n v="256779421236"/>
    <s v="USD"/>
    <n v="-118"/>
    <s v="INR"/>
    <n v="-10148.08"/>
    <s v="Credit note raised against INV 256779411097"/>
  </r>
  <r>
    <s v="KUEHNE+NAGEL PVT. LTD."/>
    <n v="2025"/>
    <d v="2025-08-21T00:00:00"/>
    <x v="0"/>
    <x v="26"/>
    <n v="256779421697"/>
    <s v="USD"/>
    <n v="-100"/>
    <s v="INR"/>
    <n v="-8603.01"/>
    <s v="CN ISSUED TOWARDS BILL NO.256779415303"/>
  </r>
  <r>
    <s v="KUEHNE+NAGEL PVT. LTD."/>
    <n v="2025"/>
    <d v="2025-04-15T00:00:00"/>
    <x v="1"/>
    <x v="62"/>
    <n v="256779411097"/>
    <s v="USD"/>
    <n v="118"/>
    <s v="INR"/>
    <n v="10256.77"/>
    <s v="Inbound Handling for August 24"/>
  </r>
  <r>
    <s v="KUEHNE+NAGEL PVT. LTD."/>
    <n v="2025"/>
    <d v="2025-07-10T00:00:00"/>
    <x v="1"/>
    <x v="0"/>
    <n v="256779415303"/>
    <s v="USD"/>
    <n v="100"/>
    <s v="INR"/>
    <n v="8600.07"/>
    <s v="Inbound Handling for August 24"/>
  </r>
  <r>
    <s v="KUEHNE+NAGEL PVT. LTD."/>
    <n v="2025"/>
    <d v="2025-08-21T00:00:00"/>
    <x v="0"/>
    <x v="26"/>
    <n v="256779421704"/>
    <s v="USD"/>
    <n v="-8.48"/>
    <s v="INR"/>
    <n v="-729.54"/>
    <s v="CN ISSUED TOWARDS BILL NO.256779415349"/>
  </r>
  <r>
    <s v="KUEHNE+NAGEL PVT. LTD."/>
    <n v="2025"/>
    <d v="2025-03-04T00:00:00"/>
    <x v="1"/>
    <x v="79"/>
    <n v="246779410743"/>
    <s v="USD"/>
    <n v="3"/>
    <s v="INR"/>
    <n v="260.07"/>
    <s v="Outbound Handling for Nov 2024"/>
  </r>
  <r>
    <s v="KUEHNE+NAGEL PVT. LTD."/>
    <n v="2025"/>
    <d v="2025-03-04T00:00:00"/>
    <x v="1"/>
    <x v="79"/>
    <n v="246779410826"/>
    <s v="USD"/>
    <n v="3"/>
    <s v="INR"/>
    <n v="260.07"/>
    <s v="Outbound Handling for Dec 2024"/>
  </r>
  <r>
    <s v="KUEHNE+NAGEL PVT. LTD."/>
    <n v="2025"/>
    <d v="2025-03-04T00:00:00"/>
    <x v="1"/>
    <x v="79"/>
    <n v="246779410665"/>
    <s v="USD"/>
    <n v="3.54"/>
    <s v="INR"/>
    <n v="306.89"/>
    <s v="Outbound Handling for Oct 2024"/>
  </r>
  <r>
    <s v="KUEHNE+NAGEL PVT. LTD."/>
    <n v="2025"/>
    <d v="2025-04-04T00:00:00"/>
    <x v="1"/>
    <x v="80"/>
    <n v="256779410801"/>
    <s v="USD"/>
    <n v="2829.48"/>
    <s v="INR"/>
    <n v="245943.55"/>
    <s v="Storage Charges Feb, 25"/>
  </r>
  <r>
    <s v="KUEHNE+NAGEL PVT. LTD."/>
    <n v="2025"/>
    <d v="2025-04-04T00:00:00"/>
    <x v="1"/>
    <x v="80"/>
    <n v="256779410819"/>
    <s v="USD"/>
    <n v="1913.97"/>
    <s v="INR"/>
    <n v="166365.76000000001"/>
    <s v="Storage Charges Jan, 25"/>
  </r>
  <r>
    <s v="KUEHNE+NAGEL PVT. LTD."/>
    <n v="2025"/>
    <d v="2025-03-06T00:00:00"/>
    <x v="1"/>
    <x v="81"/>
    <n v="246779410882"/>
    <s v="USD"/>
    <n v="2232.73"/>
    <s v="INR"/>
    <n v="193558.18"/>
    <s v="Storage for the month of Nov 2024"/>
  </r>
  <r>
    <s v="KUEHNE+NAGEL PVT. LTD."/>
    <n v="2025"/>
    <d v="2025-03-06T00:00:00"/>
    <x v="1"/>
    <x v="81"/>
    <n v="246779410904"/>
    <s v="USD"/>
    <n v="1665.82"/>
    <s v="INR"/>
    <n v="144412.03"/>
    <s v="Storage for the month of Dec 2024"/>
  </r>
  <r>
    <s v="KUEHNE+NAGEL PVT. LTD."/>
    <n v="2025"/>
    <d v="2025-03-03T00:00:00"/>
    <x v="1"/>
    <x v="82"/>
    <n v="246779410436"/>
    <s v="USD"/>
    <n v="1332.41"/>
    <s v="INR"/>
    <n v="115508.3"/>
    <s v="Storage for the month of Oct 2024"/>
  </r>
  <r>
    <s v="KUEHNE+NAGEL PVT. LTD."/>
    <n v="2025"/>
    <d v="2025-03-03T00:00:00"/>
    <x v="1"/>
    <x v="82"/>
    <n v="246779410389"/>
    <s v="USD"/>
    <n v="542.08000000000004"/>
    <s v="INR"/>
    <n v="46993.599999999999"/>
    <s v="Storage Charges for the month of August, 2024"/>
  </r>
  <r>
    <s v="KUEHNE+NAGEL PVT. LTD."/>
    <n v="2025"/>
    <d v="2025-03-03T00:00:00"/>
    <x v="1"/>
    <x v="82"/>
    <n v="246779410413"/>
    <s v="USD"/>
    <n v="694.12"/>
    <s v="INR"/>
    <n v="60174.14"/>
    <s v="Storage  for the month of Sept  2024"/>
  </r>
  <r>
    <s v="KUEHNE+NAGEL PVT. LTD."/>
    <n v="2025"/>
    <d v="2025-03-03T00:00:00"/>
    <x v="1"/>
    <x v="82"/>
    <n v="246779410482"/>
    <s v="USD"/>
    <n v="3.54"/>
    <s v="INR"/>
    <n v="306.89"/>
    <s v="Outbound Handling for Aug 2024"/>
  </r>
  <r>
    <s v="KUEHNE+NAGEL PVT. LTD."/>
    <n v="2025"/>
    <d v="2025-03-03T00:00:00"/>
    <x v="1"/>
    <x v="82"/>
    <n v="246779410483"/>
    <s v="USD"/>
    <n v="3.54"/>
    <s v="INR"/>
    <n v="306.89"/>
    <s v="Outbound Handling for Aug 2024"/>
  </r>
  <r>
    <s v="KUEHNE+NAGEL PVT. LTD."/>
    <n v="2025"/>
    <d v="2025-03-17T00:00:00"/>
    <x v="1"/>
    <x v="61"/>
    <n v="246779411593"/>
    <s v="USD"/>
    <n v="40.1"/>
    <s v="INR"/>
    <n v="3476.32"/>
    <s v="VAS Activity Charges for the month of September, 2"/>
  </r>
  <r>
    <s v="KUEHNE+NAGEL PVT. LTD."/>
    <n v="2025"/>
    <d v="2025-03-17T00:00:00"/>
    <x v="1"/>
    <x v="61"/>
    <n v="246779411594"/>
    <s v="USD"/>
    <n v="17.190000000000001"/>
    <s v="INR"/>
    <n v="1490.22"/>
    <s v="VAS Activity Charges for the month of September, 2"/>
  </r>
  <r>
    <s v="KUEHNE+NAGEL PVT. LTD."/>
    <n v="2025"/>
    <d v="2025-03-17T00:00:00"/>
    <x v="1"/>
    <x v="61"/>
    <n v="246779411595"/>
    <s v="USD"/>
    <n v="51.56"/>
    <s v="INR"/>
    <n v="4469.8"/>
    <s v="VAS Activity Charges for the month of September, 2"/>
  </r>
  <r>
    <s v="KUEHNE+NAGEL PVT. LTD."/>
    <n v="2025"/>
    <d v="2025-03-17T00:00:00"/>
    <x v="1"/>
    <x v="61"/>
    <n v="246779411596"/>
    <s v="USD"/>
    <n v="74.47"/>
    <s v="INR"/>
    <n v="6455.9"/>
    <s v="VAS Activity Charges for the month of September, 2"/>
  </r>
  <r>
    <s v="KUEHNE+NAGEL PVT. LTD."/>
    <n v="2025"/>
    <d v="2025-03-17T00:00:00"/>
    <x v="1"/>
    <x v="61"/>
    <n v="246779411597"/>
    <s v="USD"/>
    <n v="57.29"/>
    <s v="INR"/>
    <n v="4966.54"/>
    <s v="VAS Activity Charges for the month of September, 2"/>
  </r>
  <r>
    <s v="KUEHNE+NAGEL PVT. LTD."/>
    <n v="2025"/>
    <d v="2025-03-17T00:00:00"/>
    <x v="1"/>
    <x v="61"/>
    <n v="246779411598"/>
    <s v="USD"/>
    <n v="91.66"/>
    <s v="INR"/>
    <n v="7946.12"/>
    <s v="VAS Activity Charges for the month of September, 2"/>
  </r>
  <r>
    <s v="KUEHNE+NAGEL PVT. LTD."/>
    <n v="2025"/>
    <d v="2025-03-17T00:00:00"/>
    <x v="1"/>
    <x v="61"/>
    <n v="246779411599"/>
    <s v="USD"/>
    <n v="37.950000000000003"/>
    <s v="INR"/>
    <n v="3289.93"/>
    <s v="VAS Activity Charges for the month of September, 2"/>
  </r>
  <r>
    <s v="KUEHNE+NAGEL PVT. LTD."/>
    <n v="2025"/>
    <d v="2025-03-17T00:00:00"/>
    <x v="1"/>
    <x v="61"/>
    <n v="246779411600"/>
    <s v="USD"/>
    <n v="2.6"/>
    <s v="INR"/>
    <n v="225.4"/>
    <s v="VAS Activity Charges for the month of September, 2"/>
  </r>
  <r>
    <s v="KUEHNE+NAGEL PVT. LTD."/>
    <n v="2025"/>
    <d v="2025-03-17T00:00:00"/>
    <x v="1"/>
    <x v="61"/>
    <n v="246779411601"/>
    <s v="USD"/>
    <n v="23.39"/>
    <s v="INR"/>
    <n v="2027.71"/>
    <s v="VAS Activity Charges for the month of September, 2"/>
  </r>
  <r>
    <s v="KUEHNE+NAGEL PVT. LTD."/>
    <n v="2025"/>
    <d v="2025-03-17T00:00:00"/>
    <x v="1"/>
    <x v="61"/>
    <n v="246779411637"/>
    <s v="USD"/>
    <n v="429.65"/>
    <s v="INR"/>
    <n v="37246.9"/>
    <s v="VAS Activity Charges for the month of September, 2"/>
  </r>
  <r>
    <s v="KUEHNE+NAGEL PVT. LTD."/>
    <n v="2025"/>
    <d v="2025-03-17T00:00:00"/>
    <x v="1"/>
    <x v="61"/>
    <n v="246779411717"/>
    <s v="USD"/>
    <n v="45.67"/>
    <s v="INR"/>
    <n v="3959.19"/>
    <s v="VAS Activity Charges for the month of October, 24"/>
  </r>
  <r>
    <s v="KUEHNE+NAGEL PVT. LTD."/>
    <n v="2025"/>
    <d v="2025-03-17T00:00:00"/>
    <x v="1"/>
    <x v="61"/>
    <n v="246779411723"/>
    <s v="USD"/>
    <n v="45.67"/>
    <s v="INR"/>
    <n v="3959.19"/>
    <s v="VAS Activity Charges for the month of October, 24"/>
  </r>
  <r>
    <s v="KUEHNE+NAGEL PVT. LTD."/>
    <n v="2025"/>
    <d v="2025-03-17T00:00:00"/>
    <x v="1"/>
    <x v="61"/>
    <n v="246779411724"/>
    <s v="USD"/>
    <n v="68.5"/>
    <s v="INR"/>
    <n v="5938.35"/>
    <s v="VAS Activity Charges for the month of October, 24"/>
  </r>
  <r>
    <s v="KUEHNE+NAGEL PVT. LTD."/>
    <n v="2025"/>
    <d v="2025-03-17T00:00:00"/>
    <x v="1"/>
    <x v="61"/>
    <n v="246779411725"/>
    <s v="USD"/>
    <n v="22.83"/>
    <s v="INR"/>
    <n v="1979.16"/>
    <s v="VAS Activity Charges for the month of October, 24"/>
  </r>
  <r>
    <s v="KUEHNE+NAGEL PVT. LTD."/>
    <n v="2025"/>
    <d v="2025-03-17T00:00:00"/>
    <x v="1"/>
    <x v="61"/>
    <n v="246779411726"/>
    <s v="USD"/>
    <n v="28.54"/>
    <s v="INR"/>
    <n v="2474.17"/>
    <s v="VAS Activity Charges for the month of October, 24"/>
  </r>
  <r>
    <s v="KUEHNE+NAGEL PVT. LTD."/>
    <n v="2025"/>
    <d v="2025-03-17T00:00:00"/>
    <x v="1"/>
    <x v="61"/>
    <n v="246779411727"/>
    <s v="USD"/>
    <n v="17.12"/>
    <s v="INR"/>
    <n v="1484.15"/>
    <s v="VAS Activity Charges for the month of October, 24"/>
  </r>
  <r>
    <s v="KUEHNE+NAGEL PVT. LTD."/>
    <n v="2025"/>
    <d v="2025-03-17T00:00:00"/>
    <x v="1"/>
    <x v="61"/>
    <n v="246779411728"/>
    <s v="USD"/>
    <n v="11.42"/>
    <s v="INR"/>
    <n v="990.01"/>
    <s v="VAS Activity Charges for the month of October, 24"/>
  </r>
  <r>
    <s v="KUEHNE+NAGEL PVT. LTD."/>
    <n v="2025"/>
    <d v="2025-03-17T00:00:00"/>
    <x v="1"/>
    <x v="61"/>
    <n v="246779411729"/>
    <s v="USD"/>
    <n v="34.25"/>
    <s v="INR"/>
    <n v="2969.18"/>
    <s v="VAS Activity Charges for the month of October, 24"/>
  </r>
  <r>
    <s v="KUEHNE+NAGEL PVT. LTD."/>
    <n v="2025"/>
    <d v="2025-03-17T00:00:00"/>
    <x v="1"/>
    <x v="61"/>
    <n v="246779411730"/>
    <s v="USD"/>
    <n v="11.42"/>
    <s v="INR"/>
    <n v="990.01"/>
    <s v="VAS Activity Charges for the month of October, 24"/>
  </r>
  <r>
    <s v="KUEHNE+NAGEL PVT. LTD."/>
    <n v="2025"/>
    <d v="2025-03-17T00:00:00"/>
    <x v="1"/>
    <x v="61"/>
    <n v="246779411731"/>
    <s v="USD"/>
    <n v="22.83"/>
    <s v="INR"/>
    <n v="1979.16"/>
    <s v="VAS Activity Charges for the month of October, 24"/>
  </r>
  <r>
    <s v="KUEHNE+NAGEL PVT. LTD."/>
    <n v="2025"/>
    <d v="2025-03-17T00:00:00"/>
    <x v="1"/>
    <x v="61"/>
    <n v="246779411732"/>
    <s v="USD"/>
    <n v="28.54"/>
    <s v="INR"/>
    <n v="2474.17"/>
    <s v="VAS Activity Charges for the month of October, 24"/>
  </r>
  <r>
    <s v="KUEHNE+NAGEL PVT. LTD."/>
    <n v="2025"/>
    <d v="2025-03-17T00:00:00"/>
    <x v="1"/>
    <x v="61"/>
    <n v="246779411897"/>
    <s v="USD"/>
    <n v="22.72"/>
    <s v="INR"/>
    <n v="1969.63"/>
    <s v="VAS Activity Charges for the month of November, 24"/>
  </r>
  <r>
    <s v="KUEHNE+NAGEL PVT. LTD."/>
    <n v="2025"/>
    <d v="2025-03-17T00:00:00"/>
    <x v="1"/>
    <x v="61"/>
    <n v="246779411898"/>
    <s v="USD"/>
    <n v="7.1"/>
    <s v="INR"/>
    <n v="615.51"/>
    <s v="VAS Activity Charges for the month of November, 24"/>
  </r>
  <r>
    <s v="KUEHNE+NAGEL PVT. LTD."/>
    <n v="2025"/>
    <d v="2025-03-17T00:00:00"/>
    <x v="1"/>
    <x v="61"/>
    <n v="246779411899"/>
    <s v="USD"/>
    <n v="62.49"/>
    <s v="INR"/>
    <n v="5417.34"/>
    <s v="VAS Activity Charges for the month of November, 24"/>
  </r>
  <r>
    <s v="KUEHNE+NAGEL PVT. LTD."/>
    <n v="2025"/>
    <d v="2025-03-17T00:00:00"/>
    <x v="1"/>
    <x v="61"/>
    <n v="246779411900"/>
    <s v="USD"/>
    <n v="73.849999999999994"/>
    <s v="INR"/>
    <n v="6402.15"/>
    <s v="VAS Activity Charges for the month of November, 24"/>
  </r>
  <r>
    <s v="KUEHNE+NAGEL PVT. LTD."/>
    <n v="2025"/>
    <d v="2025-03-17T00:00:00"/>
    <x v="1"/>
    <x v="61"/>
    <n v="246779411901"/>
    <s v="USD"/>
    <n v="12.78"/>
    <s v="INR"/>
    <n v="1107.9100000000001"/>
    <s v="VAS Activity Charges for the month of November, 24"/>
  </r>
  <r>
    <s v="KUEHNE+NAGEL PVT. LTD."/>
    <n v="2025"/>
    <d v="2025-03-17T00:00:00"/>
    <x v="1"/>
    <x v="61"/>
    <n v="246779411902"/>
    <s v="USD"/>
    <n v="2.13"/>
    <s v="INR"/>
    <n v="184.65"/>
    <s v="VAS Activity Charges for the month of November, 24"/>
  </r>
  <r>
    <s v="KUEHNE+NAGEL PVT. LTD."/>
    <n v="2025"/>
    <d v="2025-03-17T00:00:00"/>
    <x v="1"/>
    <x v="61"/>
    <n v="246779411903"/>
    <s v="USD"/>
    <n v="3.55"/>
    <s v="INR"/>
    <n v="307.75"/>
    <s v="VAS Activity Charges for the month of November, 24"/>
  </r>
  <r>
    <s v="KUEHNE+NAGEL PVT. LTD."/>
    <n v="2025"/>
    <d v="2025-03-17T00:00:00"/>
    <x v="1"/>
    <x v="61"/>
    <n v="246779411904"/>
    <s v="USD"/>
    <n v="58.94"/>
    <s v="INR"/>
    <n v="5109.58"/>
    <s v="VAS Activity Charges for the month of November, 24"/>
  </r>
  <r>
    <s v="KUEHNE+NAGEL PVT. LTD."/>
    <n v="2025"/>
    <d v="2025-03-17T00:00:00"/>
    <x v="1"/>
    <x v="61"/>
    <n v="246779411905"/>
    <s v="USD"/>
    <n v="7.1"/>
    <s v="INR"/>
    <n v="615.51"/>
    <s v="VAS Activity Charges for the month of November, 24"/>
  </r>
  <r>
    <s v="KUEHNE+NAGEL PVT. LTD."/>
    <n v="2025"/>
    <d v="2025-03-17T00:00:00"/>
    <x v="1"/>
    <x v="61"/>
    <n v="246779411906"/>
    <s v="USD"/>
    <n v="34.090000000000003"/>
    <s v="INR"/>
    <n v="2955.31"/>
    <s v="VAS Activity Charges for the month of November, 24"/>
  </r>
  <r>
    <s v="KUEHNE+NAGEL PVT. LTD."/>
    <n v="2025"/>
    <d v="2025-03-17T00:00:00"/>
    <x v="1"/>
    <x v="61"/>
    <n v="246779411907"/>
    <s v="USD"/>
    <n v="17.04"/>
    <s v="INR"/>
    <n v="1477.22"/>
    <s v="VAS Activity Charges for the month of November, 24"/>
  </r>
  <r>
    <s v="KUEHNE+NAGEL PVT. LTD."/>
    <n v="2025"/>
    <d v="2025-03-17T00:00:00"/>
    <x v="1"/>
    <x v="61"/>
    <n v="246779411908"/>
    <s v="USD"/>
    <n v="28.41"/>
    <s v="INR"/>
    <n v="2462.9"/>
    <s v="VAS Activity Charges for the month of November, 24"/>
  </r>
  <r>
    <s v="KUEHNE+NAGEL PVT. LTD."/>
    <n v="2025"/>
    <d v="2025-03-17T00:00:00"/>
    <x v="1"/>
    <x v="61"/>
    <n v="246779411909"/>
    <s v="USD"/>
    <n v="28.41"/>
    <s v="INR"/>
    <n v="2462.9"/>
    <s v="VAS Activity Charges for the month of November, 24"/>
  </r>
  <r>
    <s v="KUEHNE+NAGEL PVT. LTD."/>
    <n v="2025"/>
    <d v="2025-03-17T00:00:00"/>
    <x v="1"/>
    <x v="61"/>
    <n v="246779411910"/>
    <s v="USD"/>
    <n v="28.41"/>
    <s v="INR"/>
    <n v="2462.9"/>
    <s v="VAS Activity Charges for the month of November, 24"/>
  </r>
  <r>
    <s v="KUEHNE+NAGEL PVT. LTD."/>
    <n v="2025"/>
    <d v="2025-03-17T00:00:00"/>
    <x v="1"/>
    <x v="61"/>
    <n v="246779411911"/>
    <s v="USD"/>
    <n v="29.83"/>
    <s v="INR"/>
    <n v="2586"/>
    <s v="VAS Activity Charges for the month of November, 24"/>
  </r>
  <r>
    <s v="KUEHNE+NAGEL PVT. LTD."/>
    <n v="2025"/>
    <d v="2025-03-17T00:00:00"/>
    <x v="1"/>
    <x v="61"/>
    <n v="246779411912"/>
    <s v="USD"/>
    <n v="11.36"/>
    <s v="INR"/>
    <n v="984.81"/>
    <s v="VAS Activity Charges for the month of November, 24"/>
  </r>
  <r>
    <s v="KUEHNE+NAGEL PVT. LTD."/>
    <n v="2025"/>
    <d v="2025-03-17T00:00:00"/>
    <x v="1"/>
    <x v="61"/>
    <n v="246779411913"/>
    <s v="USD"/>
    <n v="28.41"/>
    <s v="INR"/>
    <n v="2462.9"/>
    <s v="VAS Activity Charges for the month of November, 24"/>
  </r>
  <r>
    <s v="KUEHNE+NAGEL PVT. LTD."/>
    <n v="2025"/>
    <d v="2025-03-17T00:00:00"/>
    <x v="1"/>
    <x v="61"/>
    <n v="246779411914"/>
    <s v="USD"/>
    <n v="260"/>
    <s v="INR"/>
    <n v="22539.73"/>
    <s v="VAS Activity Charges for the month of November, 24"/>
  </r>
  <r>
    <s v="KUEHNE+NAGEL PVT. LTD."/>
    <n v="2025"/>
    <d v="2025-03-17T00:00:00"/>
    <x v="1"/>
    <x v="61"/>
    <n v="246779412028"/>
    <s v="USD"/>
    <n v="28.03"/>
    <s v="INR"/>
    <n v="2429.96"/>
    <s v="VAS Activity Charges for the month of December, 24"/>
  </r>
  <r>
    <s v="KUEHNE+NAGEL PVT. LTD."/>
    <n v="2025"/>
    <d v="2025-03-17T00:00:00"/>
    <x v="1"/>
    <x v="61"/>
    <n v="246779412029"/>
    <s v="USD"/>
    <n v="22.42"/>
    <s v="INR"/>
    <n v="1943.62"/>
    <s v="VAS Activity Charges for the month of December, 24"/>
  </r>
  <r>
    <s v="KUEHNE+NAGEL PVT. LTD."/>
    <n v="2025"/>
    <d v="2025-03-17T00:00:00"/>
    <x v="1"/>
    <x v="61"/>
    <n v="246779412030"/>
    <s v="USD"/>
    <n v="16.82"/>
    <s v="INR"/>
    <n v="1458.15"/>
    <s v="VAS Activity Charges for the month of December, 24"/>
  </r>
  <r>
    <s v="KUEHNE+NAGEL PVT. LTD."/>
    <n v="2025"/>
    <d v="2025-03-17T00:00:00"/>
    <x v="1"/>
    <x v="61"/>
    <n v="246779412031"/>
    <s v="USD"/>
    <n v="28.03"/>
    <s v="INR"/>
    <n v="2429.96"/>
    <s v="VAS Activity Charges for the month of December, 24"/>
  </r>
  <r>
    <s v="KUEHNE+NAGEL PVT. LTD."/>
    <n v="2025"/>
    <d v="2025-03-17T00:00:00"/>
    <x v="1"/>
    <x v="61"/>
    <n v="246779412032"/>
    <s v="USD"/>
    <n v="33.64"/>
    <s v="INR"/>
    <n v="2916.29"/>
    <s v="VAS Activity Charges for the month of December, 24"/>
  </r>
  <r>
    <s v="KUEHNE+NAGEL PVT. LTD."/>
    <n v="2025"/>
    <d v="2025-03-17T00:00:00"/>
    <x v="1"/>
    <x v="61"/>
    <n v="246779412033"/>
    <s v="USD"/>
    <n v="22.42"/>
    <s v="INR"/>
    <n v="1943.62"/>
    <s v="VAS Activity Charges for the month of December, 24"/>
  </r>
  <r>
    <s v="KUEHNE+NAGEL PVT. LTD."/>
    <n v="2025"/>
    <d v="2025-03-17T00:00:00"/>
    <x v="1"/>
    <x v="61"/>
    <n v="246779412034"/>
    <s v="USD"/>
    <n v="33.64"/>
    <s v="INR"/>
    <n v="2916.29"/>
    <s v="VAS Activity Charges for the month of December, 24"/>
  </r>
  <r>
    <s v="KUEHNE+NAGEL PVT. LTD."/>
    <n v="2025"/>
    <d v="2025-03-17T00:00:00"/>
    <x v="1"/>
    <x v="61"/>
    <n v="246779412035"/>
    <s v="USD"/>
    <n v="72.88"/>
    <s v="INR"/>
    <n v="6318.06"/>
    <s v="VAS Activity Charges for the month of December, 24"/>
  </r>
  <r>
    <s v="KUEHNE+NAGEL PVT. LTD."/>
    <n v="2025"/>
    <d v="2025-03-17T00:00:00"/>
    <x v="1"/>
    <x v="61"/>
    <n v="246779412036"/>
    <s v="USD"/>
    <n v="28.03"/>
    <s v="INR"/>
    <n v="2429.96"/>
    <s v="VAS Activity Charges for the month of December, 24"/>
  </r>
  <r>
    <s v="KUEHNE+NAGEL PVT. LTD."/>
    <n v="2025"/>
    <d v="2025-03-17T00:00:00"/>
    <x v="1"/>
    <x v="61"/>
    <n v="246779412037"/>
    <s v="USD"/>
    <n v="44.85"/>
    <s v="INR"/>
    <n v="3888.1"/>
    <s v="VAS Activity Charges for the month of December, 24"/>
  </r>
  <r>
    <s v="KUEHNE+NAGEL PVT. LTD."/>
    <n v="2025"/>
    <d v="2025-03-17T00:00:00"/>
    <x v="1"/>
    <x v="61"/>
    <n v="246779412038"/>
    <s v="USD"/>
    <n v="33.64"/>
    <s v="INR"/>
    <n v="2916.29"/>
    <s v="VAS Activity Charges for the month of December, 24"/>
  </r>
  <r>
    <s v="KUEHNE+NAGEL PVT. LTD."/>
    <n v="2025"/>
    <d v="2025-03-17T00:00:00"/>
    <x v="1"/>
    <x v="61"/>
    <n v="246779412039"/>
    <s v="USD"/>
    <n v="56.06"/>
    <s v="INR"/>
    <n v="4859.91"/>
    <s v="VAS Activity Charges for the month of December, 24"/>
  </r>
  <r>
    <s v="KUEHNE+NAGEL PVT. LTD."/>
    <n v="2025"/>
    <d v="2025-03-17T00:00:00"/>
    <x v="1"/>
    <x v="61"/>
    <n v="246779412040"/>
    <s v="USD"/>
    <n v="16.82"/>
    <s v="INR"/>
    <n v="1458.15"/>
    <s v="VAS Activity Charges for the month of December, 24"/>
  </r>
  <r>
    <s v="KUEHNE+NAGEL PVT. LTD."/>
    <n v="2025"/>
    <d v="2025-03-17T00:00:00"/>
    <x v="1"/>
    <x v="61"/>
    <n v="246779412041"/>
    <s v="USD"/>
    <n v="33.64"/>
    <s v="INR"/>
    <n v="2916.29"/>
    <s v="VAS Activity Charges for the month of December, 24"/>
  </r>
  <r>
    <s v="KUEHNE+NAGEL PVT. LTD."/>
    <n v="2025"/>
    <d v="2025-03-17T00:00:00"/>
    <x v="1"/>
    <x v="61"/>
    <n v="246779412042"/>
    <s v="USD"/>
    <n v="16.82"/>
    <s v="INR"/>
    <n v="1458.15"/>
    <s v="VAS Activity Charges for the month of December, 24"/>
  </r>
  <r>
    <s v="KUEHNE+NAGEL PVT. LTD."/>
    <n v="2025"/>
    <d v="2025-03-17T00:00:00"/>
    <x v="1"/>
    <x v="61"/>
    <n v="246779412043"/>
    <s v="USD"/>
    <n v="16.82"/>
    <s v="INR"/>
    <n v="1458.15"/>
    <s v="VAS Activity Charges for the month of December, 24"/>
  </r>
  <r>
    <s v="KUEHNE+NAGEL PVT. LTD."/>
    <n v="2025"/>
    <d v="2025-03-17T00:00:00"/>
    <x v="1"/>
    <x v="61"/>
    <n v="246779412045"/>
    <s v="USD"/>
    <n v="230"/>
    <s v="INR"/>
    <n v="19938.990000000002"/>
    <s v="VAS Activity Charges for the month of December, 24"/>
  </r>
  <r>
    <s v="KUEHNE+NAGEL PVT. LTD."/>
    <n v="2025"/>
    <d v="2025-03-17T00:00:00"/>
    <x v="1"/>
    <x v="61"/>
    <n v="246779412047"/>
    <s v="USD"/>
    <n v="28.03"/>
    <s v="INR"/>
    <n v="2429.96"/>
    <s v="VAS Activity Charges for the month of December, 24"/>
  </r>
  <r>
    <s v="KUEHNE+NAGEL PVT. LTD."/>
    <n v="2025"/>
    <d v="2025-03-17T00:00:00"/>
    <x v="1"/>
    <x v="61"/>
    <n v="246779412048"/>
    <s v="USD"/>
    <n v="22.78"/>
    <s v="INR"/>
    <n v="1974.83"/>
    <s v="VAS Activity Charges for the month of December, 24"/>
  </r>
  <r>
    <s v="KUEHNE+NAGEL PVT. LTD."/>
    <n v="2025"/>
    <d v="2025-03-17T00:00:00"/>
    <x v="1"/>
    <x v="61"/>
    <n v="246779412111"/>
    <s v="USD"/>
    <n v="420.46"/>
    <s v="INR"/>
    <n v="36450.21"/>
    <s v="VAS Activity Charges for the month of December, 24"/>
  </r>
  <r>
    <s v="KUEHNE+NAGEL PVT. LTD."/>
    <n v="2025"/>
    <d v="2025-03-17T00:00:00"/>
    <x v="1"/>
    <x v="61"/>
    <n v="246779411718"/>
    <s v="USD"/>
    <n v="22.95"/>
    <s v="INR"/>
    <n v="1989.56"/>
    <s v="VAS Activity Charges for the month of October, 24"/>
  </r>
  <r>
    <s v="KUEHNE+NAGEL PVT. LTD."/>
    <n v="2025"/>
    <d v="2025-03-17T00:00:00"/>
    <x v="1"/>
    <x v="61"/>
    <n v="246779411719"/>
    <s v="USD"/>
    <n v="28.54"/>
    <s v="INR"/>
    <n v="2474.17"/>
    <s v="VAS Activity Charges for the month of October, 24"/>
  </r>
  <r>
    <s v="KUEHNE+NAGEL PVT. LTD."/>
    <n v="2025"/>
    <d v="2025-03-17T00:00:00"/>
    <x v="1"/>
    <x v="61"/>
    <n v="246779411720"/>
    <s v="USD"/>
    <n v="17.12"/>
    <s v="INR"/>
    <n v="1484.15"/>
    <s v="VAS Activity Charges for the month of October, 24"/>
  </r>
  <r>
    <s v="KUEHNE+NAGEL PVT. LTD."/>
    <n v="2025"/>
    <d v="2025-03-17T00:00:00"/>
    <x v="1"/>
    <x v="61"/>
    <n v="246779411721"/>
    <s v="USD"/>
    <n v="525.63"/>
    <s v="INR"/>
    <n v="45567.53"/>
    <s v="VAS Activity Charges for the month of October, 24"/>
  </r>
  <r>
    <s v="KUEHNE+NAGEL PVT. LTD."/>
    <n v="2025"/>
    <d v="2025-03-17T00:00:00"/>
    <x v="1"/>
    <x v="61"/>
    <n v="246779411722"/>
    <s v="USD"/>
    <n v="39.96"/>
    <s v="INR"/>
    <n v="3464.18"/>
    <s v="VAS Activity Charges for the month of October, 24"/>
  </r>
  <r>
    <s v="KUEHNE+NAGEL PVT. LTD."/>
    <n v="2025"/>
    <d v="2025-03-17T00:00:00"/>
    <x v="1"/>
    <x v="61"/>
    <n v="246779411733"/>
    <s v="USD"/>
    <n v="17.12"/>
    <s v="INR"/>
    <n v="1484.15"/>
    <s v="VAS Activity Charges for the month of October, 24"/>
  </r>
  <r>
    <s v="KUEHNE+NAGEL PVT. LTD."/>
    <n v="2025"/>
    <d v="2025-03-17T00:00:00"/>
    <x v="1"/>
    <x v="61"/>
    <n v="246779411734"/>
    <s v="USD"/>
    <n v="22.83"/>
    <s v="INR"/>
    <n v="1979.16"/>
    <s v="VAS Activity Charges for the month of October, 24"/>
  </r>
  <r>
    <s v="KUEHNE+NAGEL PVT. LTD."/>
    <n v="2025"/>
    <d v="2025-03-17T00:00:00"/>
    <x v="1"/>
    <x v="61"/>
    <n v="246779411735"/>
    <s v="USD"/>
    <n v="479.25"/>
    <s v="INR"/>
    <n v="41546.79"/>
    <s v="VAS Activity Charges for the month of October, 24"/>
  </r>
  <r>
    <s v="KUEHNE+NAGEL PVT. LTD."/>
    <n v="2025"/>
    <d v="2025-03-17T00:00:00"/>
    <x v="1"/>
    <x v="61"/>
    <n v="246779411736"/>
    <s v="USD"/>
    <n v="22.83"/>
    <s v="INR"/>
    <n v="1979.16"/>
    <s v="VAS Activity Charges for the month of October, 24"/>
  </r>
  <r>
    <s v="KUEHNE+NAGEL PVT. LTD."/>
    <n v="2025"/>
    <d v="2025-03-17T00:00:00"/>
    <x v="1"/>
    <x v="61"/>
    <n v="246779411737"/>
    <s v="USD"/>
    <n v="28.54"/>
    <s v="INR"/>
    <n v="2474.17"/>
    <s v="VAS Activity Charges for the month of October, 24"/>
  </r>
  <r>
    <s v="KUEHNE+NAGEL PVT. LTD."/>
    <n v="2025"/>
    <d v="2025-03-17T00:00:00"/>
    <x v="1"/>
    <x v="61"/>
    <n v="246779411738"/>
    <s v="USD"/>
    <n v="28.54"/>
    <s v="INR"/>
    <n v="2474.17"/>
    <s v="VAS Activity Charges for the month of October, 2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546EB2-6E86-43AA-AB24-C749FF0815A8}" name="PivotTable4" cacheId="2" applyNumberFormats="0" applyBorderFormats="0" applyFontFormats="0" applyPatternFormats="0" applyAlignmentFormats="0" applyWidthHeightFormats="1" dataCaption="Values" updatedVersion="7" minRefreshableVersion="3" useAutoFormatting="1" rowGrandTotals="0" colGrandTotals="0" itemPrintTitles="1" createdVersion="7" indent="0" compact="0" compactData="0" multipleFieldFilters="0">
  <location ref="A3:G17" firstHeaderRow="1" firstDataRow="2" firstDataCol="3"/>
  <pivotFields count="15">
    <pivotField axis="axisCol" compact="0" outline="0" showAll="0" defaultSubtotal="0">
      <items count="4">
        <item x="1"/>
        <item x="2"/>
        <item x="0"/>
        <item x="3"/>
      </items>
    </pivotField>
    <pivotField compact="0" outline="0" showAll="0" defaultSubtotal="0"/>
    <pivotField axis="axisRow" compact="0" numFmtId="14" outline="0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compact="0" numFmtId="164" outline="0" showAll="0" defaultSubtotal="0"/>
    <pivotField dataField="1" compact="0" numFmtId="164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numFmtId="17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6">
        <item sd="0" x="0"/>
        <item x="1"/>
        <item x="2"/>
        <item x="3"/>
        <item x="4"/>
        <item sd="0" x="5"/>
      </items>
    </pivotField>
    <pivotField axis="axisRow" compact="0" outline="0" showAll="0" defaultSubtotal="0">
      <items count="4">
        <item sd="0" x="0"/>
        <item x="1"/>
        <item x="2"/>
        <item sd="0" x="3"/>
      </items>
    </pivotField>
  </pivotFields>
  <rowFields count="3">
    <field x="14"/>
    <field x="13"/>
    <field x="2"/>
  </rowFields>
  <rowItems count="13">
    <i>
      <x v="1"/>
      <x v="1"/>
      <x v="1"/>
    </i>
    <i r="2">
      <x v="2"/>
    </i>
    <i r="2">
      <x v="3"/>
    </i>
    <i r="1">
      <x v="2"/>
      <x v="4"/>
    </i>
    <i r="2">
      <x v="5"/>
    </i>
    <i r="2">
      <x v="6"/>
    </i>
    <i r="1">
      <x v="3"/>
      <x v="7"/>
    </i>
    <i r="2">
      <x v="8"/>
    </i>
    <i r="2">
      <x v="9"/>
    </i>
    <i r="1">
      <x v="4"/>
      <x v="10"/>
    </i>
    <i r="2">
      <x v="11"/>
    </i>
    <i r="2">
      <x v="12"/>
    </i>
    <i>
      <x v="2"/>
      <x v="1"/>
      <x v="1"/>
    </i>
  </rowItems>
  <colFields count="1">
    <field x="0"/>
  </colFields>
  <colItems count="4">
    <i>
      <x/>
    </i>
    <i>
      <x v="1"/>
    </i>
    <i>
      <x v="2"/>
    </i>
    <i>
      <x v="3"/>
    </i>
  </colItems>
  <dataFields count="1">
    <dataField name="Sum of LC Amount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C2A1D4-E938-46D9-8D76-0CBC2E2EF577}" name="PivotTable6" cacheId="3" applyNumberFormats="0" applyBorderFormats="0" applyFontFormats="0" applyPatternFormats="0" applyAlignmentFormats="0" applyWidthHeightFormats="1" dataCaption="Values" updatedVersion="7" minRefreshableVersion="3" useAutoFormatting="1" rowGrandTotals="0" colGrandTotals="0" itemPrintTitles="1" createdVersion="7" indent="0" compact="0" compactData="0" multipleFieldFilters="0">
  <location ref="A3:I16" firstHeaderRow="1" firstDataRow="2" firstDataCol="3"/>
  <pivotFields count="13">
    <pivotField compact="0" outline="0" showAll="0" defaultSubtotal="0"/>
    <pivotField compact="0" outline="0" showAll="0" defaultSubtotal="0"/>
    <pivotField compact="0" numFmtId="14" outline="0" showAll="0" defaultSubtotal="0"/>
    <pivotField axis="axisCol" compact="0" outline="0" showAll="0" defaultSubtotal="0">
      <items count="6">
        <item x="3"/>
        <item x="0"/>
        <item x="1"/>
        <item x="4"/>
        <item x="2"/>
        <item x="5"/>
      </items>
    </pivotField>
    <pivotField axis="axisRow" compact="0" numFmtId="14" outline="0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compact="0" outline="0" showAll="0" defaultSubtotal="0"/>
    <pivotField compact="0" outline="0" showAll="0" defaultSubtotal="0"/>
    <pivotField compact="0" numFmtId="4" outline="0" showAll="0" defaultSubtotal="0"/>
    <pivotField compact="0" outline="0" showAll="0" defaultSubtotal="0"/>
    <pivotField dataField="1" compact="0" numFmtId="4" outline="0" showAll="0" defaultSubtotal="0"/>
    <pivotField compact="0" outline="0" showAll="0" defaultSubtotal="0"/>
    <pivotField axis="axisRow" compact="0" outline="0" showAll="0" defaultSubtotal="0">
      <items count="6">
        <item sd="0" x="0"/>
        <item x="1"/>
        <item x="2"/>
        <item x="3"/>
        <item x="4"/>
        <item sd="0" x="5"/>
      </items>
    </pivotField>
    <pivotField axis="axisRow" compact="0" outline="0" showAll="0" defaultSubtotal="0">
      <items count="4">
        <item sd="0" x="0"/>
        <item x="1"/>
        <item x="2"/>
        <item sd="0" x="3"/>
      </items>
    </pivotField>
  </pivotFields>
  <rowFields count="3">
    <field x="12"/>
    <field x="11"/>
    <field x="4"/>
  </rowFields>
  <rowItems count="12">
    <i>
      <x v="1"/>
      <x v="1"/>
      <x v="2"/>
    </i>
    <i r="2">
      <x v="3"/>
    </i>
    <i r="1">
      <x v="2"/>
      <x v="4"/>
    </i>
    <i r="2">
      <x v="5"/>
    </i>
    <i r="2">
      <x v="6"/>
    </i>
    <i r="1">
      <x v="3"/>
      <x v="7"/>
    </i>
    <i r="2">
      <x v="8"/>
    </i>
    <i r="2">
      <x v="9"/>
    </i>
    <i r="1">
      <x v="4"/>
      <x v="10"/>
    </i>
    <i r="2">
      <x v="11"/>
    </i>
    <i r="2">
      <x v="12"/>
    </i>
    <i>
      <x v="2"/>
      <x v="1"/>
      <x v="1"/>
    </i>
  </rowItems>
  <colFields count="1">
    <field x="3"/>
  </colFields>
  <colItems count="6">
    <i>
      <x/>
    </i>
    <i>
      <x v="1"/>
    </i>
    <i>
      <x v="2"/>
    </i>
    <i>
      <x v="3"/>
    </i>
    <i>
      <x v="4"/>
    </i>
    <i>
      <x v="5"/>
    </i>
  </colItems>
  <dataFields count="1">
    <dataField name="Sum of Company Code Currency Value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0C6DCA-AB70-4109-8F7D-082C10573BF7}">
  <dimension ref="A1:K707"/>
  <sheetViews>
    <sheetView topLeftCell="A31" workbookViewId="0">
      <selection activeCell="F33" sqref="F33"/>
    </sheetView>
  </sheetViews>
  <sheetFormatPr defaultRowHeight="14.5" x14ac:dyDescent="0.35"/>
  <cols>
    <col min="1" max="1" width="26" bestFit="1" customWidth="1"/>
    <col min="2" max="2" width="11.81640625" bestFit="1" customWidth="1"/>
    <col min="3" max="3" width="13.453125" bestFit="1" customWidth="1"/>
    <col min="4" max="4" width="11.81640625" bestFit="1" customWidth="1"/>
    <col min="5" max="5" width="16.1796875" bestFit="1" customWidth="1"/>
    <col min="6" max="6" width="14.90625" bestFit="1" customWidth="1"/>
    <col min="7" max="7" width="13.90625" bestFit="1" customWidth="1"/>
    <col min="8" max="8" width="11.90625" bestFit="1" customWidth="1"/>
    <col min="9" max="9" width="11" bestFit="1" customWidth="1"/>
    <col min="10" max="10" width="11.90625" bestFit="1" customWidth="1"/>
    <col min="11" max="11" width="47" bestFit="1" customWidth="1"/>
  </cols>
  <sheetData>
    <row r="1" spans="1:11" ht="58" x14ac:dyDescent="0.35">
      <c r="A1" s="10" t="s">
        <v>499</v>
      </c>
      <c r="B1" s="10" t="s">
        <v>500</v>
      </c>
      <c r="C1" s="10" t="s">
        <v>501</v>
      </c>
      <c r="D1" s="11" t="s">
        <v>502</v>
      </c>
      <c r="E1" s="10" t="s">
        <v>503</v>
      </c>
      <c r="F1" s="10" t="s">
        <v>505</v>
      </c>
      <c r="G1" s="11" t="s">
        <v>506</v>
      </c>
      <c r="H1" s="11" t="s">
        <v>507</v>
      </c>
      <c r="I1" s="11" t="s">
        <v>508</v>
      </c>
      <c r="J1" s="11" t="s">
        <v>509</v>
      </c>
      <c r="K1" s="10" t="s">
        <v>510</v>
      </c>
    </row>
    <row r="2" spans="1:11" x14ac:dyDescent="0.35">
      <c r="A2" s="12" t="s">
        <v>511</v>
      </c>
      <c r="B2" s="15">
        <v>2025</v>
      </c>
      <c r="C2" s="13">
        <v>45848</v>
      </c>
      <c r="D2" s="12" t="s">
        <v>512</v>
      </c>
      <c r="E2" s="13">
        <v>45848</v>
      </c>
      <c r="F2" s="15">
        <v>256779421326</v>
      </c>
      <c r="G2" s="12" t="s">
        <v>11</v>
      </c>
      <c r="H2" s="14">
        <v>-70.8</v>
      </c>
      <c r="I2" s="12" t="s">
        <v>59</v>
      </c>
      <c r="J2" s="14">
        <v>-6088.85</v>
      </c>
      <c r="K2" s="12" t="s">
        <v>514</v>
      </c>
    </row>
    <row r="3" spans="1:11" x14ac:dyDescent="0.35">
      <c r="A3" s="12" t="s">
        <v>511</v>
      </c>
      <c r="B3" s="15">
        <v>2025</v>
      </c>
      <c r="C3" s="13">
        <v>45848</v>
      </c>
      <c r="D3" s="12" t="s">
        <v>512</v>
      </c>
      <c r="E3" s="13">
        <v>45848</v>
      </c>
      <c r="F3" s="15">
        <v>256779421327</v>
      </c>
      <c r="G3" s="12" t="s">
        <v>11</v>
      </c>
      <c r="H3" s="14">
        <v>-113.28</v>
      </c>
      <c r="I3" s="12" t="s">
        <v>59</v>
      </c>
      <c r="J3" s="14">
        <v>-9742.16</v>
      </c>
      <c r="K3" s="12" t="s">
        <v>514</v>
      </c>
    </row>
    <row r="4" spans="1:11" x14ac:dyDescent="0.35">
      <c r="A4" s="12" t="s">
        <v>511</v>
      </c>
      <c r="B4" s="15">
        <v>2025</v>
      </c>
      <c r="C4" s="13">
        <v>45848</v>
      </c>
      <c r="D4" s="12" t="s">
        <v>512</v>
      </c>
      <c r="E4" s="13">
        <v>45848</v>
      </c>
      <c r="F4" s="15">
        <v>256779421328</v>
      </c>
      <c r="G4" s="12" t="s">
        <v>11</v>
      </c>
      <c r="H4" s="14">
        <v>-242.75</v>
      </c>
      <c r="I4" s="12" t="s">
        <v>59</v>
      </c>
      <c r="J4" s="14">
        <v>-20876.66</v>
      </c>
      <c r="K4" s="12" t="s">
        <v>514</v>
      </c>
    </row>
    <row r="5" spans="1:11" x14ac:dyDescent="0.35">
      <c r="A5" s="12" t="s">
        <v>511</v>
      </c>
      <c r="B5" s="15">
        <v>2025</v>
      </c>
      <c r="C5" s="13">
        <v>45904</v>
      </c>
      <c r="D5" s="12" t="s">
        <v>515</v>
      </c>
      <c r="E5" s="13">
        <v>45904</v>
      </c>
      <c r="F5" s="15">
        <v>256779416909</v>
      </c>
      <c r="G5" s="12" t="s">
        <v>11</v>
      </c>
      <c r="H5" s="14">
        <v>989.55</v>
      </c>
      <c r="I5" s="12" t="s">
        <v>59</v>
      </c>
      <c r="J5" s="14">
        <v>86599.81</v>
      </c>
      <c r="K5" s="12" t="s">
        <v>516</v>
      </c>
    </row>
    <row r="6" spans="1:11" x14ac:dyDescent="0.35">
      <c r="A6" s="12" t="s">
        <v>511</v>
      </c>
      <c r="B6" s="15">
        <v>2025</v>
      </c>
      <c r="C6" s="13">
        <v>45904</v>
      </c>
      <c r="D6" s="12" t="s">
        <v>515</v>
      </c>
      <c r="E6" s="13">
        <v>45904</v>
      </c>
      <c r="F6" s="15">
        <v>256779417134</v>
      </c>
      <c r="G6" s="12" t="s">
        <v>11</v>
      </c>
      <c r="H6" s="14">
        <v>536.44000000000005</v>
      </c>
      <c r="I6" s="12" t="s">
        <v>59</v>
      </c>
      <c r="J6" s="14">
        <v>46946.19</v>
      </c>
      <c r="K6" s="12" t="s">
        <v>517</v>
      </c>
    </row>
    <row r="7" spans="1:11" x14ac:dyDescent="0.35">
      <c r="A7" s="12" t="s">
        <v>511</v>
      </c>
      <c r="B7" s="15">
        <v>2025</v>
      </c>
      <c r="C7" s="13">
        <v>45904</v>
      </c>
      <c r="D7" s="12" t="s">
        <v>515</v>
      </c>
      <c r="E7" s="13">
        <v>45904</v>
      </c>
      <c r="F7" s="15">
        <v>256779417137</v>
      </c>
      <c r="G7" s="12" t="s">
        <v>11</v>
      </c>
      <c r="H7" s="14">
        <v>409.79</v>
      </c>
      <c r="I7" s="12" t="s">
        <v>59</v>
      </c>
      <c r="J7" s="14">
        <v>35862.5</v>
      </c>
      <c r="K7" s="12" t="s">
        <v>518</v>
      </c>
    </row>
    <row r="8" spans="1:11" x14ac:dyDescent="0.35">
      <c r="A8" s="12" t="s">
        <v>511</v>
      </c>
      <c r="B8" s="15">
        <v>2025</v>
      </c>
      <c r="C8" s="13">
        <v>45904</v>
      </c>
      <c r="D8" s="12" t="s">
        <v>515</v>
      </c>
      <c r="E8" s="13">
        <v>45904</v>
      </c>
      <c r="F8" s="15">
        <v>256779417158</v>
      </c>
      <c r="G8" s="12" t="s">
        <v>11</v>
      </c>
      <c r="H8" s="14">
        <v>110</v>
      </c>
      <c r="I8" s="12" t="s">
        <v>59</v>
      </c>
      <c r="J8" s="14">
        <v>9626.58</v>
      </c>
      <c r="K8" s="12" t="s">
        <v>519</v>
      </c>
    </row>
    <row r="9" spans="1:11" x14ac:dyDescent="0.35">
      <c r="A9" s="12" t="s">
        <v>511</v>
      </c>
      <c r="B9" s="15">
        <v>2025</v>
      </c>
      <c r="C9" s="13">
        <v>45904</v>
      </c>
      <c r="D9" s="12" t="s">
        <v>515</v>
      </c>
      <c r="E9" s="13">
        <v>45904</v>
      </c>
      <c r="F9" s="15">
        <v>256779417200</v>
      </c>
      <c r="G9" s="12" t="s">
        <v>11</v>
      </c>
      <c r="H9" s="14">
        <v>100.74</v>
      </c>
      <c r="I9" s="12" t="s">
        <v>59</v>
      </c>
      <c r="J9" s="14">
        <v>8816.19</v>
      </c>
      <c r="K9" s="12" t="s">
        <v>520</v>
      </c>
    </row>
    <row r="10" spans="1:11" x14ac:dyDescent="0.35">
      <c r="A10" s="12" t="s">
        <v>511</v>
      </c>
      <c r="B10" s="15">
        <v>2025</v>
      </c>
      <c r="C10" s="13">
        <v>45904</v>
      </c>
      <c r="D10" s="12" t="s">
        <v>515</v>
      </c>
      <c r="E10" s="13">
        <v>45904</v>
      </c>
      <c r="F10" s="15">
        <v>256779417238</v>
      </c>
      <c r="G10" s="12" t="s">
        <v>11</v>
      </c>
      <c r="H10" s="14">
        <v>608.78</v>
      </c>
      <c r="I10" s="12" t="s">
        <v>59</v>
      </c>
      <c r="J10" s="14">
        <v>53276.97</v>
      </c>
      <c r="K10" s="12" t="s">
        <v>521</v>
      </c>
    </row>
    <row r="11" spans="1:11" x14ac:dyDescent="0.35">
      <c r="A11" s="12" t="s">
        <v>511</v>
      </c>
      <c r="B11" s="15">
        <v>2025</v>
      </c>
      <c r="C11" s="13">
        <v>45904</v>
      </c>
      <c r="D11" s="12" t="s">
        <v>515</v>
      </c>
      <c r="E11" s="13">
        <v>45904</v>
      </c>
      <c r="F11" s="15">
        <v>256779417250</v>
      </c>
      <c r="G11" s="12" t="s">
        <v>11</v>
      </c>
      <c r="H11" s="14">
        <v>50</v>
      </c>
      <c r="I11" s="12" t="s">
        <v>59</v>
      </c>
      <c r="J11" s="14">
        <v>4375.72</v>
      </c>
      <c r="K11" s="12" t="s">
        <v>522</v>
      </c>
    </row>
    <row r="12" spans="1:11" x14ac:dyDescent="0.35">
      <c r="A12" s="12" t="s">
        <v>511</v>
      </c>
      <c r="B12" s="15">
        <v>2025</v>
      </c>
      <c r="C12" s="13">
        <v>45904</v>
      </c>
      <c r="D12" s="12" t="s">
        <v>515</v>
      </c>
      <c r="E12" s="13">
        <v>45904</v>
      </c>
      <c r="F12" s="15">
        <v>256779417257</v>
      </c>
      <c r="G12" s="12" t="s">
        <v>11</v>
      </c>
      <c r="H12" s="14">
        <v>22.77</v>
      </c>
      <c r="I12" s="12" t="s">
        <v>59</v>
      </c>
      <c r="J12" s="14">
        <v>1992.7</v>
      </c>
      <c r="K12" s="12" t="s">
        <v>523</v>
      </c>
    </row>
    <row r="13" spans="1:11" x14ac:dyDescent="0.35">
      <c r="A13" s="12" t="s">
        <v>511</v>
      </c>
      <c r="B13" s="15">
        <v>2025</v>
      </c>
      <c r="C13" s="13">
        <v>45904</v>
      </c>
      <c r="D13" s="12" t="s">
        <v>515</v>
      </c>
      <c r="E13" s="13">
        <v>45904</v>
      </c>
      <c r="F13" s="15">
        <v>256779417280</v>
      </c>
      <c r="G13" s="12" t="s">
        <v>11</v>
      </c>
      <c r="H13" s="14">
        <v>249.98</v>
      </c>
      <c r="I13" s="12" t="s">
        <v>59</v>
      </c>
      <c r="J13" s="14">
        <v>21876.83</v>
      </c>
      <c r="K13" s="12" t="s">
        <v>524</v>
      </c>
    </row>
    <row r="14" spans="1:11" x14ac:dyDescent="0.35">
      <c r="A14" s="12" t="s">
        <v>511</v>
      </c>
      <c r="B14" s="15">
        <v>2025</v>
      </c>
      <c r="C14" s="13">
        <v>45904</v>
      </c>
      <c r="D14" s="12" t="s">
        <v>515</v>
      </c>
      <c r="E14" s="13">
        <v>45904</v>
      </c>
      <c r="F14" s="15">
        <v>256779417317</v>
      </c>
      <c r="G14" s="12" t="s">
        <v>11</v>
      </c>
      <c r="H14" s="14">
        <v>170.85</v>
      </c>
      <c r="I14" s="12" t="s">
        <v>59</v>
      </c>
      <c r="J14" s="14">
        <v>14951.82</v>
      </c>
      <c r="K14" s="12" t="s">
        <v>525</v>
      </c>
    </row>
    <row r="15" spans="1:11" x14ac:dyDescent="0.35">
      <c r="A15" s="12" t="s">
        <v>511</v>
      </c>
      <c r="B15" s="15">
        <v>2025</v>
      </c>
      <c r="C15" s="13">
        <v>45842</v>
      </c>
      <c r="D15" s="12" t="s">
        <v>515</v>
      </c>
      <c r="E15" s="13">
        <v>45842</v>
      </c>
      <c r="F15" s="15">
        <v>256779414859</v>
      </c>
      <c r="G15" s="12" t="s">
        <v>11</v>
      </c>
      <c r="H15" s="14">
        <v>318.47000000000003</v>
      </c>
      <c r="I15" s="12" t="s">
        <v>59</v>
      </c>
      <c r="J15" s="14">
        <v>27388.63</v>
      </c>
      <c r="K15" s="12" t="s">
        <v>526</v>
      </c>
    </row>
    <row r="16" spans="1:11" x14ac:dyDescent="0.35">
      <c r="A16" s="12" t="s">
        <v>511</v>
      </c>
      <c r="B16" s="15">
        <v>2025</v>
      </c>
      <c r="C16" s="13">
        <v>45842</v>
      </c>
      <c r="D16" s="12" t="s">
        <v>515</v>
      </c>
      <c r="E16" s="13">
        <v>45842</v>
      </c>
      <c r="F16" s="15">
        <v>256779415012</v>
      </c>
      <c r="G16" s="12" t="s">
        <v>11</v>
      </c>
      <c r="H16" s="14">
        <v>184.3</v>
      </c>
      <c r="I16" s="12" t="s">
        <v>59</v>
      </c>
      <c r="J16" s="14">
        <v>15849.92</v>
      </c>
      <c r="K16" s="12" t="s">
        <v>527</v>
      </c>
    </row>
    <row r="17" spans="1:11" x14ac:dyDescent="0.35">
      <c r="A17" s="12" t="s">
        <v>511</v>
      </c>
      <c r="B17" s="15">
        <v>2025</v>
      </c>
      <c r="C17" s="13">
        <v>45842</v>
      </c>
      <c r="D17" s="12" t="s">
        <v>515</v>
      </c>
      <c r="E17" s="13">
        <v>45842</v>
      </c>
      <c r="F17" s="15">
        <v>256779415208</v>
      </c>
      <c r="G17" s="12" t="s">
        <v>11</v>
      </c>
      <c r="H17" s="14">
        <v>183.43</v>
      </c>
      <c r="I17" s="12" t="s">
        <v>59</v>
      </c>
      <c r="J17" s="14">
        <v>15775.1</v>
      </c>
      <c r="K17" s="12" t="s">
        <v>528</v>
      </c>
    </row>
    <row r="18" spans="1:11" x14ac:dyDescent="0.35">
      <c r="A18" s="12" t="s">
        <v>511</v>
      </c>
      <c r="B18" s="15">
        <v>2025</v>
      </c>
      <c r="C18" s="13">
        <v>45842</v>
      </c>
      <c r="D18" s="12" t="s">
        <v>515</v>
      </c>
      <c r="E18" s="13">
        <v>45842</v>
      </c>
      <c r="F18" s="15">
        <v>256779415209</v>
      </c>
      <c r="G18" s="12" t="s">
        <v>11</v>
      </c>
      <c r="H18" s="14">
        <v>63.26</v>
      </c>
      <c r="I18" s="12" t="s">
        <v>59</v>
      </c>
      <c r="J18" s="14">
        <v>5440.4</v>
      </c>
      <c r="K18" s="12" t="s">
        <v>528</v>
      </c>
    </row>
    <row r="19" spans="1:11" x14ac:dyDescent="0.35">
      <c r="A19" s="12" t="s">
        <v>511</v>
      </c>
      <c r="B19" s="15">
        <v>2025</v>
      </c>
      <c r="C19" s="13">
        <v>45842</v>
      </c>
      <c r="D19" s="12" t="s">
        <v>515</v>
      </c>
      <c r="E19" s="13">
        <v>45842</v>
      </c>
      <c r="F19" s="15">
        <v>256779415210</v>
      </c>
      <c r="G19" s="12" t="s">
        <v>11</v>
      </c>
      <c r="H19" s="14">
        <v>9629.6299999999992</v>
      </c>
      <c r="I19" s="12" t="s">
        <v>59</v>
      </c>
      <c r="J19" s="14">
        <v>828154.63</v>
      </c>
      <c r="K19" s="12" t="s">
        <v>528</v>
      </c>
    </row>
    <row r="20" spans="1:11" x14ac:dyDescent="0.35">
      <c r="A20" s="12" t="s">
        <v>511</v>
      </c>
      <c r="B20" s="15">
        <v>2025</v>
      </c>
      <c r="C20" s="13">
        <v>45842</v>
      </c>
      <c r="D20" s="12" t="s">
        <v>515</v>
      </c>
      <c r="E20" s="13">
        <v>45842</v>
      </c>
      <c r="F20" s="15">
        <v>256779415261</v>
      </c>
      <c r="G20" s="12" t="s">
        <v>11</v>
      </c>
      <c r="H20" s="14">
        <v>292.95999999999998</v>
      </c>
      <c r="I20" s="12" t="s">
        <v>59</v>
      </c>
      <c r="J20" s="14">
        <v>25194.76</v>
      </c>
      <c r="K20" s="12" t="s">
        <v>529</v>
      </c>
    </row>
    <row r="21" spans="1:11" x14ac:dyDescent="0.35">
      <c r="A21" s="12" t="s">
        <v>511</v>
      </c>
      <c r="B21" s="15">
        <v>2025</v>
      </c>
      <c r="C21" s="13">
        <v>45842</v>
      </c>
      <c r="D21" s="12" t="s">
        <v>515</v>
      </c>
      <c r="E21" s="13">
        <v>45842</v>
      </c>
      <c r="F21" s="15">
        <v>256779415270</v>
      </c>
      <c r="G21" s="12" t="s">
        <v>11</v>
      </c>
      <c r="H21" s="14">
        <v>420.86</v>
      </c>
      <c r="I21" s="12" t="s">
        <v>59</v>
      </c>
      <c r="J21" s="14">
        <v>36194.239999999998</v>
      </c>
      <c r="K21" s="12" t="s">
        <v>530</v>
      </c>
    </row>
    <row r="22" spans="1:11" x14ac:dyDescent="0.35">
      <c r="A22" s="12" t="s">
        <v>511</v>
      </c>
      <c r="B22" s="15">
        <v>2025</v>
      </c>
      <c r="C22" s="13">
        <v>45966</v>
      </c>
      <c r="D22" s="12" t="s">
        <v>515</v>
      </c>
      <c r="E22" s="13">
        <v>45966</v>
      </c>
      <c r="F22" s="15">
        <v>256779418816</v>
      </c>
      <c r="G22" s="12" t="s">
        <v>11</v>
      </c>
      <c r="H22" s="14">
        <v>891</v>
      </c>
      <c r="I22" s="12" t="s">
        <v>59</v>
      </c>
      <c r="J22" s="14">
        <v>78411.02</v>
      </c>
      <c r="K22" s="12" t="s">
        <v>531</v>
      </c>
    </row>
    <row r="23" spans="1:11" x14ac:dyDescent="0.35">
      <c r="A23" s="12" t="s">
        <v>511</v>
      </c>
      <c r="B23" s="15">
        <v>2025</v>
      </c>
      <c r="C23" s="13">
        <v>45966</v>
      </c>
      <c r="D23" s="12" t="s">
        <v>515</v>
      </c>
      <c r="E23" s="13">
        <v>45966</v>
      </c>
      <c r="F23" s="15">
        <v>256779418872</v>
      </c>
      <c r="G23" s="12" t="s">
        <v>11</v>
      </c>
      <c r="H23" s="14">
        <v>5939.04</v>
      </c>
      <c r="I23" s="12" t="s">
        <v>59</v>
      </c>
      <c r="J23" s="14">
        <v>522655.65</v>
      </c>
      <c r="K23" s="12" t="s">
        <v>532</v>
      </c>
    </row>
    <row r="24" spans="1:11" x14ac:dyDescent="0.35">
      <c r="A24" s="12" t="s">
        <v>511</v>
      </c>
      <c r="B24" s="15">
        <v>2025</v>
      </c>
      <c r="C24" s="13">
        <v>45966</v>
      </c>
      <c r="D24" s="12" t="s">
        <v>515</v>
      </c>
      <c r="E24" s="13">
        <v>45966</v>
      </c>
      <c r="F24" s="15">
        <v>256779418892</v>
      </c>
      <c r="G24" s="12" t="s">
        <v>11</v>
      </c>
      <c r="H24" s="14">
        <v>1683.97</v>
      </c>
      <c r="I24" s="12" t="s">
        <v>59</v>
      </c>
      <c r="J24" s="14">
        <v>148195.07</v>
      </c>
      <c r="K24" s="12" t="s">
        <v>533</v>
      </c>
    </row>
    <row r="25" spans="1:11" x14ac:dyDescent="0.35">
      <c r="A25" s="12" t="s">
        <v>511</v>
      </c>
      <c r="B25" s="15">
        <v>2025</v>
      </c>
      <c r="C25" s="13">
        <v>45966</v>
      </c>
      <c r="D25" s="12" t="s">
        <v>515</v>
      </c>
      <c r="E25" s="13">
        <v>45966</v>
      </c>
      <c r="F25" s="15">
        <v>256779418904</v>
      </c>
      <c r="G25" s="12" t="s">
        <v>11</v>
      </c>
      <c r="H25" s="14">
        <v>1273.92</v>
      </c>
      <c r="I25" s="12" t="s">
        <v>59</v>
      </c>
      <c r="J25" s="14">
        <v>112109.28</v>
      </c>
      <c r="K25" s="12" t="s">
        <v>534</v>
      </c>
    </row>
    <row r="26" spans="1:11" x14ac:dyDescent="0.35">
      <c r="A26" s="12" t="s">
        <v>511</v>
      </c>
      <c r="B26" s="15">
        <v>2025</v>
      </c>
      <c r="C26" s="13">
        <v>45966</v>
      </c>
      <c r="D26" s="12" t="s">
        <v>515</v>
      </c>
      <c r="E26" s="13">
        <v>45966</v>
      </c>
      <c r="F26" s="15">
        <v>256779419165</v>
      </c>
      <c r="G26" s="12" t="s">
        <v>11</v>
      </c>
      <c r="H26" s="14">
        <v>191.57</v>
      </c>
      <c r="I26" s="12" t="s">
        <v>59</v>
      </c>
      <c r="J26" s="14">
        <v>16858.810000000001</v>
      </c>
      <c r="K26" s="12" t="s">
        <v>535</v>
      </c>
    </row>
    <row r="27" spans="1:11" x14ac:dyDescent="0.35">
      <c r="A27" s="12" t="s">
        <v>511</v>
      </c>
      <c r="B27" s="15">
        <v>2025</v>
      </c>
      <c r="C27" s="13">
        <v>45966</v>
      </c>
      <c r="D27" s="12" t="s">
        <v>515</v>
      </c>
      <c r="E27" s="13">
        <v>45966</v>
      </c>
      <c r="F27" s="15">
        <v>256779419192</v>
      </c>
      <c r="G27" s="12" t="s">
        <v>11</v>
      </c>
      <c r="H27" s="14">
        <v>171.87</v>
      </c>
      <c r="I27" s="12" t="s">
        <v>59</v>
      </c>
      <c r="J27" s="14">
        <v>15125.14</v>
      </c>
      <c r="K27" s="12" t="s">
        <v>536</v>
      </c>
    </row>
    <row r="28" spans="1:11" x14ac:dyDescent="0.35">
      <c r="A28" s="12" t="s">
        <v>511</v>
      </c>
      <c r="B28" s="15">
        <v>2025</v>
      </c>
      <c r="C28" s="13">
        <v>45966</v>
      </c>
      <c r="D28" s="12" t="s">
        <v>515</v>
      </c>
      <c r="E28" s="13">
        <v>45966</v>
      </c>
      <c r="F28" s="15">
        <v>256779419211</v>
      </c>
      <c r="G28" s="12" t="s">
        <v>11</v>
      </c>
      <c r="H28" s="14">
        <v>28.18</v>
      </c>
      <c r="I28" s="12" t="s">
        <v>59</v>
      </c>
      <c r="J28" s="14">
        <v>2479.94</v>
      </c>
      <c r="K28" s="12" t="s">
        <v>537</v>
      </c>
    </row>
    <row r="29" spans="1:11" x14ac:dyDescent="0.35">
      <c r="A29" s="12" t="s">
        <v>511</v>
      </c>
      <c r="B29" s="15">
        <v>2025</v>
      </c>
      <c r="C29" s="13">
        <v>45966</v>
      </c>
      <c r="D29" s="12" t="s">
        <v>515</v>
      </c>
      <c r="E29" s="13">
        <v>45966</v>
      </c>
      <c r="F29" s="15">
        <v>256779419222</v>
      </c>
      <c r="G29" s="12" t="s">
        <v>11</v>
      </c>
      <c r="H29" s="14">
        <v>3537</v>
      </c>
      <c r="I29" s="12" t="s">
        <v>59</v>
      </c>
      <c r="J29" s="14">
        <v>311267.99</v>
      </c>
      <c r="K29" s="12" t="s">
        <v>538</v>
      </c>
    </row>
    <row r="30" spans="1:11" x14ac:dyDescent="0.35">
      <c r="A30" s="12" t="s">
        <v>511</v>
      </c>
      <c r="B30" s="15">
        <v>2025</v>
      </c>
      <c r="C30" s="13">
        <v>45964</v>
      </c>
      <c r="D30" s="12" t="s">
        <v>515</v>
      </c>
      <c r="E30" s="13">
        <v>45964</v>
      </c>
      <c r="F30" s="15">
        <v>256779419122</v>
      </c>
      <c r="G30" s="12" t="s">
        <v>11</v>
      </c>
      <c r="H30" s="14">
        <v>670.42</v>
      </c>
      <c r="I30" s="12" t="s">
        <v>59</v>
      </c>
      <c r="J30" s="14">
        <v>58999.23</v>
      </c>
      <c r="K30" s="12" t="s">
        <v>539</v>
      </c>
    </row>
    <row r="31" spans="1:11" x14ac:dyDescent="0.35">
      <c r="A31" s="12" t="s">
        <v>511</v>
      </c>
      <c r="B31" s="15">
        <v>2025</v>
      </c>
      <c r="C31" s="13">
        <v>45964</v>
      </c>
      <c r="D31" s="12" t="s">
        <v>512</v>
      </c>
      <c r="E31" s="13">
        <v>45964</v>
      </c>
      <c r="F31" s="15">
        <v>256779422067</v>
      </c>
      <c r="G31" s="12" t="s">
        <v>11</v>
      </c>
      <c r="H31" s="14">
        <v>-4608.8</v>
      </c>
      <c r="I31" s="12" t="s">
        <v>59</v>
      </c>
      <c r="J31" s="14">
        <v>-405590.02</v>
      </c>
      <c r="K31" s="12" t="s">
        <v>540</v>
      </c>
    </row>
    <row r="32" spans="1:11" x14ac:dyDescent="0.35">
      <c r="A32" s="12" t="s">
        <v>511</v>
      </c>
      <c r="B32" s="15">
        <v>2025</v>
      </c>
      <c r="C32" s="13">
        <v>45877</v>
      </c>
      <c r="D32" s="12" t="s">
        <v>515</v>
      </c>
      <c r="E32" s="13">
        <v>45877</v>
      </c>
      <c r="F32" s="15">
        <v>256779416096</v>
      </c>
      <c r="G32" s="12" t="s">
        <v>11</v>
      </c>
      <c r="H32" s="14">
        <v>7386.34</v>
      </c>
      <c r="I32" s="12" t="s">
        <v>59</v>
      </c>
      <c r="J32" s="14">
        <v>635447.72</v>
      </c>
      <c r="K32" s="12" t="s">
        <v>541</v>
      </c>
    </row>
    <row r="33" spans="1:11" x14ac:dyDescent="0.35">
      <c r="A33" s="12" t="s">
        <v>511</v>
      </c>
      <c r="B33" s="15">
        <v>2025</v>
      </c>
      <c r="C33" s="13">
        <v>45877</v>
      </c>
      <c r="D33" s="12" t="s">
        <v>515</v>
      </c>
      <c r="E33" s="13">
        <v>45877</v>
      </c>
      <c r="F33" s="15">
        <v>256779416137</v>
      </c>
      <c r="G33" s="12" t="s">
        <v>11</v>
      </c>
      <c r="H33" s="14">
        <v>55.28</v>
      </c>
      <c r="I33" s="12" t="s">
        <v>59</v>
      </c>
      <c r="J33" s="14">
        <v>4755.75</v>
      </c>
      <c r="K33" s="12" t="s">
        <v>542</v>
      </c>
    </row>
    <row r="34" spans="1:11" x14ac:dyDescent="0.35">
      <c r="A34" s="12" t="s">
        <v>511</v>
      </c>
      <c r="B34" s="15">
        <v>2025</v>
      </c>
      <c r="C34" s="13">
        <v>45877</v>
      </c>
      <c r="D34" s="12" t="s">
        <v>515</v>
      </c>
      <c r="E34" s="13">
        <v>45877</v>
      </c>
      <c r="F34" s="15">
        <v>256779416169</v>
      </c>
      <c r="G34" s="12" t="s">
        <v>11</v>
      </c>
      <c r="H34" s="14">
        <v>256.97000000000003</v>
      </c>
      <c r="I34" s="12" t="s">
        <v>59</v>
      </c>
      <c r="J34" s="14">
        <v>22107.16</v>
      </c>
      <c r="K34" s="12" t="s">
        <v>543</v>
      </c>
    </row>
    <row r="35" spans="1:11" x14ac:dyDescent="0.35">
      <c r="A35" s="12" t="s">
        <v>511</v>
      </c>
      <c r="B35" s="15">
        <v>2025</v>
      </c>
      <c r="C35" s="13">
        <v>45877</v>
      </c>
      <c r="D35" s="12" t="s">
        <v>515</v>
      </c>
      <c r="E35" s="13">
        <v>45877</v>
      </c>
      <c r="F35" s="15">
        <v>256779416214</v>
      </c>
      <c r="G35" s="12" t="s">
        <v>11</v>
      </c>
      <c r="H35" s="14">
        <v>212.34</v>
      </c>
      <c r="I35" s="12" t="s">
        <v>59</v>
      </c>
      <c r="J35" s="14">
        <v>18267.64</v>
      </c>
      <c r="K35" s="12" t="s">
        <v>544</v>
      </c>
    </row>
    <row r="36" spans="1:11" x14ac:dyDescent="0.35">
      <c r="A36" s="12" t="s">
        <v>511</v>
      </c>
      <c r="B36" s="15">
        <v>2025</v>
      </c>
      <c r="C36" s="13">
        <v>45877</v>
      </c>
      <c r="D36" s="12" t="s">
        <v>515</v>
      </c>
      <c r="E36" s="13">
        <v>45877</v>
      </c>
      <c r="F36" s="15">
        <v>256779416255</v>
      </c>
      <c r="G36" s="12" t="s">
        <v>11</v>
      </c>
      <c r="H36" s="14">
        <v>392.28</v>
      </c>
      <c r="I36" s="12" t="s">
        <v>59</v>
      </c>
      <c r="J36" s="14">
        <v>33747.9</v>
      </c>
      <c r="K36" s="12" t="s">
        <v>545</v>
      </c>
    </row>
    <row r="37" spans="1:11" x14ac:dyDescent="0.35">
      <c r="A37" s="12" t="s">
        <v>511</v>
      </c>
      <c r="B37" s="15">
        <v>2025</v>
      </c>
      <c r="C37" s="13">
        <v>45877</v>
      </c>
      <c r="D37" s="12" t="s">
        <v>515</v>
      </c>
      <c r="E37" s="13">
        <v>45877</v>
      </c>
      <c r="F37" s="15">
        <v>256779416442</v>
      </c>
      <c r="G37" s="12" t="s">
        <v>11</v>
      </c>
      <c r="H37" s="14">
        <v>1053.3399999999999</v>
      </c>
      <c r="I37" s="12" t="s">
        <v>59</v>
      </c>
      <c r="J37" s="14">
        <v>90618.97</v>
      </c>
      <c r="K37" s="12" t="s">
        <v>546</v>
      </c>
    </row>
    <row r="38" spans="1:11" x14ac:dyDescent="0.35">
      <c r="A38" s="12" t="s">
        <v>511</v>
      </c>
      <c r="B38" s="15">
        <v>2025</v>
      </c>
      <c r="C38" s="13">
        <v>45877</v>
      </c>
      <c r="D38" s="12" t="s">
        <v>515</v>
      </c>
      <c r="E38" s="13">
        <v>45877</v>
      </c>
      <c r="F38" s="15">
        <v>256779416454</v>
      </c>
      <c r="G38" s="12" t="s">
        <v>11</v>
      </c>
      <c r="H38" s="14">
        <v>411.19</v>
      </c>
      <c r="I38" s="12" t="s">
        <v>59</v>
      </c>
      <c r="J38" s="14">
        <v>35374.730000000003</v>
      </c>
      <c r="K38" s="12" t="s">
        <v>547</v>
      </c>
    </row>
    <row r="39" spans="1:11" x14ac:dyDescent="0.35">
      <c r="A39" s="12" t="s">
        <v>511</v>
      </c>
      <c r="B39" s="15">
        <v>2025</v>
      </c>
      <c r="C39" s="13">
        <v>45812</v>
      </c>
      <c r="D39" s="12" t="s">
        <v>515</v>
      </c>
      <c r="E39" s="13">
        <v>45812</v>
      </c>
      <c r="F39" s="15">
        <v>256779414156</v>
      </c>
      <c r="G39" s="12" t="s">
        <v>11</v>
      </c>
      <c r="H39" s="14">
        <v>83.66</v>
      </c>
      <c r="I39" s="12" t="s">
        <v>59</v>
      </c>
      <c r="J39" s="14">
        <v>7152.16</v>
      </c>
      <c r="K39" s="12" t="s">
        <v>548</v>
      </c>
    </row>
    <row r="40" spans="1:11" x14ac:dyDescent="0.35">
      <c r="A40" s="12" t="s">
        <v>511</v>
      </c>
      <c r="B40" s="15">
        <v>2025</v>
      </c>
      <c r="C40" s="13">
        <v>45812</v>
      </c>
      <c r="D40" s="12" t="s">
        <v>515</v>
      </c>
      <c r="E40" s="13">
        <v>45812</v>
      </c>
      <c r="F40" s="15">
        <v>256779414173</v>
      </c>
      <c r="G40" s="12" t="s">
        <v>11</v>
      </c>
      <c r="H40" s="14">
        <v>2668.72</v>
      </c>
      <c r="I40" s="12" t="s">
        <v>59</v>
      </c>
      <c r="J40" s="14">
        <v>228150.95</v>
      </c>
      <c r="K40" s="12" t="s">
        <v>549</v>
      </c>
    </row>
    <row r="41" spans="1:11" x14ac:dyDescent="0.35">
      <c r="A41" s="12" t="s">
        <v>511</v>
      </c>
      <c r="B41" s="15">
        <v>2025</v>
      </c>
      <c r="C41" s="13">
        <v>45812</v>
      </c>
      <c r="D41" s="12" t="s">
        <v>515</v>
      </c>
      <c r="E41" s="13">
        <v>45812</v>
      </c>
      <c r="F41" s="15">
        <v>256779414206</v>
      </c>
      <c r="G41" s="12" t="s">
        <v>11</v>
      </c>
      <c r="H41" s="14">
        <v>201.33</v>
      </c>
      <c r="I41" s="12" t="s">
        <v>59</v>
      </c>
      <c r="J41" s="14">
        <v>17211.86</v>
      </c>
      <c r="K41" s="12" t="s">
        <v>550</v>
      </c>
    </row>
    <row r="42" spans="1:11" x14ac:dyDescent="0.35">
      <c r="A42" s="12" t="s">
        <v>511</v>
      </c>
      <c r="B42" s="15">
        <v>2025</v>
      </c>
      <c r="C42" s="13">
        <v>45812</v>
      </c>
      <c r="D42" s="12" t="s">
        <v>515</v>
      </c>
      <c r="E42" s="13">
        <v>45812</v>
      </c>
      <c r="F42" s="15">
        <v>256779414260</v>
      </c>
      <c r="G42" s="12" t="s">
        <v>11</v>
      </c>
      <c r="H42" s="14">
        <v>130.93</v>
      </c>
      <c r="I42" s="12" t="s">
        <v>59</v>
      </c>
      <c r="J42" s="14">
        <v>11193.31</v>
      </c>
      <c r="K42" s="12" t="s">
        <v>551</v>
      </c>
    </row>
    <row r="43" spans="1:11" x14ac:dyDescent="0.35">
      <c r="A43" s="12" t="s">
        <v>511</v>
      </c>
      <c r="B43" s="15">
        <v>2025</v>
      </c>
      <c r="C43" s="13">
        <v>45812</v>
      </c>
      <c r="D43" s="12" t="s">
        <v>515</v>
      </c>
      <c r="E43" s="13">
        <v>45812</v>
      </c>
      <c r="F43" s="15">
        <v>256779414271</v>
      </c>
      <c r="G43" s="12" t="s">
        <v>11</v>
      </c>
      <c r="H43" s="14">
        <v>967.68</v>
      </c>
      <c r="I43" s="12" t="s">
        <v>59</v>
      </c>
      <c r="J43" s="14">
        <v>82727.72</v>
      </c>
      <c r="K43" s="12" t="s">
        <v>552</v>
      </c>
    </row>
    <row r="44" spans="1:11" x14ac:dyDescent="0.35">
      <c r="A44" s="12" t="s">
        <v>511</v>
      </c>
      <c r="B44" s="15">
        <v>2025</v>
      </c>
      <c r="C44" s="13">
        <v>45812</v>
      </c>
      <c r="D44" s="12" t="s">
        <v>515</v>
      </c>
      <c r="E44" s="13">
        <v>45812</v>
      </c>
      <c r="F44" s="15">
        <v>256779414309</v>
      </c>
      <c r="G44" s="12" t="s">
        <v>11</v>
      </c>
      <c r="H44" s="14">
        <v>662.83</v>
      </c>
      <c r="I44" s="12" t="s">
        <v>59</v>
      </c>
      <c r="J44" s="14">
        <v>56665.85</v>
      </c>
      <c r="K44" s="12" t="s">
        <v>553</v>
      </c>
    </row>
    <row r="45" spans="1:11" x14ac:dyDescent="0.35">
      <c r="A45" s="12" t="s">
        <v>511</v>
      </c>
      <c r="B45" s="15">
        <v>2025</v>
      </c>
      <c r="C45" s="13">
        <v>45791</v>
      </c>
      <c r="D45" s="12" t="s">
        <v>512</v>
      </c>
      <c r="E45" s="13">
        <v>45791</v>
      </c>
      <c r="F45" s="15">
        <v>256779420272</v>
      </c>
      <c r="G45" s="12" t="s">
        <v>11</v>
      </c>
      <c r="H45" s="14">
        <v>-40.06</v>
      </c>
      <c r="I45" s="12" t="s">
        <v>59</v>
      </c>
      <c r="J45" s="14">
        <v>-3472.85</v>
      </c>
      <c r="K45" s="12" t="s">
        <v>554</v>
      </c>
    </row>
    <row r="46" spans="1:11" x14ac:dyDescent="0.35">
      <c r="A46" s="12" t="s">
        <v>511</v>
      </c>
      <c r="B46" s="15">
        <v>2025</v>
      </c>
      <c r="C46" s="13">
        <v>45791</v>
      </c>
      <c r="D46" s="12" t="s">
        <v>512</v>
      </c>
      <c r="E46" s="13">
        <v>45791</v>
      </c>
      <c r="F46" s="15">
        <v>256779420273</v>
      </c>
      <c r="G46" s="12" t="s">
        <v>11</v>
      </c>
      <c r="H46" s="14">
        <v>-28.62</v>
      </c>
      <c r="I46" s="12" t="s">
        <v>59</v>
      </c>
      <c r="J46" s="14">
        <v>-2481.1</v>
      </c>
      <c r="K46" s="12" t="s">
        <v>555</v>
      </c>
    </row>
    <row r="47" spans="1:11" x14ac:dyDescent="0.35">
      <c r="A47" s="12" t="s">
        <v>511</v>
      </c>
      <c r="B47" s="15">
        <v>2025</v>
      </c>
      <c r="C47" s="13">
        <v>45791</v>
      </c>
      <c r="D47" s="12" t="s">
        <v>512</v>
      </c>
      <c r="E47" s="13">
        <v>45791</v>
      </c>
      <c r="F47" s="15">
        <v>256779420275</v>
      </c>
      <c r="G47" s="12" t="s">
        <v>11</v>
      </c>
      <c r="H47" s="14">
        <v>-114.46</v>
      </c>
      <c r="I47" s="12" t="s">
        <v>59</v>
      </c>
      <c r="J47" s="14">
        <v>-9922.68</v>
      </c>
      <c r="K47" s="12" t="s">
        <v>556</v>
      </c>
    </row>
    <row r="48" spans="1:11" x14ac:dyDescent="0.35">
      <c r="A48" s="12" t="s">
        <v>511</v>
      </c>
      <c r="B48" s="15">
        <v>2025</v>
      </c>
      <c r="C48" s="13">
        <v>45791</v>
      </c>
      <c r="D48" s="12" t="s">
        <v>512</v>
      </c>
      <c r="E48" s="13">
        <v>45791</v>
      </c>
      <c r="F48" s="15">
        <v>256779420276</v>
      </c>
      <c r="G48" s="12" t="s">
        <v>11</v>
      </c>
      <c r="H48" s="14">
        <v>-68.680000000000007</v>
      </c>
      <c r="I48" s="12" t="s">
        <v>59</v>
      </c>
      <c r="J48" s="14">
        <v>-5953.96</v>
      </c>
      <c r="K48" s="12" t="s">
        <v>557</v>
      </c>
    </row>
    <row r="49" spans="1:11" x14ac:dyDescent="0.35">
      <c r="A49" s="12" t="s">
        <v>511</v>
      </c>
      <c r="B49" s="15">
        <v>2025</v>
      </c>
      <c r="C49" s="13">
        <v>45791</v>
      </c>
      <c r="D49" s="12" t="s">
        <v>512</v>
      </c>
      <c r="E49" s="13">
        <v>45791</v>
      </c>
      <c r="F49" s="15">
        <v>256779420268</v>
      </c>
      <c r="G49" s="12" t="s">
        <v>11</v>
      </c>
      <c r="H49" s="14">
        <v>-249.55</v>
      </c>
      <c r="I49" s="12" t="s">
        <v>59</v>
      </c>
      <c r="J49" s="14">
        <v>-21633.8</v>
      </c>
      <c r="K49" s="12" t="s">
        <v>558</v>
      </c>
    </row>
    <row r="50" spans="1:11" x14ac:dyDescent="0.35">
      <c r="A50" s="12" t="s">
        <v>511</v>
      </c>
      <c r="B50" s="15">
        <v>2025</v>
      </c>
      <c r="C50" s="13">
        <v>45791</v>
      </c>
      <c r="D50" s="12" t="s">
        <v>512</v>
      </c>
      <c r="E50" s="13">
        <v>45791</v>
      </c>
      <c r="F50" s="15">
        <v>256779420269</v>
      </c>
      <c r="G50" s="12" t="s">
        <v>11</v>
      </c>
      <c r="H50" s="14">
        <v>-40.06</v>
      </c>
      <c r="I50" s="12" t="s">
        <v>59</v>
      </c>
      <c r="J50" s="14">
        <v>-3472.85</v>
      </c>
      <c r="K50" s="12" t="s">
        <v>559</v>
      </c>
    </row>
    <row r="51" spans="1:11" x14ac:dyDescent="0.35">
      <c r="A51" s="12" t="s">
        <v>511</v>
      </c>
      <c r="B51" s="15">
        <v>2025</v>
      </c>
      <c r="C51" s="13">
        <v>45791</v>
      </c>
      <c r="D51" s="12" t="s">
        <v>512</v>
      </c>
      <c r="E51" s="13">
        <v>45791</v>
      </c>
      <c r="F51" s="15">
        <v>256779420274</v>
      </c>
      <c r="G51" s="12" t="s">
        <v>11</v>
      </c>
      <c r="H51" s="14">
        <v>-22.89</v>
      </c>
      <c r="I51" s="12" t="s">
        <v>59</v>
      </c>
      <c r="J51" s="14">
        <v>-1984.36</v>
      </c>
      <c r="K51" s="12" t="s">
        <v>560</v>
      </c>
    </row>
    <row r="52" spans="1:11" x14ac:dyDescent="0.35">
      <c r="A52" s="12" t="s">
        <v>511</v>
      </c>
      <c r="B52" s="15">
        <v>2025</v>
      </c>
      <c r="C52" s="13">
        <v>45791</v>
      </c>
      <c r="D52" s="12" t="s">
        <v>512</v>
      </c>
      <c r="E52" s="13">
        <v>45791</v>
      </c>
      <c r="F52" s="15">
        <v>256779420277</v>
      </c>
      <c r="G52" s="12" t="s">
        <v>11</v>
      </c>
      <c r="H52" s="14">
        <v>-312.5</v>
      </c>
      <c r="I52" s="12" t="s">
        <v>59</v>
      </c>
      <c r="J52" s="14">
        <v>-27091.02</v>
      </c>
      <c r="K52" s="12" t="s">
        <v>561</v>
      </c>
    </row>
    <row r="53" spans="1:11" x14ac:dyDescent="0.35">
      <c r="A53" s="12" t="s">
        <v>511</v>
      </c>
      <c r="B53" s="15">
        <v>2025</v>
      </c>
      <c r="C53" s="13">
        <v>45791</v>
      </c>
      <c r="D53" s="12" t="s">
        <v>512</v>
      </c>
      <c r="E53" s="13">
        <v>45791</v>
      </c>
      <c r="F53" s="15">
        <v>256779420278</v>
      </c>
      <c r="G53" s="12" t="s">
        <v>11</v>
      </c>
      <c r="H53" s="14">
        <v>-23.35</v>
      </c>
      <c r="I53" s="12" t="s">
        <v>59</v>
      </c>
      <c r="J53" s="14">
        <v>-2024.24</v>
      </c>
      <c r="K53" s="12" t="s">
        <v>562</v>
      </c>
    </row>
    <row r="54" spans="1:11" x14ac:dyDescent="0.35">
      <c r="A54" s="12" t="s">
        <v>511</v>
      </c>
      <c r="B54" s="15">
        <v>2025</v>
      </c>
      <c r="C54" s="13">
        <v>45791</v>
      </c>
      <c r="D54" s="12" t="s">
        <v>512</v>
      </c>
      <c r="E54" s="13">
        <v>45791</v>
      </c>
      <c r="F54" s="15">
        <v>256779420266</v>
      </c>
      <c r="G54" s="12" t="s">
        <v>11</v>
      </c>
      <c r="H54" s="14">
        <v>-57.23</v>
      </c>
      <c r="I54" s="12" t="s">
        <v>59</v>
      </c>
      <c r="J54" s="14">
        <v>-4961.34</v>
      </c>
      <c r="K54" s="12" t="s">
        <v>563</v>
      </c>
    </row>
    <row r="55" spans="1:11" x14ac:dyDescent="0.35">
      <c r="A55" s="12" t="s">
        <v>511</v>
      </c>
      <c r="B55" s="15">
        <v>2025</v>
      </c>
      <c r="C55" s="13">
        <v>45791</v>
      </c>
      <c r="D55" s="12" t="s">
        <v>512</v>
      </c>
      <c r="E55" s="13">
        <v>45791</v>
      </c>
      <c r="F55" s="15">
        <v>256779420267</v>
      </c>
      <c r="G55" s="12" t="s">
        <v>11</v>
      </c>
      <c r="H55" s="14">
        <v>-40.06</v>
      </c>
      <c r="I55" s="12" t="s">
        <v>59</v>
      </c>
      <c r="J55" s="14">
        <v>-3472.85</v>
      </c>
      <c r="K55" s="12" t="s">
        <v>564</v>
      </c>
    </row>
    <row r="56" spans="1:11" x14ac:dyDescent="0.35">
      <c r="A56" s="12" t="s">
        <v>511</v>
      </c>
      <c r="B56" s="15">
        <v>2025</v>
      </c>
      <c r="C56" s="13">
        <v>45791</v>
      </c>
      <c r="D56" s="12" t="s">
        <v>512</v>
      </c>
      <c r="E56" s="13">
        <v>45791</v>
      </c>
      <c r="F56" s="15">
        <v>256779420270</v>
      </c>
      <c r="G56" s="12" t="s">
        <v>11</v>
      </c>
      <c r="H56" s="14">
        <v>-45.79</v>
      </c>
      <c r="I56" s="12" t="s">
        <v>59</v>
      </c>
      <c r="J56" s="14">
        <v>-3969.59</v>
      </c>
      <c r="K56" s="12" t="s">
        <v>565</v>
      </c>
    </row>
    <row r="57" spans="1:11" x14ac:dyDescent="0.35">
      <c r="A57" s="12" t="s">
        <v>511</v>
      </c>
      <c r="B57" s="15">
        <v>2025</v>
      </c>
      <c r="C57" s="13">
        <v>45791</v>
      </c>
      <c r="D57" s="12" t="s">
        <v>512</v>
      </c>
      <c r="E57" s="13">
        <v>45791</v>
      </c>
      <c r="F57" s="15">
        <v>256779420271</v>
      </c>
      <c r="G57" s="12" t="s">
        <v>11</v>
      </c>
      <c r="H57" s="14">
        <v>-20.03</v>
      </c>
      <c r="I57" s="12" t="s">
        <v>59</v>
      </c>
      <c r="J57" s="14">
        <v>-1736.43</v>
      </c>
      <c r="K57" s="12" t="s">
        <v>566</v>
      </c>
    </row>
    <row r="58" spans="1:11" x14ac:dyDescent="0.35">
      <c r="A58" s="12" t="s">
        <v>511</v>
      </c>
      <c r="B58" s="15">
        <v>2025</v>
      </c>
      <c r="C58" s="13">
        <v>45791</v>
      </c>
      <c r="D58" s="12" t="s">
        <v>512</v>
      </c>
      <c r="E58" s="13">
        <v>45791</v>
      </c>
      <c r="F58" s="15">
        <v>256779420492</v>
      </c>
      <c r="G58" s="12" t="s">
        <v>11</v>
      </c>
      <c r="H58" s="14">
        <v>-2333.1799999999998</v>
      </c>
      <c r="I58" s="12" t="s">
        <v>59</v>
      </c>
      <c r="J58" s="14">
        <v>-202804.25</v>
      </c>
      <c r="K58" s="12" t="s">
        <v>567</v>
      </c>
    </row>
    <row r="59" spans="1:11" x14ac:dyDescent="0.35">
      <c r="A59" s="12" t="s">
        <v>511</v>
      </c>
      <c r="B59" s="15">
        <v>2025</v>
      </c>
      <c r="C59" s="13">
        <v>45791</v>
      </c>
      <c r="D59" s="12" t="s">
        <v>512</v>
      </c>
      <c r="E59" s="13">
        <v>45791</v>
      </c>
      <c r="F59" s="15">
        <v>256779420526</v>
      </c>
      <c r="G59" s="12" t="s">
        <v>11</v>
      </c>
      <c r="H59" s="14">
        <v>-2286.2399999999998</v>
      </c>
      <c r="I59" s="12" t="s">
        <v>59</v>
      </c>
      <c r="J59" s="14">
        <v>-198724.14</v>
      </c>
      <c r="K59" s="12" t="s">
        <v>568</v>
      </c>
    </row>
    <row r="60" spans="1:11" x14ac:dyDescent="0.35">
      <c r="A60" s="12" t="s">
        <v>511</v>
      </c>
      <c r="B60" s="15">
        <v>2025</v>
      </c>
      <c r="C60" s="13">
        <v>45793</v>
      </c>
      <c r="D60" s="12" t="s">
        <v>515</v>
      </c>
      <c r="E60" s="13">
        <v>45793</v>
      </c>
      <c r="F60" s="15">
        <v>256779413280</v>
      </c>
      <c r="G60" s="12" t="s">
        <v>11</v>
      </c>
      <c r="H60" s="14">
        <v>59</v>
      </c>
      <c r="I60" s="12" t="s">
        <v>59</v>
      </c>
      <c r="J60" s="14">
        <v>5073.04</v>
      </c>
      <c r="K60" s="12" t="s">
        <v>569</v>
      </c>
    </row>
    <row r="61" spans="1:11" x14ac:dyDescent="0.35">
      <c r="A61" s="12" t="s">
        <v>511</v>
      </c>
      <c r="B61" s="15">
        <v>2025</v>
      </c>
      <c r="C61" s="13">
        <v>45793</v>
      </c>
      <c r="D61" s="12" t="s">
        <v>515</v>
      </c>
      <c r="E61" s="13">
        <v>45793</v>
      </c>
      <c r="F61" s="15">
        <v>256779413308</v>
      </c>
      <c r="G61" s="12" t="s">
        <v>11</v>
      </c>
      <c r="H61" s="14">
        <v>723.47</v>
      </c>
      <c r="I61" s="12" t="s">
        <v>59</v>
      </c>
      <c r="J61" s="14">
        <v>62206.63</v>
      </c>
      <c r="K61" s="12" t="s">
        <v>570</v>
      </c>
    </row>
    <row r="62" spans="1:11" x14ac:dyDescent="0.35">
      <c r="A62" s="12" t="s">
        <v>511</v>
      </c>
      <c r="B62" s="15">
        <v>2025</v>
      </c>
      <c r="C62" s="13">
        <v>45793</v>
      </c>
      <c r="D62" s="12" t="s">
        <v>515</v>
      </c>
      <c r="E62" s="13">
        <v>45793</v>
      </c>
      <c r="F62" s="15">
        <v>256779413348</v>
      </c>
      <c r="G62" s="12" t="s">
        <v>11</v>
      </c>
      <c r="H62" s="14">
        <v>138.82</v>
      </c>
      <c r="I62" s="12" t="s">
        <v>59</v>
      </c>
      <c r="J62" s="14">
        <v>11936.26</v>
      </c>
      <c r="K62" s="12" t="s">
        <v>571</v>
      </c>
    </row>
    <row r="63" spans="1:11" x14ac:dyDescent="0.35">
      <c r="A63" s="12" t="s">
        <v>511</v>
      </c>
      <c r="B63" s="15">
        <v>2025</v>
      </c>
      <c r="C63" s="13">
        <v>46000</v>
      </c>
      <c r="D63" s="12" t="s">
        <v>515</v>
      </c>
      <c r="E63" s="13">
        <v>46000</v>
      </c>
      <c r="F63" s="15">
        <v>256779419995</v>
      </c>
      <c r="G63" s="12" t="s">
        <v>11</v>
      </c>
      <c r="H63" s="14">
        <v>187.19</v>
      </c>
      <c r="I63" s="12" t="s">
        <v>59</v>
      </c>
      <c r="J63" s="14">
        <v>16603.78</v>
      </c>
      <c r="K63" s="12" t="s">
        <v>572</v>
      </c>
    </row>
    <row r="64" spans="1:11" x14ac:dyDescent="0.35">
      <c r="A64" s="12" t="s">
        <v>511</v>
      </c>
      <c r="B64" s="15">
        <v>2025</v>
      </c>
      <c r="C64" s="13">
        <v>45805</v>
      </c>
      <c r="D64" s="12" t="s">
        <v>515</v>
      </c>
      <c r="E64" s="13">
        <v>45805</v>
      </c>
      <c r="F64" s="15">
        <v>256779413908</v>
      </c>
      <c r="G64" s="12" t="s">
        <v>11</v>
      </c>
      <c r="H64" s="14">
        <v>3200.83</v>
      </c>
      <c r="I64" s="12" t="s">
        <v>59</v>
      </c>
      <c r="J64" s="14">
        <v>275219.21000000002</v>
      </c>
      <c r="K64" s="12" t="s">
        <v>573</v>
      </c>
    </row>
    <row r="65" spans="1:11" x14ac:dyDescent="0.35">
      <c r="A65" s="12" t="s">
        <v>511</v>
      </c>
      <c r="B65" s="15">
        <v>2025</v>
      </c>
      <c r="C65" s="13">
        <v>45856</v>
      </c>
      <c r="D65" s="12" t="s">
        <v>515</v>
      </c>
      <c r="E65" s="13">
        <v>45856</v>
      </c>
      <c r="F65" s="15">
        <v>256779415426</v>
      </c>
      <c r="G65" s="12" t="s">
        <v>11</v>
      </c>
      <c r="H65" s="14">
        <v>464.73</v>
      </c>
      <c r="I65" s="12" t="s">
        <v>59</v>
      </c>
      <c r="J65" s="14">
        <v>39967.089999999997</v>
      </c>
      <c r="K65" s="12" t="s">
        <v>574</v>
      </c>
    </row>
    <row r="66" spans="1:11" x14ac:dyDescent="0.35">
      <c r="A66" s="12" t="s">
        <v>511</v>
      </c>
      <c r="B66" s="15">
        <v>2025</v>
      </c>
      <c r="C66" s="13">
        <v>45856</v>
      </c>
      <c r="D66" s="12" t="s">
        <v>515</v>
      </c>
      <c r="E66" s="13">
        <v>45856</v>
      </c>
      <c r="F66" s="15">
        <v>256779415442</v>
      </c>
      <c r="G66" s="12" t="s">
        <v>11</v>
      </c>
      <c r="H66" s="14">
        <v>1.59</v>
      </c>
      <c r="I66" s="12" t="s">
        <v>59</v>
      </c>
      <c r="J66" s="14">
        <v>136.74</v>
      </c>
      <c r="K66" s="12" t="s">
        <v>575</v>
      </c>
    </row>
    <row r="67" spans="1:11" x14ac:dyDescent="0.35">
      <c r="A67" s="12" t="s">
        <v>511</v>
      </c>
      <c r="B67" s="15">
        <v>2025</v>
      </c>
      <c r="C67" s="13">
        <v>45856</v>
      </c>
      <c r="D67" s="12" t="s">
        <v>515</v>
      </c>
      <c r="E67" s="13">
        <v>45856</v>
      </c>
      <c r="F67" s="15">
        <v>256779415453</v>
      </c>
      <c r="G67" s="12" t="s">
        <v>11</v>
      </c>
      <c r="H67" s="14">
        <v>293.45999999999998</v>
      </c>
      <c r="I67" s="12" t="s">
        <v>59</v>
      </c>
      <c r="J67" s="14">
        <v>25237.759999999998</v>
      </c>
      <c r="K67" s="12" t="s">
        <v>576</v>
      </c>
    </row>
    <row r="68" spans="1:11" x14ac:dyDescent="0.35">
      <c r="A68" s="12" t="s">
        <v>511</v>
      </c>
      <c r="B68" s="15">
        <v>2025</v>
      </c>
      <c r="C68" s="13">
        <v>45856</v>
      </c>
      <c r="D68" s="12" t="s">
        <v>515</v>
      </c>
      <c r="E68" s="13">
        <v>45856</v>
      </c>
      <c r="F68" s="15">
        <v>256779415474</v>
      </c>
      <c r="G68" s="12" t="s">
        <v>11</v>
      </c>
      <c r="H68" s="14">
        <v>608.41</v>
      </c>
      <c r="I68" s="12" t="s">
        <v>59</v>
      </c>
      <c r="J68" s="14">
        <v>52323.67</v>
      </c>
      <c r="K68" s="12" t="s">
        <v>577</v>
      </c>
    </row>
    <row r="69" spans="1:11" x14ac:dyDescent="0.35">
      <c r="A69" s="12" t="s">
        <v>511</v>
      </c>
      <c r="B69" s="15">
        <v>2025</v>
      </c>
      <c r="C69" s="13">
        <v>45856</v>
      </c>
      <c r="D69" s="12" t="s">
        <v>515</v>
      </c>
      <c r="E69" s="13">
        <v>45856</v>
      </c>
      <c r="F69" s="15">
        <v>256779415517</v>
      </c>
      <c r="G69" s="12" t="s">
        <v>11</v>
      </c>
      <c r="H69" s="14">
        <v>116.74</v>
      </c>
      <c r="I69" s="12" t="s">
        <v>59</v>
      </c>
      <c r="J69" s="14">
        <v>10039.719999999999</v>
      </c>
      <c r="K69" s="12" t="s">
        <v>578</v>
      </c>
    </row>
    <row r="70" spans="1:11" x14ac:dyDescent="0.35">
      <c r="A70" s="12" t="s">
        <v>511</v>
      </c>
      <c r="B70" s="15">
        <v>2025</v>
      </c>
      <c r="C70" s="13">
        <v>45856</v>
      </c>
      <c r="D70" s="12" t="s">
        <v>515</v>
      </c>
      <c r="E70" s="13">
        <v>45856</v>
      </c>
      <c r="F70" s="15">
        <v>256779415792</v>
      </c>
      <c r="G70" s="12" t="s">
        <v>11</v>
      </c>
      <c r="H70" s="14">
        <v>608.41</v>
      </c>
      <c r="I70" s="12" t="s">
        <v>59</v>
      </c>
      <c r="J70" s="14">
        <v>52323.67</v>
      </c>
      <c r="K70" s="12" t="s">
        <v>577</v>
      </c>
    </row>
    <row r="71" spans="1:11" x14ac:dyDescent="0.35">
      <c r="A71" s="12" t="s">
        <v>511</v>
      </c>
      <c r="B71" s="15">
        <v>2025</v>
      </c>
      <c r="C71" s="13">
        <v>45729</v>
      </c>
      <c r="D71" s="12" t="s">
        <v>515</v>
      </c>
      <c r="E71" s="13">
        <v>45729</v>
      </c>
      <c r="F71" s="15">
        <v>246779411312</v>
      </c>
      <c r="G71" s="12" t="s">
        <v>11</v>
      </c>
      <c r="H71" s="14">
        <v>27</v>
      </c>
      <c r="I71" s="12" t="s">
        <v>59</v>
      </c>
      <c r="J71" s="14">
        <v>2340.66</v>
      </c>
      <c r="K71" s="12" t="s">
        <v>579</v>
      </c>
    </row>
    <row r="72" spans="1:11" x14ac:dyDescent="0.35">
      <c r="A72" s="12" t="s">
        <v>511</v>
      </c>
      <c r="B72" s="15">
        <v>2025</v>
      </c>
      <c r="C72" s="13">
        <v>45736</v>
      </c>
      <c r="D72" s="12" t="s">
        <v>515</v>
      </c>
      <c r="E72" s="13">
        <v>45736</v>
      </c>
      <c r="F72" s="15">
        <v>246779413730</v>
      </c>
      <c r="G72" s="12" t="s">
        <v>11</v>
      </c>
      <c r="H72" s="14">
        <v>3.2</v>
      </c>
      <c r="I72" s="12" t="s">
        <v>59</v>
      </c>
      <c r="J72" s="14">
        <v>277.41000000000003</v>
      </c>
      <c r="K72" s="12" t="s">
        <v>580</v>
      </c>
    </row>
    <row r="73" spans="1:11" x14ac:dyDescent="0.35">
      <c r="A73" s="12" t="s">
        <v>511</v>
      </c>
      <c r="B73" s="15">
        <v>2025</v>
      </c>
      <c r="C73" s="13">
        <v>45736</v>
      </c>
      <c r="D73" s="12" t="s">
        <v>515</v>
      </c>
      <c r="E73" s="13">
        <v>45736</v>
      </c>
      <c r="F73" s="15">
        <v>246779413747</v>
      </c>
      <c r="G73" s="12" t="s">
        <v>11</v>
      </c>
      <c r="H73" s="14">
        <v>2.74</v>
      </c>
      <c r="I73" s="12" t="s">
        <v>59</v>
      </c>
      <c r="J73" s="14">
        <v>237.53</v>
      </c>
      <c r="K73" s="12" t="s">
        <v>581</v>
      </c>
    </row>
    <row r="74" spans="1:11" x14ac:dyDescent="0.35">
      <c r="A74" s="12" t="s">
        <v>511</v>
      </c>
      <c r="B74" s="15">
        <v>2025</v>
      </c>
      <c r="C74" s="13">
        <v>45736</v>
      </c>
      <c r="D74" s="12" t="s">
        <v>515</v>
      </c>
      <c r="E74" s="13">
        <v>45736</v>
      </c>
      <c r="F74" s="15">
        <v>246779413815</v>
      </c>
      <c r="G74" s="12" t="s">
        <v>11</v>
      </c>
      <c r="H74" s="14">
        <v>50</v>
      </c>
      <c r="I74" s="12" t="s">
        <v>59</v>
      </c>
      <c r="J74" s="14">
        <v>4334.5600000000004</v>
      </c>
      <c r="K74" s="12" t="s">
        <v>582</v>
      </c>
    </row>
    <row r="75" spans="1:11" x14ac:dyDescent="0.35">
      <c r="A75" s="12" t="s">
        <v>511</v>
      </c>
      <c r="B75" s="15">
        <v>2025</v>
      </c>
      <c r="C75" s="13">
        <v>45736</v>
      </c>
      <c r="D75" s="12" t="s">
        <v>515</v>
      </c>
      <c r="E75" s="13">
        <v>45736</v>
      </c>
      <c r="F75" s="15">
        <v>246779413920</v>
      </c>
      <c r="G75" s="12" t="s">
        <v>11</v>
      </c>
      <c r="H75" s="14">
        <v>22.5</v>
      </c>
      <c r="I75" s="12" t="s">
        <v>59</v>
      </c>
      <c r="J75" s="14">
        <v>1950.55</v>
      </c>
      <c r="K75" s="12" t="s">
        <v>581</v>
      </c>
    </row>
    <row r="76" spans="1:11" x14ac:dyDescent="0.35">
      <c r="A76" s="12" t="s">
        <v>511</v>
      </c>
      <c r="B76" s="15">
        <v>2025</v>
      </c>
      <c r="C76" s="13">
        <v>45736</v>
      </c>
      <c r="D76" s="12" t="s">
        <v>515</v>
      </c>
      <c r="E76" s="13">
        <v>45736</v>
      </c>
      <c r="F76" s="15">
        <v>246779413936</v>
      </c>
      <c r="G76" s="12" t="s">
        <v>11</v>
      </c>
      <c r="H76" s="14">
        <v>27.5</v>
      </c>
      <c r="I76" s="12" t="s">
        <v>59</v>
      </c>
      <c r="J76" s="14">
        <v>2384.0100000000002</v>
      </c>
      <c r="K76" s="12" t="s">
        <v>581</v>
      </c>
    </row>
    <row r="77" spans="1:11" x14ac:dyDescent="0.35">
      <c r="A77" s="12" t="s">
        <v>511</v>
      </c>
      <c r="B77" s="15">
        <v>2025</v>
      </c>
      <c r="C77" s="13">
        <v>45736</v>
      </c>
      <c r="D77" s="12" t="s">
        <v>515</v>
      </c>
      <c r="E77" s="13">
        <v>45736</v>
      </c>
      <c r="F77" s="15">
        <v>246779413941</v>
      </c>
      <c r="G77" s="12" t="s">
        <v>11</v>
      </c>
      <c r="H77" s="14">
        <v>30</v>
      </c>
      <c r="I77" s="12" t="s">
        <v>59</v>
      </c>
      <c r="J77" s="14">
        <v>2600.7399999999998</v>
      </c>
      <c r="K77" s="12" t="s">
        <v>581</v>
      </c>
    </row>
    <row r="78" spans="1:11" x14ac:dyDescent="0.35">
      <c r="A78" s="12" t="s">
        <v>511</v>
      </c>
      <c r="B78" s="15">
        <v>2025</v>
      </c>
      <c r="C78" s="13">
        <v>45736</v>
      </c>
      <c r="D78" s="12" t="s">
        <v>515</v>
      </c>
      <c r="E78" s="13">
        <v>45736</v>
      </c>
      <c r="F78" s="15">
        <v>246779414384</v>
      </c>
      <c r="G78" s="12" t="s">
        <v>11</v>
      </c>
      <c r="H78" s="14">
        <v>182.5</v>
      </c>
      <c r="I78" s="12" t="s">
        <v>59</v>
      </c>
      <c r="J78" s="14">
        <v>15821.15</v>
      </c>
      <c r="K78" s="12" t="s">
        <v>583</v>
      </c>
    </row>
    <row r="79" spans="1:11" x14ac:dyDescent="0.35">
      <c r="A79" s="12" t="s">
        <v>511</v>
      </c>
      <c r="B79" s="15">
        <v>2025</v>
      </c>
      <c r="C79" s="13">
        <v>45736</v>
      </c>
      <c r="D79" s="12" t="s">
        <v>515</v>
      </c>
      <c r="E79" s="13">
        <v>45736</v>
      </c>
      <c r="F79" s="15">
        <v>246779414385</v>
      </c>
      <c r="G79" s="12" t="s">
        <v>11</v>
      </c>
      <c r="H79" s="14">
        <v>240</v>
      </c>
      <c r="I79" s="12" t="s">
        <v>59</v>
      </c>
      <c r="J79" s="14">
        <v>20805.900000000001</v>
      </c>
      <c r="K79" s="12" t="s">
        <v>584</v>
      </c>
    </row>
    <row r="80" spans="1:11" x14ac:dyDescent="0.35">
      <c r="A80" s="12" t="s">
        <v>511</v>
      </c>
      <c r="B80" s="15">
        <v>2025</v>
      </c>
      <c r="C80" s="13">
        <v>45736</v>
      </c>
      <c r="D80" s="12" t="s">
        <v>515</v>
      </c>
      <c r="E80" s="13">
        <v>45736</v>
      </c>
      <c r="F80" s="15">
        <v>246779414057</v>
      </c>
      <c r="G80" s="12" t="s">
        <v>11</v>
      </c>
      <c r="H80" s="14">
        <v>43.07</v>
      </c>
      <c r="I80" s="12" t="s">
        <v>59</v>
      </c>
      <c r="J80" s="14">
        <v>3733.79</v>
      </c>
      <c r="K80" s="12" t="s">
        <v>585</v>
      </c>
    </row>
    <row r="81" spans="1:11" x14ac:dyDescent="0.35">
      <c r="A81" s="12" t="s">
        <v>511</v>
      </c>
      <c r="B81" s="15">
        <v>2025</v>
      </c>
      <c r="C81" s="13">
        <v>45736</v>
      </c>
      <c r="D81" s="12" t="s">
        <v>515</v>
      </c>
      <c r="E81" s="13">
        <v>45736</v>
      </c>
      <c r="F81" s="15">
        <v>246779414058</v>
      </c>
      <c r="G81" s="12" t="s">
        <v>11</v>
      </c>
      <c r="H81" s="14">
        <v>398.23</v>
      </c>
      <c r="I81" s="12" t="s">
        <v>59</v>
      </c>
      <c r="J81" s="14">
        <v>34523.06</v>
      </c>
      <c r="K81" s="12" t="s">
        <v>585</v>
      </c>
    </row>
    <row r="82" spans="1:11" x14ac:dyDescent="0.35">
      <c r="A82" s="12" t="s">
        <v>511</v>
      </c>
      <c r="B82" s="15">
        <v>2025</v>
      </c>
      <c r="C82" s="13">
        <v>45736</v>
      </c>
      <c r="D82" s="12" t="s">
        <v>515</v>
      </c>
      <c r="E82" s="13">
        <v>45736</v>
      </c>
      <c r="F82" s="15">
        <v>246779414120</v>
      </c>
      <c r="G82" s="12" t="s">
        <v>11</v>
      </c>
      <c r="H82" s="14">
        <v>250.75</v>
      </c>
      <c r="I82" s="12" t="s">
        <v>59</v>
      </c>
      <c r="J82" s="14">
        <v>21737.83</v>
      </c>
      <c r="K82" s="12" t="s">
        <v>586</v>
      </c>
    </row>
    <row r="83" spans="1:11" x14ac:dyDescent="0.35">
      <c r="A83" s="12" t="s">
        <v>511</v>
      </c>
      <c r="B83" s="15">
        <v>2025</v>
      </c>
      <c r="C83" s="13">
        <v>45736</v>
      </c>
      <c r="D83" s="12" t="s">
        <v>515</v>
      </c>
      <c r="E83" s="13">
        <v>45736</v>
      </c>
      <c r="F83" s="15">
        <v>246779414121</v>
      </c>
      <c r="G83" s="12" t="s">
        <v>11</v>
      </c>
      <c r="H83" s="14">
        <v>226.56</v>
      </c>
      <c r="I83" s="12" t="s">
        <v>59</v>
      </c>
      <c r="J83" s="14">
        <v>19640.77</v>
      </c>
      <c r="K83" s="12" t="s">
        <v>587</v>
      </c>
    </row>
    <row r="84" spans="1:11" x14ac:dyDescent="0.35">
      <c r="A84" s="12" t="s">
        <v>511</v>
      </c>
      <c r="B84" s="15">
        <v>2025</v>
      </c>
      <c r="C84" s="13">
        <v>45736</v>
      </c>
      <c r="D84" s="12" t="s">
        <v>515</v>
      </c>
      <c r="E84" s="13">
        <v>45736</v>
      </c>
      <c r="F84" s="15">
        <v>246779414122</v>
      </c>
      <c r="G84" s="12" t="s">
        <v>11</v>
      </c>
      <c r="H84" s="14">
        <v>35.4</v>
      </c>
      <c r="I84" s="12" t="s">
        <v>59</v>
      </c>
      <c r="J84" s="14">
        <v>3068.87</v>
      </c>
      <c r="K84" s="12" t="s">
        <v>588</v>
      </c>
    </row>
    <row r="85" spans="1:11" x14ac:dyDescent="0.35">
      <c r="A85" s="12" t="s">
        <v>511</v>
      </c>
      <c r="B85" s="15">
        <v>2025</v>
      </c>
      <c r="C85" s="13">
        <v>45736</v>
      </c>
      <c r="D85" s="12" t="s">
        <v>515</v>
      </c>
      <c r="E85" s="13">
        <v>45736</v>
      </c>
      <c r="F85" s="15">
        <v>246779414204</v>
      </c>
      <c r="G85" s="12" t="s">
        <v>11</v>
      </c>
      <c r="H85" s="14">
        <v>249.87</v>
      </c>
      <c r="I85" s="12" t="s">
        <v>59</v>
      </c>
      <c r="J85" s="14">
        <v>21661.55</v>
      </c>
      <c r="K85" s="12" t="s">
        <v>589</v>
      </c>
    </row>
    <row r="86" spans="1:11" x14ac:dyDescent="0.35">
      <c r="A86" s="12" t="s">
        <v>511</v>
      </c>
      <c r="B86" s="15">
        <v>2025</v>
      </c>
      <c r="C86" s="13">
        <v>45736</v>
      </c>
      <c r="D86" s="12" t="s">
        <v>515</v>
      </c>
      <c r="E86" s="13">
        <v>45736</v>
      </c>
      <c r="F86" s="15">
        <v>246779414460</v>
      </c>
      <c r="G86" s="12" t="s">
        <v>11</v>
      </c>
      <c r="H86" s="14">
        <v>173.05</v>
      </c>
      <c r="I86" s="12" t="s">
        <v>59</v>
      </c>
      <c r="J86" s="14">
        <v>15001.92</v>
      </c>
      <c r="K86" s="12" t="s">
        <v>585</v>
      </c>
    </row>
    <row r="87" spans="1:11" x14ac:dyDescent="0.35">
      <c r="A87" s="12" t="s">
        <v>511</v>
      </c>
      <c r="B87" s="15">
        <v>2025</v>
      </c>
      <c r="C87" s="13">
        <v>45736</v>
      </c>
      <c r="D87" s="12" t="s">
        <v>515</v>
      </c>
      <c r="E87" s="13">
        <v>45736</v>
      </c>
      <c r="F87" s="15">
        <v>246779414461</v>
      </c>
      <c r="G87" s="12" t="s">
        <v>11</v>
      </c>
      <c r="H87" s="14">
        <v>226.56</v>
      </c>
      <c r="I87" s="12" t="s">
        <v>59</v>
      </c>
      <c r="J87" s="14">
        <v>19640.77</v>
      </c>
      <c r="K87" s="12" t="s">
        <v>590</v>
      </c>
    </row>
    <row r="88" spans="1:11" x14ac:dyDescent="0.35">
      <c r="A88" s="12" t="s">
        <v>511</v>
      </c>
      <c r="B88" s="15">
        <v>2025</v>
      </c>
      <c r="C88" s="13">
        <v>45736</v>
      </c>
      <c r="D88" s="12" t="s">
        <v>515</v>
      </c>
      <c r="E88" s="13">
        <v>45736</v>
      </c>
      <c r="F88" s="15">
        <v>246779414525</v>
      </c>
      <c r="G88" s="12" t="s">
        <v>11</v>
      </c>
      <c r="H88" s="14">
        <v>211.39</v>
      </c>
      <c r="I88" s="12" t="s">
        <v>59</v>
      </c>
      <c r="J88" s="14">
        <v>18325.669999999998</v>
      </c>
      <c r="K88" s="12" t="s">
        <v>591</v>
      </c>
    </row>
    <row r="89" spans="1:11" x14ac:dyDescent="0.35">
      <c r="A89" s="12" t="s">
        <v>511</v>
      </c>
      <c r="B89" s="15">
        <v>2025</v>
      </c>
      <c r="C89" s="13">
        <v>45736</v>
      </c>
      <c r="D89" s="12" t="s">
        <v>515</v>
      </c>
      <c r="E89" s="13">
        <v>45736</v>
      </c>
      <c r="F89" s="15">
        <v>246779414526</v>
      </c>
      <c r="G89" s="12" t="s">
        <v>11</v>
      </c>
      <c r="H89" s="14">
        <v>141.6</v>
      </c>
      <c r="I89" s="12" t="s">
        <v>59</v>
      </c>
      <c r="J89" s="14">
        <v>12275.48</v>
      </c>
      <c r="K89" s="12" t="s">
        <v>592</v>
      </c>
    </row>
    <row r="90" spans="1:11" x14ac:dyDescent="0.35">
      <c r="A90" s="12" t="s">
        <v>511</v>
      </c>
      <c r="B90" s="15">
        <v>2025</v>
      </c>
      <c r="C90" s="13">
        <v>45736</v>
      </c>
      <c r="D90" s="12" t="s">
        <v>515</v>
      </c>
      <c r="E90" s="13">
        <v>45736</v>
      </c>
      <c r="F90" s="15">
        <v>246779414527</v>
      </c>
      <c r="G90" s="12" t="s">
        <v>11</v>
      </c>
      <c r="H90" s="14">
        <v>70.8</v>
      </c>
      <c r="I90" s="12" t="s">
        <v>59</v>
      </c>
      <c r="J90" s="14">
        <v>6137.74</v>
      </c>
      <c r="K90" s="12" t="s">
        <v>593</v>
      </c>
    </row>
    <row r="91" spans="1:11" x14ac:dyDescent="0.35">
      <c r="A91" s="12" t="s">
        <v>511</v>
      </c>
      <c r="B91" s="15">
        <v>2025</v>
      </c>
      <c r="C91" s="13">
        <v>45736</v>
      </c>
      <c r="D91" s="12" t="s">
        <v>515</v>
      </c>
      <c r="E91" s="13">
        <v>45736</v>
      </c>
      <c r="F91" s="15">
        <v>246779414528</v>
      </c>
      <c r="G91" s="12" t="s">
        <v>11</v>
      </c>
      <c r="H91" s="14">
        <v>236</v>
      </c>
      <c r="I91" s="12" t="s">
        <v>59</v>
      </c>
      <c r="J91" s="14">
        <v>20459.14</v>
      </c>
      <c r="K91" s="12" t="s">
        <v>594</v>
      </c>
    </row>
    <row r="92" spans="1:11" x14ac:dyDescent="0.35">
      <c r="A92" s="12" t="s">
        <v>511</v>
      </c>
      <c r="B92" s="15">
        <v>2025</v>
      </c>
      <c r="C92" s="13">
        <v>45736</v>
      </c>
      <c r="D92" s="12" t="s">
        <v>515</v>
      </c>
      <c r="E92" s="13">
        <v>45736</v>
      </c>
      <c r="F92" s="15">
        <v>246779414781</v>
      </c>
      <c r="G92" s="12" t="s">
        <v>11</v>
      </c>
      <c r="H92" s="14">
        <v>218.36</v>
      </c>
      <c r="I92" s="12" t="s">
        <v>59</v>
      </c>
      <c r="J92" s="14">
        <v>18929.900000000001</v>
      </c>
      <c r="K92" s="12" t="s">
        <v>581</v>
      </c>
    </row>
    <row r="93" spans="1:11" x14ac:dyDescent="0.35">
      <c r="A93" s="12" t="s">
        <v>511</v>
      </c>
      <c r="B93" s="15">
        <v>2025</v>
      </c>
      <c r="C93" s="13">
        <v>45736</v>
      </c>
      <c r="D93" s="12" t="s">
        <v>515</v>
      </c>
      <c r="E93" s="13">
        <v>45736</v>
      </c>
      <c r="F93" s="15">
        <v>246779414863</v>
      </c>
      <c r="G93" s="12" t="s">
        <v>11</v>
      </c>
      <c r="H93" s="14">
        <v>23.6</v>
      </c>
      <c r="I93" s="12" t="s">
        <v>59</v>
      </c>
      <c r="J93" s="14">
        <v>2045.91</v>
      </c>
      <c r="K93" s="12" t="s">
        <v>580</v>
      </c>
    </row>
    <row r="94" spans="1:11" x14ac:dyDescent="0.35">
      <c r="A94" s="12" t="s">
        <v>511</v>
      </c>
      <c r="B94" s="15">
        <v>2025</v>
      </c>
      <c r="C94" s="13">
        <v>45736</v>
      </c>
      <c r="D94" s="12" t="s">
        <v>515</v>
      </c>
      <c r="E94" s="13">
        <v>45736</v>
      </c>
      <c r="F94" s="15">
        <v>246779414864</v>
      </c>
      <c r="G94" s="12" t="s">
        <v>11</v>
      </c>
      <c r="H94" s="14">
        <v>26.55</v>
      </c>
      <c r="I94" s="12" t="s">
        <v>59</v>
      </c>
      <c r="J94" s="14">
        <v>2301.65</v>
      </c>
      <c r="K94" s="12" t="s">
        <v>580</v>
      </c>
    </row>
    <row r="95" spans="1:11" x14ac:dyDescent="0.35">
      <c r="A95" s="12" t="s">
        <v>511</v>
      </c>
      <c r="B95" s="15">
        <v>2025</v>
      </c>
      <c r="C95" s="13">
        <v>45736</v>
      </c>
      <c r="D95" s="12" t="s">
        <v>515</v>
      </c>
      <c r="E95" s="13">
        <v>45736</v>
      </c>
      <c r="F95" s="15">
        <v>246779414865</v>
      </c>
      <c r="G95" s="12" t="s">
        <v>11</v>
      </c>
      <c r="H95" s="14">
        <v>32.450000000000003</v>
      </c>
      <c r="I95" s="12" t="s">
        <v>59</v>
      </c>
      <c r="J95" s="14">
        <v>2813.13</v>
      </c>
      <c r="K95" s="12" t="s">
        <v>580</v>
      </c>
    </row>
    <row r="96" spans="1:11" x14ac:dyDescent="0.35">
      <c r="A96" s="12" t="s">
        <v>511</v>
      </c>
      <c r="B96" s="15">
        <v>2025</v>
      </c>
      <c r="C96" s="13">
        <v>45736</v>
      </c>
      <c r="D96" s="12" t="s">
        <v>515</v>
      </c>
      <c r="E96" s="13">
        <v>45736</v>
      </c>
      <c r="F96" s="15">
        <v>246779414866</v>
      </c>
      <c r="G96" s="12" t="s">
        <v>11</v>
      </c>
      <c r="H96" s="14">
        <v>26.55</v>
      </c>
      <c r="I96" s="12" t="s">
        <v>59</v>
      </c>
      <c r="J96" s="14">
        <v>2301.65</v>
      </c>
      <c r="K96" s="12" t="s">
        <v>580</v>
      </c>
    </row>
    <row r="97" spans="1:11" x14ac:dyDescent="0.35">
      <c r="A97" s="12" t="s">
        <v>511</v>
      </c>
      <c r="B97" s="15">
        <v>2025</v>
      </c>
      <c r="C97" s="13">
        <v>45736</v>
      </c>
      <c r="D97" s="12" t="s">
        <v>515</v>
      </c>
      <c r="E97" s="13">
        <v>45736</v>
      </c>
      <c r="F97" s="15">
        <v>246779414867</v>
      </c>
      <c r="G97" s="12" t="s">
        <v>11</v>
      </c>
      <c r="H97" s="14">
        <v>26.55</v>
      </c>
      <c r="I97" s="12" t="s">
        <v>59</v>
      </c>
      <c r="J97" s="14">
        <v>2301.65</v>
      </c>
      <c r="K97" s="12" t="s">
        <v>580</v>
      </c>
    </row>
    <row r="98" spans="1:11" x14ac:dyDescent="0.35">
      <c r="A98" s="12" t="s">
        <v>511</v>
      </c>
      <c r="B98" s="15">
        <v>2025</v>
      </c>
      <c r="C98" s="13">
        <v>45736</v>
      </c>
      <c r="D98" s="12" t="s">
        <v>515</v>
      </c>
      <c r="E98" s="13">
        <v>45736</v>
      </c>
      <c r="F98" s="15">
        <v>246779414868</v>
      </c>
      <c r="G98" s="12" t="s">
        <v>11</v>
      </c>
      <c r="H98" s="14">
        <v>2.95</v>
      </c>
      <c r="I98" s="12" t="s">
        <v>59</v>
      </c>
      <c r="J98" s="14">
        <v>255.74</v>
      </c>
      <c r="K98" s="12" t="s">
        <v>580</v>
      </c>
    </row>
    <row r="99" spans="1:11" x14ac:dyDescent="0.35">
      <c r="A99" s="12" t="s">
        <v>511</v>
      </c>
      <c r="B99" s="15">
        <v>2025</v>
      </c>
      <c r="C99" s="13">
        <v>45736</v>
      </c>
      <c r="D99" s="12" t="s">
        <v>515</v>
      </c>
      <c r="E99" s="13">
        <v>45736</v>
      </c>
      <c r="F99" s="15">
        <v>246779414869</v>
      </c>
      <c r="G99" s="12" t="s">
        <v>11</v>
      </c>
      <c r="H99" s="14">
        <v>35.4</v>
      </c>
      <c r="I99" s="12" t="s">
        <v>59</v>
      </c>
      <c r="J99" s="14">
        <v>3068.87</v>
      </c>
      <c r="K99" s="12" t="s">
        <v>580</v>
      </c>
    </row>
    <row r="100" spans="1:11" x14ac:dyDescent="0.35">
      <c r="A100" s="12" t="s">
        <v>511</v>
      </c>
      <c r="B100" s="15">
        <v>2025</v>
      </c>
      <c r="C100" s="13">
        <v>45736</v>
      </c>
      <c r="D100" s="12" t="s">
        <v>515</v>
      </c>
      <c r="E100" s="13">
        <v>45736</v>
      </c>
      <c r="F100" s="15">
        <v>246779413889</v>
      </c>
      <c r="G100" s="12" t="s">
        <v>11</v>
      </c>
      <c r="H100" s="14">
        <v>42.5</v>
      </c>
      <c r="I100" s="12" t="s">
        <v>59</v>
      </c>
      <c r="J100" s="14">
        <v>3684.38</v>
      </c>
      <c r="K100" s="12" t="s">
        <v>581</v>
      </c>
    </row>
    <row r="101" spans="1:11" x14ac:dyDescent="0.35">
      <c r="A101" s="12" t="s">
        <v>511</v>
      </c>
      <c r="B101" s="15">
        <v>2025</v>
      </c>
      <c r="C101" s="13">
        <v>45736</v>
      </c>
      <c r="D101" s="12" t="s">
        <v>515</v>
      </c>
      <c r="E101" s="13">
        <v>45736</v>
      </c>
      <c r="F101" s="15">
        <v>246779414662</v>
      </c>
      <c r="G101" s="12" t="s">
        <v>11</v>
      </c>
      <c r="H101" s="14">
        <v>275</v>
      </c>
      <c r="I101" s="12" t="s">
        <v>59</v>
      </c>
      <c r="J101" s="14">
        <v>23840.1</v>
      </c>
      <c r="K101" s="12" t="s">
        <v>595</v>
      </c>
    </row>
    <row r="102" spans="1:11" x14ac:dyDescent="0.35">
      <c r="A102" s="12" t="s">
        <v>511</v>
      </c>
      <c r="B102" s="15">
        <v>2025</v>
      </c>
      <c r="C102" s="13">
        <v>45736</v>
      </c>
      <c r="D102" s="12" t="s">
        <v>515</v>
      </c>
      <c r="E102" s="13">
        <v>45736</v>
      </c>
      <c r="F102" s="15">
        <v>246779414663</v>
      </c>
      <c r="G102" s="12" t="s">
        <v>11</v>
      </c>
      <c r="H102" s="14">
        <v>45</v>
      </c>
      <c r="I102" s="12" t="s">
        <v>59</v>
      </c>
      <c r="J102" s="14">
        <v>3901.11</v>
      </c>
      <c r="K102" s="12" t="s">
        <v>596</v>
      </c>
    </row>
    <row r="103" spans="1:11" x14ac:dyDescent="0.35">
      <c r="A103" s="12" t="s">
        <v>511</v>
      </c>
      <c r="B103" s="15">
        <v>2025</v>
      </c>
      <c r="C103" s="13">
        <v>45736</v>
      </c>
      <c r="D103" s="12" t="s">
        <v>515</v>
      </c>
      <c r="E103" s="13">
        <v>45736</v>
      </c>
      <c r="F103" s="15">
        <v>246779414590</v>
      </c>
      <c r="G103" s="12" t="s">
        <v>11</v>
      </c>
      <c r="H103" s="14">
        <v>300.49</v>
      </c>
      <c r="I103" s="12" t="s">
        <v>59</v>
      </c>
      <c r="J103" s="14">
        <v>26049.86</v>
      </c>
      <c r="K103" s="12" t="s">
        <v>597</v>
      </c>
    </row>
    <row r="104" spans="1:11" x14ac:dyDescent="0.35">
      <c r="A104" s="12" t="s">
        <v>511</v>
      </c>
      <c r="B104" s="15">
        <v>2025</v>
      </c>
      <c r="C104" s="13">
        <v>45736</v>
      </c>
      <c r="D104" s="12" t="s">
        <v>515</v>
      </c>
      <c r="E104" s="13">
        <v>45736</v>
      </c>
      <c r="F104" s="15">
        <v>246779414726</v>
      </c>
      <c r="G104" s="12" t="s">
        <v>11</v>
      </c>
      <c r="H104" s="14">
        <v>165.4</v>
      </c>
      <c r="I104" s="12" t="s">
        <v>59</v>
      </c>
      <c r="J104" s="14">
        <v>14338.73</v>
      </c>
      <c r="K104" s="12" t="s">
        <v>580</v>
      </c>
    </row>
    <row r="105" spans="1:11" x14ac:dyDescent="0.35">
      <c r="A105" s="12" t="s">
        <v>511</v>
      </c>
      <c r="B105" s="15">
        <v>2025</v>
      </c>
      <c r="C105" s="13">
        <v>45708</v>
      </c>
      <c r="D105" s="12" t="s">
        <v>515</v>
      </c>
      <c r="E105" s="13">
        <v>45708</v>
      </c>
      <c r="F105" s="15">
        <v>246779410010</v>
      </c>
      <c r="G105" s="12" t="s">
        <v>11</v>
      </c>
      <c r="H105" s="14">
        <v>2380.9499999999998</v>
      </c>
      <c r="I105" s="12" t="s">
        <v>59</v>
      </c>
      <c r="J105" s="14">
        <v>205484.7</v>
      </c>
      <c r="K105" s="12" t="s">
        <v>598</v>
      </c>
    </row>
    <row r="106" spans="1:11" x14ac:dyDescent="0.35">
      <c r="A106" s="12" t="s">
        <v>511</v>
      </c>
      <c r="B106" s="15">
        <v>2025</v>
      </c>
      <c r="C106" s="13">
        <v>45708</v>
      </c>
      <c r="D106" s="12" t="s">
        <v>515</v>
      </c>
      <c r="E106" s="13">
        <v>45708</v>
      </c>
      <c r="F106" s="15">
        <v>246779410030</v>
      </c>
      <c r="G106" s="12" t="s">
        <v>11</v>
      </c>
      <c r="H106" s="14">
        <v>2380.9499999999998</v>
      </c>
      <c r="I106" s="12" t="s">
        <v>59</v>
      </c>
      <c r="J106" s="14">
        <v>205484.7</v>
      </c>
      <c r="K106" s="12" t="s">
        <v>599</v>
      </c>
    </row>
    <row r="107" spans="1:11" x14ac:dyDescent="0.35">
      <c r="A107" s="12" t="s">
        <v>511</v>
      </c>
      <c r="B107" s="15">
        <v>2025</v>
      </c>
      <c r="C107" s="13">
        <v>45708</v>
      </c>
      <c r="D107" s="12" t="s">
        <v>515</v>
      </c>
      <c r="E107" s="13">
        <v>45708</v>
      </c>
      <c r="F107" s="15">
        <v>246779410063</v>
      </c>
      <c r="G107" s="12" t="s">
        <v>11</v>
      </c>
      <c r="H107" s="14">
        <v>95.24</v>
      </c>
      <c r="I107" s="12" t="s">
        <v>59</v>
      </c>
      <c r="J107" s="14">
        <v>8219.56</v>
      </c>
      <c r="K107" s="12" t="s">
        <v>600</v>
      </c>
    </row>
    <row r="108" spans="1:11" x14ac:dyDescent="0.35">
      <c r="A108" s="12" t="s">
        <v>511</v>
      </c>
      <c r="B108" s="15">
        <v>2025</v>
      </c>
      <c r="C108" s="13">
        <v>45708</v>
      </c>
      <c r="D108" s="12" t="s">
        <v>515</v>
      </c>
      <c r="E108" s="13">
        <v>45708</v>
      </c>
      <c r="F108" s="15">
        <v>246779410064</v>
      </c>
      <c r="G108" s="12" t="s">
        <v>11</v>
      </c>
      <c r="H108" s="14">
        <v>52.38</v>
      </c>
      <c r="I108" s="12" t="s">
        <v>59</v>
      </c>
      <c r="J108" s="14">
        <v>4520.59</v>
      </c>
      <c r="K108" s="12" t="s">
        <v>601</v>
      </c>
    </row>
    <row r="109" spans="1:11" x14ac:dyDescent="0.35">
      <c r="A109" s="12" t="s">
        <v>511</v>
      </c>
      <c r="B109" s="15">
        <v>2025</v>
      </c>
      <c r="C109" s="13">
        <v>45708</v>
      </c>
      <c r="D109" s="12" t="s">
        <v>515</v>
      </c>
      <c r="E109" s="13">
        <v>45708</v>
      </c>
      <c r="F109" s="15">
        <v>246779410080</v>
      </c>
      <c r="G109" s="12" t="s">
        <v>11</v>
      </c>
      <c r="H109" s="14">
        <v>95.24</v>
      </c>
      <c r="I109" s="12" t="s">
        <v>59</v>
      </c>
      <c r="J109" s="14">
        <v>8219.56</v>
      </c>
      <c r="K109" s="12" t="s">
        <v>602</v>
      </c>
    </row>
    <row r="110" spans="1:11" x14ac:dyDescent="0.35">
      <c r="A110" s="12" t="s">
        <v>511</v>
      </c>
      <c r="B110" s="15">
        <v>2025</v>
      </c>
      <c r="C110" s="13">
        <v>45708</v>
      </c>
      <c r="D110" s="12" t="s">
        <v>515</v>
      </c>
      <c r="E110" s="13">
        <v>45708</v>
      </c>
      <c r="F110" s="15">
        <v>246779410098</v>
      </c>
      <c r="G110" s="12" t="s">
        <v>11</v>
      </c>
      <c r="H110" s="14">
        <v>2380.9499999999998</v>
      </c>
      <c r="I110" s="12" t="s">
        <v>59</v>
      </c>
      <c r="J110" s="14">
        <v>205484.7</v>
      </c>
      <c r="K110" s="12" t="s">
        <v>603</v>
      </c>
    </row>
    <row r="111" spans="1:11" x14ac:dyDescent="0.35">
      <c r="A111" s="12" t="s">
        <v>511</v>
      </c>
      <c r="B111" s="15">
        <v>2025</v>
      </c>
      <c r="C111" s="13">
        <v>45708</v>
      </c>
      <c r="D111" s="12" t="s">
        <v>515</v>
      </c>
      <c r="E111" s="13">
        <v>45708</v>
      </c>
      <c r="F111" s="15">
        <v>246779410131</v>
      </c>
      <c r="G111" s="12" t="s">
        <v>11</v>
      </c>
      <c r="H111" s="14">
        <v>95.24</v>
      </c>
      <c r="I111" s="12" t="s">
        <v>59</v>
      </c>
      <c r="J111" s="14">
        <v>8219.56</v>
      </c>
      <c r="K111" s="12" t="s">
        <v>604</v>
      </c>
    </row>
    <row r="112" spans="1:11" x14ac:dyDescent="0.35">
      <c r="A112" s="12" t="s">
        <v>511</v>
      </c>
      <c r="B112" s="15">
        <v>2025</v>
      </c>
      <c r="C112" s="13">
        <v>45708</v>
      </c>
      <c r="D112" s="12" t="s">
        <v>515</v>
      </c>
      <c r="E112" s="13">
        <v>45708</v>
      </c>
      <c r="F112" s="15">
        <v>246779410132</v>
      </c>
      <c r="G112" s="12" t="s">
        <v>11</v>
      </c>
      <c r="H112" s="14">
        <v>52.38</v>
      </c>
      <c r="I112" s="12" t="s">
        <v>59</v>
      </c>
      <c r="J112" s="14">
        <v>4520.59</v>
      </c>
      <c r="K112" s="12" t="s">
        <v>605</v>
      </c>
    </row>
    <row r="113" spans="1:11" x14ac:dyDescent="0.35">
      <c r="A113" s="12" t="s">
        <v>511</v>
      </c>
      <c r="B113" s="15">
        <v>2025</v>
      </c>
      <c r="C113" s="13">
        <v>45708</v>
      </c>
      <c r="D113" s="12" t="s">
        <v>515</v>
      </c>
      <c r="E113" s="13">
        <v>45708</v>
      </c>
      <c r="F113" s="15">
        <v>246779410141</v>
      </c>
      <c r="G113" s="12" t="s">
        <v>11</v>
      </c>
      <c r="H113" s="14">
        <v>2380.9499999999998</v>
      </c>
      <c r="I113" s="12" t="s">
        <v>59</v>
      </c>
      <c r="J113" s="14">
        <v>205484.7</v>
      </c>
      <c r="K113" s="12" t="s">
        <v>606</v>
      </c>
    </row>
    <row r="114" spans="1:11" x14ac:dyDescent="0.35">
      <c r="A114" s="12" t="s">
        <v>511</v>
      </c>
      <c r="B114" s="15">
        <v>2025</v>
      </c>
      <c r="C114" s="13">
        <v>45708</v>
      </c>
      <c r="D114" s="12" t="s">
        <v>515</v>
      </c>
      <c r="E114" s="13">
        <v>45708</v>
      </c>
      <c r="F114" s="15">
        <v>246779410174</v>
      </c>
      <c r="G114" s="12" t="s">
        <v>11</v>
      </c>
      <c r="H114" s="14">
        <v>95.24</v>
      </c>
      <c r="I114" s="12" t="s">
        <v>59</v>
      </c>
      <c r="J114" s="14">
        <v>8219.56</v>
      </c>
      <c r="K114" s="12" t="s">
        <v>607</v>
      </c>
    </row>
    <row r="115" spans="1:11" x14ac:dyDescent="0.35">
      <c r="A115" s="12" t="s">
        <v>511</v>
      </c>
      <c r="B115" s="15">
        <v>2025</v>
      </c>
      <c r="C115" s="13">
        <v>45708</v>
      </c>
      <c r="D115" s="12" t="s">
        <v>515</v>
      </c>
      <c r="E115" s="13">
        <v>45708</v>
      </c>
      <c r="F115" s="15">
        <v>246779410175</v>
      </c>
      <c r="G115" s="12" t="s">
        <v>11</v>
      </c>
      <c r="H115" s="14">
        <v>52.38</v>
      </c>
      <c r="I115" s="12" t="s">
        <v>59</v>
      </c>
      <c r="J115" s="14">
        <v>4520.59</v>
      </c>
      <c r="K115" s="12" t="s">
        <v>608</v>
      </c>
    </row>
    <row r="116" spans="1:11" x14ac:dyDescent="0.35">
      <c r="A116" s="12" t="s">
        <v>511</v>
      </c>
      <c r="B116" s="15">
        <v>2025</v>
      </c>
      <c r="C116" s="13">
        <v>45708</v>
      </c>
      <c r="D116" s="12" t="s">
        <v>515</v>
      </c>
      <c r="E116" s="13">
        <v>45708</v>
      </c>
      <c r="F116" s="15">
        <v>246779410184</v>
      </c>
      <c r="G116" s="12" t="s">
        <v>11</v>
      </c>
      <c r="H116" s="14">
        <v>2333.1799999999998</v>
      </c>
      <c r="I116" s="12" t="s">
        <v>59</v>
      </c>
      <c r="J116" s="14">
        <v>201361.97</v>
      </c>
      <c r="K116" s="12" t="s">
        <v>609</v>
      </c>
    </row>
    <row r="117" spans="1:11" x14ac:dyDescent="0.35">
      <c r="A117" s="12" t="s">
        <v>511</v>
      </c>
      <c r="B117" s="15">
        <v>2025</v>
      </c>
      <c r="C117" s="13">
        <v>45708</v>
      </c>
      <c r="D117" s="12" t="s">
        <v>515</v>
      </c>
      <c r="E117" s="13">
        <v>45708</v>
      </c>
      <c r="F117" s="15">
        <v>246779410217</v>
      </c>
      <c r="G117" s="12" t="s">
        <v>11</v>
      </c>
      <c r="H117" s="14">
        <v>93.33</v>
      </c>
      <c r="I117" s="12" t="s">
        <v>59</v>
      </c>
      <c r="J117" s="14">
        <v>8054.72</v>
      </c>
      <c r="K117" s="12" t="s">
        <v>610</v>
      </c>
    </row>
    <row r="118" spans="1:11" x14ac:dyDescent="0.35">
      <c r="A118" s="12" t="s">
        <v>511</v>
      </c>
      <c r="B118" s="15">
        <v>2025</v>
      </c>
      <c r="C118" s="13">
        <v>45708</v>
      </c>
      <c r="D118" s="12" t="s">
        <v>515</v>
      </c>
      <c r="E118" s="13">
        <v>45708</v>
      </c>
      <c r="F118" s="15">
        <v>246779410218</v>
      </c>
      <c r="G118" s="12" t="s">
        <v>11</v>
      </c>
      <c r="H118" s="14">
        <v>51.33</v>
      </c>
      <c r="I118" s="12" t="s">
        <v>59</v>
      </c>
      <c r="J118" s="14">
        <v>4429.97</v>
      </c>
      <c r="K118" s="12" t="s">
        <v>611</v>
      </c>
    </row>
    <row r="119" spans="1:11" x14ac:dyDescent="0.35">
      <c r="A119" s="12" t="s">
        <v>511</v>
      </c>
      <c r="B119" s="15">
        <v>2025</v>
      </c>
      <c r="C119" s="13">
        <v>45708</v>
      </c>
      <c r="D119" s="12" t="s">
        <v>515</v>
      </c>
      <c r="E119" s="13">
        <v>45708</v>
      </c>
      <c r="F119" s="15">
        <v>246779410260</v>
      </c>
      <c r="G119" s="12" t="s">
        <v>11</v>
      </c>
      <c r="H119" s="14">
        <v>91.45</v>
      </c>
      <c r="I119" s="12" t="s">
        <v>59</v>
      </c>
      <c r="J119" s="14">
        <v>7892.47</v>
      </c>
      <c r="K119" s="12" t="s">
        <v>612</v>
      </c>
    </row>
    <row r="120" spans="1:11" x14ac:dyDescent="0.35">
      <c r="A120" s="12" t="s">
        <v>511</v>
      </c>
      <c r="B120" s="15">
        <v>2025</v>
      </c>
      <c r="C120" s="13">
        <v>45708</v>
      </c>
      <c r="D120" s="12" t="s">
        <v>515</v>
      </c>
      <c r="E120" s="13">
        <v>45708</v>
      </c>
      <c r="F120" s="15">
        <v>246779410261</v>
      </c>
      <c r="G120" s="12" t="s">
        <v>11</v>
      </c>
      <c r="H120" s="14">
        <v>50.3</v>
      </c>
      <c r="I120" s="12" t="s">
        <v>59</v>
      </c>
      <c r="J120" s="14">
        <v>4341.07</v>
      </c>
      <c r="K120" s="12" t="s">
        <v>613</v>
      </c>
    </row>
    <row r="121" spans="1:11" x14ac:dyDescent="0.35">
      <c r="A121" s="12" t="s">
        <v>511</v>
      </c>
      <c r="B121" s="15">
        <v>2025</v>
      </c>
      <c r="C121" s="13">
        <v>45708</v>
      </c>
      <c r="D121" s="12" t="s">
        <v>515</v>
      </c>
      <c r="E121" s="13">
        <v>45708</v>
      </c>
      <c r="F121" s="15">
        <v>246779410311</v>
      </c>
      <c r="G121" s="12" t="s">
        <v>11</v>
      </c>
      <c r="H121" s="14">
        <v>95.24</v>
      </c>
      <c r="I121" s="12" t="s">
        <v>59</v>
      </c>
      <c r="J121" s="14">
        <v>8219.56</v>
      </c>
      <c r="K121" s="12" t="s">
        <v>614</v>
      </c>
    </row>
    <row r="122" spans="1:11" x14ac:dyDescent="0.35">
      <c r="A122" s="12" t="s">
        <v>511</v>
      </c>
      <c r="B122" s="15">
        <v>2025</v>
      </c>
      <c r="C122" s="13">
        <v>45708</v>
      </c>
      <c r="D122" s="12" t="s">
        <v>515</v>
      </c>
      <c r="E122" s="13">
        <v>45708</v>
      </c>
      <c r="F122" s="15">
        <v>246779410312</v>
      </c>
      <c r="G122" s="12" t="s">
        <v>11</v>
      </c>
      <c r="H122" s="14">
        <v>52.38</v>
      </c>
      <c r="I122" s="12" t="s">
        <v>59</v>
      </c>
      <c r="J122" s="14">
        <v>4520.59</v>
      </c>
      <c r="K122" s="12" t="s">
        <v>615</v>
      </c>
    </row>
    <row r="123" spans="1:11" x14ac:dyDescent="0.35">
      <c r="A123" s="12" t="s">
        <v>511</v>
      </c>
      <c r="B123" s="15">
        <v>2025</v>
      </c>
      <c r="C123" s="13">
        <v>45708</v>
      </c>
      <c r="D123" s="12" t="s">
        <v>515</v>
      </c>
      <c r="E123" s="13">
        <v>45708</v>
      </c>
      <c r="F123" s="15">
        <v>246779410315</v>
      </c>
      <c r="G123" s="12" t="s">
        <v>11</v>
      </c>
      <c r="H123" s="14">
        <v>2380.9499999999998</v>
      </c>
      <c r="I123" s="12" t="s">
        <v>59</v>
      </c>
      <c r="J123" s="14">
        <v>205484.7</v>
      </c>
      <c r="K123" s="12" t="s">
        <v>616</v>
      </c>
    </row>
    <row r="124" spans="1:11" x14ac:dyDescent="0.35">
      <c r="A124" s="12" t="s">
        <v>511</v>
      </c>
      <c r="B124" s="15">
        <v>2025</v>
      </c>
      <c r="C124" s="13">
        <v>45708</v>
      </c>
      <c r="D124" s="12" t="s">
        <v>515</v>
      </c>
      <c r="E124" s="13">
        <v>45708</v>
      </c>
      <c r="F124" s="15">
        <v>246779410227</v>
      </c>
      <c r="G124" s="12" t="s">
        <v>11</v>
      </c>
      <c r="H124" s="14">
        <v>2286.2399999999998</v>
      </c>
      <c r="I124" s="12" t="s">
        <v>59</v>
      </c>
      <c r="J124" s="14">
        <v>197310.88</v>
      </c>
      <c r="K124" s="12" t="s">
        <v>617</v>
      </c>
    </row>
    <row r="125" spans="1:11" x14ac:dyDescent="0.35">
      <c r="A125" s="12" t="s">
        <v>511</v>
      </c>
      <c r="B125" s="15">
        <v>2025</v>
      </c>
      <c r="C125" s="13">
        <v>45889</v>
      </c>
      <c r="D125" s="12" t="s">
        <v>515</v>
      </c>
      <c r="E125" s="13">
        <v>45889</v>
      </c>
      <c r="F125" s="15">
        <v>256779416593</v>
      </c>
      <c r="G125" s="12" t="s">
        <v>11</v>
      </c>
      <c r="H125" s="14">
        <v>810</v>
      </c>
      <c r="I125" s="12" t="s">
        <v>59</v>
      </c>
      <c r="J125" s="14">
        <v>69684.399999999994</v>
      </c>
      <c r="K125" s="12" t="s">
        <v>618</v>
      </c>
    </row>
    <row r="126" spans="1:11" x14ac:dyDescent="0.35">
      <c r="A126" s="12" t="s">
        <v>511</v>
      </c>
      <c r="B126" s="15">
        <v>2025</v>
      </c>
      <c r="C126" s="13">
        <v>45889</v>
      </c>
      <c r="D126" s="12" t="s">
        <v>515</v>
      </c>
      <c r="E126" s="13">
        <v>45889</v>
      </c>
      <c r="F126" s="15">
        <v>256779416600</v>
      </c>
      <c r="G126" s="12" t="s">
        <v>11</v>
      </c>
      <c r="H126" s="14">
        <v>737.41</v>
      </c>
      <c r="I126" s="12" t="s">
        <v>59</v>
      </c>
      <c r="J126" s="14">
        <v>63439.47</v>
      </c>
      <c r="K126" s="12" t="s">
        <v>619</v>
      </c>
    </row>
    <row r="127" spans="1:11" x14ac:dyDescent="0.35">
      <c r="A127" s="12" t="s">
        <v>511</v>
      </c>
      <c r="B127" s="15">
        <v>2025</v>
      </c>
      <c r="C127" s="13">
        <v>45889</v>
      </c>
      <c r="D127" s="12" t="s">
        <v>515</v>
      </c>
      <c r="E127" s="13">
        <v>45889</v>
      </c>
      <c r="F127" s="15">
        <v>256779416801</v>
      </c>
      <c r="G127" s="12" t="s">
        <v>11</v>
      </c>
      <c r="H127" s="14">
        <v>110</v>
      </c>
      <c r="I127" s="12" t="s">
        <v>59</v>
      </c>
      <c r="J127" s="14">
        <v>9463.31</v>
      </c>
      <c r="K127" s="12" t="s">
        <v>620</v>
      </c>
    </row>
    <row r="128" spans="1:11" x14ac:dyDescent="0.35">
      <c r="A128" s="12" t="s">
        <v>511</v>
      </c>
      <c r="B128" s="15">
        <v>2025</v>
      </c>
      <c r="C128" s="13">
        <v>45889</v>
      </c>
      <c r="D128" s="12" t="s">
        <v>515</v>
      </c>
      <c r="E128" s="13">
        <v>45889</v>
      </c>
      <c r="F128" s="15">
        <v>256779416807</v>
      </c>
      <c r="G128" s="12" t="s">
        <v>11</v>
      </c>
      <c r="H128" s="14">
        <v>248.96</v>
      </c>
      <c r="I128" s="12" t="s">
        <v>59</v>
      </c>
      <c r="J128" s="14">
        <v>21418.06</v>
      </c>
      <c r="K128" s="12" t="s">
        <v>621</v>
      </c>
    </row>
    <row r="129" spans="1:11" x14ac:dyDescent="0.35">
      <c r="A129" s="12" t="s">
        <v>511</v>
      </c>
      <c r="B129" s="15">
        <v>2025</v>
      </c>
      <c r="C129" s="13">
        <v>45889</v>
      </c>
      <c r="D129" s="12" t="s">
        <v>515</v>
      </c>
      <c r="E129" s="13">
        <v>45889</v>
      </c>
      <c r="F129" s="15">
        <v>256779416814</v>
      </c>
      <c r="G129" s="12" t="s">
        <v>11</v>
      </c>
      <c r="H129" s="14">
        <v>230</v>
      </c>
      <c r="I129" s="12" t="s">
        <v>59</v>
      </c>
      <c r="J129" s="14">
        <v>19786.93</v>
      </c>
      <c r="K129" s="12" t="s">
        <v>622</v>
      </c>
    </row>
    <row r="130" spans="1:11" x14ac:dyDescent="0.35">
      <c r="A130" s="12" t="s">
        <v>511</v>
      </c>
      <c r="B130" s="15">
        <v>2025</v>
      </c>
      <c r="C130" s="13">
        <v>45889</v>
      </c>
      <c r="D130" s="12" t="s">
        <v>515</v>
      </c>
      <c r="E130" s="13">
        <v>45889</v>
      </c>
      <c r="F130" s="15">
        <v>256779416838</v>
      </c>
      <c r="G130" s="12" t="s">
        <v>11</v>
      </c>
      <c r="H130" s="14">
        <v>685.03</v>
      </c>
      <c r="I130" s="12" t="s">
        <v>59</v>
      </c>
      <c r="J130" s="14">
        <v>58933.21</v>
      </c>
      <c r="K130" s="12" t="s">
        <v>623</v>
      </c>
    </row>
    <row r="131" spans="1:11" x14ac:dyDescent="0.35">
      <c r="A131" s="12" t="s">
        <v>511</v>
      </c>
      <c r="B131" s="15">
        <v>2025</v>
      </c>
      <c r="C131" s="13">
        <v>45889</v>
      </c>
      <c r="D131" s="12" t="s">
        <v>515</v>
      </c>
      <c r="E131" s="13">
        <v>45889</v>
      </c>
      <c r="F131" s="15">
        <v>256779416869</v>
      </c>
      <c r="G131" s="12" t="s">
        <v>11</v>
      </c>
      <c r="H131" s="14">
        <v>115.98</v>
      </c>
      <c r="I131" s="12" t="s">
        <v>59</v>
      </c>
      <c r="J131" s="14">
        <v>9977.77</v>
      </c>
      <c r="K131" s="12" t="s">
        <v>624</v>
      </c>
    </row>
    <row r="132" spans="1:11" x14ac:dyDescent="0.35">
      <c r="A132" s="12" t="s">
        <v>511</v>
      </c>
      <c r="B132" s="15">
        <v>2025</v>
      </c>
      <c r="C132" s="13">
        <v>45999</v>
      </c>
      <c r="D132" s="12" t="s">
        <v>515</v>
      </c>
      <c r="E132" s="13">
        <v>45999</v>
      </c>
      <c r="F132" s="15">
        <v>256779419858</v>
      </c>
      <c r="G132" s="12" t="s">
        <v>11</v>
      </c>
      <c r="H132" s="14">
        <v>147.37</v>
      </c>
      <c r="I132" s="12" t="s">
        <v>59</v>
      </c>
      <c r="J132" s="14">
        <v>13071.74</v>
      </c>
      <c r="K132" s="12" t="s">
        <v>625</v>
      </c>
    </row>
    <row r="133" spans="1:11" x14ac:dyDescent="0.35">
      <c r="A133" s="12" t="s">
        <v>511</v>
      </c>
      <c r="B133" s="15">
        <v>2025</v>
      </c>
      <c r="C133" s="13">
        <v>45707</v>
      </c>
      <c r="D133" s="12" t="s">
        <v>515</v>
      </c>
      <c r="E133" s="13">
        <v>45707</v>
      </c>
      <c r="F133" s="15">
        <v>246779410081</v>
      </c>
      <c r="G133" s="12" t="s">
        <v>11</v>
      </c>
      <c r="H133" s="14">
        <v>52.38</v>
      </c>
      <c r="I133" s="12" t="s">
        <v>59</v>
      </c>
      <c r="J133" s="14">
        <v>4520.59</v>
      </c>
      <c r="K133" s="12" t="s">
        <v>626</v>
      </c>
    </row>
    <row r="134" spans="1:11" x14ac:dyDescent="0.35">
      <c r="A134" s="12" t="s">
        <v>511</v>
      </c>
      <c r="B134" s="15">
        <v>2025</v>
      </c>
      <c r="C134" s="13">
        <v>45797</v>
      </c>
      <c r="D134" s="12" t="s">
        <v>515</v>
      </c>
      <c r="E134" s="13">
        <v>45797</v>
      </c>
      <c r="F134" s="15">
        <v>256779413835</v>
      </c>
      <c r="G134" s="12" t="s">
        <v>11</v>
      </c>
      <c r="H134" s="14">
        <v>206.02</v>
      </c>
      <c r="I134" s="12" t="s">
        <v>59</v>
      </c>
      <c r="J134" s="14">
        <v>17714.36</v>
      </c>
      <c r="K134" s="12" t="s">
        <v>627</v>
      </c>
    </row>
    <row r="135" spans="1:11" x14ac:dyDescent="0.35">
      <c r="A135" s="12" t="s">
        <v>511</v>
      </c>
      <c r="B135" s="15">
        <v>2025</v>
      </c>
      <c r="C135" s="13">
        <v>45797</v>
      </c>
      <c r="D135" s="12" t="s">
        <v>515</v>
      </c>
      <c r="E135" s="13">
        <v>45797</v>
      </c>
      <c r="F135" s="15">
        <v>256779413480</v>
      </c>
      <c r="G135" s="12" t="s">
        <v>11</v>
      </c>
      <c r="H135" s="14">
        <v>183.84</v>
      </c>
      <c r="I135" s="12" t="s">
        <v>59</v>
      </c>
      <c r="J135" s="14">
        <v>15807.24</v>
      </c>
      <c r="K135" s="12" t="s">
        <v>628</v>
      </c>
    </row>
    <row r="136" spans="1:11" x14ac:dyDescent="0.35">
      <c r="A136" s="12" t="s">
        <v>511</v>
      </c>
      <c r="B136" s="15">
        <v>2025</v>
      </c>
      <c r="C136" s="13">
        <v>45797</v>
      </c>
      <c r="D136" s="12" t="s">
        <v>515</v>
      </c>
      <c r="E136" s="13">
        <v>45797</v>
      </c>
      <c r="F136" s="15">
        <v>256779413879</v>
      </c>
      <c r="G136" s="12" t="s">
        <v>11</v>
      </c>
      <c r="H136" s="14">
        <v>37.17</v>
      </c>
      <c r="I136" s="12" t="s">
        <v>59</v>
      </c>
      <c r="J136" s="14">
        <v>3196.01</v>
      </c>
      <c r="K136" s="12" t="s">
        <v>629</v>
      </c>
    </row>
    <row r="137" spans="1:11" x14ac:dyDescent="0.35">
      <c r="A137" s="12" t="s">
        <v>511</v>
      </c>
      <c r="B137" s="15">
        <v>2025</v>
      </c>
      <c r="C137" s="13">
        <v>45873</v>
      </c>
      <c r="D137" s="12" t="s">
        <v>512</v>
      </c>
      <c r="E137" s="13">
        <v>45873</v>
      </c>
      <c r="F137" s="15">
        <v>256779421623</v>
      </c>
      <c r="G137" s="12" t="s">
        <v>11</v>
      </c>
      <c r="H137" s="14">
        <v>-608.41</v>
      </c>
      <c r="I137" s="12" t="s">
        <v>59</v>
      </c>
      <c r="J137" s="14">
        <v>-52323.67</v>
      </c>
      <c r="K137" s="12" t="s">
        <v>630</v>
      </c>
    </row>
    <row r="138" spans="1:11" x14ac:dyDescent="0.35">
      <c r="A138" s="12" t="s">
        <v>511</v>
      </c>
      <c r="B138" s="15">
        <v>2025</v>
      </c>
      <c r="C138" s="13">
        <v>45750</v>
      </c>
      <c r="D138" s="12" t="s">
        <v>515</v>
      </c>
      <c r="E138" s="13">
        <v>45750</v>
      </c>
      <c r="F138" s="15">
        <v>256779410196</v>
      </c>
      <c r="G138" s="12" t="s">
        <v>11</v>
      </c>
      <c r="H138" s="14">
        <v>246.52</v>
      </c>
      <c r="I138" s="12" t="s">
        <v>59</v>
      </c>
      <c r="J138" s="14">
        <v>21427.97</v>
      </c>
      <c r="K138" s="12" t="s">
        <v>631</v>
      </c>
    </row>
    <row r="139" spans="1:11" x14ac:dyDescent="0.35">
      <c r="A139" s="12" t="s">
        <v>511</v>
      </c>
      <c r="B139" s="15">
        <v>2025</v>
      </c>
      <c r="C139" s="13">
        <v>45750</v>
      </c>
      <c r="D139" s="12" t="s">
        <v>515</v>
      </c>
      <c r="E139" s="13">
        <v>45750</v>
      </c>
      <c r="F139" s="15">
        <v>256779410262</v>
      </c>
      <c r="G139" s="12" t="s">
        <v>11</v>
      </c>
      <c r="H139" s="14">
        <v>93.33</v>
      </c>
      <c r="I139" s="12" t="s">
        <v>59</v>
      </c>
      <c r="J139" s="14">
        <v>8112.41</v>
      </c>
      <c r="K139" s="12" t="s">
        <v>610</v>
      </c>
    </row>
    <row r="140" spans="1:11" x14ac:dyDescent="0.35">
      <c r="A140" s="12" t="s">
        <v>511</v>
      </c>
      <c r="B140" s="15">
        <v>2025</v>
      </c>
      <c r="C140" s="13">
        <v>45750</v>
      </c>
      <c r="D140" s="12" t="s">
        <v>515</v>
      </c>
      <c r="E140" s="13">
        <v>45750</v>
      </c>
      <c r="F140" s="15">
        <v>256779410263</v>
      </c>
      <c r="G140" s="12" t="s">
        <v>11</v>
      </c>
      <c r="H140" s="14">
        <v>51.33</v>
      </c>
      <c r="I140" s="12" t="s">
        <v>59</v>
      </c>
      <c r="J140" s="14">
        <v>4461.7</v>
      </c>
      <c r="K140" s="12" t="s">
        <v>611</v>
      </c>
    </row>
    <row r="141" spans="1:11" x14ac:dyDescent="0.35">
      <c r="A141" s="12" t="s">
        <v>511</v>
      </c>
      <c r="B141" s="15">
        <v>2025</v>
      </c>
      <c r="C141" s="13">
        <v>45750</v>
      </c>
      <c r="D141" s="12" t="s">
        <v>515</v>
      </c>
      <c r="E141" s="13">
        <v>45750</v>
      </c>
      <c r="F141" s="15">
        <v>256779410272</v>
      </c>
      <c r="G141" s="12" t="s">
        <v>11</v>
      </c>
      <c r="H141" s="14">
        <v>2286.2399999999998</v>
      </c>
      <c r="I141" s="12" t="s">
        <v>59</v>
      </c>
      <c r="J141" s="14">
        <v>198724.14</v>
      </c>
      <c r="K141" s="12" t="s">
        <v>617</v>
      </c>
    </row>
    <row r="142" spans="1:11" x14ac:dyDescent="0.35">
      <c r="A142" s="12" t="s">
        <v>511</v>
      </c>
      <c r="B142" s="15">
        <v>2025</v>
      </c>
      <c r="C142" s="13">
        <v>45750</v>
      </c>
      <c r="D142" s="12" t="s">
        <v>515</v>
      </c>
      <c r="E142" s="13">
        <v>45750</v>
      </c>
      <c r="F142" s="15">
        <v>256779410303</v>
      </c>
      <c r="G142" s="12" t="s">
        <v>11</v>
      </c>
      <c r="H142" s="14">
        <v>91.45</v>
      </c>
      <c r="I142" s="12" t="s">
        <v>59</v>
      </c>
      <c r="J142" s="14">
        <v>7949</v>
      </c>
      <c r="K142" s="12" t="s">
        <v>612</v>
      </c>
    </row>
    <row r="143" spans="1:11" x14ac:dyDescent="0.35">
      <c r="A143" s="12" t="s">
        <v>511</v>
      </c>
      <c r="B143" s="15">
        <v>2025</v>
      </c>
      <c r="C143" s="13">
        <v>45750</v>
      </c>
      <c r="D143" s="12" t="s">
        <v>515</v>
      </c>
      <c r="E143" s="13">
        <v>45750</v>
      </c>
      <c r="F143" s="15">
        <v>256779410304</v>
      </c>
      <c r="G143" s="12" t="s">
        <v>11</v>
      </c>
      <c r="H143" s="14">
        <v>50.3</v>
      </c>
      <c r="I143" s="12" t="s">
        <v>59</v>
      </c>
      <c r="J143" s="14">
        <v>4372.17</v>
      </c>
      <c r="K143" s="12" t="s">
        <v>613</v>
      </c>
    </row>
    <row r="144" spans="1:11" x14ac:dyDescent="0.35">
      <c r="A144" s="12" t="s">
        <v>511</v>
      </c>
      <c r="B144" s="15">
        <v>2025</v>
      </c>
      <c r="C144" s="13">
        <v>45750</v>
      </c>
      <c r="D144" s="12" t="s">
        <v>515</v>
      </c>
      <c r="E144" s="13">
        <v>45750</v>
      </c>
      <c r="F144" s="15">
        <v>256779410076</v>
      </c>
      <c r="G144" s="12" t="s">
        <v>11</v>
      </c>
      <c r="H144" s="14">
        <v>25.22</v>
      </c>
      <c r="I144" s="12" t="s">
        <v>59</v>
      </c>
      <c r="J144" s="14">
        <v>2192.17</v>
      </c>
      <c r="K144" s="12" t="s">
        <v>632</v>
      </c>
    </row>
    <row r="145" spans="1:11" x14ac:dyDescent="0.35">
      <c r="A145" s="12" t="s">
        <v>511</v>
      </c>
      <c r="B145" s="15">
        <v>2025</v>
      </c>
      <c r="C145" s="13">
        <v>45750</v>
      </c>
      <c r="D145" s="12" t="s">
        <v>515</v>
      </c>
      <c r="E145" s="13">
        <v>45750</v>
      </c>
      <c r="F145" s="15">
        <v>256779410077</v>
      </c>
      <c r="G145" s="12" t="s">
        <v>11</v>
      </c>
      <c r="H145" s="14">
        <v>84.96</v>
      </c>
      <c r="I145" s="12" t="s">
        <v>59</v>
      </c>
      <c r="J145" s="14">
        <v>7384.88</v>
      </c>
      <c r="K145" s="12" t="s">
        <v>633</v>
      </c>
    </row>
    <row r="146" spans="1:11" x14ac:dyDescent="0.35">
      <c r="A146" s="12" t="s">
        <v>511</v>
      </c>
      <c r="B146" s="15">
        <v>2025</v>
      </c>
      <c r="C146" s="13">
        <v>45750</v>
      </c>
      <c r="D146" s="12" t="s">
        <v>515</v>
      </c>
      <c r="E146" s="13">
        <v>45750</v>
      </c>
      <c r="F146" s="15">
        <v>256779410127</v>
      </c>
      <c r="G146" s="12" t="s">
        <v>11</v>
      </c>
      <c r="H146" s="14">
        <v>183.99</v>
      </c>
      <c r="I146" s="12" t="s">
        <v>59</v>
      </c>
      <c r="J146" s="14">
        <v>15992.75</v>
      </c>
      <c r="K146" s="12" t="s">
        <v>634</v>
      </c>
    </row>
    <row r="147" spans="1:11" x14ac:dyDescent="0.35">
      <c r="A147" s="12" t="s">
        <v>511</v>
      </c>
      <c r="B147" s="15">
        <v>2025</v>
      </c>
      <c r="C147" s="13">
        <v>45750</v>
      </c>
      <c r="D147" s="12" t="s">
        <v>515</v>
      </c>
      <c r="E147" s="13">
        <v>45750</v>
      </c>
      <c r="F147" s="15">
        <v>256779410213</v>
      </c>
      <c r="G147" s="12" t="s">
        <v>11</v>
      </c>
      <c r="H147" s="14">
        <v>236</v>
      </c>
      <c r="I147" s="12" t="s">
        <v>59</v>
      </c>
      <c r="J147" s="14">
        <v>20513.55</v>
      </c>
      <c r="K147" s="12" t="s">
        <v>635</v>
      </c>
    </row>
    <row r="148" spans="1:11" x14ac:dyDescent="0.35">
      <c r="A148" s="12" t="s">
        <v>511</v>
      </c>
      <c r="B148" s="15">
        <v>2025</v>
      </c>
      <c r="C148" s="13">
        <v>45750</v>
      </c>
      <c r="D148" s="12" t="s">
        <v>515</v>
      </c>
      <c r="E148" s="13">
        <v>45750</v>
      </c>
      <c r="F148" s="15">
        <v>256779410214</v>
      </c>
      <c r="G148" s="12" t="s">
        <v>11</v>
      </c>
      <c r="H148" s="14">
        <v>70.8</v>
      </c>
      <c r="I148" s="12" t="s">
        <v>59</v>
      </c>
      <c r="J148" s="14">
        <v>6154.06</v>
      </c>
      <c r="K148" s="12" t="s">
        <v>636</v>
      </c>
    </row>
    <row r="149" spans="1:11" x14ac:dyDescent="0.35">
      <c r="A149" s="12" t="s">
        <v>511</v>
      </c>
      <c r="B149" s="15">
        <v>2025</v>
      </c>
      <c r="C149" s="13">
        <v>45750</v>
      </c>
      <c r="D149" s="12" t="s">
        <v>515</v>
      </c>
      <c r="E149" s="13">
        <v>45750</v>
      </c>
      <c r="F149" s="15">
        <v>256779410231</v>
      </c>
      <c r="G149" s="12" t="s">
        <v>11</v>
      </c>
      <c r="H149" s="14">
        <v>2333.1799999999998</v>
      </c>
      <c r="I149" s="12" t="s">
        <v>59</v>
      </c>
      <c r="J149" s="14">
        <v>202804.25</v>
      </c>
      <c r="K149" s="12" t="s">
        <v>609</v>
      </c>
    </row>
    <row r="150" spans="1:11" x14ac:dyDescent="0.35">
      <c r="A150" s="12" t="s">
        <v>511</v>
      </c>
      <c r="B150" s="15">
        <v>2025</v>
      </c>
      <c r="C150" s="13">
        <v>45950</v>
      </c>
      <c r="D150" s="12" t="s">
        <v>515</v>
      </c>
      <c r="E150" s="13">
        <v>45950</v>
      </c>
      <c r="F150" s="15">
        <v>256779418653</v>
      </c>
      <c r="G150" s="12" t="s">
        <v>11</v>
      </c>
      <c r="H150" s="14">
        <v>170.68</v>
      </c>
      <c r="I150" s="12" t="s">
        <v>59</v>
      </c>
      <c r="J150" s="14">
        <v>15052.4</v>
      </c>
      <c r="K150" s="12" t="s">
        <v>637</v>
      </c>
    </row>
    <row r="151" spans="1:11" x14ac:dyDescent="0.35">
      <c r="A151" s="12" t="s">
        <v>511</v>
      </c>
      <c r="B151" s="15">
        <v>2025</v>
      </c>
      <c r="C151" s="13">
        <v>45950</v>
      </c>
      <c r="D151" s="12" t="s">
        <v>515</v>
      </c>
      <c r="E151" s="13">
        <v>45950</v>
      </c>
      <c r="F151" s="15">
        <v>256779418692</v>
      </c>
      <c r="G151" s="12" t="s">
        <v>11</v>
      </c>
      <c r="H151" s="14">
        <v>531.26</v>
      </c>
      <c r="I151" s="12" t="s">
        <v>59</v>
      </c>
      <c r="J151" s="14">
        <v>46852.23</v>
      </c>
      <c r="K151" s="12" t="s">
        <v>638</v>
      </c>
    </row>
    <row r="152" spans="1:11" x14ac:dyDescent="0.35">
      <c r="A152" s="12" t="s">
        <v>511</v>
      </c>
      <c r="B152" s="15">
        <v>2025</v>
      </c>
      <c r="C152" s="13">
        <v>45768</v>
      </c>
      <c r="D152" s="12" t="s">
        <v>515</v>
      </c>
      <c r="E152" s="13">
        <v>45768</v>
      </c>
      <c r="F152" s="15">
        <v>256779412155</v>
      </c>
      <c r="G152" s="12" t="s">
        <v>11</v>
      </c>
      <c r="H152" s="14">
        <v>2330.73</v>
      </c>
      <c r="I152" s="12" t="s">
        <v>59</v>
      </c>
      <c r="J152" s="14">
        <v>199999.94</v>
      </c>
      <c r="K152" s="12" t="s">
        <v>639</v>
      </c>
    </row>
    <row r="153" spans="1:11" x14ac:dyDescent="0.35">
      <c r="A153" s="12" t="s">
        <v>511</v>
      </c>
      <c r="B153" s="15">
        <v>2025</v>
      </c>
      <c r="C153" s="13">
        <v>45768</v>
      </c>
      <c r="D153" s="12" t="s">
        <v>515</v>
      </c>
      <c r="E153" s="13">
        <v>45768</v>
      </c>
      <c r="F153" s="15">
        <v>256779412184</v>
      </c>
      <c r="G153" s="12" t="s">
        <v>11</v>
      </c>
      <c r="H153" s="14">
        <v>93.23</v>
      </c>
      <c r="I153" s="12" t="s">
        <v>59</v>
      </c>
      <c r="J153" s="14">
        <v>8000.07</v>
      </c>
      <c r="K153" s="12" t="s">
        <v>639</v>
      </c>
    </row>
    <row r="154" spans="1:11" x14ac:dyDescent="0.35">
      <c r="A154" s="12" t="s">
        <v>511</v>
      </c>
      <c r="B154" s="15">
        <v>2025</v>
      </c>
      <c r="C154" s="13">
        <v>45768</v>
      </c>
      <c r="D154" s="12" t="s">
        <v>515</v>
      </c>
      <c r="E154" s="13">
        <v>45768</v>
      </c>
      <c r="F154" s="15">
        <v>256779412185</v>
      </c>
      <c r="G154" s="12" t="s">
        <v>11</v>
      </c>
      <c r="H154" s="14">
        <v>51.28</v>
      </c>
      <c r="I154" s="12" t="s">
        <v>59</v>
      </c>
      <c r="J154" s="14">
        <v>4400.34</v>
      </c>
      <c r="K154" s="12" t="s">
        <v>639</v>
      </c>
    </row>
    <row r="155" spans="1:11" x14ac:dyDescent="0.35">
      <c r="A155" s="12" t="s">
        <v>511</v>
      </c>
      <c r="B155" s="15">
        <v>2025</v>
      </c>
      <c r="C155" s="13">
        <v>45768</v>
      </c>
      <c r="D155" s="12" t="s">
        <v>515</v>
      </c>
      <c r="E155" s="13">
        <v>45768</v>
      </c>
      <c r="F155" s="15">
        <v>256779412189</v>
      </c>
      <c r="G155" s="12" t="s">
        <v>59</v>
      </c>
      <c r="H155" s="14">
        <v>262.20999999999998</v>
      </c>
      <c r="I155" s="12" t="s">
        <v>59</v>
      </c>
      <c r="J155" s="14">
        <v>262.20999999999998</v>
      </c>
      <c r="K155" s="12" t="s">
        <v>639</v>
      </c>
    </row>
    <row r="156" spans="1:11" x14ac:dyDescent="0.35">
      <c r="A156" s="12" t="s">
        <v>511</v>
      </c>
      <c r="B156" s="15">
        <v>2025</v>
      </c>
      <c r="C156" s="13">
        <v>45862</v>
      </c>
      <c r="D156" s="12" t="s">
        <v>512</v>
      </c>
      <c r="E156" s="13">
        <v>45862</v>
      </c>
      <c r="F156" s="15">
        <v>256779421498</v>
      </c>
      <c r="G156" s="12" t="s">
        <v>11</v>
      </c>
      <c r="H156" s="14">
        <v>-95.24</v>
      </c>
      <c r="I156" s="12" t="s">
        <v>59</v>
      </c>
      <c r="J156" s="14">
        <v>-8190.7</v>
      </c>
      <c r="K156" s="12" t="s">
        <v>640</v>
      </c>
    </row>
    <row r="157" spans="1:11" x14ac:dyDescent="0.35">
      <c r="A157" s="12" t="s">
        <v>511</v>
      </c>
      <c r="B157" s="15">
        <v>2025</v>
      </c>
      <c r="C157" s="13">
        <v>45862</v>
      </c>
      <c r="D157" s="12" t="s">
        <v>512</v>
      </c>
      <c r="E157" s="13">
        <v>45862</v>
      </c>
      <c r="F157" s="15">
        <v>256779421512</v>
      </c>
      <c r="G157" s="12" t="s">
        <v>11</v>
      </c>
      <c r="H157" s="14">
        <v>-2333.1799999999998</v>
      </c>
      <c r="I157" s="12" t="s">
        <v>59</v>
      </c>
      <c r="J157" s="14">
        <v>-200655.04</v>
      </c>
      <c r="K157" s="12" t="s">
        <v>641</v>
      </c>
    </row>
    <row r="158" spans="1:11" x14ac:dyDescent="0.35">
      <c r="A158" s="12" t="s">
        <v>511</v>
      </c>
      <c r="B158" s="15">
        <v>2025</v>
      </c>
      <c r="C158" s="13">
        <v>45800</v>
      </c>
      <c r="D158" s="12" t="s">
        <v>512</v>
      </c>
      <c r="E158" s="13">
        <v>45800</v>
      </c>
      <c r="F158" s="15">
        <v>256779421106</v>
      </c>
      <c r="G158" s="12" t="s">
        <v>11</v>
      </c>
      <c r="H158" s="14">
        <v>-707.71</v>
      </c>
      <c r="I158" s="12" t="s">
        <v>59</v>
      </c>
      <c r="J158" s="14">
        <v>-60851.519999999997</v>
      </c>
      <c r="K158" s="12" t="s">
        <v>642</v>
      </c>
    </row>
    <row r="159" spans="1:11" x14ac:dyDescent="0.35">
      <c r="A159" s="12" t="s">
        <v>511</v>
      </c>
      <c r="B159" s="15">
        <v>2025</v>
      </c>
      <c r="C159" s="13">
        <v>45800</v>
      </c>
      <c r="D159" s="12" t="s">
        <v>512</v>
      </c>
      <c r="E159" s="13">
        <v>45800</v>
      </c>
      <c r="F159" s="15">
        <v>256779421109</v>
      </c>
      <c r="G159" s="12" t="s">
        <v>11</v>
      </c>
      <c r="H159" s="14">
        <v>-3.78</v>
      </c>
      <c r="I159" s="12" t="s">
        <v>59</v>
      </c>
      <c r="J159" s="14">
        <v>-325.02</v>
      </c>
      <c r="K159" s="12" t="s">
        <v>643</v>
      </c>
    </row>
    <row r="160" spans="1:11" x14ac:dyDescent="0.35">
      <c r="A160" s="12" t="s">
        <v>511</v>
      </c>
      <c r="B160" s="15">
        <v>2025</v>
      </c>
      <c r="C160" s="13">
        <v>45798</v>
      </c>
      <c r="D160" s="12" t="s">
        <v>515</v>
      </c>
      <c r="E160" s="13">
        <v>45798</v>
      </c>
      <c r="F160" s="15">
        <v>256779413391</v>
      </c>
      <c r="G160" s="12" t="s">
        <v>11</v>
      </c>
      <c r="H160" s="14">
        <v>253.29</v>
      </c>
      <c r="I160" s="12" t="s">
        <v>59</v>
      </c>
      <c r="J160" s="14">
        <v>21778.81</v>
      </c>
      <c r="K160" s="12" t="s">
        <v>644</v>
      </c>
    </row>
    <row r="161" spans="1:11" x14ac:dyDescent="0.35">
      <c r="A161" s="12" t="s">
        <v>511</v>
      </c>
      <c r="B161" s="15">
        <v>2025</v>
      </c>
      <c r="C161" s="13">
        <v>45798</v>
      </c>
      <c r="D161" s="12" t="s">
        <v>515</v>
      </c>
      <c r="E161" s="13">
        <v>45798</v>
      </c>
      <c r="F161" s="15">
        <v>256779413392</v>
      </c>
      <c r="G161" s="12" t="s">
        <v>11</v>
      </c>
      <c r="H161" s="14">
        <v>218.17</v>
      </c>
      <c r="I161" s="12" t="s">
        <v>59</v>
      </c>
      <c r="J161" s="14">
        <v>18759.060000000001</v>
      </c>
      <c r="K161" s="12" t="s">
        <v>644</v>
      </c>
    </row>
    <row r="162" spans="1:11" x14ac:dyDescent="0.35">
      <c r="A162" s="12" t="s">
        <v>511</v>
      </c>
      <c r="B162" s="15">
        <v>2025</v>
      </c>
      <c r="C162" s="13">
        <v>45798</v>
      </c>
      <c r="D162" s="12" t="s">
        <v>515</v>
      </c>
      <c r="E162" s="13">
        <v>45798</v>
      </c>
      <c r="F162" s="15">
        <v>256779413393</v>
      </c>
      <c r="G162" s="12" t="s">
        <v>11</v>
      </c>
      <c r="H162" s="14">
        <v>229.87</v>
      </c>
      <c r="I162" s="12" t="s">
        <v>59</v>
      </c>
      <c r="J162" s="14">
        <v>19765.07</v>
      </c>
      <c r="K162" s="12" t="s">
        <v>644</v>
      </c>
    </row>
    <row r="163" spans="1:11" x14ac:dyDescent="0.35">
      <c r="A163" s="12" t="s">
        <v>511</v>
      </c>
      <c r="B163" s="15">
        <v>2025</v>
      </c>
      <c r="C163" s="13">
        <v>45798</v>
      </c>
      <c r="D163" s="12" t="s">
        <v>515</v>
      </c>
      <c r="E163" s="13">
        <v>45798</v>
      </c>
      <c r="F163" s="15">
        <v>256779413394</v>
      </c>
      <c r="G163" s="12" t="s">
        <v>11</v>
      </c>
      <c r="H163" s="14">
        <v>218.17</v>
      </c>
      <c r="I163" s="12" t="s">
        <v>59</v>
      </c>
      <c r="J163" s="14">
        <v>18759.060000000001</v>
      </c>
      <c r="K163" s="12" t="s">
        <v>644</v>
      </c>
    </row>
    <row r="164" spans="1:11" x14ac:dyDescent="0.35">
      <c r="A164" s="12" t="s">
        <v>511</v>
      </c>
      <c r="B164" s="15">
        <v>2025</v>
      </c>
      <c r="C164" s="13">
        <v>45798</v>
      </c>
      <c r="D164" s="12" t="s">
        <v>515</v>
      </c>
      <c r="E164" s="13">
        <v>45798</v>
      </c>
      <c r="F164" s="15">
        <v>256779413395</v>
      </c>
      <c r="G164" s="12" t="s">
        <v>11</v>
      </c>
      <c r="H164" s="14">
        <v>264.98</v>
      </c>
      <c r="I164" s="12" t="s">
        <v>59</v>
      </c>
      <c r="J164" s="14">
        <v>22783.96</v>
      </c>
      <c r="K164" s="12" t="s">
        <v>645</v>
      </c>
    </row>
    <row r="165" spans="1:11" x14ac:dyDescent="0.35">
      <c r="A165" s="12" t="s">
        <v>511</v>
      </c>
      <c r="B165" s="15">
        <v>2025</v>
      </c>
      <c r="C165" s="13">
        <v>45798</v>
      </c>
      <c r="D165" s="12" t="s">
        <v>515</v>
      </c>
      <c r="E165" s="13">
        <v>45798</v>
      </c>
      <c r="F165" s="15">
        <v>256779413396</v>
      </c>
      <c r="G165" s="12" t="s">
        <v>11</v>
      </c>
      <c r="H165" s="14">
        <v>218.17</v>
      </c>
      <c r="I165" s="12" t="s">
        <v>59</v>
      </c>
      <c r="J165" s="14">
        <v>18759.060000000001</v>
      </c>
      <c r="K165" s="12" t="s">
        <v>645</v>
      </c>
    </row>
    <row r="166" spans="1:11" x14ac:dyDescent="0.35">
      <c r="A166" s="12" t="s">
        <v>511</v>
      </c>
      <c r="B166" s="15">
        <v>2025</v>
      </c>
      <c r="C166" s="13">
        <v>45798</v>
      </c>
      <c r="D166" s="12" t="s">
        <v>515</v>
      </c>
      <c r="E166" s="13">
        <v>45798</v>
      </c>
      <c r="F166" s="15">
        <v>256779413397</v>
      </c>
      <c r="G166" s="12" t="s">
        <v>11</v>
      </c>
      <c r="H166" s="14">
        <v>229.87</v>
      </c>
      <c r="I166" s="12" t="s">
        <v>59</v>
      </c>
      <c r="J166" s="14">
        <v>19765.07</v>
      </c>
      <c r="K166" s="12" t="s">
        <v>645</v>
      </c>
    </row>
    <row r="167" spans="1:11" x14ac:dyDescent="0.35">
      <c r="A167" s="12" t="s">
        <v>511</v>
      </c>
      <c r="B167" s="15">
        <v>2025</v>
      </c>
      <c r="C167" s="13">
        <v>45798</v>
      </c>
      <c r="D167" s="12" t="s">
        <v>515</v>
      </c>
      <c r="E167" s="13">
        <v>45798</v>
      </c>
      <c r="F167" s="15">
        <v>256779413398</v>
      </c>
      <c r="G167" s="12" t="s">
        <v>11</v>
      </c>
      <c r="H167" s="14">
        <v>218.17</v>
      </c>
      <c r="I167" s="12" t="s">
        <v>59</v>
      </c>
      <c r="J167" s="14">
        <v>18759.060000000001</v>
      </c>
      <c r="K167" s="12" t="s">
        <v>645</v>
      </c>
    </row>
    <row r="168" spans="1:11" x14ac:dyDescent="0.35">
      <c r="A168" s="12" t="s">
        <v>511</v>
      </c>
      <c r="B168" s="15">
        <v>2025</v>
      </c>
      <c r="C168" s="13">
        <v>45798</v>
      </c>
      <c r="D168" s="12" t="s">
        <v>515</v>
      </c>
      <c r="E168" s="13">
        <v>45798</v>
      </c>
      <c r="F168" s="15">
        <v>256779413399</v>
      </c>
      <c r="G168" s="12" t="s">
        <v>11</v>
      </c>
      <c r="H168" s="14">
        <v>229.87</v>
      </c>
      <c r="I168" s="12" t="s">
        <v>59</v>
      </c>
      <c r="J168" s="14">
        <v>19765.07</v>
      </c>
      <c r="K168" s="12" t="s">
        <v>645</v>
      </c>
    </row>
    <row r="169" spans="1:11" x14ac:dyDescent="0.35">
      <c r="A169" s="12" t="s">
        <v>511</v>
      </c>
      <c r="B169" s="15">
        <v>2025</v>
      </c>
      <c r="C169" s="13">
        <v>45798</v>
      </c>
      <c r="D169" s="12" t="s">
        <v>515</v>
      </c>
      <c r="E169" s="13">
        <v>45798</v>
      </c>
      <c r="F169" s="15">
        <v>256779413400</v>
      </c>
      <c r="G169" s="12" t="s">
        <v>11</v>
      </c>
      <c r="H169" s="14">
        <v>218.17</v>
      </c>
      <c r="I169" s="12" t="s">
        <v>59</v>
      </c>
      <c r="J169" s="14">
        <v>18759.060000000001</v>
      </c>
      <c r="K169" s="12" t="s">
        <v>645</v>
      </c>
    </row>
    <row r="170" spans="1:11" x14ac:dyDescent="0.35">
      <c r="A170" s="12" t="s">
        <v>511</v>
      </c>
      <c r="B170" s="15">
        <v>2025</v>
      </c>
      <c r="C170" s="13">
        <v>45798</v>
      </c>
      <c r="D170" s="12" t="s">
        <v>515</v>
      </c>
      <c r="E170" s="13">
        <v>45798</v>
      </c>
      <c r="F170" s="15">
        <v>256779413401</v>
      </c>
      <c r="G170" s="12" t="s">
        <v>11</v>
      </c>
      <c r="H170" s="14">
        <v>229.87</v>
      </c>
      <c r="I170" s="12" t="s">
        <v>59</v>
      </c>
      <c r="J170" s="14">
        <v>19765.07</v>
      </c>
      <c r="K170" s="12" t="s">
        <v>645</v>
      </c>
    </row>
    <row r="171" spans="1:11" x14ac:dyDescent="0.35">
      <c r="A171" s="12" t="s">
        <v>511</v>
      </c>
      <c r="B171" s="15">
        <v>2025</v>
      </c>
      <c r="C171" s="13">
        <v>45798</v>
      </c>
      <c r="D171" s="12" t="s">
        <v>515</v>
      </c>
      <c r="E171" s="13">
        <v>45798</v>
      </c>
      <c r="F171" s="15">
        <v>256779413402</v>
      </c>
      <c r="G171" s="12" t="s">
        <v>11</v>
      </c>
      <c r="H171" s="14">
        <v>229.87</v>
      </c>
      <c r="I171" s="12" t="s">
        <v>59</v>
      </c>
      <c r="J171" s="14">
        <v>19765.07</v>
      </c>
      <c r="K171" s="12" t="s">
        <v>645</v>
      </c>
    </row>
    <row r="172" spans="1:11" x14ac:dyDescent="0.35">
      <c r="A172" s="12" t="s">
        <v>511</v>
      </c>
      <c r="B172" s="15">
        <v>2025</v>
      </c>
      <c r="C172" s="13">
        <v>45798</v>
      </c>
      <c r="D172" s="12" t="s">
        <v>515</v>
      </c>
      <c r="E172" s="13">
        <v>45798</v>
      </c>
      <c r="F172" s="15">
        <v>256779413403</v>
      </c>
      <c r="G172" s="12" t="s">
        <v>11</v>
      </c>
      <c r="H172" s="14">
        <v>402.88</v>
      </c>
      <c r="I172" s="12" t="s">
        <v>59</v>
      </c>
      <c r="J172" s="14">
        <v>34641.11</v>
      </c>
      <c r="K172" s="12" t="s">
        <v>646</v>
      </c>
    </row>
    <row r="173" spans="1:11" x14ac:dyDescent="0.35">
      <c r="A173" s="12" t="s">
        <v>511</v>
      </c>
      <c r="B173" s="15">
        <v>2025</v>
      </c>
      <c r="C173" s="13">
        <v>45890</v>
      </c>
      <c r="D173" s="12" t="s">
        <v>512</v>
      </c>
      <c r="E173" s="13">
        <v>45890</v>
      </c>
      <c r="F173" s="15">
        <v>256779421698</v>
      </c>
      <c r="G173" s="12" t="s">
        <v>11</v>
      </c>
      <c r="H173" s="14">
        <v>-30</v>
      </c>
      <c r="I173" s="12" t="s">
        <v>59</v>
      </c>
      <c r="J173" s="14">
        <v>-2580.9</v>
      </c>
      <c r="K173" s="12" t="s">
        <v>647</v>
      </c>
    </row>
    <row r="174" spans="1:11" x14ac:dyDescent="0.35">
      <c r="A174" s="12" t="s">
        <v>511</v>
      </c>
      <c r="B174" s="15">
        <v>2025</v>
      </c>
      <c r="C174" s="13">
        <v>45890</v>
      </c>
      <c r="D174" s="12" t="s">
        <v>512</v>
      </c>
      <c r="E174" s="13">
        <v>45890</v>
      </c>
      <c r="F174" s="15">
        <v>256779421699</v>
      </c>
      <c r="G174" s="12" t="s">
        <v>11</v>
      </c>
      <c r="H174" s="14">
        <v>-30</v>
      </c>
      <c r="I174" s="12" t="s">
        <v>59</v>
      </c>
      <c r="J174" s="14">
        <v>-2580.9</v>
      </c>
      <c r="K174" s="12" t="s">
        <v>648</v>
      </c>
    </row>
    <row r="175" spans="1:11" x14ac:dyDescent="0.35">
      <c r="A175" s="12" t="s">
        <v>511</v>
      </c>
      <c r="B175" s="15">
        <v>2025</v>
      </c>
      <c r="C175" s="13">
        <v>45890</v>
      </c>
      <c r="D175" s="12" t="s">
        <v>512</v>
      </c>
      <c r="E175" s="13">
        <v>45890</v>
      </c>
      <c r="F175" s="15">
        <v>256779421700</v>
      </c>
      <c r="G175" s="12" t="s">
        <v>11</v>
      </c>
      <c r="H175" s="14">
        <v>-30</v>
      </c>
      <c r="I175" s="12" t="s">
        <v>59</v>
      </c>
      <c r="J175" s="14">
        <v>-2580.9</v>
      </c>
      <c r="K175" s="12" t="s">
        <v>649</v>
      </c>
    </row>
    <row r="176" spans="1:11" x14ac:dyDescent="0.35">
      <c r="A176" s="12" t="s">
        <v>511</v>
      </c>
      <c r="B176" s="15">
        <v>2025</v>
      </c>
      <c r="C176" s="13">
        <v>45890</v>
      </c>
      <c r="D176" s="12" t="s">
        <v>512</v>
      </c>
      <c r="E176" s="13">
        <v>45890</v>
      </c>
      <c r="F176" s="15">
        <v>256779421701</v>
      </c>
      <c r="G176" s="12" t="s">
        <v>11</v>
      </c>
      <c r="H176" s="14">
        <v>-30</v>
      </c>
      <c r="I176" s="12" t="s">
        <v>59</v>
      </c>
      <c r="J176" s="14">
        <v>-2580.9</v>
      </c>
      <c r="K176" s="12" t="s">
        <v>650</v>
      </c>
    </row>
    <row r="177" spans="1:11" x14ac:dyDescent="0.35">
      <c r="A177" s="12" t="s">
        <v>511</v>
      </c>
      <c r="B177" s="15">
        <v>2025</v>
      </c>
      <c r="C177" s="13">
        <v>45890</v>
      </c>
      <c r="D177" s="12" t="s">
        <v>512</v>
      </c>
      <c r="E177" s="13">
        <v>45890</v>
      </c>
      <c r="F177" s="15">
        <v>256779421702</v>
      </c>
      <c r="G177" s="12" t="s">
        <v>11</v>
      </c>
      <c r="H177" s="14">
        <v>-30</v>
      </c>
      <c r="I177" s="12" t="s">
        <v>59</v>
      </c>
      <c r="J177" s="14">
        <v>-2580.9</v>
      </c>
      <c r="K177" s="12" t="s">
        <v>651</v>
      </c>
    </row>
    <row r="178" spans="1:11" x14ac:dyDescent="0.35">
      <c r="A178" s="12" t="s">
        <v>511</v>
      </c>
      <c r="B178" s="15">
        <v>2025</v>
      </c>
      <c r="C178" s="13">
        <v>45890</v>
      </c>
      <c r="D178" s="12" t="s">
        <v>512</v>
      </c>
      <c r="E178" s="13">
        <v>45890</v>
      </c>
      <c r="F178" s="15">
        <v>256779421703</v>
      </c>
      <c r="G178" s="12" t="s">
        <v>11</v>
      </c>
      <c r="H178" s="14">
        <v>-27.39</v>
      </c>
      <c r="I178" s="12" t="s">
        <v>59</v>
      </c>
      <c r="J178" s="14">
        <v>-2356.36</v>
      </c>
      <c r="K178" s="12" t="s">
        <v>652</v>
      </c>
    </row>
    <row r="179" spans="1:11" x14ac:dyDescent="0.35">
      <c r="A179" s="12" t="s">
        <v>511</v>
      </c>
      <c r="B179" s="15">
        <v>2025</v>
      </c>
      <c r="C179" s="13">
        <v>45890</v>
      </c>
      <c r="D179" s="12" t="s">
        <v>512</v>
      </c>
      <c r="E179" s="13">
        <v>45890</v>
      </c>
      <c r="F179" s="15">
        <v>256779421705</v>
      </c>
      <c r="G179" s="12" t="s">
        <v>11</v>
      </c>
      <c r="H179" s="14">
        <v>-212.5</v>
      </c>
      <c r="I179" s="12" t="s">
        <v>59</v>
      </c>
      <c r="J179" s="14">
        <v>-18281.400000000001</v>
      </c>
      <c r="K179" s="12" t="s">
        <v>653</v>
      </c>
    </row>
    <row r="180" spans="1:11" x14ac:dyDescent="0.35">
      <c r="A180" s="12" t="s">
        <v>511</v>
      </c>
      <c r="B180" s="15">
        <v>2025</v>
      </c>
      <c r="C180" s="13">
        <v>45890</v>
      </c>
      <c r="D180" s="12" t="s">
        <v>512</v>
      </c>
      <c r="E180" s="13">
        <v>45890</v>
      </c>
      <c r="F180" s="15">
        <v>256779421706</v>
      </c>
      <c r="G180" s="12" t="s">
        <v>11</v>
      </c>
      <c r="H180" s="14">
        <v>-362.02</v>
      </c>
      <c r="I180" s="12" t="s">
        <v>59</v>
      </c>
      <c r="J180" s="14">
        <v>-31144.62</v>
      </c>
      <c r="K180" s="12" t="s">
        <v>654</v>
      </c>
    </row>
    <row r="181" spans="1:11" x14ac:dyDescent="0.35">
      <c r="A181" s="12" t="s">
        <v>511</v>
      </c>
      <c r="B181" s="15">
        <v>2025</v>
      </c>
      <c r="C181" s="13">
        <v>45890</v>
      </c>
      <c r="D181" s="12" t="s">
        <v>512</v>
      </c>
      <c r="E181" s="13">
        <v>45890</v>
      </c>
      <c r="F181" s="15">
        <v>256779421707</v>
      </c>
      <c r="G181" s="12" t="s">
        <v>11</v>
      </c>
      <c r="H181" s="14">
        <v>-228.75</v>
      </c>
      <c r="I181" s="12" t="s">
        <v>59</v>
      </c>
      <c r="J181" s="14">
        <v>-19679.39</v>
      </c>
      <c r="K181" s="12" t="s">
        <v>655</v>
      </c>
    </row>
    <row r="182" spans="1:11" x14ac:dyDescent="0.35">
      <c r="A182" s="12" t="s">
        <v>511</v>
      </c>
      <c r="B182" s="15">
        <v>2025</v>
      </c>
      <c r="C182" s="13">
        <v>45890</v>
      </c>
      <c r="D182" s="12" t="s">
        <v>512</v>
      </c>
      <c r="E182" s="13">
        <v>45890</v>
      </c>
      <c r="F182" s="15">
        <v>256779421708</v>
      </c>
      <c r="G182" s="12" t="s">
        <v>11</v>
      </c>
      <c r="H182" s="14">
        <v>-281.5</v>
      </c>
      <c r="I182" s="12" t="s">
        <v>59</v>
      </c>
      <c r="J182" s="14">
        <v>-24217.48</v>
      </c>
      <c r="K182" s="12" t="s">
        <v>656</v>
      </c>
    </row>
    <row r="183" spans="1:11" x14ac:dyDescent="0.35">
      <c r="A183" s="12" t="s">
        <v>511</v>
      </c>
      <c r="B183" s="15">
        <v>2025</v>
      </c>
      <c r="C183" s="13">
        <v>45771</v>
      </c>
      <c r="D183" s="12" t="s">
        <v>515</v>
      </c>
      <c r="E183" s="13">
        <v>45771</v>
      </c>
      <c r="F183" s="15">
        <v>256779412776</v>
      </c>
      <c r="G183" s="12" t="s">
        <v>11</v>
      </c>
      <c r="H183" s="14">
        <v>632.46</v>
      </c>
      <c r="I183" s="12" t="s">
        <v>59</v>
      </c>
      <c r="J183" s="14">
        <v>54974.57</v>
      </c>
      <c r="K183" s="12" t="s">
        <v>657</v>
      </c>
    </row>
    <row r="184" spans="1:11" x14ac:dyDescent="0.35">
      <c r="A184" s="12" t="s">
        <v>511</v>
      </c>
      <c r="B184" s="15">
        <v>2025</v>
      </c>
      <c r="C184" s="13">
        <v>45826</v>
      </c>
      <c r="D184" s="12" t="s">
        <v>515</v>
      </c>
      <c r="E184" s="13">
        <v>45826</v>
      </c>
      <c r="F184" s="15">
        <v>256779414431</v>
      </c>
      <c r="G184" s="12" t="s">
        <v>11</v>
      </c>
      <c r="H184" s="14">
        <v>52.38</v>
      </c>
      <c r="I184" s="12" t="s">
        <v>59</v>
      </c>
      <c r="J184" s="14">
        <v>4478.01</v>
      </c>
      <c r="K184" s="12" t="s">
        <v>605</v>
      </c>
    </row>
    <row r="185" spans="1:11" x14ac:dyDescent="0.35">
      <c r="A185" s="12" t="s">
        <v>511</v>
      </c>
      <c r="B185" s="15">
        <v>2025</v>
      </c>
      <c r="C185" s="13">
        <v>45826</v>
      </c>
      <c r="D185" s="12" t="s">
        <v>515</v>
      </c>
      <c r="E185" s="13">
        <v>45826</v>
      </c>
      <c r="F185" s="15">
        <v>256779414430</v>
      </c>
      <c r="G185" s="12" t="s">
        <v>11</v>
      </c>
      <c r="H185" s="14">
        <v>95.24</v>
      </c>
      <c r="I185" s="12" t="s">
        <v>59</v>
      </c>
      <c r="J185" s="14">
        <v>8142.14</v>
      </c>
      <c r="K185" s="12" t="s">
        <v>604</v>
      </c>
    </row>
    <row r="186" spans="1:11" x14ac:dyDescent="0.35">
      <c r="A186" s="12" t="s">
        <v>511</v>
      </c>
      <c r="B186" s="15">
        <v>2025</v>
      </c>
      <c r="C186" s="13">
        <v>45826</v>
      </c>
      <c r="D186" s="12" t="s">
        <v>515</v>
      </c>
      <c r="E186" s="13">
        <v>45826</v>
      </c>
      <c r="F186" s="15">
        <v>256779414445</v>
      </c>
      <c r="G186" s="12" t="s">
        <v>11</v>
      </c>
      <c r="H186" s="14">
        <v>2333.1799999999998</v>
      </c>
      <c r="I186" s="12" t="s">
        <v>59</v>
      </c>
      <c r="J186" s="14">
        <v>199465.38</v>
      </c>
      <c r="K186" s="12" t="s">
        <v>609</v>
      </c>
    </row>
    <row r="187" spans="1:11" x14ac:dyDescent="0.35">
      <c r="A187" s="12" t="s">
        <v>511</v>
      </c>
      <c r="B187" s="15">
        <v>2025</v>
      </c>
      <c r="C187" s="13">
        <v>45951</v>
      </c>
      <c r="D187" s="12" t="s">
        <v>515</v>
      </c>
      <c r="E187" s="13">
        <v>45951</v>
      </c>
      <c r="F187" s="15">
        <v>256779418474</v>
      </c>
      <c r="G187" s="12" t="s">
        <v>11</v>
      </c>
      <c r="H187" s="14">
        <v>562.38</v>
      </c>
      <c r="I187" s="12" t="s">
        <v>59</v>
      </c>
      <c r="J187" s="14">
        <v>49596.73</v>
      </c>
      <c r="K187" s="12" t="s">
        <v>658</v>
      </c>
    </row>
    <row r="188" spans="1:11" x14ac:dyDescent="0.35">
      <c r="A188" s="12" t="s">
        <v>511</v>
      </c>
      <c r="B188" s="15">
        <v>2025</v>
      </c>
      <c r="C188" s="13">
        <v>45951</v>
      </c>
      <c r="D188" s="12" t="s">
        <v>515</v>
      </c>
      <c r="E188" s="13">
        <v>45951</v>
      </c>
      <c r="F188" s="15">
        <v>256779418480</v>
      </c>
      <c r="G188" s="12" t="s">
        <v>11</v>
      </c>
      <c r="H188" s="14">
        <v>13.59</v>
      </c>
      <c r="I188" s="12" t="s">
        <v>59</v>
      </c>
      <c r="J188" s="14">
        <v>1198.51</v>
      </c>
      <c r="K188" s="12" t="s">
        <v>659</v>
      </c>
    </row>
    <row r="189" spans="1:11" x14ac:dyDescent="0.35">
      <c r="A189" s="12" t="s">
        <v>511</v>
      </c>
      <c r="B189" s="15">
        <v>2025</v>
      </c>
      <c r="C189" s="13">
        <v>45951</v>
      </c>
      <c r="D189" s="12" t="s">
        <v>515</v>
      </c>
      <c r="E189" s="13">
        <v>45951</v>
      </c>
      <c r="F189" s="15">
        <v>256779418489</v>
      </c>
      <c r="G189" s="12" t="s">
        <v>11</v>
      </c>
      <c r="H189" s="14">
        <v>562.38</v>
      </c>
      <c r="I189" s="12" t="s">
        <v>59</v>
      </c>
      <c r="J189" s="14">
        <v>49596.73</v>
      </c>
      <c r="K189" s="12" t="s">
        <v>658</v>
      </c>
    </row>
    <row r="190" spans="1:11" x14ac:dyDescent="0.35">
      <c r="A190" s="12" t="s">
        <v>511</v>
      </c>
      <c r="B190" s="15">
        <v>2025</v>
      </c>
      <c r="C190" s="13">
        <v>45951</v>
      </c>
      <c r="D190" s="12" t="s">
        <v>515</v>
      </c>
      <c r="E190" s="13">
        <v>45951</v>
      </c>
      <c r="F190" s="15">
        <v>256779418495</v>
      </c>
      <c r="G190" s="12" t="s">
        <v>11</v>
      </c>
      <c r="H190" s="14">
        <v>13.59</v>
      </c>
      <c r="I190" s="12" t="s">
        <v>59</v>
      </c>
      <c r="J190" s="14">
        <v>1198.51</v>
      </c>
      <c r="K190" s="12" t="s">
        <v>659</v>
      </c>
    </row>
    <row r="191" spans="1:11" x14ac:dyDescent="0.35">
      <c r="A191" s="12" t="s">
        <v>511</v>
      </c>
      <c r="B191" s="15">
        <v>2025</v>
      </c>
      <c r="C191" s="13">
        <v>45735</v>
      </c>
      <c r="D191" s="12" t="s">
        <v>515</v>
      </c>
      <c r="E191" s="13">
        <v>45735</v>
      </c>
      <c r="F191" s="15">
        <v>246779412994</v>
      </c>
      <c r="G191" s="12" t="s">
        <v>11</v>
      </c>
      <c r="H191" s="14">
        <v>2297.27</v>
      </c>
      <c r="I191" s="12" t="s">
        <v>59</v>
      </c>
      <c r="J191" s="14">
        <v>199153.23</v>
      </c>
      <c r="K191" s="12" t="s">
        <v>660</v>
      </c>
    </row>
    <row r="192" spans="1:11" x14ac:dyDescent="0.35">
      <c r="A192" s="12" t="s">
        <v>511</v>
      </c>
      <c r="B192" s="15">
        <v>2025</v>
      </c>
      <c r="C192" s="13">
        <v>45735</v>
      </c>
      <c r="D192" s="12" t="s">
        <v>515</v>
      </c>
      <c r="E192" s="13">
        <v>45735</v>
      </c>
      <c r="F192" s="15">
        <v>246779413023</v>
      </c>
      <c r="G192" s="12" t="s">
        <v>11</v>
      </c>
      <c r="H192" s="14">
        <v>91.89</v>
      </c>
      <c r="I192" s="12" t="s">
        <v>59</v>
      </c>
      <c r="J192" s="14">
        <v>7966.06</v>
      </c>
      <c r="K192" s="12" t="s">
        <v>660</v>
      </c>
    </row>
    <row r="193" spans="1:11" x14ac:dyDescent="0.35">
      <c r="A193" s="12" t="s">
        <v>511</v>
      </c>
      <c r="B193" s="15">
        <v>2025</v>
      </c>
      <c r="C193" s="13">
        <v>45735</v>
      </c>
      <c r="D193" s="12" t="s">
        <v>515</v>
      </c>
      <c r="E193" s="13">
        <v>45735</v>
      </c>
      <c r="F193" s="15">
        <v>246779413024</v>
      </c>
      <c r="G193" s="12" t="s">
        <v>11</v>
      </c>
      <c r="H193" s="14">
        <v>50.54</v>
      </c>
      <c r="I193" s="12" t="s">
        <v>59</v>
      </c>
      <c r="J193" s="14">
        <v>4381.38</v>
      </c>
      <c r="K193" s="12" t="s">
        <v>660</v>
      </c>
    </row>
    <row r="194" spans="1:11" x14ac:dyDescent="0.35">
      <c r="A194" s="12" t="s">
        <v>511</v>
      </c>
      <c r="B194" s="15">
        <v>2025</v>
      </c>
      <c r="C194" s="13">
        <v>45735</v>
      </c>
      <c r="D194" s="12" t="s">
        <v>515</v>
      </c>
      <c r="E194" s="13">
        <v>45735</v>
      </c>
      <c r="F194" s="15">
        <v>246779413202</v>
      </c>
      <c r="G194" s="12" t="s">
        <v>11</v>
      </c>
      <c r="H194" s="14">
        <v>39.06</v>
      </c>
      <c r="I194" s="12" t="s">
        <v>59</v>
      </c>
      <c r="J194" s="14">
        <v>3386.16</v>
      </c>
      <c r="K194" s="12" t="s">
        <v>661</v>
      </c>
    </row>
    <row r="195" spans="1:11" x14ac:dyDescent="0.35">
      <c r="A195" s="12" t="s">
        <v>511</v>
      </c>
      <c r="B195" s="15">
        <v>2025</v>
      </c>
      <c r="C195" s="13">
        <v>45735</v>
      </c>
      <c r="D195" s="12" t="s">
        <v>515</v>
      </c>
      <c r="E195" s="13">
        <v>45735</v>
      </c>
      <c r="F195" s="15">
        <v>246779413317</v>
      </c>
      <c r="G195" s="12" t="s">
        <v>11</v>
      </c>
      <c r="H195" s="14">
        <v>20.100000000000001</v>
      </c>
      <c r="I195" s="12" t="s">
        <v>59</v>
      </c>
      <c r="J195" s="14">
        <v>1742.49</v>
      </c>
      <c r="K195" s="12" t="s">
        <v>662</v>
      </c>
    </row>
    <row r="196" spans="1:11" x14ac:dyDescent="0.35">
      <c r="A196" s="12" t="s">
        <v>511</v>
      </c>
      <c r="B196" s="15">
        <v>2025</v>
      </c>
      <c r="C196" s="13">
        <v>45827</v>
      </c>
      <c r="D196" s="12" t="s">
        <v>515</v>
      </c>
      <c r="E196" s="13">
        <v>45827</v>
      </c>
      <c r="F196" s="15">
        <v>256779414741</v>
      </c>
      <c r="G196" s="12" t="s">
        <v>11</v>
      </c>
      <c r="H196" s="14">
        <v>579.79</v>
      </c>
      <c r="I196" s="12" t="s">
        <v>59</v>
      </c>
      <c r="J196" s="14">
        <v>49566.7</v>
      </c>
      <c r="K196" s="12" t="s">
        <v>663</v>
      </c>
    </row>
    <row r="197" spans="1:11" x14ac:dyDescent="0.35">
      <c r="A197" s="12" t="s">
        <v>511</v>
      </c>
      <c r="B197" s="15">
        <v>2025</v>
      </c>
      <c r="C197" s="13">
        <v>45981</v>
      </c>
      <c r="D197" s="12" t="s">
        <v>515</v>
      </c>
      <c r="E197" s="13">
        <v>45981</v>
      </c>
      <c r="F197" s="15">
        <v>256779419620</v>
      </c>
      <c r="G197" s="12" t="s">
        <v>11</v>
      </c>
      <c r="H197" s="14">
        <v>102.39</v>
      </c>
      <c r="I197" s="12" t="s">
        <v>59</v>
      </c>
      <c r="J197" s="14">
        <v>9010.67</v>
      </c>
      <c r="K197" s="12" t="s">
        <v>664</v>
      </c>
    </row>
    <row r="198" spans="1:11" x14ac:dyDescent="0.35">
      <c r="A198" s="12" t="s">
        <v>511</v>
      </c>
      <c r="B198" s="15">
        <v>2025</v>
      </c>
      <c r="C198" s="13">
        <v>45981</v>
      </c>
      <c r="D198" s="12" t="s">
        <v>515</v>
      </c>
      <c r="E198" s="13">
        <v>45981</v>
      </c>
      <c r="F198" s="15">
        <v>256779419531</v>
      </c>
      <c r="G198" s="12" t="s">
        <v>11</v>
      </c>
      <c r="H198" s="14">
        <v>417.77</v>
      </c>
      <c r="I198" s="12" t="s">
        <v>59</v>
      </c>
      <c r="J198" s="14">
        <v>36765.18</v>
      </c>
      <c r="K198" s="12" t="s">
        <v>665</v>
      </c>
    </row>
    <row r="199" spans="1:11" x14ac:dyDescent="0.35">
      <c r="A199" s="12" t="s">
        <v>511</v>
      </c>
      <c r="B199" s="15">
        <v>2025</v>
      </c>
      <c r="C199" s="13">
        <v>45981</v>
      </c>
      <c r="D199" s="12" t="s">
        <v>515</v>
      </c>
      <c r="E199" s="13">
        <v>45981</v>
      </c>
      <c r="F199" s="15">
        <v>256779419542</v>
      </c>
      <c r="G199" s="12" t="s">
        <v>11</v>
      </c>
      <c r="H199" s="14">
        <v>409.4</v>
      </c>
      <c r="I199" s="12" t="s">
        <v>59</v>
      </c>
      <c r="J199" s="14">
        <v>36028.589999999997</v>
      </c>
      <c r="K199" s="12" t="s">
        <v>666</v>
      </c>
    </row>
    <row r="200" spans="1:11" x14ac:dyDescent="0.35">
      <c r="A200" s="12" t="s">
        <v>511</v>
      </c>
      <c r="B200" s="15">
        <v>2025</v>
      </c>
      <c r="C200" s="13">
        <v>45981</v>
      </c>
      <c r="D200" s="12" t="s">
        <v>515</v>
      </c>
      <c r="E200" s="13">
        <v>45981</v>
      </c>
      <c r="F200" s="15">
        <v>256779419581</v>
      </c>
      <c r="G200" s="12" t="s">
        <v>11</v>
      </c>
      <c r="H200" s="14">
        <v>156.19999999999999</v>
      </c>
      <c r="I200" s="12" t="s">
        <v>59</v>
      </c>
      <c r="J200" s="14">
        <v>13746.13</v>
      </c>
      <c r="K200" s="12" t="s">
        <v>667</v>
      </c>
    </row>
    <row r="201" spans="1:11" x14ac:dyDescent="0.35">
      <c r="A201" s="12" t="s">
        <v>511</v>
      </c>
      <c r="B201" s="15">
        <v>2025</v>
      </c>
      <c r="C201" s="13">
        <v>45769</v>
      </c>
      <c r="D201" s="12" t="s">
        <v>515</v>
      </c>
      <c r="E201" s="13">
        <v>45769</v>
      </c>
      <c r="F201" s="15">
        <v>256779412524</v>
      </c>
      <c r="G201" s="12" t="s">
        <v>11</v>
      </c>
      <c r="H201" s="14">
        <v>36.5</v>
      </c>
      <c r="I201" s="12" t="s">
        <v>59</v>
      </c>
      <c r="J201" s="14">
        <v>3172.65</v>
      </c>
      <c r="K201" s="12" t="s">
        <v>591</v>
      </c>
    </row>
    <row r="202" spans="1:11" x14ac:dyDescent="0.35">
      <c r="A202" s="12" t="s">
        <v>511</v>
      </c>
      <c r="B202" s="15">
        <v>2025</v>
      </c>
      <c r="C202" s="13">
        <v>45769</v>
      </c>
      <c r="D202" s="12" t="s">
        <v>515</v>
      </c>
      <c r="E202" s="13">
        <v>45769</v>
      </c>
      <c r="F202" s="15">
        <v>256779412529</v>
      </c>
      <c r="G202" s="12" t="s">
        <v>11</v>
      </c>
      <c r="H202" s="14">
        <v>29.57</v>
      </c>
      <c r="I202" s="12" t="s">
        <v>59</v>
      </c>
      <c r="J202" s="14">
        <v>2570.2800000000002</v>
      </c>
      <c r="K202" s="12" t="s">
        <v>591</v>
      </c>
    </row>
    <row r="203" spans="1:11" x14ac:dyDescent="0.35">
      <c r="A203" s="12" t="s">
        <v>511</v>
      </c>
      <c r="B203" s="15">
        <v>2025</v>
      </c>
      <c r="C203" s="13">
        <v>45769</v>
      </c>
      <c r="D203" s="12" t="s">
        <v>515</v>
      </c>
      <c r="E203" s="13">
        <v>45769</v>
      </c>
      <c r="F203" s="15">
        <v>256779412536</v>
      </c>
      <c r="G203" s="12" t="s">
        <v>11</v>
      </c>
      <c r="H203" s="14">
        <v>37.020000000000003</v>
      </c>
      <c r="I203" s="12" t="s">
        <v>59</v>
      </c>
      <c r="J203" s="14">
        <v>3217.85</v>
      </c>
      <c r="K203" s="12" t="s">
        <v>591</v>
      </c>
    </row>
    <row r="204" spans="1:11" x14ac:dyDescent="0.35">
      <c r="A204" s="12" t="s">
        <v>511</v>
      </c>
      <c r="B204" s="15">
        <v>2025</v>
      </c>
      <c r="C204" s="13">
        <v>45769</v>
      </c>
      <c r="D204" s="12" t="s">
        <v>515</v>
      </c>
      <c r="E204" s="13">
        <v>45769</v>
      </c>
      <c r="F204" s="15">
        <v>256779412537</v>
      </c>
      <c r="G204" s="12" t="s">
        <v>11</v>
      </c>
      <c r="H204" s="14">
        <v>407.58</v>
      </c>
      <c r="I204" s="12" t="s">
        <v>59</v>
      </c>
      <c r="J204" s="14">
        <v>35427.599999999999</v>
      </c>
      <c r="K204" s="12" t="s">
        <v>591</v>
      </c>
    </row>
    <row r="205" spans="1:11" x14ac:dyDescent="0.35">
      <c r="A205" s="12" t="s">
        <v>511</v>
      </c>
      <c r="B205" s="15">
        <v>2025</v>
      </c>
      <c r="C205" s="13">
        <v>45769</v>
      </c>
      <c r="D205" s="12" t="s">
        <v>515</v>
      </c>
      <c r="E205" s="13">
        <v>45769</v>
      </c>
      <c r="F205" s="15">
        <v>256779412562</v>
      </c>
      <c r="G205" s="12" t="s">
        <v>11</v>
      </c>
      <c r="H205" s="14">
        <v>54.65</v>
      </c>
      <c r="I205" s="12" t="s">
        <v>59</v>
      </c>
      <c r="J205" s="14">
        <v>4750.28</v>
      </c>
      <c r="K205" s="12" t="s">
        <v>591</v>
      </c>
    </row>
    <row r="206" spans="1:11" x14ac:dyDescent="0.35">
      <c r="A206" s="12" t="s">
        <v>511</v>
      </c>
      <c r="B206" s="15">
        <v>2025</v>
      </c>
      <c r="C206" s="13">
        <v>45769</v>
      </c>
      <c r="D206" s="12" t="s">
        <v>515</v>
      </c>
      <c r="E206" s="13">
        <v>45769</v>
      </c>
      <c r="F206" s="15">
        <v>256779412563</v>
      </c>
      <c r="G206" s="12" t="s">
        <v>11</v>
      </c>
      <c r="H206" s="14">
        <v>27</v>
      </c>
      <c r="I206" s="12" t="s">
        <v>59</v>
      </c>
      <c r="J206" s="14">
        <v>2346.89</v>
      </c>
      <c r="K206" s="12" t="s">
        <v>591</v>
      </c>
    </row>
    <row r="207" spans="1:11" x14ac:dyDescent="0.35">
      <c r="A207" s="12" t="s">
        <v>511</v>
      </c>
      <c r="B207" s="15">
        <v>2025</v>
      </c>
      <c r="C207" s="13">
        <v>45769</v>
      </c>
      <c r="D207" s="12" t="s">
        <v>515</v>
      </c>
      <c r="E207" s="13">
        <v>45769</v>
      </c>
      <c r="F207" s="15">
        <v>256779412564</v>
      </c>
      <c r="G207" s="12" t="s">
        <v>11</v>
      </c>
      <c r="H207" s="14">
        <v>55.2</v>
      </c>
      <c r="I207" s="12" t="s">
        <v>59</v>
      </c>
      <c r="J207" s="14">
        <v>4798.08</v>
      </c>
      <c r="K207" s="12" t="s">
        <v>591</v>
      </c>
    </row>
    <row r="208" spans="1:11" x14ac:dyDescent="0.35">
      <c r="A208" s="12" t="s">
        <v>511</v>
      </c>
      <c r="B208" s="15">
        <v>2025</v>
      </c>
      <c r="C208" s="13">
        <v>45769</v>
      </c>
      <c r="D208" s="12" t="s">
        <v>515</v>
      </c>
      <c r="E208" s="13">
        <v>45769</v>
      </c>
      <c r="F208" s="15">
        <v>256779412570</v>
      </c>
      <c r="G208" s="12" t="s">
        <v>11</v>
      </c>
      <c r="H208" s="14">
        <v>43.38</v>
      </c>
      <c r="I208" s="12" t="s">
        <v>59</v>
      </c>
      <c r="J208" s="14">
        <v>3770.67</v>
      </c>
      <c r="K208" s="12" t="s">
        <v>591</v>
      </c>
    </row>
    <row r="209" spans="1:11" x14ac:dyDescent="0.35">
      <c r="A209" s="12" t="s">
        <v>511</v>
      </c>
      <c r="B209" s="15">
        <v>2025</v>
      </c>
      <c r="C209" s="13">
        <v>45769</v>
      </c>
      <c r="D209" s="12" t="s">
        <v>515</v>
      </c>
      <c r="E209" s="13">
        <v>45769</v>
      </c>
      <c r="F209" s="15">
        <v>256779412576</v>
      </c>
      <c r="G209" s="12" t="s">
        <v>11</v>
      </c>
      <c r="H209" s="14">
        <v>46</v>
      </c>
      <c r="I209" s="12" t="s">
        <v>59</v>
      </c>
      <c r="J209" s="14">
        <v>3998.4</v>
      </c>
      <c r="K209" s="12" t="s">
        <v>591</v>
      </c>
    </row>
    <row r="210" spans="1:11" x14ac:dyDescent="0.35">
      <c r="A210" s="12" t="s">
        <v>511</v>
      </c>
      <c r="B210" s="15">
        <v>2025</v>
      </c>
      <c r="C210" s="13">
        <v>45769</v>
      </c>
      <c r="D210" s="12" t="s">
        <v>515</v>
      </c>
      <c r="E210" s="13">
        <v>45769</v>
      </c>
      <c r="F210" s="15">
        <v>256779412577</v>
      </c>
      <c r="G210" s="12" t="s">
        <v>11</v>
      </c>
      <c r="H210" s="14">
        <v>46</v>
      </c>
      <c r="I210" s="12" t="s">
        <v>59</v>
      </c>
      <c r="J210" s="14">
        <v>3998.4</v>
      </c>
      <c r="K210" s="12" t="s">
        <v>591</v>
      </c>
    </row>
    <row r="211" spans="1:11" x14ac:dyDescent="0.35">
      <c r="A211" s="12" t="s">
        <v>511</v>
      </c>
      <c r="B211" s="15">
        <v>2025</v>
      </c>
      <c r="C211" s="13">
        <v>45769</v>
      </c>
      <c r="D211" s="12" t="s">
        <v>515</v>
      </c>
      <c r="E211" s="13">
        <v>45769</v>
      </c>
      <c r="F211" s="15">
        <v>256779412579</v>
      </c>
      <c r="G211" s="12" t="s">
        <v>11</v>
      </c>
      <c r="H211" s="14">
        <v>57.6</v>
      </c>
      <c r="I211" s="12" t="s">
        <v>59</v>
      </c>
      <c r="J211" s="14">
        <v>5006.7</v>
      </c>
      <c r="K211" s="12" t="s">
        <v>591</v>
      </c>
    </row>
    <row r="212" spans="1:11" x14ac:dyDescent="0.35">
      <c r="A212" s="12" t="s">
        <v>511</v>
      </c>
      <c r="B212" s="15">
        <v>2025</v>
      </c>
      <c r="C212" s="13">
        <v>45769</v>
      </c>
      <c r="D212" s="12" t="s">
        <v>515</v>
      </c>
      <c r="E212" s="13">
        <v>45769</v>
      </c>
      <c r="F212" s="15">
        <v>256779412580</v>
      </c>
      <c r="G212" s="12" t="s">
        <v>11</v>
      </c>
      <c r="H212" s="14">
        <v>40.5</v>
      </c>
      <c r="I212" s="12" t="s">
        <v>59</v>
      </c>
      <c r="J212" s="14">
        <v>3520.33</v>
      </c>
      <c r="K212" s="12" t="s">
        <v>591</v>
      </c>
    </row>
    <row r="213" spans="1:11" x14ac:dyDescent="0.35">
      <c r="A213" s="12" t="s">
        <v>511</v>
      </c>
      <c r="B213" s="15">
        <v>2025</v>
      </c>
      <c r="C213" s="13">
        <v>45769</v>
      </c>
      <c r="D213" s="12" t="s">
        <v>515</v>
      </c>
      <c r="E213" s="13">
        <v>45769</v>
      </c>
      <c r="F213" s="15">
        <v>256779412581</v>
      </c>
      <c r="G213" s="12" t="s">
        <v>11</v>
      </c>
      <c r="H213" s="14">
        <v>51.5</v>
      </c>
      <c r="I213" s="12" t="s">
        <v>59</v>
      </c>
      <c r="J213" s="14">
        <v>4476.47</v>
      </c>
      <c r="K213" s="12" t="s">
        <v>591</v>
      </c>
    </row>
    <row r="214" spans="1:11" x14ac:dyDescent="0.35">
      <c r="A214" s="12" t="s">
        <v>511</v>
      </c>
      <c r="B214" s="15">
        <v>2025</v>
      </c>
      <c r="C214" s="13">
        <v>45769</v>
      </c>
      <c r="D214" s="12" t="s">
        <v>515</v>
      </c>
      <c r="E214" s="13">
        <v>45769</v>
      </c>
      <c r="F214" s="15">
        <v>256779412583</v>
      </c>
      <c r="G214" s="12" t="s">
        <v>11</v>
      </c>
      <c r="H214" s="14">
        <v>51.75</v>
      </c>
      <c r="I214" s="12" t="s">
        <v>59</v>
      </c>
      <c r="J214" s="14">
        <v>4498.2</v>
      </c>
      <c r="K214" s="12" t="s">
        <v>591</v>
      </c>
    </row>
    <row r="215" spans="1:11" x14ac:dyDescent="0.35">
      <c r="A215" s="12" t="s">
        <v>511</v>
      </c>
      <c r="B215" s="15">
        <v>2025</v>
      </c>
      <c r="C215" s="13">
        <v>45769</v>
      </c>
      <c r="D215" s="12" t="s">
        <v>515</v>
      </c>
      <c r="E215" s="13">
        <v>45769</v>
      </c>
      <c r="F215" s="15">
        <v>256779412585</v>
      </c>
      <c r="G215" s="12" t="s">
        <v>11</v>
      </c>
      <c r="H215" s="14">
        <v>48.75</v>
      </c>
      <c r="I215" s="12" t="s">
        <v>59</v>
      </c>
      <c r="J215" s="14">
        <v>4237.4399999999996</v>
      </c>
      <c r="K215" s="12" t="s">
        <v>591</v>
      </c>
    </row>
    <row r="216" spans="1:11" x14ac:dyDescent="0.35">
      <c r="A216" s="12" t="s">
        <v>511</v>
      </c>
      <c r="B216" s="15">
        <v>2025</v>
      </c>
      <c r="C216" s="13">
        <v>45769</v>
      </c>
      <c r="D216" s="12" t="s">
        <v>515</v>
      </c>
      <c r="E216" s="13">
        <v>45769</v>
      </c>
      <c r="F216" s="15">
        <v>256779412586</v>
      </c>
      <c r="G216" s="12" t="s">
        <v>11</v>
      </c>
      <c r="H216" s="14">
        <v>51.5</v>
      </c>
      <c r="I216" s="12" t="s">
        <v>59</v>
      </c>
      <c r="J216" s="14">
        <v>4476.47</v>
      </c>
      <c r="K216" s="12" t="s">
        <v>591</v>
      </c>
    </row>
    <row r="217" spans="1:11" x14ac:dyDescent="0.35">
      <c r="A217" s="12" t="s">
        <v>511</v>
      </c>
      <c r="B217" s="15">
        <v>2025</v>
      </c>
      <c r="C217" s="13">
        <v>45769</v>
      </c>
      <c r="D217" s="12" t="s">
        <v>515</v>
      </c>
      <c r="E217" s="13">
        <v>45769</v>
      </c>
      <c r="F217" s="15">
        <v>256779412609</v>
      </c>
      <c r="G217" s="12" t="s">
        <v>11</v>
      </c>
      <c r="H217" s="14">
        <v>700.06</v>
      </c>
      <c r="I217" s="12" t="s">
        <v>59</v>
      </c>
      <c r="J217" s="14">
        <v>60850.49</v>
      </c>
      <c r="K217" s="12" t="s">
        <v>668</v>
      </c>
    </row>
    <row r="218" spans="1:11" x14ac:dyDescent="0.35">
      <c r="A218" s="12" t="s">
        <v>511</v>
      </c>
      <c r="B218" s="15">
        <v>2025</v>
      </c>
      <c r="C218" s="13">
        <v>45769</v>
      </c>
      <c r="D218" s="12" t="s">
        <v>515</v>
      </c>
      <c r="E218" s="13">
        <v>45769</v>
      </c>
      <c r="F218" s="15">
        <v>256779412649</v>
      </c>
      <c r="G218" s="12" t="s">
        <v>11</v>
      </c>
      <c r="H218" s="14">
        <v>79.650000000000006</v>
      </c>
      <c r="I218" s="12" t="s">
        <v>59</v>
      </c>
      <c r="J218" s="14">
        <v>6923.32</v>
      </c>
      <c r="K218" s="12" t="s">
        <v>669</v>
      </c>
    </row>
    <row r="219" spans="1:11" x14ac:dyDescent="0.35">
      <c r="A219" s="12" t="s">
        <v>511</v>
      </c>
      <c r="B219" s="15">
        <v>2025</v>
      </c>
      <c r="C219" s="13">
        <v>45918</v>
      </c>
      <c r="D219" s="12" t="s">
        <v>515</v>
      </c>
      <c r="E219" s="13">
        <v>45918</v>
      </c>
      <c r="F219" s="15">
        <v>256779417517</v>
      </c>
      <c r="G219" s="12" t="s">
        <v>11</v>
      </c>
      <c r="H219" s="14">
        <v>4.68</v>
      </c>
      <c r="I219" s="12" t="s">
        <v>59</v>
      </c>
      <c r="J219" s="14">
        <v>409.57</v>
      </c>
      <c r="K219" s="12" t="s">
        <v>670</v>
      </c>
    </row>
    <row r="220" spans="1:11" x14ac:dyDescent="0.35">
      <c r="A220" s="12" t="s">
        <v>511</v>
      </c>
      <c r="B220" s="15">
        <v>2025</v>
      </c>
      <c r="C220" s="13">
        <v>45918</v>
      </c>
      <c r="D220" s="12" t="s">
        <v>515</v>
      </c>
      <c r="E220" s="13">
        <v>45918</v>
      </c>
      <c r="F220" s="15">
        <v>256779417557</v>
      </c>
      <c r="G220" s="12" t="s">
        <v>11</v>
      </c>
      <c r="H220" s="14">
        <v>725.96</v>
      </c>
      <c r="I220" s="12" t="s">
        <v>59</v>
      </c>
      <c r="J220" s="14">
        <v>63531.9</v>
      </c>
      <c r="K220" s="12" t="s">
        <v>671</v>
      </c>
    </row>
    <row r="221" spans="1:11" x14ac:dyDescent="0.35">
      <c r="A221" s="12" t="s">
        <v>511</v>
      </c>
      <c r="B221" s="15">
        <v>2025</v>
      </c>
      <c r="C221" s="13">
        <v>45918</v>
      </c>
      <c r="D221" s="12" t="s">
        <v>515</v>
      </c>
      <c r="E221" s="13">
        <v>45918</v>
      </c>
      <c r="F221" s="15">
        <v>256779417580</v>
      </c>
      <c r="G221" s="12" t="s">
        <v>11</v>
      </c>
      <c r="H221" s="14">
        <v>184.38</v>
      </c>
      <c r="I221" s="12" t="s">
        <v>59</v>
      </c>
      <c r="J221" s="14">
        <v>16135.89</v>
      </c>
      <c r="K221" s="12" t="s">
        <v>672</v>
      </c>
    </row>
    <row r="222" spans="1:11" x14ac:dyDescent="0.35">
      <c r="A222" s="12" t="s">
        <v>511</v>
      </c>
      <c r="B222" s="15">
        <v>2025</v>
      </c>
      <c r="C222" s="13">
        <v>45918</v>
      </c>
      <c r="D222" s="12" t="s">
        <v>515</v>
      </c>
      <c r="E222" s="13">
        <v>45918</v>
      </c>
      <c r="F222" s="15">
        <v>256779417597</v>
      </c>
      <c r="G222" s="12" t="s">
        <v>11</v>
      </c>
      <c r="H222" s="14">
        <v>1055.04</v>
      </c>
      <c r="I222" s="12" t="s">
        <v>59</v>
      </c>
      <c r="J222" s="14">
        <v>92331.12</v>
      </c>
      <c r="K222" s="12" t="s">
        <v>673</v>
      </c>
    </row>
    <row r="223" spans="1:11" x14ac:dyDescent="0.35">
      <c r="A223" s="12" t="s">
        <v>511</v>
      </c>
      <c r="B223" s="15">
        <v>2025</v>
      </c>
      <c r="C223" s="13">
        <v>45996</v>
      </c>
      <c r="D223" s="12" t="s">
        <v>515</v>
      </c>
      <c r="E223" s="13">
        <v>45996</v>
      </c>
      <c r="F223" s="15">
        <v>256779419808</v>
      </c>
      <c r="G223" s="12" t="s">
        <v>11</v>
      </c>
      <c r="H223" s="14">
        <v>27.95</v>
      </c>
      <c r="I223" s="12" t="s">
        <v>59</v>
      </c>
      <c r="J223" s="14">
        <v>2479.17</v>
      </c>
      <c r="K223" s="12" t="s">
        <v>674</v>
      </c>
    </row>
    <row r="224" spans="1:11" x14ac:dyDescent="0.35">
      <c r="A224" s="12" t="s">
        <v>511</v>
      </c>
      <c r="B224" s="15">
        <v>2025</v>
      </c>
      <c r="C224" s="13">
        <v>45996</v>
      </c>
      <c r="D224" s="12" t="s">
        <v>515</v>
      </c>
      <c r="E224" s="13">
        <v>45996</v>
      </c>
      <c r="F224" s="15">
        <v>256779419908</v>
      </c>
      <c r="G224" s="12" t="s">
        <v>11</v>
      </c>
      <c r="H224" s="14">
        <v>375.94</v>
      </c>
      <c r="I224" s="12" t="s">
        <v>59</v>
      </c>
      <c r="J224" s="14">
        <v>33345.93</v>
      </c>
      <c r="K224" s="12" t="s">
        <v>675</v>
      </c>
    </row>
    <row r="225" spans="1:11" x14ac:dyDescent="0.35">
      <c r="A225" s="12" t="s">
        <v>511</v>
      </c>
      <c r="B225" s="15">
        <v>2025</v>
      </c>
      <c r="C225" s="13">
        <v>45799</v>
      </c>
      <c r="D225" s="12" t="s">
        <v>512</v>
      </c>
      <c r="E225" s="13">
        <v>45799</v>
      </c>
      <c r="F225" s="15">
        <v>256779420844</v>
      </c>
      <c r="G225" s="12" t="s">
        <v>59</v>
      </c>
      <c r="H225" s="14">
        <v>-262.20999999999998</v>
      </c>
      <c r="I225" s="12" t="s">
        <v>59</v>
      </c>
      <c r="J225" s="14">
        <v>-262.20999999999998</v>
      </c>
      <c r="K225" s="12" t="s">
        <v>676</v>
      </c>
    </row>
    <row r="226" spans="1:11" x14ac:dyDescent="0.35">
      <c r="A226" s="12" t="s">
        <v>511</v>
      </c>
      <c r="B226" s="15">
        <v>2025</v>
      </c>
      <c r="C226" s="13">
        <v>45799</v>
      </c>
      <c r="D226" s="12" t="s">
        <v>512</v>
      </c>
      <c r="E226" s="13">
        <v>45799</v>
      </c>
      <c r="F226" s="15">
        <v>256779420845</v>
      </c>
      <c r="G226" s="12" t="s">
        <v>11</v>
      </c>
      <c r="H226" s="14">
        <v>-466.37</v>
      </c>
      <c r="I226" s="12" t="s">
        <v>59</v>
      </c>
      <c r="J226" s="14">
        <v>-40430.199999999997</v>
      </c>
      <c r="K226" s="12" t="s">
        <v>677</v>
      </c>
    </row>
    <row r="227" spans="1:11" x14ac:dyDescent="0.35">
      <c r="A227" s="12" t="s">
        <v>511</v>
      </c>
      <c r="B227" s="15">
        <v>2025</v>
      </c>
      <c r="C227" s="13">
        <v>45922</v>
      </c>
      <c r="D227" s="12" t="s">
        <v>515</v>
      </c>
      <c r="E227" s="13">
        <v>45922</v>
      </c>
      <c r="F227" s="15">
        <v>256779417744</v>
      </c>
      <c r="G227" s="12" t="s">
        <v>11</v>
      </c>
      <c r="H227" s="14">
        <v>870</v>
      </c>
      <c r="I227" s="12" t="s">
        <v>59</v>
      </c>
      <c r="J227" s="14">
        <v>76137.47</v>
      </c>
      <c r="K227" s="12" t="s">
        <v>678</v>
      </c>
    </row>
    <row r="228" spans="1:11" x14ac:dyDescent="0.35">
      <c r="A228" s="12" t="s">
        <v>511</v>
      </c>
      <c r="B228" s="15">
        <v>2025</v>
      </c>
      <c r="C228" s="13">
        <v>45922</v>
      </c>
      <c r="D228" s="12" t="s">
        <v>515</v>
      </c>
      <c r="E228" s="13">
        <v>45922</v>
      </c>
      <c r="F228" s="15">
        <v>256779417801</v>
      </c>
      <c r="G228" s="12" t="s">
        <v>11</v>
      </c>
      <c r="H228" s="14">
        <v>4755.47</v>
      </c>
      <c r="I228" s="12" t="s">
        <v>59</v>
      </c>
      <c r="J228" s="14">
        <v>416171.77</v>
      </c>
      <c r="K228" s="12" t="s">
        <v>679</v>
      </c>
    </row>
    <row r="229" spans="1:11" x14ac:dyDescent="0.35">
      <c r="A229" s="12" t="s">
        <v>511</v>
      </c>
      <c r="B229" s="15">
        <v>2025</v>
      </c>
      <c r="C229" s="13">
        <v>45770</v>
      </c>
      <c r="D229" s="12" t="s">
        <v>515</v>
      </c>
      <c r="E229" s="13">
        <v>45770</v>
      </c>
      <c r="F229" s="15">
        <v>256779412884</v>
      </c>
      <c r="G229" s="12" t="s">
        <v>11</v>
      </c>
      <c r="H229" s="14">
        <v>136.08000000000001</v>
      </c>
      <c r="I229" s="12" t="s">
        <v>59</v>
      </c>
      <c r="J229" s="14">
        <v>11828.32</v>
      </c>
      <c r="K229" s="12" t="s">
        <v>680</v>
      </c>
    </row>
    <row r="230" spans="1:11" x14ac:dyDescent="0.35">
      <c r="A230" s="12" t="s">
        <v>511</v>
      </c>
      <c r="B230" s="15">
        <v>2025</v>
      </c>
      <c r="C230" s="13">
        <v>45770</v>
      </c>
      <c r="D230" s="12" t="s">
        <v>515</v>
      </c>
      <c r="E230" s="13">
        <v>45770</v>
      </c>
      <c r="F230" s="15">
        <v>256779412918</v>
      </c>
      <c r="G230" s="12" t="s">
        <v>11</v>
      </c>
      <c r="H230" s="14">
        <v>183.35</v>
      </c>
      <c r="I230" s="12" t="s">
        <v>59</v>
      </c>
      <c r="J230" s="14">
        <v>15937.12</v>
      </c>
      <c r="K230" s="12" t="s">
        <v>681</v>
      </c>
    </row>
    <row r="231" spans="1:11" x14ac:dyDescent="0.35">
      <c r="A231" s="12" t="s">
        <v>511</v>
      </c>
      <c r="B231" s="15">
        <v>2025</v>
      </c>
      <c r="C231" s="13">
        <v>45770</v>
      </c>
      <c r="D231" s="12" t="s">
        <v>515</v>
      </c>
      <c r="E231" s="13">
        <v>45770</v>
      </c>
      <c r="F231" s="15">
        <v>256779412948</v>
      </c>
      <c r="G231" s="12" t="s">
        <v>11</v>
      </c>
      <c r="H231" s="14">
        <v>3.1</v>
      </c>
      <c r="I231" s="12" t="s">
        <v>59</v>
      </c>
      <c r="J231" s="14">
        <v>269.45999999999998</v>
      </c>
      <c r="K231" s="12" t="s">
        <v>681</v>
      </c>
    </row>
    <row r="232" spans="1:11" x14ac:dyDescent="0.35">
      <c r="A232" s="12" t="s">
        <v>511</v>
      </c>
      <c r="B232" s="15">
        <v>2025</v>
      </c>
      <c r="C232" s="13">
        <v>45737</v>
      </c>
      <c r="D232" s="12" t="s">
        <v>515</v>
      </c>
      <c r="E232" s="13">
        <v>45737</v>
      </c>
      <c r="F232" s="15">
        <v>246779414296</v>
      </c>
      <c r="G232" s="12" t="s">
        <v>11</v>
      </c>
      <c r="H232" s="14">
        <v>553.87</v>
      </c>
      <c r="I232" s="12" t="s">
        <v>59</v>
      </c>
      <c r="J232" s="14">
        <v>48015.69</v>
      </c>
      <c r="K232" s="12" t="s">
        <v>682</v>
      </c>
    </row>
    <row r="233" spans="1:11" x14ac:dyDescent="0.35">
      <c r="A233" s="12" t="s">
        <v>511</v>
      </c>
      <c r="B233" s="15">
        <v>2025</v>
      </c>
      <c r="C233" s="13">
        <v>45737</v>
      </c>
      <c r="D233" s="12" t="s">
        <v>515</v>
      </c>
      <c r="E233" s="13">
        <v>45737</v>
      </c>
      <c r="F233" s="15">
        <v>246779414297</v>
      </c>
      <c r="G233" s="12" t="s">
        <v>11</v>
      </c>
      <c r="H233" s="14">
        <v>424.8</v>
      </c>
      <c r="I233" s="12" t="s">
        <v>59</v>
      </c>
      <c r="J233" s="14">
        <v>36826.449999999997</v>
      </c>
      <c r="K233" s="12" t="s">
        <v>683</v>
      </c>
    </row>
    <row r="234" spans="1:11" x14ac:dyDescent="0.35">
      <c r="A234" s="12" t="s">
        <v>511</v>
      </c>
      <c r="B234" s="15">
        <v>2025</v>
      </c>
      <c r="C234" s="13">
        <v>45737</v>
      </c>
      <c r="D234" s="12" t="s">
        <v>515</v>
      </c>
      <c r="E234" s="13">
        <v>45737</v>
      </c>
      <c r="F234" s="15">
        <v>246779414298</v>
      </c>
      <c r="G234" s="12" t="s">
        <v>11</v>
      </c>
      <c r="H234" s="14">
        <v>70.8</v>
      </c>
      <c r="I234" s="12" t="s">
        <v>59</v>
      </c>
      <c r="J234" s="14">
        <v>6137.74</v>
      </c>
      <c r="K234" s="12" t="s">
        <v>684</v>
      </c>
    </row>
    <row r="235" spans="1:11" x14ac:dyDescent="0.35">
      <c r="A235" s="12" t="s">
        <v>511</v>
      </c>
      <c r="B235" s="15">
        <v>2025</v>
      </c>
      <c r="C235" s="13">
        <v>45810</v>
      </c>
      <c r="D235" s="12" t="s">
        <v>515</v>
      </c>
      <c r="E235" s="13">
        <v>45810</v>
      </c>
      <c r="F235" s="15">
        <v>256779413931</v>
      </c>
      <c r="G235" s="12" t="s">
        <v>11</v>
      </c>
      <c r="H235" s="14">
        <v>395.23</v>
      </c>
      <c r="I235" s="12" t="s">
        <v>59</v>
      </c>
      <c r="J235" s="14">
        <v>33788.519999999997</v>
      </c>
      <c r="K235" s="12" t="s">
        <v>685</v>
      </c>
    </row>
    <row r="236" spans="1:11" x14ac:dyDescent="0.35">
      <c r="A236" s="12" t="s">
        <v>511</v>
      </c>
      <c r="B236" s="15">
        <v>2025</v>
      </c>
      <c r="C236" s="13">
        <v>45810</v>
      </c>
      <c r="D236" s="12" t="s">
        <v>515</v>
      </c>
      <c r="E236" s="13">
        <v>45810</v>
      </c>
      <c r="F236" s="15">
        <v>256779413972</v>
      </c>
      <c r="G236" s="12" t="s">
        <v>59</v>
      </c>
      <c r="H236" s="14">
        <v>262.20999999999998</v>
      </c>
      <c r="I236" s="12" t="s">
        <v>59</v>
      </c>
      <c r="J236" s="14">
        <v>262.20999999999998</v>
      </c>
      <c r="K236" s="12" t="s">
        <v>686</v>
      </c>
    </row>
    <row r="237" spans="1:11" x14ac:dyDescent="0.35">
      <c r="A237" s="12" t="s">
        <v>511</v>
      </c>
      <c r="B237" s="15">
        <v>2025</v>
      </c>
      <c r="C237" s="13">
        <v>45937</v>
      </c>
      <c r="D237" s="12" t="s">
        <v>515</v>
      </c>
      <c r="E237" s="13">
        <v>45937</v>
      </c>
      <c r="F237" s="15">
        <v>256779418176</v>
      </c>
      <c r="G237" s="12" t="s">
        <v>11</v>
      </c>
      <c r="H237" s="14">
        <v>639.04999999999995</v>
      </c>
      <c r="I237" s="12" t="s">
        <v>59</v>
      </c>
      <c r="J237" s="14">
        <v>56358.31</v>
      </c>
      <c r="K237" s="12" t="s">
        <v>687</v>
      </c>
    </row>
    <row r="238" spans="1:11" x14ac:dyDescent="0.35">
      <c r="A238" s="12" t="s">
        <v>511</v>
      </c>
      <c r="B238" s="15">
        <v>2025</v>
      </c>
      <c r="C238" s="13">
        <v>45937</v>
      </c>
      <c r="D238" s="12" t="s">
        <v>515</v>
      </c>
      <c r="E238" s="13">
        <v>45937</v>
      </c>
      <c r="F238" s="15">
        <v>256779418185</v>
      </c>
      <c r="G238" s="12" t="s">
        <v>11</v>
      </c>
      <c r="H238" s="14">
        <v>405.44</v>
      </c>
      <c r="I238" s="12" t="s">
        <v>59</v>
      </c>
      <c r="J238" s="14">
        <v>35756.07</v>
      </c>
      <c r="K238" s="12" t="s">
        <v>688</v>
      </c>
    </row>
    <row r="239" spans="1:11" x14ac:dyDescent="0.35">
      <c r="A239" s="12" t="s">
        <v>511</v>
      </c>
      <c r="B239" s="15">
        <v>2025</v>
      </c>
      <c r="C239" s="13">
        <v>45857</v>
      </c>
      <c r="D239" s="12" t="s">
        <v>515</v>
      </c>
      <c r="E239" s="13">
        <v>45857</v>
      </c>
      <c r="F239" s="15">
        <v>256779415769</v>
      </c>
      <c r="G239" s="12" t="s">
        <v>11</v>
      </c>
      <c r="H239" s="14">
        <v>234.91</v>
      </c>
      <c r="I239" s="12" t="s">
        <v>59</v>
      </c>
      <c r="J239" s="14">
        <v>20202.419999999998</v>
      </c>
      <c r="K239" s="12" t="s">
        <v>689</v>
      </c>
    </row>
    <row r="240" spans="1:11" x14ac:dyDescent="0.35">
      <c r="A240" s="12" t="s">
        <v>511</v>
      </c>
      <c r="B240" s="15">
        <v>2025</v>
      </c>
      <c r="C240" s="13">
        <v>45787</v>
      </c>
      <c r="D240" s="12" t="s">
        <v>515</v>
      </c>
      <c r="E240" s="13">
        <v>45787</v>
      </c>
      <c r="F240" s="15">
        <v>256779413240</v>
      </c>
      <c r="G240" s="12" t="s">
        <v>11</v>
      </c>
      <c r="H240" s="14">
        <v>424.03</v>
      </c>
      <c r="I240" s="12" t="s">
        <v>59</v>
      </c>
      <c r="J240" s="14">
        <v>36459.67</v>
      </c>
      <c r="K240" s="12" t="s">
        <v>690</v>
      </c>
    </row>
    <row r="241" spans="1:11" x14ac:dyDescent="0.35">
      <c r="A241" s="12" t="s">
        <v>511</v>
      </c>
      <c r="B241" s="15">
        <v>2025</v>
      </c>
      <c r="C241" s="13">
        <v>45787</v>
      </c>
      <c r="D241" s="12" t="s">
        <v>515</v>
      </c>
      <c r="E241" s="13">
        <v>45787</v>
      </c>
      <c r="F241" s="15">
        <v>256779413250</v>
      </c>
      <c r="G241" s="12" t="s">
        <v>11</v>
      </c>
      <c r="H241" s="14">
        <v>423.28</v>
      </c>
      <c r="I241" s="12" t="s">
        <v>59</v>
      </c>
      <c r="J241" s="14">
        <v>36395.18</v>
      </c>
      <c r="K241" s="12" t="s">
        <v>691</v>
      </c>
    </row>
    <row r="242" spans="1:11" x14ac:dyDescent="0.35">
      <c r="A242" s="12" t="s">
        <v>511</v>
      </c>
      <c r="B242" s="15">
        <v>2025</v>
      </c>
      <c r="C242" s="13">
        <v>45787</v>
      </c>
      <c r="D242" s="12" t="s">
        <v>515</v>
      </c>
      <c r="E242" s="13">
        <v>45787</v>
      </c>
      <c r="F242" s="15">
        <v>256779413161</v>
      </c>
      <c r="G242" s="12" t="s">
        <v>11</v>
      </c>
      <c r="H242" s="14">
        <v>707.71</v>
      </c>
      <c r="I242" s="12" t="s">
        <v>59</v>
      </c>
      <c r="J242" s="14">
        <v>60851.519999999997</v>
      </c>
      <c r="K242" s="12" t="s">
        <v>692</v>
      </c>
    </row>
    <row r="243" spans="1:11" x14ac:dyDescent="0.35">
      <c r="A243" s="12" t="s">
        <v>511</v>
      </c>
      <c r="B243" s="15">
        <v>2025</v>
      </c>
      <c r="C243" s="13">
        <v>45787</v>
      </c>
      <c r="D243" s="12" t="s">
        <v>515</v>
      </c>
      <c r="E243" s="13">
        <v>45787</v>
      </c>
      <c r="F243" s="15">
        <v>256779413169</v>
      </c>
      <c r="G243" s="12" t="s">
        <v>11</v>
      </c>
      <c r="H243" s="14">
        <v>3.78</v>
      </c>
      <c r="I243" s="12" t="s">
        <v>59</v>
      </c>
      <c r="J243" s="14">
        <v>325.02</v>
      </c>
      <c r="K243" s="12" t="s">
        <v>693</v>
      </c>
    </row>
    <row r="244" spans="1:11" x14ac:dyDescent="0.35">
      <c r="A244" s="12" t="s">
        <v>511</v>
      </c>
      <c r="B244" s="15">
        <v>2025</v>
      </c>
      <c r="C244" s="13">
        <v>45997</v>
      </c>
      <c r="D244" s="12" t="s">
        <v>515</v>
      </c>
      <c r="E244" s="13">
        <v>45997</v>
      </c>
      <c r="F244" s="15">
        <v>256779419983</v>
      </c>
      <c r="G244" s="12" t="s">
        <v>11</v>
      </c>
      <c r="H244" s="14">
        <v>55.63</v>
      </c>
      <c r="I244" s="12" t="s">
        <v>59</v>
      </c>
      <c r="J244" s="14">
        <v>4934.3900000000003</v>
      </c>
      <c r="K244" s="12" t="s">
        <v>694</v>
      </c>
    </row>
    <row r="245" spans="1:11" x14ac:dyDescent="0.35">
      <c r="A245" s="12" t="s">
        <v>511</v>
      </c>
      <c r="B245" s="15">
        <v>2025</v>
      </c>
      <c r="C245" s="13">
        <v>45948</v>
      </c>
      <c r="D245" s="12" t="s">
        <v>515</v>
      </c>
      <c r="E245" s="13">
        <v>45948</v>
      </c>
      <c r="F245" s="15">
        <v>256779418424</v>
      </c>
      <c r="G245" s="12" t="s">
        <v>11</v>
      </c>
      <c r="H245" s="14">
        <v>1334.62</v>
      </c>
      <c r="I245" s="12" t="s">
        <v>59</v>
      </c>
      <c r="J245" s="14">
        <v>117701.17</v>
      </c>
      <c r="K245" s="12" t="s">
        <v>695</v>
      </c>
    </row>
    <row r="246" spans="1:11" x14ac:dyDescent="0.35">
      <c r="A246" s="12" t="s">
        <v>511</v>
      </c>
      <c r="B246" s="15">
        <v>2025</v>
      </c>
      <c r="C246" s="13">
        <v>45948</v>
      </c>
      <c r="D246" s="12" t="s">
        <v>515</v>
      </c>
      <c r="E246" s="13">
        <v>45948</v>
      </c>
      <c r="F246" s="15">
        <v>256779418433</v>
      </c>
      <c r="G246" s="12" t="s">
        <v>11</v>
      </c>
      <c r="H246" s="14">
        <v>351.43</v>
      </c>
      <c r="I246" s="12" t="s">
        <v>59</v>
      </c>
      <c r="J246" s="14">
        <v>30992.880000000001</v>
      </c>
      <c r="K246" s="12" t="s">
        <v>696</v>
      </c>
    </row>
    <row r="247" spans="1:11" x14ac:dyDescent="0.35">
      <c r="A247" s="12" t="s">
        <v>511</v>
      </c>
      <c r="B247" s="15">
        <v>2025</v>
      </c>
      <c r="C247" s="13">
        <v>45815</v>
      </c>
      <c r="D247" s="12" t="s">
        <v>515</v>
      </c>
      <c r="E247" s="13">
        <v>45815</v>
      </c>
      <c r="F247" s="15">
        <v>256779414253</v>
      </c>
      <c r="G247" s="12" t="s">
        <v>11</v>
      </c>
      <c r="H247" s="14">
        <v>9947.26</v>
      </c>
      <c r="I247" s="12" t="s">
        <v>59</v>
      </c>
      <c r="J247" s="14">
        <v>850399.02</v>
      </c>
      <c r="K247" s="12" t="s">
        <v>697</v>
      </c>
    </row>
    <row r="248" spans="1:11" x14ac:dyDescent="0.35">
      <c r="A248" s="12" t="s">
        <v>511</v>
      </c>
      <c r="B248" s="15">
        <v>2025</v>
      </c>
      <c r="C248" s="13">
        <v>45936</v>
      </c>
      <c r="D248" s="12" t="s">
        <v>515</v>
      </c>
      <c r="E248" s="13">
        <v>45936</v>
      </c>
      <c r="F248" s="15">
        <v>256779418006</v>
      </c>
      <c r="G248" s="12" t="s">
        <v>11</v>
      </c>
      <c r="H248" s="14">
        <v>4667.07</v>
      </c>
      <c r="I248" s="12" t="s">
        <v>59</v>
      </c>
      <c r="J248" s="14">
        <v>411592.5</v>
      </c>
      <c r="K248" s="12" t="s">
        <v>698</v>
      </c>
    </row>
    <row r="249" spans="1:11" x14ac:dyDescent="0.35">
      <c r="A249" s="12" t="s">
        <v>511</v>
      </c>
      <c r="B249" s="15">
        <v>2025</v>
      </c>
      <c r="C249" s="13">
        <v>45935</v>
      </c>
      <c r="D249" s="12" t="s">
        <v>515</v>
      </c>
      <c r="E249" s="13">
        <v>45935</v>
      </c>
      <c r="F249" s="15">
        <v>256779417892</v>
      </c>
      <c r="G249" s="12" t="s">
        <v>11</v>
      </c>
      <c r="H249" s="14">
        <v>58.45</v>
      </c>
      <c r="I249" s="12" t="s">
        <v>59</v>
      </c>
      <c r="J249" s="14">
        <v>5154.75</v>
      </c>
      <c r="K249" s="12" t="s">
        <v>699</v>
      </c>
    </row>
    <row r="250" spans="1:11" x14ac:dyDescent="0.35">
      <c r="A250" s="12" t="s">
        <v>511</v>
      </c>
      <c r="B250" s="15">
        <v>2025</v>
      </c>
      <c r="C250" s="13">
        <v>45935</v>
      </c>
      <c r="D250" s="12" t="s">
        <v>515</v>
      </c>
      <c r="E250" s="13">
        <v>45935</v>
      </c>
      <c r="F250" s="15">
        <v>256779417931</v>
      </c>
      <c r="G250" s="12" t="s">
        <v>11</v>
      </c>
      <c r="H250" s="14">
        <v>288.83999999999997</v>
      </c>
      <c r="I250" s="12" t="s">
        <v>59</v>
      </c>
      <c r="J250" s="14">
        <v>25473.02</v>
      </c>
      <c r="K250" s="12" t="s">
        <v>700</v>
      </c>
    </row>
    <row r="251" spans="1:11" x14ac:dyDescent="0.35">
      <c r="A251" s="12" t="s">
        <v>511</v>
      </c>
      <c r="B251" s="15">
        <v>2025</v>
      </c>
      <c r="C251" s="13">
        <v>45935</v>
      </c>
      <c r="D251" s="12" t="s">
        <v>515</v>
      </c>
      <c r="E251" s="13">
        <v>45935</v>
      </c>
      <c r="F251" s="15">
        <v>256779417971</v>
      </c>
      <c r="G251" s="12" t="s">
        <v>11</v>
      </c>
      <c r="H251" s="14">
        <v>94.81</v>
      </c>
      <c r="I251" s="12" t="s">
        <v>59</v>
      </c>
      <c r="J251" s="14">
        <v>8361.3700000000008</v>
      </c>
      <c r="K251" s="12" t="s">
        <v>701</v>
      </c>
    </row>
    <row r="252" spans="1:11" x14ac:dyDescent="0.35">
      <c r="A252" s="12" t="s">
        <v>511</v>
      </c>
      <c r="B252" s="15">
        <v>2025</v>
      </c>
      <c r="C252" s="13">
        <v>45935</v>
      </c>
      <c r="D252" s="12" t="s">
        <v>515</v>
      </c>
      <c r="E252" s="13">
        <v>45935</v>
      </c>
      <c r="F252" s="15">
        <v>256779418357</v>
      </c>
      <c r="G252" s="12" t="s">
        <v>11</v>
      </c>
      <c r="H252" s="14">
        <v>394.19</v>
      </c>
      <c r="I252" s="12" t="s">
        <v>59</v>
      </c>
      <c r="J252" s="14">
        <v>34763.919999999998</v>
      </c>
      <c r="K252" s="12" t="s">
        <v>702</v>
      </c>
    </row>
    <row r="253" spans="1:11" x14ac:dyDescent="0.35">
      <c r="A253" s="12" t="s">
        <v>511</v>
      </c>
      <c r="B253" s="15">
        <v>2025</v>
      </c>
      <c r="C253" s="13">
        <v>45935</v>
      </c>
      <c r="D253" s="12" t="s">
        <v>515</v>
      </c>
      <c r="E253" s="13">
        <v>45935</v>
      </c>
      <c r="F253" s="15">
        <v>256779418391</v>
      </c>
      <c r="G253" s="12" t="s">
        <v>11</v>
      </c>
      <c r="H253" s="14">
        <v>38.51</v>
      </c>
      <c r="I253" s="12" t="s">
        <v>59</v>
      </c>
      <c r="J253" s="14">
        <v>3396.23</v>
      </c>
      <c r="K253" s="12" t="s">
        <v>703</v>
      </c>
    </row>
    <row r="254" spans="1:11" x14ac:dyDescent="0.35">
      <c r="A254" s="12" t="s">
        <v>511</v>
      </c>
      <c r="B254" s="15">
        <v>2025</v>
      </c>
      <c r="C254" s="13">
        <v>45935</v>
      </c>
      <c r="D254" s="12" t="s">
        <v>515</v>
      </c>
      <c r="E254" s="13">
        <v>45935</v>
      </c>
      <c r="F254" s="15">
        <v>256779418068</v>
      </c>
      <c r="G254" s="12" t="s">
        <v>11</v>
      </c>
      <c r="H254" s="14">
        <v>94.81</v>
      </c>
      <c r="I254" s="12" t="s">
        <v>59</v>
      </c>
      <c r="J254" s="14">
        <v>8361.3700000000008</v>
      </c>
      <c r="K254" s="12" t="s">
        <v>701</v>
      </c>
    </row>
    <row r="255" spans="1:11" x14ac:dyDescent="0.35">
      <c r="A255" s="12" t="s">
        <v>511</v>
      </c>
      <c r="B255" s="15">
        <v>2025</v>
      </c>
      <c r="C255" s="13">
        <v>45906</v>
      </c>
      <c r="D255" s="12" t="s">
        <v>515</v>
      </c>
      <c r="E255" s="13">
        <v>45906</v>
      </c>
      <c r="F255" s="15">
        <v>256779417093</v>
      </c>
      <c r="G255" s="12" t="s">
        <v>11</v>
      </c>
      <c r="H255" s="14">
        <v>4608.8</v>
      </c>
      <c r="I255" s="12" t="s">
        <v>59</v>
      </c>
      <c r="J255" s="14">
        <v>403336.04</v>
      </c>
      <c r="K255" s="12" t="s">
        <v>704</v>
      </c>
    </row>
    <row r="256" spans="1:11" x14ac:dyDescent="0.35">
      <c r="A256" s="12" t="s">
        <v>511</v>
      </c>
      <c r="B256" s="15">
        <v>2025</v>
      </c>
      <c r="C256" s="13">
        <v>45795</v>
      </c>
      <c r="D256" s="12" t="s">
        <v>515</v>
      </c>
      <c r="E256" s="13">
        <v>45795</v>
      </c>
      <c r="F256" s="15">
        <v>256779413859</v>
      </c>
      <c r="G256" s="12" t="s">
        <v>11</v>
      </c>
      <c r="H256" s="14">
        <v>413</v>
      </c>
      <c r="I256" s="12" t="s">
        <v>59</v>
      </c>
      <c r="J256" s="14">
        <v>35511.269999999997</v>
      </c>
      <c r="K256" s="12" t="s">
        <v>705</v>
      </c>
    </row>
    <row r="257" spans="1:11" x14ac:dyDescent="0.35">
      <c r="A257" s="12" t="s">
        <v>511</v>
      </c>
      <c r="B257" s="15">
        <v>2026</v>
      </c>
      <c r="C257" s="13">
        <v>46024</v>
      </c>
      <c r="D257" s="12" t="s">
        <v>515</v>
      </c>
      <c r="E257" s="13">
        <v>46024</v>
      </c>
      <c r="F257" s="15">
        <v>256779440007</v>
      </c>
      <c r="G257" s="12" t="s">
        <v>11</v>
      </c>
      <c r="H257" s="14">
        <v>1332.49</v>
      </c>
      <c r="I257" s="12" t="s">
        <v>59</v>
      </c>
      <c r="J257" s="14">
        <v>120914.33</v>
      </c>
      <c r="K257" s="12" t="s">
        <v>706</v>
      </c>
    </row>
    <row r="258" spans="1:11" x14ac:dyDescent="0.35">
      <c r="A258" s="12" t="s">
        <v>511</v>
      </c>
      <c r="B258" s="15">
        <v>2026</v>
      </c>
      <c r="C258" s="13">
        <v>46027</v>
      </c>
      <c r="D258" s="12" t="s">
        <v>512</v>
      </c>
      <c r="E258" s="13">
        <v>46027</v>
      </c>
      <c r="F258" s="15">
        <v>256779422164</v>
      </c>
      <c r="G258" s="12" t="s">
        <v>11</v>
      </c>
      <c r="H258" s="14">
        <v>-562.38</v>
      </c>
      <c r="I258" s="12" t="s">
        <v>59</v>
      </c>
      <c r="J258" s="14">
        <v>-51032.13</v>
      </c>
      <c r="K258" s="12" t="s">
        <v>707</v>
      </c>
    </row>
    <row r="259" spans="1:11" x14ac:dyDescent="0.35">
      <c r="A259" s="12" t="s">
        <v>511</v>
      </c>
      <c r="B259" s="15">
        <v>2026</v>
      </c>
      <c r="C259" s="13">
        <v>46027</v>
      </c>
      <c r="D259" s="12" t="s">
        <v>512</v>
      </c>
      <c r="E259" s="13">
        <v>46027</v>
      </c>
      <c r="F259" s="15">
        <v>256779422170</v>
      </c>
      <c r="G259" s="12" t="s">
        <v>11</v>
      </c>
      <c r="H259" s="14">
        <v>-13.59</v>
      </c>
      <c r="I259" s="12" t="s">
        <v>59</v>
      </c>
      <c r="J259" s="14">
        <v>-1233.2</v>
      </c>
      <c r="K259" s="12" t="s">
        <v>708</v>
      </c>
    </row>
    <row r="260" spans="1:11" x14ac:dyDescent="0.35">
      <c r="A260" s="12" t="s">
        <v>511</v>
      </c>
      <c r="B260" s="15">
        <v>2026</v>
      </c>
      <c r="C260" s="13">
        <v>46027</v>
      </c>
      <c r="D260" s="12" t="s">
        <v>515</v>
      </c>
      <c r="E260" s="13">
        <v>46027</v>
      </c>
      <c r="F260" s="15">
        <v>256779440060</v>
      </c>
      <c r="G260" s="12" t="s">
        <v>11</v>
      </c>
      <c r="H260" s="14">
        <v>198.57</v>
      </c>
      <c r="I260" s="12" t="s">
        <v>59</v>
      </c>
      <c r="J260" s="14">
        <v>18018.87</v>
      </c>
      <c r="K260" s="12" t="s">
        <v>709</v>
      </c>
    </row>
    <row r="261" spans="1:11" x14ac:dyDescent="0.35">
      <c r="A261" s="12" t="s">
        <v>511</v>
      </c>
      <c r="B261" s="15">
        <v>2026</v>
      </c>
      <c r="C261" s="13">
        <v>46027</v>
      </c>
      <c r="D261" s="12" t="s">
        <v>515</v>
      </c>
      <c r="E261" s="13">
        <v>46027</v>
      </c>
      <c r="F261" s="15">
        <v>256779440067</v>
      </c>
      <c r="G261" s="12" t="s">
        <v>11</v>
      </c>
      <c r="H261" s="14">
        <v>100.07</v>
      </c>
      <c r="I261" s="12" t="s">
        <v>59</v>
      </c>
      <c r="J261" s="14">
        <v>9080.67</v>
      </c>
      <c r="K261" s="12" t="s">
        <v>710</v>
      </c>
    </row>
    <row r="262" spans="1:11" x14ac:dyDescent="0.35">
      <c r="A262" s="12" t="s">
        <v>511</v>
      </c>
      <c r="B262" s="15">
        <v>2026</v>
      </c>
      <c r="C262" s="13">
        <v>46027</v>
      </c>
      <c r="D262" s="12" t="s">
        <v>515</v>
      </c>
      <c r="E262" s="13">
        <v>46027</v>
      </c>
      <c r="F262" s="15">
        <v>256779440078</v>
      </c>
      <c r="G262" s="12" t="s">
        <v>11</v>
      </c>
      <c r="H262" s="14">
        <v>78.75</v>
      </c>
      <c r="I262" s="12" t="s">
        <v>59</v>
      </c>
      <c r="J262" s="14">
        <v>7146.02</v>
      </c>
      <c r="K262" s="12" t="s">
        <v>711</v>
      </c>
    </row>
    <row r="263" spans="1:11" x14ac:dyDescent="0.35">
      <c r="A263" s="12" t="s">
        <v>511</v>
      </c>
      <c r="B263" s="15">
        <v>2026</v>
      </c>
      <c r="C263" s="13">
        <v>46027</v>
      </c>
      <c r="D263" s="12" t="s">
        <v>515</v>
      </c>
      <c r="E263" s="13">
        <v>46027</v>
      </c>
      <c r="F263" s="15">
        <v>256779440116</v>
      </c>
      <c r="G263" s="12" t="s">
        <v>11</v>
      </c>
      <c r="H263" s="14">
        <v>498.28</v>
      </c>
      <c r="I263" s="12" t="s">
        <v>59</v>
      </c>
      <c r="J263" s="14">
        <v>45215.49</v>
      </c>
      <c r="K263" s="12" t="s">
        <v>712</v>
      </c>
    </row>
    <row r="264" spans="1:11" x14ac:dyDescent="0.35">
      <c r="A264" s="12" t="s">
        <v>511</v>
      </c>
      <c r="B264" s="15">
        <v>2026</v>
      </c>
      <c r="C264" s="13">
        <v>46030</v>
      </c>
      <c r="D264" s="12" t="s">
        <v>713</v>
      </c>
      <c r="E264" s="13">
        <v>46030</v>
      </c>
      <c r="F264" s="12" t="s">
        <v>513</v>
      </c>
      <c r="G264" s="12" t="s">
        <v>59</v>
      </c>
      <c r="H264" s="14">
        <v>-719881.09</v>
      </c>
      <c r="I264" s="12" t="s">
        <v>59</v>
      </c>
      <c r="J264" s="14">
        <v>-719881.09</v>
      </c>
      <c r="K264" s="12" t="s">
        <v>513</v>
      </c>
    </row>
    <row r="265" spans="1:11" x14ac:dyDescent="0.35">
      <c r="A265" s="12" t="s">
        <v>511</v>
      </c>
      <c r="B265" s="15">
        <v>2026</v>
      </c>
      <c r="C265" s="13">
        <v>46031</v>
      </c>
      <c r="D265" s="12" t="s">
        <v>515</v>
      </c>
      <c r="E265" s="13">
        <v>46031</v>
      </c>
      <c r="F265" s="15">
        <v>256779440126</v>
      </c>
      <c r="G265" s="12" t="s">
        <v>11</v>
      </c>
      <c r="H265" s="14">
        <v>122.48</v>
      </c>
      <c r="I265" s="12" t="s">
        <v>59</v>
      </c>
      <c r="J265" s="14">
        <v>11114.22</v>
      </c>
      <c r="K265" s="12" t="s">
        <v>666</v>
      </c>
    </row>
    <row r="266" spans="1:11" x14ac:dyDescent="0.35">
      <c r="A266" s="12" t="s">
        <v>511</v>
      </c>
      <c r="B266" s="15">
        <v>2026</v>
      </c>
      <c r="C266" s="13">
        <v>46031</v>
      </c>
      <c r="D266" s="12" t="s">
        <v>515</v>
      </c>
      <c r="E266" s="13">
        <v>46031</v>
      </c>
      <c r="F266" s="15">
        <v>256779440136</v>
      </c>
      <c r="G266" s="12" t="s">
        <v>11</v>
      </c>
      <c r="H266" s="14">
        <v>27.81</v>
      </c>
      <c r="I266" s="12" t="s">
        <v>59</v>
      </c>
      <c r="J266" s="14">
        <v>2523.5700000000002</v>
      </c>
      <c r="K266" s="12" t="s">
        <v>714</v>
      </c>
    </row>
    <row r="267" spans="1:11" x14ac:dyDescent="0.35">
      <c r="A267" s="12" t="s">
        <v>511</v>
      </c>
      <c r="B267" s="15">
        <v>2026</v>
      </c>
      <c r="C267" s="13">
        <v>46028</v>
      </c>
      <c r="D267" s="12" t="s">
        <v>515</v>
      </c>
      <c r="E267" s="13">
        <v>46028</v>
      </c>
      <c r="F267" s="15">
        <v>256779440150</v>
      </c>
      <c r="G267" s="12" t="s">
        <v>11</v>
      </c>
      <c r="H267" s="14">
        <v>112.85</v>
      </c>
      <c r="I267" s="12" t="s">
        <v>59</v>
      </c>
      <c r="J267" s="14">
        <v>10240.36</v>
      </c>
      <c r="K267" s="12" t="s">
        <v>715</v>
      </c>
    </row>
    <row r="268" spans="1:11" x14ac:dyDescent="0.35">
      <c r="A268" s="12" t="s">
        <v>511</v>
      </c>
      <c r="B268" s="15">
        <v>2026</v>
      </c>
      <c r="C268" s="13">
        <v>46028</v>
      </c>
      <c r="D268" s="12" t="s">
        <v>515</v>
      </c>
      <c r="E268" s="13">
        <v>46028</v>
      </c>
      <c r="F268" s="15">
        <v>256779440159</v>
      </c>
      <c r="G268" s="12" t="s">
        <v>11</v>
      </c>
      <c r="H268" s="14">
        <v>160.22</v>
      </c>
      <c r="I268" s="12" t="s">
        <v>59</v>
      </c>
      <c r="J268" s="14">
        <v>14538.87</v>
      </c>
      <c r="K268" s="12" t="s">
        <v>716</v>
      </c>
    </row>
    <row r="269" spans="1:11" x14ac:dyDescent="0.35">
      <c r="A269" s="12" t="s">
        <v>511</v>
      </c>
      <c r="B269" s="15">
        <v>2026</v>
      </c>
      <c r="C269" s="13">
        <v>46028</v>
      </c>
      <c r="D269" s="12" t="s">
        <v>515</v>
      </c>
      <c r="E269" s="13">
        <v>46028</v>
      </c>
      <c r="F269" s="15">
        <v>256779440208</v>
      </c>
      <c r="G269" s="12" t="s">
        <v>11</v>
      </c>
      <c r="H269" s="14">
        <v>650.12</v>
      </c>
      <c r="I269" s="12" t="s">
        <v>59</v>
      </c>
      <c r="J269" s="14">
        <v>58993.93</v>
      </c>
      <c r="K269" s="12" t="s">
        <v>717</v>
      </c>
    </row>
    <row r="270" spans="1:11" x14ac:dyDescent="0.35">
      <c r="A270" s="12" t="s">
        <v>511</v>
      </c>
      <c r="B270" s="15">
        <v>2026</v>
      </c>
      <c r="C270" s="13">
        <v>46034</v>
      </c>
      <c r="D270" s="12" t="s">
        <v>515</v>
      </c>
      <c r="E270" s="13">
        <v>46034</v>
      </c>
      <c r="F270" s="15">
        <v>256779440227</v>
      </c>
      <c r="G270" s="12" t="s">
        <v>11</v>
      </c>
      <c r="H270" s="14">
        <v>304.07</v>
      </c>
      <c r="I270" s="12" t="s">
        <v>59</v>
      </c>
      <c r="J270" s="14">
        <v>27592.27</v>
      </c>
      <c r="K270" s="12" t="s">
        <v>718</v>
      </c>
    </row>
    <row r="271" spans="1:11" x14ac:dyDescent="0.35">
      <c r="A271" s="12" t="s">
        <v>511</v>
      </c>
      <c r="B271" s="15">
        <v>2026</v>
      </c>
      <c r="C271" s="13">
        <v>46028</v>
      </c>
      <c r="D271" s="12" t="s">
        <v>515</v>
      </c>
      <c r="E271" s="13">
        <v>46028</v>
      </c>
      <c r="F271" s="15">
        <v>256779440238</v>
      </c>
      <c r="G271" s="12" t="s">
        <v>11</v>
      </c>
      <c r="H271" s="14">
        <v>1083.58</v>
      </c>
      <c r="I271" s="12" t="s">
        <v>59</v>
      </c>
      <c r="J271" s="14">
        <v>98327.45</v>
      </c>
      <c r="K271" s="12" t="s">
        <v>719</v>
      </c>
    </row>
    <row r="272" spans="1:11" x14ac:dyDescent="0.35">
      <c r="A272" s="12" t="s">
        <v>511</v>
      </c>
      <c r="B272" s="15">
        <v>2026</v>
      </c>
      <c r="C272" s="13">
        <v>46034</v>
      </c>
      <c r="D272" s="12" t="s">
        <v>515</v>
      </c>
      <c r="E272" s="13">
        <v>46034</v>
      </c>
      <c r="F272" s="15">
        <v>256779440285</v>
      </c>
      <c r="G272" s="12" t="s">
        <v>11</v>
      </c>
      <c r="H272" s="14">
        <v>535.29</v>
      </c>
      <c r="I272" s="12" t="s">
        <v>59</v>
      </c>
      <c r="J272" s="14">
        <v>48573.9</v>
      </c>
      <c r="K272" s="12" t="s">
        <v>720</v>
      </c>
    </row>
    <row r="273" spans="1:11" x14ac:dyDescent="0.35">
      <c r="A273" s="12" t="s">
        <v>511</v>
      </c>
      <c r="B273" s="15">
        <v>2026</v>
      </c>
      <c r="C273" s="13">
        <v>46028</v>
      </c>
      <c r="D273" s="12" t="s">
        <v>515</v>
      </c>
      <c r="E273" s="13">
        <v>46028</v>
      </c>
      <c r="F273" s="15">
        <v>256779440309</v>
      </c>
      <c r="G273" s="12" t="s">
        <v>59</v>
      </c>
      <c r="H273" s="14">
        <v>200000</v>
      </c>
      <c r="I273" s="12" t="s">
        <v>59</v>
      </c>
      <c r="J273" s="14">
        <v>200000</v>
      </c>
      <c r="K273" s="12" t="s">
        <v>721</v>
      </c>
    </row>
    <row r="274" spans="1:11" x14ac:dyDescent="0.35">
      <c r="A274" s="12" t="s">
        <v>511</v>
      </c>
      <c r="B274" s="15">
        <v>2026</v>
      </c>
      <c r="C274" s="13">
        <v>46028</v>
      </c>
      <c r="D274" s="12" t="s">
        <v>515</v>
      </c>
      <c r="E274" s="13">
        <v>46028</v>
      </c>
      <c r="F274" s="15">
        <v>256779440310</v>
      </c>
      <c r="G274" s="12" t="s">
        <v>59</v>
      </c>
      <c r="H274" s="14">
        <v>8000</v>
      </c>
      <c r="I274" s="12" t="s">
        <v>59</v>
      </c>
      <c r="J274" s="14">
        <v>8000</v>
      </c>
      <c r="K274" s="12" t="s">
        <v>721</v>
      </c>
    </row>
    <row r="275" spans="1:11" x14ac:dyDescent="0.35">
      <c r="A275" s="12" t="s">
        <v>511</v>
      </c>
      <c r="B275" s="15">
        <v>2026</v>
      </c>
      <c r="C275" s="13">
        <v>46028</v>
      </c>
      <c r="D275" s="12" t="s">
        <v>515</v>
      </c>
      <c r="E275" s="13">
        <v>46028</v>
      </c>
      <c r="F275" s="15">
        <v>256779440311</v>
      </c>
      <c r="G275" s="12" t="s">
        <v>59</v>
      </c>
      <c r="H275" s="14">
        <v>4400</v>
      </c>
      <c r="I275" s="12" t="s">
        <v>59</v>
      </c>
      <c r="J275" s="14">
        <v>4400</v>
      </c>
      <c r="K275" s="12" t="s">
        <v>721</v>
      </c>
    </row>
    <row r="276" spans="1:11" x14ac:dyDescent="0.35">
      <c r="A276" s="12" t="s">
        <v>511</v>
      </c>
      <c r="B276" s="15">
        <v>2026</v>
      </c>
      <c r="C276" s="13">
        <v>46035</v>
      </c>
      <c r="D276" s="12" t="s">
        <v>515</v>
      </c>
      <c r="E276" s="13">
        <v>46035</v>
      </c>
      <c r="F276" s="15">
        <v>256779440363</v>
      </c>
      <c r="G276" s="12" t="s">
        <v>11</v>
      </c>
      <c r="H276" s="14">
        <v>937.45</v>
      </c>
      <c r="I276" s="12" t="s">
        <v>59</v>
      </c>
      <c r="J276" s="14">
        <v>85067.16</v>
      </c>
      <c r="K276" s="12" t="s">
        <v>722</v>
      </c>
    </row>
    <row r="277" spans="1:11" x14ac:dyDescent="0.35">
      <c r="A277" s="12" t="s">
        <v>511</v>
      </c>
      <c r="B277" s="15">
        <v>2026</v>
      </c>
      <c r="C277" s="13">
        <v>46043</v>
      </c>
      <c r="D277" s="12" t="s">
        <v>515</v>
      </c>
      <c r="E277" s="13">
        <v>46043</v>
      </c>
      <c r="F277" s="15">
        <v>256779440381</v>
      </c>
      <c r="G277" s="12" t="s">
        <v>11</v>
      </c>
      <c r="H277" s="14">
        <v>6.79</v>
      </c>
      <c r="I277" s="12" t="s">
        <v>59</v>
      </c>
      <c r="J277" s="14">
        <v>616.15</v>
      </c>
      <c r="K277" s="12" t="s">
        <v>723</v>
      </c>
    </row>
    <row r="278" spans="1:11" x14ac:dyDescent="0.35">
      <c r="A278" s="12" t="s">
        <v>511</v>
      </c>
      <c r="B278" s="15">
        <v>2026</v>
      </c>
      <c r="C278" s="13">
        <v>46043</v>
      </c>
      <c r="D278" s="12" t="s">
        <v>515</v>
      </c>
      <c r="E278" s="13">
        <v>46043</v>
      </c>
      <c r="F278" s="15">
        <v>256779440388</v>
      </c>
      <c r="G278" s="12" t="s">
        <v>11</v>
      </c>
      <c r="H278" s="14">
        <v>57.29</v>
      </c>
      <c r="I278" s="12" t="s">
        <v>59</v>
      </c>
      <c r="J278" s="14">
        <v>5198.67</v>
      </c>
      <c r="K278" s="12" t="s">
        <v>724</v>
      </c>
    </row>
    <row r="279" spans="1:11" x14ac:dyDescent="0.35">
      <c r="A279" s="12" t="s">
        <v>511</v>
      </c>
      <c r="B279" s="15">
        <v>2026</v>
      </c>
      <c r="C279" s="13">
        <v>46045</v>
      </c>
      <c r="D279" s="12" t="s">
        <v>515</v>
      </c>
      <c r="E279" s="13">
        <v>46045</v>
      </c>
      <c r="F279" s="15">
        <v>256779440411</v>
      </c>
      <c r="G279" s="12" t="s">
        <v>11</v>
      </c>
      <c r="H279" s="14">
        <v>554.49</v>
      </c>
      <c r="I279" s="12" t="s">
        <v>59</v>
      </c>
      <c r="J279" s="14">
        <v>50316.160000000003</v>
      </c>
      <c r="K279" s="12" t="s">
        <v>725</v>
      </c>
    </row>
    <row r="280" spans="1:11" x14ac:dyDescent="0.35">
      <c r="A280" s="12" t="s">
        <v>511</v>
      </c>
      <c r="B280" s="15">
        <v>2026</v>
      </c>
      <c r="C280" s="13">
        <v>46045</v>
      </c>
      <c r="D280" s="12" t="s">
        <v>515</v>
      </c>
      <c r="E280" s="13">
        <v>46045</v>
      </c>
      <c r="F280" s="15">
        <v>256779440427</v>
      </c>
      <c r="G280" s="12" t="s">
        <v>11</v>
      </c>
      <c r="H280" s="14">
        <v>44.06</v>
      </c>
      <c r="I280" s="12" t="s">
        <v>59</v>
      </c>
      <c r="J280" s="14">
        <v>3998.14</v>
      </c>
      <c r="K280" s="12" t="s">
        <v>726</v>
      </c>
    </row>
    <row r="281" spans="1:11" x14ac:dyDescent="0.35">
      <c r="A281" s="12" t="s">
        <v>511</v>
      </c>
      <c r="B281" s="15">
        <v>2026</v>
      </c>
      <c r="C281" s="13">
        <v>46049</v>
      </c>
      <c r="D281" s="12" t="s">
        <v>515</v>
      </c>
      <c r="E281" s="13">
        <v>46049</v>
      </c>
      <c r="F281" s="15">
        <v>256779440443</v>
      </c>
      <c r="G281" s="12" t="s">
        <v>11</v>
      </c>
      <c r="H281" s="14">
        <v>18.41</v>
      </c>
      <c r="I281" s="12" t="s">
        <v>59</v>
      </c>
      <c r="J281" s="14">
        <v>1670.58</v>
      </c>
      <c r="K281" s="12" t="s">
        <v>727</v>
      </c>
    </row>
    <row r="282" spans="1:11" x14ac:dyDescent="0.35">
      <c r="A282" s="12" t="s">
        <v>511</v>
      </c>
      <c r="B282" s="15">
        <v>2025</v>
      </c>
      <c r="C282" s="13">
        <v>45848</v>
      </c>
      <c r="D282" s="12" t="s">
        <v>515</v>
      </c>
      <c r="E282" s="13">
        <v>45848</v>
      </c>
      <c r="F282" s="15">
        <v>256779415364</v>
      </c>
      <c r="G282" s="12" t="s">
        <v>11</v>
      </c>
      <c r="H282" s="14">
        <v>200</v>
      </c>
      <c r="I282" s="12" t="s">
        <v>59</v>
      </c>
      <c r="J282" s="14">
        <v>17200.13</v>
      </c>
      <c r="K282" s="12" t="s">
        <v>728</v>
      </c>
    </row>
    <row r="283" spans="1:11" x14ac:dyDescent="0.35">
      <c r="A283" s="12" t="s">
        <v>511</v>
      </c>
      <c r="B283" s="15">
        <v>2025</v>
      </c>
      <c r="C283" s="13">
        <v>45848</v>
      </c>
      <c r="D283" s="12" t="s">
        <v>515</v>
      </c>
      <c r="E283" s="13">
        <v>45848</v>
      </c>
      <c r="F283" s="15">
        <v>256779415365</v>
      </c>
      <c r="G283" s="12" t="s">
        <v>11</v>
      </c>
      <c r="H283" s="14">
        <v>313</v>
      </c>
      <c r="I283" s="12" t="s">
        <v>59</v>
      </c>
      <c r="J283" s="14">
        <v>26918.21</v>
      </c>
      <c r="K283" s="12" t="s">
        <v>729</v>
      </c>
    </row>
    <row r="284" spans="1:11" x14ac:dyDescent="0.35">
      <c r="A284" s="12" t="s">
        <v>511</v>
      </c>
      <c r="B284" s="15">
        <v>2025</v>
      </c>
      <c r="C284" s="13">
        <v>45848</v>
      </c>
      <c r="D284" s="12" t="s">
        <v>515</v>
      </c>
      <c r="E284" s="13">
        <v>45848</v>
      </c>
      <c r="F284" s="15">
        <v>256779415366</v>
      </c>
      <c r="G284" s="12" t="s">
        <v>11</v>
      </c>
      <c r="H284" s="14">
        <v>192</v>
      </c>
      <c r="I284" s="12" t="s">
        <v>59</v>
      </c>
      <c r="J284" s="14">
        <v>16512.13</v>
      </c>
      <c r="K284" s="12" t="s">
        <v>730</v>
      </c>
    </row>
    <row r="285" spans="1:11" x14ac:dyDescent="0.35">
      <c r="A285" s="12" t="s">
        <v>511</v>
      </c>
      <c r="B285" s="15">
        <v>2025</v>
      </c>
      <c r="C285" s="13">
        <v>45848</v>
      </c>
      <c r="D285" s="12" t="s">
        <v>515</v>
      </c>
      <c r="E285" s="13">
        <v>45848</v>
      </c>
      <c r="F285" s="15">
        <v>256779415367</v>
      </c>
      <c r="G285" s="12" t="s">
        <v>11</v>
      </c>
      <c r="H285" s="14">
        <v>200</v>
      </c>
      <c r="I285" s="12" t="s">
        <v>59</v>
      </c>
      <c r="J285" s="14">
        <v>17200.13</v>
      </c>
      <c r="K285" s="12" t="s">
        <v>731</v>
      </c>
    </row>
    <row r="286" spans="1:11" x14ac:dyDescent="0.35">
      <c r="A286" s="12" t="s">
        <v>511</v>
      </c>
      <c r="B286" s="15">
        <v>2025</v>
      </c>
      <c r="C286" s="13">
        <v>45848</v>
      </c>
      <c r="D286" s="12" t="s">
        <v>515</v>
      </c>
      <c r="E286" s="13">
        <v>45848</v>
      </c>
      <c r="F286" s="15">
        <v>256779415368</v>
      </c>
      <c r="G286" s="12" t="s">
        <v>11</v>
      </c>
      <c r="H286" s="14">
        <v>60</v>
      </c>
      <c r="I286" s="12" t="s">
        <v>59</v>
      </c>
      <c r="J286" s="14">
        <v>5160.04</v>
      </c>
      <c r="K286" s="12" t="s">
        <v>732</v>
      </c>
    </row>
    <row r="287" spans="1:11" x14ac:dyDescent="0.35">
      <c r="A287" s="12" t="s">
        <v>511</v>
      </c>
      <c r="B287" s="15">
        <v>2025</v>
      </c>
      <c r="C287" s="13">
        <v>45848</v>
      </c>
      <c r="D287" s="12" t="s">
        <v>515</v>
      </c>
      <c r="E287" s="13">
        <v>45848</v>
      </c>
      <c r="F287" s="15">
        <v>256779415369</v>
      </c>
      <c r="G287" s="12" t="s">
        <v>11</v>
      </c>
      <c r="H287" s="14">
        <v>3</v>
      </c>
      <c r="I287" s="12" t="s">
        <v>59</v>
      </c>
      <c r="J287" s="14">
        <v>258</v>
      </c>
      <c r="K287" s="12" t="s">
        <v>733</v>
      </c>
    </row>
    <row r="288" spans="1:11" x14ac:dyDescent="0.35">
      <c r="A288" s="12" t="s">
        <v>511</v>
      </c>
      <c r="B288" s="15">
        <v>2025</v>
      </c>
      <c r="C288" s="13">
        <v>45848</v>
      </c>
      <c r="D288" s="12" t="s">
        <v>515</v>
      </c>
      <c r="E288" s="13">
        <v>45848</v>
      </c>
      <c r="F288" s="15">
        <v>256779415370</v>
      </c>
      <c r="G288" s="12" t="s">
        <v>11</v>
      </c>
      <c r="H288" s="14">
        <v>72</v>
      </c>
      <c r="I288" s="12" t="s">
        <v>59</v>
      </c>
      <c r="J288" s="14">
        <v>6192.05</v>
      </c>
      <c r="K288" s="12" t="s">
        <v>734</v>
      </c>
    </row>
    <row r="289" spans="1:11" x14ac:dyDescent="0.35">
      <c r="A289" s="12" t="s">
        <v>511</v>
      </c>
      <c r="B289" s="15">
        <v>2025</v>
      </c>
      <c r="C289" s="13">
        <v>45848</v>
      </c>
      <c r="D289" s="12" t="s">
        <v>515</v>
      </c>
      <c r="E289" s="13">
        <v>45848</v>
      </c>
      <c r="F289" s="15">
        <v>256779415371</v>
      </c>
      <c r="G289" s="12" t="s">
        <v>11</v>
      </c>
      <c r="H289" s="14">
        <v>43.32</v>
      </c>
      <c r="I289" s="12" t="s">
        <v>59</v>
      </c>
      <c r="J289" s="14">
        <v>3725.55</v>
      </c>
      <c r="K289" s="12" t="s">
        <v>735</v>
      </c>
    </row>
    <row r="290" spans="1:11" x14ac:dyDescent="0.35">
      <c r="A290" s="12" t="s">
        <v>511</v>
      </c>
      <c r="B290" s="15">
        <v>2025</v>
      </c>
      <c r="C290" s="13">
        <v>45848</v>
      </c>
      <c r="D290" s="12" t="s">
        <v>515</v>
      </c>
      <c r="E290" s="13">
        <v>45848</v>
      </c>
      <c r="F290" s="15">
        <v>256779415372</v>
      </c>
      <c r="G290" s="12" t="s">
        <v>11</v>
      </c>
      <c r="H290" s="14">
        <v>155.38</v>
      </c>
      <c r="I290" s="12" t="s">
        <v>59</v>
      </c>
      <c r="J290" s="14">
        <v>13362.78</v>
      </c>
      <c r="K290" s="12" t="s">
        <v>736</v>
      </c>
    </row>
    <row r="291" spans="1:11" x14ac:dyDescent="0.35">
      <c r="A291" s="12" t="s">
        <v>511</v>
      </c>
      <c r="B291" s="15">
        <v>2025</v>
      </c>
      <c r="C291" s="13">
        <v>45848</v>
      </c>
      <c r="D291" s="12" t="s">
        <v>515</v>
      </c>
      <c r="E291" s="13">
        <v>45848</v>
      </c>
      <c r="F291" s="15">
        <v>256779415373</v>
      </c>
      <c r="G291" s="12" t="s">
        <v>11</v>
      </c>
      <c r="H291" s="14">
        <v>2.63</v>
      </c>
      <c r="I291" s="12" t="s">
        <v>59</v>
      </c>
      <c r="J291" s="14">
        <v>226.18</v>
      </c>
      <c r="K291" s="12" t="s">
        <v>737</v>
      </c>
    </row>
    <row r="292" spans="1:11" x14ac:dyDescent="0.35">
      <c r="A292" s="12" t="s">
        <v>511</v>
      </c>
      <c r="B292" s="15">
        <v>2025</v>
      </c>
      <c r="C292" s="13">
        <v>45848</v>
      </c>
      <c r="D292" s="12" t="s">
        <v>515</v>
      </c>
      <c r="E292" s="13">
        <v>45848</v>
      </c>
      <c r="F292" s="15">
        <v>256779415374</v>
      </c>
      <c r="G292" s="12" t="s">
        <v>11</v>
      </c>
      <c r="H292" s="14">
        <v>469.38</v>
      </c>
      <c r="I292" s="12" t="s">
        <v>59</v>
      </c>
      <c r="J292" s="14">
        <v>40366.99</v>
      </c>
      <c r="K292" s="12" t="s">
        <v>682</v>
      </c>
    </row>
    <row r="293" spans="1:11" x14ac:dyDescent="0.35">
      <c r="A293" s="12" t="s">
        <v>511</v>
      </c>
      <c r="B293" s="15">
        <v>2025</v>
      </c>
      <c r="C293" s="13">
        <v>45848</v>
      </c>
      <c r="D293" s="12" t="s">
        <v>515</v>
      </c>
      <c r="E293" s="13">
        <v>45848</v>
      </c>
      <c r="F293" s="15">
        <v>256779415375</v>
      </c>
      <c r="G293" s="12" t="s">
        <v>11</v>
      </c>
      <c r="H293" s="14">
        <v>360</v>
      </c>
      <c r="I293" s="12" t="s">
        <v>59</v>
      </c>
      <c r="J293" s="14">
        <v>30960.240000000002</v>
      </c>
      <c r="K293" s="12" t="s">
        <v>683</v>
      </c>
    </row>
    <row r="294" spans="1:11" x14ac:dyDescent="0.35">
      <c r="A294" s="12" t="s">
        <v>511</v>
      </c>
      <c r="B294" s="15">
        <v>2025</v>
      </c>
      <c r="C294" s="13">
        <v>45848</v>
      </c>
      <c r="D294" s="12" t="s">
        <v>515</v>
      </c>
      <c r="E294" s="13">
        <v>45848</v>
      </c>
      <c r="F294" s="15">
        <v>256779415376</v>
      </c>
      <c r="G294" s="12" t="s">
        <v>11</v>
      </c>
      <c r="H294" s="14">
        <v>60</v>
      </c>
      <c r="I294" s="12" t="s">
        <v>59</v>
      </c>
      <c r="J294" s="14">
        <v>5160.04</v>
      </c>
      <c r="K294" s="12" t="s">
        <v>684</v>
      </c>
    </row>
    <row r="295" spans="1:11" x14ac:dyDescent="0.35">
      <c r="A295" s="12" t="s">
        <v>511</v>
      </c>
      <c r="B295" s="15">
        <v>2025</v>
      </c>
      <c r="C295" s="13">
        <v>45848</v>
      </c>
      <c r="D295" s="12" t="s">
        <v>512</v>
      </c>
      <c r="E295" s="13">
        <v>45848</v>
      </c>
      <c r="F295" s="15">
        <v>256779421222</v>
      </c>
      <c r="G295" s="12" t="s">
        <v>11</v>
      </c>
      <c r="H295" s="14">
        <v>-295</v>
      </c>
      <c r="I295" s="12" t="s">
        <v>59</v>
      </c>
      <c r="J295" s="14">
        <v>-25370.2</v>
      </c>
      <c r="K295" s="12" t="s">
        <v>738</v>
      </c>
    </row>
    <row r="296" spans="1:11" x14ac:dyDescent="0.35">
      <c r="A296" s="12" t="s">
        <v>511</v>
      </c>
      <c r="B296" s="15">
        <v>2025</v>
      </c>
      <c r="C296" s="13">
        <v>45848</v>
      </c>
      <c r="D296" s="12" t="s">
        <v>512</v>
      </c>
      <c r="E296" s="13">
        <v>45848</v>
      </c>
      <c r="F296" s="15">
        <v>256779421223</v>
      </c>
      <c r="G296" s="12" t="s">
        <v>11</v>
      </c>
      <c r="H296" s="14">
        <v>-28.32</v>
      </c>
      <c r="I296" s="12" t="s">
        <v>59</v>
      </c>
      <c r="J296" s="14">
        <v>-2435.54</v>
      </c>
      <c r="K296" s="12" t="s">
        <v>739</v>
      </c>
    </row>
    <row r="297" spans="1:11" x14ac:dyDescent="0.35">
      <c r="A297" s="12" t="s">
        <v>511</v>
      </c>
      <c r="B297" s="15">
        <v>2025</v>
      </c>
      <c r="C297" s="13">
        <v>45848</v>
      </c>
      <c r="D297" s="12" t="s">
        <v>512</v>
      </c>
      <c r="E297" s="13">
        <v>45848</v>
      </c>
      <c r="F297" s="15">
        <v>256779421224</v>
      </c>
      <c r="G297" s="12" t="s">
        <v>11</v>
      </c>
      <c r="H297" s="14">
        <v>-28.32</v>
      </c>
      <c r="I297" s="12" t="s">
        <v>59</v>
      </c>
      <c r="J297" s="14">
        <v>-2435.54</v>
      </c>
      <c r="K297" s="12" t="s">
        <v>740</v>
      </c>
    </row>
    <row r="298" spans="1:11" x14ac:dyDescent="0.35">
      <c r="A298" s="12" t="s">
        <v>511</v>
      </c>
      <c r="B298" s="15">
        <v>2025</v>
      </c>
      <c r="C298" s="13">
        <v>45848</v>
      </c>
      <c r="D298" s="12" t="s">
        <v>512</v>
      </c>
      <c r="E298" s="13">
        <v>45848</v>
      </c>
      <c r="F298" s="15">
        <v>256779421225</v>
      </c>
      <c r="G298" s="12" t="s">
        <v>11</v>
      </c>
      <c r="H298" s="14">
        <v>-28.32</v>
      </c>
      <c r="I298" s="12" t="s">
        <v>59</v>
      </c>
      <c r="J298" s="14">
        <v>-2435.54</v>
      </c>
      <c r="K298" s="12" t="s">
        <v>741</v>
      </c>
    </row>
    <row r="299" spans="1:11" x14ac:dyDescent="0.35">
      <c r="A299" s="12" t="s">
        <v>511</v>
      </c>
      <c r="B299" s="15">
        <v>2025</v>
      </c>
      <c r="C299" s="13">
        <v>45848</v>
      </c>
      <c r="D299" s="12" t="s">
        <v>512</v>
      </c>
      <c r="E299" s="13">
        <v>45848</v>
      </c>
      <c r="F299" s="15">
        <v>256779421226</v>
      </c>
      <c r="G299" s="12" t="s">
        <v>11</v>
      </c>
      <c r="H299" s="14">
        <v>-28.32</v>
      </c>
      <c r="I299" s="12" t="s">
        <v>59</v>
      </c>
      <c r="J299" s="14">
        <v>-2435.54</v>
      </c>
      <c r="K299" s="12" t="s">
        <v>742</v>
      </c>
    </row>
    <row r="300" spans="1:11" x14ac:dyDescent="0.35">
      <c r="A300" s="12" t="s">
        <v>511</v>
      </c>
      <c r="B300" s="15">
        <v>2025</v>
      </c>
      <c r="C300" s="13">
        <v>45848</v>
      </c>
      <c r="D300" s="12" t="s">
        <v>512</v>
      </c>
      <c r="E300" s="13">
        <v>45848</v>
      </c>
      <c r="F300" s="15">
        <v>256779421227</v>
      </c>
      <c r="G300" s="12" t="s">
        <v>11</v>
      </c>
      <c r="H300" s="14">
        <v>-28.32</v>
      </c>
      <c r="I300" s="12" t="s">
        <v>59</v>
      </c>
      <c r="J300" s="14">
        <v>-2435.54</v>
      </c>
      <c r="K300" s="12" t="s">
        <v>743</v>
      </c>
    </row>
    <row r="301" spans="1:11" x14ac:dyDescent="0.35">
      <c r="A301" s="12" t="s">
        <v>511</v>
      </c>
      <c r="B301" s="15">
        <v>2025</v>
      </c>
      <c r="C301" s="13">
        <v>45848</v>
      </c>
      <c r="D301" s="12" t="s">
        <v>512</v>
      </c>
      <c r="E301" s="13">
        <v>45848</v>
      </c>
      <c r="F301" s="15">
        <v>256779421228</v>
      </c>
      <c r="G301" s="12" t="s">
        <v>11</v>
      </c>
      <c r="H301" s="14">
        <v>-28.32</v>
      </c>
      <c r="I301" s="12" t="s">
        <v>59</v>
      </c>
      <c r="J301" s="14">
        <v>-2435.54</v>
      </c>
      <c r="K301" s="12" t="s">
        <v>744</v>
      </c>
    </row>
    <row r="302" spans="1:11" x14ac:dyDescent="0.35">
      <c r="A302" s="12" t="s">
        <v>511</v>
      </c>
      <c r="B302" s="15">
        <v>2025</v>
      </c>
      <c r="C302" s="13">
        <v>45848</v>
      </c>
      <c r="D302" s="12" t="s">
        <v>512</v>
      </c>
      <c r="E302" s="13">
        <v>45848</v>
      </c>
      <c r="F302" s="15">
        <v>256779421229</v>
      </c>
      <c r="G302" s="12" t="s">
        <v>11</v>
      </c>
      <c r="H302" s="14">
        <v>-28.32</v>
      </c>
      <c r="I302" s="12" t="s">
        <v>59</v>
      </c>
      <c r="J302" s="14">
        <v>-2435.54</v>
      </c>
      <c r="K302" s="12" t="s">
        <v>745</v>
      </c>
    </row>
    <row r="303" spans="1:11" x14ac:dyDescent="0.35">
      <c r="A303" s="12" t="s">
        <v>511</v>
      </c>
      <c r="B303" s="15">
        <v>2025</v>
      </c>
      <c r="C303" s="13">
        <v>45848</v>
      </c>
      <c r="D303" s="12" t="s">
        <v>512</v>
      </c>
      <c r="E303" s="13">
        <v>45848</v>
      </c>
      <c r="F303" s="15">
        <v>256779421230</v>
      </c>
      <c r="G303" s="12" t="s">
        <v>11</v>
      </c>
      <c r="H303" s="14">
        <v>-28.32</v>
      </c>
      <c r="I303" s="12" t="s">
        <v>59</v>
      </c>
      <c r="J303" s="14">
        <v>-2435.54</v>
      </c>
      <c r="K303" s="12" t="s">
        <v>746</v>
      </c>
    </row>
    <row r="304" spans="1:11" x14ac:dyDescent="0.35">
      <c r="A304" s="12" t="s">
        <v>511</v>
      </c>
      <c r="B304" s="15">
        <v>2025</v>
      </c>
      <c r="C304" s="13">
        <v>45848</v>
      </c>
      <c r="D304" s="12" t="s">
        <v>512</v>
      </c>
      <c r="E304" s="13">
        <v>45848</v>
      </c>
      <c r="F304" s="15">
        <v>256779421231</v>
      </c>
      <c r="G304" s="12" t="s">
        <v>11</v>
      </c>
      <c r="H304" s="14">
        <v>-28.32</v>
      </c>
      <c r="I304" s="12" t="s">
        <v>59</v>
      </c>
      <c r="J304" s="14">
        <v>-2435.54</v>
      </c>
      <c r="K304" s="12" t="s">
        <v>747</v>
      </c>
    </row>
    <row r="305" spans="1:11" x14ac:dyDescent="0.35">
      <c r="A305" s="12" t="s">
        <v>511</v>
      </c>
      <c r="B305" s="15">
        <v>2025</v>
      </c>
      <c r="C305" s="13">
        <v>45848</v>
      </c>
      <c r="D305" s="12" t="s">
        <v>512</v>
      </c>
      <c r="E305" s="13">
        <v>45848</v>
      </c>
      <c r="F305" s="15">
        <v>256779421232</v>
      </c>
      <c r="G305" s="12" t="s">
        <v>11</v>
      </c>
      <c r="H305" s="14">
        <v>-28.32</v>
      </c>
      <c r="I305" s="12" t="s">
        <v>59</v>
      </c>
      <c r="J305" s="14">
        <v>-2435.54</v>
      </c>
      <c r="K305" s="12" t="s">
        <v>748</v>
      </c>
    </row>
    <row r="306" spans="1:11" x14ac:dyDescent="0.35">
      <c r="A306" s="12" t="s">
        <v>511</v>
      </c>
      <c r="B306" s="15">
        <v>2025</v>
      </c>
      <c r="C306" s="13">
        <v>45848</v>
      </c>
      <c r="D306" s="12" t="s">
        <v>512</v>
      </c>
      <c r="E306" s="13">
        <v>45848</v>
      </c>
      <c r="F306" s="15">
        <v>256779421233</v>
      </c>
      <c r="G306" s="12" t="s">
        <v>11</v>
      </c>
      <c r="H306" s="14">
        <v>-28.32</v>
      </c>
      <c r="I306" s="12" t="s">
        <v>59</v>
      </c>
      <c r="J306" s="14">
        <v>-2435.54</v>
      </c>
      <c r="K306" s="12" t="s">
        <v>749</v>
      </c>
    </row>
    <row r="307" spans="1:11" x14ac:dyDescent="0.35">
      <c r="A307" s="12" t="s">
        <v>511</v>
      </c>
      <c r="B307" s="15">
        <v>2025</v>
      </c>
      <c r="C307" s="13">
        <v>45848</v>
      </c>
      <c r="D307" s="12" t="s">
        <v>512</v>
      </c>
      <c r="E307" s="13">
        <v>45848</v>
      </c>
      <c r="F307" s="15">
        <v>256779421234</v>
      </c>
      <c r="G307" s="12" t="s">
        <v>11</v>
      </c>
      <c r="H307" s="14">
        <v>-35.4</v>
      </c>
      <c r="I307" s="12" t="s">
        <v>59</v>
      </c>
      <c r="J307" s="14">
        <v>-3044.42</v>
      </c>
      <c r="K307" s="12" t="s">
        <v>750</v>
      </c>
    </row>
    <row r="308" spans="1:11" x14ac:dyDescent="0.35">
      <c r="A308" s="12" t="s">
        <v>511</v>
      </c>
      <c r="B308" s="15">
        <v>2025</v>
      </c>
      <c r="C308" s="13">
        <v>45848</v>
      </c>
      <c r="D308" s="12" t="s">
        <v>512</v>
      </c>
      <c r="E308" s="13">
        <v>45848</v>
      </c>
      <c r="F308" s="15">
        <v>256779421235</v>
      </c>
      <c r="G308" s="12" t="s">
        <v>11</v>
      </c>
      <c r="H308" s="14">
        <v>-35.4</v>
      </c>
      <c r="I308" s="12" t="s">
        <v>59</v>
      </c>
      <c r="J308" s="14">
        <v>-3044.42</v>
      </c>
      <c r="K308" s="12" t="s">
        <v>751</v>
      </c>
    </row>
    <row r="309" spans="1:11" x14ac:dyDescent="0.35">
      <c r="A309" s="12" t="s">
        <v>511</v>
      </c>
      <c r="B309" s="15">
        <v>2025</v>
      </c>
      <c r="C309" s="13">
        <v>45848</v>
      </c>
      <c r="D309" s="12" t="s">
        <v>512</v>
      </c>
      <c r="E309" s="13">
        <v>45848</v>
      </c>
      <c r="F309" s="15">
        <v>256779421237</v>
      </c>
      <c r="G309" s="12" t="s">
        <v>11</v>
      </c>
      <c r="H309" s="14">
        <v>-35.4</v>
      </c>
      <c r="I309" s="12" t="s">
        <v>59</v>
      </c>
      <c r="J309" s="14">
        <v>-3044.42</v>
      </c>
      <c r="K309" s="12" t="s">
        <v>752</v>
      </c>
    </row>
    <row r="310" spans="1:11" x14ac:dyDescent="0.35">
      <c r="A310" s="12" t="s">
        <v>511</v>
      </c>
      <c r="B310" s="15">
        <v>2025</v>
      </c>
      <c r="C310" s="13">
        <v>45848</v>
      </c>
      <c r="D310" s="12" t="s">
        <v>512</v>
      </c>
      <c r="E310" s="13">
        <v>45848</v>
      </c>
      <c r="F310" s="15">
        <v>256779421238</v>
      </c>
      <c r="G310" s="12" t="s">
        <v>11</v>
      </c>
      <c r="H310" s="14">
        <v>-35.4</v>
      </c>
      <c r="I310" s="12" t="s">
        <v>59</v>
      </c>
      <c r="J310" s="14">
        <v>-3044.42</v>
      </c>
      <c r="K310" s="12" t="s">
        <v>753</v>
      </c>
    </row>
    <row r="311" spans="1:11" x14ac:dyDescent="0.35">
      <c r="A311" s="12" t="s">
        <v>511</v>
      </c>
      <c r="B311" s="15">
        <v>2025</v>
      </c>
      <c r="C311" s="13">
        <v>45848</v>
      </c>
      <c r="D311" s="12" t="s">
        <v>512</v>
      </c>
      <c r="E311" s="13">
        <v>45848</v>
      </c>
      <c r="F311" s="15">
        <v>256779421239</v>
      </c>
      <c r="G311" s="12" t="s">
        <v>11</v>
      </c>
      <c r="H311" s="14">
        <v>-35.4</v>
      </c>
      <c r="I311" s="12" t="s">
        <v>59</v>
      </c>
      <c r="J311" s="14">
        <v>-3044.42</v>
      </c>
      <c r="K311" s="12" t="s">
        <v>754</v>
      </c>
    </row>
    <row r="312" spans="1:11" x14ac:dyDescent="0.35">
      <c r="A312" s="12" t="s">
        <v>511</v>
      </c>
      <c r="B312" s="15">
        <v>2025</v>
      </c>
      <c r="C312" s="13">
        <v>45848</v>
      </c>
      <c r="D312" s="12" t="s">
        <v>512</v>
      </c>
      <c r="E312" s="13">
        <v>45848</v>
      </c>
      <c r="F312" s="15">
        <v>256779421240</v>
      </c>
      <c r="G312" s="12" t="s">
        <v>11</v>
      </c>
      <c r="H312" s="14">
        <v>-35.4</v>
      </c>
      <c r="I312" s="12" t="s">
        <v>59</v>
      </c>
      <c r="J312" s="14">
        <v>-3044.42</v>
      </c>
      <c r="K312" s="12" t="s">
        <v>755</v>
      </c>
    </row>
    <row r="313" spans="1:11" x14ac:dyDescent="0.35">
      <c r="A313" s="12" t="s">
        <v>511</v>
      </c>
      <c r="B313" s="15">
        <v>2025</v>
      </c>
      <c r="C313" s="13">
        <v>45848</v>
      </c>
      <c r="D313" s="12" t="s">
        <v>512</v>
      </c>
      <c r="E313" s="13">
        <v>45848</v>
      </c>
      <c r="F313" s="15">
        <v>256779421241</v>
      </c>
      <c r="G313" s="12" t="s">
        <v>11</v>
      </c>
      <c r="H313" s="14">
        <v>-35.4</v>
      </c>
      <c r="I313" s="12" t="s">
        <v>59</v>
      </c>
      <c r="J313" s="14">
        <v>-3044.42</v>
      </c>
      <c r="K313" s="12" t="s">
        <v>756</v>
      </c>
    </row>
    <row r="314" spans="1:11" x14ac:dyDescent="0.35">
      <c r="A314" s="12" t="s">
        <v>511</v>
      </c>
      <c r="B314" s="15">
        <v>2025</v>
      </c>
      <c r="C314" s="13">
        <v>45848</v>
      </c>
      <c r="D314" s="12" t="s">
        <v>512</v>
      </c>
      <c r="E314" s="13">
        <v>45848</v>
      </c>
      <c r="F314" s="15">
        <v>256779421242</v>
      </c>
      <c r="G314" s="12" t="s">
        <v>11</v>
      </c>
      <c r="H314" s="14">
        <v>-35.4</v>
      </c>
      <c r="I314" s="12" t="s">
        <v>59</v>
      </c>
      <c r="J314" s="14">
        <v>-3044.42</v>
      </c>
      <c r="K314" s="12" t="s">
        <v>757</v>
      </c>
    </row>
    <row r="315" spans="1:11" x14ac:dyDescent="0.35">
      <c r="A315" s="12" t="s">
        <v>511</v>
      </c>
      <c r="B315" s="15">
        <v>2025</v>
      </c>
      <c r="C315" s="13">
        <v>45848</v>
      </c>
      <c r="D315" s="12" t="s">
        <v>512</v>
      </c>
      <c r="E315" s="13">
        <v>45848</v>
      </c>
      <c r="F315" s="15">
        <v>256779421243</v>
      </c>
      <c r="G315" s="12" t="s">
        <v>11</v>
      </c>
      <c r="H315" s="14">
        <v>-35.4</v>
      </c>
      <c r="I315" s="12" t="s">
        <v>59</v>
      </c>
      <c r="J315" s="14">
        <v>-3044.42</v>
      </c>
      <c r="K315" s="12" t="s">
        <v>758</v>
      </c>
    </row>
    <row r="316" spans="1:11" x14ac:dyDescent="0.35">
      <c r="A316" s="12" t="s">
        <v>511</v>
      </c>
      <c r="B316" s="15">
        <v>2025</v>
      </c>
      <c r="C316" s="13">
        <v>45848</v>
      </c>
      <c r="D316" s="12" t="s">
        <v>512</v>
      </c>
      <c r="E316" s="13">
        <v>45848</v>
      </c>
      <c r="F316" s="15">
        <v>256779421244</v>
      </c>
      <c r="G316" s="12" t="s">
        <v>11</v>
      </c>
      <c r="H316" s="14">
        <v>-91.43</v>
      </c>
      <c r="I316" s="12" t="s">
        <v>59</v>
      </c>
      <c r="J316" s="14">
        <v>-7863.04</v>
      </c>
      <c r="K316" s="12" t="s">
        <v>759</v>
      </c>
    </row>
    <row r="317" spans="1:11" x14ac:dyDescent="0.35">
      <c r="A317" s="12" t="s">
        <v>511</v>
      </c>
      <c r="B317" s="15">
        <v>2025</v>
      </c>
      <c r="C317" s="13">
        <v>45848</v>
      </c>
      <c r="D317" s="12" t="s">
        <v>512</v>
      </c>
      <c r="E317" s="13">
        <v>45848</v>
      </c>
      <c r="F317" s="15">
        <v>256779421245</v>
      </c>
      <c r="G317" s="12" t="s">
        <v>11</v>
      </c>
      <c r="H317" s="14">
        <v>-236</v>
      </c>
      <c r="I317" s="12" t="s">
        <v>59</v>
      </c>
      <c r="J317" s="14">
        <v>-20296.16</v>
      </c>
      <c r="K317" s="12" t="s">
        <v>759</v>
      </c>
    </row>
    <row r="318" spans="1:11" x14ac:dyDescent="0.35">
      <c r="A318" s="12" t="s">
        <v>511</v>
      </c>
      <c r="B318" s="15">
        <v>2025</v>
      </c>
      <c r="C318" s="13">
        <v>45848</v>
      </c>
      <c r="D318" s="12" t="s">
        <v>512</v>
      </c>
      <c r="E318" s="13">
        <v>45848</v>
      </c>
      <c r="F318" s="15">
        <v>256779421246</v>
      </c>
      <c r="G318" s="12" t="s">
        <v>11</v>
      </c>
      <c r="H318" s="14">
        <v>-70.8</v>
      </c>
      <c r="I318" s="12" t="s">
        <v>59</v>
      </c>
      <c r="J318" s="14">
        <v>-6088.85</v>
      </c>
      <c r="K318" s="12" t="s">
        <v>759</v>
      </c>
    </row>
    <row r="319" spans="1:11" x14ac:dyDescent="0.35">
      <c r="A319" s="12" t="s">
        <v>511</v>
      </c>
      <c r="B319" s="15">
        <v>2025</v>
      </c>
      <c r="C319" s="13">
        <v>45848</v>
      </c>
      <c r="D319" s="12" t="s">
        <v>512</v>
      </c>
      <c r="E319" s="13">
        <v>45848</v>
      </c>
      <c r="F319" s="15">
        <v>256779421247</v>
      </c>
      <c r="G319" s="12" t="s">
        <v>11</v>
      </c>
      <c r="H319" s="14">
        <v>-211.39</v>
      </c>
      <c r="I319" s="12" t="s">
        <v>59</v>
      </c>
      <c r="J319" s="14">
        <v>-18179.68</v>
      </c>
      <c r="K319" s="12" t="s">
        <v>760</v>
      </c>
    </row>
    <row r="320" spans="1:11" x14ac:dyDescent="0.35">
      <c r="A320" s="12" t="s">
        <v>511</v>
      </c>
      <c r="B320" s="15">
        <v>2025</v>
      </c>
      <c r="C320" s="13">
        <v>45848</v>
      </c>
      <c r="D320" s="12" t="s">
        <v>512</v>
      </c>
      <c r="E320" s="13">
        <v>45848</v>
      </c>
      <c r="F320" s="15">
        <v>256779421248</v>
      </c>
      <c r="G320" s="12" t="s">
        <v>11</v>
      </c>
      <c r="H320" s="14">
        <v>-141.6</v>
      </c>
      <c r="I320" s="12" t="s">
        <v>59</v>
      </c>
      <c r="J320" s="14">
        <v>-12177.69</v>
      </c>
      <c r="K320" s="12" t="s">
        <v>761</v>
      </c>
    </row>
    <row r="321" spans="1:11" x14ac:dyDescent="0.35">
      <c r="A321" s="12" t="s">
        <v>511</v>
      </c>
      <c r="B321" s="15">
        <v>2025</v>
      </c>
      <c r="C321" s="13">
        <v>45848</v>
      </c>
      <c r="D321" s="12" t="s">
        <v>512</v>
      </c>
      <c r="E321" s="13">
        <v>45848</v>
      </c>
      <c r="F321" s="15">
        <v>256779421249</v>
      </c>
      <c r="G321" s="12" t="s">
        <v>11</v>
      </c>
      <c r="H321" s="14">
        <v>-70.8</v>
      </c>
      <c r="I321" s="12" t="s">
        <v>59</v>
      </c>
      <c r="J321" s="14">
        <v>-6088.85</v>
      </c>
      <c r="K321" s="12" t="s">
        <v>762</v>
      </c>
    </row>
    <row r="322" spans="1:11" x14ac:dyDescent="0.35">
      <c r="A322" s="12" t="s">
        <v>511</v>
      </c>
      <c r="B322" s="15">
        <v>2025</v>
      </c>
      <c r="C322" s="13">
        <v>45848</v>
      </c>
      <c r="D322" s="12" t="s">
        <v>512</v>
      </c>
      <c r="E322" s="13">
        <v>45848</v>
      </c>
      <c r="F322" s="15">
        <v>256779421250</v>
      </c>
      <c r="G322" s="12" t="s">
        <v>11</v>
      </c>
      <c r="H322" s="14">
        <v>-236</v>
      </c>
      <c r="I322" s="12" t="s">
        <v>59</v>
      </c>
      <c r="J322" s="14">
        <v>-20296.16</v>
      </c>
      <c r="K322" s="12" t="s">
        <v>763</v>
      </c>
    </row>
    <row r="323" spans="1:11" x14ac:dyDescent="0.35">
      <c r="A323" s="12" t="s">
        <v>511</v>
      </c>
      <c r="B323" s="15">
        <v>2025</v>
      </c>
      <c r="C323" s="13">
        <v>45848</v>
      </c>
      <c r="D323" s="12" t="s">
        <v>512</v>
      </c>
      <c r="E323" s="13">
        <v>45848</v>
      </c>
      <c r="F323" s="15">
        <v>256779421251</v>
      </c>
      <c r="G323" s="12" t="s">
        <v>11</v>
      </c>
      <c r="H323" s="14">
        <v>-300.49</v>
      </c>
      <c r="I323" s="12" t="s">
        <v>59</v>
      </c>
      <c r="J323" s="14">
        <v>-25842.34</v>
      </c>
      <c r="K323" s="12" t="s">
        <v>764</v>
      </c>
    </row>
    <row r="324" spans="1:11" x14ac:dyDescent="0.35">
      <c r="A324" s="12" t="s">
        <v>511</v>
      </c>
      <c r="B324" s="15">
        <v>2025</v>
      </c>
      <c r="C324" s="13">
        <v>45848</v>
      </c>
      <c r="D324" s="12" t="s">
        <v>512</v>
      </c>
      <c r="E324" s="13">
        <v>45848</v>
      </c>
      <c r="F324" s="15">
        <v>256779421252</v>
      </c>
      <c r="G324" s="12" t="s">
        <v>11</v>
      </c>
      <c r="H324" s="14">
        <v>-165.4</v>
      </c>
      <c r="I324" s="12" t="s">
        <v>59</v>
      </c>
      <c r="J324" s="14">
        <v>-14224.51</v>
      </c>
      <c r="K324" s="12" t="s">
        <v>765</v>
      </c>
    </row>
    <row r="325" spans="1:11" x14ac:dyDescent="0.35">
      <c r="A325" s="12" t="s">
        <v>511</v>
      </c>
      <c r="B325" s="15">
        <v>2025</v>
      </c>
      <c r="C325" s="13">
        <v>45848</v>
      </c>
      <c r="D325" s="12" t="s">
        <v>512</v>
      </c>
      <c r="E325" s="13">
        <v>45848</v>
      </c>
      <c r="F325" s="15">
        <v>256779421253</v>
      </c>
      <c r="G325" s="12" t="s">
        <v>11</v>
      </c>
      <c r="H325" s="14">
        <v>-14.75</v>
      </c>
      <c r="I325" s="12" t="s">
        <v>59</v>
      </c>
      <c r="J325" s="14">
        <v>-1268.51</v>
      </c>
      <c r="K325" s="12" t="s">
        <v>739</v>
      </c>
    </row>
    <row r="326" spans="1:11" x14ac:dyDescent="0.35">
      <c r="A326" s="12" t="s">
        <v>511</v>
      </c>
      <c r="B326" s="15">
        <v>2025</v>
      </c>
      <c r="C326" s="13">
        <v>45848</v>
      </c>
      <c r="D326" s="12" t="s">
        <v>512</v>
      </c>
      <c r="E326" s="13">
        <v>45848</v>
      </c>
      <c r="F326" s="15">
        <v>256779421254</v>
      </c>
      <c r="G326" s="12" t="s">
        <v>11</v>
      </c>
      <c r="H326" s="14">
        <v>-250.75</v>
      </c>
      <c r="I326" s="12" t="s">
        <v>59</v>
      </c>
      <c r="J326" s="14">
        <v>-21564.67</v>
      </c>
      <c r="K326" s="12" t="s">
        <v>766</v>
      </c>
    </row>
    <row r="327" spans="1:11" x14ac:dyDescent="0.35">
      <c r="A327" s="12" t="s">
        <v>511</v>
      </c>
      <c r="B327" s="15">
        <v>2025</v>
      </c>
      <c r="C327" s="13">
        <v>45848</v>
      </c>
      <c r="D327" s="12" t="s">
        <v>512</v>
      </c>
      <c r="E327" s="13">
        <v>45848</v>
      </c>
      <c r="F327" s="15">
        <v>256779421255</v>
      </c>
      <c r="G327" s="12" t="s">
        <v>11</v>
      </c>
      <c r="H327" s="14">
        <v>-226.56</v>
      </c>
      <c r="I327" s="12" t="s">
        <v>59</v>
      </c>
      <c r="J327" s="14">
        <v>-19484.310000000001</v>
      </c>
      <c r="K327" s="12" t="s">
        <v>767</v>
      </c>
    </row>
    <row r="328" spans="1:11" x14ac:dyDescent="0.35">
      <c r="A328" s="12" t="s">
        <v>511</v>
      </c>
      <c r="B328" s="15">
        <v>2025</v>
      </c>
      <c r="C328" s="13">
        <v>45848</v>
      </c>
      <c r="D328" s="12" t="s">
        <v>512</v>
      </c>
      <c r="E328" s="13">
        <v>45848</v>
      </c>
      <c r="F328" s="15">
        <v>256779421256</v>
      </c>
      <c r="G328" s="12" t="s">
        <v>11</v>
      </c>
      <c r="H328" s="14">
        <v>-249.87</v>
      </c>
      <c r="I328" s="12" t="s">
        <v>59</v>
      </c>
      <c r="J328" s="14">
        <v>-21488.99</v>
      </c>
      <c r="K328" s="12" t="s">
        <v>768</v>
      </c>
    </row>
    <row r="329" spans="1:11" x14ac:dyDescent="0.35">
      <c r="A329" s="12" t="s">
        <v>511</v>
      </c>
      <c r="B329" s="15">
        <v>2025</v>
      </c>
      <c r="C329" s="13">
        <v>45848</v>
      </c>
      <c r="D329" s="12" t="s">
        <v>512</v>
      </c>
      <c r="E329" s="13">
        <v>45848</v>
      </c>
      <c r="F329" s="15">
        <v>256779421257</v>
      </c>
      <c r="G329" s="12" t="s">
        <v>11</v>
      </c>
      <c r="H329" s="14">
        <v>-173.05</v>
      </c>
      <c r="I329" s="12" t="s">
        <v>59</v>
      </c>
      <c r="J329" s="14">
        <v>-14882.42</v>
      </c>
      <c r="K329" s="12" t="s">
        <v>769</v>
      </c>
    </row>
    <row r="330" spans="1:11" x14ac:dyDescent="0.35">
      <c r="A330" s="12" t="s">
        <v>511</v>
      </c>
      <c r="B330" s="15">
        <v>2025</v>
      </c>
      <c r="C330" s="13">
        <v>45848</v>
      </c>
      <c r="D330" s="12" t="s">
        <v>512</v>
      </c>
      <c r="E330" s="13">
        <v>45848</v>
      </c>
      <c r="F330" s="15">
        <v>256779421258</v>
      </c>
      <c r="G330" s="12" t="s">
        <v>11</v>
      </c>
      <c r="H330" s="14">
        <v>-226.56</v>
      </c>
      <c r="I330" s="12" t="s">
        <v>59</v>
      </c>
      <c r="J330" s="14">
        <v>-19484.310000000001</v>
      </c>
      <c r="K330" s="12" t="s">
        <v>770</v>
      </c>
    </row>
    <row r="331" spans="1:11" x14ac:dyDescent="0.35">
      <c r="A331" s="12" t="s">
        <v>511</v>
      </c>
      <c r="B331" s="15">
        <v>2025</v>
      </c>
      <c r="C331" s="13">
        <v>45848</v>
      </c>
      <c r="D331" s="12" t="s">
        <v>512</v>
      </c>
      <c r="E331" s="13">
        <v>45848</v>
      </c>
      <c r="F331" s="15">
        <v>256779421259</v>
      </c>
      <c r="G331" s="12" t="s">
        <v>11</v>
      </c>
      <c r="H331" s="14">
        <v>-218.36</v>
      </c>
      <c r="I331" s="12" t="s">
        <v>59</v>
      </c>
      <c r="J331" s="14">
        <v>-18779.11</v>
      </c>
      <c r="K331" s="12" t="s">
        <v>771</v>
      </c>
    </row>
    <row r="332" spans="1:11" x14ac:dyDescent="0.35">
      <c r="A332" s="12" t="s">
        <v>511</v>
      </c>
      <c r="B332" s="15">
        <v>2025</v>
      </c>
      <c r="C332" s="13">
        <v>45848</v>
      </c>
      <c r="D332" s="12" t="s">
        <v>512</v>
      </c>
      <c r="E332" s="13">
        <v>45848</v>
      </c>
      <c r="F332" s="15">
        <v>256779421260</v>
      </c>
      <c r="G332" s="12" t="s">
        <v>11</v>
      </c>
      <c r="H332" s="14">
        <v>-23.6</v>
      </c>
      <c r="I332" s="12" t="s">
        <v>59</v>
      </c>
      <c r="J332" s="14">
        <v>-2029.62</v>
      </c>
      <c r="K332" s="12" t="s">
        <v>772</v>
      </c>
    </row>
    <row r="333" spans="1:11" x14ac:dyDescent="0.35">
      <c r="A333" s="12" t="s">
        <v>511</v>
      </c>
      <c r="B333" s="15">
        <v>2025</v>
      </c>
      <c r="C333" s="13">
        <v>45848</v>
      </c>
      <c r="D333" s="12" t="s">
        <v>512</v>
      </c>
      <c r="E333" s="13">
        <v>45848</v>
      </c>
      <c r="F333" s="15">
        <v>256779421261</v>
      </c>
      <c r="G333" s="12" t="s">
        <v>11</v>
      </c>
      <c r="H333" s="14">
        <v>-26.55</v>
      </c>
      <c r="I333" s="12" t="s">
        <v>59</v>
      </c>
      <c r="J333" s="14">
        <v>-2283.3200000000002</v>
      </c>
      <c r="K333" s="12" t="s">
        <v>773</v>
      </c>
    </row>
    <row r="334" spans="1:11" x14ac:dyDescent="0.35">
      <c r="A334" s="12" t="s">
        <v>511</v>
      </c>
      <c r="B334" s="15">
        <v>2025</v>
      </c>
      <c r="C334" s="13">
        <v>45848</v>
      </c>
      <c r="D334" s="12" t="s">
        <v>512</v>
      </c>
      <c r="E334" s="13">
        <v>45848</v>
      </c>
      <c r="F334" s="15">
        <v>256779421262</v>
      </c>
      <c r="G334" s="12" t="s">
        <v>11</v>
      </c>
      <c r="H334" s="14">
        <v>-32.450000000000003</v>
      </c>
      <c r="I334" s="12" t="s">
        <v>59</v>
      </c>
      <c r="J334" s="14">
        <v>-2790.72</v>
      </c>
      <c r="K334" s="12" t="s">
        <v>774</v>
      </c>
    </row>
    <row r="335" spans="1:11" x14ac:dyDescent="0.35">
      <c r="A335" s="12" t="s">
        <v>511</v>
      </c>
      <c r="B335" s="15">
        <v>2025</v>
      </c>
      <c r="C335" s="13">
        <v>45848</v>
      </c>
      <c r="D335" s="12" t="s">
        <v>512</v>
      </c>
      <c r="E335" s="13">
        <v>45848</v>
      </c>
      <c r="F335" s="15">
        <v>256779421263</v>
      </c>
      <c r="G335" s="12" t="s">
        <v>11</v>
      </c>
      <c r="H335" s="14">
        <v>-26.55</v>
      </c>
      <c r="I335" s="12" t="s">
        <v>59</v>
      </c>
      <c r="J335" s="14">
        <v>-2283.3200000000002</v>
      </c>
      <c r="K335" s="12" t="s">
        <v>775</v>
      </c>
    </row>
    <row r="336" spans="1:11" x14ac:dyDescent="0.35">
      <c r="A336" s="12" t="s">
        <v>511</v>
      </c>
      <c r="B336" s="15">
        <v>2025</v>
      </c>
      <c r="C336" s="13">
        <v>45848</v>
      </c>
      <c r="D336" s="12" t="s">
        <v>512</v>
      </c>
      <c r="E336" s="13">
        <v>45848</v>
      </c>
      <c r="F336" s="15">
        <v>256779421264</v>
      </c>
      <c r="G336" s="12" t="s">
        <v>11</v>
      </c>
      <c r="H336" s="14">
        <v>-26.55</v>
      </c>
      <c r="I336" s="12" t="s">
        <v>59</v>
      </c>
      <c r="J336" s="14">
        <v>-2283.3200000000002</v>
      </c>
      <c r="K336" s="12" t="s">
        <v>776</v>
      </c>
    </row>
    <row r="337" spans="1:11" x14ac:dyDescent="0.35">
      <c r="A337" s="12" t="s">
        <v>511</v>
      </c>
      <c r="B337" s="15">
        <v>2025</v>
      </c>
      <c r="C337" s="13">
        <v>45848</v>
      </c>
      <c r="D337" s="12" t="s">
        <v>512</v>
      </c>
      <c r="E337" s="13">
        <v>45848</v>
      </c>
      <c r="F337" s="15">
        <v>256779421265</v>
      </c>
      <c r="G337" s="12" t="s">
        <v>11</v>
      </c>
      <c r="H337" s="14">
        <v>-2.95</v>
      </c>
      <c r="I337" s="12" t="s">
        <v>59</v>
      </c>
      <c r="J337" s="14">
        <v>-253.7</v>
      </c>
      <c r="K337" s="12" t="s">
        <v>777</v>
      </c>
    </row>
    <row r="338" spans="1:11" x14ac:dyDescent="0.35">
      <c r="A338" s="12" t="s">
        <v>511</v>
      </c>
      <c r="B338" s="15">
        <v>2025</v>
      </c>
      <c r="C338" s="13">
        <v>45848</v>
      </c>
      <c r="D338" s="12" t="s">
        <v>512</v>
      </c>
      <c r="E338" s="13">
        <v>45848</v>
      </c>
      <c r="F338" s="15">
        <v>256779421266</v>
      </c>
      <c r="G338" s="12" t="s">
        <v>11</v>
      </c>
      <c r="H338" s="14">
        <v>-26.55</v>
      </c>
      <c r="I338" s="12" t="s">
        <v>59</v>
      </c>
      <c r="J338" s="14">
        <v>-2283.3200000000002</v>
      </c>
      <c r="K338" s="12" t="s">
        <v>740</v>
      </c>
    </row>
    <row r="339" spans="1:11" x14ac:dyDescent="0.35">
      <c r="A339" s="12" t="s">
        <v>511</v>
      </c>
      <c r="B339" s="15">
        <v>2025</v>
      </c>
      <c r="C339" s="13">
        <v>45848</v>
      </c>
      <c r="D339" s="12" t="s">
        <v>512</v>
      </c>
      <c r="E339" s="13">
        <v>45848</v>
      </c>
      <c r="F339" s="15">
        <v>256779421267</v>
      </c>
      <c r="G339" s="12" t="s">
        <v>11</v>
      </c>
      <c r="H339" s="14">
        <v>-26.55</v>
      </c>
      <c r="I339" s="12" t="s">
        <v>59</v>
      </c>
      <c r="J339" s="14">
        <v>-2283.3200000000002</v>
      </c>
      <c r="K339" s="12" t="s">
        <v>741</v>
      </c>
    </row>
    <row r="340" spans="1:11" x14ac:dyDescent="0.35">
      <c r="A340" s="12" t="s">
        <v>511</v>
      </c>
      <c r="B340" s="15">
        <v>2025</v>
      </c>
      <c r="C340" s="13">
        <v>45848</v>
      </c>
      <c r="D340" s="12" t="s">
        <v>512</v>
      </c>
      <c r="E340" s="13">
        <v>45848</v>
      </c>
      <c r="F340" s="15">
        <v>256779421268</v>
      </c>
      <c r="G340" s="12" t="s">
        <v>11</v>
      </c>
      <c r="H340" s="14">
        <v>-29.5</v>
      </c>
      <c r="I340" s="12" t="s">
        <v>59</v>
      </c>
      <c r="J340" s="14">
        <v>-2537.02</v>
      </c>
      <c r="K340" s="12" t="s">
        <v>742</v>
      </c>
    </row>
    <row r="341" spans="1:11" x14ac:dyDescent="0.35">
      <c r="A341" s="12" t="s">
        <v>511</v>
      </c>
      <c r="B341" s="15">
        <v>2025</v>
      </c>
      <c r="C341" s="13">
        <v>45848</v>
      </c>
      <c r="D341" s="12" t="s">
        <v>512</v>
      </c>
      <c r="E341" s="13">
        <v>45848</v>
      </c>
      <c r="F341" s="15">
        <v>256779421269</v>
      </c>
      <c r="G341" s="12" t="s">
        <v>11</v>
      </c>
      <c r="H341" s="14">
        <v>-5.9</v>
      </c>
      <c r="I341" s="12" t="s">
        <v>59</v>
      </c>
      <c r="J341" s="14">
        <v>-507.4</v>
      </c>
      <c r="K341" s="12" t="s">
        <v>743</v>
      </c>
    </row>
    <row r="342" spans="1:11" x14ac:dyDescent="0.35">
      <c r="A342" s="12" t="s">
        <v>511</v>
      </c>
      <c r="B342" s="15">
        <v>2025</v>
      </c>
      <c r="C342" s="13">
        <v>45848</v>
      </c>
      <c r="D342" s="12" t="s">
        <v>512</v>
      </c>
      <c r="E342" s="13">
        <v>45848</v>
      </c>
      <c r="F342" s="15">
        <v>256779421270</v>
      </c>
      <c r="G342" s="12" t="s">
        <v>11</v>
      </c>
      <c r="H342" s="14">
        <v>-20.65</v>
      </c>
      <c r="I342" s="12" t="s">
        <v>59</v>
      </c>
      <c r="J342" s="14">
        <v>-1775.91</v>
      </c>
      <c r="K342" s="12" t="s">
        <v>744</v>
      </c>
    </row>
    <row r="343" spans="1:11" x14ac:dyDescent="0.35">
      <c r="A343" s="12" t="s">
        <v>511</v>
      </c>
      <c r="B343" s="15">
        <v>2025</v>
      </c>
      <c r="C343" s="13">
        <v>45848</v>
      </c>
      <c r="D343" s="12" t="s">
        <v>512</v>
      </c>
      <c r="E343" s="13">
        <v>45848</v>
      </c>
      <c r="F343" s="15">
        <v>256779421271</v>
      </c>
      <c r="G343" s="12" t="s">
        <v>11</v>
      </c>
      <c r="H343" s="14">
        <v>-14.75</v>
      </c>
      <c r="I343" s="12" t="s">
        <v>59</v>
      </c>
      <c r="J343" s="14">
        <v>-1268.51</v>
      </c>
      <c r="K343" s="12" t="s">
        <v>745</v>
      </c>
    </row>
    <row r="344" spans="1:11" x14ac:dyDescent="0.35">
      <c r="A344" s="12" t="s">
        <v>511</v>
      </c>
      <c r="B344" s="15">
        <v>2025</v>
      </c>
      <c r="C344" s="13">
        <v>45848</v>
      </c>
      <c r="D344" s="12" t="s">
        <v>512</v>
      </c>
      <c r="E344" s="13">
        <v>45848</v>
      </c>
      <c r="F344" s="15">
        <v>256779421272</v>
      </c>
      <c r="G344" s="12" t="s">
        <v>11</v>
      </c>
      <c r="H344" s="14">
        <v>-32.32</v>
      </c>
      <c r="I344" s="12" t="s">
        <v>59</v>
      </c>
      <c r="J344" s="14">
        <v>-2779.54</v>
      </c>
      <c r="K344" s="12" t="s">
        <v>746</v>
      </c>
    </row>
    <row r="345" spans="1:11" x14ac:dyDescent="0.35">
      <c r="A345" s="12" t="s">
        <v>511</v>
      </c>
      <c r="B345" s="15">
        <v>2025</v>
      </c>
      <c r="C345" s="13">
        <v>45848</v>
      </c>
      <c r="D345" s="12" t="s">
        <v>512</v>
      </c>
      <c r="E345" s="13">
        <v>45848</v>
      </c>
      <c r="F345" s="15">
        <v>256779421273</v>
      </c>
      <c r="G345" s="12" t="s">
        <v>11</v>
      </c>
      <c r="H345" s="14">
        <v>-30.49</v>
      </c>
      <c r="I345" s="12" t="s">
        <v>59</v>
      </c>
      <c r="J345" s="14">
        <v>-2622.16</v>
      </c>
      <c r="K345" s="12" t="s">
        <v>747</v>
      </c>
    </row>
    <row r="346" spans="1:11" x14ac:dyDescent="0.35">
      <c r="A346" s="12" t="s">
        <v>511</v>
      </c>
      <c r="B346" s="15">
        <v>2025</v>
      </c>
      <c r="C346" s="13">
        <v>45848</v>
      </c>
      <c r="D346" s="12" t="s">
        <v>512</v>
      </c>
      <c r="E346" s="13">
        <v>45848</v>
      </c>
      <c r="F346" s="15">
        <v>256779421274</v>
      </c>
      <c r="G346" s="12" t="s">
        <v>11</v>
      </c>
      <c r="H346" s="14">
        <v>-17.7</v>
      </c>
      <c r="I346" s="12" t="s">
        <v>59</v>
      </c>
      <c r="J346" s="14">
        <v>-1522.21</v>
      </c>
      <c r="K346" s="12" t="s">
        <v>748</v>
      </c>
    </row>
    <row r="347" spans="1:11" x14ac:dyDescent="0.35">
      <c r="A347" s="12" t="s">
        <v>511</v>
      </c>
      <c r="B347" s="15">
        <v>2025</v>
      </c>
      <c r="C347" s="13">
        <v>45848</v>
      </c>
      <c r="D347" s="12" t="s">
        <v>512</v>
      </c>
      <c r="E347" s="13">
        <v>45848</v>
      </c>
      <c r="F347" s="15">
        <v>256779421275</v>
      </c>
      <c r="G347" s="12" t="s">
        <v>11</v>
      </c>
      <c r="H347" s="14">
        <v>-2.95</v>
      </c>
      <c r="I347" s="12" t="s">
        <v>59</v>
      </c>
      <c r="J347" s="14">
        <v>-253.7</v>
      </c>
      <c r="K347" s="12" t="s">
        <v>749</v>
      </c>
    </row>
    <row r="348" spans="1:11" x14ac:dyDescent="0.35">
      <c r="A348" s="12" t="s">
        <v>511</v>
      </c>
      <c r="B348" s="15">
        <v>2025</v>
      </c>
      <c r="C348" s="13">
        <v>45848</v>
      </c>
      <c r="D348" s="12" t="s">
        <v>512</v>
      </c>
      <c r="E348" s="13">
        <v>45848</v>
      </c>
      <c r="F348" s="15">
        <v>256779421276</v>
      </c>
      <c r="G348" s="12" t="s">
        <v>11</v>
      </c>
      <c r="H348" s="14">
        <v>-1.18</v>
      </c>
      <c r="I348" s="12" t="s">
        <v>59</v>
      </c>
      <c r="J348" s="14">
        <v>-101.48</v>
      </c>
      <c r="K348" s="12" t="s">
        <v>749</v>
      </c>
    </row>
    <row r="349" spans="1:11" x14ac:dyDescent="0.35">
      <c r="A349" s="12" t="s">
        <v>511</v>
      </c>
      <c r="B349" s="15">
        <v>2025</v>
      </c>
      <c r="C349" s="13">
        <v>45848</v>
      </c>
      <c r="D349" s="12" t="s">
        <v>512</v>
      </c>
      <c r="E349" s="13">
        <v>45848</v>
      </c>
      <c r="F349" s="15">
        <v>256779421277</v>
      </c>
      <c r="G349" s="12" t="s">
        <v>11</v>
      </c>
      <c r="H349" s="14">
        <v>-29.5</v>
      </c>
      <c r="I349" s="12" t="s">
        <v>59</v>
      </c>
      <c r="J349" s="14">
        <v>-2537.02</v>
      </c>
      <c r="K349" s="12" t="s">
        <v>778</v>
      </c>
    </row>
    <row r="350" spans="1:11" x14ac:dyDescent="0.35">
      <c r="A350" s="12" t="s">
        <v>511</v>
      </c>
      <c r="B350" s="15">
        <v>2025</v>
      </c>
      <c r="C350" s="13">
        <v>45848</v>
      </c>
      <c r="D350" s="12" t="s">
        <v>512</v>
      </c>
      <c r="E350" s="13">
        <v>45848</v>
      </c>
      <c r="F350" s="15">
        <v>256779421278</v>
      </c>
      <c r="G350" s="12" t="s">
        <v>11</v>
      </c>
      <c r="H350" s="14">
        <v>-29.5</v>
      </c>
      <c r="I350" s="12" t="s">
        <v>59</v>
      </c>
      <c r="J350" s="14">
        <v>-2537.02</v>
      </c>
      <c r="K350" s="12" t="s">
        <v>779</v>
      </c>
    </row>
    <row r="351" spans="1:11" x14ac:dyDescent="0.35">
      <c r="A351" s="12" t="s">
        <v>511</v>
      </c>
      <c r="B351" s="15">
        <v>2025</v>
      </c>
      <c r="C351" s="13">
        <v>45848</v>
      </c>
      <c r="D351" s="12" t="s">
        <v>512</v>
      </c>
      <c r="E351" s="13">
        <v>45848</v>
      </c>
      <c r="F351" s="15">
        <v>256779421279</v>
      </c>
      <c r="G351" s="12" t="s">
        <v>11</v>
      </c>
      <c r="H351" s="14">
        <v>-20.65</v>
      </c>
      <c r="I351" s="12" t="s">
        <v>59</v>
      </c>
      <c r="J351" s="14">
        <v>-1775.91</v>
      </c>
      <c r="K351" s="12" t="s">
        <v>780</v>
      </c>
    </row>
    <row r="352" spans="1:11" x14ac:dyDescent="0.35">
      <c r="A352" s="12" t="s">
        <v>511</v>
      </c>
      <c r="B352" s="15">
        <v>2025</v>
      </c>
      <c r="C352" s="13">
        <v>45848</v>
      </c>
      <c r="D352" s="12" t="s">
        <v>512</v>
      </c>
      <c r="E352" s="13">
        <v>45848</v>
      </c>
      <c r="F352" s="15">
        <v>256779421280</v>
      </c>
      <c r="G352" s="12" t="s">
        <v>11</v>
      </c>
      <c r="H352" s="14">
        <v>-23.6</v>
      </c>
      <c r="I352" s="12" t="s">
        <v>59</v>
      </c>
      <c r="J352" s="14">
        <v>-2029.62</v>
      </c>
      <c r="K352" s="12" t="s">
        <v>781</v>
      </c>
    </row>
    <row r="353" spans="1:11" x14ac:dyDescent="0.35">
      <c r="A353" s="12" t="s">
        <v>511</v>
      </c>
      <c r="B353" s="15">
        <v>2025</v>
      </c>
      <c r="C353" s="13">
        <v>45848</v>
      </c>
      <c r="D353" s="12" t="s">
        <v>512</v>
      </c>
      <c r="E353" s="13">
        <v>45848</v>
      </c>
      <c r="F353" s="15">
        <v>256779421281</v>
      </c>
      <c r="G353" s="12" t="s">
        <v>11</v>
      </c>
      <c r="H353" s="14">
        <v>-8.85</v>
      </c>
      <c r="I353" s="12" t="s">
        <v>59</v>
      </c>
      <c r="J353" s="14">
        <v>-761.11</v>
      </c>
      <c r="K353" s="12" t="s">
        <v>782</v>
      </c>
    </row>
    <row r="354" spans="1:11" x14ac:dyDescent="0.35">
      <c r="A354" s="12" t="s">
        <v>511</v>
      </c>
      <c r="B354" s="15">
        <v>2025</v>
      </c>
      <c r="C354" s="13">
        <v>45848</v>
      </c>
      <c r="D354" s="12" t="s">
        <v>512</v>
      </c>
      <c r="E354" s="13">
        <v>45848</v>
      </c>
      <c r="F354" s="15">
        <v>256779421282</v>
      </c>
      <c r="G354" s="12" t="s">
        <v>11</v>
      </c>
      <c r="H354" s="14">
        <v>-32.450000000000003</v>
      </c>
      <c r="I354" s="12" t="s">
        <v>59</v>
      </c>
      <c r="J354" s="14">
        <v>-2790.72</v>
      </c>
      <c r="K354" s="12" t="s">
        <v>783</v>
      </c>
    </row>
    <row r="355" spans="1:11" x14ac:dyDescent="0.35">
      <c r="A355" s="12" t="s">
        <v>511</v>
      </c>
      <c r="B355" s="15">
        <v>2025</v>
      </c>
      <c r="C355" s="13">
        <v>45848</v>
      </c>
      <c r="D355" s="12" t="s">
        <v>512</v>
      </c>
      <c r="E355" s="13">
        <v>45848</v>
      </c>
      <c r="F355" s="15">
        <v>256779421283</v>
      </c>
      <c r="G355" s="12" t="s">
        <v>11</v>
      </c>
      <c r="H355" s="14">
        <v>-26.55</v>
      </c>
      <c r="I355" s="12" t="s">
        <v>59</v>
      </c>
      <c r="J355" s="14">
        <v>-2283.3200000000002</v>
      </c>
      <c r="K355" s="12" t="s">
        <v>784</v>
      </c>
    </row>
    <row r="356" spans="1:11" x14ac:dyDescent="0.35">
      <c r="A356" s="12" t="s">
        <v>511</v>
      </c>
      <c r="B356" s="15">
        <v>2025</v>
      </c>
      <c r="C356" s="13">
        <v>45848</v>
      </c>
      <c r="D356" s="12" t="s">
        <v>512</v>
      </c>
      <c r="E356" s="13">
        <v>45848</v>
      </c>
      <c r="F356" s="15">
        <v>256779421284</v>
      </c>
      <c r="G356" s="12" t="s">
        <v>11</v>
      </c>
      <c r="H356" s="14">
        <v>-20.100000000000001</v>
      </c>
      <c r="I356" s="12" t="s">
        <v>59</v>
      </c>
      <c r="J356" s="14">
        <v>-1728.61</v>
      </c>
      <c r="K356" s="12" t="s">
        <v>785</v>
      </c>
    </row>
    <row r="357" spans="1:11" x14ac:dyDescent="0.35">
      <c r="A357" s="12" t="s">
        <v>511</v>
      </c>
      <c r="B357" s="15">
        <v>2025</v>
      </c>
      <c r="C357" s="13">
        <v>45848</v>
      </c>
      <c r="D357" s="12" t="s">
        <v>512</v>
      </c>
      <c r="E357" s="13">
        <v>45848</v>
      </c>
      <c r="F357" s="15">
        <v>256779421285</v>
      </c>
      <c r="G357" s="12" t="s">
        <v>11</v>
      </c>
      <c r="H357" s="14">
        <v>-183.99</v>
      </c>
      <c r="I357" s="12" t="s">
        <v>59</v>
      </c>
      <c r="J357" s="14">
        <v>-15823.26</v>
      </c>
      <c r="K357" s="12" t="s">
        <v>786</v>
      </c>
    </row>
    <row r="358" spans="1:11" x14ac:dyDescent="0.35">
      <c r="A358" s="12" t="s">
        <v>511</v>
      </c>
      <c r="B358" s="15">
        <v>2025</v>
      </c>
      <c r="C358" s="13">
        <v>45848</v>
      </c>
      <c r="D358" s="12" t="s">
        <v>512</v>
      </c>
      <c r="E358" s="13">
        <v>45848</v>
      </c>
      <c r="F358" s="15">
        <v>256779421286</v>
      </c>
      <c r="G358" s="12" t="s">
        <v>11</v>
      </c>
      <c r="H358" s="14">
        <v>-236</v>
      </c>
      <c r="I358" s="12" t="s">
        <v>59</v>
      </c>
      <c r="J358" s="14">
        <v>-20296.16</v>
      </c>
      <c r="K358" s="12" t="s">
        <v>787</v>
      </c>
    </row>
    <row r="359" spans="1:11" x14ac:dyDescent="0.35">
      <c r="A359" s="12" t="s">
        <v>511</v>
      </c>
      <c r="B359" s="15">
        <v>2025</v>
      </c>
      <c r="C359" s="13">
        <v>45848</v>
      </c>
      <c r="D359" s="12" t="s">
        <v>512</v>
      </c>
      <c r="E359" s="13">
        <v>45848</v>
      </c>
      <c r="F359" s="15">
        <v>256779421287</v>
      </c>
      <c r="G359" s="12" t="s">
        <v>11</v>
      </c>
      <c r="H359" s="14">
        <v>-70.8</v>
      </c>
      <c r="I359" s="12" t="s">
        <v>59</v>
      </c>
      <c r="J359" s="14">
        <v>-6088.85</v>
      </c>
      <c r="K359" s="12" t="s">
        <v>788</v>
      </c>
    </row>
    <row r="360" spans="1:11" x14ac:dyDescent="0.35">
      <c r="A360" s="12" t="s">
        <v>511</v>
      </c>
      <c r="B360" s="15">
        <v>2025</v>
      </c>
      <c r="C360" s="13">
        <v>45848</v>
      </c>
      <c r="D360" s="12" t="s">
        <v>512</v>
      </c>
      <c r="E360" s="13">
        <v>45848</v>
      </c>
      <c r="F360" s="15">
        <v>256779421288</v>
      </c>
      <c r="G360" s="12" t="s">
        <v>11</v>
      </c>
      <c r="H360" s="14">
        <v>-25.22</v>
      </c>
      <c r="I360" s="12" t="s">
        <v>59</v>
      </c>
      <c r="J360" s="14">
        <v>-2168.94</v>
      </c>
      <c r="K360" s="12" t="s">
        <v>789</v>
      </c>
    </row>
    <row r="361" spans="1:11" x14ac:dyDescent="0.35">
      <c r="A361" s="12" t="s">
        <v>511</v>
      </c>
      <c r="B361" s="15">
        <v>2025</v>
      </c>
      <c r="C361" s="13">
        <v>45848</v>
      </c>
      <c r="D361" s="12" t="s">
        <v>512</v>
      </c>
      <c r="E361" s="13">
        <v>45848</v>
      </c>
      <c r="F361" s="15">
        <v>256779421289</v>
      </c>
      <c r="G361" s="12" t="s">
        <v>11</v>
      </c>
      <c r="H361" s="14">
        <v>-84.96</v>
      </c>
      <c r="I361" s="12" t="s">
        <v>59</v>
      </c>
      <c r="J361" s="14">
        <v>-7306.62</v>
      </c>
      <c r="K361" s="12" t="s">
        <v>790</v>
      </c>
    </row>
    <row r="362" spans="1:11" x14ac:dyDescent="0.35">
      <c r="A362" s="12" t="s">
        <v>511</v>
      </c>
      <c r="B362" s="15">
        <v>2025</v>
      </c>
      <c r="C362" s="13">
        <v>45848</v>
      </c>
      <c r="D362" s="12" t="s">
        <v>512</v>
      </c>
      <c r="E362" s="13">
        <v>45848</v>
      </c>
      <c r="F362" s="15">
        <v>256779421290</v>
      </c>
      <c r="G362" s="12" t="s">
        <v>11</v>
      </c>
      <c r="H362" s="14">
        <v>-244.58</v>
      </c>
      <c r="I362" s="12" t="s">
        <v>59</v>
      </c>
      <c r="J362" s="14">
        <v>-21034.04</v>
      </c>
      <c r="K362" s="12" t="s">
        <v>758</v>
      </c>
    </row>
    <row r="363" spans="1:11" x14ac:dyDescent="0.35">
      <c r="A363" s="12" t="s">
        <v>511</v>
      </c>
      <c r="B363" s="15">
        <v>2025</v>
      </c>
      <c r="C363" s="13">
        <v>45848</v>
      </c>
      <c r="D363" s="12" t="s">
        <v>512</v>
      </c>
      <c r="E363" s="13">
        <v>45848</v>
      </c>
      <c r="F363" s="15">
        <v>256779421291</v>
      </c>
      <c r="G363" s="12" t="s">
        <v>11</v>
      </c>
      <c r="H363" s="14">
        <v>-113.28</v>
      </c>
      <c r="I363" s="12" t="s">
        <v>59</v>
      </c>
      <c r="J363" s="14">
        <v>-9742.16</v>
      </c>
      <c r="K363" s="12" t="s">
        <v>758</v>
      </c>
    </row>
    <row r="364" spans="1:11" x14ac:dyDescent="0.35">
      <c r="A364" s="12" t="s">
        <v>511</v>
      </c>
      <c r="B364" s="15">
        <v>2025</v>
      </c>
      <c r="C364" s="13">
        <v>45848</v>
      </c>
      <c r="D364" s="12" t="s">
        <v>512</v>
      </c>
      <c r="E364" s="13">
        <v>45848</v>
      </c>
      <c r="F364" s="15">
        <v>256779421292</v>
      </c>
      <c r="G364" s="12" t="s">
        <v>11</v>
      </c>
      <c r="H364" s="14">
        <v>-236</v>
      </c>
      <c r="I364" s="12" t="s">
        <v>59</v>
      </c>
      <c r="J364" s="14">
        <v>-20296.16</v>
      </c>
      <c r="K364" s="12" t="s">
        <v>758</v>
      </c>
    </row>
    <row r="365" spans="1:11" x14ac:dyDescent="0.35">
      <c r="A365" s="12" t="s">
        <v>511</v>
      </c>
      <c r="B365" s="15">
        <v>2025</v>
      </c>
      <c r="C365" s="13">
        <v>45848</v>
      </c>
      <c r="D365" s="12" t="s">
        <v>512</v>
      </c>
      <c r="E365" s="13">
        <v>45848</v>
      </c>
      <c r="F365" s="15">
        <v>256779421293</v>
      </c>
      <c r="G365" s="12" t="s">
        <v>11</v>
      </c>
      <c r="H365" s="14">
        <v>-70.8</v>
      </c>
      <c r="I365" s="12" t="s">
        <v>59</v>
      </c>
      <c r="J365" s="14">
        <v>-6088.85</v>
      </c>
      <c r="K365" s="12" t="s">
        <v>758</v>
      </c>
    </row>
    <row r="366" spans="1:11" x14ac:dyDescent="0.35">
      <c r="A366" s="12" t="s">
        <v>511</v>
      </c>
      <c r="B366" s="15">
        <v>2025</v>
      </c>
      <c r="C366" s="13">
        <v>45848</v>
      </c>
      <c r="D366" s="12" t="s">
        <v>512</v>
      </c>
      <c r="E366" s="13">
        <v>45848</v>
      </c>
      <c r="F366" s="15">
        <v>256779421294</v>
      </c>
      <c r="G366" s="12" t="s">
        <v>11</v>
      </c>
      <c r="H366" s="14">
        <v>-79.650000000000006</v>
      </c>
      <c r="I366" s="12" t="s">
        <v>59</v>
      </c>
      <c r="J366" s="14">
        <v>-6849.95</v>
      </c>
      <c r="K366" s="12" t="s">
        <v>791</v>
      </c>
    </row>
    <row r="367" spans="1:11" x14ac:dyDescent="0.35">
      <c r="A367" s="12" t="s">
        <v>511</v>
      </c>
      <c r="B367" s="15">
        <v>2025</v>
      </c>
      <c r="C367" s="13">
        <v>45848</v>
      </c>
      <c r="D367" s="12" t="s">
        <v>512</v>
      </c>
      <c r="E367" s="13">
        <v>45848</v>
      </c>
      <c r="F367" s="15">
        <v>256779421295</v>
      </c>
      <c r="G367" s="12" t="s">
        <v>11</v>
      </c>
      <c r="H367" s="14">
        <v>-3.54</v>
      </c>
      <c r="I367" s="12" t="s">
        <v>59</v>
      </c>
      <c r="J367" s="14">
        <v>-304.44</v>
      </c>
      <c r="K367" s="12" t="s">
        <v>792</v>
      </c>
    </row>
    <row r="368" spans="1:11" x14ac:dyDescent="0.35">
      <c r="A368" s="12" t="s">
        <v>511</v>
      </c>
      <c r="B368" s="15">
        <v>2025</v>
      </c>
      <c r="C368" s="13">
        <v>45848</v>
      </c>
      <c r="D368" s="12" t="s">
        <v>512</v>
      </c>
      <c r="E368" s="13">
        <v>45848</v>
      </c>
      <c r="F368" s="15">
        <v>256779421296</v>
      </c>
      <c r="G368" s="12" t="s">
        <v>11</v>
      </c>
      <c r="H368" s="14">
        <v>-3.54</v>
      </c>
      <c r="I368" s="12" t="s">
        <v>59</v>
      </c>
      <c r="J368" s="14">
        <v>-304.44</v>
      </c>
      <c r="K368" s="12" t="s">
        <v>793</v>
      </c>
    </row>
    <row r="369" spans="1:11" x14ac:dyDescent="0.35">
      <c r="A369" s="12" t="s">
        <v>511</v>
      </c>
      <c r="B369" s="15">
        <v>2025</v>
      </c>
      <c r="C369" s="13">
        <v>45848</v>
      </c>
      <c r="D369" s="12" t="s">
        <v>512</v>
      </c>
      <c r="E369" s="13">
        <v>45848</v>
      </c>
      <c r="F369" s="15">
        <v>256779421297</v>
      </c>
      <c r="G369" s="12" t="s">
        <v>11</v>
      </c>
      <c r="H369" s="14">
        <v>-236</v>
      </c>
      <c r="I369" s="12" t="s">
        <v>59</v>
      </c>
      <c r="J369" s="14">
        <v>-20296.16</v>
      </c>
      <c r="K369" s="12" t="s">
        <v>794</v>
      </c>
    </row>
    <row r="370" spans="1:11" x14ac:dyDescent="0.35">
      <c r="A370" s="12" t="s">
        <v>511</v>
      </c>
      <c r="B370" s="15">
        <v>2025</v>
      </c>
      <c r="C370" s="13">
        <v>45848</v>
      </c>
      <c r="D370" s="12" t="s">
        <v>512</v>
      </c>
      <c r="E370" s="13">
        <v>45848</v>
      </c>
      <c r="F370" s="15">
        <v>256779421298</v>
      </c>
      <c r="G370" s="12" t="s">
        <v>11</v>
      </c>
      <c r="H370" s="14">
        <v>-369.34</v>
      </c>
      <c r="I370" s="12" t="s">
        <v>59</v>
      </c>
      <c r="J370" s="14">
        <v>-31763.49</v>
      </c>
      <c r="K370" s="12" t="s">
        <v>795</v>
      </c>
    </row>
    <row r="371" spans="1:11" x14ac:dyDescent="0.35">
      <c r="A371" s="12" t="s">
        <v>511</v>
      </c>
      <c r="B371" s="15">
        <v>2025</v>
      </c>
      <c r="C371" s="13">
        <v>45848</v>
      </c>
      <c r="D371" s="12" t="s">
        <v>512</v>
      </c>
      <c r="E371" s="13">
        <v>45848</v>
      </c>
      <c r="F371" s="15">
        <v>256779421299</v>
      </c>
      <c r="G371" s="12" t="s">
        <v>11</v>
      </c>
      <c r="H371" s="14">
        <v>-226.56</v>
      </c>
      <c r="I371" s="12" t="s">
        <v>59</v>
      </c>
      <c r="J371" s="14">
        <v>-19484.310000000001</v>
      </c>
      <c r="K371" s="12" t="s">
        <v>796</v>
      </c>
    </row>
    <row r="372" spans="1:11" x14ac:dyDescent="0.35">
      <c r="A372" s="12" t="s">
        <v>511</v>
      </c>
      <c r="B372" s="15">
        <v>2025</v>
      </c>
      <c r="C372" s="13">
        <v>45848</v>
      </c>
      <c r="D372" s="12" t="s">
        <v>512</v>
      </c>
      <c r="E372" s="13">
        <v>45848</v>
      </c>
      <c r="F372" s="15">
        <v>256779421300</v>
      </c>
      <c r="G372" s="12" t="s">
        <v>11</v>
      </c>
      <c r="H372" s="14">
        <v>-236</v>
      </c>
      <c r="I372" s="12" t="s">
        <v>59</v>
      </c>
      <c r="J372" s="14">
        <v>-20296.16</v>
      </c>
      <c r="K372" s="12" t="s">
        <v>797</v>
      </c>
    </row>
    <row r="373" spans="1:11" x14ac:dyDescent="0.35">
      <c r="A373" s="12" t="s">
        <v>511</v>
      </c>
      <c r="B373" s="15">
        <v>2025</v>
      </c>
      <c r="C373" s="13">
        <v>45848</v>
      </c>
      <c r="D373" s="12" t="s">
        <v>512</v>
      </c>
      <c r="E373" s="13">
        <v>45848</v>
      </c>
      <c r="F373" s="15">
        <v>256779421301</v>
      </c>
      <c r="G373" s="12" t="s">
        <v>11</v>
      </c>
      <c r="H373" s="14">
        <v>-70.8</v>
      </c>
      <c r="I373" s="12" t="s">
        <v>59</v>
      </c>
      <c r="J373" s="14">
        <v>-6088.85</v>
      </c>
      <c r="K373" s="12" t="s">
        <v>798</v>
      </c>
    </row>
    <row r="374" spans="1:11" x14ac:dyDescent="0.35">
      <c r="A374" s="12" t="s">
        <v>511</v>
      </c>
      <c r="B374" s="15">
        <v>2025</v>
      </c>
      <c r="C374" s="13">
        <v>45848</v>
      </c>
      <c r="D374" s="12" t="s">
        <v>512</v>
      </c>
      <c r="E374" s="13">
        <v>45848</v>
      </c>
      <c r="F374" s="15">
        <v>256779421302</v>
      </c>
      <c r="G374" s="12" t="s">
        <v>11</v>
      </c>
      <c r="H374" s="14">
        <v>-3.54</v>
      </c>
      <c r="I374" s="12" t="s">
        <v>59</v>
      </c>
      <c r="J374" s="14">
        <v>-304.44</v>
      </c>
      <c r="K374" s="12" t="s">
        <v>799</v>
      </c>
    </row>
    <row r="375" spans="1:11" x14ac:dyDescent="0.35">
      <c r="A375" s="12" t="s">
        <v>511</v>
      </c>
      <c r="B375" s="15">
        <v>2025</v>
      </c>
      <c r="C375" s="13">
        <v>45848</v>
      </c>
      <c r="D375" s="12" t="s">
        <v>512</v>
      </c>
      <c r="E375" s="13">
        <v>45848</v>
      </c>
      <c r="F375" s="15">
        <v>256779421303</v>
      </c>
      <c r="G375" s="12" t="s">
        <v>11</v>
      </c>
      <c r="H375" s="14">
        <v>-84.96</v>
      </c>
      <c r="I375" s="12" t="s">
        <v>59</v>
      </c>
      <c r="J375" s="14">
        <v>-7306.62</v>
      </c>
      <c r="K375" s="12" t="s">
        <v>800</v>
      </c>
    </row>
    <row r="376" spans="1:11" x14ac:dyDescent="0.35">
      <c r="A376" s="12" t="s">
        <v>511</v>
      </c>
      <c r="B376" s="15">
        <v>2025</v>
      </c>
      <c r="C376" s="13">
        <v>45848</v>
      </c>
      <c r="D376" s="12" t="s">
        <v>512</v>
      </c>
      <c r="E376" s="13">
        <v>45848</v>
      </c>
      <c r="F376" s="15">
        <v>256779421304</v>
      </c>
      <c r="G376" s="12" t="s">
        <v>11</v>
      </c>
      <c r="H376" s="14">
        <v>-51.12</v>
      </c>
      <c r="I376" s="12" t="s">
        <v>59</v>
      </c>
      <c r="J376" s="14">
        <v>-4396.3500000000004</v>
      </c>
      <c r="K376" s="12" t="s">
        <v>800</v>
      </c>
    </row>
    <row r="377" spans="1:11" x14ac:dyDescent="0.35">
      <c r="A377" s="12" t="s">
        <v>511</v>
      </c>
      <c r="B377" s="15">
        <v>2025</v>
      </c>
      <c r="C377" s="13">
        <v>45848</v>
      </c>
      <c r="D377" s="12" t="s">
        <v>512</v>
      </c>
      <c r="E377" s="13">
        <v>45848</v>
      </c>
      <c r="F377" s="15">
        <v>256779421305</v>
      </c>
      <c r="G377" s="12" t="s">
        <v>11</v>
      </c>
      <c r="H377" s="14">
        <v>-183.35</v>
      </c>
      <c r="I377" s="12" t="s">
        <v>59</v>
      </c>
      <c r="J377" s="14">
        <v>-15768.22</v>
      </c>
      <c r="K377" s="12" t="s">
        <v>801</v>
      </c>
    </row>
    <row r="378" spans="1:11" x14ac:dyDescent="0.35">
      <c r="A378" s="12" t="s">
        <v>511</v>
      </c>
      <c r="B378" s="15">
        <v>2025</v>
      </c>
      <c r="C378" s="13">
        <v>45848</v>
      </c>
      <c r="D378" s="12" t="s">
        <v>512</v>
      </c>
      <c r="E378" s="13">
        <v>45848</v>
      </c>
      <c r="F378" s="15">
        <v>256779421306</v>
      </c>
      <c r="G378" s="12" t="s">
        <v>11</v>
      </c>
      <c r="H378" s="14">
        <v>-3.1</v>
      </c>
      <c r="I378" s="12" t="s">
        <v>59</v>
      </c>
      <c r="J378" s="14">
        <v>-266.60000000000002</v>
      </c>
      <c r="K378" s="12" t="s">
        <v>802</v>
      </c>
    </row>
    <row r="379" spans="1:11" x14ac:dyDescent="0.35">
      <c r="A379" s="12" t="s">
        <v>511</v>
      </c>
      <c r="B379" s="15">
        <v>2025</v>
      </c>
      <c r="C379" s="13">
        <v>45848</v>
      </c>
      <c r="D379" s="12" t="s">
        <v>512</v>
      </c>
      <c r="E379" s="13">
        <v>45848</v>
      </c>
      <c r="F379" s="15">
        <v>256779421307</v>
      </c>
      <c r="G379" s="12" t="s">
        <v>11</v>
      </c>
      <c r="H379" s="14">
        <v>-553.87</v>
      </c>
      <c r="I379" s="12" t="s">
        <v>59</v>
      </c>
      <c r="J379" s="14">
        <v>-47633.19</v>
      </c>
      <c r="K379" s="12" t="s">
        <v>803</v>
      </c>
    </row>
    <row r="380" spans="1:11" x14ac:dyDescent="0.35">
      <c r="A380" s="12" t="s">
        <v>511</v>
      </c>
      <c r="B380" s="15">
        <v>2025</v>
      </c>
      <c r="C380" s="13">
        <v>45848</v>
      </c>
      <c r="D380" s="12" t="s">
        <v>512</v>
      </c>
      <c r="E380" s="13">
        <v>45848</v>
      </c>
      <c r="F380" s="15">
        <v>256779421308</v>
      </c>
      <c r="G380" s="12" t="s">
        <v>11</v>
      </c>
      <c r="H380" s="14">
        <v>-424.8</v>
      </c>
      <c r="I380" s="12" t="s">
        <v>59</v>
      </c>
      <c r="J380" s="14">
        <v>-36533.08</v>
      </c>
      <c r="K380" s="12" t="s">
        <v>804</v>
      </c>
    </row>
    <row r="381" spans="1:11" x14ac:dyDescent="0.35">
      <c r="A381" s="12" t="s">
        <v>511</v>
      </c>
      <c r="B381" s="15">
        <v>2025</v>
      </c>
      <c r="C381" s="13">
        <v>45848</v>
      </c>
      <c r="D381" s="12" t="s">
        <v>512</v>
      </c>
      <c r="E381" s="13">
        <v>45848</v>
      </c>
      <c r="F381" s="15">
        <v>256779421309</v>
      </c>
      <c r="G381" s="12" t="s">
        <v>11</v>
      </c>
      <c r="H381" s="14">
        <v>-70.8</v>
      </c>
      <c r="I381" s="12" t="s">
        <v>59</v>
      </c>
      <c r="J381" s="14">
        <v>-6088.85</v>
      </c>
      <c r="K381" s="12" t="s">
        <v>805</v>
      </c>
    </row>
    <row r="382" spans="1:11" x14ac:dyDescent="0.35">
      <c r="A382" s="12" t="s">
        <v>511</v>
      </c>
      <c r="B382" s="15">
        <v>2025</v>
      </c>
      <c r="C382" s="13">
        <v>45848</v>
      </c>
      <c r="D382" s="12" t="s">
        <v>515</v>
      </c>
      <c r="E382" s="13">
        <v>45848</v>
      </c>
      <c r="F382" s="15">
        <v>256779415304</v>
      </c>
      <c r="G382" s="12" t="s">
        <v>11</v>
      </c>
      <c r="H382" s="14">
        <v>30</v>
      </c>
      <c r="I382" s="12" t="s">
        <v>59</v>
      </c>
      <c r="J382" s="14">
        <v>2580.02</v>
      </c>
      <c r="K382" s="12" t="s">
        <v>806</v>
      </c>
    </row>
    <row r="383" spans="1:11" x14ac:dyDescent="0.35">
      <c r="A383" s="12" t="s">
        <v>511</v>
      </c>
      <c r="B383" s="15">
        <v>2025</v>
      </c>
      <c r="C383" s="13">
        <v>45848</v>
      </c>
      <c r="D383" s="12" t="s">
        <v>515</v>
      </c>
      <c r="E383" s="13">
        <v>45848</v>
      </c>
      <c r="F383" s="15">
        <v>256779415305</v>
      </c>
      <c r="G383" s="12" t="s">
        <v>11</v>
      </c>
      <c r="H383" s="14">
        <v>30</v>
      </c>
      <c r="I383" s="12" t="s">
        <v>59</v>
      </c>
      <c r="J383" s="14">
        <v>2580.02</v>
      </c>
      <c r="K383" s="12" t="s">
        <v>806</v>
      </c>
    </row>
    <row r="384" spans="1:11" x14ac:dyDescent="0.35">
      <c r="A384" s="12" t="s">
        <v>511</v>
      </c>
      <c r="B384" s="15">
        <v>2025</v>
      </c>
      <c r="C384" s="13">
        <v>45848</v>
      </c>
      <c r="D384" s="12" t="s">
        <v>515</v>
      </c>
      <c r="E384" s="13">
        <v>45848</v>
      </c>
      <c r="F384" s="15">
        <v>256779415306</v>
      </c>
      <c r="G384" s="12" t="s">
        <v>11</v>
      </c>
      <c r="H384" s="14">
        <v>30</v>
      </c>
      <c r="I384" s="12" t="s">
        <v>59</v>
      </c>
      <c r="J384" s="14">
        <v>2580.02</v>
      </c>
      <c r="K384" s="12" t="s">
        <v>806</v>
      </c>
    </row>
    <row r="385" spans="1:11" x14ac:dyDescent="0.35">
      <c r="A385" s="12" t="s">
        <v>511</v>
      </c>
      <c r="B385" s="15">
        <v>2025</v>
      </c>
      <c r="C385" s="13">
        <v>45848</v>
      </c>
      <c r="D385" s="12" t="s">
        <v>515</v>
      </c>
      <c r="E385" s="13">
        <v>45848</v>
      </c>
      <c r="F385" s="15">
        <v>256779415307</v>
      </c>
      <c r="G385" s="12" t="s">
        <v>11</v>
      </c>
      <c r="H385" s="14">
        <v>30</v>
      </c>
      <c r="I385" s="12" t="s">
        <v>59</v>
      </c>
      <c r="J385" s="14">
        <v>2580.02</v>
      </c>
      <c r="K385" s="12" t="s">
        <v>806</v>
      </c>
    </row>
    <row r="386" spans="1:11" x14ac:dyDescent="0.35">
      <c r="A386" s="12" t="s">
        <v>511</v>
      </c>
      <c r="B386" s="15">
        <v>2025</v>
      </c>
      <c r="C386" s="13">
        <v>45848</v>
      </c>
      <c r="D386" s="12" t="s">
        <v>515</v>
      </c>
      <c r="E386" s="13">
        <v>45848</v>
      </c>
      <c r="F386" s="15">
        <v>256779415308</v>
      </c>
      <c r="G386" s="12" t="s">
        <v>11</v>
      </c>
      <c r="H386" s="14">
        <v>30</v>
      </c>
      <c r="I386" s="12" t="s">
        <v>59</v>
      </c>
      <c r="J386" s="14">
        <v>2580.02</v>
      </c>
      <c r="K386" s="12" t="s">
        <v>806</v>
      </c>
    </row>
    <row r="387" spans="1:11" x14ac:dyDescent="0.35">
      <c r="A387" s="12" t="s">
        <v>511</v>
      </c>
      <c r="B387" s="15">
        <v>2025</v>
      </c>
      <c r="C387" s="13">
        <v>45848</v>
      </c>
      <c r="D387" s="12" t="s">
        <v>515</v>
      </c>
      <c r="E387" s="13">
        <v>45848</v>
      </c>
      <c r="F387" s="15">
        <v>256779415321</v>
      </c>
      <c r="G387" s="12" t="s">
        <v>11</v>
      </c>
      <c r="H387" s="14">
        <v>212.5</v>
      </c>
      <c r="I387" s="12" t="s">
        <v>59</v>
      </c>
      <c r="J387" s="14">
        <v>18275.14</v>
      </c>
      <c r="K387" s="12" t="s">
        <v>586</v>
      </c>
    </row>
    <row r="388" spans="1:11" x14ac:dyDescent="0.35">
      <c r="A388" s="12" t="s">
        <v>511</v>
      </c>
      <c r="B388" s="15">
        <v>2025</v>
      </c>
      <c r="C388" s="13">
        <v>45848</v>
      </c>
      <c r="D388" s="12" t="s">
        <v>515</v>
      </c>
      <c r="E388" s="13">
        <v>45848</v>
      </c>
      <c r="F388" s="15">
        <v>256779415339</v>
      </c>
      <c r="G388" s="12" t="s">
        <v>11</v>
      </c>
      <c r="H388" s="14">
        <v>27.39</v>
      </c>
      <c r="I388" s="12" t="s">
        <v>59</v>
      </c>
      <c r="J388" s="14">
        <v>2355.56</v>
      </c>
      <c r="K388" s="12" t="s">
        <v>807</v>
      </c>
    </row>
    <row r="389" spans="1:11" x14ac:dyDescent="0.35">
      <c r="A389" s="12" t="s">
        <v>511</v>
      </c>
      <c r="B389" s="15">
        <v>2025</v>
      </c>
      <c r="C389" s="13">
        <v>45848</v>
      </c>
      <c r="D389" s="12" t="s">
        <v>515</v>
      </c>
      <c r="E389" s="13">
        <v>45848</v>
      </c>
      <c r="F389" s="15">
        <v>256779415377</v>
      </c>
      <c r="G389" s="12" t="s">
        <v>11</v>
      </c>
      <c r="H389" s="14">
        <v>50</v>
      </c>
      <c r="I389" s="12" t="s">
        <v>59</v>
      </c>
      <c r="J389" s="14">
        <v>4300.03</v>
      </c>
      <c r="K389" s="12" t="s">
        <v>808</v>
      </c>
    </row>
    <row r="390" spans="1:11" x14ac:dyDescent="0.35">
      <c r="A390" s="12" t="s">
        <v>511</v>
      </c>
      <c r="B390" s="15">
        <v>2025</v>
      </c>
      <c r="C390" s="13">
        <v>45848</v>
      </c>
      <c r="D390" s="12" t="s">
        <v>515</v>
      </c>
      <c r="E390" s="13">
        <v>45848</v>
      </c>
      <c r="F390" s="15">
        <v>256779415378</v>
      </c>
      <c r="G390" s="12" t="s">
        <v>11</v>
      </c>
      <c r="H390" s="14">
        <v>120</v>
      </c>
      <c r="I390" s="12" t="s">
        <v>59</v>
      </c>
      <c r="J390" s="14">
        <v>10320.08</v>
      </c>
      <c r="K390" s="12" t="s">
        <v>809</v>
      </c>
    </row>
    <row r="391" spans="1:11" x14ac:dyDescent="0.35">
      <c r="A391" s="12" t="s">
        <v>511</v>
      </c>
      <c r="B391" s="15">
        <v>2025</v>
      </c>
      <c r="C391" s="13">
        <v>45848</v>
      </c>
      <c r="D391" s="12" t="s">
        <v>515</v>
      </c>
      <c r="E391" s="13">
        <v>45848</v>
      </c>
      <c r="F391" s="15">
        <v>256779415379</v>
      </c>
      <c r="G391" s="12" t="s">
        <v>11</v>
      </c>
      <c r="H391" s="14">
        <v>233.11</v>
      </c>
      <c r="I391" s="12" t="s">
        <v>59</v>
      </c>
      <c r="J391" s="14">
        <v>20047.62</v>
      </c>
      <c r="K391" s="12" t="s">
        <v>810</v>
      </c>
    </row>
    <row r="392" spans="1:11" x14ac:dyDescent="0.35">
      <c r="A392" s="12" t="s">
        <v>511</v>
      </c>
      <c r="B392" s="15">
        <v>2025</v>
      </c>
      <c r="C392" s="13">
        <v>45848</v>
      </c>
      <c r="D392" s="12" t="s">
        <v>515</v>
      </c>
      <c r="E392" s="13">
        <v>45848</v>
      </c>
      <c r="F392" s="15">
        <v>256779415380</v>
      </c>
      <c r="G392" s="12" t="s">
        <v>11</v>
      </c>
      <c r="H392" s="14">
        <v>200</v>
      </c>
      <c r="I392" s="12" t="s">
        <v>59</v>
      </c>
      <c r="J392" s="14">
        <v>17200.13</v>
      </c>
      <c r="K392" s="12" t="s">
        <v>811</v>
      </c>
    </row>
    <row r="393" spans="1:11" x14ac:dyDescent="0.35">
      <c r="A393" s="12" t="s">
        <v>511</v>
      </c>
      <c r="B393" s="15">
        <v>2025</v>
      </c>
      <c r="C393" s="13">
        <v>45848</v>
      </c>
      <c r="D393" s="12" t="s">
        <v>515</v>
      </c>
      <c r="E393" s="13">
        <v>45848</v>
      </c>
      <c r="F393" s="15">
        <v>256779415381</v>
      </c>
      <c r="G393" s="12" t="s">
        <v>11</v>
      </c>
      <c r="H393" s="14">
        <v>60</v>
      </c>
      <c r="I393" s="12" t="s">
        <v>59</v>
      </c>
      <c r="J393" s="14">
        <v>5160.04</v>
      </c>
      <c r="K393" s="12" t="s">
        <v>812</v>
      </c>
    </row>
    <row r="394" spans="1:11" x14ac:dyDescent="0.35">
      <c r="A394" s="12" t="s">
        <v>511</v>
      </c>
      <c r="B394" s="15">
        <v>2025</v>
      </c>
      <c r="C394" s="13">
        <v>45848</v>
      </c>
      <c r="D394" s="12" t="s">
        <v>515</v>
      </c>
      <c r="E394" s="13">
        <v>45848</v>
      </c>
      <c r="F394" s="15">
        <v>256779415382</v>
      </c>
      <c r="G394" s="12" t="s">
        <v>11</v>
      </c>
      <c r="H394" s="14">
        <v>117.64</v>
      </c>
      <c r="I394" s="12" t="s">
        <v>59</v>
      </c>
      <c r="J394" s="14">
        <v>10117.120000000001</v>
      </c>
      <c r="K394" s="12" t="s">
        <v>813</v>
      </c>
    </row>
    <row r="395" spans="1:11" x14ac:dyDescent="0.35">
      <c r="A395" s="12" t="s">
        <v>511</v>
      </c>
      <c r="B395" s="15">
        <v>2025</v>
      </c>
      <c r="C395" s="13">
        <v>45848</v>
      </c>
      <c r="D395" s="12" t="s">
        <v>515</v>
      </c>
      <c r="E395" s="13">
        <v>45848</v>
      </c>
      <c r="F395" s="15">
        <v>256779415383</v>
      </c>
      <c r="G395" s="12" t="s">
        <v>11</v>
      </c>
      <c r="H395" s="14">
        <v>155.80000000000001</v>
      </c>
      <c r="I395" s="12" t="s">
        <v>59</v>
      </c>
      <c r="J395" s="14">
        <v>13398.9</v>
      </c>
      <c r="K395" s="12" t="s">
        <v>814</v>
      </c>
    </row>
    <row r="396" spans="1:11" x14ac:dyDescent="0.35">
      <c r="A396" s="12" t="s">
        <v>511</v>
      </c>
      <c r="B396" s="15">
        <v>2025</v>
      </c>
      <c r="C396" s="13">
        <v>45848</v>
      </c>
      <c r="D396" s="12" t="s">
        <v>515</v>
      </c>
      <c r="E396" s="13">
        <v>45848</v>
      </c>
      <c r="F396" s="15">
        <v>256779415384</v>
      </c>
      <c r="G396" s="12" t="s">
        <v>11</v>
      </c>
      <c r="H396" s="14">
        <v>350</v>
      </c>
      <c r="I396" s="12" t="s">
        <v>59</v>
      </c>
      <c r="J396" s="14">
        <v>30100.23</v>
      </c>
      <c r="K396" s="12" t="s">
        <v>815</v>
      </c>
    </row>
    <row r="397" spans="1:11" x14ac:dyDescent="0.35">
      <c r="A397" s="12" t="s">
        <v>511</v>
      </c>
      <c r="B397" s="15">
        <v>2025</v>
      </c>
      <c r="C397" s="13">
        <v>45848</v>
      </c>
      <c r="D397" s="12" t="s">
        <v>515</v>
      </c>
      <c r="E397" s="13">
        <v>45848</v>
      </c>
      <c r="F397" s="15">
        <v>256779415385</v>
      </c>
      <c r="G397" s="12" t="s">
        <v>11</v>
      </c>
      <c r="H397" s="14">
        <v>24</v>
      </c>
      <c r="I397" s="12" t="s">
        <v>59</v>
      </c>
      <c r="J397" s="14">
        <v>2064.02</v>
      </c>
      <c r="K397" s="12" t="s">
        <v>816</v>
      </c>
    </row>
    <row r="398" spans="1:11" x14ac:dyDescent="0.35">
      <c r="A398" s="12" t="s">
        <v>511</v>
      </c>
      <c r="B398" s="15">
        <v>2025</v>
      </c>
      <c r="C398" s="13">
        <v>45848</v>
      </c>
      <c r="D398" s="12" t="s">
        <v>515</v>
      </c>
      <c r="E398" s="13">
        <v>45848</v>
      </c>
      <c r="F398" s="15">
        <v>256779415386</v>
      </c>
      <c r="G398" s="12" t="s">
        <v>11</v>
      </c>
      <c r="H398" s="14">
        <v>7.5</v>
      </c>
      <c r="I398" s="12" t="s">
        <v>59</v>
      </c>
      <c r="J398" s="14">
        <v>645.01</v>
      </c>
      <c r="K398" s="12" t="s">
        <v>817</v>
      </c>
    </row>
    <row r="399" spans="1:11" x14ac:dyDescent="0.35">
      <c r="A399" s="12" t="s">
        <v>511</v>
      </c>
      <c r="B399" s="15">
        <v>2025</v>
      </c>
      <c r="C399" s="13">
        <v>45848</v>
      </c>
      <c r="D399" s="12" t="s">
        <v>515</v>
      </c>
      <c r="E399" s="13">
        <v>45848</v>
      </c>
      <c r="F399" s="15">
        <v>256779415387</v>
      </c>
      <c r="G399" s="12" t="s">
        <v>11</v>
      </c>
      <c r="H399" s="14">
        <v>70.900000000000006</v>
      </c>
      <c r="I399" s="12" t="s">
        <v>59</v>
      </c>
      <c r="J399" s="14">
        <v>6097.45</v>
      </c>
      <c r="K399" s="12" t="s">
        <v>818</v>
      </c>
    </row>
    <row r="400" spans="1:11" x14ac:dyDescent="0.35">
      <c r="A400" s="12" t="s">
        <v>511</v>
      </c>
      <c r="B400" s="15">
        <v>2025</v>
      </c>
      <c r="C400" s="13">
        <v>45848</v>
      </c>
      <c r="D400" s="12" t="s">
        <v>515</v>
      </c>
      <c r="E400" s="13">
        <v>45848</v>
      </c>
      <c r="F400" s="15">
        <v>256779415388</v>
      </c>
      <c r="G400" s="12" t="s">
        <v>11</v>
      </c>
      <c r="H400" s="14">
        <v>2261.63</v>
      </c>
      <c r="I400" s="12" t="s">
        <v>59</v>
      </c>
      <c r="J400" s="14">
        <v>194501.7</v>
      </c>
      <c r="K400" s="12" t="s">
        <v>549</v>
      </c>
    </row>
    <row r="401" spans="1:11" x14ac:dyDescent="0.35">
      <c r="A401" s="12" t="s">
        <v>511</v>
      </c>
      <c r="B401" s="15">
        <v>2025</v>
      </c>
      <c r="C401" s="13">
        <v>45848</v>
      </c>
      <c r="D401" s="12" t="s">
        <v>515</v>
      </c>
      <c r="E401" s="13">
        <v>45848</v>
      </c>
      <c r="F401" s="15">
        <v>256779415389</v>
      </c>
      <c r="G401" s="12" t="s">
        <v>11</v>
      </c>
      <c r="H401" s="14">
        <v>170.62</v>
      </c>
      <c r="I401" s="12" t="s">
        <v>59</v>
      </c>
      <c r="J401" s="14">
        <v>14673.43</v>
      </c>
      <c r="K401" s="12" t="s">
        <v>819</v>
      </c>
    </row>
    <row r="402" spans="1:11" x14ac:dyDescent="0.35">
      <c r="A402" s="12" t="s">
        <v>511</v>
      </c>
      <c r="B402" s="15">
        <v>2025</v>
      </c>
      <c r="C402" s="13">
        <v>45848</v>
      </c>
      <c r="D402" s="12" t="s">
        <v>515</v>
      </c>
      <c r="E402" s="13">
        <v>45848</v>
      </c>
      <c r="F402" s="15">
        <v>256779415390</v>
      </c>
      <c r="G402" s="12" t="s">
        <v>11</v>
      </c>
      <c r="H402" s="14">
        <v>110.96</v>
      </c>
      <c r="I402" s="12" t="s">
        <v>59</v>
      </c>
      <c r="J402" s="14">
        <v>9542.6299999999992</v>
      </c>
      <c r="K402" s="12" t="s">
        <v>551</v>
      </c>
    </row>
    <row r="403" spans="1:11" x14ac:dyDescent="0.35">
      <c r="A403" s="12" t="s">
        <v>511</v>
      </c>
      <c r="B403" s="15">
        <v>2025</v>
      </c>
      <c r="C403" s="13">
        <v>45848</v>
      </c>
      <c r="D403" s="12" t="s">
        <v>515</v>
      </c>
      <c r="E403" s="13">
        <v>45848</v>
      </c>
      <c r="F403" s="15">
        <v>256779415391</v>
      </c>
      <c r="G403" s="12" t="s">
        <v>11</v>
      </c>
      <c r="H403" s="14">
        <v>820.07</v>
      </c>
      <c r="I403" s="12" t="s">
        <v>59</v>
      </c>
      <c r="J403" s="14">
        <v>70526.570000000007</v>
      </c>
      <c r="K403" s="12" t="s">
        <v>552</v>
      </c>
    </row>
    <row r="404" spans="1:11" x14ac:dyDescent="0.35">
      <c r="A404" s="12" t="s">
        <v>511</v>
      </c>
      <c r="B404" s="15">
        <v>2025</v>
      </c>
      <c r="C404" s="13">
        <v>45848</v>
      </c>
      <c r="D404" s="12" t="s">
        <v>515</v>
      </c>
      <c r="E404" s="13">
        <v>45848</v>
      </c>
      <c r="F404" s="15">
        <v>256779415392</v>
      </c>
      <c r="G404" s="12" t="s">
        <v>11</v>
      </c>
      <c r="H404" s="14">
        <v>200</v>
      </c>
      <c r="I404" s="12" t="s">
        <v>59</v>
      </c>
      <c r="J404" s="14">
        <v>17200.13</v>
      </c>
      <c r="K404" s="12" t="s">
        <v>553</v>
      </c>
    </row>
    <row r="405" spans="1:11" x14ac:dyDescent="0.35">
      <c r="A405" s="12" t="s">
        <v>511</v>
      </c>
      <c r="B405" s="15">
        <v>2025</v>
      </c>
      <c r="C405" s="13">
        <v>45848</v>
      </c>
      <c r="D405" s="12" t="s">
        <v>515</v>
      </c>
      <c r="E405" s="13">
        <v>45848</v>
      </c>
      <c r="F405" s="15">
        <v>256779415393</v>
      </c>
      <c r="G405" s="12" t="s">
        <v>11</v>
      </c>
      <c r="H405" s="14">
        <v>60</v>
      </c>
      <c r="I405" s="12" t="s">
        <v>59</v>
      </c>
      <c r="J405" s="14">
        <v>5160.04</v>
      </c>
      <c r="K405" s="12" t="s">
        <v>820</v>
      </c>
    </row>
    <row r="406" spans="1:11" x14ac:dyDescent="0.35">
      <c r="A406" s="12" t="s">
        <v>511</v>
      </c>
      <c r="B406" s="15">
        <v>2025</v>
      </c>
      <c r="C406" s="13">
        <v>45848</v>
      </c>
      <c r="D406" s="12" t="s">
        <v>515</v>
      </c>
      <c r="E406" s="13">
        <v>45848</v>
      </c>
      <c r="F406" s="15">
        <v>256779415394</v>
      </c>
      <c r="G406" s="12" t="s">
        <v>11</v>
      </c>
      <c r="H406" s="14">
        <v>96</v>
      </c>
      <c r="I406" s="12" t="s">
        <v>59</v>
      </c>
      <c r="J406" s="14">
        <v>8256.06</v>
      </c>
      <c r="K406" s="12" t="s">
        <v>821</v>
      </c>
    </row>
    <row r="407" spans="1:11" x14ac:dyDescent="0.35">
      <c r="A407" s="12" t="s">
        <v>511</v>
      </c>
      <c r="B407" s="15">
        <v>2025</v>
      </c>
      <c r="C407" s="13">
        <v>45848</v>
      </c>
      <c r="D407" s="12" t="s">
        <v>515</v>
      </c>
      <c r="E407" s="13">
        <v>45848</v>
      </c>
      <c r="F407" s="15">
        <v>256779415395</v>
      </c>
      <c r="G407" s="12" t="s">
        <v>11</v>
      </c>
      <c r="H407" s="14">
        <v>205.72</v>
      </c>
      <c r="I407" s="12" t="s">
        <v>59</v>
      </c>
      <c r="J407" s="14">
        <v>17692.060000000001</v>
      </c>
      <c r="K407" s="12" t="s">
        <v>822</v>
      </c>
    </row>
    <row r="408" spans="1:11" x14ac:dyDescent="0.35">
      <c r="A408" s="12" t="s">
        <v>511</v>
      </c>
      <c r="B408" s="15">
        <v>2025</v>
      </c>
      <c r="C408" s="13">
        <v>45848</v>
      </c>
      <c r="D408" s="12" t="s">
        <v>512</v>
      </c>
      <c r="E408" s="13">
        <v>45848</v>
      </c>
      <c r="F408" s="15">
        <v>256779421310</v>
      </c>
      <c r="G408" s="12" t="s">
        <v>11</v>
      </c>
      <c r="H408" s="14">
        <v>-59</v>
      </c>
      <c r="I408" s="12" t="s">
        <v>59</v>
      </c>
      <c r="J408" s="14">
        <v>-5074.04</v>
      </c>
      <c r="K408" s="12" t="s">
        <v>823</v>
      </c>
    </row>
    <row r="409" spans="1:11" x14ac:dyDescent="0.35">
      <c r="A409" s="12" t="s">
        <v>511</v>
      </c>
      <c r="B409" s="15">
        <v>2025</v>
      </c>
      <c r="C409" s="13">
        <v>45848</v>
      </c>
      <c r="D409" s="12" t="s">
        <v>512</v>
      </c>
      <c r="E409" s="13">
        <v>45848</v>
      </c>
      <c r="F409" s="15">
        <v>256779421311</v>
      </c>
      <c r="G409" s="12" t="s">
        <v>11</v>
      </c>
      <c r="H409" s="14">
        <v>-141.6</v>
      </c>
      <c r="I409" s="12" t="s">
        <v>59</v>
      </c>
      <c r="J409" s="14">
        <v>-12177.69</v>
      </c>
      <c r="K409" s="12" t="s">
        <v>824</v>
      </c>
    </row>
    <row r="410" spans="1:11" x14ac:dyDescent="0.35">
      <c r="A410" s="12" t="s">
        <v>511</v>
      </c>
      <c r="B410" s="15">
        <v>2025</v>
      </c>
      <c r="C410" s="13">
        <v>45848</v>
      </c>
      <c r="D410" s="12" t="s">
        <v>512</v>
      </c>
      <c r="E410" s="13">
        <v>45848</v>
      </c>
      <c r="F410" s="15">
        <v>256779421312</v>
      </c>
      <c r="G410" s="12" t="s">
        <v>11</v>
      </c>
      <c r="H410" s="14">
        <v>-275.07</v>
      </c>
      <c r="I410" s="12" t="s">
        <v>59</v>
      </c>
      <c r="J410" s="14">
        <v>-23656.2</v>
      </c>
      <c r="K410" s="12" t="s">
        <v>824</v>
      </c>
    </row>
    <row r="411" spans="1:11" x14ac:dyDescent="0.35">
      <c r="A411" s="12" t="s">
        <v>511</v>
      </c>
      <c r="B411" s="15">
        <v>2025</v>
      </c>
      <c r="C411" s="13">
        <v>45848</v>
      </c>
      <c r="D411" s="12" t="s">
        <v>512</v>
      </c>
      <c r="E411" s="13">
        <v>45848</v>
      </c>
      <c r="F411" s="15">
        <v>256779421313</v>
      </c>
      <c r="G411" s="12" t="s">
        <v>11</v>
      </c>
      <c r="H411" s="14">
        <v>-236</v>
      </c>
      <c r="I411" s="12" t="s">
        <v>59</v>
      </c>
      <c r="J411" s="14">
        <v>-20296.16</v>
      </c>
      <c r="K411" s="12" t="s">
        <v>824</v>
      </c>
    </row>
    <row r="412" spans="1:11" x14ac:dyDescent="0.35">
      <c r="A412" s="12" t="s">
        <v>511</v>
      </c>
      <c r="B412" s="15">
        <v>2025</v>
      </c>
      <c r="C412" s="13">
        <v>45848</v>
      </c>
      <c r="D412" s="12" t="s">
        <v>512</v>
      </c>
      <c r="E412" s="13">
        <v>45848</v>
      </c>
      <c r="F412" s="15">
        <v>256779421314</v>
      </c>
      <c r="G412" s="12" t="s">
        <v>11</v>
      </c>
      <c r="H412" s="14">
        <v>-70.8</v>
      </c>
      <c r="I412" s="12" t="s">
        <v>59</v>
      </c>
      <c r="J412" s="14">
        <v>-6088.85</v>
      </c>
      <c r="K412" s="12" t="s">
        <v>824</v>
      </c>
    </row>
    <row r="413" spans="1:11" x14ac:dyDescent="0.35">
      <c r="A413" s="12" t="s">
        <v>511</v>
      </c>
      <c r="B413" s="15">
        <v>2025</v>
      </c>
      <c r="C413" s="13">
        <v>45848</v>
      </c>
      <c r="D413" s="12" t="s">
        <v>512</v>
      </c>
      <c r="E413" s="13">
        <v>45848</v>
      </c>
      <c r="F413" s="15">
        <v>256779421315</v>
      </c>
      <c r="G413" s="12" t="s">
        <v>11</v>
      </c>
      <c r="H413" s="14">
        <v>-138.82</v>
      </c>
      <c r="I413" s="12" t="s">
        <v>59</v>
      </c>
      <c r="J413" s="14">
        <v>-11938.61</v>
      </c>
      <c r="K413" s="12" t="s">
        <v>825</v>
      </c>
    </row>
    <row r="414" spans="1:11" x14ac:dyDescent="0.35">
      <c r="A414" s="12" t="s">
        <v>511</v>
      </c>
      <c r="B414" s="15">
        <v>2025</v>
      </c>
      <c r="C414" s="13">
        <v>45848</v>
      </c>
      <c r="D414" s="12" t="s">
        <v>512</v>
      </c>
      <c r="E414" s="13">
        <v>45848</v>
      </c>
      <c r="F414" s="15">
        <v>256779421316</v>
      </c>
      <c r="G414" s="12" t="s">
        <v>11</v>
      </c>
      <c r="H414" s="14">
        <v>-183.84</v>
      </c>
      <c r="I414" s="12" t="s">
        <v>59</v>
      </c>
      <c r="J414" s="14">
        <v>-15810.36</v>
      </c>
      <c r="K414" s="12" t="s">
        <v>826</v>
      </c>
    </row>
    <row r="415" spans="1:11" x14ac:dyDescent="0.35">
      <c r="A415" s="12" t="s">
        <v>511</v>
      </c>
      <c r="B415" s="15">
        <v>2025</v>
      </c>
      <c r="C415" s="13">
        <v>45848</v>
      </c>
      <c r="D415" s="12" t="s">
        <v>512</v>
      </c>
      <c r="E415" s="13">
        <v>45848</v>
      </c>
      <c r="F415" s="15">
        <v>256779421317</v>
      </c>
      <c r="G415" s="12" t="s">
        <v>11</v>
      </c>
      <c r="H415" s="14">
        <v>-413</v>
      </c>
      <c r="I415" s="12" t="s">
        <v>59</v>
      </c>
      <c r="J415" s="14">
        <v>-35518.28</v>
      </c>
      <c r="K415" s="12" t="s">
        <v>827</v>
      </c>
    </row>
    <row r="416" spans="1:11" x14ac:dyDescent="0.35">
      <c r="A416" s="12" t="s">
        <v>511</v>
      </c>
      <c r="B416" s="15">
        <v>2025</v>
      </c>
      <c r="C416" s="13">
        <v>45848</v>
      </c>
      <c r="D416" s="12" t="s">
        <v>512</v>
      </c>
      <c r="E416" s="13">
        <v>45848</v>
      </c>
      <c r="F416" s="15">
        <v>256779421318</v>
      </c>
      <c r="G416" s="12" t="s">
        <v>11</v>
      </c>
      <c r="H416" s="14">
        <v>-28.32</v>
      </c>
      <c r="I416" s="12" t="s">
        <v>59</v>
      </c>
      <c r="J416" s="14">
        <v>-2435.54</v>
      </c>
      <c r="K416" s="12" t="s">
        <v>828</v>
      </c>
    </row>
    <row r="417" spans="1:11" x14ac:dyDescent="0.35">
      <c r="A417" s="12" t="s">
        <v>511</v>
      </c>
      <c r="B417" s="15">
        <v>2025</v>
      </c>
      <c r="C417" s="13">
        <v>45848</v>
      </c>
      <c r="D417" s="12" t="s">
        <v>512</v>
      </c>
      <c r="E417" s="13">
        <v>45848</v>
      </c>
      <c r="F417" s="15">
        <v>256779421319</v>
      </c>
      <c r="G417" s="12" t="s">
        <v>11</v>
      </c>
      <c r="H417" s="14">
        <v>-8.85</v>
      </c>
      <c r="I417" s="12" t="s">
        <v>59</v>
      </c>
      <c r="J417" s="14">
        <v>-761.11</v>
      </c>
      <c r="K417" s="12" t="s">
        <v>828</v>
      </c>
    </row>
    <row r="418" spans="1:11" x14ac:dyDescent="0.35">
      <c r="A418" s="12" t="s">
        <v>511</v>
      </c>
      <c r="B418" s="15">
        <v>2025</v>
      </c>
      <c r="C418" s="13">
        <v>45848</v>
      </c>
      <c r="D418" s="12" t="s">
        <v>512</v>
      </c>
      <c r="E418" s="13">
        <v>45848</v>
      </c>
      <c r="F418" s="15">
        <v>256779421320</v>
      </c>
      <c r="G418" s="12" t="s">
        <v>11</v>
      </c>
      <c r="H418" s="14">
        <v>-83.66</v>
      </c>
      <c r="I418" s="12" t="s">
        <v>59</v>
      </c>
      <c r="J418" s="14">
        <v>-7194.82</v>
      </c>
      <c r="K418" s="12" t="s">
        <v>829</v>
      </c>
    </row>
    <row r="419" spans="1:11" x14ac:dyDescent="0.35">
      <c r="A419" s="12" t="s">
        <v>511</v>
      </c>
      <c r="B419" s="15">
        <v>2025</v>
      </c>
      <c r="C419" s="13">
        <v>45848</v>
      </c>
      <c r="D419" s="12" t="s">
        <v>512</v>
      </c>
      <c r="E419" s="13">
        <v>45848</v>
      </c>
      <c r="F419" s="15">
        <v>256779421321</v>
      </c>
      <c r="G419" s="12" t="s">
        <v>11</v>
      </c>
      <c r="H419" s="14">
        <v>-2668.72</v>
      </c>
      <c r="I419" s="12" t="s">
        <v>59</v>
      </c>
      <c r="J419" s="14">
        <v>-229511.71</v>
      </c>
      <c r="K419" s="12" t="s">
        <v>830</v>
      </c>
    </row>
    <row r="420" spans="1:11" x14ac:dyDescent="0.35">
      <c r="A420" s="12" t="s">
        <v>511</v>
      </c>
      <c r="B420" s="15">
        <v>2025</v>
      </c>
      <c r="C420" s="13">
        <v>45848</v>
      </c>
      <c r="D420" s="12" t="s">
        <v>512</v>
      </c>
      <c r="E420" s="13">
        <v>45848</v>
      </c>
      <c r="F420" s="15">
        <v>256779421322</v>
      </c>
      <c r="G420" s="12" t="s">
        <v>11</v>
      </c>
      <c r="H420" s="14">
        <v>-201.33</v>
      </c>
      <c r="I420" s="12" t="s">
        <v>59</v>
      </c>
      <c r="J420" s="14">
        <v>-17314.509999999998</v>
      </c>
      <c r="K420" s="12" t="s">
        <v>831</v>
      </c>
    </row>
    <row r="421" spans="1:11" x14ac:dyDescent="0.35">
      <c r="A421" s="12" t="s">
        <v>511</v>
      </c>
      <c r="B421" s="15">
        <v>2025</v>
      </c>
      <c r="C421" s="13">
        <v>45848</v>
      </c>
      <c r="D421" s="12" t="s">
        <v>512</v>
      </c>
      <c r="E421" s="13">
        <v>45848</v>
      </c>
      <c r="F421" s="15">
        <v>256779421323</v>
      </c>
      <c r="G421" s="12" t="s">
        <v>11</v>
      </c>
      <c r="H421" s="14">
        <v>-130.93</v>
      </c>
      <c r="I421" s="12" t="s">
        <v>59</v>
      </c>
      <c r="J421" s="14">
        <v>-11260.07</v>
      </c>
      <c r="K421" s="12" t="s">
        <v>832</v>
      </c>
    </row>
    <row r="422" spans="1:11" x14ac:dyDescent="0.35">
      <c r="A422" s="12" t="s">
        <v>511</v>
      </c>
      <c r="B422" s="15">
        <v>2025</v>
      </c>
      <c r="C422" s="13">
        <v>45848</v>
      </c>
      <c r="D422" s="12" t="s">
        <v>512</v>
      </c>
      <c r="E422" s="13">
        <v>45848</v>
      </c>
      <c r="F422" s="15">
        <v>256779421324</v>
      </c>
      <c r="G422" s="12" t="s">
        <v>11</v>
      </c>
      <c r="H422" s="14">
        <v>-967.68</v>
      </c>
      <c r="I422" s="12" t="s">
        <v>59</v>
      </c>
      <c r="J422" s="14">
        <v>-83221.13</v>
      </c>
      <c r="K422" s="12" t="s">
        <v>833</v>
      </c>
    </row>
    <row r="423" spans="1:11" x14ac:dyDescent="0.35">
      <c r="A423" s="12" t="s">
        <v>511</v>
      </c>
      <c r="B423" s="15">
        <v>2025</v>
      </c>
      <c r="C423" s="13">
        <v>45848</v>
      </c>
      <c r="D423" s="12" t="s">
        <v>512</v>
      </c>
      <c r="E423" s="13">
        <v>45848</v>
      </c>
      <c r="F423" s="15">
        <v>256779421325</v>
      </c>
      <c r="G423" s="12" t="s">
        <v>11</v>
      </c>
      <c r="H423" s="14">
        <v>-236</v>
      </c>
      <c r="I423" s="12" t="s">
        <v>59</v>
      </c>
      <c r="J423" s="14">
        <v>-20296.16</v>
      </c>
      <c r="K423" s="12" t="s">
        <v>514</v>
      </c>
    </row>
    <row r="424" spans="1:11" x14ac:dyDescent="0.35">
      <c r="A424" s="12" t="s">
        <v>511</v>
      </c>
      <c r="B424" s="15">
        <v>2025</v>
      </c>
      <c r="C424" s="13">
        <v>45733</v>
      </c>
      <c r="D424" s="12" t="s">
        <v>515</v>
      </c>
      <c r="E424" s="13">
        <v>45733</v>
      </c>
      <c r="F424" s="15">
        <v>246779411739</v>
      </c>
      <c r="G424" s="12" t="s">
        <v>11</v>
      </c>
      <c r="H424" s="14">
        <v>34.25</v>
      </c>
      <c r="I424" s="12" t="s">
        <v>59</v>
      </c>
      <c r="J424" s="14">
        <v>2969.18</v>
      </c>
      <c r="K424" s="12" t="s">
        <v>834</v>
      </c>
    </row>
    <row r="425" spans="1:11" x14ac:dyDescent="0.35">
      <c r="A425" s="12" t="s">
        <v>511</v>
      </c>
      <c r="B425" s="15">
        <v>2025</v>
      </c>
      <c r="C425" s="13">
        <v>45733</v>
      </c>
      <c r="D425" s="12" t="s">
        <v>515</v>
      </c>
      <c r="E425" s="13">
        <v>45733</v>
      </c>
      <c r="F425" s="15">
        <v>246779411740</v>
      </c>
      <c r="G425" s="12" t="s">
        <v>11</v>
      </c>
      <c r="H425" s="14">
        <v>22.83</v>
      </c>
      <c r="I425" s="12" t="s">
        <v>59</v>
      </c>
      <c r="J425" s="14">
        <v>1979.16</v>
      </c>
      <c r="K425" s="12" t="s">
        <v>834</v>
      </c>
    </row>
    <row r="426" spans="1:11" x14ac:dyDescent="0.35">
      <c r="A426" s="12" t="s">
        <v>511</v>
      </c>
      <c r="B426" s="15">
        <v>2025</v>
      </c>
      <c r="C426" s="13">
        <v>45733</v>
      </c>
      <c r="D426" s="12" t="s">
        <v>515</v>
      </c>
      <c r="E426" s="13">
        <v>45733</v>
      </c>
      <c r="F426" s="15">
        <v>246779411741</v>
      </c>
      <c r="G426" s="12" t="s">
        <v>11</v>
      </c>
      <c r="H426" s="14">
        <v>240</v>
      </c>
      <c r="I426" s="12" t="s">
        <v>59</v>
      </c>
      <c r="J426" s="14">
        <v>20805.900000000001</v>
      </c>
      <c r="K426" s="12" t="s">
        <v>834</v>
      </c>
    </row>
    <row r="427" spans="1:11" x14ac:dyDescent="0.35">
      <c r="A427" s="12" t="s">
        <v>511</v>
      </c>
      <c r="B427" s="15">
        <v>2025</v>
      </c>
      <c r="C427" s="13">
        <v>45733</v>
      </c>
      <c r="D427" s="12" t="s">
        <v>515</v>
      </c>
      <c r="E427" s="13">
        <v>45733</v>
      </c>
      <c r="F427" s="15">
        <v>246779411742</v>
      </c>
      <c r="G427" s="12" t="s">
        <v>11</v>
      </c>
      <c r="H427" s="14">
        <v>23.27</v>
      </c>
      <c r="I427" s="12" t="s">
        <v>59</v>
      </c>
      <c r="J427" s="14">
        <v>2017.31</v>
      </c>
      <c r="K427" s="12" t="s">
        <v>834</v>
      </c>
    </row>
    <row r="428" spans="1:11" x14ac:dyDescent="0.35">
      <c r="A428" s="12" t="s">
        <v>511</v>
      </c>
      <c r="B428" s="15">
        <v>2025</v>
      </c>
      <c r="C428" s="13">
        <v>45733</v>
      </c>
      <c r="D428" s="12" t="s">
        <v>515</v>
      </c>
      <c r="E428" s="13">
        <v>45733</v>
      </c>
      <c r="F428" s="15">
        <v>246779411789</v>
      </c>
      <c r="G428" s="12" t="s">
        <v>11</v>
      </c>
      <c r="H428" s="14">
        <v>428.11</v>
      </c>
      <c r="I428" s="12" t="s">
        <v>59</v>
      </c>
      <c r="J428" s="14">
        <v>37113.4</v>
      </c>
      <c r="K428" s="12" t="s">
        <v>834</v>
      </c>
    </row>
    <row r="429" spans="1:11" x14ac:dyDescent="0.35">
      <c r="A429" s="12" t="s">
        <v>511</v>
      </c>
      <c r="B429" s="15">
        <v>2025</v>
      </c>
      <c r="C429" s="13">
        <v>45733</v>
      </c>
      <c r="D429" s="12" t="s">
        <v>515</v>
      </c>
      <c r="E429" s="13">
        <v>45733</v>
      </c>
      <c r="F429" s="15">
        <v>246779411895</v>
      </c>
      <c r="G429" s="12" t="s">
        <v>11</v>
      </c>
      <c r="H429" s="14">
        <v>4.26</v>
      </c>
      <c r="I429" s="12" t="s">
        <v>59</v>
      </c>
      <c r="J429" s="14">
        <v>369.3</v>
      </c>
      <c r="K429" s="12" t="s">
        <v>835</v>
      </c>
    </row>
    <row r="430" spans="1:11" x14ac:dyDescent="0.35">
      <c r="A430" s="12" t="s">
        <v>511</v>
      </c>
      <c r="B430" s="15">
        <v>2025</v>
      </c>
      <c r="C430" s="13">
        <v>45733</v>
      </c>
      <c r="D430" s="12" t="s">
        <v>515</v>
      </c>
      <c r="E430" s="13">
        <v>45733</v>
      </c>
      <c r="F430" s="15">
        <v>246779411896</v>
      </c>
      <c r="G430" s="12" t="s">
        <v>11</v>
      </c>
      <c r="H430" s="14">
        <v>39.770000000000003</v>
      </c>
      <c r="I430" s="12" t="s">
        <v>59</v>
      </c>
      <c r="J430" s="14">
        <v>3447.71</v>
      </c>
      <c r="K430" s="12" t="s">
        <v>835</v>
      </c>
    </row>
    <row r="431" spans="1:11" x14ac:dyDescent="0.35">
      <c r="A431" s="12" t="s">
        <v>511</v>
      </c>
      <c r="B431" s="15">
        <v>2025</v>
      </c>
      <c r="C431" s="13">
        <v>45733</v>
      </c>
      <c r="D431" s="12" t="s">
        <v>515</v>
      </c>
      <c r="E431" s="13">
        <v>45733</v>
      </c>
      <c r="F431" s="15">
        <v>246779411915</v>
      </c>
      <c r="G431" s="12" t="s">
        <v>11</v>
      </c>
      <c r="H431" s="14">
        <v>23.17</v>
      </c>
      <c r="I431" s="12" t="s">
        <v>59</v>
      </c>
      <c r="J431" s="14">
        <v>2008.64</v>
      </c>
      <c r="K431" s="12" t="s">
        <v>835</v>
      </c>
    </row>
    <row r="432" spans="1:11" x14ac:dyDescent="0.35">
      <c r="A432" s="12" t="s">
        <v>511</v>
      </c>
      <c r="B432" s="15">
        <v>2025</v>
      </c>
      <c r="C432" s="13">
        <v>45733</v>
      </c>
      <c r="D432" s="12" t="s">
        <v>515</v>
      </c>
      <c r="E432" s="13">
        <v>45733</v>
      </c>
      <c r="F432" s="15">
        <v>246779411973</v>
      </c>
      <c r="G432" s="12" t="s">
        <v>11</v>
      </c>
      <c r="H432" s="14">
        <v>426.09</v>
      </c>
      <c r="I432" s="12" t="s">
        <v>59</v>
      </c>
      <c r="J432" s="14">
        <v>36938.28</v>
      </c>
      <c r="K432" s="12" t="s">
        <v>835</v>
      </c>
    </row>
    <row r="433" spans="1:11" x14ac:dyDescent="0.35">
      <c r="A433" s="12" t="s">
        <v>511</v>
      </c>
      <c r="B433" s="15">
        <v>2025</v>
      </c>
      <c r="C433" s="13">
        <v>45733</v>
      </c>
      <c r="D433" s="12" t="s">
        <v>515</v>
      </c>
      <c r="E433" s="13">
        <v>45733</v>
      </c>
      <c r="F433" s="15">
        <v>246779412044</v>
      </c>
      <c r="G433" s="12" t="s">
        <v>11</v>
      </c>
      <c r="H433" s="14">
        <v>30.37</v>
      </c>
      <c r="I433" s="12" t="s">
        <v>59</v>
      </c>
      <c r="J433" s="14">
        <v>2632.81</v>
      </c>
      <c r="K433" s="12" t="s">
        <v>836</v>
      </c>
    </row>
    <row r="434" spans="1:11" x14ac:dyDescent="0.35">
      <c r="A434" s="12" t="s">
        <v>511</v>
      </c>
      <c r="B434" s="15">
        <v>2025</v>
      </c>
      <c r="C434" s="13">
        <v>45733</v>
      </c>
      <c r="D434" s="12" t="s">
        <v>515</v>
      </c>
      <c r="E434" s="13">
        <v>45733</v>
      </c>
      <c r="F434" s="15">
        <v>246779412046</v>
      </c>
      <c r="G434" s="12" t="s">
        <v>11</v>
      </c>
      <c r="H434" s="14">
        <v>16.82</v>
      </c>
      <c r="I434" s="12" t="s">
        <v>59</v>
      </c>
      <c r="J434" s="14">
        <v>1458.15</v>
      </c>
      <c r="K434" s="12" t="s">
        <v>836</v>
      </c>
    </row>
    <row r="435" spans="1:11" x14ac:dyDescent="0.35">
      <c r="A435" s="12" t="s">
        <v>511</v>
      </c>
      <c r="B435" s="15">
        <v>2025</v>
      </c>
      <c r="C435" s="13">
        <v>45762</v>
      </c>
      <c r="D435" s="12" t="s">
        <v>515</v>
      </c>
      <c r="E435" s="13">
        <v>45762</v>
      </c>
      <c r="F435" s="15">
        <v>256779411091</v>
      </c>
      <c r="G435" s="12" t="s">
        <v>11</v>
      </c>
      <c r="H435" s="14">
        <v>54.87</v>
      </c>
      <c r="I435" s="12" t="s">
        <v>59</v>
      </c>
      <c r="J435" s="14">
        <v>4769.3999999999996</v>
      </c>
      <c r="K435" s="12" t="s">
        <v>837</v>
      </c>
    </row>
    <row r="436" spans="1:11" x14ac:dyDescent="0.35">
      <c r="A436" s="12" t="s">
        <v>511</v>
      </c>
      <c r="B436" s="15">
        <v>2025</v>
      </c>
      <c r="C436" s="13">
        <v>45762</v>
      </c>
      <c r="D436" s="12" t="s">
        <v>515</v>
      </c>
      <c r="E436" s="13">
        <v>45762</v>
      </c>
      <c r="F436" s="15">
        <v>256779411092</v>
      </c>
      <c r="G436" s="12" t="s">
        <v>11</v>
      </c>
      <c r="H436" s="14">
        <v>54.87</v>
      </c>
      <c r="I436" s="12" t="s">
        <v>59</v>
      </c>
      <c r="J436" s="14">
        <v>4769.3999999999996</v>
      </c>
      <c r="K436" s="12" t="s">
        <v>837</v>
      </c>
    </row>
    <row r="437" spans="1:11" x14ac:dyDescent="0.35">
      <c r="A437" s="12" t="s">
        <v>511</v>
      </c>
      <c r="B437" s="15">
        <v>2025</v>
      </c>
      <c r="C437" s="13">
        <v>45762</v>
      </c>
      <c r="D437" s="12" t="s">
        <v>515</v>
      </c>
      <c r="E437" s="13">
        <v>45762</v>
      </c>
      <c r="F437" s="15">
        <v>256779411093</v>
      </c>
      <c r="G437" s="12" t="s">
        <v>11</v>
      </c>
      <c r="H437" s="14">
        <v>57.82</v>
      </c>
      <c r="I437" s="12" t="s">
        <v>59</v>
      </c>
      <c r="J437" s="14">
        <v>5025.82</v>
      </c>
      <c r="K437" s="12" t="s">
        <v>837</v>
      </c>
    </row>
    <row r="438" spans="1:11" x14ac:dyDescent="0.35">
      <c r="A438" s="12" t="s">
        <v>511</v>
      </c>
      <c r="B438" s="15">
        <v>2025</v>
      </c>
      <c r="C438" s="13">
        <v>45762</v>
      </c>
      <c r="D438" s="12" t="s">
        <v>515</v>
      </c>
      <c r="E438" s="13">
        <v>45762</v>
      </c>
      <c r="F438" s="15">
        <v>256779411094</v>
      </c>
      <c r="G438" s="12" t="s">
        <v>11</v>
      </c>
      <c r="H438" s="14">
        <v>34.22</v>
      </c>
      <c r="I438" s="12" t="s">
        <v>59</v>
      </c>
      <c r="J438" s="14">
        <v>2974.46</v>
      </c>
      <c r="K438" s="12" t="s">
        <v>837</v>
      </c>
    </row>
    <row r="439" spans="1:11" x14ac:dyDescent="0.35">
      <c r="A439" s="12" t="s">
        <v>511</v>
      </c>
      <c r="B439" s="15">
        <v>2025</v>
      </c>
      <c r="C439" s="13">
        <v>45762</v>
      </c>
      <c r="D439" s="12" t="s">
        <v>515</v>
      </c>
      <c r="E439" s="13">
        <v>45762</v>
      </c>
      <c r="F439" s="15">
        <v>256779411095</v>
      </c>
      <c r="G439" s="12" t="s">
        <v>11</v>
      </c>
      <c r="H439" s="14">
        <v>48.97</v>
      </c>
      <c r="I439" s="12" t="s">
        <v>59</v>
      </c>
      <c r="J439" s="14">
        <v>4256.5600000000004</v>
      </c>
      <c r="K439" s="12" t="s">
        <v>837</v>
      </c>
    </row>
    <row r="440" spans="1:11" x14ac:dyDescent="0.35">
      <c r="A440" s="12" t="s">
        <v>511</v>
      </c>
      <c r="B440" s="15">
        <v>2025</v>
      </c>
      <c r="C440" s="13">
        <v>45762</v>
      </c>
      <c r="D440" s="12" t="s">
        <v>515</v>
      </c>
      <c r="E440" s="13">
        <v>45762</v>
      </c>
      <c r="F440" s="15">
        <v>256779411096</v>
      </c>
      <c r="G440" s="12" t="s">
        <v>11</v>
      </c>
      <c r="H440" s="14">
        <v>43.07</v>
      </c>
      <c r="I440" s="12" t="s">
        <v>59</v>
      </c>
      <c r="J440" s="14">
        <v>3743.72</v>
      </c>
      <c r="K440" s="12" t="s">
        <v>837</v>
      </c>
    </row>
    <row r="441" spans="1:11" x14ac:dyDescent="0.35">
      <c r="A441" s="12" t="s">
        <v>511</v>
      </c>
      <c r="B441" s="15">
        <v>2025</v>
      </c>
      <c r="C441" s="13">
        <v>45762</v>
      </c>
      <c r="D441" s="12" t="s">
        <v>515</v>
      </c>
      <c r="E441" s="13">
        <v>45762</v>
      </c>
      <c r="F441" s="15">
        <v>256779411098</v>
      </c>
      <c r="G441" s="12" t="s">
        <v>11</v>
      </c>
      <c r="H441" s="14">
        <v>60.64</v>
      </c>
      <c r="I441" s="12" t="s">
        <v>59</v>
      </c>
      <c r="J441" s="14">
        <v>5270.94</v>
      </c>
      <c r="K441" s="12" t="s">
        <v>837</v>
      </c>
    </row>
    <row r="442" spans="1:11" x14ac:dyDescent="0.35">
      <c r="A442" s="12" t="s">
        <v>511</v>
      </c>
      <c r="B442" s="15">
        <v>2025</v>
      </c>
      <c r="C442" s="13">
        <v>45762</v>
      </c>
      <c r="D442" s="12" t="s">
        <v>515</v>
      </c>
      <c r="E442" s="13">
        <v>45762</v>
      </c>
      <c r="F442" s="15">
        <v>256779411099</v>
      </c>
      <c r="G442" s="12" t="s">
        <v>11</v>
      </c>
      <c r="H442" s="14">
        <v>58.81</v>
      </c>
      <c r="I442" s="12" t="s">
        <v>59</v>
      </c>
      <c r="J442" s="14">
        <v>5111.87</v>
      </c>
      <c r="K442" s="12" t="s">
        <v>837</v>
      </c>
    </row>
    <row r="443" spans="1:11" x14ac:dyDescent="0.35">
      <c r="A443" s="12" t="s">
        <v>511</v>
      </c>
      <c r="B443" s="15">
        <v>2025</v>
      </c>
      <c r="C443" s="13">
        <v>45762</v>
      </c>
      <c r="D443" s="12" t="s">
        <v>515</v>
      </c>
      <c r="E443" s="13">
        <v>45762</v>
      </c>
      <c r="F443" s="15">
        <v>256779411100</v>
      </c>
      <c r="G443" s="12" t="s">
        <v>11</v>
      </c>
      <c r="H443" s="14">
        <v>46.02</v>
      </c>
      <c r="I443" s="12" t="s">
        <v>59</v>
      </c>
      <c r="J443" s="14">
        <v>4000.14</v>
      </c>
      <c r="K443" s="12" t="s">
        <v>837</v>
      </c>
    </row>
    <row r="444" spans="1:11" x14ac:dyDescent="0.35">
      <c r="A444" s="12" t="s">
        <v>511</v>
      </c>
      <c r="B444" s="15">
        <v>2025</v>
      </c>
      <c r="C444" s="13">
        <v>45762</v>
      </c>
      <c r="D444" s="12" t="s">
        <v>515</v>
      </c>
      <c r="E444" s="13">
        <v>45762</v>
      </c>
      <c r="F444" s="15">
        <v>256779411101</v>
      </c>
      <c r="G444" s="12" t="s">
        <v>11</v>
      </c>
      <c r="H444" s="14">
        <v>32.450000000000003</v>
      </c>
      <c r="I444" s="12" t="s">
        <v>59</v>
      </c>
      <c r="J444" s="14">
        <v>2820.61</v>
      </c>
      <c r="K444" s="12" t="s">
        <v>837</v>
      </c>
    </row>
    <row r="445" spans="1:11" x14ac:dyDescent="0.35">
      <c r="A445" s="12" t="s">
        <v>511</v>
      </c>
      <c r="B445" s="15">
        <v>2025</v>
      </c>
      <c r="C445" s="13">
        <v>45762</v>
      </c>
      <c r="D445" s="12" t="s">
        <v>515</v>
      </c>
      <c r="E445" s="13">
        <v>45762</v>
      </c>
      <c r="F445" s="15">
        <v>256779411458</v>
      </c>
      <c r="G445" s="12" t="s">
        <v>11</v>
      </c>
      <c r="H445" s="14">
        <v>35.4</v>
      </c>
      <c r="I445" s="12" t="s">
        <v>59</v>
      </c>
      <c r="J445" s="14">
        <v>3077.03</v>
      </c>
      <c r="K445" s="12" t="s">
        <v>806</v>
      </c>
    </row>
    <row r="446" spans="1:11" x14ac:dyDescent="0.35">
      <c r="A446" s="12" t="s">
        <v>511</v>
      </c>
      <c r="B446" s="15">
        <v>2025</v>
      </c>
      <c r="C446" s="13">
        <v>45762</v>
      </c>
      <c r="D446" s="12" t="s">
        <v>515</v>
      </c>
      <c r="E446" s="13">
        <v>45762</v>
      </c>
      <c r="F446" s="15">
        <v>256779411459</v>
      </c>
      <c r="G446" s="12" t="s">
        <v>11</v>
      </c>
      <c r="H446" s="14">
        <v>29.5</v>
      </c>
      <c r="I446" s="12" t="s">
        <v>59</v>
      </c>
      <c r="J446" s="14">
        <v>2564.19</v>
      </c>
      <c r="K446" s="12" t="s">
        <v>806</v>
      </c>
    </row>
    <row r="447" spans="1:11" x14ac:dyDescent="0.35">
      <c r="A447" s="12" t="s">
        <v>511</v>
      </c>
      <c r="B447" s="15">
        <v>2025</v>
      </c>
      <c r="C447" s="13">
        <v>45762</v>
      </c>
      <c r="D447" s="12" t="s">
        <v>515</v>
      </c>
      <c r="E447" s="13">
        <v>45762</v>
      </c>
      <c r="F447" s="15">
        <v>256779411460</v>
      </c>
      <c r="G447" s="12" t="s">
        <v>11</v>
      </c>
      <c r="H447" s="14">
        <v>29.5</v>
      </c>
      <c r="I447" s="12" t="s">
        <v>59</v>
      </c>
      <c r="J447" s="14">
        <v>2564.19</v>
      </c>
      <c r="K447" s="12" t="s">
        <v>806</v>
      </c>
    </row>
    <row r="448" spans="1:11" x14ac:dyDescent="0.35">
      <c r="A448" s="12" t="s">
        <v>511</v>
      </c>
      <c r="B448" s="15">
        <v>2025</v>
      </c>
      <c r="C448" s="13">
        <v>45762</v>
      </c>
      <c r="D448" s="12" t="s">
        <v>515</v>
      </c>
      <c r="E448" s="13">
        <v>45762</v>
      </c>
      <c r="F448" s="15">
        <v>256779411461</v>
      </c>
      <c r="G448" s="12" t="s">
        <v>11</v>
      </c>
      <c r="H448" s="14">
        <v>35.4</v>
      </c>
      <c r="I448" s="12" t="s">
        <v>59</v>
      </c>
      <c r="J448" s="14">
        <v>3077.03</v>
      </c>
      <c r="K448" s="12" t="s">
        <v>806</v>
      </c>
    </row>
    <row r="449" spans="1:11" x14ac:dyDescent="0.35">
      <c r="A449" s="12" t="s">
        <v>511</v>
      </c>
      <c r="B449" s="15">
        <v>2025</v>
      </c>
      <c r="C449" s="13">
        <v>45762</v>
      </c>
      <c r="D449" s="12" t="s">
        <v>515</v>
      </c>
      <c r="E449" s="13">
        <v>45762</v>
      </c>
      <c r="F449" s="15">
        <v>256779411462</v>
      </c>
      <c r="G449" s="12" t="s">
        <v>11</v>
      </c>
      <c r="H449" s="14">
        <v>20.65</v>
      </c>
      <c r="I449" s="12" t="s">
        <v>59</v>
      </c>
      <c r="J449" s="14">
        <v>1794.94</v>
      </c>
      <c r="K449" s="12" t="s">
        <v>806</v>
      </c>
    </row>
    <row r="450" spans="1:11" x14ac:dyDescent="0.35">
      <c r="A450" s="12" t="s">
        <v>511</v>
      </c>
      <c r="B450" s="15">
        <v>2025</v>
      </c>
      <c r="C450" s="13">
        <v>45762</v>
      </c>
      <c r="D450" s="12" t="s">
        <v>515</v>
      </c>
      <c r="E450" s="13">
        <v>45762</v>
      </c>
      <c r="F450" s="15">
        <v>256779411463</v>
      </c>
      <c r="G450" s="12" t="s">
        <v>11</v>
      </c>
      <c r="H450" s="14">
        <v>23.6</v>
      </c>
      <c r="I450" s="12" t="s">
        <v>59</v>
      </c>
      <c r="J450" s="14">
        <v>2051.35</v>
      </c>
      <c r="K450" s="12" t="s">
        <v>806</v>
      </c>
    </row>
    <row r="451" spans="1:11" x14ac:dyDescent="0.35">
      <c r="A451" s="12" t="s">
        <v>511</v>
      </c>
      <c r="B451" s="15">
        <v>2025</v>
      </c>
      <c r="C451" s="13">
        <v>45762</v>
      </c>
      <c r="D451" s="12" t="s">
        <v>515</v>
      </c>
      <c r="E451" s="13">
        <v>45762</v>
      </c>
      <c r="F451" s="15">
        <v>256779411464</v>
      </c>
      <c r="G451" s="12" t="s">
        <v>11</v>
      </c>
      <c r="H451" s="14">
        <v>8.85</v>
      </c>
      <c r="I451" s="12" t="s">
        <v>59</v>
      </c>
      <c r="J451" s="14">
        <v>769.26</v>
      </c>
      <c r="K451" s="12" t="s">
        <v>806</v>
      </c>
    </row>
    <row r="452" spans="1:11" x14ac:dyDescent="0.35">
      <c r="A452" s="12" t="s">
        <v>511</v>
      </c>
      <c r="B452" s="15">
        <v>2025</v>
      </c>
      <c r="C452" s="13">
        <v>45762</v>
      </c>
      <c r="D452" s="12" t="s">
        <v>515</v>
      </c>
      <c r="E452" s="13">
        <v>45762</v>
      </c>
      <c r="F452" s="15">
        <v>256779411465</v>
      </c>
      <c r="G452" s="12" t="s">
        <v>11</v>
      </c>
      <c r="H452" s="14">
        <v>32.450000000000003</v>
      </c>
      <c r="I452" s="12" t="s">
        <v>59</v>
      </c>
      <c r="J452" s="14">
        <v>2820.61</v>
      </c>
      <c r="K452" s="12" t="s">
        <v>806</v>
      </c>
    </row>
    <row r="453" spans="1:11" x14ac:dyDescent="0.35">
      <c r="A453" s="12" t="s">
        <v>511</v>
      </c>
      <c r="B453" s="15">
        <v>2025</v>
      </c>
      <c r="C453" s="13">
        <v>45762</v>
      </c>
      <c r="D453" s="12" t="s">
        <v>515</v>
      </c>
      <c r="E453" s="13">
        <v>45762</v>
      </c>
      <c r="F453" s="15">
        <v>256779411466</v>
      </c>
      <c r="G453" s="12" t="s">
        <v>11</v>
      </c>
      <c r="H453" s="14">
        <v>35.4</v>
      </c>
      <c r="I453" s="12" t="s">
        <v>59</v>
      </c>
      <c r="J453" s="14">
        <v>3077.03</v>
      </c>
      <c r="K453" s="12" t="s">
        <v>806</v>
      </c>
    </row>
    <row r="454" spans="1:11" x14ac:dyDescent="0.35">
      <c r="A454" s="12" t="s">
        <v>511</v>
      </c>
      <c r="B454" s="15">
        <v>2025</v>
      </c>
      <c r="C454" s="13">
        <v>45762</v>
      </c>
      <c r="D454" s="12" t="s">
        <v>515</v>
      </c>
      <c r="E454" s="13">
        <v>45762</v>
      </c>
      <c r="F454" s="15">
        <v>256779411467</v>
      </c>
      <c r="G454" s="12" t="s">
        <v>11</v>
      </c>
      <c r="H454" s="14">
        <v>35.4</v>
      </c>
      <c r="I454" s="12" t="s">
        <v>59</v>
      </c>
      <c r="J454" s="14">
        <v>3077.03</v>
      </c>
      <c r="K454" s="12" t="s">
        <v>806</v>
      </c>
    </row>
    <row r="455" spans="1:11" x14ac:dyDescent="0.35">
      <c r="A455" s="12" t="s">
        <v>511</v>
      </c>
      <c r="B455" s="15">
        <v>2025</v>
      </c>
      <c r="C455" s="13">
        <v>45762</v>
      </c>
      <c r="D455" s="12" t="s">
        <v>515</v>
      </c>
      <c r="E455" s="13">
        <v>45762</v>
      </c>
      <c r="F455" s="15">
        <v>256779411468</v>
      </c>
      <c r="G455" s="12" t="s">
        <v>11</v>
      </c>
      <c r="H455" s="14">
        <v>26.55</v>
      </c>
      <c r="I455" s="12" t="s">
        <v>59</v>
      </c>
      <c r="J455" s="14">
        <v>2307.77</v>
      </c>
      <c r="K455" s="12" t="s">
        <v>806</v>
      </c>
    </row>
    <row r="456" spans="1:11" x14ac:dyDescent="0.35">
      <c r="A456" s="12" t="s">
        <v>511</v>
      </c>
      <c r="B456" s="15">
        <v>2025</v>
      </c>
      <c r="C456" s="13">
        <v>45762</v>
      </c>
      <c r="D456" s="12" t="s">
        <v>515</v>
      </c>
      <c r="E456" s="13">
        <v>45762</v>
      </c>
      <c r="F456" s="15">
        <v>256779411469</v>
      </c>
      <c r="G456" s="12" t="s">
        <v>11</v>
      </c>
      <c r="H456" s="14">
        <v>35.4</v>
      </c>
      <c r="I456" s="12" t="s">
        <v>59</v>
      </c>
      <c r="J456" s="14">
        <v>3077.03</v>
      </c>
      <c r="K456" s="12" t="s">
        <v>806</v>
      </c>
    </row>
    <row r="457" spans="1:11" x14ac:dyDescent="0.35">
      <c r="A457" s="12" t="s">
        <v>511</v>
      </c>
      <c r="B457" s="15">
        <v>2025</v>
      </c>
      <c r="C457" s="13">
        <v>45947</v>
      </c>
      <c r="D457" s="12" t="s">
        <v>512</v>
      </c>
      <c r="E457" s="13">
        <v>45947</v>
      </c>
      <c r="F457" s="15">
        <v>256779422006</v>
      </c>
      <c r="G457" s="12" t="s">
        <v>11</v>
      </c>
      <c r="H457" s="14">
        <v>-94.81</v>
      </c>
      <c r="I457" s="12" t="s">
        <v>59</v>
      </c>
      <c r="J457" s="14">
        <v>-8361.3700000000008</v>
      </c>
      <c r="K457" s="12" t="s">
        <v>838</v>
      </c>
    </row>
    <row r="458" spans="1:11" x14ac:dyDescent="0.35">
      <c r="A458" s="12" t="s">
        <v>511</v>
      </c>
      <c r="B458" s="15">
        <v>2025</v>
      </c>
      <c r="C458" s="13">
        <v>45763</v>
      </c>
      <c r="D458" s="12" t="s">
        <v>515</v>
      </c>
      <c r="E458" s="13">
        <v>45763</v>
      </c>
      <c r="F458" s="15">
        <v>256779411969</v>
      </c>
      <c r="G458" s="12" t="s">
        <v>11</v>
      </c>
      <c r="H458" s="14">
        <v>79.08</v>
      </c>
      <c r="I458" s="12" t="s">
        <v>59</v>
      </c>
      <c r="J458" s="14">
        <v>6873.78</v>
      </c>
      <c r="K458" s="12" t="s">
        <v>839</v>
      </c>
    </row>
    <row r="459" spans="1:11" x14ac:dyDescent="0.35">
      <c r="A459" s="12" t="s">
        <v>511</v>
      </c>
      <c r="B459" s="15">
        <v>2025</v>
      </c>
      <c r="C459" s="13">
        <v>45763</v>
      </c>
      <c r="D459" s="12" t="s">
        <v>515</v>
      </c>
      <c r="E459" s="13">
        <v>45763</v>
      </c>
      <c r="F459" s="15">
        <v>256779411970</v>
      </c>
      <c r="G459" s="12" t="s">
        <v>11</v>
      </c>
      <c r="H459" s="14">
        <v>8.66</v>
      </c>
      <c r="I459" s="12" t="s">
        <v>59</v>
      </c>
      <c r="J459" s="14">
        <v>752.74</v>
      </c>
      <c r="K459" s="12" t="s">
        <v>839</v>
      </c>
    </row>
    <row r="460" spans="1:11" x14ac:dyDescent="0.35">
      <c r="A460" s="12" t="s">
        <v>511</v>
      </c>
      <c r="B460" s="15">
        <v>2025</v>
      </c>
      <c r="C460" s="13">
        <v>45763</v>
      </c>
      <c r="D460" s="12" t="s">
        <v>515</v>
      </c>
      <c r="E460" s="13">
        <v>45763</v>
      </c>
      <c r="F460" s="15">
        <v>256779412012</v>
      </c>
      <c r="G460" s="12" t="s">
        <v>11</v>
      </c>
      <c r="H460" s="14">
        <v>1051.22</v>
      </c>
      <c r="I460" s="12" t="s">
        <v>59</v>
      </c>
      <c r="J460" s="14">
        <v>91373.96</v>
      </c>
      <c r="K460" s="12" t="s">
        <v>840</v>
      </c>
    </row>
    <row r="461" spans="1:11" x14ac:dyDescent="0.35">
      <c r="A461" s="12" t="s">
        <v>511</v>
      </c>
      <c r="B461" s="15">
        <v>2025</v>
      </c>
      <c r="C461" s="13">
        <v>45763</v>
      </c>
      <c r="D461" s="12" t="s">
        <v>515</v>
      </c>
      <c r="E461" s="13">
        <v>45763</v>
      </c>
      <c r="F461" s="15">
        <v>256779412053</v>
      </c>
      <c r="G461" s="12" t="s">
        <v>11</v>
      </c>
      <c r="H461" s="14">
        <v>985.93</v>
      </c>
      <c r="I461" s="12" t="s">
        <v>59</v>
      </c>
      <c r="J461" s="14">
        <v>85698.83</v>
      </c>
      <c r="K461" s="12" t="s">
        <v>841</v>
      </c>
    </row>
    <row r="462" spans="1:11" x14ac:dyDescent="0.35">
      <c r="A462" s="12" t="s">
        <v>511</v>
      </c>
      <c r="B462" s="15">
        <v>2025</v>
      </c>
      <c r="C462" s="13">
        <v>45763</v>
      </c>
      <c r="D462" s="12" t="s">
        <v>515</v>
      </c>
      <c r="E462" s="13">
        <v>45763</v>
      </c>
      <c r="F462" s="15">
        <v>256779412091</v>
      </c>
      <c r="G462" s="12" t="s">
        <v>11</v>
      </c>
      <c r="H462" s="14">
        <v>96.4</v>
      </c>
      <c r="I462" s="12" t="s">
        <v>59</v>
      </c>
      <c r="J462" s="14">
        <v>8379.26</v>
      </c>
      <c r="K462" s="12" t="s">
        <v>842</v>
      </c>
    </row>
    <row r="463" spans="1:11" x14ac:dyDescent="0.35">
      <c r="A463" s="12" t="s">
        <v>511</v>
      </c>
      <c r="B463" s="15">
        <v>2025</v>
      </c>
      <c r="C463" s="13">
        <v>45763</v>
      </c>
      <c r="D463" s="12" t="s">
        <v>515</v>
      </c>
      <c r="E463" s="13">
        <v>45763</v>
      </c>
      <c r="F463" s="15">
        <v>256779412092</v>
      </c>
      <c r="G463" s="12" t="s">
        <v>11</v>
      </c>
      <c r="H463" s="14">
        <v>289.17</v>
      </c>
      <c r="I463" s="12" t="s">
        <v>59</v>
      </c>
      <c r="J463" s="14">
        <v>25135.18</v>
      </c>
      <c r="K463" s="12" t="s">
        <v>842</v>
      </c>
    </row>
    <row r="464" spans="1:11" x14ac:dyDescent="0.35">
      <c r="A464" s="12" t="s">
        <v>511</v>
      </c>
      <c r="B464" s="15">
        <v>2025</v>
      </c>
      <c r="C464" s="13">
        <v>45763</v>
      </c>
      <c r="D464" s="12" t="s">
        <v>515</v>
      </c>
      <c r="E464" s="13">
        <v>45763</v>
      </c>
      <c r="F464" s="15">
        <v>256779412123</v>
      </c>
      <c r="G464" s="12" t="s">
        <v>11</v>
      </c>
      <c r="H464" s="14">
        <v>3318.21</v>
      </c>
      <c r="I464" s="12" t="s">
        <v>59</v>
      </c>
      <c r="J464" s="14">
        <v>288424.84999999998</v>
      </c>
      <c r="K464" s="12" t="s">
        <v>843</v>
      </c>
    </row>
    <row r="465" spans="1:11" x14ac:dyDescent="0.35">
      <c r="A465" s="12" t="s">
        <v>511</v>
      </c>
      <c r="B465" s="15">
        <v>2025</v>
      </c>
      <c r="C465" s="13">
        <v>45763</v>
      </c>
      <c r="D465" s="12" t="s">
        <v>515</v>
      </c>
      <c r="E465" s="13">
        <v>45763</v>
      </c>
      <c r="F465" s="15">
        <v>256779411722</v>
      </c>
      <c r="G465" s="12" t="s">
        <v>11</v>
      </c>
      <c r="H465" s="14">
        <v>236</v>
      </c>
      <c r="I465" s="12" t="s">
        <v>59</v>
      </c>
      <c r="J465" s="14">
        <v>20513.55</v>
      </c>
      <c r="K465" s="12" t="s">
        <v>728</v>
      </c>
    </row>
    <row r="466" spans="1:11" x14ac:dyDescent="0.35">
      <c r="A466" s="12" t="s">
        <v>511</v>
      </c>
      <c r="B466" s="15">
        <v>2025</v>
      </c>
      <c r="C466" s="13">
        <v>45763</v>
      </c>
      <c r="D466" s="12" t="s">
        <v>515</v>
      </c>
      <c r="E466" s="13">
        <v>45763</v>
      </c>
      <c r="F466" s="15">
        <v>256779411795</v>
      </c>
      <c r="G466" s="12" t="s">
        <v>11</v>
      </c>
      <c r="H466" s="14">
        <v>369.34</v>
      </c>
      <c r="I466" s="12" t="s">
        <v>59</v>
      </c>
      <c r="J466" s="14">
        <v>32103.7</v>
      </c>
      <c r="K466" s="12" t="s">
        <v>729</v>
      </c>
    </row>
    <row r="467" spans="1:11" x14ac:dyDescent="0.35">
      <c r="A467" s="12" t="s">
        <v>511</v>
      </c>
      <c r="B467" s="15">
        <v>2025</v>
      </c>
      <c r="C467" s="13">
        <v>45763</v>
      </c>
      <c r="D467" s="12" t="s">
        <v>515</v>
      </c>
      <c r="E467" s="13">
        <v>45763</v>
      </c>
      <c r="F467" s="15">
        <v>256779411796</v>
      </c>
      <c r="G467" s="12" t="s">
        <v>11</v>
      </c>
      <c r="H467" s="14">
        <v>226.56</v>
      </c>
      <c r="I467" s="12" t="s">
        <v>59</v>
      </c>
      <c r="J467" s="14">
        <v>19693.009999999998</v>
      </c>
      <c r="K467" s="12" t="s">
        <v>730</v>
      </c>
    </row>
    <row r="468" spans="1:11" x14ac:dyDescent="0.35">
      <c r="A468" s="12" t="s">
        <v>511</v>
      </c>
      <c r="B468" s="15">
        <v>2025</v>
      </c>
      <c r="C468" s="13">
        <v>45763</v>
      </c>
      <c r="D468" s="12" t="s">
        <v>515</v>
      </c>
      <c r="E468" s="13">
        <v>45763</v>
      </c>
      <c r="F468" s="15">
        <v>256779411797</v>
      </c>
      <c r="G468" s="12" t="s">
        <v>11</v>
      </c>
      <c r="H468" s="14">
        <v>35.4</v>
      </c>
      <c r="I468" s="12" t="s">
        <v>59</v>
      </c>
      <c r="J468" s="14">
        <v>3077.03</v>
      </c>
      <c r="K468" s="12" t="s">
        <v>844</v>
      </c>
    </row>
    <row r="469" spans="1:11" x14ac:dyDescent="0.35">
      <c r="A469" s="12" t="s">
        <v>511</v>
      </c>
      <c r="B469" s="15">
        <v>2025</v>
      </c>
      <c r="C469" s="13">
        <v>45763</v>
      </c>
      <c r="D469" s="12" t="s">
        <v>515</v>
      </c>
      <c r="E469" s="13">
        <v>45763</v>
      </c>
      <c r="F469" s="15">
        <v>256779411798</v>
      </c>
      <c r="G469" s="12" t="s">
        <v>11</v>
      </c>
      <c r="H469" s="14">
        <v>236</v>
      </c>
      <c r="I469" s="12" t="s">
        <v>59</v>
      </c>
      <c r="J469" s="14">
        <v>20513.55</v>
      </c>
      <c r="K469" s="12" t="s">
        <v>731</v>
      </c>
    </row>
    <row r="470" spans="1:11" x14ac:dyDescent="0.35">
      <c r="A470" s="12" t="s">
        <v>511</v>
      </c>
      <c r="B470" s="15">
        <v>2025</v>
      </c>
      <c r="C470" s="13">
        <v>45763</v>
      </c>
      <c r="D470" s="12" t="s">
        <v>515</v>
      </c>
      <c r="E470" s="13">
        <v>45763</v>
      </c>
      <c r="F470" s="15">
        <v>256779411799</v>
      </c>
      <c r="G470" s="12" t="s">
        <v>11</v>
      </c>
      <c r="H470" s="14">
        <v>70.8</v>
      </c>
      <c r="I470" s="12" t="s">
        <v>59</v>
      </c>
      <c r="J470" s="14">
        <v>6154.06</v>
      </c>
      <c r="K470" s="12" t="s">
        <v>732</v>
      </c>
    </row>
    <row r="471" spans="1:11" x14ac:dyDescent="0.35">
      <c r="A471" s="12" t="s">
        <v>511</v>
      </c>
      <c r="B471" s="15">
        <v>2025</v>
      </c>
      <c r="C471" s="13">
        <v>45763</v>
      </c>
      <c r="D471" s="12" t="s">
        <v>515</v>
      </c>
      <c r="E471" s="13">
        <v>45763</v>
      </c>
      <c r="F471" s="15">
        <v>256779411867</v>
      </c>
      <c r="G471" s="12" t="s">
        <v>11</v>
      </c>
      <c r="H471" s="14">
        <v>295</v>
      </c>
      <c r="I471" s="12" t="s">
        <v>59</v>
      </c>
      <c r="J471" s="14">
        <v>25641.94</v>
      </c>
      <c r="K471" s="12" t="s">
        <v>845</v>
      </c>
    </row>
    <row r="472" spans="1:11" x14ac:dyDescent="0.35">
      <c r="A472" s="12" t="s">
        <v>511</v>
      </c>
      <c r="B472" s="15">
        <v>2025</v>
      </c>
      <c r="C472" s="13">
        <v>45863</v>
      </c>
      <c r="D472" s="12" t="s">
        <v>515</v>
      </c>
      <c r="E472" s="13">
        <v>45863</v>
      </c>
      <c r="F472" s="15">
        <v>256779415989</v>
      </c>
      <c r="G472" s="12" t="s">
        <v>11</v>
      </c>
      <c r="H472" s="14">
        <v>299.83999999999997</v>
      </c>
      <c r="I472" s="12" t="s">
        <v>59</v>
      </c>
      <c r="J472" s="14">
        <v>25786.44</v>
      </c>
      <c r="K472" s="12" t="s">
        <v>846</v>
      </c>
    </row>
    <row r="473" spans="1:11" x14ac:dyDescent="0.35">
      <c r="A473" s="12" t="s">
        <v>511</v>
      </c>
      <c r="B473" s="15">
        <v>2025</v>
      </c>
      <c r="C473" s="13">
        <v>45863</v>
      </c>
      <c r="D473" s="12" t="s">
        <v>515</v>
      </c>
      <c r="E473" s="13">
        <v>45863</v>
      </c>
      <c r="F473" s="15">
        <v>256779416007</v>
      </c>
      <c r="G473" s="12" t="s">
        <v>11</v>
      </c>
      <c r="H473" s="14">
        <v>421.15</v>
      </c>
      <c r="I473" s="12" t="s">
        <v>59</v>
      </c>
      <c r="J473" s="14">
        <v>36219.18</v>
      </c>
      <c r="K473" s="12" t="s">
        <v>847</v>
      </c>
    </row>
    <row r="474" spans="1:11" x14ac:dyDescent="0.35">
      <c r="A474" s="12" t="s">
        <v>511</v>
      </c>
      <c r="B474" s="15">
        <v>2025</v>
      </c>
      <c r="C474" s="13">
        <v>45730</v>
      </c>
      <c r="D474" s="12" t="s">
        <v>515</v>
      </c>
      <c r="E474" s="13">
        <v>45730</v>
      </c>
      <c r="F474" s="15">
        <v>246779411407</v>
      </c>
      <c r="G474" s="12" t="s">
        <v>11</v>
      </c>
      <c r="H474" s="14">
        <v>57.23</v>
      </c>
      <c r="I474" s="12" t="s">
        <v>59</v>
      </c>
      <c r="J474" s="14">
        <v>4961.34</v>
      </c>
      <c r="K474" s="12" t="s">
        <v>848</v>
      </c>
    </row>
    <row r="475" spans="1:11" x14ac:dyDescent="0.35">
      <c r="A475" s="12" t="s">
        <v>511</v>
      </c>
      <c r="B475" s="15">
        <v>2025</v>
      </c>
      <c r="C475" s="13">
        <v>45730</v>
      </c>
      <c r="D475" s="12" t="s">
        <v>515</v>
      </c>
      <c r="E475" s="13">
        <v>45730</v>
      </c>
      <c r="F475" s="15">
        <v>246779411411</v>
      </c>
      <c r="G475" s="12" t="s">
        <v>11</v>
      </c>
      <c r="H475" s="14">
        <v>45.79</v>
      </c>
      <c r="I475" s="12" t="s">
        <v>59</v>
      </c>
      <c r="J475" s="14">
        <v>3969.59</v>
      </c>
      <c r="K475" s="12" t="s">
        <v>848</v>
      </c>
    </row>
    <row r="476" spans="1:11" x14ac:dyDescent="0.35">
      <c r="A476" s="12" t="s">
        <v>511</v>
      </c>
      <c r="B476" s="15">
        <v>2025</v>
      </c>
      <c r="C476" s="13">
        <v>45730</v>
      </c>
      <c r="D476" s="12" t="s">
        <v>515</v>
      </c>
      <c r="E476" s="13">
        <v>45730</v>
      </c>
      <c r="F476" s="15">
        <v>246779411412</v>
      </c>
      <c r="G476" s="12" t="s">
        <v>11</v>
      </c>
      <c r="H476" s="14">
        <v>20.03</v>
      </c>
      <c r="I476" s="12" t="s">
        <v>59</v>
      </c>
      <c r="J476" s="14">
        <v>1736.43</v>
      </c>
      <c r="K476" s="12" t="s">
        <v>848</v>
      </c>
    </row>
    <row r="477" spans="1:11" x14ac:dyDescent="0.35">
      <c r="A477" s="12" t="s">
        <v>511</v>
      </c>
      <c r="B477" s="15">
        <v>2025</v>
      </c>
      <c r="C477" s="13">
        <v>45730</v>
      </c>
      <c r="D477" s="12" t="s">
        <v>515</v>
      </c>
      <c r="E477" s="13">
        <v>45730</v>
      </c>
      <c r="F477" s="15">
        <v>246779411413</v>
      </c>
      <c r="G477" s="12" t="s">
        <v>11</v>
      </c>
      <c r="H477" s="14">
        <v>40.06</v>
      </c>
      <c r="I477" s="12" t="s">
        <v>59</v>
      </c>
      <c r="J477" s="14">
        <v>3472.85</v>
      </c>
      <c r="K477" s="12" t="s">
        <v>848</v>
      </c>
    </row>
    <row r="478" spans="1:11" x14ac:dyDescent="0.35">
      <c r="A478" s="12" t="s">
        <v>511</v>
      </c>
      <c r="B478" s="15">
        <v>2025</v>
      </c>
      <c r="C478" s="13">
        <v>45730</v>
      </c>
      <c r="D478" s="12" t="s">
        <v>515</v>
      </c>
      <c r="E478" s="13">
        <v>45730</v>
      </c>
      <c r="F478" s="15">
        <v>246779411415</v>
      </c>
      <c r="G478" s="12" t="s">
        <v>11</v>
      </c>
      <c r="H478" s="14">
        <v>22.89</v>
      </c>
      <c r="I478" s="12" t="s">
        <v>59</v>
      </c>
      <c r="J478" s="14">
        <v>1984.36</v>
      </c>
      <c r="K478" s="12" t="s">
        <v>848</v>
      </c>
    </row>
    <row r="479" spans="1:11" x14ac:dyDescent="0.35">
      <c r="A479" s="12" t="s">
        <v>511</v>
      </c>
      <c r="B479" s="15">
        <v>2025</v>
      </c>
      <c r="C479" s="13">
        <v>45730</v>
      </c>
      <c r="D479" s="12" t="s">
        <v>515</v>
      </c>
      <c r="E479" s="13">
        <v>45730</v>
      </c>
      <c r="F479" s="15">
        <v>246779411419</v>
      </c>
      <c r="G479" s="12" t="s">
        <v>11</v>
      </c>
      <c r="H479" s="14">
        <v>23.35</v>
      </c>
      <c r="I479" s="12" t="s">
        <v>59</v>
      </c>
      <c r="J479" s="14">
        <v>2024.24</v>
      </c>
      <c r="K479" s="12" t="s">
        <v>848</v>
      </c>
    </row>
    <row r="480" spans="1:11" x14ac:dyDescent="0.35">
      <c r="A480" s="12" t="s">
        <v>511</v>
      </c>
      <c r="B480" s="15">
        <v>2025</v>
      </c>
      <c r="C480" s="13">
        <v>45730</v>
      </c>
      <c r="D480" s="12" t="s">
        <v>515</v>
      </c>
      <c r="E480" s="13">
        <v>45730</v>
      </c>
      <c r="F480" s="15">
        <v>246779412207</v>
      </c>
      <c r="G480" s="12" t="s">
        <v>11</v>
      </c>
      <c r="H480" s="14">
        <v>312.5</v>
      </c>
      <c r="I480" s="12" t="s">
        <v>59</v>
      </c>
      <c r="J480" s="14">
        <v>27091.02</v>
      </c>
      <c r="K480" s="12" t="s">
        <v>848</v>
      </c>
    </row>
    <row r="481" spans="1:11" x14ac:dyDescent="0.35">
      <c r="A481" s="12" t="s">
        <v>511</v>
      </c>
      <c r="B481" s="15">
        <v>2025</v>
      </c>
      <c r="C481" s="13">
        <v>45730</v>
      </c>
      <c r="D481" s="12" t="s">
        <v>515</v>
      </c>
      <c r="E481" s="13">
        <v>45730</v>
      </c>
      <c r="F481" s="15">
        <v>246779412208</v>
      </c>
      <c r="G481" s="12" t="s">
        <v>11</v>
      </c>
      <c r="H481" s="14">
        <v>23.35</v>
      </c>
      <c r="I481" s="12" t="s">
        <v>59</v>
      </c>
      <c r="J481" s="14">
        <v>2024.24</v>
      </c>
      <c r="K481" s="12" t="s">
        <v>848</v>
      </c>
    </row>
    <row r="482" spans="1:11" x14ac:dyDescent="0.35">
      <c r="A482" s="12" t="s">
        <v>511</v>
      </c>
      <c r="B482" s="15">
        <v>2025</v>
      </c>
      <c r="C482" s="13">
        <v>45730</v>
      </c>
      <c r="D482" s="12" t="s">
        <v>515</v>
      </c>
      <c r="E482" s="13">
        <v>45730</v>
      </c>
      <c r="F482" s="15">
        <v>246779412197</v>
      </c>
      <c r="G482" s="12" t="s">
        <v>11</v>
      </c>
      <c r="H482" s="14">
        <v>40.06</v>
      </c>
      <c r="I482" s="12" t="s">
        <v>59</v>
      </c>
      <c r="J482" s="14">
        <v>3472.85</v>
      </c>
      <c r="K482" s="12" t="s">
        <v>848</v>
      </c>
    </row>
    <row r="483" spans="1:11" x14ac:dyDescent="0.35">
      <c r="A483" s="12" t="s">
        <v>511</v>
      </c>
      <c r="B483" s="15">
        <v>2025</v>
      </c>
      <c r="C483" s="13">
        <v>45730</v>
      </c>
      <c r="D483" s="12" t="s">
        <v>515</v>
      </c>
      <c r="E483" s="13">
        <v>45730</v>
      </c>
      <c r="F483" s="15">
        <v>246779412198</v>
      </c>
      <c r="G483" s="12" t="s">
        <v>11</v>
      </c>
      <c r="H483" s="14">
        <v>249.55</v>
      </c>
      <c r="I483" s="12" t="s">
        <v>59</v>
      </c>
      <c r="J483" s="14">
        <v>21633.8</v>
      </c>
      <c r="K483" s="12" t="s">
        <v>848</v>
      </c>
    </row>
    <row r="484" spans="1:11" x14ac:dyDescent="0.35">
      <c r="A484" s="12" t="s">
        <v>511</v>
      </c>
      <c r="B484" s="15">
        <v>2025</v>
      </c>
      <c r="C484" s="13">
        <v>45730</v>
      </c>
      <c r="D484" s="12" t="s">
        <v>515</v>
      </c>
      <c r="E484" s="13">
        <v>45730</v>
      </c>
      <c r="F484" s="15">
        <v>246779412199</v>
      </c>
      <c r="G484" s="12" t="s">
        <v>11</v>
      </c>
      <c r="H484" s="14">
        <v>40.06</v>
      </c>
      <c r="I484" s="12" t="s">
        <v>59</v>
      </c>
      <c r="J484" s="14">
        <v>3472.85</v>
      </c>
      <c r="K484" s="12" t="s">
        <v>848</v>
      </c>
    </row>
    <row r="485" spans="1:11" x14ac:dyDescent="0.35">
      <c r="A485" s="12" t="s">
        <v>511</v>
      </c>
      <c r="B485" s="15">
        <v>2025</v>
      </c>
      <c r="C485" s="13">
        <v>45730</v>
      </c>
      <c r="D485" s="12" t="s">
        <v>515</v>
      </c>
      <c r="E485" s="13">
        <v>45730</v>
      </c>
      <c r="F485" s="15">
        <v>246779412200</v>
      </c>
      <c r="G485" s="12" t="s">
        <v>11</v>
      </c>
      <c r="H485" s="14">
        <v>45.79</v>
      </c>
      <c r="I485" s="12" t="s">
        <v>59</v>
      </c>
      <c r="J485" s="14">
        <v>3969.59</v>
      </c>
      <c r="K485" s="12" t="s">
        <v>848</v>
      </c>
    </row>
    <row r="486" spans="1:11" x14ac:dyDescent="0.35">
      <c r="A486" s="12" t="s">
        <v>511</v>
      </c>
      <c r="B486" s="15">
        <v>2025</v>
      </c>
      <c r="C486" s="13">
        <v>45730</v>
      </c>
      <c r="D486" s="12" t="s">
        <v>515</v>
      </c>
      <c r="E486" s="13">
        <v>45730</v>
      </c>
      <c r="F486" s="15">
        <v>246779411408</v>
      </c>
      <c r="G486" s="12" t="s">
        <v>11</v>
      </c>
      <c r="H486" s="14">
        <v>40.06</v>
      </c>
      <c r="I486" s="12" t="s">
        <v>59</v>
      </c>
      <c r="J486" s="14">
        <v>3472.85</v>
      </c>
      <c r="K486" s="12" t="s">
        <v>848</v>
      </c>
    </row>
    <row r="487" spans="1:11" x14ac:dyDescent="0.35">
      <c r="A487" s="12" t="s">
        <v>511</v>
      </c>
      <c r="B487" s="15">
        <v>2025</v>
      </c>
      <c r="C487" s="13">
        <v>45730</v>
      </c>
      <c r="D487" s="12" t="s">
        <v>515</v>
      </c>
      <c r="E487" s="13">
        <v>45730</v>
      </c>
      <c r="F487" s="15">
        <v>246779411409</v>
      </c>
      <c r="G487" s="12" t="s">
        <v>11</v>
      </c>
      <c r="H487" s="14">
        <v>249.55</v>
      </c>
      <c r="I487" s="12" t="s">
        <v>59</v>
      </c>
      <c r="J487" s="14">
        <v>21633.8</v>
      </c>
      <c r="K487" s="12" t="s">
        <v>848</v>
      </c>
    </row>
    <row r="488" spans="1:11" x14ac:dyDescent="0.35">
      <c r="A488" s="12" t="s">
        <v>511</v>
      </c>
      <c r="B488" s="15">
        <v>2025</v>
      </c>
      <c r="C488" s="13">
        <v>45730</v>
      </c>
      <c r="D488" s="12" t="s">
        <v>515</v>
      </c>
      <c r="E488" s="13">
        <v>45730</v>
      </c>
      <c r="F488" s="15">
        <v>246779411410</v>
      </c>
      <c r="G488" s="12" t="s">
        <v>11</v>
      </c>
      <c r="H488" s="14">
        <v>40.06</v>
      </c>
      <c r="I488" s="12" t="s">
        <v>59</v>
      </c>
      <c r="J488" s="14">
        <v>3472.85</v>
      </c>
      <c r="K488" s="12" t="s">
        <v>848</v>
      </c>
    </row>
    <row r="489" spans="1:11" x14ac:dyDescent="0.35">
      <c r="A489" s="12" t="s">
        <v>511</v>
      </c>
      <c r="B489" s="15">
        <v>2025</v>
      </c>
      <c r="C489" s="13">
        <v>45730</v>
      </c>
      <c r="D489" s="12" t="s">
        <v>515</v>
      </c>
      <c r="E489" s="13">
        <v>45730</v>
      </c>
      <c r="F489" s="15">
        <v>246779411414</v>
      </c>
      <c r="G489" s="12" t="s">
        <v>11</v>
      </c>
      <c r="H489" s="14">
        <v>28.62</v>
      </c>
      <c r="I489" s="12" t="s">
        <v>59</v>
      </c>
      <c r="J489" s="14">
        <v>2481.1</v>
      </c>
      <c r="K489" s="12" t="s">
        <v>848</v>
      </c>
    </row>
    <row r="490" spans="1:11" x14ac:dyDescent="0.35">
      <c r="A490" s="12" t="s">
        <v>511</v>
      </c>
      <c r="B490" s="15">
        <v>2025</v>
      </c>
      <c r="C490" s="13">
        <v>45730</v>
      </c>
      <c r="D490" s="12" t="s">
        <v>515</v>
      </c>
      <c r="E490" s="13">
        <v>45730</v>
      </c>
      <c r="F490" s="15">
        <v>246779411416</v>
      </c>
      <c r="G490" s="12" t="s">
        <v>11</v>
      </c>
      <c r="H490" s="14">
        <v>114.46</v>
      </c>
      <c r="I490" s="12" t="s">
        <v>59</v>
      </c>
      <c r="J490" s="14">
        <v>9922.68</v>
      </c>
      <c r="K490" s="12" t="s">
        <v>848</v>
      </c>
    </row>
    <row r="491" spans="1:11" x14ac:dyDescent="0.35">
      <c r="A491" s="12" t="s">
        <v>511</v>
      </c>
      <c r="B491" s="15">
        <v>2025</v>
      </c>
      <c r="C491" s="13">
        <v>45730</v>
      </c>
      <c r="D491" s="12" t="s">
        <v>515</v>
      </c>
      <c r="E491" s="13">
        <v>45730</v>
      </c>
      <c r="F491" s="15">
        <v>246779411417</v>
      </c>
      <c r="G491" s="12" t="s">
        <v>11</v>
      </c>
      <c r="H491" s="14">
        <v>68.680000000000007</v>
      </c>
      <c r="I491" s="12" t="s">
        <v>59</v>
      </c>
      <c r="J491" s="14">
        <v>5953.96</v>
      </c>
      <c r="K491" s="12" t="s">
        <v>848</v>
      </c>
    </row>
    <row r="492" spans="1:11" x14ac:dyDescent="0.35">
      <c r="A492" s="12" t="s">
        <v>511</v>
      </c>
      <c r="B492" s="15">
        <v>2025</v>
      </c>
      <c r="C492" s="13">
        <v>45730</v>
      </c>
      <c r="D492" s="12" t="s">
        <v>515</v>
      </c>
      <c r="E492" s="13">
        <v>45730</v>
      </c>
      <c r="F492" s="15">
        <v>246779411418</v>
      </c>
      <c r="G492" s="12" t="s">
        <v>11</v>
      </c>
      <c r="H492" s="14">
        <v>312.5</v>
      </c>
      <c r="I492" s="12" t="s">
        <v>59</v>
      </c>
      <c r="J492" s="14">
        <v>27091.02</v>
      </c>
      <c r="K492" s="12" t="s">
        <v>848</v>
      </c>
    </row>
    <row r="493" spans="1:11" x14ac:dyDescent="0.35">
      <c r="A493" s="12" t="s">
        <v>511</v>
      </c>
      <c r="B493" s="15">
        <v>2025</v>
      </c>
      <c r="C493" s="13">
        <v>45730</v>
      </c>
      <c r="D493" s="12" t="s">
        <v>515</v>
      </c>
      <c r="E493" s="13">
        <v>45730</v>
      </c>
      <c r="F493" s="15">
        <v>246779412202</v>
      </c>
      <c r="G493" s="12" t="s">
        <v>11</v>
      </c>
      <c r="H493" s="14">
        <v>40.06</v>
      </c>
      <c r="I493" s="12" t="s">
        <v>59</v>
      </c>
      <c r="J493" s="14">
        <v>3472.85</v>
      </c>
      <c r="K493" s="12" t="s">
        <v>848</v>
      </c>
    </row>
    <row r="494" spans="1:11" x14ac:dyDescent="0.35">
      <c r="A494" s="12" t="s">
        <v>511</v>
      </c>
      <c r="B494" s="15">
        <v>2025</v>
      </c>
      <c r="C494" s="13">
        <v>45730</v>
      </c>
      <c r="D494" s="12" t="s">
        <v>515</v>
      </c>
      <c r="E494" s="13">
        <v>45730</v>
      </c>
      <c r="F494" s="15">
        <v>246779412203</v>
      </c>
      <c r="G494" s="12" t="s">
        <v>11</v>
      </c>
      <c r="H494" s="14">
        <v>28.62</v>
      </c>
      <c r="I494" s="12" t="s">
        <v>59</v>
      </c>
      <c r="J494" s="14">
        <v>2481.1</v>
      </c>
      <c r="K494" s="12" t="s">
        <v>848</v>
      </c>
    </row>
    <row r="495" spans="1:11" x14ac:dyDescent="0.35">
      <c r="A495" s="12" t="s">
        <v>511</v>
      </c>
      <c r="B495" s="15">
        <v>2025</v>
      </c>
      <c r="C495" s="13">
        <v>45730</v>
      </c>
      <c r="D495" s="12" t="s">
        <v>515</v>
      </c>
      <c r="E495" s="13">
        <v>45730</v>
      </c>
      <c r="F495" s="15">
        <v>246779412204</v>
      </c>
      <c r="G495" s="12" t="s">
        <v>11</v>
      </c>
      <c r="H495" s="14">
        <v>22.89</v>
      </c>
      <c r="I495" s="12" t="s">
        <v>59</v>
      </c>
      <c r="J495" s="14">
        <v>1984.36</v>
      </c>
      <c r="K495" s="12" t="s">
        <v>848</v>
      </c>
    </row>
    <row r="496" spans="1:11" x14ac:dyDescent="0.35">
      <c r="A496" s="12" t="s">
        <v>511</v>
      </c>
      <c r="B496" s="15">
        <v>2025</v>
      </c>
      <c r="C496" s="13">
        <v>45730</v>
      </c>
      <c r="D496" s="12" t="s">
        <v>515</v>
      </c>
      <c r="E496" s="13">
        <v>45730</v>
      </c>
      <c r="F496" s="15">
        <v>246779412205</v>
      </c>
      <c r="G496" s="12" t="s">
        <v>11</v>
      </c>
      <c r="H496" s="14">
        <v>114.46</v>
      </c>
      <c r="I496" s="12" t="s">
        <v>59</v>
      </c>
      <c r="J496" s="14">
        <v>9922.68</v>
      </c>
      <c r="K496" s="12" t="s">
        <v>848</v>
      </c>
    </row>
    <row r="497" spans="1:11" x14ac:dyDescent="0.35">
      <c r="A497" s="12" t="s">
        <v>511</v>
      </c>
      <c r="B497" s="15">
        <v>2025</v>
      </c>
      <c r="C497" s="13">
        <v>45730</v>
      </c>
      <c r="D497" s="12" t="s">
        <v>515</v>
      </c>
      <c r="E497" s="13">
        <v>45730</v>
      </c>
      <c r="F497" s="15">
        <v>246779412206</v>
      </c>
      <c r="G497" s="12" t="s">
        <v>11</v>
      </c>
      <c r="H497" s="14">
        <v>68.680000000000007</v>
      </c>
      <c r="I497" s="12" t="s">
        <v>59</v>
      </c>
      <c r="J497" s="14">
        <v>5953.96</v>
      </c>
      <c r="K497" s="12" t="s">
        <v>848</v>
      </c>
    </row>
    <row r="498" spans="1:11" x14ac:dyDescent="0.35">
      <c r="A498" s="12" t="s">
        <v>511</v>
      </c>
      <c r="B498" s="15">
        <v>2025</v>
      </c>
      <c r="C498" s="13">
        <v>45730</v>
      </c>
      <c r="D498" s="12" t="s">
        <v>515</v>
      </c>
      <c r="E498" s="13">
        <v>45730</v>
      </c>
      <c r="F498" s="15">
        <v>246779412196</v>
      </c>
      <c r="G498" s="12" t="s">
        <v>11</v>
      </c>
      <c r="H498" s="14">
        <v>57.23</v>
      </c>
      <c r="I498" s="12" t="s">
        <v>59</v>
      </c>
      <c r="J498" s="14">
        <v>4961.34</v>
      </c>
      <c r="K498" s="12" t="s">
        <v>848</v>
      </c>
    </row>
    <row r="499" spans="1:11" x14ac:dyDescent="0.35">
      <c r="A499" s="12" t="s">
        <v>511</v>
      </c>
      <c r="B499" s="15">
        <v>2025</v>
      </c>
      <c r="C499" s="13">
        <v>45730</v>
      </c>
      <c r="D499" s="12" t="s">
        <v>515</v>
      </c>
      <c r="E499" s="13">
        <v>45730</v>
      </c>
      <c r="F499" s="15">
        <v>246779412201</v>
      </c>
      <c r="G499" s="12" t="s">
        <v>11</v>
      </c>
      <c r="H499" s="14">
        <v>20.03</v>
      </c>
      <c r="I499" s="12" t="s">
        <v>59</v>
      </c>
      <c r="J499" s="14">
        <v>1736.43</v>
      </c>
      <c r="K499" s="12" t="s">
        <v>848</v>
      </c>
    </row>
    <row r="500" spans="1:11" x14ac:dyDescent="0.35">
      <c r="A500" s="12" t="s">
        <v>511</v>
      </c>
      <c r="B500" s="15">
        <v>2025</v>
      </c>
      <c r="C500" s="13">
        <v>45848</v>
      </c>
      <c r="D500" s="12" t="s">
        <v>515</v>
      </c>
      <c r="E500" s="13">
        <v>45848</v>
      </c>
      <c r="F500" s="15">
        <v>256779415289</v>
      </c>
      <c r="G500" s="12" t="s">
        <v>11</v>
      </c>
      <c r="H500" s="14">
        <v>250</v>
      </c>
      <c r="I500" s="12" t="s">
        <v>59</v>
      </c>
      <c r="J500" s="14">
        <v>21500.17</v>
      </c>
      <c r="K500" s="12" t="s">
        <v>845</v>
      </c>
    </row>
    <row r="501" spans="1:11" x14ac:dyDescent="0.35">
      <c r="A501" s="12" t="s">
        <v>511</v>
      </c>
      <c r="B501" s="15">
        <v>2025</v>
      </c>
      <c r="C501" s="13">
        <v>45848</v>
      </c>
      <c r="D501" s="12" t="s">
        <v>515</v>
      </c>
      <c r="E501" s="13">
        <v>45848</v>
      </c>
      <c r="F501" s="15">
        <v>256779415290</v>
      </c>
      <c r="G501" s="12" t="s">
        <v>11</v>
      </c>
      <c r="H501" s="14">
        <v>24</v>
      </c>
      <c r="I501" s="12" t="s">
        <v>59</v>
      </c>
      <c r="J501" s="14">
        <v>2064.02</v>
      </c>
      <c r="K501" s="12" t="s">
        <v>590</v>
      </c>
    </row>
    <row r="502" spans="1:11" x14ac:dyDescent="0.35">
      <c r="A502" s="12" t="s">
        <v>511</v>
      </c>
      <c r="B502" s="15">
        <v>2025</v>
      </c>
      <c r="C502" s="13">
        <v>45848</v>
      </c>
      <c r="D502" s="12" t="s">
        <v>515</v>
      </c>
      <c r="E502" s="13">
        <v>45848</v>
      </c>
      <c r="F502" s="15">
        <v>256779415291</v>
      </c>
      <c r="G502" s="12" t="s">
        <v>11</v>
      </c>
      <c r="H502" s="14">
        <v>24</v>
      </c>
      <c r="I502" s="12" t="s">
        <v>59</v>
      </c>
      <c r="J502" s="14">
        <v>2064.02</v>
      </c>
      <c r="K502" s="12" t="s">
        <v>837</v>
      </c>
    </row>
    <row r="503" spans="1:11" x14ac:dyDescent="0.35">
      <c r="A503" s="12" t="s">
        <v>511</v>
      </c>
      <c r="B503" s="15">
        <v>2025</v>
      </c>
      <c r="C503" s="13">
        <v>45848</v>
      </c>
      <c r="D503" s="12" t="s">
        <v>515</v>
      </c>
      <c r="E503" s="13">
        <v>45848</v>
      </c>
      <c r="F503" s="15">
        <v>256779415292</v>
      </c>
      <c r="G503" s="12" t="s">
        <v>11</v>
      </c>
      <c r="H503" s="14">
        <v>24</v>
      </c>
      <c r="I503" s="12" t="s">
        <v>59</v>
      </c>
      <c r="J503" s="14">
        <v>2064.02</v>
      </c>
      <c r="K503" s="12" t="s">
        <v>837</v>
      </c>
    </row>
    <row r="504" spans="1:11" x14ac:dyDescent="0.35">
      <c r="A504" s="12" t="s">
        <v>511</v>
      </c>
      <c r="B504" s="15">
        <v>2025</v>
      </c>
      <c r="C504" s="13">
        <v>45848</v>
      </c>
      <c r="D504" s="12" t="s">
        <v>515</v>
      </c>
      <c r="E504" s="13">
        <v>45848</v>
      </c>
      <c r="F504" s="15">
        <v>256779415293</v>
      </c>
      <c r="G504" s="12" t="s">
        <v>11</v>
      </c>
      <c r="H504" s="14">
        <v>24</v>
      </c>
      <c r="I504" s="12" t="s">
        <v>59</v>
      </c>
      <c r="J504" s="14">
        <v>2064.02</v>
      </c>
      <c r="K504" s="12" t="s">
        <v>837</v>
      </c>
    </row>
    <row r="505" spans="1:11" x14ac:dyDescent="0.35">
      <c r="A505" s="12" t="s">
        <v>511</v>
      </c>
      <c r="B505" s="15">
        <v>2025</v>
      </c>
      <c r="C505" s="13">
        <v>45848</v>
      </c>
      <c r="D505" s="12" t="s">
        <v>515</v>
      </c>
      <c r="E505" s="13">
        <v>45848</v>
      </c>
      <c r="F505" s="15">
        <v>256779415294</v>
      </c>
      <c r="G505" s="12" t="s">
        <v>11</v>
      </c>
      <c r="H505" s="14">
        <v>24</v>
      </c>
      <c r="I505" s="12" t="s">
        <v>59</v>
      </c>
      <c r="J505" s="14">
        <v>2064.02</v>
      </c>
      <c r="K505" s="12" t="s">
        <v>837</v>
      </c>
    </row>
    <row r="506" spans="1:11" x14ac:dyDescent="0.35">
      <c r="A506" s="12" t="s">
        <v>511</v>
      </c>
      <c r="B506" s="15">
        <v>2025</v>
      </c>
      <c r="C506" s="13">
        <v>45848</v>
      </c>
      <c r="D506" s="12" t="s">
        <v>515</v>
      </c>
      <c r="E506" s="13">
        <v>45848</v>
      </c>
      <c r="F506" s="15">
        <v>256779415295</v>
      </c>
      <c r="G506" s="12" t="s">
        <v>11</v>
      </c>
      <c r="H506" s="14">
        <v>24</v>
      </c>
      <c r="I506" s="12" t="s">
        <v>59</v>
      </c>
      <c r="J506" s="14">
        <v>2064.02</v>
      </c>
      <c r="K506" s="12" t="s">
        <v>837</v>
      </c>
    </row>
    <row r="507" spans="1:11" x14ac:dyDescent="0.35">
      <c r="A507" s="12" t="s">
        <v>511</v>
      </c>
      <c r="B507" s="15">
        <v>2025</v>
      </c>
      <c r="C507" s="13">
        <v>45848</v>
      </c>
      <c r="D507" s="12" t="s">
        <v>515</v>
      </c>
      <c r="E507" s="13">
        <v>45848</v>
      </c>
      <c r="F507" s="15">
        <v>256779415296</v>
      </c>
      <c r="G507" s="12" t="s">
        <v>11</v>
      </c>
      <c r="H507" s="14">
        <v>24</v>
      </c>
      <c r="I507" s="12" t="s">
        <v>59</v>
      </c>
      <c r="J507" s="14">
        <v>2064.02</v>
      </c>
      <c r="K507" s="12" t="s">
        <v>837</v>
      </c>
    </row>
    <row r="508" spans="1:11" x14ac:dyDescent="0.35">
      <c r="A508" s="12" t="s">
        <v>511</v>
      </c>
      <c r="B508" s="15">
        <v>2025</v>
      </c>
      <c r="C508" s="13">
        <v>45848</v>
      </c>
      <c r="D508" s="12" t="s">
        <v>515</v>
      </c>
      <c r="E508" s="13">
        <v>45848</v>
      </c>
      <c r="F508" s="15">
        <v>256779415297</v>
      </c>
      <c r="G508" s="12" t="s">
        <v>11</v>
      </c>
      <c r="H508" s="14">
        <v>24</v>
      </c>
      <c r="I508" s="12" t="s">
        <v>59</v>
      </c>
      <c r="J508" s="14">
        <v>2064.02</v>
      </c>
      <c r="K508" s="12" t="s">
        <v>837</v>
      </c>
    </row>
    <row r="509" spans="1:11" x14ac:dyDescent="0.35">
      <c r="A509" s="12" t="s">
        <v>511</v>
      </c>
      <c r="B509" s="15">
        <v>2025</v>
      </c>
      <c r="C509" s="13">
        <v>45848</v>
      </c>
      <c r="D509" s="12" t="s">
        <v>515</v>
      </c>
      <c r="E509" s="13">
        <v>45848</v>
      </c>
      <c r="F509" s="15">
        <v>256779415298</v>
      </c>
      <c r="G509" s="12" t="s">
        <v>11</v>
      </c>
      <c r="H509" s="14">
        <v>24</v>
      </c>
      <c r="I509" s="12" t="s">
        <v>59</v>
      </c>
      <c r="J509" s="14">
        <v>2064.02</v>
      </c>
      <c r="K509" s="12" t="s">
        <v>837</v>
      </c>
    </row>
    <row r="510" spans="1:11" x14ac:dyDescent="0.35">
      <c r="A510" s="12" t="s">
        <v>511</v>
      </c>
      <c r="B510" s="15">
        <v>2025</v>
      </c>
      <c r="C510" s="13">
        <v>45848</v>
      </c>
      <c r="D510" s="12" t="s">
        <v>515</v>
      </c>
      <c r="E510" s="13">
        <v>45848</v>
      </c>
      <c r="F510" s="15">
        <v>256779415299</v>
      </c>
      <c r="G510" s="12" t="s">
        <v>11</v>
      </c>
      <c r="H510" s="14">
        <v>24</v>
      </c>
      <c r="I510" s="12" t="s">
        <v>59</v>
      </c>
      <c r="J510" s="14">
        <v>2064.02</v>
      </c>
      <c r="K510" s="12" t="s">
        <v>837</v>
      </c>
    </row>
    <row r="511" spans="1:11" x14ac:dyDescent="0.35">
      <c r="A511" s="12" t="s">
        <v>511</v>
      </c>
      <c r="B511" s="15">
        <v>2025</v>
      </c>
      <c r="C511" s="13">
        <v>45848</v>
      </c>
      <c r="D511" s="12" t="s">
        <v>515</v>
      </c>
      <c r="E511" s="13">
        <v>45848</v>
      </c>
      <c r="F511" s="15">
        <v>256779415300</v>
      </c>
      <c r="G511" s="12" t="s">
        <v>11</v>
      </c>
      <c r="H511" s="14">
        <v>24</v>
      </c>
      <c r="I511" s="12" t="s">
        <v>59</v>
      </c>
      <c r="J511" s="14">
        <v>2064.02</v>
      </c>
      <c r="K511" s="12" t="s">
        <v>837</v>
      </c>
    </row>
    <row r="512" spans="1:11" x14ac:dyDescent="0.35">
      <c r="A512" s="12" t="s">
        <v>511</v>
      </c>
      <c r="B512" s="15">
        <v>2025</v>
      </c>
      <c r="C512" s="13">
        <v>45848</v>
      </c>
      <c r="D512" s="12" t="s">
        <v>515</v>
      </c>
      <c r="E512" s="13">
        <v>45848</v>
      </c>
      <c r="F512" s="15">
        <v>256779415301</v>
      </c>
      <c r="G512" s="12" t="s">
        <v>11</v>
      </c>
      <c r="H512" s="14">
        <v>30</v>
      </c>
      <c r="I512" s="12" t="s">
        <v>59</v>
      </c>
      <c r="J512" s="14">
        <v>2580.02</v>
      </c>
      <c r="K512" s="12" t="s">
        <v>588</v>
      </c>
    </row>
    <row r="513" spans="1:11" x14ac:dyDescent="0.35">
      <c r="A513" s="12" t="s">
        <v>511</v>
      </c>
      <c r="B513" s="15">
        <v>2025</v>
      </c>
      <c r="C513" s="13">
        <v>45848</v>
      </c>
      <c r="D513" s="12" t="s">
        <v>515</v>
      </c>
      <c r="E513" s="13">
        <v>45848</v>
      </c>
      <c r="F513" s="15">
        <v>256779415302</v>
      </c>
      <c r="G513" s="12" t="s">
        <v>11</v>
      </c>
      <c r="H513" s="14">
        <v>30</v>
      </c>
      <c r="I513" s="12" t="s">
        <v>59</v>
      </c>
      <c r="J513" s="14">
        <v>2580.02</v>
      </c>
      <c r="K513" s="12" t="s">
        <v>580</v>
      </c>
    </row>
    <row r="514" spans="1:11" x14ac:dyDescent="0.35">
      <c r="A514" s="12" t="s">
        <v>511</v>
      </c>
      <c r="B514" s="15">
        <v>2025</v>
      </c>
      <c r="C514" s="13">
        <v>45848</v>
      </c>
      <c r="D514" s="12" t="s">
        <v>515</v>
      </c>
      <c r="E514" s="13">
        <v>45848</v>
      </c>
      <c r="F514" s="15">
        <v>256779415309</v>
      </c>
      <c r="G514" s="12" t="s">
        <v>11</v>
      </c>
      <c r="H514" s="14">
        <v>30</v>
      </c>
      <c r="I514" s="12" t="s">
        <v>59</v>
      </c>
      <c r="J514" s="14">
        <v>2580.02</v>
      </c>
      <c r="K514" s="12" t="s">
        <v>844</v>
      </c>
    </row>
    <row r="515" spans="1:11" x14ac:dyDescent="0.35">
      <c r="A515" s="12" t="s">
        <v>511</v>
      </c>
      <c r="B515" s="15">
        <v>2025</v>
      </c>
      <c r="C515" s="13">
        <v>45848</v>
      </c>
      <c r="D515" s="12" t="s">
        <v>515</v>
      </c>
      <c r="E515" s="13">
        <v>45848</v>
      </c>
      <c r="F515" s="15">
        <v>256779415310</v>
      </c>
      <c r="G515" s="12" t="s">
        <v>11</v>
      </c>
      <c r="H515" s="14">
        <v>30</v>
      </c>
      <c r="I515" s="12" t="s">
        <v>59</v>
      </c>
      <c r="J515" s="14">
        <v>2580.02</v>
      </c>
      <c r="K515" s="12" t="s">
        <v>849</v>
      </c>
    </row>
    <row r="516" spans="1:11" x14ac:dyDescent="0.35">
      <c r="A516" s="12" t="s">
        <v>511</v>
      </c>
      <c r="B516" s="15">
        <v>2025</v>
      </c>
      <c r="C516" s="13">
        <v>45848</v>
      </c>
      <c r="D516" s="12" t="s">
        <v>515</v>
      </c>
      <c r="E516" s="13">
        <v>45848</v>
      </c>
      <c r="F516" s="15">
        <v>256779415311</v>
      </c>
      <c r="G516" s="12" t="s">
        <v>11</v>
      </c>
      <c r="H516" s="14">
        <v>77.48</v>
      </c>
      <c r="I516" s="12" t="s">
        <v>59</v>
      </c>
      <c r="J516" s="14">
        <v>6663.33</v>
      </c>
      <c r="K516" s="12" t="s">
        <v>585</v>
      </c>
    </row>
    <row r="517" spans="1:11" x14ac:dyDescent="0.35">
      <c r="A517" s="12" t="s">
        <v>511</v>
      </c>
      <c r="B517" s="15">
        <v>2025</v>
      </c>
      <c r="C517" s="13">
        <v>45848</v>
      </c>
      <c r="D517" s="12" t="s">
        <v>515</v>
      </c>
      <c r="E517" s="13">
        <v>45848</v>
      </c>
      <c r="F517" s="15">
        <v>256779415312</v>
      </c>
      <c r="G517" s="12" t="s">
        <v>11</v>
      </c>
      <c r="H517" s="14">
        <v>200</v>
      </c>
      <c r="I517" s="12" t="s">
        <v>59</v>
      </c>
      <c r="J517" s="14">
        <v>17200.13</v>
      </c>
      <c r="K517" s="12" t="s">
        <v>635</v>
      </c>
    </row>
    <row r="518" spans="1:11" x14ac:dyDescent="0.35">
      <c r="A518" s="12" t="s">
        <v>511</v>
      </c>
      <c r="B518" s="15">
        <v>2025</v>
      </c>
      <c r="C518" s="13">
        <v>45848</v>
      </c>
      <c r="D518" s="12" t="s">
        <v>515</v>
      </c>
      <c r="E518" s="13">
        <v>45848</v>
      </c>
      <c r="F518" s="15">
        <v>256779415313</v>
      </c>
      <c r="G518" s="12" t="s">
        <v>11</v>
      </c>
      <c r="H518" s="14">
        <v>60</v>
      </c>
      <c r="I518" s="12" t="s">
        <v>59</v>
      </c>
      <c r="J518" s="14">
        <v>5160.04</v>
      </c>
      <c r="K518" s="12" t="s">
        <v>850</v>
      </c>
    </row>
    <row r="519" spans="1:11" x14ac:dyDescent="0.35">
      <c r="A519" s="12" t="s">
        <v>511</v>
      </c>
      <c r="B519" s="15">
        <v>2025</v>
      </c>
      <c r="C519" s="13">
        <v>45848</v>
      </c>
      <c r="D519" s="12" t="s">
        <v>515</v>
      </c>
      <c r="E519" s="13">
        <v>45848</v>
      </c>
      <c r="F519" s="15">
        <v>256779415314</v>
      </c>
      <c r="G519" s="12" t="s">
        <v>11</v>
      </c>
      <c r="H519" s="14">
        <v>179.14</v>
      </c>
      <c r="I519" s="12" t="s">
        <v>59</v>
      </c>
      <c r="J519" s="14">
        <v>15406.16</v>
      </c>
      <c r="K519" s="12" t="s">
        <v>591</v>
      </c>
    </row>
    <row r="520" spans="1:11" x14ac:dyDescent="0.35">
      <c r="A520" s="12" t="s">
        <v>511</v>
      </c>
      <c r="B520" s="15">
        <v>2025</v>
      </c>
      <c r="C520" s="13">
        <v>45848</v>
      </c>
      <c r="D520" s="12" t="s">
        <v>515</v>
      </c>
      <c r="E520" s="13">
        <v>45848</v>
      </c>
      <c r="F520" s="15">
        <v>256779415315</v>
      </c>
      <c r="G520" s="12" t="s">
        <v>11</v>
      </c>
      <c r="H520" s="14">
        <v>120</v>
      </c>
      <c r="I520" s="12" t="s">
        <v>59</v>
      </c>
      <c r="J520" s="14">
        <v>10320.08</v>
      </c>
      <c r="K520" s="12" t="s">
        <v>592</v>
      </c>
    </row>
    <row r="521" spans="1:11" x14ac:dyDescent="0.35">
      <c r="A521" s="12" t="s">
        <v>511</v>
      </c>
      <c r="B521" s="15">
        <v>2025</v>
      </c>
      <c r="C521" s="13">
        <v>45848</v>
      </c>
      <c r="D521" s="12" t="s">
        <v>515</v>
      </c>
      <c r="E521" s="13">
        <v>45848</v>
      </c>
      <c r="F521" s="15">
        <v>256779415316</v>
      </c>
      <c r="G521" s="12" t="s">
        <v>11</v>
      </c>
      <c r="H521" s="14">
        <v>60</v>
      </c>
      <c r="I521" s="12" t="s">
        <v>59</v>
      </c>
      <c r="J521" s="14">
        <v>5160.04</v>
      </c>
      <c r="K521" s="12" t="s">
        <v>593</v>
      </c>
    </row>
    <row r="522" spans="1:11" x14ac:dyDescent="0.35">
      <c r="A522" s="12" t="s">
        <v>511</v>
      </c>
      <c r="B522" s="15">
        <v>2025</v>
      </c>
      <c r="C522" s="13">
        <v>45848</v>
      </c>
      <c r="D522" s="12" t="s">
        <v>515</v>
      </c>
      <c r="E522" s="13">
        <v>45848</v>
      </c>
      <c r="F522" s="15">
        <v>256779415317</v>
      </c>
      <c r="G522" s="12" t="s">
        <v>11</v>
      </c>
      <c r="H522" s="14">
        <v>200</v>
      </c>
      <c r="I522" s="12" t="s">
        <v>59</v>
      </c>
      <c r="J522" s="14">
        <v>17200.13</v>
      </c>
      <c r="K522" s="12" t="s">
        <v>594</v>
      </c>
    </row>
    <row r="523" spans="1:11" x14ac:dyDescent="0.35">
      <c r="A523" s="12" t="s">
        <v>511</v>
      </c>
      <c r="B523" s="15">
        <v>2025</v>
      </c>
      <c r="C523" s="13">
        <v>45848</v>
      </c>
      <c r="D523" s="12" t="s">
        <v>515</v>
      </c>
      <c r="E523" s="13">
        <v>45848</v>
      </c>
      <c r="F523" s="15">
        <v>256779415318</v>
      </c>
      <c r="G523" s="12" t="s">
        <v>11</v>
      </c>
      <c r="H523" s="14">
        <v>254.65</v>
      </c>
      <c r="I523" s="12" t="s">
        <v>59</v>
      </c>
      <c r="J523" s="14">
        <v>21900.07</v>
      </c>
      <c r="K523" s="12" t="s">
        <v>597</v>
      </c>
    </row>
    <row r="524" spans="1:11" x14ac:dyDescent="0.35">
      <c r="A524" s="12" t="s">
        <v>511</v>
      </c>
      <c r="B524" s="15">
        <v>2025</v>
      </c>
      <c r="C524" s="13">
        <v>45848</v>
      </c>
      <c r="D524" s="12" t="s">
        <v>515</v>
      </c>
      <c r="E524" s="13">
        <v>45848</v>
      </c>
      <c r="F524" s="15">
        <v>256779415319</v>
      </c>
      <c r="G524" s="12" t="s">
        <v>11</v>
      </c>
      <c r="H524" s="14">
        <v>140.16999999999999</v>
      </c>
      <c r="I524" s="12" t="s">
        <v>59</v>
      </c>
      <c r="J524" s="14">
        <v>12054.71</v>
      </c>
      <c r="K524" s="12" t="s">
        <v>580</v>
      </c>
    </row>
    <row r="525" spans="1:11" x14ac:dyDescent="0.35">
      <c r="A525" s="12" t="s">
        <v>511</v>
      </c>
      <c r="B525" s="15">
        <v>2025</v>
      </c>
      <c r="C525" s="13">
        <v>45848</v>
      </c>
      <c r="D525" s="12" t="s">
        <v>515</v>
      </c>
      <c r="E525" s="13">
        <v>45848</v>
      </c>
      <c r="F525" s="15">
        <v>256779415320</v>
      </c>
      <c r="G525" s="12" t="s">
        <v>11</v>
      </c>
      <c r="H525" s="14">
        <v>12.5</v>
      </c>
      <c r="I525" s="12" t="s">
        <v>59</v>
      </c>
      <c r="J525" s="14">
        <v>1075.01</v>
      </c>
      <c r="K525" s="12" t="s">
        <v>585</v>
      </c>
    </row>
    <row r="526" spans="1:11" x14ac:dyDescent="0.35">
      <c r="A526" s="12" t="s">
        <v>511</v>
      </c>
      <c r="B526" s="15">
        <v>2025</v>
      </c>
      <c r="C526" s="13">
        <v>45848</v>
      </c>
      <c r="D526" s="12" t="s">
        <v>515</v>
      </c>
      <c r="E526" s="13">
        <v>45848</v>
      </c>
      <c r="F526" s="15">
        <v>256779415322</v>
      </c>
      <c r="G526" s="12" t="s">
        <v>11</v>
      </c>
      <c r="H526" s="14">
        <v>192</v>
      </c>
      <c r="I526" s="12" t="s">
        <v>59</v>
      </c>
      <c r="J526" s="14">
        <v>16512.13</v>
      </c>
      <c r="K526" s="12" t="s">
        <v>587</v>
      </c>
    </row>
    <row r="527" spans="1:11" x14ac:dyDescent="0.35">
      <c r="A527" s="12" t="s">
        <v>511</v>
      </c>
      <c r="B527" s="15">
        <v>2025</v>
      </c>
      <c r="C527" s="13">
        <v>45848</v>
      </c>
      <c r="D527" s="12" t="s">
        <v>515</v>
      </c>
      <c r="E527" s="13">
        <v>45848</v>
      </c>
      <c r="F527" s="15">
        <v>256779415323</v>
      </c>
      <c r="G527" s="12" t="s">
        <v>11</v>
      </c>
      <c r="H527" s="14">
        <v>211.75</v>
      </c>
      <c r="I527" s="12" t="s">
        <v>59</v>
      </c>
      <c r="J527" s="14">
        <v>18210.64</v>
      </c>
      <c r="K527" s="12" t="s">
        <v>589</v>
      </c>
    </row>
    <row r="528" spans="1:11" x14ac:dyDescent="0.35">
      <c r="A528" s="12" t="s">
        <v>511</v>
      </c>
      <c r="B528" s="15">
        <v>2025</v>
      </c>
      <c r="C528" s="13">
        <v>45848</v>
      </c>
      <c r="D528" s="12" t="s">
        <v>515</v>
      </c>
      <c r="E528" s="13">
        <v>45848</v>
      </c>
      <c r="F528" s="15">
        <v>256779415324</v>
      </c>
      <c r="G528" s="12" t="s">
        <v>11</v>
      </c>
      <c r="H528" s="14">
        <v>146.65</v>
      </c>
      <c r="I528" s="12" t="s">
        <v>59</v>
      </c>
      <c r="J528" s="14">
        <v>12612</v>
      </c>
      <c r="K528" s="12" t="s">
        <v>585</v>
      </c>
    </row>
    <row r="529" spans="1:11" x14ac:dyDescent="0.35">
      <c r="A529" s="12" t="s">
        <v>511</v>
      </c>
      <c r="B529" s="15">
        <v>2025</v>
      </c>
      <c r="C529" s="13">
        <v>45848</v>
      </c>
      <c r="D529" s="12" t="s">
        <v>515</v>
      </c>
      <c r="E529" s="13">
        <v>45848</v>
      </c>
      <c r="F529" s="15">
        <v>256779415325</v>
      </c>
      <c r="G529" s="12" t="s">
        <v>11</v>
      </c>
      <c r="H529" s="14">
        <v>192</v>
      </c>
      <c r="I529" s="12" t="s">
        <v>59</v>
      </c>
      <c r="J529" s="14">
        <v>16512.13</v>
      </c>
      <c r="K529" s="12" t="s">
        <v>590</v>
      </c>
    </row>
    <row r="530" spans="1:11" x14ac:dyDescent="0.35">
      <c r="A530" s="12" t="s">
        <v>511</v>
      </c>
      <c r="B530" s="15">
        <v>2025</v>
      </c>
      <c r="C530" s="13">
        <v>45848</v>
      </c>
      <c r="D530" s="12" t="s">
        <v>515</v>
      </c>
      <c r="E530" s="13">
        <v>45848</v>
      </c>
      <c r="F530" s="15">
        <v>256779415326</v>
      </c>
      <c r="G530" s="12" t="s">
        <v>11</v>
      </c>
      <c r="H530" s="14">
        <v>185.05</v>
      </c>
      <c r="I530" s="12" t="s">
        <v>59</v>
      </c>
      <c r="J530" s="14">
        <v>15914.42</v>
      </c>
      <c r="K530" s="12" t="s">
        <v>581</v>
      </c>
    </row>
    <row r="531" spans="1:11" x14ac:dyDescent="0.35">
      <c r="A531" s="12" t="s">
        <v>511</v>
      </c>
      <c r="B531" s="15">
        <v>2025</v>
      </c>
      <c r="C531" s="13">
        <v>45848</v>
      </c>
      <c r="D531" s="12" t="s">
        <v>515</v>
      </c>
      <c r="E531" s="13">
        <v>45848</v>
      </c>
      <c r="F531" s="15">
        <v>256779415327</v>
      </c>
      <c r="G531" s="12" t="s">
        <v>11</v>
      </c>
      <c r="H531" s="14">
        <v>20</v>
      </c>
      <c r="I531" s="12" t="s">
        <v>59</v>
      </c>
      <c r="J531" s="14">
        <v>1720.01</v>
      </c>
      <c r="K531" s="12" t="s">
        <v>580</v>
      </c>
    </row>
    <row r="532" spans="1:11" x14ac:dyDescent="0.35">
      <c r="A532" s="12" t="s">
        <v>511</v>
      </c>
      <c r="B532" s="15">
        <v>2025</v>
      </c>
      <c r="C532" s="13">
        <v>45848</v>
      </c>
      <c r="D532" s="12" t="s">
        <v>515</v>
      </c>
      <c r="E532" s="13">
        <v>45848</v>
      </c>
      <c r="F532" s="15">
        <v>256779415328</v>
      </c>
      <c r="G532" s="12" t="s">
        <v>11</v>
      </c>
      <c r="H532" s="14">
        <v>22.5</v>
      </c>
      <c r="I532" s="12" t="s">
        <v>59</v>
      </c>
      <c r="J532" s="14">
        <v>1935.02</v>
      </c>
      <c r="K532" s="12" t="s">
        <v>580</v>
      </c>
    </row>
    <row r="533" spans="1:11" x14ac:dyDescent="0.35">
      <c r="A533" s="12" t="s">
        <v>511</v>
      </c>
      <c r="B533" s="15">
        <v>2025</v>
      </c>
      <c r="C533" s="13">
        <v>45848</v>
      </c>
      <c r="D533" s="12" t="s">
        <v>515</v>
      </c>
      <c r="E533" s="13">
        <v>45848</v>
      </c>
      <c r="F533" s="15">
        <v>256779415329</v>
      </c>
      <c r="G533" s="12" t="s">
        <v>11</v>
      </c>
      <c r="H533" s="14">
        <v>27.5</v>
      </c>
      <c r="I533" s="12" t="s">
        <v>59</v>
      </c>
      <c r="J533" s="14">
        <v>2365.02</v>
      </c>
      <c r="K533" s="12" t="s">
        <v>580</v>
      </c>
    </row>
    <row r="534" spans="1:11" x14ac:dyDescent="0.35">
      <c r="A534" s="12" t="s">
        <v>511</v>
      </c>
      <c r="B534" s="15">
        <v>2025</v>
      </c>
      <c r="C534" s="13">
        <v>45848</v>
      </c>
      <c r="D534" s="12" t="s">
        <v>515</v>
      </c>
      <c r="E534" s="13">
        <v>45848</v>
      </c>
      <c r="F534" s="15">
        <v>256779415330</v>
      </c>
      <c r="G534" s="12" t="s">
        <v>11</v>
      </c>
      <c r="H534" s="14">
        <v>22.5</v>
      </c>
      <c r="I534" s="12" t="s">
        <v>59</v>
      </c>
      <c r="J534" s="14">
        <v>1935.02</v>
      </c>
      <c r="K534" s="12" t="s">
        <v>580</v>
      </c>
    </row>
    <row r="535" spans="1:11" x14ac:dyDescent="0.35">
      <c r="A535" s="12" t="s">
        <v>511</v>
      </c>
      <c r="B535" s="15">
        <v>2025</v>
      </c>
      <c r="C535" s="13">
        <v>45848</v>
      </c>
      <c r="D535" s="12" t="s">
        <v>515</v>
      </c>
      <c r="E535" s="13">
        <v>45848</v>
      </c>
      <c r="F535" s="15">
        <v>256779415331</v>
      </c>
      <c r="G535" s="12" t="s">
        <v>11</v>
      </c>
      <c r="H535" s="14">
        <v>22.5</v>
      </c>
      <c r="I535" s="12" t="s">
        <v>59</v>
      </c>
      <c r="J535" s="14">
        <v>1935.02</v>
      </c>
      <c r="K535" s="12" t="s">
        <v>580</v>
      </c>
    </row>
    <row r="536" spans="1:11" x14ac:dyDescent="0.35">
      <c r="A536" s="12" t="s">
        <v>511</v>
      </c>
      <c r="B536" s="15">
        <v>2025</v>
      </c>
      <c r="C536" s="13">
        <v>45848</v>
      </c>
      <c r="D536" s="12" t="s">
        <v>515</v>
      </c>
      <c r="E536" s="13">
        <v>45848</v>
      </c>
      <c r="F536" s="15">
        <v>256779415332</v>
      </c>
      <c r="G536" s="12" t="s">
        <v>11</v>
      </c>
      <c r="H536" s="14">
        <v>2.5</v>
      </c>
      <c r="I536" s="12" t="s">
        <v>59</v>
      </c>
      <c r="J536" s="14">
        <v>215</v>
      </c>
      <c r="K536" s="12" t="s">
        <v>580</v>
      </c>
    </row>
    <row r="537" spans="1:11" x14ac:dyDescent="0.35">
      <c r="A537" s="12" t="s">
        <v>511</v>
      </c>
      <c r="B537" s="15">
        <v>2025</v>
      </c>
      <c r="C537" s="13">
        <v>45848</v>
      </c>
      <c r="D537" s="12" t="s">
        <v>515</v>
      </c>
      <c r="E537" s="13">
        <v>45848</v>
      </c>
      <c r="F537" s="15">
        <v>256779415333</v>
      </c>
      <c r="G537" s="12" t="s">
        <v>11</v>
      </c>
      <c r="H537" s="14">
        <v>22.5</v>
      </c>
      <c r="I537" s="12" t="s">
        <v>59</v>
      </c>
      <c r="J537" s="14">
        <v>1935.02</v>
      </c>
      <c r="K537" s="12" t="s">
        <v>807</v>
      </c>
    </row>
    <row r="538" spans="1:11" x14ac:dyDescent="0.35">
      <c r="A538" s="12" t="s">
        <v>511</v>
      </c>
      <c r="B538" s="15">
        <v>2025</v>
      </c>
      <c r="C538" s="13">
        <v>45848</v>
      </c>
      <c r="D538" s="12" t="s">
        <v>515</v>
      </c>
      <c r="E538" s="13">
        <v>45848</v>
      </c>
      <c r="F538" s="15">
        <v>256779415334</v>
      </c>
      <c r="G538" s="12" t="s">
        <v>11</v>
      </c>
      <c r="H538" s="14">
        <v>22.5</v>
      </c>
      <c r="I538" s="12" t="s">
        <v>59</v>
      </c>
      <c r="J538" s="14">
        <v>1935.02</v>
      </c>
      <c r="K538" s="12" t="s">
        <v>807</v>
      </c>
    </row>
    <row r="539" spans="1:11" x14ac:dyDescent="0.35">
      <c r="A539" s="12" t="s">
        <v>511</v>
      </c>
      <c r="B539" s="15">
        <v>2025</v>
      </c>
      <c r="C539" s="13">
        <v>45848</v>
      </c>
      <c r="D539" s="12" t="s">
        <v>515</v>
      </c>
      <c r="E539" s="13">
        <v>45848</v>
      </c>
      <c r="F539" s="15">
        <v>256779415335</v>
      </c>
      <c r="G539" s="12" t="s">
        <v>11</v>
      </c>
      <c r="H539" s="14">
        <v>25</v>
      </c>
      <c r="I539" s="12" t="s">
        <v>59</v>
      </c>
      <c r="J539" s="14">
        <v>2150.02</v>
      </c>
      <c r="K539" s="12" t="s">
        <v>807</v>
      </c>
    </row>
    <row r="540" spans="1:11" x14ac:dyDescent="0.35">
      <c r="A540" s="12" t="s">
        <v>511</v>
      </c>
      <c r="B540" s="15">
        <v>2025</v>
      </c>
      <c r="C540" s="13">
        <v>45848</v>
      </c>
      <c r="D540" s="12" t="s">
        <v>515</v>
      </c>
      <c r="E540" s="13">
        <v>45848</v>
      </c>
      <c r="F540" s="15">
        <v>256779415337</v>
      </c>
      <c r="G540" s="12" t="s">
        <v>11</v>
      </c>
      <c r="H540" s="14">
        <v>17.5</v>
      </c>
      <c r="I540" s="12" t="s">
        <v>59</v>
      </c>
      <c r="J540" s="14">
        <v>1505.01</v>
      </c>
      <c r="K540" s="12" t="s">
        <v>807</v>
      </c>
    </row>
    <row r="541" spans="1:11" x14ac:dyDescent="0.35">
      <c r="A541" s="12" t="s">
        <v>511</v>
      </c>
      <c r="B541" s="15">
        <v>2025</v>
      </c>
      <c r="C541" s="13">
        <v>45848</v>
      </c>
      <c r="D541" s="12" t="s">
        <v>515</v>
      </c>
      <c r="E541" s="13">
        <v>45848</v>
      </c>
      <c r="F541" s="15">
        <v>256779415338</v>
      </c>
      <c r="G541" s="12" t="s">
        <v>11</v>
      </c>
      <c r="H541" s="14">
        <v>12.5</v>
      </c>
      <c r="I541" s="12" t="s">
        <v>59</v>
      </c>
      <c r="J541" s="14">
        <v>1075.01</v>
      </c>
      <c r="K541" s="12" t="s">
        <v>807</v>
      </c>
    </row>
    <row r="542" spans="1:11" x14ac:dyDescent="0.35">
      <c r="A542" s="12" t="s">
        <v>511</v>
      </c>
      <c r="B542" s="15">
        <v>2025</v>
      </c>
      <c r="C542" s="13">
        <v>45848</v>
      </c>
      <c r="D542" s="12" t="s">
        <v>515</v>
      </c>
      <c r="E542" s="13">
        <v>45848</v>
      </c>
      <c r="F542" s="15">
        <v>256779415340</v>
      </c>
      <c r="G542" s="12" t="s">
        <v>11</v>
      </c>
      <c r="H542" s="14">
        <v>25.84</v>
      </c>
      <c r="I542" s="12" t="s">
        <v>59</v>
      </c>
      <c r="J542" s="14">
        <v>2222.2600000000002</v>
      </c>
      <c r="K542" s="12" t="s">
        <v>807</v>
      </c>
    </row>
    <row r="543" spans="1:11" x14ac:dyDescent="0.35">
      <c r="A543" s="12" t="s">
        <v>511</v>
      </c>
      <c r="B543" s="15">
        <v>2025</v>
      </c>
      <c r="C543" s="13">
        <v>45848</v>
      </c>
      <c r="D543" s="12" t="s">
        <v>515</v>
      </c>
      <c r="E543" s="13">
        <v>45848</v>
      </c>
      <c r="F543" s="15">
        <v>256779415341</v>
      </c>
      <c r="G543" s="12" t="s">
        <v>11</v>
      </c>
      <c r="H543" s="14">
        <v>15</v>
      </c>
      <c r="I543" s="12" t="s">
        <v>59</v>
      </c>
      <c r="J543" s="14">
        <v>1290.01</v>
      </c>
      <c r="K543" s="12" t="s">
        <v>807</v>
      </c>
    </row>
    <row r="544" spans="1:11" x14ac:dyDescent="0.35">
      <c r="A544" s="12" t="s">
        <v>511</v>
      </c>
      <c r="B544" s="15">
        <v>2025</v>
      </c>
      <c r="C544" s="13">
        <v>45848</v>
      </c>
      <c r="D544" s="12" t="s">
        <v>515</v>
      </c>
      <c r="E544" s="13">
        <v>45848</v>
      </c>
      <c r="F544" s="15">
        <v>256779415342</v>
      </c>
      <c r="G544" s="12" t="s">
        <v>11</v>
      </c>
      <c r="H544" s="14">
        <v>2.5</v>
      </c>
      <c r="I544" s="12" t="s">
        <v>59</v>
      </c>
      <c r="J544" s="14">
        <v>215</v>
      </c>
      <c r="K544" s="12" t="s">
        <v>807</v>
      </c>
    </row>
    <row r="545" spans="1:11" x14ac:dyDescent="0.35">
      <c r="A545" s="12" t="s">
        <v>511</v>
      </c>
      <c r="B545" s="15">
        <v>2025</v>
      </c>
      <c r="C545" s="13">
        <v>45848</v>
      </c>
      <c r="D545" s="12" t="s">
        <v>515</v>
      </c>
      <c r="E545" s="13">
        <v>45848</v>
      </c>
      <c r="F545" s="15">
        <v>256779415343</v>
      </c>
      <c r="G545" s="12" t="s">
        <v>11</v>
      </c>
      <c r="H545" s="14">
        <v>1</v>
      </c>
      <c r="I545" s="12" t="s">
        <v>59</v>
      </c>
      <c r="J545" s="14">
        <v>86</v>
      </c>
      <c r="K545" s="12" t="s">
        <v>851</v>
      </c>
    </row>
    <row r="546" spans="1:11" x14ac:dyDescent="0.35">
      <c r="A546" s="12" t="s">
        <v>511</v>
      </c>
      <c r="B546" s="15">
        <v>2025</v>
      </c>
      <c r="C546" s="13">
        <v>45848</v>
      </c>
      <c r="D546" s="12" t="s">
        <v>515</v>
      </c>
      <c r="E546" s="13">
        <v>45848</v>
      </c>
      <c r="F546" s="15">
        <v>256779415344</v>
      </c>
      <c r="G546" s="12" t="s">
        <v>11</v>
      </c>
      <c r="H546" s="14">
        <v>25</v>
      </c>
      <c r="I546" s="12" t="s">
        <v>59</v>
      </c>
      <c r="J546" s="14">
        <v>2150.02</v>
      </c>
      <c r="K546" s="12" t="s">
        <v>806</v>
      </c>
    </row>
    <row r="547" spans="1:11" x14ac:dyDescent="0.35">
      <c r="A547" s="12" t="s">
        <v>511</v>
      </c>
      <c r="B547" s="15">
        <v>2025</v>
      </c>
      <c r="C547" s="13">
        <v>45848</v>
      </c>
      <c r="D547" s="12" t="s">
        <v>515</v>
      </c>
      <c r="E547" s="13">
        <v>45848</v>
      </c>
      <c r="F547" s="15">
        <v>256779415345</v>
      </c>
      <c r="G547" s="12" t="s">
        <v>11</v>
      </c>
      <c r="H547" s="14">
        <v>25</v>
      </c>
      <c r="I547" s="12" t="s">
        <v>59</v>
      </c>
      <c r="J547" s="14">
        <v>2150.02</v>
      </c>
      <c r="K547" s="12" t="s">
        <v>806</v>
      </c>
    </row>
    <row r="548" spans="1:11" x14ac:dyDescent="0.35">
      <c r="A548" s="12" t="s">
        <v>511</v>
      </c>
      <c r="B548" s="15">
        <v>2025</v>
      </c>
      <c r="C548" s="13">
        <v>45848</v>
      </c>
      <c r="D548" s="12" t="s">
        <v>515</v>
      </c>
      <c r="E548" s="13">
        <v>45848</v>
      </c>
      <c r="F548" s="15">
        <v>256779415346</v>
      </c>
      <c r="G548" s="12" t="s">
        <v>11</v>
      </c>
      <c r="H548" s="14">
        <v>17.5</v>
      </c>
      <c r="I548" s="12" t="s">
        <v>59</v>
      </c>
      <c r="J548" s="14">
        <v>1505.01</v>
      </c>
      <c r="K548" s="12" t="s">
        <v>806</v>
      </c>
    </row>
    <row r="549" spans="1:11" x14ac:dyDescent="0.35">
      <c r="A549" s="12" t="s">
        <v>511</v>
      </c>
      <c r="B549" s="15">
        <v>2025</v>
      </c>
      <c r="C549" s="13">
        <v>45848</v>
      </c>
      <c r="D549" s="12" t="s">
        <v>515</v>
      </c>
      <c r="E549" s="13">
        <v>45848</v>
      </c>
      <c r="F549" s="15">
        <v>256779415347</v>
      </c>
      <c r="G549" s="12" t="s">
        <v>11</v>
      </c>
      <c r="H549" s="14">
        <v>20</v>
      </c>
      <c r="I549" s="12" t="s">
        <v>59</v>
      </c>
      <c r="J549" s="14">
        <v>1720.01</v>
      </c>
      <c r="K549" s="12" t="s">
        <v>806</v>
      </c>
    </row>
    <row r="550" spans="1:11" x14ac:dyDescent="0.35">
      <c r="A550" s="12" t="s">
        <v>511</v>
      </c>
      <c r="B550" s="15">
        <v>2025</v>
      </c>
      <c r="C550" s="13">
        <v>45848</v>
      </c>
      <c r="D550" s="12" t="s">
        <v>515</v>
      </c>
      <c r="E550" s="13">
        <v>45848</v>
      </c>
      <c r="F550" s="15">
        <v>256779415348</v>
      </c>
      <c r="G550" s="12" t="s">
        <v>11</v>
      </c>
      <c r="H550" s="14">
        <v>7.5</v>
      </c>
      <c r="I550" s="12" t="s">
        <v>59</v>
      </c>
      <c r="J550" s="14">
        <v>645.01</v>
      </c>
      <c r="K550" s="12" t="s">
        <v>806</v>
      </c>
    </row>
    <row r="551" spans="1:11" x14ac:dyDescent="0.35">
      <c r="A551" s="12" t="s">
        <v>511</v>
      </c>
      <c r="B551" s="15">
        <v>2025</v>
      </c>
      <c r="C551" s="13">
        <v>45848</v>
      </c>
      <c r="D551" s="12" t="s">
        <v>515</v>
      </c>
      <c r="E551" s="13">
        <v>45848</v>
      </c>
      <c r="F551" s="15">
        <v>256779415349</v>
      </c>
      <c r="G551" s="12" t="s">
        <v>11</v>
      </c>
      <c r="H551" s="14">
        <v>27.5</v>
      </c>
      <c r="I551" s="12" t="s">
        <v>59</v>
      </c>
      <c r="J551" s="14">
        <v>2365.02</v>
      </c>
      <c r="K551" s="12" t="s">
        <v>806</v>
      </c>
    </row>
    <row r="552" spans="1:11" x14ac:dyDescent="0.35">
      <c r="A552" s="12" t="s">
        <v>511</v>
      </c>
      <c r="B552" s="15">
        <v>2025</v>
      </c>
      <c r="C552" s="13">
        <v>45848</v>
      </c>
      <c r="D552" s="12" t="s">
        <v>515</v>
      </c>
      <c r="E552" s="13">
        <v>45848</v>
      </c>
      <c r="F552" s="15">
        <v>256779415350</v>
      </c>
      <c r="G552" s="12" t="s">
        <v>11</v>
      </c>
      <c r="H552" s="14">
        <v>22.5</v>
      </c>
      <c r="I552" s="12" t="s">
        <v>59</v>
      </c>
      <c r="J552" s="14">
        <v>1935.02</v>
      </c>
      <c r="K552" s="12" t="s">
        <v>806</v>
      </c>
    </row>
    <row r="553" spans="1:11" x14ac:dyDescent="0.35">
      <c r="A553" s="12" t="s">
        <v>511</v>
      </c>
      <c r="B553" s="15">
        <v>2025</v>
      </c>
      <c r="C553" s="13">
        <v>45848</v>
      </c>
      <c r="D553" s="12" t="s">
        <v>515</v>
      </c>
      <c r="E553" s="13">
        <v>45848</v>
      </c>
      <c r="F553" s="15">
        <v>256779415351</v>
      </c>
      <c r="G553" s="12" t="s">
        <v>11</v>
      </c>
      <c r="H553" s="14">
        <v>17.03</v>
      </c>
      <c r="I553" s="12" t="s">
        <v>59</v>
      </c>
      <c r="J553" s="14">
        <v>1464.59</v>
      </c>
      <c r="K553" s="12" t="s">
        <v>662</v>
      </c>
    </row>
    <row r="554" spans="1:11" x14ac:dyDescent="0.35">
      <c r="A554" s="12" t="s">
        <v>511</v>
      </c>
      <c r="B554" s="15">
        <v>2025</v>
      </c>
      <c r="C554" s="13">
        <v>45848</v>
      </c>
      <c r="D554" s="12" t="s">
        <v>515</v>
      </c>
      <c r="E554" s="13">
        <v>45848</v>
      </c>
      <c r="F554" s="15">
        <v>256779415352</v>
      </c>
      <c r="G554" s="12" t="s">
        <v>11</v>
      </c>
      <c r="H554" s="14">
        <v>155.91999999999999</v>
      </c>
      <c r="I554" s="12" t="s">
        <v>59</v>
      </c>
      <c r="J554" s="14">
        <v>13409.22</v>
      </c>
      <c r="K554" s="12" t="s">
        <v>634</v>
      </c>
    </row>
    <row r="555" spans="1:11" x14ac:dyDescent="0.35">
      <c r="A555" s="12" t="s">
        <v>511</v>
      </c>
      <c r="B555" s="15">
        <v>2025</v>
      </c>
      <c r="C555" s="13">
        <v>45848</v>
      </c>
      <c r="D555" s="12" t="s">
        <v>515</v>
      </c>
      <c r="E555" s="13">
        <v>45848</v>
      </c>
      <c r="F555" s="15">
        <v>256779415353</v>
      </c>
      <c r="G555" s="12" t="s">
        <v>11</v>
      </c>
      <c r="H555" s="14">
        <v>200</v>
      </c>
      <c r="I555" s="12" t="s">
        <v>59</v>
      </c>
      <c r="J555" s="14">
        <v>17200.13</v>
      </c>
      <c r="K555" s="12" t="s">
        <v>635</v>
      </c>
    </row>
    <row r="556" spans="1:11" x14ac:dyDescent="0.35">
      <c r="A556" s="12" t="s">
        <v>511</v>
      </c>
      <c r="B556" s="15">
        <v>2025</v>
      </c>
      <c r="C556" s="13">
        <v>45848</v>
      </c>
      <c r="D556" s="12" t="s">
        <v>515</v>
      </c>
      <c r="E556" s="13">
        <v>45848</v>
      </c>
      <c r="F556" s="15">
        <v>256779415354</v>
      </c>
      <c r="G556" s="12" t="s">
        <v>11</v>
      </c>
      <c r="H556" s="14">
        <v>60</v>
      </c>
      <c r="I556" s="12" t="s">
        <v>59</v>
      </c>
      <c r="J556" s="14">
        <v>5160.04</v>
      </c>
      <c r="K556" s="12" t="s">
        <v>636</v>
      </c>
    </row>
    <row r="557" spans="1:11" x14ac:dyDescent="0.35">
      <c r="A557" s="12" t="s">
        <v>511</v>
      </c>
      <c r="B557" s="15">
        <v>2025</v>
      </c>
      <c r="C557" s="13">
        <v>45848</v>
      </c>
      <c r="D557" s="12" t="s">
        <v>515</v>
      </c>
      <c r="E557" s="13">
        <v>45848</v>
      </c>
      <c r="F557" s="15">
        <v>256779415355</v>
      </c>
      <c r="G557" s="12" t="s">
        <v>11</v>
      </c>
      <c r="H557" s="14">
        <v>21.37</v>
      </c>
      <c r="I557" s="12" t="s">
        <v>59</v>
      </c>
      <c r="J557" s="14">
        <v>1837.83</v>
      </c>
      <c r="K557" s="12" t="s">
        <v>632</v>
      </c>
    </row>
    <row r="558" spans="1:11" x14ac:dyDescent="0.35">
      <c r="A558" s="12" t="s">
        <v>511</v>
      </c>
      <c r="B558" s="15">
        <v>2025</v>
      </c>
      <c r="C558" s="13">
        <v>45848</v>
      </c>
      <c r="D558" s="12" t="s">
        <v>515</v>
      </c>
      <c r="E558" s="13">
        <v>45848</v>
      </c>
      <c r="F558" s="15">
        <v>256779415356</v>
      </c>
      <c r="G558" s="12" t="s">
        <v>11</v>
      </c>
      <c r="H558" s="14">
        <v>72</v>
      </c>
      <c r="I558" s="12" t="s">
        <v>59</v>
      </c>
      <c r="J558" s="14">
        <v>6192.05</v>
      </c>
      <c r="K558" s="12" t="s">
        <v>633</v>
      </c>
    </row>
    <row r="559" spans="1:11" x14ac:dyDescent="0.35">
      <c r="A559" s="12" t="s">
        <v>511</v>
      </c>
      <c r="B559" s="15">
        <v>2025</v>
      </c>
      <c r="C559" s="13">
        <v>45848</v>
      </c>
      <c r="D559" s="12" t="s">
        <v>515</v>
      </c>
      <c r="E559" s="13">
        <v>45848</v>
      </c>
      <c r="F559" s="15">
        <v>256779415357</v>
      </c>
      <c r="G559" s="12" t="s">
        <v>11</v>
      </c>
      <c r="H559" s="14">
        <v>207.27</v>
      </c>
      <c r="I559" s="12" t="s">
        <v>59</v>
      </c>
      <c r="J559" s="14">
        <v>17825.36</v>
      </c>
      <c r="K559" s="12" t="s">
        <v>668</v>
      </c>
    </row>
    <row r="560" spans="1:11" x14ac:dyDescent="0.35">
      <c r="A560" s="12" t="s">
        <v>511</v>
      </c>
      <c r="B560" s="15">
        <v>2025</v>
      </c>
      <c r="C560" s="13">
        <v>45848</v>
      </c>
      <c r="D560" s="12" t="s">
        <v>515</v>
      </c>
      <c r="E560" s="13">
        <v>45848</v>
      </c>
      <c r="F560" s="15">
        <v>256779415358</v>
      </c>
      <c r="G560" s="12" t="s">
        <v>11</v>
      </c>
      <c r="H560" s="14">
        <v>96</v>
      </c>
      <c r="I560" s="12" t="s">
        <v>59</v>
      </c>
      <c r="J560" s="14">
        <v>8256.06</v>
      </c>
      <c r="K560" s="12" t="s">
        <v>852</v>
      </c>
    </row>
    <row r="561" spans="1:11" x14ac:dyDescent="0.35">
      <c r="A561" s="12" t="s">
        <v>511</v>
      </c>
      <c r="B561" s="15">
        <v>2025</v>
      </c>
      <c r="C561" s="13">
        <v>45848</v>
      </c>
      <c r="D561" s="12" t="s">
        <v>515</v>
      </c>
      <c r="E561" s="13">
        <v>45848</v>
      </c>
      <c r="F561" s="15">
        <v>256779415359</v>
      </c>
      <c r="G561" s="12" t="s">
        <v>11</v>
      </c>
      <c r="H561" s="14">
        <v>200</v>
      </c>
      <c r="I561" s="12" t="s">
        <v>59</v>
      </c>
      <c r="J561" s="14">
        <v>17200.13</v>
      </c>
      <c r="K561" s="12" t="s">
        <v>853</v>
      </c>
    </row>
    <row r="562" spans="1:11" x14ac:dyDescent="0.35">
      <c r="A562" s="12" t="s">
        <v>511</v>
      </c>
      <c r="B562" s="15">
        <v>2025</v>
      </c>
      <c r="C562" s="13">
        <v>45848</v>
      </c>
      <c r="D562" s="12" t="s">
        <v>515</v>
      </c>
      <c r="E562" s="13">
        <v>45848</v>
      </c>
      <c r="F562" s="15">
        <v>256779415360</v>
      </c>
      <c r="G562" s="12" t="s">
        <v>11</v>
      </c>
      <c r="H562" s="14">
        <v>60</v>
      </c>
      <c r="I562" s="12" t="s">
        <v>59</v>
      </c>
      <c r="J562" s="14">
        <v>5160.04</v>
      </c>
      <c r="K562" s="12" t="s">
        <v>854</v>
      </c>
    </row>
    <row r="563" spans="1:11" x14ac:dyDescent="0.35">
      <c r="A563" s="12" t="s">
        <v>511</v>
      </c>
      <c r="B563" s="15">
        <v>2025</v>
      </c>
      <c r="C563" s="13">
        <v>45848</v>
      </c>
      <c r="D563" s="12" t="s">
        <v>515</v>
      </c>
      <c r="E563" s="13">
        <v>45848</v>
      </c>
      <c r="F563" s="15">
        <v>256779415361</v>
      </c>
      <c r="G563" s="12" t="s">
        <v>11</v>
      </c>
      <c r="H563" s="14">
        <v>67.5</v>
      </c>
      <c r="I563" s="12" t="s">
        <v>59</v>
      </c>
      <c r="J563" s="14">
        <v>5805.05</v>
      </c>
      <c r="K563" s="12" t="s">
        <v>669</v>
      </c>
    </row>
    <row r="564" spans="1:11" x14ac:dyDescent="0.35">
      <c r="A564" s="12" t="s">
        <v>511</v>
      </c>
      <c r="B564" s="15">
        <v>2025</v>
      </c>
      <c r="C564" s="13">
        <v>45848</v>
      </c>
      <c r="D564" s="12" t="s">
        <v>515</v>
      </c>
      <c r="E564" s="13">
        <v>45848</v>
      </c>
      <c r="F564" s="15">
        <v>256779415362</v>
      </c>
      <c r="G564" s="12" t="s">
        <v>11</v>
      </c>
      <c r="H564" s="14">
        <v>3</v>
      </c>
      <c r="I564" s="12" t="s">
        <v>59</v>
      </c>
      <c r="J564" s="14">
        <v>258</v>
      </c>
      <c r="K564" s="12" t="s">
        <v>855</v>
      </c>
    </row>
    <row r="565" spans="1:11" x14ac:dyDescent="0.35">
      <c r="A565" s="12" t="s">
        <v>511</v>
      </c>
      <c r="B565" s="15">
        <v>2025</v>
      </c>
      <c r="C565" s="13">
        <v>45848</v>
      </c>
      <c r="D565" s="12" t="s">
        <v>515</v>
      </c>
      <c r="E565" s="13">
        <v>45848</v>
      </c>
      <c r="F565" s="15">
        <v>256779415363</v>
      </c>
      <c r="G565" s="12" t="s">
        <v>11</v>
      </c>
      <c r="H565" s="14">
        <v>3</v>
      </c>
      <c r="I565" s="12" t="s">
        <v>59</v>
      </c>
      <c r="J565" s="14">
        <v>258</v>
      </c>
      <c r="K565" s="12" t="s">
        <v>855</v>
      </c>
    </row>
    <row r="566" spans="1:11" x14ac:dyDescent="0.35">
      <c r="A566" s="12" t="s">
        <v>511</v>
      </c>
      <c r="B566" s="15">
        <v>2025</v>
      </c>
      <c r="C566" s="13">
        <v>45861</v>
      </c>
      <c r="D566" s="12" t="s">
        <v>713</v>
      </c>
      <c r="E566" s="13">
        <v>45861</v>
      </c>
      <c r="F566" s="12" t="s">
        <v>513</v>
      </c>
      <c r="G566" s="12" t="s">
        <v>11</v>
      </c>
      <c r="H566" s="14">
        <v>0</v>
      </c>
      <c r="I566" s="12" t="s">
        <v>59</v>
      </c>
      <c r="J566" s="14">
        <v>0</v>
      </c>
      <c r="K566" s="12" t="s">
        <v>513</v>
      </c>
    </row>
    <row r="567" spans="1:11" x14ac:dyDescent="0.35">
      <c r="A567" s="12" t="s">
        <v>511</v>
      </c>
      <c r="B567" s="15">
        <v>2025</v>
      </c>
      <c r="C567" s="13">
        <v>45861</v>
      </c>
      <c r="D567" s="12" t="s">
        <v>713</v>
      </c>
      <c r="E567" s="13">
        <v>45861</v>
      </c>
      <c r="F567" s="12" t="s">
        <v>513</v>
      </c>
      <c r="G567" s="12" t="s">
        <v>11</v>
      </c>
      <c r="H567" s="14">
        <v>0</v>
      </c>
      <c r="I567" s="12" t="s">
        <v>59</v>
      </c>
      <c r="J567" s="14">
        <v>0</v>
      </c>
      <c r="K567" s="12" t="s">
        <v>513</v>
      </c>
    </row>
    <row r="568" spans="1:11" x14ac:dyDescent="0.35">
      <c r="A568" s="12" t="s">
        <v>511</v>
      </c>
      <c r="B568" s="15">
        <v>2025</v>
      </c>
      <c r="C568" s="13">
        <v>45861</v>
      </c>
      <c r="D568" s="12" t="s">
        <v>713</v>
      </c>
      <c r="E568" s="13">
        <v>45861</v>
      </c>
      <c r="F568" s="12" t="s">
        <v>513</v>
      </c>
      <c r="G568" s="12" t="s">
        <v>11</v>
      </c>
      <c r="H568" s="14">
        <v>0</v>
      </c>
      <c r="I568" s="12" t="s">
        <v>59</v>
      </c>
      <c r="J568" s="14">
        <v>0</v>
      </c>
      <c r="K568" s="12" t="s">
        <v>513</v>
      </c>
    </row>
    <row r="569" spans="1:11" x14ac:dyDescent="0.35">
      <c r="A569" s="12" t="s">
        <v>511</v>
      </c>
      <c r="B569" s="15">
        <v>2025</v>
      </c>
      <c r="C569" s="13">
        <v>45861</v>
      </c>
      <c r="D569" s="12" t="s">
        <v>713</v>
      </c>
      <c r="E569" s="13">
        <v>45861</v>
      </c>
      <c r="F569" s="12" t="s">
        <v>513</v>
      </c>
      <c r="G569" s="12" t="s">
        <v>11</v>
      </c>
      <c r="H569" s="14">
        <v>0</v>
      </c>
      <c r="I569" s="12" t="s">
        <v>59</v>
      </c>
      <c r="J569" s="14">
        <v>0</v>
      </c>
      <c r="K569" s="12" t="s">
        <v>513</v>
      </c>
    </row>
    <row r="570" spans="1:11" x14ac:dyDescent="0.35">
      <c r="A570" s="12" t="s">
        <v>511</v>
      </c>
      <c r="B570" s="15">
        <v>2025</v>
      </c>
      <c r="C570" s="13">
        <v>45861</v>
      </c>
      <c r="D570" s="12" t="s">
        <v>713</v>
      </c>
      <c r="E570" s="13">
        <v>45861</v>
      </c>
      <c r="F570" s="12" t="s">
        <v>513</v>
      </c>
      <c r="G570" s="12" t="s">
        <v>11</v>
      </c>
      <c r="H570" s="14">
        <v>0</v>
      </c>
      <c r="I570" s="12" t="s">
        <v>59</v>
      </c>
      <c r="J570" s="14">
        <v>0</v>
      </c>
      <c r="K570" s="12" t="s">
        <v>513</v>
      </c>
    </row>
    <row r="571" spans="1:11" x14ac:dyDescent="0.35">
      <c r="A571" s="12" t="s">
        <v>511</v>
      </c>
      <c r="B571" s="15">
        <v>2025</v>
      </c>
      <c r="C571" s="13">
        <v>45861</v>
      </c>
      <c r="D571" s="12" t="s">
        <v>713</v>
      </c>
      <c r="E571" s="13">
        <v>45861</v>
      </c>
      <c r="F571" s="12" t="s">
        <v>513</v>
      </c>
      <c r="G571" s="12" t="s">
        <v>11</v>
      </c>
      <c r="H571" s="14">
        <v>0</v>
      </c>
      <c r="I571" s="12" t="s">
        <v>59</v>
      </c>
      <c r="J571" s="14">
        <v>0</v>
      </c>
      <c r="K571" s="12" t="s">
        <v>513</v>
      </c>
    </row>
    <row r="572" spans="1:11" x14ac:dyDescent="0.35">
      <c r="A572" s="12" t="s">
        <v>511</v>
      </c>
      <c r="B572" s="15">
        <v>2025</v>
      </c>
      <c r="C572" s="13">
        <v>45861</v>
      </c>
      <c r="D572" s="12" t="s">
        <v>713</v>
      </c>
      <c r="E572" s="13">
        <v>45861</v>
      </c>
      <c r="F572" s="12" t="s">
        <v>513</v>
      </c>
      <c r="G572" s="12" t="s">
        <v>11</v>
      </c>
      <c r="H572" s="14">
        <v>0</v>
      </c>
      <c r="I572" s="12" t="s">
        <v>59</v>
      </c>
      <c r="J572" s="14">
        <v>0</v>
      </c>
      <c r="K572" s="12" t="s">
        <v>513</v>
      </c>
    </row>
    <row r="573" spans="1:11" x14ac:dyDescent="0.35">
      <c r="A573" s="12" t="s">
        <v>511</v>
      </c>
      <c r="B573" s="15">
        <v>2025</v>
      </c>
      <c r="C573" s="13">
        <v>45758</v>
      </c>
      <c r="D573" s="12" t="s">
        <v>856</v>
      </c>
      <c r="E573" s="13">
        <v>45758</v>
      </c>
      <c r="F573" s="12" t="s">
        <v>513</v>
      </c>
      <c r="G573" s="12" t="s">
        <v>59</v>
      </c>
      <c r="H573" s="14">
        <v>1</v>
      </c>
      <c r="I573" s="12" t="s">
        <v>59</v>
      </c>
      <c r="J573" s="14">
        <v>1</v>
      </c>
      <c r="K573" s="12" t="s">
        <v>857</v>
      </c>
    </row>
    <row r="574" spans="1:11" x14ac:dyDescent="0.35">
      <c r="A574" s="12" t="s">
        <v>511</v>
      </c>
      <c r="B574" s="15">
        <v>2025</v>
      </c>
      <c r="C574" s="13">
        <v>45758</v>
      </c>
      <c r="D574" s="12" t="s">
        <v>856</v>
      </c>
      <c r="E574" s="13">
        <v>45758</v>
      </c>
      <c r="F574" s="12" t="s">
        <v>513</v>
      </c>
      <c r="G574" s="12" t="s">
        <v>59</v>
      </c>
      <c r="H574" s="14">
        <v>-1</v>
      </c>
      <c r="I574" s="12" t="s">
        <v>59</v>
      </c>
      <c r="J574" s="14">
        <v>-1</v>
      </c>
      <c r="K574" s="12" t="s">
        <v>857</v>
      </c>
    </row>
    <row r="575" spans="1:11" x14ac:dyDescent="0.35">
      <c r="A575" s="12" t="s">
        <v>511</v>
      </c>
      <c r="B575" s="15">
        <v>2025</v>
      </c>
      <c r="C575" s="13">
        <v>45902</v>
      </c>
      <c r="D575" s="12" t="s">
        <v>858</v>
      </c>
      <c r="E575" s="13">
        <v>45902</v>
      </c>
      <c r="F575" s="12" t="s">
        <v>513</v>
      </c>
      <c r="G575" s="12" t="s">
        <v>59</v>
      </c>
      <c r="H575" s="14">
        <v>212521.54</v>
      </c>
      <c r="I575" s="12" t="s">
        <v>59</v>
      </c>
      <c r="J575" s="14">
        <v>208845.74</v>
      </c>
      <c r="K575" s="12" t="s">
        <v>513</v>
      </c>
    </row>
    <row r="576" spans="1:11" x14ac:dyDescent="0.35">
      <c r="A576" s="12" t="s">
        <v>511</v>
      </c>
      <c r="B576" s="15">
        <v>2025</v>
      </c>
      <c r="C576" s="13">
        <v>45902</v>
      </c>
      <c r="D576" s="12" t="s">
        <v>858</v>
      </c>
      <c r="E576" s="13">
        <v>45902</v>
      </c>
      <c r="F576" s="12" t="s">
        <v>513</v>
      </c>
      <c r="G576" s="12" t="s">
        <v>59</v>
      </c>
      <c r="H576" s="14">
        <v>-212521.54</v>
      </c>
      <c r="I576" s="12" t="s">
        <v>59</v>
      </c>
      <c r="J576" s="14">
        <v>-207607.52</v>
      </c>
      <c r="K576" s="12" t="s">
        <v>513</v>
      </c>
    </row>
    <row r="577" spans="1:11" x14ac:dyDescent="0.35">
      <c r="A577" s="12" t="s">
        <v>511</v>
      </c>
      <c r="B577" s="15">
        <v>2025</v>
      </c>
      <c r="C577" s="13">
        <v>45974</v>
      </c>
      <c r="D577" s="12" t="s">
        <v>713</v>
      </c>
      <c r="E577" s="13">
        <v>45974</v>
      </c>
      <c r="F577" s="12" t="s">
        <v>513</v>
      </c>
      <c r="G577" s="12" t="s">
        <v>11</v>
      </c>
      <c r="H577" s="14">
        <v>4603.4799999999996</v>
      </c>
      <c r="I577" s="12" t="s">
        <v>59</v>
      </c>
      <c r="J577" s="14">
        <v>396450.85</v>
      </c>
      <c r="K577" s="12" t="s">
        <v>513</v>
      </c>
    </row>
    <row r="578" spans="1:11" x14ac:dyDescent="0.35">
      <c r="A578" s="12" t="s">
        <v>511</v>
      </c>
      <c r="B578" s="15">
        <v>2025</v>
      </c>
      <c r="C578" s="13">
        <v>45974</v>
      </c>
      <c r="D578" s="12" t="s">
        <v>713</v>
      </c>
      <c r="E578" s="13">
        <v>45974</v>
      </c>
      <c r="F578" s="12" t="s">
        <v>513</v>
      </c>
      <c r="G578" s="12" t="s">
        <v>11</v>
      </c>
      <c r="H578" s="14">
        <v>2.98</v>
      </c>
      <c r="I578" s="12" t="s">
        <v>59</v>
      </c>
      <c r="J578" s="14">
        <v>262.20999999999998</v>
      </c>
      <c r="K578" s="12" t="s">
        <v>513</v>
      </c>
    </row>
    <row r="579" spans="1:11" x14ac:dyDescent="0.35">
      <c r="A579" s="12" t="s">
        <v>511</v>
      </c>
      <c r="B579" s="15">
        <v>2025</v>
      </c>
      <c r="C579" s="13">
        <v>45974</v>
      </c>
      <c r="D579" s="12" t="s">
        <v>713</v>
      </c>
      <c r="E579" s="13">
        <v>45974</v>
      </c>
      <c r="F579" s="12" t="s">
        <v>513</v>
      </c>
      <c r="G579" s="12" t="s">
        <v>11</v>
      </c>
      <c r="H579" s="14">
        <v>-2.98</v>
      </c>
      <c r="I579" s="12" t="s">
        <v>59</v>
      </c>
      <c r="J579" s="14">
        <v>-262.20999999999998</v>
      </c>
      <c r="K579" s="12" t="s">
        <v>513</v>
      </c>
    </row>
    <row r="580" spans="1:11" x14ac:dyDescent="0.35">
      <c r="A580" s="12" t="s">
        <v>511</v>
      </c>
      <c r="B580" s="15">
        <v>2025</v>
      </c>
      <c r="C580" s="13">
        <v>45974</v>
      </c>
      <c r="D580" s="12" t="s">
        <v>713</v>
      </c>
      <c r="E580" s="13">
        <v>45974</v>
      </c>
      <c r="F580" s="12" t="s">
        <v>513</v>
      </c>
      <c r="G580" s="12" t="s">
        <v>11</v>
      </c>
      <c r="H580" s="14">
        <v>5558.96</v>
      </c>
      <c r="I580" s="12" t="s">
        <v>59</v>
      </c>
      <c r="J580" s="14">
        <v>478086.37</v>
      </c>
      <c r="K580" s="12" t="s">
        <v>513</v>
      </c>
    </row>
    <row r="581" spans="1:11" x14ac:dyDescent="0.35">
      <c r="A581" s="12" t="s">
        <v>511</v>
      </c>
      <c r="B581" s="15">
        <v>2025</v>
      </c>
      <c r="C581" s="13">
        <v>45974</v>
      </c>
      <c r="D581" s="12" t="s">
        <v>713</v>
      </c>
      <c r="E581" s="13">
        <v>45974</v>
      </c>
      <c r="F581" s="12" t="s">
        <v>513</v>
      </c>
      <c r="G581" s="12" t="s">
        <v>11</v>
      </c>
      <c r="H581" s="14">
        <v>-3891.99</v>
      </c>
      <c r="I581" s="12" t="s">
        <v>59</v>
      </c>
      <c r="J581" s="14">
        <v>-338298.81</v>
      </c>
      <c r="K581" s="12" t="s">
        <v>513</v>
      </c>
    </row>
    <row r="582" spans="1:11" x14ac:dyDescent="0.35">
      <c r="A582" s="12" t="s">
        <v>511</v>
      </c>
      <c r="B582" s="15">
        <v>2025</v>
      </c>
      <c r="C582" s="13">
        <v>45974</v>
      </c>
      <c r="D582" s="12" t="s">
        <v>713</v>
      </c>
      <c r="E582" s="13">
        <v>45974</v>
      </c>
      <c r="F582" s="12" t="s">
        <v>513</v>
      </c>
      <c r="G582" s="12" t="s">
        <v>11</v>
      </c>
      <c r="H582" s="14">
        <v>-6270.45</v>
      </c>
      <c r="I582" s="12" t="s">
        <v>59</v>
      </c>
      <c r="J582" s="14">
        <v>-536832.30000000005</v>
      </c>
      <c r="K582" s="12" t="s">
        <v>513</v>
      </c>
    </row>
    <row r="583" spans="1:11" x14ac:dyDescent="0.35">
      <c r="A583" s="12" t="s">
        <v>511</v>
      </c>
      <c r="B583" s="15">
        <v>2025</v>
      </c>
      <c r="C583" s="13">
        <v>45974</v>
      </c>
      <c r="D583" s="12" t="s">
        <v>713</v>
      </c>
      <c r="E583" s="13">
        <v>45974</v>
      </c>
      <c r="F583" s="12" t="s">
        <v>513</v>
      </c>
      <c r="G583" s="12" t="s">
        <v>59</v>
      </c>
      <c r="H583" s="14">
        <v>77508.990000000005</v>
      </c>
      <c r="I583" s="12" t="s">
        <v>59</v>
      </c>
      <c r="J583" s="14">
        <v>75771.03</v>
      </c>
      <c r="K583" s="12" t="s">
        <v>513</v>
      </c>
    </row>
    <row r="584" spans="1:11" x14ac:dyDescent="0.35">
      <c r="A584" s="12" t="s">
        <v>511</v>
      </c>
      <c r="B584" s="15">
        <v>2025</v>
      </c>
      <c r="C584" s="13">
        <v>45974</v>
      </c>
      <c r="D584" s="12" t="s">
        <v>713</v>
      </c>
      <c r="E584" s="13">
        <v>45974</v>
      </c>
      <c r="F584" s="12" t="s">
        <v>513</v>
      </c>
      <c r="G584" s="12" t="s">
        <v>59</v>
      </c>
      <c r="H584" s="14">
        <v>-20130.78</v>
      </c>
      <c r="I584" s="12" t="s">
        <v>59</v>
      </c>
      <c r="J584" s="14">
        <v>-20130.78</v>
      </c>
      <c r="K584" s="12" t="s">
        <v>513</v>
      </c>
    </row>
    <row r="585" spans="1:11" x14ac:dyDescent="0.35">
      <c r="A585" s="12" t="s">
        <v>511</v>
      </c>
      <c r="B585" s="15">
        <v>2025</v>
      </c>
      <c r="C585" s="13">
        <v>45974</v>
      </c>
      <c r="D585" s="12" t="s">
        <v>713</v>
      </c>
      <c r="E585" s="13">
        <v>45974</v>
      </c>
      <c r="F585" s="12" t="s">
        <v>513</v>
      </c>
      <c r="G585" s="12" t="s">
        <v>59</v>
      </c>
      <c r="H585" s="14">
        <v>-746.27</v>
      </c>
      <c r="I585" s="12" t="s">
        <v>59</v>
      </c>
      <c r="J585" s="14">
        <v>-746.27</v>
      </c>
      <c r="K585" s="12" t="s">
        <v>513</v>
      </c>
    </row>
    <row r="586" spans="1:11" x14ac:dyDescent="0.35">
      <c r="A586" s="12" t="s">
        <v>511</v>
      </c>
      <c r="B586" s="15">
        <v>2025</v>
      </c>
      <c r="C586" s="13">
        <v>45974</v>
      </c>
      <c r="D586" s="12" t="s">
        <v>713</v>
      </c>
      <c r="E586" s="13">
        <v>45974</v>
      </c>
      <c r="F586" s="12" t="s">
        <v>513</v>
      </c>
      <c r="G586" s="12" t="s">
        <v>59</v>
      </c>
      <c r="H586" s="14">
        <v>-24772.95</v>
      </c>
      <c r="I586" s="12" t="s">
        <v>59</v>
      </c>
      <c r="J586" s="14">
        <v>-24772.95</v>
      </c>
      <c r="K586" s="12" t="s">
        <v>513</v>
      </c>
    </row>
    <row r="587" spans="1:11" x14ac:dyDescent="0.35">
      <c r="A587" s="12" t="s">
        <v>511</v>
      </c>
      <c r="B587" s="15">
        <v>2025</v>
      </c>
      <c r="C587" s="13">
        <v>45974</v>
      </c>
      <c r="D587" s="12" t="s">
        <v>713</v>
      </c>
      <c r="E587" s="13">
        <v>45974</v>
      </c>
      <c r="F587" s="12" t="s">
        <v>513</v>
      </c>
      <c r="G587" s="12" t="s">
        <v>59</v>
      </c>
      <c r="H587" s="14">
        <v>-31858.99</v>
      </c>
      <c r="I587" s="12" t="s">
        <v>59</v>
      </c>
      <c r="J587" s="14">
        <v>-31858.99</v>
      </c>
      <c r="K587" s="12" t="s">
        <v>513</v>
      </c>
    </row>
    <row r="588" spans="1:11" x14ac:dyDescent="0.35">
      <c r="A588" s="12" t="s">
        <v>511</v>
      </c>
      <c r="B588" s="15">
        <v>2025</v>
      </c>
      <c r="C588" s="13">
        <v>45940</v>
      </c>
      <c r="D588" s="12" t="s">
        <v>713</v>
      </c>
      <c r="E588" s="13">
        <v>45940</v>
      </c>
      <c r="F588" s="12" t="s">
        <v>513</v>
      </c>
      <c r="G588" s="12" t="s">
        <v>59</v>
      </c>
      <c r="H588" s="14">
        <v>-1746430.23</v>
      </c>
      <c r="I588" s="12" t="s">
        <v>59</v>
      </c>
      <c r="J588" s="14">
        <v>-1746430.23</v>
      </c>
      <c r="K588" s="12" t="s">
        <v>513</v>
      </c>
    </row>
    <row r="589" spans="1:11" x14ac:dyDescent="0.35">
      <c r="A589" s="12" t="s">
        <v>511</v>
      </c>
      <c r="B589" s="15">
        <v>2025</v>
      </c>
      <c r="C589" s="13">
        <v>45940</v>
      </c>
      <c r="D589" s="12" t="s">
        <v>713</v>
      </c>
      <c r="E589" s="13">
        <v>45940</v>
      </c>
      <c r="F589" s="12" t="s">
        <v>513</v>
      </c>
      <c r="G589" s="12" t="s">
        <v>59</v>
      </c>
      <c r="H589" s="14">
        <v>-2385233.9500000002</v>
      </c>
      <c r="I589" s="12" t="s">
        <v>59</v>
      </c>
      <c r="J589" s="14">
        <v>-2385233.9500000002</v>
      </c>
      <c r="K589" s="12" t="s">
        <v>513</v>
      </c>
    </row>
    <row r="590" spans="1:11" x14ac:dyDescent="0.35">
      <c r="A590" s="12" t="s">
        <v>511</v>
      </c>
      <c r="B590" s="15">
        <v>2025</v>
      </c>
      <c r="C590" s="13">
        <v>45958</v>
      </c>
      <c r="D590" s="12" t="s">
        <v>713</v>
      </c>
      <c r="E590" s="13">
        <v>45958</v>
      </c>
      <c r="F590" s="12" t="s">
        <v>513</v>
      </c>
      <c r="G590" s="12" t="s">
        <v>59</v>
      </c>
      <c r="H590" s="14">
        <v>-1719090.91</v>
      </c>
      <c r="I590" s="12" t="s">
        <v>59</v>
      </c>
      <c r="J590" s="14">
        <v>-1719090.91</v>
      </c>
      <c r="K590" s="12" t="s">
        <v>513</v>
      </c>
    </row>
    <row r="591" spans="1:11" x14ac:dyDescent="0.35">
      <c r="A591" s="12" t="s">
        <v>511</v>
      </c>
      <c r="B591" s="15">
        <v>2025</v>
      </c>
      <c r="C591" s="13">
        <v>45987</v>
      </c>
      <c r="D591" s="12" t="s">
        <v>713</v>
      </c>
      <c r="E591" s="13">
        <v>45987</v>
      </c>
      <c r="F591" s="12" t="s">
        <v>513</v>
      </c>
      <c r="G591" s="12" t="s">
        <v>59</v>
      </c>
      <c r="H591" s="14">
        <v>-1917961.25</v>
      </c>
      <c r="I591" s="12" t="s">
        <v>59</v>
      </c>
      <c r="J591" s="14">
        <v>-1917961.25</v>
      </c>
      <c r="K591" s="12" t="s">
        <v>513</v>
      </c>
    </row>
    <row r="592" spans="1:11" x14ac:dyDescent="0.35">
      <c r="A592" s="12" t="s">
        <v>511</v>
      </c>
      <c r="B592" s="15">
        <v>2025</v>
      </c>
      <c r="C592" s="13">
        <v>45744</v>
      </c>
      <c r="D592" s="12" t="s">
        <v>859</v>
      </c>
      <c r="E592" s="13">
        <v>45701</v>
      </c>
      <c r="F592" s="12" t="s">
        <v>860</v>
      </c>
      <c r="G592" s="12" t="s">
        <v>59</v>
      </c>
      <c r="H592" s="14">
        <v>1</v>
      </c>
      <c r="I592" s="12" t="s">
        <v>59</v>
      </c>
      <c r="J592" s="14">
        <v>1</v>
      </c>
      <c r="K592" s="12" t="s">
        <v>857</v>
      </c>
    </row>
    <row r="593" spans="1:11" x14ac:dyDescent="0.35">
      <c r="A593" s="12" t="s">
        <v>511</v>
      </c>
      <c r="B593" s="15">
        <v>2025</v>
      </c>
      <c r="C593" s="13">
        <v>45701</v>
      </c>
      <c r="D593" s="12" t="s">
        <v>859</v>
      </c>
      <c r="E593" s="13">
        <v>45701</v>
      </c>
      <c r="F593" s="12" t="s">
        <v>861</v>
      </c>
      <c r="G593" s="12" t="s">
        <v>59</v>
      </c>
      <c r="H593" s="14">
        <v>-1</v>
      </c>
      <c r="I593" s="12" t="s">
        <v>59</v>
      </c>
      <c r="J593" s="14">
        <v>-1</v>
      </c>
      <c r="K593" s="12" t="s">
        <v>857</v>
      </c>
    </row>
    <row r="594" spans="1:11" x14ac:dyDescent="0.35">
      <c r="A594" s="12" t="s">
        <v>511</v>
      </c>
      <c r="B594" s="15">
        <v>2025</v>
      </c>
      <c r="C594" s="13">
        <v>45764</v>
      </c>
      <c r="D594" s="12" t="s">
        <v>515</v>
      </c>
      <c r="E594" s="13">
        <v>45764</v>
      </c>
      <c r="F594" s="15">
        <v>256779412140</v>
      </c>
      <c r="G594" s="12" t="s">
        <v>59</v>
      </c>
      <c r="H594" s="14">
        <v>262.20999999999998</v>
      </c>
      <c r="I594" s="12" t="s">
        <v>59</v>
      </c>
      <c r="J594" s="14">
        <v>262.20999999999998</v>
      </c>
      <c r="K594" s="12" t="s">
        <v>639</v>
      </c>
    </row>
    <row r="595" spans="1:11" x14ac:dyDescent="0.35">
      <c r="A595" s="12" t="s">
        <v>511</v>
      </c>
      <c r="B595" s="15">
        <v>2025</v>
      </c>
      <c r="C595" s="13">
        <v>45735</v>
      </c>
      <c r="D595" s="12" t="s">
        <v>515</v>
      </c>
      <c r="E595" s="13">
        <v>45735</v>
      </c>
      <c r="F595" s="15">
        <v>246779413076</v>
      </c>
      <c r="G595" s="12" t="s">
        <v>11</v>
      </c>
      <c r="H595" s="14">
        <v>466.37</v>
      </c>
      <c r="I595" s="12" t="s">
        <v>59</v>
      </c>
      <c r="J595" s="14">
        <v>40430.199999999997</v>
      </c>
      <c r="K595" s="12" t="s">
        <v>862</v>
      </c>
    </row>
    <row r="596" spans="1:11" x14ac:dyDescent="0.35">
      <c r="A596" s="12" t="s">
        <v>511</v>
      </c>
      <c r="B596" s="15">
        <v>2025</v>
      </c>
      <c r="C596" s="13">
        <v>45787</v>
      </c>
      <c r="D596" s="12" t="s">
        <v>515</v>
      </c>
      <c r="E596" s="13">
        <v>45787</v>
      </c>
      <c r="F596" s="15">
        <v>256779413147</v>
      </c>
      <c r="G596" s="12" t="s">
        <v>59</v>
      </c>
      <c r="H596" s="14">
        <v>8000</v>
      </c>
      <c r="I596" s="12" t="s">
        <v>59</v>
      </c>
      <c r="J596" s="14">
        <v>8000</v>
      </c>
      <c r="K596" s="12" t="s">
        <v>863</v>
      </c>
    </row>
    <row r="597" spans="1:11" x14ac:dyDescent="0.35">
      <c r="A597" s="12" t="s">
        <v>511</v>
      </c>
      <c r="B597" s="15">
        <v>2025</v>
      </c>
      <c r="C597" s="13">
        <v>45818</v>
      </c>
      <c r="D597" s="12" t="s">
        <v>515</v>
      </c>
      <c r="E597" s="13">
        <v>45818</v>
      </c>
      <c r="F597" s="15">
        <v>256779414359</v>
      </c>
      <c r="G597" s="12" t="s">
        <v>59</v>
      </c>
      <c r="H597" s="14">
        <v>8000</v>
      </c>
      <c r="I597" s="12" t="s">
        <v>59</v>
      </c>
      <c r="J597" s="14">
        <v>8000</v>
      </c>
      <c r="K597" s="12" t="s">
        <v>864</v>
      </c>
    </row>
    <row r="598" spans="1:11" x14ac:dyDescent="0.35">
      <c r="A598" s="12" t="s">
        <v>511</v>
      </c>
      <c r="B598" s="15">
        <v>2025</v>
      </c>
      <c r="C598" s="13">
        <v>45842</v>
      </c>
      <c r="D598" s="12" t="s">
        <v>515</v>
      </c>
      <c r="E598" s="13">
        <v>45842</v>
      </c>
      <c r="F598" s="15">
        <v>256779414917</v>
      </c>
      <c r="G598" s="12" t="s">
        <v>59</v>
      </c>
      <c r="H598" s="14">
        <v>8000</v>
      </c>
      <c r="I598" s="12" t="s">
        <v>59</v>
      </c>
      <c r="J598" s="14">
        <v>8000</v>
      </c>
      <c r="K598" s="12" t="s">
        <v>865</v>
      </c>
    </row>
    <row r="599" spans="1:11" x14ac:dyDescent="0.35">
      <c r="A599" s="12" t="s">
        <v>511</v>
      </c>
      <c r="B599" s="15">
        <v>2025</v>
      </c>
      <c r="C599" s="13">
        <v>45870</v>
      </c>
      <c r="D599" s="12" t="s">
        <v>515</v>
      </c>
      <c r="E599" s="13">
        <v>45870</v>
      </c>
      <c r="F599" s="15">
        <v>256779416029</v>
      </c>
      <c r="G599" s="12" t="s">
        <v>59</v>
      </c>
      <c r="H599" s="14">
        <v>8000</v>
      </c>
      <c r="I599" s="12" t="s">
        <v>59</v>
      </c>
      <c r="J599" s="14">
        <v>8000</v>
      </c>
      <c r="K599" s="12" t="s">
        <v>866</v>
      </c>
    </row>
    <row r="600" spans="1:11" x14ac:dyDescent="0.35">
      <c r="A600" s="12" t="s">
        <v>511</v>
      </c>
      <c r="B600" s="15">
        <v>2025</v>
      </c>
      <c r="C600" s="13">
        <v>45904</v>
      </c>
      <c r="D600" s="12" t="s">
        <v>515</v>
      </c>
      <c r="E600" s="13">
        <v>45904</v>
      </c>
      <c r="F600" s="15">
        <v>256779417349</v>
      </c>
      <c r="G600" s="12" t="s">
        <v>59</v>
      </c>
      <c r="H600" s="14">
        <v>8000</v>
      </c>
      <c r="I600" s="12" t="s">
        <v>59</v>
      </c>
      <c r="J600" s="14">
        <v>8000</v>
      </c>
      <c r="K600" s="12" t="s">
        <v>867</v>
      </c>
    </row>
    <row r="601" spans="1:11" x14ac:dyDescent="0.35">
      <c r="A601" s="12" t="s">
        <v>511</v>
      </c>
      <c r="B601" s="15">
        <v>2025</v>
      </c>
      <c r="C601" s="13">
        <v>45935</v>
      </c>
      <c r="D601" s="12" t="s">
        <v>515</v>
      </c>
      <c r="E601" s="13">
        <v>45935</v>
      </c>
      <c r="F601" s="15">
        <v>256779417876</v>
      </c>
      <c r="G601" s="12" t="s">
        <v>59</v>
      </c>
      <c r="H601" s="14">
        <v>8000</v>
      </c>
      <c r="I601" s="12" t="s">
        <v>59</v>
      </c>
      <c r="J601" s="14">
        <v>8000</v>
      </c>
      <c r="K601" s="12" t="s">
        <v>868</v>
      </c>
    </row>
    <row r="602" spans="1:11" x14ac:dyDescent="0.35">
      <c r="A602" s="12" t="s">
        <v>511</v>
      </c>
      <c r="B602" s="15">
        <v>2025</v>
      </c>
      <c r="C602" s="13">
        <v>45966</v>
      </c>
      <c r="D602" s="12" t="s">
        <v>515</v>
      </c>
      <c r="E602" s="13">
        <v>45966</v>
      </c>
      <c r="F602" s="15">
        <v>256779418778</v>
      </c>
      <c r="G602" s="12" t="s">
        <v>59</v>
      </c>
      <c r="H602" s="14">
        <v>8000</v>
      </c>
      <c r="I602" s="12" t="s">
        <v>59</v>
      </c>
      <c r="J602" s="14">
        <v>8000</v>
      </c>
      <c r="K602" s="12" t="s">
        <v>869</v>
      </c>
    </row>
    <row r="603" spans="1:11" x14ac:dyDescent="0.35">
      <c r="A603" s="12" t="s">
        <v>511</v>
      </c>
      <c r="B603" s="15">
        <v>2025</v>
      </c>
      <c r="C603" s="13">
        <v>45995</v>
      </c>
      <c r="D603" s="12" t="s">
        <v>515</v>
      </c>
      <c r="E603" s="13">
        <v>45995</v>
      </c>
      <c r="F603" s="15">
        <v>256779419971</v>
      </c>
      <c r="G603" s="12" t="s">
        <v>59</v>
      </c>
      <c r="H603" s="14">
        <v>8000</v>
      </c>
      <c r="I603" s="12" t="s">
        <v>59</v>
      </c>
      <c r="J603" s="14">
        <v>8000</v>
      </c>
      <c r="K603" s="12" t="s">
        <v>870</v>
      </c>
    </row>
    <row r="604" spans="1:11" x14ac:dyDescent="0.35">
      <c r="A604" s="12" t="s">
        <v>511</v>
      </c>
      <c r="B604" s="15">
        <v>2025</v>
      </c>
      <c r="C604" s="13">
        <v>45787</v>
      </c>
      <c r="D604" s="12" t="s">
        <v>515</v>
      </c>
      <c r="E604" s="13">
        <v>45787</v>
      </c>
      <c r="F604" s="15">
        <v>256779413148</v>
      </c>
      <c r="G604" s="12" t="s">
        <v>59</v>
      </c>
      <c r="H604" s="14">
        <v>4400</v>
      </c>
      <c r="I604" s="12" t="s">
        <v>59</v>
      </c>
      <c r="J604" s="14">
        <v>4400</v>
      </c>
      <c r="K604" s="12" t="s">
        <v>863</v>
      </c>
    </row>
    <row r="605" spans="1:11" x14ac:dyDescent="0.35">
      <c r="A605" s="12" t="s">
        <v>511</v>
      </c>
      <c r="B605" s="15">
        <v>2025</v>
      </c>
      <c r="C605" s="13">
        <v>45818</v>
      </c>
      <c r="D605" s="12" t="s">
        <v>515</v>
      </c>
      <c r="E605" s="13">
        <v>45818</v>
      </c>
      <c r="F605" s="15">
        <v>256779414360</v>
      </c>
      <c r="G605" s="12" t="s">
        <v>59</v>
      </c>
      <c r="H605" s="14">
        <v>4400</v>
      </c>
      <c r="I605" s="12" t="s">
        <v>59</v>
      </c>
      <c r="J605" s="14">
        <v>4400</v>
      </c>
      <c r="K605" s="12" t="s">
        <v>864</v>
      </c>
    </row>
    <row r="606" spans="1:11" x14ac:dyDescent="0.35">
      <c r="A606" s="12" t="s">
        <v>511</v>
      </c>
      <c r="B606" s="15">
        <v>2025</v>
      </c>
      <c r="C606" s="13">
        <v>45842</v>
      </c>
      <c r="D606" s="12" t="s">
        <v>515</v>
      </c>
      <c r="E606" s="13">
        <v>45842</v>
      </c>
      <c r="F606" s="15">
        <v>256779414918</v>
      </c>
      <c r="G606" s="12" t="s">
        <v>59</v>
      </c>
      <c r="H606" s="14">
        <v>4400</v>
      </c>
      <c r="I606" s="12" t="s">
        <v>59</v>
      </c>
      <c r="J606" s="14">
        <v>4400</v>
      </c>
      <c r="K606" s="12" t="s">
        <v>865</v>
      </c>
    </row>
    <row r="607" spans="1:11" x14ac:dyDescent="0.35">
      <c r="A607" s="12" t="s">
        <v>511</v>
      </c>
      <c r="B607" s="15">
        <v>2025</v>
      </c>
      <c r="C607" s="13">
        <v>45870</v>
      </c>
      <c r="D607" s="12" t="s">
        <v>515</v>
      </c>
      <c r="E607" s="13">
        <v>45870</v>
      </c>
      <c r="F607" s="15">
        <v>256779416030</v>
      </c>
      <c r="G607" s="12" t="s">
        <v>59</v>
      </c>
      <c r="H607" s="14">
        <v>4400</v>
      </c>
      <c r="I607" s="12" t="s">
        <v>59</v>
      </c>
      <c r="J607" s="14">
        <v>4400</v>
      </c>
      <c r="K607" s="12" t="s">
        <v>866</v>
      </c>
    </row>
    <row r="608" spans="1:11" x14ac:dyDescent="0.35">
      <c r="A608" s="12" t="s">
        <v>511</v>
      </c>
      <c r="B608" s="15">
        <v>2025</v>
      </c>
      <c r="C608" s="13">
        <v>45904</v>
      </c>
      <c r="D608" s="12" t="s">
        <v>515</v>
      </c>
      <c r="E608" s="13">
        <v>45904</v>
      </c>
      <c r="F608" s="15">
        <v>256779417350</v>
      </c>
      <c r="G608" s="12" t="s">
        <v>59</v>
      </c>
      <c r="H608" s="14">
        <v>4400</v>
      </c>
      <c r="I608" s="12" t="s">
        <v>59</v>
      </c>
      <c r="J608" s="14">
        <v>4400</v>
      </c>
      <c r="K608" s="12" t="s">
        <v>867</v>
      </c>
    </row>
    <row r="609" spans="1:11" x14ac:dyDescent="0.35">
      <c r="A609" s="12" t="s">
        <v>511</v>
      </c>
      <c r="B609" s="15">
        <v>2025</v>
      </c>
      <c r="C609" s="13">
        <v>45935</v>
      </c>
      <c r="D609" s="12" t="s">
        <v>515</v>
      </c>
      <c r="E609" s="13">
        <v>45935</v>
      </c>
      <c r="F609" s="15">
        <v>256779417877</v>
      </c>
      <c r="G609" s="12" t="s">
        <v>59</v>
      </c>
      <c r="H609" s="14">
        <v>4400</v>
      </c>
      <c r="I609" s="12" t="s">
        <v>59</v>
      </c>
      <c r="J609" s="14">
        <v>4400</v>
      </c>
      <c r="K609" s="12" t="s">
        <v>868</v>
      </c>
    </row>
    <row r="610" spans="1:11" x14ac:dyDescent="0.35">
      <c r="A610" s="12" t="s">
        <v>511</v>
      </c>
      <c r="B610" s="15">
        <v>2025</v>
      </c>
      <c r="C610" s="13">
        <v>45966</v>
      </c>
      <c r="D610" s="12" t="s">
        <v>515</v>
      </c>
      <c r="E610" s="13">
        <v>45966</v>
      </c>
      <c r="F610" s="15">
        <v>256779418779</v>
      </c>
      <c r="G610" s="12" t="s">
        <v>59</v>
      </c>
      <c r="H610" s="14">
        <v>4400</v>
      </c>
      <c r="I610" s="12" t="s">
        <v>59</v>
      </c>
      <c r="J610" s="14">
        <v>4400</v>
      </c>
      <c r="K610" s="12" t="s">
        <v>869</v>
      </c>
    </row>
    <row r="611" spans="1:11" x14ac:dyDescent="0.35">
      <c r="A611" s="12" t="s">
        <v>511</v>
      </c>
      <c r="B611" s="15">
        <v>2025</v>
      </c>
      <c r="C611" s="13">
        <v>45995</v>
      </c>
      <c r="D611" s="12" t="s">
        <v>515</v>
      </c>
      <c r="E611" s="13">
        <v>45995</v>
      </c>
      <c r="F611" s="15">
        <v>256779419972</v>
      </c>
      <c r="G611" s="12" t="s">
        <v>59</v>
      </c>
      <c r="H611" s="14">
        <v>4400</v>
      </c>
      <c r="I611" s="12" t="s">
        <v>59</v>
      </c>
      <c r="J611" s="14">
        <v>4400</v>
      </c>
      <c r="K611" s="12" t="s">
        <v>870</v>
      </c>
    </row>
    <row r="612" spans="1:11" x14ac:dyDescent="0.35">
      <c r="A612" s="12" t="s">
        <v>511</v>
      </c>
      <c r="B612" s="15">
        <v>2025</v>
      </c>
      <c r="C612" s="13">
        <v>45787</v>
      </c>
      <c r="D612" s="12" t="s">
        <v>515</v>
      </c>
      <c r="E612" s="13">
        <v>45787</v>
      </c>
      <c r="F612" s="15">
        <v>256779413146</v>
      </c>
      <c r="G612" s="12" t="s">
        <v>59</v>
      </c>
      <c r="H612" s="14">
        <v>200000</v>
      </c>
      <c r="I612" s="12" t="s">
        <v>59</v>
      </c>
      <c r="J612" s="14">
        <v>200000</v>
      </c>
      <c r="K612" s="12" t="s">
        <v>863</v>
      </c>
    </row>
    <row r="613" spans="1:11" x14ac:dyDescent="0.35">
      <c r="A613" s="12" t="s">
        <v>511</v>
      </c>
      <c r="B613" s="15">
        <v>2025</v>
      </c>
      <c r="C613" s="13">
        <v>45818</v>
      </c>
      <c r="D613" s="12" t="s">
        <v>515</v>
      </c>
      <c r="E613" s="13">
        <v>45818</v>
      </c>
      <c r="F613" s="15">
        <v>256779414358</v>
      </c>
      <c r="G613" s="12" t="s">
        <v>59</v>
      </c>
      <c r="H613" s="14">
        <v>200000</v>
      </c>
      <c r="I613" s="12" t="s">
        <v>59</v>
      </c>
      <c r="J613" s="14">
        <v>200000</v>
      </c>
      <c r="K613" s="12" t="s">
        <v>864</v>
      </c>
    </row>
    <row r="614" spans="1:11" x14ac:dyDescent="0.35">
      <c r="A614" s="12" t="s">
        <v>511</v>
      </c>
      <c r="B614" s="15">
        <v>2025</v>
      </c>
      <c r="C614" s="13">
        <v>45842</v>
      </c>
      <c r="D614" s="12" t="s">
        <v>515</v>
      </c>
      <c r="E614" s="13">
        <v>45842</v>
      </c>
      <c r="F614" s="15">
        <v>256779414916</v>
      </c>
      <c r="G614" s="12" t="s">
        <v>59</v>
      </c>
      <c r="H614" s="14">
        <v>200000</v>
      </c>
      <c r="I614" s="12" t="s">
        <v>59</v>
      </c>
      <c r="J614" s="14">
        <v>200000</v>
      </c>
      <c r="K614" s="12" t="s">
        <v>865</v>
      </c>
    </row>
    <row r="615" spans="1:11" x14ac:dyDescent="0.35">
      <c r="A615" s="12" t="s">
        <v>511</v>
      </c>
      <c r="B615" s="15">
        <v>2025</v>
      </c>
      <c r="C615" s="13">
        <v>45870</v>
      </c>
      <c r="D615" s="12" t="s">
        <v>515</v>
      </c>
      <c r="E615" s="13">
        <v>45870</v>
      </c>
      <c r="F615" s="15">
        <v>256779416028</v>
      </c>
      <c r="G615" s="12" t="s">
        <v>59</v>
      </c>
      <c r="H615" s="14">
        <v>200000</v>
      </c>
      <c r="I615" s="12" t="s">
        <v>59</v>
      </c>
      <c r="J615" s="14">
        <v>200000</v>
      </c>
      <c r="K615" s="12" t="s">
        <v>866</v>
      </c>
    </row>
    <row r="616" spans="1:11" x14ac:dyDescent="0.35">
      <c r="A616" s="12" t="s">
        <v>511</v>
      </c>
      <c r="B616" s="15">
        <v>2025</v>
      </c>
      <c r="C616" s="13">
        <v>45904</v>
      </c>
      <c r="D616" s="12" t="s">
        <v>515</v>
      </c>
      <c r="E616" s="13">
        <v>45904</v>
      </c>
      <c r="F616" s="15">
        <v>256779417348</v>
      </c>
      <c r="G616" s="12" t="s">
        <v>59</v>
      </c>
      <c r="H616" s="14">
        <v>200000</v>
      </c>
      <c r="I616" s="12" t="s">
        <v>59</v>
      </c>
      <c r="J616" s="14">
        <v>200000</v>
      </c>
      <c r="K616" s="12" t="s">
        <v>867</v>
      </c>
    </row>
    <row r="617" spans="1:11" x14ac:dyDescent="0.35">
      <c r="A617" s="12" t="s">
        <v>511</v>
      </c>
      <c r="B617" s="15">
        <v>2025</v>
      </c>
      <c r="C617" s="13">
        <v>45935</v>
      </c>
      <c r="D617" s="12" t="s">
        <v>515</v>
      </c>
      <c r="E617" s="13">
        <v>45935</v>
      </c>
      <c r="F617" s="15">
        <v>256779417875</v>
      </c>
      <c r="G617" s="12" t="s">
        <v>59</v>
      </c>
      <c r="H617" s="14">
        <v>200000</v>
      </c>
      <c r="I617" s="12" t="s">
        <v>59</v>
      </c>
      <c r="J617" s="14">
        <v>200000</v>
      </c>
      <c r="K617" s="12" t="s">
        <v>868</v>
      </c>
    </row>
    <row r="618" spans="1:11" x14ac:dyDescent="0.35">
      <c r="A618" s="12" t="s">
        <v>511</v>
      </c>
      <c r="B618" s="15">
        <v>2025</v>
      </c>
      <c r="C618" s="13">
        <v>45966</v>
      </c>
      <c r="D618" s="12" t="s">
        <v>515</v>
      </c>
      <c r="E618" s="13">
        <v>45966</v>
      </c>
      <c r="F618" s="15">
        <v>256779418777</v>
      </c>
      <c r="G618" s="12" t="s">
        <v>59</v>
      </c>
      <c r="H618" s="14">
        <v>200000</v>
      </c>
      <c r="I618" s="12" t="s">
        <v>59</v>
      </c>
      <c r="J618" s="14">
        <v>200000</v>
      </c>
      <c r="K618" s="12" t="s">
        <v>869</v>
      </c>
    </row>
    <row r="619" spans="1:11" x14ac:dyDescent="0.35">
      <c r="A619" s="12" t="s">
        <v>511</v>
      </c>
      <c r="B619" s="15">
        <v>2025</v>
      </c>
      <c r="C619" s="13">
        <v>45995</v>
      </c>
      <c r="D619" s="12" t="s">
        <v>515</v>
      </c>
      <c r="E619" s="13">
        <v>45995</v>
      </c>
      <c r="F619" s="15">
        <v>256779419970</v>
      </c>
      <c r="G619" s="12" t="s">
        <v>59</v>
      </c>
      <c r="H619" s="14">
        <v>200000</v>
      </c>
      <c r="I619" s="12" t="s">
        <v>59</v>
      </c>
      <c r="J619" s="14">
        <v>200000</v>
      </c>
      <c r="K619" s="12" t="s">
        <v>870</v>
      </c>
    </row>
    <row r="620" spans="1:11" x14ac:dyDescent="0.35">
      <c r="A620" s="12" t="s">
        <v>511</v>
      </c>
      <c r="B620" s="15">
        <v>2025</v>
      </c>
      <c r="C620" s="13">
        <v>45848</v>
      </c>
      <c r="D620" s="12" t="s">
        <v>515</v>
      </c>
      <c r="E620" s="13">
        <v>45848</v>
      </c>
      <c r="F620" s="15">
        <v>256779415336</v>
      </c>
      <c r="G620" s="12" t="s">
        <v>11</v>
      </c>
      <c r="H620" s="14">
        <v>5</v>
      </c>
      <c r="I620" s="12" t="s">
        <v>59</v>
      </c>
      <c r="J620" s="14">
        <v>430</v>
      </c>
      <c r="K620" s="12" t="s">
        <v>807</v>
      </c>
    </row>
    <row r="621" spans="1:11" x14ac:dyDescent="0.35">
      <c r="A621" s="12" t="s">
        <v>511</v>
      </c>
      <c r="B621" s="15">
        <v>2025</v>
      </c>
      <c r="C621" s="13">
        <v>45848</v>
      </c>
      <c r="D621" s="12" t="s">
        <v>512</v>
      </c>
      <c r="E621" s="13">
        <v>45848</v>
      </c>
      <c r="F621" s="15">
        <v>256779421236</v>
      </c>
      <c r="G621" s="12" t="s">
        <v>11</v>
      </c>
      <c r="H621" s="14">
        <v>-118</v>
      </c>
      <c r="I621" s="12" t="s">
        <v>59</v>
      </c>
      <c r="J621" s="14">
        <v>-10148.08</v>
      </c>
      <c r="K621" s="12" t="s">
        <v>871</v>
      </c>
    </row>
    <row r="622" spans="1:11" x14ac:dyDescent="0.35">
      <c r="A622" s="12" t="s">
        <v>511</v>
      </c>
      <c r="B622" s="15">
        <v>2025</v>
      </c>
      <c r="C622" s="13">
        <v>45890</v>
      </c>
      <c r="D622" s="12" t="s">
        <v>512</v>
      </c>
      <c r="E622" s="13">
        <v>45890</v>
      </c>
      <c r="F622" s="15">
        <v>256779421697</v>
      </c>
      <c r="G622" s="12" t="s">
        <v>11</v>
      </c>
      <c r="H622" s="14">
        <v>-100</v>
      </c>
      <c r="I622" s="12" t="s">
        <v>59</v>
      </c>
      <c r="J622" s="14">
        <v>-8603.01</v>
      </c>
      <c r="K622" s="12" t="s">
        <v>872</v>
      </c>
    </row>
    <row r="623" spans="1:11" x14ac:dyDescent="0.35">
      <c r="A623" s="12" t="s">
        <v>511</v>
      </c>
      <c r="B623" s="15">
        <v>2025</v>
      </c>
      <c r="C623" s="13">
        <v>45762</v>
      </c>
      <c r="D623" s="12" t="s">
        <v>515</v>
      </c>
      <c r="E623" s="13">
        <v>45762</v>
      </c>
      <c r="F623" s="15">
        <v>256779411097</v>
      </c>
      <c r="G623" s="12" t="s">
        <v>11</v>
      </c>
      <c r="H623" s="14">
        <v>118</v>
      </c>
      <c r="I623" s="12" t="s">
        <v>59</v>
      </c>
      <c r="J623" s="14">
        <v>10256.77</v>
      </c>
      <c r="K623" s="12" t="s">
        <v>807</v>
      </c>
    </row>
    <row r="624" spans="1:11" x14ac:dyDescent="0.35">
      <c r="A624" s="12" t="s">
        <v>511</v>
      </c>
      <c r="B624" s="15">
        <v>2025</v>
      </c>
      <c r="C624" s="13">
        <v>45848</v>
      </c>
      <c r="D624" s="12" t="s">
        <v>515</v>
      </c>
      <c r="E624" s="13">
        <v>45848</v>
      </c>
      <c r="F624" s="15">
        <v>256779415303</v>
      </c>
      <c r="G624" s="12" t="s">
        <v>11</v>
      </c>
      <c r="H624" s="14">
        <v>100</v>
      </c>
      <c r="I624" s="12" t="s">
        <v>59</v>
      </c>
      <c r="J624" s="14">
        <v>8600.07</v>
      </c>
      <c r="K624" s="12" t="s">
        <v>807</v>
      </c>
    </row>
    <row r="625" spans="1:11" x14ac:dyDescent="0.35">
      <c r="A625" s="12" t="s">
        <v>511</v>
      </c>
      <c r="B625" s="15">
        <v>2025</v>
      </c>
      <c r="C625" s="13">
        <v>45890</v>
      </c>
      <c r="D625" s="12" t="s">
        <v>512</v>
      </c>
      <c r="E625" s="13">
        <v>45890</v>
      </c>
      <c r="F625" s="15">
        <v>256779421704</v>
      </c>
      <c r="G625" s="12" t="s">
        <v>11</v>
      </c>
      <c r="H625" s="14">
        <v>-8.48</v>
      </c>
      <c r="I625" s="12" t="s">
        <v>59</v>
      </c>
      <c r="J625" s="14">
        <v>-729.54</v>
      </c>
      <c r="K625" s="12" t="s">
        <v>873</v>
      </c>
    </row>
    <row r="626" spans="1:11" x14ac:dyDescent="0.35">
      <c r="A626" s="12" t="s">
        <v>511</v>
      </c>
      <c r="B626" s="15">
        <v>2025</v>
      </c>
      <c r="C626" s="13">
        <v>45720</v>
      </c>
      <c r="D626" s="12" t="s">
        <v>515</v>
      </c>
      <c r="E626" s="13">
        <v>45720</v>
      </c>
      <c r="F626" s="15">
        <v>246779410743</v>
      </c>
      <c r="G626" s="12" t="s">
        <v>11</v>
      </c>
      <c r="H626" s="14">
        <v>3</v>
      </c>
      <c r="I626" s="12" t="s">
        <v>59</v>
      </c>
      <c r="J626" s="14">
        <v>260.07</v>
      </c>
      <c r="K626" s="12" t="s">
        <v>874</v>
      </c>
    </row>
    <row r="627" spans="1:11" x14ac:dyDescent="0.35">
      <c r="A627" s="12" t="s">
        <v>511</v>
      </c>
      <c r="B627" s="15">
        <v>2025</v>
      </c>
      <c r="C627" s="13">
        <v>45720</v>
      </c>
      <c r="D627" s="12" t="s">
        <v>515</v>
      </c>
      <c r="E627" s="13">
        <v>45720</v>
      </c>
      <c r="F627" s="15">
        <v>246779410826</v>
      </c>
      <c r="G627" s="12" t="s">
        <v>11</v>
      </c>
      <c r="H627" s="14">
        <v>3</v>
      </c>
      <c r="I627" s="12" t="s">
        <v>59</v>
      </c>
      <c r="J627" s="14">
        <v>260.07</v>
      </c>
      <c r="K627" s="12" t="s">
        <v>875</v>
      </c>
    </row>
    <row r="628" spans="1:11" x14ac:dyDescent="0.35">
      <c r="A628" s="12" t="s">
        <v>511</v>
      </c>
      <c r="B628" s="15">
        <v>2025</v>
      </c>
      <c r="C628" s="13">
        <v>45720</v>
      </c>
      <c r="D628" s="12" t="s">
        <v>515</v>
      </c>
      <c r="E628" s="13">
        <v>45720</v>
      </c>
      <c r="F628" s="15">
        <v>246779410665</v>
      </c>
      <c r="G628" s="12" t="s">
        <v>11</v>
      </c>
      <c r="H628" s="14">
        <v>3.54</v>
      </c>
      <c r="I628" s="12" t="s">
        <v>59</v>
      </c>
      <c r="J628" s="14">
        <v>306.89</v>
      </c>
      <c r="K628" s="12" t="s">
        <v>733</v>
      </c>
    </row>
    <row r="629" spans="1:11" x14ac:dyDescent="0.35">
      <c r="A629" s="12" t="s">
        <v>511</v>
      </c>
      <c r="B629" s="15">
        <v>2025</v>
      </c>
      <c r="C629" s="13">
        <v>45751</v>
      </c>
      <c r="D629" s="12" t="s">
        <v>515</v>
      </c>
      <c r="E629" s="13">
        <v>45751</v>
      </c>
      <c r="F629" s="15">
        <v>256779410801</v>
      </c>
      <c r="G629" s="12" t="s">
        <v>11</v>
      </c>
      <c r="H629" s="14">
        <v>2829.48</v>
      </c>
      <c r="I629" s="12" t="s">
        <v>59</v>
      </c>
      <c r="J629" s="14">
        <v>245943.55</v>
      </c>
      <c r="K629" s="12" t="s">
        <v>876</v>
      </c>
    </row>
    <row r="630" spans="1:11" x14ac:dyDescent="0.35">
      <c r="A630" s="12" t="s">
        <v>511</v>
      </c>
      <c r="B630" s="15">
        <v>2025</v>
      </c>
      <c r="C630" s="13">
        <v>45751</v>
      </c>
      <c r="D630" s="12" t="s">
        <v>515</v>
      </c>
      <c r="E630" s="13">
        <v>45751</v>
      </c>
      <c r="F630" s="15">
        <v>256779410819</v>
      </c>
      <c r="G630" s="12" t="s">
        <v>11</v>
      </c>
      <c r="H630" s="14">
        <v>1913.97</v>
      </c>
      <c r="I630" s="12" t="s">
        <v>59</v>
      </c>
      <c r="J630" s="14">
        <v>166365.76000000001</v>
      </c>
      <c r="K630" s="12" t="s">
        <v>877</v>
      </c>
    </row>
    <row r="631" spans="1:11" x14ac:dyDescent="0.35">
      <c r="A631" s="12" t="s">
        <v>511</v>
      </c>
      <c r="B631" s="15">
        <v>2025</v>
      </c>
      <c r="C631" s="13">
        <v>45722</v>
      </c>
      <c r="D631" s="12" t="s">
        <v>515</v>
      </c>
      <c r="E631" s="13">
        <v>45722</v>
      </c>
      <c r="F631" s="15">
        <v>246779410882</v>
      </c>
      <c r="G631" s="12" t="s">
        <v>11</v>
      </c>
      <c r="H631" s="14">
        <v>2232.73</v>
      </c>
      <c r="I631" s="12" t="s">
        <v>59</v>
      </c>
      <c r="J631" s="14">
        <v>193558.18</v>
      </c>
      <c r="K631" s="12" t="s">
        <v>878</v>
      </c>
    </row>
    <row r="632" spans="1:11" x14ac:dyDescent="0.35">
      <c r="A632" s="12" t="s">
        <v>511</v>
      </c>
      <c r="B632" s="15">
        <v>2025</v>
      </c>
      <c r="C632" s="13">
        <v>45722</v>
      </c>
      <c r="D632" s="12" t="s">
        <v>515</v>
      </c>
      <c r="E632" s="13">
        <v>45722</v>
      </c>
      <c r="F632" s="15">
        <v>246779410904</v>
      </c>
      <c r="G632" s="12" t="s">
        <v>11</v>
      </c>
      <c r="H632" s="14">
        <v>1665.82</v>
      </c>
      <c r="I632" s="12" t="s">
        <v>59</v>
      </c>
      <c r="J632" s="14">
        <v>144412.03</v>
      </c>
      <c r="K632" s="12" t="s">
        <v>879</v>
      </c>
    </row>
    <row r="633" spans="1:11" x14ac:dyDescent="0.35">
      <c r="A633" s="12" t="s">
        <v>511</v>
      </c>
      <c r="B633" s="15">
        <v>2025</v>
      </c>
      <c r="C633" s="13">
        <v>45719</v>
      </c>
      <c r="D633" s="12" t="s">
        <v>515</v>
      </c>
      <c r="E633" s="13">
        <v>45719</v>
      </c>
      <c r="F633" s="15">
        <v>246779410436</v>
      </c>
      <c r="G633" s="12" t="s">
        <v>11</v>
      </c>
      <c r="H633" s="14">
        <v>1332.41</v>
      </c>
      <c r="I633" s="12" t="s">
        <v>59</v>
      </c>
      <c r="J633" s="14">
        <v>115508.3</v>
      </c>
      <c r="K633" s="12" t="s">
        <v>880</v>
      </c>
    </row>
    <row r="634" spans="1:11" x14ac:dyDescent="0.35">
      <c r="A634" s="12" t="s">
        <v>511</v>
      </c>
      <c r="B634" s="15">
        <v>2025</v>
      </c>
      <c r="C634" s="13">
        <v>45719</v>
      </c>
      <c r="D634" s="12" t="s">
        <v>515</v>
      </c>
      <c r="E634" s="13">
        <v>45719</v>
      </c>
      <c r="F634" s="15">
        <v>246779410389</v>
      </c>
      <c r="G634" s="12" t="s">
        <v>11</v>
      </c>
      <c r="H634" s="14">
        <v>542.08000000000004</v>
      </c>
      <c r="I634" s="12" t="s">
        <v>59</v>
      </c>
      <c r="J634" s="14">
        <v>46993.599999999999</v>
      </c>
      <c r="K634" s="12" t="s">
        <v>881</v>
      </c>
    </row>
    <row r="635" spans="1:11" x14ac:dyDescent="0.35">
      <c r="A635" s="12" t="s">
        <v>511</v>
      </c>
      <c r="B635" s="15">
        <v>2025</v>
      </c>
      <c r="C635" s="13">
        <v>45719</v>
      </c>
      <c r="D635" s="12" t="s">
        <v>515</v>
      </c>
      <c r="E635" s="13">
        <v>45719</v>
      </c>
      <c r="F635" s="15">
        <v>246779410413</v>
      </c>
      <c r="G635" s="12" t="s">
        <v>11</v>
      </c>
      <c r="H635" s="14">
        <v>694.12</v>
      </c>
      <c r="I635" s="12" t="s">
        <v>59</v>
      </c>
      <c r="J635" s="14">
        <v>60174.14</v>
      </c>
      <c r="K635" s="12" t="s">
        <v>882</v>
      </c>
    </row>
    <row r="636" spans="1:11" x14ac:dyDescent="0.35">
      <c r="A636" s="12" t="s">
        <v>511</v>
      </c>
      <c r="B636" s="15">
        <v>2025</v>
      </c>
      <c r="C636" s="13">
        <v>45719</v>
      </c>
      <c r="D636" s="12" t="s">
        <v>515</v>
      </c>
      <c r="E636" s="13">
        <v>45719</v>
      </c>
      <c r="F636" s="15">
        <v>246779410482</v>
      </c>
      <c r="G636" s="12" t="s">
        <v>11</v>
      </c>
      <c r="H636" s="14">
        <v>3.54</v>
      </c>
      <c r="I636" s="12" t="s">
        <v>59</v>
      </c>
      <c r="J636" s="14">
        <v>306.89</v>
      </c>
      <c r="K636" s="12" t="s">
        <v>855</v>
      </c>
    </row>
    <row r="637" spans="1:11" x14ac:dyDescent="0.35">
      <c r="A637" s="12" t="s">
        <v>511</v>
      </c>
      <c r="B637" s="15">
        <v>2025</v>
      </c>
      <c r="C637" s="13">
        <v>45719</v>
      </c>
      <c r="D637" s="12" t="s">
        <v>515</v>
      </c>
      <c r="E637" s="13">
        <v>45719</v>
      </c>
      <c r="F637" s="15">
        <v>246779410483</v>
      </c>
      <c r="G637" s="12" t="s">
        <v>11</v>
      </c>
      <c r="H637" s="14">
        <v>3.54</v>
      </c>
      <c r="I637" s="12" t="s">
        <v>59</v>
      </c>
      <c r="J637" s="14">
        <v>306.89</v>
      </c>
      <c r="K637" s="12" t="s">
        <v>855</v>
      </c>
    </row>
    <row r="638" spans="1:11" x14ac:dyDescent="0.35">
      <c r="A638" s="12" t="s">
        <v>511</v>
      </c>
      <c r="B638" s="15">
        <v>2025</v>
      </c>
      <c r="C638" s="13">
        <v>45733</v>
      </c>
      <c r="D638" s="12" t="s">
        <v>515</v>
      </c>
      <c r="E638" s="13">
        <v>45733</v>
      </c>
      <c r="F638" s="15">
        <v>246779411593</v>
      </c>
      <c r="G638" s="12" t="s">
        <v>11</v>
      </c>
      <c r="H638" s="14">
        <v>40.1</v>
      </c>
      <c r="I638" s="12" t="s">
        <v>59</v>
      </c>
      <c r="J638" s="14">
        <v>3476.32</v>
      </c>
      <c r="K638" s="12" t="s">
        <v>883</v>
      </c>
    </row>
    <row r="639" spans="1:11" x14ac:dyDescent="0.35">
      <c r="A639" s="12" t="s">
        <v>511</v>
      </c>
      <c r="B639" s="15">
        <v>2025</v>
      </c>
      <c r="C639" s="13">
        <v>45733</v>
      </c>
      <c r="D639" s="12" t="s">
        <v>515</v>
      </c>
      <c r="E639" s="13">
        <v>45733</v>
      </c>
      <c r="F639" s="15">
        <v>246779411594</v>
      </c>
      <c r="G639" s="12" t="s">
        <v>11</v>
      </c>
      <c r="H639" s="14">
        <v>17.190000000000001</v>
      </c>
      <c r="I639" s="12" t="s">
        <v>59</v>
      </c>
      <c r="J639" s="14">
        <v>1490.22</v>
      </c>
      <c r="K639" s="12" t="s">
        <v>883</v>
      </c>
    </row>
    <row r="640" spans="1:11" x14ac:dyDescent="0.35">
      <c r="A640" s="12" t="s">
        <v>511</v>
      </c>
      <c r="B640" s="15">
        <v>2025</v>
      </c>
      <c r="C640" s="13">
        <v>45733</v>
      </c>
      <c r="D640" s="12" t="s">
        <v>515</v>
      </c>
      <c r="E640" s="13">
        <v>45733</v>
      </c>
      <c r="F640" s="15">
        <v>246779411595</v>
      </c>
      <c r="G640" s="12" t="s">
        <v>11</v>
      </c>
      <c r="H640" s="14">
        <v>51.56</v>
      </c>
      <c r="I640" s="12" t="s">
        <v>59</v>
      </c>
      <c r="J640" s="14">
        <v>4469.8</v>
      </c>
      <c r="K640" s="12" t="s">
        <v>883</v>
      </c>
    </row>
    <row r="641" spans="1:11" x14ac:dyDescent="0.35">
      <c r="A641" s="12" t="s">
        <v>511</v>
      </c>
      <c r="B641" s="15">
        <v>2025</v>
      </c>
      <c r="C641" s="13">
        <v>45733</v>
      </c>
      <c r="D641" s="12" t="s">
        <v>515</v>
      </c>
      <c r="E641" s="13">
        <v>45733</v>
      </c>
      <c r="F641" s="15">
        <v>246779411596</v>
      </c>
      <c r="G641" s="12" t="s">
        <v>11</v>
      </c>
      <c r="H641" s="14">
        <v>74.47</v>
      </c>
      <c r="I641" s="12" t="s">
        <v>59</v>
      </c>
      <c r="J641" s="14">
        <v>6455.9</v>
      </c>
      <c r="K641" s="12" t="s">
        <v>883</v>
      </c>
    </row>
    <row r="642" spans="1:11" x14ac:dyDescent="0.35">
      <c r="A642" s="12" t="s">
        <v>511</v>
      </c>
      <c r="B642" s="15">
        <v>2025</v>
      </c>
      <c r="C642" s="13">
        <v>45733</v>
      </c>
      <c r="D642" s="12" t="s">
        <v>515</v>
      </c>
      <c r="E642" s="13">
        <v>45733</v>
      </c>
      <c r="F642" s="15">
        <v>246779411597</v>
      </c>
      <c r="G642" s="12" t="s">
        <v>11</v>
      </c>
      <c r="H642" s="14">
        <v>57.29</v>
      </c>
      <c r="I642" s="12" t="s">
        <v>59</v>
      </c>
      <c r="J642" s="14">
        <v>4966.54</v>
      </c>
      <c r="K642" s="12" t="s">
        <v>883</v>
      </c>
    </row>
    <row r="643" spans="1:11" x14ac:dyDescent="0.35">
      <c r="A643" s="12" t="s">
        <v>511</v>
      </c>
      <c r="B643" s="15">
        <v>2025</v>
      </c>
      <c r="C643" s="13">
        <v>45733</v>
      </c>
      <c r="D643" s="12" t="s">
        <v>515</v>
      </c>
      <c r="E643" s="13">
        <v>45733</v>
      </c>
      <c r="F643" s="15">
        <v>246779411598</v>
      </c>
      <c r="G643" s="12" t="s">
        <v>11</v>
      </c>
      <c r="H643" s="14">
        <v>91.66</v>
      </c>
      <c r="I643" s="12" t="s">
        <v>59</v>
      </c>
      <c r="J643" s="14">
        <v>7946.12</v>
      </c>
      <c r="K643" s="12" t="s">
        <v>883</v>
      </c>
    </row>
    <row r="644" spans="1:11" x14ac:dyDescent="0.35">
      <c r="A644" s="12" t="s">
        <v>511</v>
      </c>
      <c r="B644" s="15">
        <v>2025</v>
      </c>
      <c r="C644" s="13">
        <v>45733</v>
      </c>
      <c r="D644" s="12" t="s">
        <v>515</v>
      </c>
      <c r="E644" s="13">
        <v>45733</v>
      </c>
      <c r="F644" s="15">
        <v>246779411599</v>
      </c>
      <c r="G644" s="12" t="s">
        <v>11</v>
      </c>
      <c r="H644" s="14">
        <v>37.950000000000003</v>
      </c>
      <c r="I644" s="12" t="s">
        <v>59</v>
      </c>
      <c r="J644" s="14">
        <v>3289.93</v>
      </c>
      <c r="K644" s="12" t="s">
        <v>883</v>
      </c>
    </row>
    <row r="645" spans="1:11" x14ac:dyDescent="0.35">
      <c r="A645" s="12" t="s">
        <v>511</v>
      </c>
      <c r="B645" s="15">
        <v>2025</v>
      </c>
      <c r="C645" s="13">
        <v>45733</v>
      </c>
      <c r="D645" s="12" t="s">
        <v>515</v>
      </c>
      <c r="E645" s="13">
        <v>45733</v>
      </c>
      <c r="F645" s="15">
        <v>246779411600</v>
      </c>
      <c r="G645" s="12" t="s">
        <v>11</v>
      </c>
      <c r="H645" s="14">
        <v>2.6</v>
      </c>
      <c r="I645" s="12" t="s">
        <v>59</v>
      </c>
      <c r="J645" s="14">
        <v>225.4</v>
      </c>
      <c r="K645" s="12" t="s">
        <v>883</v>
      </c>
    </row>
    <row r="646" spans="1:11" x14ac:dyDescent="0.35">
      <c r="A646" s="12" t="s">
        <v>511</v>
      </c>
      <c r="B646" s="15">
        <v>2025</v>
      </c>
      <c r="C646" s="13">
        <v>45733</v>
      </c>
      <c r="D646" s="12" t="s">
        <v>515</v>
      </c>
      <c r="E646" s="13">
        <v>45733</v>
      </c>
      <c r="F646" s="15">
        <v>246779411601</v>
      </c>
      <c r="G646" s="12" t="s">
        <v>11</v>
      </c>
      <c r="H646" s="14">
        <v>23.39</v>
      </c>
      <c r="I646" s="12" t="s">
        <v>59</v>
      </c>
      <c r="J646" s="14">
        <v>2027.71</v>
      </c>
      <c r="K646" s="12" t="s">
        <v>883</v>
      </c>
    </row>
    <row r="647" spans="1:11" x14ac:dyDescent="0.35">
      <c r="A647" s="12" t="s">
        <v>511</v>
      </c>
      <c r="B647" s="15">
        <v>2025</v>
      </c>
      <c r="C647" s="13">
        <v>45733</v>
      </c>
      <c r="D647" s="12" t="s">
        <v>515</v>
      </c>
      <c r="E647" s="13">
        <v>45733</v>
      </c>
      <c r="F647" s="15">
        <v>246779411637</v>
      </c>
      <c r="G647" s="12" t="s">
        <v>11</v>
      </c>
      <c r="H647" s="14">
        <v>429.65</v>
      </c>
      <c r="I647" s="12" t="s">
        <v>59</v>
      </c>
      <c r="J647" s="14">
        <v>37246.9</v>
      </c>
      <c r="K647" s="12" t="s">
        <v>883</v>
      </c>
    </row>
    <row r="648" spans="1:11" x14ac:dyDescent="0.35">
      <c r="A648" s="12" t="s">
        <v>511</v>
      </c>
      <c r="B648" s="15">
        <v>2025</v>
      </c>
      <c r="C648" s="13">
        <v>45733</v>
      </c>
      <c r="D648" s="12" t="s">
        <v>515</v>
      </c>
      <c r="E648" s="13">
        <v>45733</v>
      </c>
      <c r="F648" s="15">
        <v>246779411717</v>
      </c>
      <c r="G648" s="12" t="s">
        <v>11</v>
      </c>
      <c r="H648" s="14">
        <v>45.67</v>
      </c>
      <c r="I648" s="12" t="s">
        <v>59</v>
      </c>
      <c r="J648" s="14">
        <v>3959.19</v>
      </c>
      <c r="K648" s="12" t="s">
        <v>834</v>
      </c>
    </row>
    <row r="649" spans="1:11" x14ac:dyDescent="0.35">
      <c r="A649" s="12" t="s">
        <v>511</v>
      </c>
      <c r="B649" s="15">
        <v>2025</v>
      </c>
      <c r="C649" s="13">
        <v>45733</v>
      </c>
      <c r="D649" s="12" t="s">
        <v>515</v>
      </c>
      <c r="E649" s="13">
        <v>45733</v>
      </c>
      <c r="F649" s="15">
        <v>246779411723</v>
      </c>
      <c r="G649" s="12" t="s">
        <v>11</v>
      </c>
      <c r="H649" s="14">
        <v>45.67</v>
      </c>
      <c r="I649" s="12" t="s">
        <v>59</v>
      </c>
      <c r="J649" s="14">
        <v>3959.19</v>
      </c>
      <c r="K649" s="12" t="s">
        <v>834</v>
      </c>
    </row>
    <row r="650" spans="1:11" x14ac:dyDescent="0.35">
      <c r="A650" s="12" t="s">
        <v>511</v>
      </c>
      <c r="B650" s="15">
        <v>2025</v>
      </c>
      <c r="C650" s="13">
        <v>45733</v>
      </c>
      <c r="D650" s="12" t="s">
        <v>515</v>
      </c>
      <c r="E650" s="13">
        <v>45733</v>
      </c>
      <c r="F650" s="15">
        <v>246779411724</v>
      </c>
      <c r="G650" s="12" t="s">
        <v>11</v>
      </c>
      <c r="H650" s="14">
        <v>68.5</v>
      </c>
      <c r="I650" s="12" t="s">
        <v>59</v>
      </c>
      <c r="J650" s="14">
        <v>5938.35</v>
      </c>
      <c r="K650" s="12" t="s">
        <v>834</v>
      </c>
    </row>
    <row r="651" spans="1:11" x14ac:dyDescent="0.35">
      <c r="A651" s="12" t="s">
        <v>511</v>
      </c>
      <c r="B651" s="15">
        <v>2025</v>
      </c>
      <c r="C651" s="13">
        <v>45733</v>
      </c>
      <c r="D651" s="12" t="s">
        <v>515</v>
      </c>
      <c r="E651" s="13">
        <v>45733</v>
      </c>
      <c r="F651" s="15">
        <v>246779411725</v>
      </c>
      <c r="G651" s="12" t="s">
        <v>11</v>
      </c>
      <c r="H651" s="14">
        <v>22.83</v>
      </c>
      <c r="I651" s="12" t="s">
        <v>59</v>
      </c>
      <c r="J651" s="14">
        <v>1979.16</v>
      </c>
      <c r="K651" s="12" t="s">
        <v>834</v>
      </c>
    </row>
    <row r="652" spans="1:11" x14ac:dyDescent="0.35">
      <c r="A652" s="12" t="s">
        <v>511</v>
      </c>
      <c r="B652" s="15">
        <v>2025</v>
      </c>
      <c r="C652" s="13">
        <v>45733</v>
      </c>
      <c r="D652" s="12" t="s">
        <v>515</v>
      </c>
      <c r="E652" s="13">
        <v>45733</v>
      </c>
      <c r="F652" s="15">
        <v>246779411726</v>
      </c>
      <c r="G652" s="12" t="s">
        <v>11</v>
      </c>
      <c r="H652" s="14">
        <v>28.54</v>
      </c>
      <c r="I652" s="12" t="s">
        <v>59</v>
      </c>
      <c r="J652" s="14">
        <v>2474.17</v>
      </c>
      <c r="K652" s="12" t="s">
        <v>834</v>
      </c>
    </row>
    <row r="653" spans="1:11" x14ac:dyDescent="0.35">
      <c r="A653" s="12" t="s">
        <v>511</v>
      </c>
      <c r="B653" s="15">
        <v>2025</v>
      </c>
      <c r="C653" s="13">
        <v>45733</v>
      </c>
      <c r="D653" s="12" t="s">
        <v>515</v>
      </c>
      <c r="E653" s="13">
        <v>45733</v>
      </c>
      <c r="F653" s="15">
        <v>246779411727</v>
      </c>
      <c r="G653" s="12" t="s">
        <v>11</v>
      </c>
      <c r="H653" s="14">
        <v>17.12</v>
      </c>
      <c r="I653" s="12" t="s">
        <v>59</v>
      </c>
      <c r="J653" s="14">
        <v>1484.15</v>
      </c>
      <c r="K653" s="12" t="s">
        <v>834</v>
      </c>
    </row>
    <row r="654" spans="1:11" x14ac:dyDescent="0.35">
      <c r="A654" s="12" t="s">
        <v>511</v>
      </c>
      <c r="B654" s="15">
        <v>2025</v>
      </c>
      <c r="C654" s="13">
        <v>45733</v>
      </c>
      <c r="D654" s="12" t="s">
        <v>515</v>
      </c>
      <c r="E654" s="13">
        <v>45733</v>
      </c>
      <c r="F654" s="15">
        <v>246779411728</v>
      </c>
      <c r="G654" s="12" t="s">
        <v>11</v>
      </c>
      <c r="H654" s="14">
        <v>11.42</v>
      </c>
      <c r="I654" s="12" t="s">
        <v>59</v>
      </c>
      <c r="J654" s="14">
        <v>990.01</v>
      </c>
      <c r="K654" s="12" t="s">
        <v>834</v>
      </c>
    </row>
    <row r="655" spans="1:11" x14ac:dyDescent="0.35">
      <c r="A655" s="12" t="s">
        <v>511</v>
      </c>
      <c r="B655" s="15">
        <v>2025</v>
      </c>
      <c r="C655" s="13">
        <v>45733</v>
      </c>
      <c r="D655" s="12" t="s">
        <v>515</v>
      </c>
      <c r="E655" s="13">
        <v>45733</v>
      </c>
      <c r="F655" s="15">
        <v>246779411729</v>
      </c>
      <c r="G655" s="12" t="s">
        <v>11</v>
      </c>
      <c r="H655" s="14">
        <v>34.25</v>
      </c>
      <c r="I655" s="12" t="s">
        <v>59</v>
      </c>
      <c r="J655" s="14">
        <v>2969.18</v>
      </c>
      <c r="K655" s="12" t="s">
        <v>834</v>
      </c>
    </row>
    <row r="656" spans="1:11" x14ac:dyDescent="0.35">
      <c r="A656" s="12" t="s">
        <v>511</v>
      </c>
      <c r="B656" s="15">
        <v>2025</v>
      </c>
      <c r="C656" s="13">
        <v>45733</v>
      </c>
      <c r="D656" s="12" t="s">
        <v>515</v>
      </c>
      <c r="E656" s="13">
        <v>45733</v>
      </c>
      <c r="F656" s="15">
        <v>246779411730</v>
      </c>
      <c r="G656" s="12" t="s">
        <v>11</v>
      </c>
      <c r="H656" s="14">
        <v>11.42</v>
      </c>
      <c r="I656" s="12" t="s">
        <v>59</v>
      </c>
      <c r="J656" s="14">
        <v>990.01</v>
      </c>
      <c r="K656" s="12" t="s">
        <v>834</v>
      </c>
    </row>
    <row r="657" spans="1:11" x14ac:dyDescent="0.35">
      <c r="A657" s="12" t="s">
        <v>511</v>
      </c>
      <c r="B657" s="15">
        <v>2025</v>
      </c>
      <c r="C657" s="13">
        <v>45733</v>
      </c>
      <c r="D657" s="12" t="s">
        <v>515</v>
      </c>
      <c r="E657" s="13">
        <v>45733</v>
      </c>
      <c r="F657" s="15">
        <v>246779411731</v>
      </c>
      <c r="G657" s="12" t="s">
        <v>11</v>
      </c>
      <c r="H657" s="14">
        <v>22.83</v>
      </c>
      <c r="I657" s="12" t="s">
        <v>59</v>
      </c>
      <c r="J657" s="14">
        <v>1979.16</v>
      </c>
      <c r="K657" s="12" t="s">
        <v>834</v>
      </c>
    </row>
    <row r="658" spans="1:11" x14ac:dyDescent="0.35">
      <c r="A658" s="12" t="s">
        <v>511</v>
      </c>
      <c r="B658" s="15">
        <v>2025</v>
      </c>
      <c r="C658" s="13">
        <v>45733</v>
      </c>
      <c r="D658" s="12" t="s">
        <v>515</v>
      </c>
      <c r="E658" s="13">
        <v>45733</v>
      </c>
      <c r="F658" s="15">
        <v>246779411732</v>
      </c>
      <c r="G658" s="12" t="s">
        <v>11</v>
      </c>
      <c r="H658" s="14">
        <v>28.54</v>
      </c>
      <c r="I658" s="12" t="s">
        <v>59</v>
      </c>
      <c r="J658" s="14">
        <v>2474.17</v>
      </c>
      <c r="K658" s="12" t="s">
        <v>834</v>
      </c>
    </row>
    <row r="659" spans="1:11" x14ac:dyDescent="0.35">
      <c r="A659" s="12" t="s">
        <v>511</v>
      </c>
      <c r="B659" s="15">
        <v>2025</v>
      </c>
      <c r="C659" s="13">
        <v>45733</v>
      </c>
      <c r="D659" s="12" t="s">
        <v>515</v>
      </c>
      <c r="E659" s="13">
        <v>45733</v>
      </c>
      <c r="F659" s="15">
        <v>246779411897</v>
      </c>
      <c r="G659" s="12" t="s">
        <v>11</v>
      </c>
      <c r="H659" s="14">
        <v>22.72</v>
      </c>
      <c r="I659" s="12" t="s">
        <v>59</v>
      </c>
      <c r="J659" s="14">
        <v>1969.63</v>
      </c>
      <c r="K659" s="12" t="s">
        <v>835</v>
      </c>
    </row>
    <row r="660" spans="1:11" x14ac:dyDescent="0.35">
      <c r="A660" s="12" t="s">
        <v>511</v>
      </c>
      <c r="B660" s="15">
        <v>2025</v>
      </c>
      <c r="C660" s="13">
        <v>45733</v>
      </c>
      <c r="D660" s="12" t="s">
        <v>515</v>
      </c>
      <c r="E660" s="13">
        <v>45733</v>
      </c>
      <c r="F660" s="15">
        <v>246779411898</v>
      </c>
      <c r="G660" s="12" t="s">
        <v>11</v>
      </c>
      <c r="H660" s="14">
        <v>7.1</v>
      </c>
      <c r="I660" s="12" t="s">
        <v>59</v>
      </c>
      <c r="J660" s="14">
        <v>615.51</v>
      </c>
      <c r="K660" s="12" t="s">
        <v>835</v>
      </c>
    </row>
    <row r="661" spans="1:11" x14ac:dyDescent="0.35">
      <c r="A661" s="12" t="s">
        <v>511</v>
      </c>
      <c r="B661" s="15">
        <v>2025</v>
      </c>
      <c r="C661" s="13">
        <v>45733</v>
      </c>
      <c r="D661" s="12" t="s">
        <v>515</v>
      </c>
      <c r="E661" s="13">
        <v>45733</v>
      </c>
      <c r="F661" s="15">
        <v>246779411899</v>
      </c>
      <c r="G661" s="12" t="s">
        <v>11</v>
      </c>
      <c r="H661" s="14">
        <v>62.49</v>
      </c>
      <c r="I661" s="12" t="s">
        <v>59</v>
      </c>
      <c r="J661" s="14">
        <v>5417.34</v>
      </c>
      <c r="K661" s="12" t="s">
        <v>835</v>
      </c>
    </row>
    <row r="662" spans="1:11" x14ac:dyDescent="0.35">
      <c r="A662" s="12" t="s">
        <v>511</v>
      </c>
      <c r="B662" s="15">
        <v>2025</v>
      </c>
      <c r="C662" s="13">
        <v>45733</v>
      </c>
      <c r="D662" s="12" t="s">
        <v>515</v>
      </c>
      <c r="E662" s="13">
        <v>45733</v>
      </c>
      <c r="F662" s="15">
        <v>246779411900</v>
      </c>
      <c r="G662" s="12" t="s">
        <v>11</v>
      </c>
      <c r="H662" s="14">
        <v>73.849999999999994</v>
      </c>
      <c r="I662" s="12" t="s">
        <v>59</v>
      </c>
      <c r="J662" s="14">
        <v>6402.15</v>
      </c>
      <c r="K662" s="12" t="s">
        <v>835</v>
      </c>
    </row>
    <row r="663" spans="1:11" x14ac:dyDescent="0.35">
      <c r="A663" s="12" t="s">
        <v>511</v>
      </c>
      <c r="B663" s="15">
        <v>2025</v>
      </c>
      <c r="C663" s="13">
        <v>45733</v>
      </c>
      <c r="D663" s="12" t="s">
        <v>515</v>
      </c>
      <c r="E663" s="13">
        <v>45733</v>
      </c>
      <c r="F663" s="15">
        <v>246779411901</v>
      </c>
      <c r="G663" s="12" t="s">
        <v>11</v>
      </c>
      <c r="H663" s="14">
        <v>12.78</v>
      </c>
      <c r="I663" s="12" t="s">
        <v>59</v>
      </c>
      <c r="J663" s="14">
        <v>1107.9100000000001</v>
      </c>
      <c r="K663" s="12" t="s">
        <v>835</v>
      </c>
    </row>
    <row r="664" spans="1:11" x14ac:dyDescent="0.35">
      <c r="A664" s="12" t="s">
        <v>511</v>
      </c>
      <c r="B664" s="15">
        <v>2025</v>
      </c>
      <c r="C664" s="13">
        <v>45733</v>
      </c>
      <c r="D664" s="12" t="s">
        <v>515</v>
      </c>
      <c r="E664" s="13">
        <v>45733</v>
      </c>
      <c r="F664" s="15">
        <v>246779411902</v>
      </c>
      <c r="G664" s="12" t="s">
        <v>11</v>
      </c>
      <c r="H664" s="14">
        <v>2.13</v>
      </c>
      <c r="I664" s="12" t="s">
        <v>59</v>
      </c>
      <c r="J664" s="14">
        <v>184.65</v>
      </c>
      <c r="K664" s="12" t="s">
        <v>835</v>
      </c>
    </row>
    <row r="665" spans="1:11" x14ac:dyDescent="0.35">
      <c r="A665" s="12" t="s">
        <v>511</v>
      </c>
      <c r="B665" s="15">
        <v>2025</v>
      </c>
      <c r="C665" s="13">
        <v>45733</v>
      </c>
      <c r="D665" s="12" t="s">
        <v>515</v>
      </c>
      <c r="E665" s="13">
        <v>45733</v>
      </c>
      <c r="F665" s="15">
        <v>246779411903</v>
      </c>
      <c r="G665" s="12" t="s">
        <v>11</v>
      </c>
      <c r="H665" s="14">
        <v>3.55</v>
      </c>
      <c r="I665" s="12" t="s">
        <v>59</v>
      </c>
      <c r="J665" s="14">
        <v>307.75</v>
      </c>
      <c r="K665" s="12" t="s">
        <v>835</v>
      </c>
    </row>
    <row r="666" spans="1:11" x14ac:dyDescent="0.35">
      <c r="A666" s="12" t="s">
        <v>511</v>
      </c>
      <c r="B666" s="15">
        <v>2025</v>
      </c>
      <c r="C666" s="13">
        <v>45733</v>
      </c>
      <c r="D666" s="12" t="s">
        <v>515</v>
      </c>
      <c r="E666" s="13">
        <v>45733</v>
      </c>
      <c r="F666" s="15">
        <v>246779411904</v>
      </c>
      <c r="G666" s="12" t="s">
        <v>11</v>
      </c>
      <c r="H666" s="14">
        <v>58.94</v>
      </c>
      <c r="I666" s="12" t="s">
        <v>59</v>
      </c>
      <c r="J666" s="14">
        <v>5109.58</v>
      </c>
      <c r="K666" s="12" t="s">
        <v>835</v>
      </c>
    </row>
    <row r="667" spans="1:11" x14ac:dyDescent="0.35">
      <c r="A667" s="12" t="s">
        <v>511</v>
      </c>
      <c r="B667" s="15">
        <v>2025</v>
      </c>
      <c r="C667" s="13">
        <v>45733</v>
      </c>
      <c r="D667" s="12" t="s">
        <v>515</v>
      </c>
      <c r="E667" s="13">
        <v>45733</v>
      </c>
      <c r="F667" s="15">
        <v>246779411905</v>
      </c>
      <c r="G667" s="12" t="s">
        <v>11</v>
      </c>
      <c r="H667" s="14">
        <v>7.1</v>
      </c>
      <c r="I667" s="12" t="s">
        <v>59</v>
      </c>
      <c r="J667" s="14">
        <v>615.51</v>
      </c>
      <c r="K667" s="12" t="s">
        <v>835</v>
      </c>
    </row>
    <row r="668" spans="1:11" x14ac:dyDescent="0.35">
      <c r="A668" s="12" t="s">
        <v>511</v>
      </c>
      <c r="B668" s="15">
        <v>2025</v>
      </c>
      <c r="C668" s="13">
        <v>45733</v>
      </c>
      <c r="D668" s="12" t="s">
        <v>515</v>
      </c>
      <c r="E668" s="13">
        <v>45733</v>
      </c>
      <c r="F668" s="15">
        <v>246779411906</v>
      </c>
      <c r="G668" s="12" t="s">
        <v>11</v>
      </c>
      <c r="H668" s="14">
        <v>34.090000000000003</v>
      </c>
      <c r="I668" s="12" t="s">
        <v>59</v>
      </c>
      <c r="J668" s="14">
        <v>2955.31</v>
      </c>
      <c r="K668" s="12" t="s">
        <v>835</v>
      </c>
    </row>
    <row r="669" spans="1:11" x14ac:dyDescent="0.35">
      <c r="A669" s="12" t="s">
        <v>511</v>
      </c>
      <c r="B669" s="15">
        <v>2025</v>
      </c>
      <c r="C669" s="13">
        <v>45733</v>
      </c>
      <c r="D669" s="12" t="s">
        <v>515</v>
      </c>
      <c r="E669" s="13">
        <v>45733</v>
      </c>
      <c r="F669" s="15">
        <v>246779411907</v>
      </c>
      <c r="G669" s="12" t="s">
        <v>11</v>
      </c>
      <c r="H669" s="14">
        <v>17.04</v>
      </c>
      <c r="I669" s="12" t="s">
        <v>59</v>
      </c>
      <c r="J669" s="14">
        <v>1477.22</v>
      </c>
      <c r="K669" s="12" t="s">
        <v>835</v>
      </c>
    </row>
    <row r="670" spans="1:11" x14ac:dyDescent="0.35">
      <c r="A670" s="12" t="s">
        <v>511</v>
      </c>
      <c r="B670" s="15">
        <v>2025</v>
      </c>
      <c r="C670" s="13">
        <v>45733</v>
      </c>
      <c r="D670" s="12" t="s">
        <v>515</v>
      </c>
      <c r="E670" s="13">
        <v>45733</v>
      </c>
      <c r="F670" s="15">
        <v>246779411908</v>
      </c>
      <c r="G670" s="12" t="s">
        <v>11</v>
      </c>
      <c r="H670" s="14">
        <v>28.41</v>
      </c>
      <c r="I670" s="12" t="s">
        <v>59</v>
      </c>
      <c r="J670" s="14">
        <v>2462.9</v>
      </c>
      <c r="K670" s="12" t="s">
        <v>835</v>
      </c>
    </row>
    <row r="671" spans="1:11" x14ac:dyDescent="0.35">
      <c r="A671" s="12" t="s">
        <v>511</v>
      </c>
      <c r="B671" s="15">
        <v>2025</v>
      </c>
      <c r="C671" s="13">
        <v>45733</v>
      </c>
      <c r="D671" s="12" t="s">
        <v>515</v>
      </c>
      <c r="E671" s="13">
        <v>45733</v>
      </c>
      <c r="F671" s="15">
        <v>246779411909</v>
      </c>
      <c r="G671" s="12" t="s">
        <v>11</v>
      </c>
      <c r="H671" s="14">
        <v>28.41</v>
      </c>
      <c r="I671" s="12" t="s">
        <v>59</v>
      </c>
      <c r="J671" s="14">
        <v>2462.9</v>
      </c>
      <c r="K671" s="12" t="s">
        <v>835</v>
      </c>
    </row>
    <row r="672" spans="1:11" x14ac:dyDescent="0.35">
      <c r="A672" s="12" t="s">
        <v>511</v>
      </c>
      <c r="B672" s="15">
        <v>2025</v>
      </c>
      <c r="C672" s="13">
        <v>45733</v>
      </c>
      <c r="D672" s="12" t="s">
        <v>515</v>
      </c>
      <c r="E672" s="13">
        <v>45733</v>
      </c>
      <c r="F672" s="15">
        <v>246779411910</v>
      </c>
      <c r="G672" s="12" t="s">
        <v>11</v>
      </c>
      <c r="H672" s="14">
        <v>28.41</v>
      </c>
      <c r="I672" s="12" t="s">
        <v>59</v>
      </c>
      <c r="J672" s="14">
        <v>2462.9</v>
      </c>
      <c r="K672" s="12" t="s">
        <v>835</v>
      </c>
    </row>
    <row r="673" spans="1:11" x14ac:dyDescent="0.35">
      <c r="A673" s="12" t="s">
        <v>511</v>
      </c>
      <c r="B673" s="15">
        <v>2025</v>
      </c>
      <c r="C673" s="13">
        <v>45733</v>
      </c>
      <c r="D673" s="12" t="s">
        <v>515</v>
      </c>
      <c r="E673" s="13">
        <v>45733</v>
      </c>
      <c r="F673" s="15">
        <v>246779411911</v>
      </c>
      <c r="G673" s="12" t="s">
        <v>11</v>
      </c>
      <c r="H673" s="14">
        <v>29.83</v>
      </c>
      <c r="I673" s="12" t="s">
        <v>59</v>
      </c>
      <c r="J673" s="14">
        <v>2586</v>
      </c>
      <c r="K673" s="12" t="s">
        <v>835</v>
      </c>
    </row>
    <row r="674" spans="1:11" x14ac:dyDescent="0.35">
      <c r="A674" s="12" t="s">
        <v>511</v>
      </c>
      <c r="B674" s="15">
        <v>2025</v>
      </c>
      <c r="C674" s="13">
        <v>45733</v>
      </c>
      <c r="D674" s="12" t="s">
        <v>515</v>
      </c>
      <c r="E674" s="13">
        <v>45733</v>
      </c>
      <c r="F674" s="15">
        <v>246779411912</v>
      </c>
      <c r="G674" s="12" t="s">
        <v>11</v>
      </c>
      <c r="H674" s="14">
        <v>11.36</v>
      </c>
      <c r="I674" s="12" t="s">
        <v>59</v>
      </c>
      <c r="J674" s="14">
        <v>984.81</v>
      </c>
      <c r="K674" s="12" t="s">
        <v>835</v>
      </c>
    </row>
    <row r="675" spans="1:11" x14ac:dyDescent="0.35">
      <c r="A675" s="12" t="s">
        <v>511</v>
      </c>
      <c r="B675" s="15">
        <v>2025</v>
      </c>
      <c r="C675" s="13">
        <v>45733</v>
      </c>
      <c r="D675" s="12" t="s">
        <v>515</v>
      </c>
      <c r="E675" s="13">
        <v>45733</v>
      </c>
      <c r="F675" s="15">
        <v>246779411913</v>
      </c>
      <c r="G675" s="12" t="s">
        <v>11</v>
      </c>
      <c r="H675" s="14">
        <v>28.41</v>
      </c>
      <c r="I675" s="12" t="s">
        <v>59</v>
      </c>
      <c r="J675" s="14">
        <v>2462.9</v>
      </c>
      <c r="K675" s="12" t="s">
        <v>835</v>
      </c>
    </row>
    <row r="676" spans="1:11" x14ac:dyDescent="0.35">
      <c r="A676" s="12" t="s">
        <v>511</v>
      </c>
      <c r="B676" s="15">
        <v>2025</v>
      </c>
      <c r="C676" s="13">
        <v>45733</v>
      </c>
      <c r="D676" s="12" t="s">
        <v>515</v>
      </c>
      <c r="E676" s="13">
        <v>45733</v>
      </c>
      <c r="F676" s="15">
        <v>246779411914</v>
      </c>
      <c r="G676" s="12" t="s">
        <v>11</v>
      </c>
      <c r="H676" s="14">
        <v>260</v>
      </c>
      <c r="I676" s="12" t="s">
        <v>59</v>
      </c>
      <c r="J676" s="14">
        <v>22539.73</v>
      </c>
      <c r="K676" s="12" t="s">
        <v>835</v>
      </c>
    </row>
    <row r="677" spans="1:11" x14ac:dyDescent="0.35">
      <c r="A677" s="12" t="s">
        <v>511</v>
      </c>
      <c r="B677" s="15">
        <v>2025</v>
      </c>
      <c r="C677" s="13">
        <v>45733</v>
      </c>
      <c r="D677" s="12" t="s">
        <v>515</v>
      </c>
      <c r="E677" s="13">
        <v>45733</v>
      </c>
      <c r="F677" s="15">
        <v>246779412028</v>
      </c>
      <c r="G677" s="12" t="s">
        <v>11</v>
      </c>
      <c r="H677" s="14">
        <v>28.03</v>
      </c>
      <c r="I677" s="12" t="s">
        <v>59</v>
      </c>
      <c r="J677" s="14">
        <v>2429.96</v>
      </c>
      <c r="K677" s="12" t="s">
        <v>836</v>
      </c>
    </row>
    <row r="678" spans="1:11" x14ac:dyDescent="0.35">
      <c r="A678" s="12" t="s">
        <v>511</v>
      </c>
      <c r="B678" s="15">
        <v>2025</v>
      </c>
      <c r="C678" s="13">
        <v>45733</v>
      </c>
      <c r="D678" s="12" t="s">
        <v>515</v>
      </c>
      <c r="E678" s="13">
        <v>45733</v>
      </c>
      <c r="F678" s="15">
        <v>246779412029</v>
      </c>
      <c r="G678" s="12" t="s">
        <v>11</v>
      </c>
      <c r="H678" s="14">
        <v>22.42</v>
      </c>
      <c r="I678" s="12" t="s">
        <v>59</v>
      </c>
      <c r="J678" s="14">
        <v>1943.62</v>
      </c>
      <c r="K678" s="12" t="s">
        <v>836</v>
      </c>
    </row>
    <row r="679" spans="1:11" x14ac:dyDescent="0.35">
      <c r="A679" s="12" t="s">
        <v>511</v>
      </c>
      <c r="B679" s="15">
        <v>2025</v>
      </c>
      <c r="C679" s="13">
        <v>45733</v>
      </c>
      <c r="D679" s="12" t="s">
        <v>515</v>
      </c>
      <c r="E679" s="13">
        <v>45733</v>
      </c>
      <c r="F679" s="15">
        <v>246779412030</v>
      </c>
      <c r="G679" s="12" t="s">
        <v>11</v>
      </c>
      <c r="H679" s="14">
        <v>16.82</v>
      </c>
      <c r="I679" s="12" t="s">
        <v>59</v>
      </c>
      <c r="J679" s="14">
        <v>1458.15</v>
      </c>
      <c r="K679" s="12" t="s">
        <v>836</v>
      </c>
    </row>
    <row r="680" spans="1:11" x14ac:dyDescent="0.35">
      <c r="A680" s="12" t="s">
        <v>511</v>
      </c>
      <c r="B680" s="15">
        <v>2025</v>
      </c>
      <c r="C680" s="13">
        <v>45733</v>
      </c>
      <c r="D680" s="12" t="s">
        <v>515</v>
      </c>
      <c r="E680" s="13">
        <v>45733</v>
      </c>
      <c r="F680" s="15">
        <v>246779412031</v>
      </c>
      <c r="G680" s="12" t="s">
        <v>11</v>
      </c>
      <c r="H680" s="14">
        <v>28.03</v>
      </c>
      <c r="I680" s="12" t="s">
        <v>59</v>
      </c>
      <c r="J680" s="14">
        <v>2429.96</v>
      </c>
      <c r="K680" s="12" t="s">
        <v>836</v>
      </c>
    </row>
    <row r="681" spans="1:11" x14ac:dyDescent="0.35">
      <c r="A681" s="12" t="s">
        <v>511</v>
      </c>
      <c r="B681" s="15">
        <v>2025</v>
      </c>
      <c r="C681" s="13">
        <v>45733</v>
      </c>
      <c r="D681" s="12" t="s">
        <v>515</v>
      </c>
      <c r="E681" s="13">
        <v>45733</v>
      </c>
      <c r="F681" s="15">
        <v>246779412032</v>
      </c>
      <c r="G681" s="12" t="s">
        <v>11</v>
      </c>
      <c r="H681" s="14">
        <v>33.64</v>
      </c>
      <c r="I681" s="12" t="s">
        <v>59</v>
      </c>
      <c r="J681" s="14">
        <v>2916.29</v>
      </c>
      <c r="K681" s="12" t="s">
        <v>836</v>
      </c>
    </row>
    <row r="682" spans="1:11" x14ac:dyDescent="0.35">
      <c r="A682" s="12" t="s">
        <v>511</v>
      </c>
      <c r="B682" s="15">
        <v>2025</v>
      </c>
      <c r="C682" s="13">
        <v>45733</v>
      </c>
      <c r="D682" s="12" t="s">
        <v>515</v>
      </c>
      <c r="E682" s="13">
        <v>45733</v>
      </c>
      <c r="F682" s="15">
        <v>246779412033</v>
      </c>
      <c r="G682" s="12" t="s">
        <v>11</v>
      </c>
      <c r="H682" s="14">
        <v>22.42</v>
      </c>
      <c r="I682" s="12" t="s">
        <v>59</v>
      </c>
      <c r="J682" s="14">
        <v>1943.62</v>
      </c>
      <c r="K682" s="12" t="s">
        <v>836</v>
      </c>
    </row>
    <row r="683" spans="1:11" x14ac:dyDescent="0.35">
      <c r="A683" s="12" t="s">
        <v>511</v>
      </c>
      <c r="B683" s="15">
        <v>2025</v>
      </c>
      <c r="C683" s="13">
        <v>45733</v>
      </c>
      <c r="D683" s="12" t="s">
        <v>515</v>
      </c>
      <c r="E683" s="13">
        <v>45733</v>
      </c>
      <c r="F683" s="15">
        <v>246779412034</v>
      </c>
      <c r="G683" s="12" t="s">
        <v>11</v>
      </c>
      <c r="H683" s="14">
        <v>33.64</v>
      </c>
      <c r="I683" s="12" t="s">
        <v>59</v>
      </c>
      <c r="J683" s="14">
        <v>2916.29</v>
      </c>
      <c r="K683" s="12" t="s">
        <v>836</v>
      </c>
    </row>
    <row r="684" spans="1:11" x14ac:dyDescent="0.35">
      <c r="A684" s="12" t="s">
        <v>511</v>
      </c>
      <c r="B684" s="15">
        <v>2025</v>
      </c>
      <c r="C684" s="13">
        <v>45733</v>
      </c>
      <c r="D684" s="12" t="s">
        <v>515</v>
      </c>
      <c r="E684" s="13">
        <v>45733</v>
      </c>
      <c r="F684" s="15">
        <v>246779412035</v>
      </c>
      <c r="G684" s="12" t="s">
        <v>11</v>
      </c>
      <c r="H684" s="14">
        <v>72.88</v>
      </c>
      <c r="I684" s="12" t="s">
        <v>59</v>
      </c>
      <c r="J684" s="14">
        <v>6318.06</v>
      </c>
      <c r="K684" s="12" t="s">
        <v>836</v>
      </c>
    </row>
    <row r="685" spans="1:11" x14ac:dyDescent="0.35">
      <c r="A685" s="12" t="s">
        <v>511</v>
      </c>
      <c r="B685" s="15">
        <v>2025</v>
      </c>
      <c r="C685" s="13">
        <v>45733</v>
      </c>
      <c r="D685" s="12" t="s">
        <v>515</v>
      </c>
      <c r="E685" s="13">
        <v>45733</v>
      </c>
      <c r="F685" s="15">
        <v>246779412036</v>
      </c>
      <c r="G685" s="12" t="s">
        <v>11</v>
      </c>
      <c r="H685" s="14">
        <v>28.03</v>
      </c>
      <c r="I685" s="12" t="s">
        <v>59</v>
      </c>
      <c r="J685" s="14">
        <v>2429.96</v>
      </c>
      <c r="K685" s="12" t="s">
        <v>836</v>
      </c>
    </row>
    <row r="686" spans="1:11" x14ac:dyDescent="0.35">
      <c r="A686" s="12" t="s">
        <v>511</v>
      </c>
      <c r="B686" s="15">
        <v>2025</v>
      </c>
      <c r="C686" s="13">
        <v>45733</v>
      </c>
      <c r="D686" s="12" t="s">
        <v>515</v>
      </c>
      <c r="E686" s="13">
        <v>45733</v>
      </c>
      <c r="F686" s="15">
        <v>246779412037</v>
      </c>
      <c r="G686" s="12" t="s">
        <v>11</v>
      </c>
      <c r="H686" s="14">
        <v>44.85</v>
      </c>
      <c r="I686" s="12" t="s">
        <v>59</v>
      </c>
      <c r="J686" s="14">
        <v>3888.1</v>
      </c>
      <c r="K686" s="12" t="s">
        <v>836</v>
      </c>
    </row>
    <row r="687" spans="1:11" x14ac:dyDescent="0.35">
      <c r="A687" s="12" t="s">
        <v>511</v>
      </c>
      <c r="B687" s="15">
        <v>2025</v>
      </c>
      <c r="C687" s="13">
        <v>45733</v>
      </c>
      <c r="D687" s="12" t="s">
        <v>515</v>
      </c>
      <c r="E687" s="13">
        <v>45733</v>
      </c>
      <c r="F687" s="15">
        <v>246779412038</v>
      </c>
      <c r="G687" s="12" t="s">
        <v>11</v>
      </c>
      <c r="H687" s="14">
        <v>33.64</v>
      </c>
      <c r="I687" s="12" t="s">
        <v>59</v>
      </c>
      <c r="J687" s="14">
        <v>2916.29</v>
      </c>
      <c r="K687" s="12" t="s">
        <v>836</v>
      </c>
    </row>
    <row r="688" spans="1:11" x14ac:dyDescent="0.35">
      <c r="A688" s="12" t="s">
        <v>511</v>
      </c>
      <c r="B688" s="15">
        <v>2025</v>
      </c>
      <c r="C688" s="13">
        <v>45733</v>
      </c>
      <c r="D688" s="12" t="s">
        <v>515</v>
      </c>
      <c r="E688" s="13">
        <v>45733</v>
      </c>
      <c r="F688" s="15">
        <v>246779412039</v>
      </c>
      <c r="G688" s="12" t="s">
        <v>11</v>
      </c>
      <c r="H688" s="14">
        <v>56.06</v>
      </c>
      <c r="I688" s="12" t="s">
        <v>59</v>
      </c>
      <c r="J688" s="14">
        <v>4859.91</v>
      </c>
      <c r="K688" s="12" t="s">
        <v>836</v>
      </c>
    </row>
    <row r="689" spans="1:11" x14ac:dyDescent="0.35">
      <c r="A689" s="12" t="s">
        <v>511</v>
      </c>
      <c r="B689" s="15">
        <v>2025</v>
      </c>
      <c r="C689" s="13">
        <v>45733</v>
      </c>
      <c r="D689" s="12" t="s">
        <v>515</v>
      </c>
      <c r="E689" s="13">
        <v>45733</v>
      </c>
      <c r="F689" s="15">
        <v>246779412040</v>
      </c>
      <c r="G689" s="12" t="s">
        <v>11</v>
      </c>
      <c r="H689" s="14">
        <v>16.82</v>
      </c>
      <c r="I689" s="12" t="s">
        <v>59</v>
      </c>
      <c r="J689" s="14">
        <v>1458.15</v>
      </c>
      <c r="K689" s="12" t="s">
        <v>836</v>
      </c>
    </row>
    <row r="690" spans="1:11" x14ac:dyDescent="0.35">
      <c r="A690" s="12" t="s">
        <v>511</v>
      </c>
      <c r="B690" s="15">
        <v>2025</v>
      </c>
      <c r="C690" s="13">
        <v>45733</v>
      </c>
      <c r="D690" s="12" t="s">
        <v>515</v>
      </c>
      <c r="E690" s="13">
        <v>45733</v>
      </c>
      <c r="F690" s="15">
        <v>246779412041</v>
      </c>
      <c r="G690" s="12" t="s">
        <v>11</v>
      </c>
      <c r="H690" s="14">
        <v>33.64</v>
      </c>
      <c r="I690" s="12" t="s">
        <v>59</v>
      </c>
      <c r="J690" s="14">
        <v>2916.29</v>
      </c>
      <c r="K690" s="12" t="s">
        <v>836</v>
      </c>
    </row>
    <row r="691" spans="1:11" x14ac:dyDescent="0.35">
      <c r="A691" s="12" t="s">
        <v>511</v>
      </c>
      <c r="B691" s="15">
        <v>2025</v>
      </c>
      <c r="C691" s="13">
        <v>45733</v>
      </c>
      <c r="D691" s="12" t="s">
        <v>515</v>
      </c>
      <c r="E691" s="13">
        <v>45733</v>
      </c>
      <c r="F691" s="15">
        <v>246779412042</v>
      </c>
      <c r="G691" s="12" t="s">
        <v>11</v>
      </c>
      <c r="H691" s="14">
        <v>16.82</v>
      </c>
      <c r="I691" s="12" t="s">
        <v>59</v>
      </c>
      <c r="J691" s="14">
        <v>1458.15</v>
      </c>
      <c r="K691" s="12" t="s">
        <v>836</v>
      </c>
    </row>
    <row r="692" spans="1:11" x14ac:dyDescent="0.35">
      <c r="A692" s="12" t="s">
        <v>511</v>
      </c>
      <c r="B692" s="15">
        <v>2025</v>
      </c>
      <c r="C692" s="13">
        <v>45733</v>
      </c>
      <c r="D692" s="12" t="s">
        <v>515</v>
      </c>
      <c r="E692" s="13">
        <v>45733</v>
      </c>
      <c r="F692" s="15">
        <v>246779412043</v>
      </c>
      <c r="G692" s="12" t="s">
        <v>11</v>
      </c>
      <c r="H692" s="14">
        <v>16.82</v>
      </c>
      <c r="I692" s="12" t="s">
        <v>59</v>
      </c>
      <c r="J692" s="14">
        <v>1458.15</v>
      </c>
      <c r="K692" s="12" t="s">
        <v>836</v>
      </c>
    </row>
    <row r="693" spans="1:11" x14ac:dyDescent="0.35">
      <c r="A693" s="12" t="s">
        <v>511</v>
      </c>
      <c r="B693" s="15">
        <v>2025</v>
      </c>
      <c r="C693" s="13">
        <v>45733</v>
      </c>
      <c r="D693" s="12" t="s">
        <v>515</v>
      </c>
      <c r="E693" s="13">
        <v>45733</v>
      </c>
      <c r="F693" s="15">
        <v>246779412045</v>
      </c>
      <c r="G693" s="12" t="s">
        <v>11</v>
      </c>
      <c r="H693" s="14">
        <v>230</v>
      </c>
      <c r="I693" s="12" t="s">
        <v>59</v>
      </c>
      <c r="J693" s="14">
        <v>19938.990000000002</v>
      </c>
      <c r="K693" s="12" t="s">
        <v>836</v>
      </c>
    </row>
    <row r="694" spans="1:11" x14ac:dyDescent="0.35">
      <c r="A694" s="12" t="s">
        <v>511</v>
      </c>
      <c r="B694" s="15">
        <v>2025</v>
      </c>
      <c r="C694" s="13">
        <v>45733</v>
      </c>
      <c r="D694" s="12" t="s">
        <v>515</v>
      </c>
      <c r="E694" s="13">
        <v>45733</v>
      </c>
      <c r="F694" s="15">
        <v>246779412047</v>
      </c>
      <c r="G694" s="12" t="s">
        <v>11</v>
      </c>
      <c r="H694" s="14">
        <v>28.03</v>
      </c>
      <c r="I694" s="12" t="s">
        <v>59</v>
      </c>
      <c r="J694" s="14">
        <v>2429.96</v>
      </c>
      <c r="K694" s="12" t="s">
        <v>836</v>
      </c>
    </row>
    <row r="695" spans="1:11" x14ac:dyDescent="0.35">
      <c r="A695" s="12" t="s">
        <v>511</v>
      </c>
      <c r="B695" s="15">
        <v>2025</v>
      </c>
      <c r="C695" s="13">
        <v>45733</v>
      </c>
      <c r="D695" s="12" t="s">
        <v>515</v>
      </c>
      <c r="E695" s="13">
        <v>45733</v>
      </c>
      <c r="F695" s="15">
        <v>246779412048</v>
      </c>
      <c r="G695" s="12" t="s">
        <v>11</v>
      </c>
      <c r="H695" s="14">
        <v>22.78</v>
      </c>
      <c r="I695" s="12" t="s">
        <v>59</v>
      </c>
      <c r="J695" s="14">
        <v>1974.83</v>
      </c>
      <c r="K695" s="12" t="s">
        <v>836</v>
      </c>
    </row>
    <row r="696" spans="1:11" x14ac:dyDescent="0.35">
      <c r="A696" s="12" t="s">
        <v>511</v>
      </c>
      <c r="B696" s="15">
        <v>2025</v>
      </c>
      <c r="C696" s="13">
        <v>45733</v>
      </c>
      <c r="D696" s="12" t="s">
        <v>515</v>
      </c>
      <c r="E696" s="13">
        <v>45733</v>
      </c>
      <c r="F696" s="15">
        <v>246779412111</v>
      </c>
      <c r="G696" s="12" t="s">
        <v>11</v>
      </c>
      <c r="H696" s="14">
        <v>420.46</v>
      </c>
      <c r="I696" s="12" t="s">
        <v>59</v>
      </c>
      <c r="J696" s="14">
        <v>36450.21</v>
      </c>
      <c r="K696" s="12" t="s">
        <v>836</v>
      </c>
    </row>
    <row r="697" spans="1:11" x14ac:dyDescent="0.35">
      <c r="A697" s="12" t="s">
        <v>511</v>
      </c>
      <c r="B697" s="15">
        <v>2025</v>
      </c>
      <c r="C697" s="13">
        <v>45733</v>
      </c>
      <c r="D697" s="12" t="s">
        <v>515</v>
      </c>
      <c r="E697" s="13">
        <v>45733</v>
      </c>
      <c r="F697" s="15">
        <v>246779411718</v>
      </c>
      <c r="G697" s="12" t="s">
        <v>11</v>
      </c>
      <c r="H697" s="14">
        <v>22.95</v>
      </c>
      <c r="I697" s="12" t="s">
        <v>59</v>
      </c>
      <c r="J697" s="14">
        <v>1989.56</v>
      </c>
      <c r="K697" s="12" t="s">
        <v>834</v>
      </c>
    </row>
    <row r="698" spans="1:11" x14ac:dyDescent="0.35">
      <c r="A698" s="12" t="s">
        <v>511</v>
      </c>
      <c r="B698" s="15">
        <v>2025</v>
      </c>
      <c r="C698" s="13">
        <v>45733</v>
      </c>
      <c r="D698" s="12" t="s">
        <v>515</v>
      </c>
      <c r="E698" s="13">
        <v>45733</v>
      </c>
      <c r="F698" s="15">
        <v>246779411719</v>
      </c>
      <c r="G698" s="12" t="s">
        <v>11</v>
      </c>
      <c r="H698" s="14">
        <v>28.54</v>
      </c>
      <c r="I698" s="12" t="s">
        <v>59</v>
      </c>
      <c r="J698" s="14">
        <v>2474.17</v>
      </c>
      <c r="K698" s="12" t="s">
        <v>834</v>
      </c>
    </row>
    <row r="699" spans="1:11" x14ac:dyDescent="0.35">
      <c r="A699" s="12" t="s">
        <v>511</v>
      </c>
      <c r="B699" s="15">
        <v>2025</v>
      </c>
      <c r="C699" s="13">
        <v>45733</v>
      </c>
      <c r="D699" s="12" t="s">
        <v>515</v>
      </c>
      <c r="E699" s="13">
        <v>45733</v>
      </c>
      <c r="F699" s="15">
        <v>246779411720</v>
      </c>
      <c r="G699" s="12" t="s">
        <v>11</v>
      </c>
      <c r="H699" s="14">
        <v>17.12</v>
      </c>
      <c r="I699" s="12" t="s">
        <v>59</v>
      </c>
      <c r="J699" s="14">
        <v>1484.15</v>
      </c>
      <c r="K699" s="12" t="s">
        <v>834</v>
      </c>
    </row>
    <row r="700" spans="1:11" x14ac:dyDescent="0.35">
      <c r="A700" s="12" t="s">
        <v>511</v>
      </c>
      <c r="B700" s="15">
        <v>2025</v>
      </c>
      <c r="C700" s="13">
        <v>45733</v>
      </c>
      <c r="D700" s="12" t="s">
        <v>515</v>
      </c>
      <c r="E700" s="13">
        <v>45733</v>
      </c>
      <c r="F700" s="15">
        <v>246779411721</v>
      </c>
      <c r="G700" s="12" t="s">
        <v>11</v>
      </c>
      <c r="H700" s="14">
        <v>525.63</v>
      </c>
      <c r="I700" s="12" t="s">
        <v>59</v>
      </c>
      <c r="J700" s="14">
        <v>45567.53</v>
      </c>
      <c r="K700" s="12" t="s">
        <v>834</v>
      </c>
    </row>
    <row r="701" spans="1:11" x14ac:dyDescent="0.35">
      <c r="A701" s="12" t="s">
        <v>511</v>
      </c>
      <c r="B701" s="15">
        <v>2025</v>
      </c>
      <c r="C701" s="13">
        <v>45733</v>
      </c>
      <c r="D701" s="12" t="s">
        <v>515</v>
      </c>
      <c r="E701" s="13">
        <v>45733</v>
      </c>
      <c r="F701" s="15">
        <v>246779411722</v>
      </c>
      <c r="G701" s="12" t="s">
        <v>11</v>
      </c>
      <c r="H701" s="14">
        <v>39.96</v>
      </c>
      <c r="I701" s="12" t="s">
        <v>59</v>
      </c>
      <c r="J701" s="14">
        <v>3464.18</v>
      </c>
      <c r="K701" s="12" t="s">
        <v>834</v>
      </c>
    </row>
    <row r="702" spans="1:11" x14ac:dyDescent="0.35">
      <c r="A702" s="12" t="s">
        <v>511</v>
      </c>
      <c r="B702" s="15">
        <v>2025</v>
      </c>
      <c r="C702" s="13">
        <v>45733</v>
      </c>
      <c r="D702" s="12" t="s">
        <v>515</v>
      </c>
      <c r="E702" s="13">
        <v>45733</v>
      </c>
      <c r="F702" s="15">
        <v>246779411733</v>
      </c>
      <c r="G702" s="12" t="s">
        <v>11</v>
      </c>
      <c r="H702" s="14">
        <v>17.12</v>
      </c>
      <c r="I702" s="12" t="s">
        <v>59</v>
      </c>
      <c r="J702" s="14">
        <v>1484.15</v>
      </c>
      <c r="K702" s="12" t="s">
        <v>834</v>
      </c>
    </row>
    <row r="703" spans="1:11" x14ac:dyDescent="0.35">
      <c r="A703" s="12" t="s">
        <v>511</v>
      </c>
      <c r="B703" s="15">
        <v>2025</v>
      </c>
      <c r="C703" s="13">
        <v>45733</v>
      </c>
      <c r="D703" s="12" t="s">
        <v>515</v>
      </c>
      <c r="E703" s="13">
        <v>45733</v>
      </c>
      <c r="F703" s="15">
        <v>246779411734</v>
      </c>
      <c r="G703" s="12" t="s">
        <v>11</v>
      </c>
      <c r="H703" s="14">
        <v>22.83</v>
      </c>
      <c r="I703" s="12" t="s">
        <v>59</v>
      </c>
      <c r="J703" s="14">
        <v>1979.16</v>
      </c>
      <c r="K703" s="12" t="s">
        <v>834</v>
      </c>
    </row>
    <row r="704" spans="1:11" x14ac:dyDescent="0.35">
      <c r="A704" s="12" t="s">
        <v>511</v>
      </c>
      <c r="B704" s="15">
        <v>2025</v>
      </c>
      <c r="C704" s="13">
        <v>45733</v>
      </c>
      <c r="D704" s="12" t="s">
        <v>515</v>
      </c>
      <c r="E704" s="13">
        <v>45733</v>
      </c>
      <c r="F704" s="15">
        <v>246779411735</v>
      </c>
      <c r="G704" s="12" t="s">
        <v>11</v>
      </c>
      <c r="H704" s="14">
        <v>479.25</v>
      </c>
      <c r="I704" s="12" t="s">
        <v>59</v>
      </c>
      <c r="J704" s="14">
        <v>41546.79</v>
      </c>
      <c r="K704" s="12" t="s">
        <v>834</v>
      </c>
    </row>
    <row r="705" spans="1:11" x14ac:dyDescent="0.35">
      <c r="A705" s="12" t="s">
        <v>511</v>
      </c>
      <c r="B705" s="15">
        <v>2025</v>
      </c>
      <c r="C705" s="13">
        <v>45733</v>
      </c>
      <c r="D705" s="12" t="s">
        <v>515</v>
      </c>
      <c r="E705" s="13">
        <v>45733</v>
      </c>
      <c r="F705" s="15">
        <v>246779411736</v>
      </c>
      <c r="G705" s="12" t="s">
        <v>11</v>
      </c>
      <c r="H705" s="14">
        <v>22.83</v>
      </c>
      <c r="I705" s="12" t="s">
        <v>59</v>
      </c>
      <c r="J705" s="14">
        <v>1979.16</v>
      </c>
      <c r="K705" s="12" t="s">
        <v>834</v>
      </c>
    </row>
    <row r="706" spans="1:11" x14ac:dyDescent="0.35">
      <c r="A706" s="12" t="s">
        <v>511</v>
      </c>
      <c r="B706" s="15">
        <v>2025</v>
      </c>
      <c r="C706" s="13">
        <v>45733</v>
      </c>
      <c r="D706" s="12" t="s">
        <v>515</v>
      </c>
      <c r="E706" s="13">
        <v>45733</v>
      </c>
      <c r="F706" s="15">
        <v>246779411737</v>
      </c>
      <c r="G706" s="12" t="s">
        <v>11</v>
      </c>
      <c r="H706" s="14">
        <v>28.54</v>
      </c>
      <c r="I706" s="12" t="s">
        <v>59</v>
      </c>
      <c r="J706" s="14">
        <v>2474.17</v>
      </c>
      <c r="K706" s="12" t="s">
        <v>834</v>
      </c>
    </row>
    <row r="707" spans="1:11" x14ac:dyDescent="0.35">
      <c r="A707" s="12" t="s">
        <v>511</v>
      </c>
      <c r="B707" s="15">
        <v>2025</v>
      </c>
      <c r="C707" s="13">
        <v>45733</v>
      </c>
      <c r="D707" s="12" t="s">
        <v>515</v>
      </c>
      <c r="E707" s="13">
        <v>45733</v>
      </c>
      <c r="F707" s="15">
        <v>246779411738</v>
      </c>
      <c r="G707" s="12" t="s">
        <v>11</v>
      </c>
      <c r="H707" s="14">
        <v>28.54</v>
      </c>
      <c r="I707" s="12" t="s">
        <v>59</v>
      </c>
      <c r="J707" s="14">
        <v>2474.17</v>
      </c>
      <c r="K707" s="12" t="s">
        <v>834</v>
      </c>
    </row>
  </sheetData>
  <autoFilter ref="A1:K707" xr:uid="{4B0C6DCA-AB70-4109-8F7D-082C10573BF7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52801F-2013-4A77-9E5B-F4F876CADB0D}">
  <sheetPr>
    <tabColor theme="2" tint="-0.499984740745262"/>
  </sheetPr>
  <dimension ref="A1:F16"/>
  <sheetViews>
    <sheetView tabSelected="1" workbookViewId="0">
      <selection activeCell="C7" sqref="C7"/>
    </sheetView>
  </sheetViews>
  <sheetFormatPr defaultColWidth="8.81640625" defaultRowHeight="14.5" x14ac:dyDescent="0.35"/>
  <cols>
    <col min="1" max="1" width="53" style="65" bestFit="1" customWidth="1"/>
    <col min="2" max="2" width="16.54296875" style="65" bestFit="1" customWidth="1"/>
    <col min="3" max="3" width="8.81640625" style="65"/>
    <col min="4" max="5" width="13.90625" style="65" bestFit="1" customWidth="1"/>
    <col min="6" max="6" width="14.54296875" style="65" bestFit="1" customWidth="1"/>
    <col min="7" max="16384" width="8.81640625" style="65"/>
  </cols>
  <sheetData>
    <row r="1" spans="1:6" ht="15" thickBot="1" x14ac:dyDescent="0.4"/>
    <row r="2" spans="1:6" ht="15" thickBot="1" x14ac:dyDescent="0.4">
      <c r="A2" s="85" t="s">
        <v>900</v>
      </c>
      <c r="B2" s="86"/>
    </row>
    <row r="3" spans="1:6" ht="15" thickBot="1" x14ac:dyDescent="0.4">
      <c r="A3" s="68" t="s">
        <v>901</v>
      </c>
      <c r="B3" s="69" t="s">
        <v>895</v>
      </c>
    </row>
    <row r="4" spans="1:6" x14ac:dyDescent="0.35">
      <c r="A4" s="70" t="s">
        <v>904</v>
      </c>
      <c r="B4" s="81">
        <f>-[1]A023951!$H$1116</f>
        <v>1386783.7799999991</v>
      </c>
    </row>
    <row r="5" spans="1:6" ht="28.5" x14ac:dyDescent="0.35">
      <c r="A5" s="70" t="s">
        <v>920</v>
      </c>
      <c r="B5" s="81">
        <v>233116.04000000021</v>
      </c>
    </row>
    <row r="6" spans="1:6" ht="28.5" x14ac:dyDescent="0.35">
      <c r="A6" s="70" t="s">
        <v>919</v>
      </c>
      <c r="B6" s="82">
        <v>-165435.46000000014</v>
      </c>
      <c r="C6" s="65" t="s">
        <v>925</v>
      </c>
    </row>
    <row r="7" spans="1:6" ht="28.5" x14ac:dyDescent="0.35">
      <c r="A7" s="70" t="s">
        <v>923</v>
      </c>
      <c r="B7" s="82">
        <v>51209.630000000077</v>
      </c>
      <c r="C7" s="65" t="s">
        <v>925</v>
      </c>
    </row>
    <row r="8" spans="1:6" x14ac:dyDescent="0.35">
      <c r="A8" s="70" t="s">
        <v>921</v>
      </c>
      <c r="B8" s="82">
        <f>'Invoices not in customer''s Book'!I142+'CN Not in Customer''s Books'!G147</f>
        <v>2942083.1900000027</v>
      </c>
      <c r="C8" s="65" t="s">
        <v>924</v>
      </c>
    </row>
    <row r="9" spans="1:6" x14ac:dyDescent="0.35">
      <c r="A9" s="70" t="s">
        <v>922</v>
      </c>
      <c r="B9" s="82">
        <v>-7126.8599999999969</v>
      </c>
    </row>
    <row r="10" spans="1:6" ht="28.5" x14ac:dyDescent="0.35">
      <c r="A10" s="70" t="s">
        <v>907</v>
      </c>
      <c r="B10" s="82">
        <f>SUM('Payment Reco'!E3:E20)</f>
        <v>2110.1800000000112</v>
      </c>
    </row>
    <row r="11" spans="1:6" x14ac:dyDescent="0.35">
      <c r="A11" s="70" t="s">
        <v>908</v>
      </c>
      <c r="B11" s="82">
        <f>('Payment Reco'!E21+'Payment Reco'!E22)</f>
        <v>1878132.81</v>
      </c>
      <c r="C11" s="65" t="s">
        <v>909</v>
      </c>
    </row>
    <row r="12" spans="1:6" x14ac:dyDescent="0.35">
      <c r="A12" s="70" t="s">
        <v>902</v>
      </c>
      <c r="B12" s="82">
        <f>SUM(B4:B11)</f>
        <v>6320873.3100000005</v>
      </c>
    </row>
    <row r="13" spans="1:6" x14ac:dyDescent="0.35">
      <c r="A13" s="70" t="s">
        <v>905</v>
      </c>
      <c r="B13" s="82">
        <f>[2]Sheet1!$T$709</f>
        <v>6321328.75</v>
      </c>
    </row>
    <row r="14" spans="1:6" ht="15" thickBot="1" x14ac:dyDescent="0.4">
      <c r="A14" s="77"/>
      <c r="B14" s="83"/>
    </row>
    <row r="15" spans="1:6" ht="15" thickBot="1" x14ac:dyDescent="0.4">
      <c r="A15" s="78" t="s">
        <v>903</v>
      </c>
      <c r="B15" s="84">
        <f>B12-B13-B14</f>
        <v>-455.43999999947846</v>
      </c>
    </row>
    <row r="16" spans="1:6" x14ac:dyDescent="0.35">
      <c r="D16" s="66"/>
      <c r="E16" s="66"/>
      <c r="F16" s="67"/>
    </row>
  </sheetData>
  <mergeCells count="1">
    <mergeCell ref="A2:B2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6E3AE-BE83-4556-8568-AC7EC55240B8}">
  <dimension ref="A1:L18"/>
  <sheetViews>
    <sheetView workbookViewId="0">
      <selection activeCell="D19" sqref="D19"/>
    </sheetView>
  </sheetViews>
  <sheetFormatPr defaultRowHeight="14.5" x14ac:dyDescent="0.35"/>
  <cols>
    <col min="1" max="1" width="6.1796875" bestFit="1" customWidth="1"/>
    <col min="2" max="2" width="10.08984375" bestFit="1" customWidth="1"/>
    <col min="3" max="3" width="10.81640625" bestFit="1" customWidth="1"/>
    <col min="4" max="4" width="12" bestFit="1" customWidth="1"/>
    <col min="5" max="5" width="16.90625" customWidth="1"/>
    <col min="6" max="6" width="12" bestFit="1" customWidth="1"/>
    <col min="7" max="7" width="5.36328125" bestFit="1" customWidth="1"/>
    <col min="8" max="8" width="14.08984375" bestFit="1" customWidth="1"/>
    <col min="9" max="9" width="10.453125" bestFit="1" customWidth="1"/>
    <col min="10" max="11" width="11.36328125" bestFit="1" customWidth="1"/>
    <col min="12" max="12" width="9.6328125" bestFit="1" customWidth="1"/>
  </cols>
  <sheetData>
    <row r="1" spans="1:12" x14ac:dyDescent="0.35">
      <c r="A1" s="89" t="s">
        <v>886</v>
      </c>
      <c r="B1" s="89"/>
      <c r="C1" s="89"/>
      <c r="D1" s="89"/>
      <c r="E1" s="89"/>
      <c r="F1" s="89"/>
      <c r="G1" s="89" t="s">
        <v>889</v>
      </c>
      <c r="H1" s="89"/>
      <c r="I1" s="89"/>
      <c r="J1" s="89"/>
      <c r="K1" s="89"/>
    </row>
    <row r="2" spans="1:12" s="34" customFormat="1" ht="29" x14ac:dyDescent="0.35">
      <c r="A2" s="35" t="s">
        <v>494</v>
      </c>
      <c r="B2" s="35" t="s">
        <v>452</v>
      </c>
      <c r="C2" s="35" t="s">
        <v>496</v>
      </c>
      <c r="D2" s="35" t="s">
        <v>497</v>
      </c>
      <c r="E2" s="35" t="s">
        <v>892</v>
      </c>
      <c r="F2" s="35" t="s">
        <v>887</v>
      </c>
      <c r="G2" s="36" t="s">
        <v>494</v>
      </c>
      <c r="H2" s="36" t="s">
        <v>503</v>
      </c>
      <c r="I2" s="36" t="s">
        <v>885</v>
      </c>
      <c r="J2" s="36" t="s">
        <v>497</v>
      </c>
      <c r="K2" s="36" t="s">
        <v>887</v>
      </c>
      <c r="L2" s="37" t="s">
        <v>888</v>
      </c>
    </row>
    <row r="3" spans="1:12" x14ac:dyDescent="0.35">
      <c r="A3" s="18">
        <v>2025</v>
      </c>
      <c r="B3" s="19" t="s">
        <v>457</v>
      </c>
      <c r="C3" s="19"/>
      <c r="D3" s="19">
        <v>-217492.44999999998</v>
      </c>
      <c r="E3" s="19"/>
      <c r="F3" s="19">
        <f>SUM(C3:E3)</f>
        <v>-217492.44999999998</v>
      </c>
      <c r="G3" s="16">
        <v>2025</v>
      </c>
      <c r="H3" s="17" t="s">
        <v>457</v>
      </c>
      <c r="I3" s="21"/>
      <c r="J3" s="21"/>
      <c r="K3" s="22">
        <f>SUM(I3:J3)</f>
        <v>0</v>
      </c>
      <c r="L3" s="24">
        <f>K3+F3</f>
        <v>-217492.44999999998</v>
      </c>
    </row>
    <row r="4" spans="1:12" x14ac:dyDescent="0.35">
      <c r="A4" s="18">
        <v>2025</v>
      </c>
      <c r="B4" s="19" t="s">
        <v>458</v>
      </c>
      <c r="C4" s="19"/>
      <c r="D4" s="19">
        <v>-1520432.8799999994</v>
      </c>
      <c r="E4" s="19"/>
      <c r="F4" s="19">
        <f t="shared" ref="F4:F16" si="0">SUM(C4:E4)</f>
        <v>-1520432.8799999994</v>
      </c>
      <c r="G4" s="16">
        <v>2025</v>
      </c>
      <c r="H4" s="17" t="s">
        <v>458</v>
      </c>
      <c r="I4" s="21"/>
      <c r="J4" s="21">
        <v>1514515.3300000003</v>
      </c>
      <c r="K4" s="22">
        <f t="shared" ref="K4:K16" si="1">SUM(I4:J4)</f>
        <v>1514515.3300000003</v>
      </c>
      <c r="L4" s="24">
        <f t="shared" ref="L4:L16" si="2">K4+F4</f>
        <v>-5917.5499999991152</v>
      </c>
    </row>
    <row r="5" spans="1:12" x14ac:dyDescent="0.35">
      <c r="A5" s="18">
        <v>2025</v>
      </c>
      <c r="B5" s="19" t="s">
        <v>459</v>
      </c>
      <c r="C5" s="19">
        <v>21719.38</v>
      </c>
      <c r="D5" s="19">
        <v>-1191118.0400000012</v>
      </c>
      <c r="E5" s="19"/>
      <c r="F5" s="19">
        <f t="shared" si="0"/>
        <v>-1169398.6600000013</v>
      </c>
      <c r="G5" s="16">
        <v>2025</v>
      </c>
      <c r="H5" s="17" t="s">
        <v>459</v>
      </c>
      <c r="I5" s="21"/>
      <c r="J5" s="21">
        <v>1933380.6299999983</v>
      </c>
      <c r="K5" s="22">
        <f t="shared" si="1"/>
        <v>1933380.6299999983</v>
      </c>
      <c r="L5" s="24">
        <f t="shared" si="2"/>
        <v>763981.96999999695</v>
      </c>
    </row>
    <row r="6" spans="1:12" x14ac:dyDescent="0.35">
      <c r="A6" s="18">
        <v>2025</v>
      </c>
      <c r="B6" s="19" t="s">
        <v>460</v>
      </c>
      <c r="C6" s="19"/>
      <c r="D6" s="19">
        <v>-2932698.4599999995</v>
      </c>
      <c r="E6" s="19"/>
      <c r="F6" s="19">
        <f t="shared" si="0"/>
        <v>-2932698.4599999995</v>
      </c>
      <c r="G6" s="16">
        <v>2025</v>
      </c>
      <c r="H6" s="17" t="s">
        <v>460</v>
      </c>
      <c r="I6" s="21"/>
      <c r="J6" s="21">
        <v>2087965.7099999997</v>
      </c>
      <c r="K6" s="22">
        <f t="shared" si="1"/>
        <v>2087965.7099999997</v>
      </c>
      <c r="L6" s="24">
        <f t="shared" si="2"/>
        <v>-844732.74999999977</v>
      </c>
    </row>
    <row r="7" spans="1:12" x14ac:dyDescent="0.35">
      <c r="A7" s="18">
        <v>2025</v>
      </c>
      <c r="B7" s="19" t="s">
        <v>461</v>
      </c>
      <c r="C7" s="19"/>
      <c r="D7" s="19">
        <v>-1341898.7200000002</v>
      </c>
      <c r="E7" s="19"/>
      <c r="F7" s="19">
        <f t="shared" si="0"/>
        <v>-1341898.7200000002</v>
      </c>
      <c r="G7" s="16">
        <v>2025</v>
      </c>
      <c r="H7" s="17" t="s">
        <v>461</v>
      </c>
      <c r="I7" s="21">
        <v>-595574.40999999992</v>
      </c>
      <c r="J7" s="21">
        <v>1044919.9400000001</v>
      </c>
      <c r="K7" s="22">
        <f t="shared" si="1"/>
        <v>449345.53000000014</v>
      </c>
      <c r="L7" s="24">
        <f t="shared" si="2"/>
        <v>-892553.19000000006</v>
      </c>
    </row>
    <row r="8" spans="1:12" x14ac:dyDescent="0.35">
      <c r="A8" s="18">
        <v>2025</v>
      </c>
      <c r="B8" s="19" t="s">
        <v>462</v>
      </c>
      <c r="C8" s="19"/>
      <c r="D8" s="19">
        <v>-796400.32000000007</v>
      </c>
      <c r="E8" s="19"/>
      <c r="F8" s="19">
        <f t="shared" si="0"/>
        <v>-796400.32000000007</v>
      </c>
      <c r="G8" s="16">
        <v>2025</v>
      </c>
      <c r="H8" s="17" t="s">
        <v>462</v>
      </c>
      <c r="I8" s="21"/>
      <c r="J8" s="21">
        <v>1761603.83</v>
      </c>
      <c r="K8" s="22">
        <f t="shared" si="1"/>
        <v>1761603.83</v>
      </c>
      <c r="L8" s="24">
        <f t="shared" si="2"/>
        <v>965203.51</v>
      </c>
    </row>
    <row r="9" spans="1:12" x14ac:dyDescent="0.35">
      <c r="A9" s="18">
        <v>2025</v>
      </c>
      <c r="B9" s="19" t="s">
        <v>463</v>
      </c>
      <c r="C9" s="19"/>
      <c r="D9" s="19">
        <v>-266105.72000000003</v>
      </c>
      <c r="E9" s="19"/>
      <c r="F9" s="19">
        <f t="shared" si="0"/>
        <v>-266105.72000000003</v>
      </c>
      <c r="G9" s="16">
        <v>2025</v>
      </c>
      <c r="H9" s="17" t="s">
        <v>463</v>
      </c>
      <c r="I9" s="21">
        <v>-1464659.3399999992</v>
      </c>
      <c r="J9" s="21">
        <v>2492881.4999999967</v>
      </c>
      <c r="K9" s="22">
        <f t="shared" si="1"/>
        <v>1028222.1599999976</v>
      </c>
      <c r="L9" s="24">
        <f t="shared" si="2"/>
        <v>762116.43999999762</v>
      </c>
    </row>
    <row r="10" spans="1:12" x14ac:dyDescent="0.35">
      <c r="A10" s="18">
        <v>2025</v>
      </c>
      <c r="B10" s="19" t="s">
        <v>464</v>
      </c>
      <c r="C10" s="19"/>
      <c r="D10" s="19">
        <v>-937708</v>
      </c>
      <c r="E10" s="19"/>
      <c r="F10" s="19">
        <f t="shared" si="0"/>
        <v>-937708</v>
      </c>
      <c r="G10" s="16">
        <v>2025</v>
      </c>
      <c r="H10" s="17" t="s">
        <v>464</v>
      </c>
      <c r="I10" s="21">
        <v>-170239.97000000003</v>
      </c>
      <c r="J10" s="21">
        <v>1305423.0200000003</v>
      </c>
      <c r="K10" s="22">
        <f t="shared" si="1"/>
        <v>1135183.0500000003</v>
      </c>
      <c r="L10" s="24">
        <f t="shared" si="2"/>
        <v>197475.05000000028</v>
      </c>
    </row>
    <row r="11" spans="1:12" x14ac:dyDescent="0.35">
      <c r="A11" s="18">
        <v>2025</v>
      </c>
      <c r="B11" s="19" t="s">
        <v>465</v>
      </c>
      <c r="C11" s="19">
        <v>16556.759999999998</v>
      </c>
      <c r="D11" s="19">
        <v>-673577.15000000014</v>
      </c>
      <c r="E11" s="19"/>
      <c r="F11" s="19">
        <f t="shared" si="0"/>
        <v>-657020.39000000013</v>
      </c>
      <c r="G11" s="16">
        <v>2025</v>
      </c>
      <c r="H11" s="17" t="s">
        <v>465</v>
      </c>
      <c r="I11" s="21"/>
      <c r="J11" s="21">
        <f>1564779.07+1238.22</f>
        <v>1566017.29</v>
      </c>
      <c r="K11" s="22">
        <f t="shared" si="1"/>
        <v>1566017.29</v>
      </c>
      <c r="L11" s="24">
        <f t="shared" si="2"/>
        <v>908996.89999999991</v>
      </c>
    </row>
    <row r="12" spans="1:12" x14ac:dyDescent="0.35">
      <c r="A12" s="18">
        <v>2025</v>
      </c>
      <c r="B12" s="19" t="s">
        <v>466</v>
      </c>
      <c r="C12" s="19"/>
      <c r="D12" s="19">
        <v>-1793002.89</v>
      </c>
      <c r="E12" s="19"/>
      <c r="F12" s="19">
        <f t="shared" si="0"/>
        <v>-1793002.89</v>
      </c>
      <c r="G12" s="16">
        <v>2025</v>
      </c>
      <c r="H12" s="17" t="s">
        <v>466</v>
      </c>
      <c r="I12" s="21">
        <v>-8361.3700000000008</v>
      </c>
      <c r="J12" s="21">
        <v>1113806.7000000002</v>
      </c>
      <c r="K12" s="22">
        <f t="shared" si="1"/>
        <v>1105445.33</v>
      </c>
      <c r="L12" s="24">
        <f t="shared" si="2"/>
        <v>-687557.55999999982</v>
      </c>
    </row>
    <row r="13" spans="1:12" x14ac:dyDescent="0.35">
      <c r="A13" s="18">
        <v>2025</v>
      </c>
      <c r="B13" s="19" t="s">
        <v>467</v>
      </c>
      <c r="C13" s="19"/>
      <c r="D13" s="19">
        <v>-80394.559999999998</v>
      </c>
      <c r="E13" s="19"/>
      <c r="F13" s="19">
        <f t="shared" si="0"/>
        <v>-80394.559999999998</v>
      </c>
      <c r="G13" s="16">
        <v>2025</v>
      </c>
      <c r="H13" s="17" t="s">
        <v>467</v>
      </c>
      <c r="I13" s="21">
        <v>-405590.02</v>
      </c>
      <c r="J13" s="21">
        <v>1574052.6999999997</v>
      </c>
      <c r="K13" s="22">
        <f t="shared" si="1"/>
        <v>1168462.6799999997</v>
      </c>
      <c r="L13" s="24">
        <f t="shared" si="2"/>
        <v>1088068.1199999996</v>
      </c>
    </row>
    <row r="14" spans="1:12" x14ac:dyDescent="0.35">
      <c r="A14" s="18">
        <v>2025</v>
      </c>
      <c r="B14" s="19" t="s">
        <v>492</v>
      </c>
      <c r="C14" s="19"/>
      <c r="D14" s="19"/>
      <c r="E14" s="19"/>
      <c r="F14" s="19">
        <f t="shared" si="0"/>
        <v>0</v>
      </c>
      <c r="G14" s="16">
        <v>2025</v>
      </c>
      <c r="H14" s="17" t="s">
        <v>492</v>
      </c>
      <c r="I14" s="21"/>
      <c r="J14" s="21">
        <v>282835.01</v>
      </c>
      <c r="K14" s="22">
        <f t="shared" si="1"/>
        <v>282835.01</v>
      </c>
      <c r="L14" s="24">
        <f t="shared" si="2"/>
        <v>282835.01</v>
      </c>
    </row>
    <row r="15" spans="1:12" x14ac:dyDescent="0.35">
      <c r="A15" s="18">
        <v>2026</v>
      </c>
      <c r="B15" s="19" t="s">
        <v>457</v>
      </c>
      <c r="C15" s="19"/>
      <c r="D15" s="19"/>
      <c r="E15" s="19">
        <v>-45403</v>
      </c>
      <c r="F15" s="19">
        <f t="shared" si="0"/>
        <v>-45403</v>
      </c>
      <c r="G15" s="16">
        <v>2026</v>
      </c>
      <c r="H15" s="17" t="s">
        <v>457</v>
      </c>
      <c r="I15" s="21">
        <v>-52265.329999999994</v>
      </c>
      <c r="J15" s="21">
        <v>831546.81000000017</v>
      </c>
      <c r="K15" s="22">
        <f t="shared" si="1"/>
        <v>779281.48000000021</v>
      </c>
      <c r="L15" s="24">
        <f t="shared" si="2"/>
        <v>733878.48000000021</v>
      </c>
    </row>
    <row r="16" spans="1:12" x14ac:dyDescent="0.35">
      <c r="A16" s="87" t="s">
        <v>498</v>
      </c>
      <c r="B16" s="87"/>
      <c r="C16" s="20">
        <f t="shared" ref="C16:E16" si="3">SUM(C3:C15)</f>
        <v>38276.14</v>
      </c>
      <c r="D16" s="20">
        <f t="shared" si="3"/>
        <v>-11750829.190000001</v>
      </c>
      <c r="E16" s="20">
        <f t="shared" si="3"/>
        <v>-45403</v>
      </c>
      <c r="F16" s="19">
        <f t="shared" si="0"/>
        <v>-11757956.050000001</v>
      </c>
      <c r="G16" s="88" t="s">
        <v>498</v>
      </c>
      <c r="H16" s="88"/>
      <c r="I16" s="23">
        <f>SUM(I3:I15)</f>
        <v>-2696690.4399999995</v>
      </c>
      <c r="J16" s="23">
        <f t="shared" ref="J16" si="4">SUM(J3:J15)</f>
        <v>17508948.469999995</v>
      </c>
      <c r="K16" s="23">
        <f t="shared" si="1"/>
        <v>14812258.029999996</v>
      </c>
      <c r="L16" s="24">
        <f t="shared" si="2"/>
        <v>3054301.9799999949</v>
      </c>
    </row>
    <row r="18" spans="4:4" x14ac:dyDescent="0.35">
      <c r="D18" s="38">
        <f>J16+D16</f>
        <v>5758119.2799999937</v>
      </c>
    </row>
  </sheetData>
  <mergeCells count="4">
    <mergeCell ref="A16:B16"/>
    <mergeCell ref="G16:H16"/>
    <mergeCell ref="A1:F1"/>
    <mergeCell ref="G1:K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544151-B5A9-4175-B0E5-25E7375A12C6}">
  <dimension ref="A1:L26"/>
  <sheetViews>
    <sheetView topLeftCell="A4" zoomScale="115" zoomScaleNormal="115" workbookViewId="0">
      <selection activeCell="E3" sqref="E3"/>
    </sheetView>
  </sheetViews>
  <sheetFormatPr defaultRowHeight="14.5" x14ac:dyDescent="0.35"/>
  <cols>
    <col min="1" max="1" width="10.90625" bestFit="1" customWidth="1"/>
    <col min="2" max="2" width="11.81640625" bestFit="1" customWidth="1"/>
    <col min="3" max="3" width="10.90625" bestFit="1" customWidth="1"/>
    <col min="4" max="4" width="12.54296875" bestFit="1" customWidth="1"/>
    <col min="5" max="5" width="12.1796875" bestFit="1" customWidth="1"/>
    <col min="6" max="6" width="29.36328125" style="75" bestFit="1" customWidth="1"/>
    <col min="7" max="7" width="10.453125" bestFit="1" customWidth="1"/>
    <col min="8" max="8" width="6.36328125" bestFit="1" customWidth="1"/>
    <col min="9" max="9" width="7.453125" bestFit="1" customWidth="1"/>
    <col min="10" max="10" width="14.81640625" bestFit="1" customWidth="1"/>
    <col min="11" max="11" width="14.54296875" bestFit="1" customWidth="1"/>
    <col min="12" max="12" width="10.6328125" bestFit="1" customWidth="1"/>
  </cols>
  <sheetData>
    <row r="1" spans="1:12" ht="15" thickBot="1" x14ac:dyDescent="0.4">
      <c r="A1" s="92" t="s">
        <v>896</v>
      </c>
      <c r="B1" s="93"/>
      <c r="C1" s="90" t="s">
        <v>889</v>
      </c>
      <c r="D1" s="91"/>
      <c r="E1" s="94" t="s">
        <v>895</v>
      </c>
      <c r="F1" s="71"/>
    </row>
    <row r="2" spans="1:12" ht="15" thickBot="1" x14ac:dyDescent="0.4">
      <c r="A2" s="47" t="s">
        <v>894</v>
      </c>
      <c r="B2" s="60" t="s">
        <v>895</v>
      </c>
      <c r="C2" s="59" t="s">
        <v>894</v>
      </c>
      <c r="D2" s="48" t="s">
        <v>895</v>
      </c>
      <c r="E2" s="95"/>
      <c r="F2" s="72"/>
      <c r="J2" s="49" t="s">
        <v>896</v>
      </c>
      <c r="K2" s="50" t="s">
        <v>889</v>
      </c>
    </row>
    <row r="3" spans="1:12" x14ac:dyDescent="0.35">
      <c r="A3" s="45">
        <v>45827</v>
      </c>
      <c r="B3" s="61">
        <v>1760137.77</v>
      </c>
      <c r="C3" s="46">
        <v>45940</v>
      </c>
      <c r="D3" s="51">
        <v>-1746430.23</v>
      </c>
      <c r="E3" s="55">
        <f t="shared" ref="E3:E22" si="0">B3+D3</f>
        <v>13707.540000000037</v>
      </c>
      <c r="F3" s="73" t="s">
        <v>897</v>
      </c>
      <c r="H3" s="18">
        <v>2025</v>
      </c>
      <c r="I3" s="19" t="s">
        <v>457</v>
      </c>
      <c r="J3" s="8"/>
      <c r="K3" s="8"/>
    </row>
    <row r="4" spans="1:12" x14ac:dyDescent="0.35">
      <c r="A4" s="39">
        <v>45859</v>
      </c>
      <c r="B4" s="62">
        <v>2396201.27</v>
      </c>
      <c r="C4" s="40">
        <v>45940</v>
      </c>
      <c r="D4" s="52">
        <v>-2385233.9500000002</v>
      </c>
      <c r="E4" s="56">
        <f t="shared" si="0"/>
        <v>10967.319999999832</v>
      </c>
      <c r="F4" s="73" t="s">
        <v>897</v>
      </c>
      <c r="H4" s="18">
        <v>2025</v>
      </c>
      <c r="I4" s="19" t="s">
        <v>458</v>
      </c>
      <c r="J4" s="8"/>
      <c r="K4" s="8"/>
    </row>
    <row r="5" spans="1:12" x14ac:dyDescent="0.35">
      <c r="A5" s="39">
        <v>45859</v>
      </c>
      <c r="B5" s="62">
        <v>2396201.27</v>
      </c>
      <c r="C5" s="40"/>
      <c r="D5" s="52"/>
      <c r="E5" s="56">
        <f t="shared" si="0"/>
        <v>2396201.27</v>
      </c>
      <c r="F5" s="73"/>
      <c r="H5" s="18">
        <v>2025</v>
      </c>
      <c r="I5" s="19" t="s">
        <v>461</v>
      </c>
      <c r="J5" s="8"/>
      <c r="K5" s="8"/>
    </row>
    <row r="6" spans="1:12" x14ac:dyDescent="0.35">
      <c r="A6" s="39">
        <v>45869</v>
      </c>
      <c r="B6" s="62">
        <v>-2396201.27</v>
      </c>
      <c r="C6" s="40"/>
      <c r="D6" s="52"/>
      <c r="E6" s="56">
        <f t="shared" si="0"/>
        <v>-2396201.27</v>
      </c>
      <c r="F6" s="73"/>
      <c r="H6" s="18">
        <v>2025</v>
      </c>
      <c r="I6" s="19" t="s">
        <v>898</v>
      </c>
      <c r="J6" s="8">
        <f>B3</f>
        <v>1760137.77</v>
      </c>
      <c r="K6" s="8"/>
    </row>
    <row r="7" spans="1:12" x14ac:dyDescent="0.35">
      <c r="A7" s="39">
        <v>45954</v>
      </c>
      <c r="B7" s="62">
        <v>1721315.82</v>
      </c>
      <c r="C7" s="40">
        <v>45958</v>
      </c>
      <c r="D7" s="52">
        <v>-1719090.91</v>
      </c>
      <c r="E7" s="56">
        <f t="shared" si="0"/>
        <v>2224.910000000149</v>
      </c>
      <c r="F7" s="73" t="s">
        <v>897</v>
      </c>
      <c r="H7" s="18">
        <v>2025</v>
      </c>
      <c r="I7" s="19" t="s">
        <v>899</v>
      </c>
      <c r="J7" s="8">
        <f>B4</f>
        <v>2396201.27</v>
      </c>
      <c r="K7" s="8"/>
    </row>
    <row r="8" spans="1:12" x14ac:dyDescent="0.35">
      <c r="A8" s="39"/>
      <c r="B8" s="62"/>
      <c r="C8" s="40">
        <v>45974</v>
      </c>
      <c r="D8" s="52">
        <v>396450.85</v>
      </c>
      <c r="E8" s="56">
        <f t="shared" si="0"/>
        <v>396450.85</v>
      </c>
      <c r="F8" s="73"/>
      <c r="H8" s="18">
        <v>2025</v>
      </c>
      <c r="I8" s="19" t="s">
        <v>464</v>
      </c>
      <c r="J8" s="8"/>
      <c r="K8" s="8"/>
    </row>
    <row r="9" spans="1:12" x14ac:dyDescent="0.35">
      <c r="A9" s="39"/>
      <c r="B9" s="62"/>
      <c r="C9" s="40">
        <v>45974</v>
      </c>
      <c r="D9" s="52">
        <v>262.20999999999998</v>
      </c>
      <c r="E9" s="56">
        <f t="shared" si="0"/>
        <v>262.20999999999998</v>
      </c>
      <c r="F9" s="73"/>
      <c r="H9" s="18">
        <v>2025</v>
      </c>
      <c r="I9" s="19" t="s">
        <v>465</v>
      </c>
      <c r="J9" s="8"/>
      <c r="K9" s="8"/>
    </row>
    <row r="10" spans="1:12" x14ac:dyDescent="0.35">
      <c r="A10" s="39"/>
      <c r="B10" s="62"/>
      <c r="C10" s="40">
        <v>45974</v>
      </c>
      <c r="D10" s="52">
        <v>-262.20999999999998</v>
      </c>
      <c r="E10" s="56">
        <f t="shared" si="0"/>
        <v>-262.20999999999998</v>
      </c>
      <c r="F10" s="73"/>
      <c r="H10" s="18">
        <v>2025</v>
      </c>
      <c r="I10" s="19" t="s">
        <v>466</v>
      </c>
      <c r="J10" s="8">
        <v>1721315.82</v>
      </c>
      <c r="K10" s="8">
        <v>-5850755.0899999999</v>
      </c>
    </row>
    <row r="11" spans="1:12" x14ac:dyDescent="0.35">
      <c r="A11" s="39"/>
      <c r="B11" s="62"/>
      <c r="C11" s="40">
        <v>45974</v>
      </c>
      <c r="D11" s="52">
        <v>478086.37</v>
      </c>
      <c r="E11" s="56">
        <f t="shared" si="0"/>
        <v>478086.37</v>
      </c>
      <c r="F11" s="73"/>
      <c r="H11" s="18">
        <v>2025</v>
      </c>
      <c r="I11" s="19" t="s">
        <v>467</v>
      </c>
      <c r="J11" s="8">
        <v>1899719.56</v>
      </c>
      <c r="K11" s="8">
        <v>-1920293.1</v>
      </c>
    </row>
    <row r="12" spans="1:12" x14ac:dyDescent="0.35">
      <c r="A12" s="39"/>
      <c r="B12" s="62"/>
      <c r="C12" s="40">
        <v>45974</v>
      </c>
      <c r="D12" s="52">
        <v>-338298.81</v>
      </c>
      <c r="E12" s="56">
        <f t="shared" si="0"/>
        <v>-338298.81</v>
      </c>
      <c r="F12" s="73"/>
      <c r="H12" s="18">
        <v>2025</v>
      </c>
      <c r="I12" s="19" t="s">
        <v>492</v>
      </c>
      <c r="J12" s="8">
        <v>715665.04</v>
      </c>
      <c r="K12" s="8"/>
      <c r="L12" s="38"/>
    </row>
    <row r="13" spans="1:12" x14ac:dyDescent="0.35">
      <c r="A13" s="39"/>
      <c r="B13" s="62"/>
      <c r="C13" s="40">
        <v>45974</v>
      </c>
      <c r="D13" s="52">
        <v>-536832.30000000005</v>
      </c>
      <c r="E13" s="56">
        <f t="shared" si="0"/>
        <v>-536832.30000000005</v>
      </c>
      <c r="F13" s="73"/>
      <c r="H13" s="18">
        <v>2026</v>
      </c>
      <c r="I13" s="19" t="s">
        <v>457</v>
      </c>
      <c r="J13" s="8">
        <v>1878132.81</v>
      </c>
      <c r="K13" s="8">
        <v>-719881.09</v>
      </c>
    </row>
    <row r="14" spans="1:12" x14ac:dyDescent="0.35">
      <c r="A14" s="39"/>
      <c r="B14" s="62"/>
      <c r="C14" s="40">
        <v>45974</v>
      </c>
      <c r="D14" s="52">
        <v>75771.03</v>
      </c>
      <c r="E14" s="56">
        <f t="shared" si="0"/>
        <v>75771.03</v>
      </c>
      <c r="F14" s="73"/>
      <c r="H14" s="87" t="s">
        <v>498</v>
      </c>
      <c r="I14" s="87"/>
      <c r="J14" s="9">
        <f>SUM(J3:J13)</f>
        <v>10371172.270000001</v>
      </c>
      <c r="K14" s="9">
        <f>SUM(K3:K13)</f>
        <v>-8490929.2799999993</v>
      </c>
      <c r="L14" s="38">
        <f>SUM(J14:K14)</f>
        <v>1880242.9900000021</v>
      </c>
    </row>
    <row r="15" spans="1:12" x14ac:dyDescent="0.35">
      <c r="A15" s="39"/>
      <c r="B15" s="62"/>
      <c r="C15" s="40">
        <v>45974</v>
      </c>
      <c r="D15" s="52">
        <v>-20130.78</v>
      </c>
      <c r="E15" s="56">
        <f t="shared" si="0"/>
        <v>-20130.78</v>
      </c>
      <c r="F15" s="73"/>
    </row>
    <row r="16" spans="1:12" x14ac:dyDescent="0.35">
      <c r="A16" s="39"/>
      <c r="B16" s="62"/>
      <c r="C16" s="40">
        <v>45974</v>
      </c>
      <c r="D16" s="52">
        <v>-746.27</v>
      </c>
      <c r="E16" s="56">
        <f t="shared" si="0"/>
        <v>-746.27</v>
      </c>
      <c r="F16" s="73"/>
    </row>
    <row r="17" spans="1:11" x14ac:dyDescent="0.35">
      <c r="A17" s="39"/>
      <c r="B17" s="62"/>
      <c r="C17" s="40">
        <v>45974</v>
      </c>
      <c r="D17" s="52">
        <v>-24772.95</v>
      </c>
      <c r="E17" s="56">
        <f t="shared" si="0"/>
        <v>-24772.95</v>
      </c>
      <c r="F17" s="73"/>
    </row>
    <row r="18" spans="1:11" x14ac:dyDescent="0.35">
      <c r="A18" s="39"/>
      <c r="B18" s="62"/>
      <c r="C18" s="40">
        <v>45974</v>
      </c>
      <c r="D18" s="52">
        <v>-31858.99</v>
      </c>
      <c r="E18" s="56">
        <f t="shared" si="0"/>
        <v>-31858.99</v>
      </c>
      <c r="F18" s="73"/>
      <c r="J18" s="3"/>
      <c r="K18" s="1"/>
    </row>
    <row r="19" spans="1:11" x14ac:dyDescent="0.35">
      <c r="A19" s="39">
        <v>45982</v>
      </c>
      <c r="B19" s="62">
        <v>1899719.56</v>
      </c>
      <c r="C19" s="40">
        <v>45987</v>
      </c>
      <c r="D19" s="52">
        <v>-1917961.25</v>
      </c>
      <c r="E19" s="56">
        <f t="shared" si="0"/>
        <v>-18241.689999999944</v>
      </c>
      <c r="F19" s="73" t="s">
        <v>897</v>
      </c>
      <c r="J19" s="3"/>
      <c r="K19" s="1"/>
    </row>
    <row r="20" spans="1:11" x14ac:dyDescent="0.35">
      <c r="A20" s="39">
        <v>46014</v>
      </c>
      <c r="B20" s="62">
        <v>715665.04</v>
      </c>
      <c r="C20" s="40">
        <v>46030</v>
      </c>
      <c r="D20" s="52">
        <v>-719881.09</v>
      </c>
      <c r="E20" s="56">
        <f t="shared" si="0"/>
        <v>-4216.0499999999302</v>
      </c>
      <c r="F20" s="73" t="s">
        <v>897</v>
      </c>
    </row>
    <row r="21" spans="1:11" x14ac:dyDescent="0.35">
      <c r="A21" s="41">
        <v>46052</v>
      </c>
      <c r="B21" s="63">
        <v>1869680.81</v>
      </c>
      <c r="C21" s="42"/>
      <c r="D21" s="53"/>
      <c r="E21" s="57">
        <f t="shared" si="0"/>
        <v>1869680.81</v>
      </c>
      <c r="F21" s="73" t="s">
        <v>906</v>
      </c>
    </row>
    <row r="22" spans="1:11" ht="15" thickBot="1" x14ac:dyDescent="0.4">
      <c r="A22" s="41">
        <v>46053</v>
      </c>
      <c r="B22" s="63">
        <v>8452</v>
      </c>
      <c r="C22" s="42"/>
      <c r="D22" s="53"/>
      <c r="E22" s="57">
        <f t="shared" si="0"/>
        <v>8452</v>
      </c>
      <c r="F22" s="73" t="s">
        <v>906</v>
      </c>
      <c r="J22" s="3"/>
      <c r="K22" s="1"/>
    </row>
    <row r="23" spans="1:11" ht="15" thickBot="1" x14ac:dyDescent="0.4">
      <c r="A23" s="43"/>
      <c r="B23" s="64">
        <f>SUM(B3:B22)</f>
        <v>10371172.270000001</v>
      </c>
      <c r="C23" s="44"/>
      <c r="D23" s="54">
        <f>SUM(D3:D21)</f>
        <v>-8490929.2799999993</v>
      </c>
      <c r="E23" s="58">
        <f>SUM(E3:E22)</f>
        <v>1880242.99</v>
      </c>
      <c r="F23" s="74"/>
      <c r="J23" s="3"/>
      <c r="K23" s="1"/>
    </row>
    <row r="24" spans="1:11" x14ac:dyDescent="0.35">
      <c r="A24" s="3"/>
      <c r="J24" s="3"/>
      <c r="K24" s="1"/>
    </row>
    <row r="25" spans="1:11" x14ac:dyDescent="0.35">
      <c r="J25" s="3"/>
      <c r="K25" s="1"/>
    </row>
    <row r="26" spans="1:11" x14ac:dyDescent="0.35">
      <c r="J26" s="3"/>
      <c r="K26" s="1"/>
    </row>
  </sheetData>
  <mergeCells count="4">
    <mergeCell ref="H14:I14"/>
    <mergeCell ref="C1:D1"/>
    <mergeCell ref="A1:B1"/>
    <mergeCell ref="E1:E2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C933E-DAC3-45BD-BE74-13CD9537AC4B}">
  <dimension ref="A3:G17"/>
  <sheetViews>
    <sheetView workbookViewId="0">
      <selection activeCell="C13" sqref="C13"/>
    </sheetView>
  </sheetViews>
  <sheetFormatPr defaultRowHeight="14.5" x14ac:dyDescent="0.35"/>
  <cols>
    <col min="1" max="1" width="16.36328125" bestFit="1" customWidth="1"/>
    <col min="2" max="2" width="15.1796875" bestFit="1" customWidth="1"/>
    <col min="3" max="3" width="11.453125" bestFit="1" customWidth="1"/>
    <col min="4" max="4" width="10.81640625" bestFit="1" customWidth="1"/>
    <col min="5" max="5" width="8.81640625" bestFit="1" customWidth="1"/>
    <col min="6" max="6" width="11.453125" bestFit="1" customWidth="1"/>
    <col min="7" max="7" width="6.453125" bestFit="1" customWidth="1"/>
    <col min="8" max="11" width="16.453125" bestFit="1" customWidth="1"/>
  </cols>
  <sheetData>
    <row r="3" spans="1:7" x14ac:dyDescent="0.35">
      <c r="A3" s="5" t="s">
        <v>468</v>
      </c>
      <c r="D3" s="5" t="s">
        <v>450</v>
      </c>
    </row>
    <row r="4" spans="1:7" x14ac:dyDescent="0.35">
      <c r="A4" s="5" t="s">
        <v>494</v>
      </c>
      <c r="B4" s="5" t="s">
        <v>495</v>
      </c>
      <c r="C4" s="5" t="s">
        <v>452</v>
      </c>
      <c r="D4" t="s">
        <v>469</v>
      </c>
      <c r="E4" t="s">
        <v>471</v>
      </c>
      <c r="F4" t="s">
        <v>454</v>
      </c>
      <c r="G4" t="s">
        <v>480</v>
      </c>
    </row>
    <row r="5" spans="1:7" x14ac:dyDescent="0.35">
      <c r="A5" t="s">
        <v>487</v>
      </c>
      <c r="B5" t="s">
        <v>488</v>
      </c>
      <c r="C5" s="3" t="s">
        <v>457</v>
      </c>
      <c r="D5" s="6"/>
      <c r="E5" s="6"/>
      <c r="F5" s="6">
        <v>-217492.44999999998</v>
      </c>
      <c r="G5" s="6"/>
    </row>
    <row r="6" spans="1:7" x14ac:dyDescent="0.35">
      <c r="C6" s="3" t="s">
        <v>458</v>
      </c>
      <c r="D6" s="6"/>
      <c r="E6" s="6"/>
      <c r="F6" s="6">
        <v>-1520432.8799999994</v>
      </c>
      <c r="G6" s="6"/>
    </row>
    <row r="7" spans="1:7" x14ac:dyDescent="0.35">
      <c r="C7" s="3" t="s">
        <v>459</v>
      </c>
      <c r="D7" s="6"/>
      <c r="E7" s="6">
        <v>21719.38</v>
      </c>
      <c r="F7" s="6">
        <v>-1191118.0400000012</v>
      </c>
      <c r="G7" s="6"/>
    </row>
    <row r="8" spans="1:7" x14ac:dyDescent="0.35">
      <c r="B8" t="s">
        <v>489</v>
      </c>
      <c r="C8" s="3" t="s">
        <v>460</v>
      </c>
      <c r="D8" s="6"/>
      <c r="E8" s="6"/>
      <c r="F8" s="6">
        <v>-2932698.4599999995</v>
      </c>
      <c r="G8" s="6"/>
    </row>
    <row r="9" spans="1:7" x14ac:dyDescent="0.35">
      <c r="C9" s="3" t="s">
        <v>461</v>
      </c>
      <c r="D9" s="6"/>
      <c r="E9" s="6"/>
      <c r="F9" s="6">
        <v>-1341898.7200000002</v>
      </c>
      <c r="G9" s="6"/>
    </row>
    <row r="10" spans="1:7" x14ac:dyDescent="0.35">
      <c r="C10" s="3" t="s">
        <v>462</v>
      </c>
      <c r="D10" s="6">
        <v>1760137.77</v>
      </c>
      <c r="E10" s="6"/>
      <c r="F10" s="6">
        <v>-796400.32000000007</v>
      </c>
      <c r="G10" s="6"/>
    </row>
    <row r="11" spans="1:7" x14ac:dyDescent="0.35">
      <c r="B11" t="s">
        <v>490</v>
      </c>
      <c r="C11" s="3" t="s">
        <v>463</v>
      </c>
      <c r="D11" s="6">
        <v>2396201.27</v>
      </c>
      <c r="E11" s="6"/>
      <c r="F11" s="6">
        <v>-266105.72000000003</v>
      </c>
      <c r="G11" s="6"/>
    </row>
    <row r="12" spans="1:7" x14ac:dyDescent="0.35">
      <c r="C12" s="3" t="s">
        <v>464</v>
      </c>
      <c r="D12" s="6"/>
      <c r="E12" s="6"/>
      <c r="F12" s="6">
        <v>-937708</v>
      </c>
      <c r="G12" s="6"/>
    </row>
    <row r="13" spans="1:7" x14ac:dyDescent="0.35">
      <c r="C13" s="3" t="s">
        <v>465</v>
      </c>
      <c r="D13" s="6"/>
      <c r="E13" s="6">
        <v>16556.759999999998</v>
      </c>
      <c r="F13" s="6">
        <v>-673577.15000000014</v>
      </c>
      <c r="G13" s="6"/>
    </row>
    <row r="14" spans="1:7" x14ac:dyDescent="0.35">
      <c r="B14" t="s">
        <v>491</v>
      </c>
      <c r="C14" s="3" t="s">
        <v>466</v>
      </c>
      <c r="D14" s="6">
        <v>1721315.82</v>
      </c>
      <c r="E14" s="6"/>
      <c r="F14" s="6">
        <v>-1793002.89</v>
      </c>
      <c r="G14" s="6"/>
    </row>
    <row r="15" spans="1:7" x14ac:dyDescent="0.35">
      <c r="C15" s="3" t="s">
        <v>467</v>
      </c>
      <c r="D15" s="6">
        <v>1899719.56</v>
      </c>
      <c r="E15" s="6"/>
      <c r="F15" s="6">
        <v>-80394.559999999998</v>
      </c>
      <c r="G15" s="6"/>
    </row>
    <row r="16" spans="1:7" x14ac:dyDescent="0.35">
      <c r="C16" s="3" t="s">
        <v>492</v>
      </c>
      <c r="D16" s="6">
        <v>715665.04</v>
      </c>
      <c r="E16" s="6"/>
      <c r="F16" s="6"/>
      <c r="G16" s="6"/>
    </row>
    <row r="17" spans="1:7" x14ac:dyDescent="0.35">
      <c r="A17" t="s">
        <v>493</v>
      </c>
      <c r="B17" t="s">
        <v>488</v>
      </c>
      <c r="C17" s="3" t="s">
        <v>457</v>
      </c>
      <c r="D17" s="6">
        <v>1878132.81</v>
      </c>
      <c r="E17" s="6"/>
      <c r="F17" s="6"/>
      <c r="G17" s="6">
        <v>-45403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06E1E-1B54-4235-AADA-962557EC6204}">
  <dimension ref="A1:M146"/>
  <sheetViews>
    <sheetView workbookViewId="0">
      <selection activeCell="E15" sqref="E15"/>
    </sheetView>
  </sheetViews>
  <sheetFormatPr defaultRowHeight="14.5" x14ac:dyDescent="0.35"/>
  <cols>
    <col min="1" max="1" width="23.81640625" bestFit="1" customWidth="1"/>
    <col min="2" max="2" width="9.453125" bestFit="1" customWidth="1"/>
    <col min="3" max="3" width="7.81640625" bestFit="1" customWidth="1"/>
    <col min="4" max="4" width="13.90625" bestFit="1" customWidth="1"/>
    <col min="5" max="5" width="11.81640625" bestFit="1" customWidth="1"/>
    <col min="6" max="6" width="8.1796875" bestFit="1" customWidth="1"/>
    <col min="7" max="7" width="10.1796875" bestFit="1" customWidth="1"/>
    <col min="9" max="9" width="11.90625" bestFit="1" customWidth="1"/>
    <col min="10" max="10" width="45.81640625" bestFit="1" customWidth="1"/>
    <col min="11" max="11" width="13.6328125" bestFit="1" customWidth="1"/>
    <col min="12" max="12" width="13.08984375" bestFit="1" customWidth="1"/>
    <col min="13" max="13" width="9.1796875" bestFit="1" customWidth="1"/>
  </cols>
  <sheetData>
    <row r="1" spans="1:13" ht="58" x14ac:dyDescent="0.35">
      <c r="A1" s="25" t="s">
        <v>499</v>
      </c>
      <c r="B1" s="25" t="s">
        <v>500</v>
      </c>
      <c r="C1" s="26" t="s">
        <v>502</v>
      </c>
      <c r="D1" s="25" t="s">
        <v>503</v>
      </c>
      <c r="E1" s="25" t="s">
        <v>505</v>
      </c>
      <c r="F1" s="26" t="s">
        <v>506</v>
      </c>
      <c r="G1" s="26" t="s">
        <v>507</v>
      </c>
      <c r="H1" s="26" t="s">
        <v>508</v>
      </c>
      <c r="I1" s="26" t="s">
        <v>509</v>
      </c>
      <c r="J1" s="25" t="s">
        <v>510</v>
      </c>
      <c r="K1" s="25" t="s">
        <v>890</v>
      </c>
      <c r="L1" s="25" t="s">
        <v>891</v>
      </c>
      <c r="M1" s="25" t="s">
        <v>893</v>
      </c>
    </row>
    <row r="2" spans="1:13" x14ac:dyDescent="0.35">
      <c r="A2" s="28" t="s">
        <v>511</v>
      </c>
      <c r="B2" s="32">
        <v>2025</v>
      </c>
      <c r="C2" s="28" t="s">
        <v>515</v>
      </c>
      <c r="D2" s="29">
        <v>45719</v>
      </c>
      <c r="E2" s="28">
        <v>246779410482</v>
      </c>
      <c r="F2" s="28" t="s">
        <v>11</v>
      </c>
      <c r="G2" s="30">
        <v>3.54</v>
      </c>
      <c r="H2" s="28" t="s">
        <v>59</v>
      </c>
      <c r="I2" s="30">
        <v>306.89</v>
      </c>
      <c r="J2" s="28" t="s">
        <v>855</v>
      </c>
      <c r="K2" s="28" t="e">
        <v>#N/A</v>
      </c>
      <c r="L2" s="28"/>
      <c r="M2" s="28"/>
    </row>
    <row r="3" spans="1:13" x14ac:dyDescent="0.35">
      <c r="A3" s="28" t="s">
        <v>511</v>
      </c>
      <c r="B3" s="32">
        <v>2025</v>
      </c>
      <c r="C3" s="28" t="s">
        <v>515</v>
      </c>
      <c r="D3" s="29">
        <v>45719</v>
      </c>
      <c r="E3" s="28">
        <v>246779410483</v>
      </c>
      <c r="F3" s="28" t="s">
        <v>11</v>
      </c>
      <c r="G3" s="30">
        <v>3.54</v>
      </c>
      <c r="H3" s="28" t="s">
        <v>59</v>
      </c>
      <c r="I3" s="30">
        <v>306.89</v>
      </c>
      <c r="J3" s="28" t="s">
        <v>855</v>
      </c>
      <c r="K3" s="28" t="e">
        <v>#N/A</v>
      </c>
      <c r="L3" s="28"/>
      <c r="M3" s="28"/>
    </row>
    <row r="4" spans="1:13" x14ac:dyDescent="0.35">
      <c r="A4" s="28" t="s">
        <v>511</v>
      </c>
      <c r="B4" s="32">
        <v>2025</v>
      </c>
      <c r="C4" s="28" t="s">
        <v>515</v>
      </c>
      <c r="D4" s="29">
        <v>45730</v>
      </c>
      <c r="E4" s="28">
        <v>246779412207</v>
      </c>
      <c r="F4" s="28" t="s">
        <v>11</v>
      </c>
      <c r="G4" s="30">
        <v>312.5</v>
      </c>
      <c r="H4" s="28" t="s">
        <v>59</v>
      </c>
      <c r="I4" s="30">
        <v>27091.02</v>
      </c>
      <c r="J4" s="28" t="s">
        <v>848</v>
      </c>
      <c r="K4" s="28" t="e">
        <v>#N/A</v>
      </c>
      <c r="L4" s="28"/>
      <c r="M4" s="28"/>
    </row>
    <row r="5" spans="1:13" x14ac:dyDescent="0.35">
      <c r="A5" s="28" t="s">
        <v>511</v>
      </c>
      <c r="B5" s="32">
        <v>2025</v>
      </c>
      <c r="C5" s="28" t="s">
        <v>515</v>
      </c>
      <c r="D5" s="29">
        <v>45730</v>
      </c>
      <c r="E5" s="28">
        <v>246779412208</v>
      </c>
      <c r="F5" s="28" t="s">
        <v>11</v>
      </c>
      <c r="G5" s="30">
        <v>23.35</v>
      </c>
      <c r="H5" s="28" t="s">
        <v>59</v>
      </c>
      <c r="I5" s="30">
        <v>2024.24</v>
      </c>
      <c r="J5" s="28" t="s">
        <v>848</v>
      </c>
      <c r="K5" s="28" t="e">
        <v>#N/A</v>
      </c>
      <c r="L5" s="28"/>
      <c r="M5" s="28"/>
    </row>
    <row r="6" spans="1:13" x14ac:dyDescent="0.35">
      <c r="A6" s="28" t="s">
        <v>511</v>
      </c>
      <c r="B6" s="32">
        <v>2025</v>
      </c>
      <c r="C6" s="28" t="s">
        <v>515</v>
      </c>
      <c r="D6" s="29">
        <v>45730</v>
      </c>
      <c r="E6" s="28">
        <v>246779412197</v>
      </c>
      <c r="F6" s="28" t="s">
        <v>11</v>
      </c>
      <c r="G6" s="30">
        <v>40.06</v>
      </c>
      <c r="H6" s="28" t="s">
        <v>59</v>
      </c>
      <c r="I6" s="30">
        <v>3472.85</v>
      </c>
      <c r="J6" s="28" t="s">
        <v>848</v>
      </c>
      <c r="K6" s="28" t="e">
        <v>#N/A</v>
      </c>
      <c r="L6" s="28"/>
      <c r="M6" s="28"/>
    </row>
    <row r="7" spans="1:13" x14ac:dyDescent="0.35">
      <c r="A7" s="28" t="s">
        <v>511</v>
      </c>
      <c r="B7" s="32">
        <v>2025</v>
      </c>
      <c r="C7" s="28" t="s">
        <v>515</v>
      </c>
      <c r="D7" s="29">
        <v>45730</v>
      </c>
      <c r="E7" s="28">
        <v>246779412198</v>
      </c>
      <c r="F7" s="28" t="s">
        <v>11</v>
      </c>
      <c r="G7" s="30">
        <v>249.55</v>
      </c>
      <c r="H7" s="28" t="s">
        <v>59</v>
      </c>
      <c r="I7" s="30">
        <v>21633.8</v>
      </c>
      <c r="J7" s="28" t="s">
        <v>848</v>
      </c>
      <c r="K7" s="28" t="e">
        <v>#N/A</v>
      </c>
      <c r="L7" s="28"/>
      <c r="M7" s="28"/>
    </row>
    <row r="8" spans="1:13" x14ac:dyDescent="0.35">
      <c r="A8" s="28" t="s">
        <v>511</v>
      </c>
      <c r="B8" s="32">
        <v>2025</v>
      </c>
      <c r="C8" s="28" t="s">
        <v>515</v>
      </c>
      <c r="D8" s="29">
        <v>45730</v>
      </c>
      <c r="E8" s="28">
        <v>246779412199</v>
      </c>
      <c r="F8" s="28" t="s">
        <v>11</v>
      </c>
      <c r="G8" s="30">
        <v>40.06</v>
      </c>
      <c r="H8" s="28" t="s">
        <v>59</v>
      </c>
      <c r="I8" s="30">
        <v>3472.85</v>
      </c>
      <c r="J8" s="28" t="s">
        <v>848</v>
      </c>
      <c r="K8" s="28" t="e">
        <v>#N/A</v>
      </c>
      <c r="L8" s="28"/>
      <c r="M8" s="28"/>
    </row>
    <row r="9" spans="1:13" x14ac:dyDescent="0.35">
      <c r="A9" s="28" t="s">
        <v>511</v>
      </c>
      <c r="B9" s="32">
        <v>2025</v>
      </c>
      <c r="C9" s="28" t="s">
        <v>515</v>
      </c>
      <c r="D9" s="29">
        <v>45730</v>
      </c>
      <c r="E9" s="28">
        <v>246779412200</v>
      </c>
      <c r="F9" s="28" t="s">
        <v>11</v>
      </c>
      <c r="G9" s="30">
        <v>45.79</v>
      </c>
      <c r="H9" s="28" t="s">
        <v>59</v>
      </c>
      <c r="I9" s="30">
        <v>3969.59</v>
      </c>
      <c r="J9" s="28" t="s">
        <v>848</v>
      </c>
      <c r="K9" s="28" t="e">
        <v>#N/A</v>
      </c>
      <c r="L9" s="28"/>
      <c r="M9" s="28"/>
    </row>
    <row r="10" spans="1:13" x14ac:dyDescent="0.35">
      <c r="A10" s="28" t="s">
        <v>511</v>
      </c>
      <c r="B10" s="32">
        <v>2025</v>
      </c>
      <c r="C10" s="28" t="s">
        <v>515</v>
      </c>
      <c r="D10" s="29">
        <v>45730</v>
      </c>
      <c r="E10" s="28">
        <v>246779412202</v>
      </c>
      <c r="F10" s="28" t="s">
        <v>11</v>
      </c>
      <c r="G10" s="30">
        <v>40.06</v>
      </c>
      <c r="H10" s="28" t="s">
        <v>59</v>
      </c>
      <c r="I10" s="30">
        <v>3472.85</v>
      </c>
      <c r="J10" s="28" t="s">
        <v>848</v>
      </c>
      <c r="K10" s="28" t="e">
        <v>#N/A</v>
      </c>
      <c r="L10" s="28"/>
      <c r="M10" s="28"/>
    </row>
    <row r="11" spans="1:13" x14ac:dyDescent="0.35">
      <c r="A11" s="28" t="s">
        <v>511</v>
      </c>
      <c r="B11" s="32">
        <v>2025</v>
      </c>
      <c r="C11" s="28" t="s">
        <v>515</v>
      </c>
      <c r="D11" s="29">
        <v>45730</v>
      </c>
      <c r="E11" s="28">
        <v>246779412203</v>
      </c>
      <c r="F11" s="28" t="s">
        <v>11</v>
      </c>
      <c r="G11" s="30">
        <v>28.62</v>
      </c>
      <c r="H11" s="28" t="s">
        <v>59</v>
      </c>
      <c r="I11" s="30">
        <v>2481.1</v>
      </c>
      <c r="J11" s="28" t="s">
        <v>848</v>
      </c>
      <c r="K11" s="28" t="e">
        <v>#N/A</v>
      </c>
      <c r="L11" s="28"/>
      <c r="M11" s="28"/>
    </row>
    <row r="12" spans="1:13" x14ac:dyDescent="0.35">
      <c r="A12" s="28" t="s">
        <v>511</v>
      </c>
      <c r="B12" s="32">
        <v>2025</v>
      </c>
      <c r="C12" s="28" t="s">
        <v>515</v>
      </c>
      <c r="D12" s="29">
        <v>45730</v>
      </c>
      <c r="E12" s="28">
        <v>246779412204</v>
      </c>
      <c r="F12" s="28" t="s">
        <v>11</v>
      </c>
      <c r="G12" s="30">
        <v>22.89</v>
      </c>
      <c r="H12" s="28" t="s">
        <v>59</v>
      </c>
      <c r="I12" s="30">
        <v>1984.36</v>
      </c>
      <c r="J12" s="28" t="s">
        <v>848</v>
      </c>
      <c r="K12" s="28" t="e">
        <v>#N/A</v>
      </c>
      <c r="L12" s="28"/>
      <c r="M12" s="28"/>
    </row>
    <row r="13" spans="1:13" x14ac:dyDescent="0.35">
      <c r="A13" s="28" t="s">
        <v>511</v>
      </c>
      <c r="B13" s="32">
        <v>2025</v>
      </c>
      <c r="C13" s="28" t="s">
        <v>515</v>
      </c>
      <c r="D13" s="29">
        <v>45730</v>
      </c>
      <c r="E13" s="28">
        <v>246779412205</v>
      </c>
      <c r="F13" s="28" t="s">
        <v>11</v>
      </c>
      <c r="G13" s="30">
        <v>114.46</v>
      </c>
      <c r="H13" s="28" t="s">
        <v>59</v>
      </c>
      <c r="I13" s="30">
        <v>9922.68</v>
      </c>
      <c r="J13" s="28" t="s">
        <v>848</v>
      </c>
      <c r="K13" s="28" t="e">
        <v>#N/A</v>
      </c>
      <c r="L13" s="28"/>
      <c r="M13" s="28"/>
    </row>
    <row r="14" spans="1:13" x14ac:dyDescent="0.35">
      <c r="A14" s="28" t="s">
        <v>511</v>
      </c>
      <c r="B14" s="32">
        <v>2025</v>
      </c>
      <c r="C14" s="28" t="s">
        <v>515</v>
      </c>
      <c r="D14" s="29">
        <v>45730</v>
      </c>
      <c r="E14" s="28">
        <v>246779412206</v>
      </c>
      <c r="F14" s="28" t="s">
        <v>11</v>
      </c>
      <c r="G14" s="30">
        <v>68.680000000000007</v>
      </c>
      <c r="H14" s="28" t="s">
        <v>59</v>
      </c>
      <c r="I14" s="30">
        <v>5953.96</v>
      </c>
      <c r="J14" s="28" t="s">
        <v>848</v>
      </c>
      <c r="K14" s="28" t="e">
        <v>#N/A</v>
      </c>
      <c r="L14" s="28"/>
      <c r="M14" s="28"/>
    </row>
    <row r="15" spans="1:13" x14ac:dyDescent="0.35">
      <c r="A15" s="28" t="s">
        <v>511</v>
      </c>
      <c r="B15" s="32">
        <v>2025</v>
      </c>
      <c r="C15" s="28" t="s">
        <v>515</v>
      </c>
      <c r="D15" s="29">
        <v>45730</v>
      </c>
      <c r="E15" s="28">
        <v>246779412196</v>
      </c>
      <c r="F15" s="28" t="s">
        <v>11</v>
      </c>
      <c r="G15" s="30">
        <v>57.23</v>
      </c>
      <c r="H15" s="28" t="s">
        <v>59</v>
      </c>
      <c r="I15" s="30">
        <v>4961.34</v>
      </c>
      <c r="J15" s="28" t="s">
        <v>848</v>
      </c>
      <c r="K15" s="28" t="e">
        <v>#N/A</v>
      </c>
      <c r="L15" s="28"/>
      <c r="M15" s="28"/>
    </row>
    <row r="16" spans="1:13" x14ac:dyDescent="0.35">
      <c r="A16" s="28" t="s">
        <v>511</v>
      </c>
      <c r="B16" s="32">
        <v>2025</v>
      </c>
      <c r="C16" s="28" t="s">
        <v>515</v>
      </c>
      <c r="D16" s="29">
        <v>45730</v>
      </c>
      <c r="E16" s="28">
        <v>246779412201</v>
      </c>
      <c r="F16" s="28" t="s">
        <v>11</v>
      </c>
      <c r="G16" s="30">
        <v>20.03</v>
      </c>
      <c r="H16" s="28" t="s">
        <v>59</v>
      </c>
      <c r="I16" s="30">
        <v>1736.43</v>
      </c>
      <c r="J16" s="28" t="s">
        <v>848</v>
      </c>
      <c r="K16" s="28" t="e">
        <v>#N/A</v>
      </c>
      <c r="L16" s="28"/>
      <c r="M16" s="28"/>
    </row>
    <row r="17" spans="1:13" x14ac:dyDescent="0.35">
      <c r="A17" s="28" t="s">
        <v>511</v>
      </c>
      <c r="B17" s="32">
        <v>2025</v>
      </c>
      <c r="C17" s="28" t="s">
        <v>515</v>
      </c>
      <c r="D17" s="29">
        <v>45735</v>
      </c>
      <c r="E17" s="28">
        <v>246779413317</v>
      </c>
      <c r="F17" s="28" t="s">
        <v>11</v>
      </c>
      <c r="G17" s="30">
        <v>20.100000000000001</v>
      </c>
      <c r="H17" s="28" t="s">
        <v>59</v>
      </c>
      <c r="I17" s="30">
        <v>1742.49</v>
      </c>
      <c r="J17" s="28" t="s">
        <v>662</v>
      </c>
      <c r="K17" s="28" t="e">
        <v>#N/A</v>
      </c>
      <c r="L17" s="28"/>
      <c r="M17" s="28"/>
    </row>
    <row r="18" spans="1:13" x14ac:dyDescent="0.35">
      <c r="A18" s="28" t="s">
        <v>511</v>
      </c>
      <c r="B18" s="32">
        <v>2025</v>
      </c>
      <c r="C18" s="28" t="s">
        <v>515</v>
      </c>
      <c r="D18" s="29">
        <v>45735</v>
      </c>
      <c r="E18" s="28">
        <v>246779413076</v>
      </c>
      <c r="F18" s="28" t="s">
        <v>11</v>
      </c>
      <c r="G18" s="30">
        <v>466.37</v>
      </c>
      <c r="H18" s="28" t="s">
        <v>59</v>
      </c>
      <c r="I18" s="30">
        <v>40430.199999999997</v>
      </c>
      <c r="J18" s="28" t="s">
        <v>862</v>
      </c>
      <c r="K18" s="28" t="e">
        <v>#N/A</v>
      </c>
      <c r="L18" s="28"/>
      <c r="M18" s="28"/>
    </row>
    <row r="19" spans="1:13" x14ac:dyDescent="0.35">
      <c r="A19" s="28" t="s">
        <v>511</v>
      </c>
      <c r="B19" s="32">
        <v>2025</v>
      </c>
      <c r="C19" s="28" t="s">
        <v>515</v>
      </c>
      <c r="D19" s="29">
        <v>45736</v>
      </c>
      <c r="E19" s="28">
        <v>246779414057</v>
      </c>
      <c r="F19" s="28" t="s">
        <v>11</v>
      </c>
      <c r="G19" s="30">
        <v>43.07</v>
      </c>
      <c r="H19" s="28" t="s">
        <v>59</v>
      </c>
      <c r="I19" s="30">
        <v>3733.79</v>
      </c>
      <c r="J19" s="28" t="s">
        <v>585</v>
      </c>
      <c r="K19" s="28" t="e">
        <v>#N/A</v>
      </c>
      <c r="L19" s="28"/>
      <c r="M19" s="28"/>
    </row>
    <row r="20" spans="1:13" x14ac:dyDescent="0.35">
      <c r="A20" s="28" t="s">
        <v>511</v>
      </c>
      <c r="B20" s="32">
        <v>2025</v>
      </c>
      <c r="C20" s="28" t="s">
        <v>515</v>
      </c>
      <c r="D20" s="29">
        <v>45736</v>
      </c>
      <c r="E20" s="28">
        <v>246779414058</v>
      </c>
      <c r="F20" s="28" t="s">
        <v>11</v>
      </c>
      <c r="G20" s="30">
        <v>398.23</v>
      </c>
      <c r="H20" s="28" t="s">
        <v>59</v>
      </c>
      <c r="I20" s="30">
        <v>34523.06</v>
      </c>
      <c r="J20" s="28" t="s">
        <v>585</v>
      </c>
      <c r="K20" s="28" t="e">
        <v>#N/A</v>
      </c>
      <c r="L20" s="28"/>
      <c r="M20" s="28"/>
    </row>
    <row r="21" spans="1:13" x14ac:dyDescent="0.35">
      <c r="A21" s="28" t="s">
        <v>511</v>
      </c>
      <c r="B21" s="32">
        <v>2025</v>
      </c>
      <c r="C21" s="28" t="s">
        <v>515</v>
      </c>
      <c r="D21" s="29">
        <v>45736</v>
      </c>
      <c r="E21" s="28">
        <v>246779414120</v>
      </c>
      <c r="F21" s="28" t="s">
        <v>11</v>
      </c>
      <c r="G21" s="30">
        <v>250.75</v>
      </c>
      <c r="H21" s="28" t="s">
        <v>59</v>
      </c>
      <c r="I21" s="30">
        <v>21737.83</v>
      </c>
      <c r="J21" s="28" t="s">
        <v>586</v>
      </c>
      <c r="K21" s="28" t="e">
        <v>#N/A</v>
      </c>
      <c r="L21" s="28"/>
      <c r="M21" s="28"/>
    </row>
    <row r="22" spans="1:13" x14ac:dyDescent="0.35">
      <c r="A22" s="28" t="s">
        <v>511</v>
      </c>
      <c r="B22" s="32">
        <v>2025</v>
      </c>
      <c r="C22" s="28" t="s">
        <v>515</v>
      </c>
      <c r="D22" s="29">
        <v>45736</v>
      </c>
      <c r="E22" s="28">
        <v>246779414121</v>
      </c>
      <c r="F22" s="28" t="s">
        <v>11</v>
      </c>
      <c r="G22" s="30">
        <v>226.56</v>
      </c>
      <c r="H22" s="28" t="s">
        <v>59</v>
      </c>
      <c r="I22" s="30">
        <v>19640.77</v>
      </c>
      <c r="J22" s="28" t="s">
        <v>587</v>
      </c>
      <c r="K22" s="28" t="e">
        <v>#N/A</v>
      </c>
      <c r="L22" s="28"/>
      <c r="M22" s="28"/>
    </row>
    <row r="23" spans="1:13" x14ac:dyDescent="0.35">
      <c r="A23" s="28" t="s">
        <v>511</v>
      </c>
      <c r="B23" s="32">
        <v>2025</v>
      </c>
      <c r="C23" s="28" t="s">
        <v>515</v>
      </c>
      <c r="D23" s="29">
        <v>45736</v>
      </c>
      <c r="E23" s="28">
        <v>246779414122</v>
      </c>
      <c r="F23" s="28" t="s">
        <v>11</v>
      </c>
      <c r="G23" s="30">
        <v>35.4</v>
      </c>
      <c r="H23" s="28" t="s">
        <v>59</v>
      </c>
      <c r="I23" s="30">
        <v>3068.87</v>
      </c>
      <c r="J23" s="28" t="s">
        <v>588</v>
      </c>
      <c r="K23" s="28" t="e">
        <v>#N/A</v>
      </c>
      <c r="L23" s="28"/>
      <c r="M23" s="28"/>
    </row>
    <row r="24" spans="1:13" x14ac:dyDescent="0.35">
      <c r="A24" s="28" t="s">
        <v>511</v>
      </c>
      <c r="B24" s="32">
        <v>2025</v>
      </c>
      <c r="C24" s="28" t="s">
        <v>515</v>
      </c>
      <c r="D24" s="29">
        <v>45736</v>
      </c>
      <c r="E24" s="28">
        <v>246779414204</v>
      </c>
      <c r="F24" s="28" t="s">
        <v>11</v>
      </c>
      <c r="G24" s="30">
        <v>249.87</v>
      </c>
      <c r="H24" s="28" t="s">
        <v>59</v>
      </c>
      <c r="I24" s="30">
        <v>21661.55</v>
      </c>
      <c r="J24" s="28" t="s">
        <v>589</v>
      </c>
      <c r="K24" s="28" t="e">
        <v>#N/A</v>
      </c>
      <c r="L24" s="28"/>
      <c r="M24" s="28"/>
    </row>
    <row r="25" spans="1:13" x14ac:dyDescent="0.35">
      <c r="A25" s="28" t="s">
        <v>511</v>
      </c>
      <c r="B25" s="32">
        <v>2025</v>
      </c>
      <c r="C25" s="28" t="s">
        <v>515</v>
      </c>
      <c r="D25" s="29">
        <v>45736</v>
      </c>
      <c r="E25" s="28">
        <v>246779414460</v>
      </c>
      <c r="F25" s="28" t="s">
        <v>11</v>
      </c>
      <c r="G25" s="30">
        <v>173.05</v>
      </c>
      <c r="H25" s="28" t="s">
        <v>59</v>
      </c>
      <c r="I25" s="30">
        <v>15001.92</v>
      </c>
      <c r="J25" s="28" t="s">
        <v>585</v>
      </c>
      <c r="K25" s="28" t="e">
        <v>#N/A</v>
      </c>
      <c r="L25" s="28"/>
      <c r="M25" s="28"/>
    </row>
    <row r="26" spans="1:13" x14ac:dyDescent="0.35">
      <c r="A26" s="28" t="s">
        <v>511</v>
      </c>
      <c r="B26" s="32">
        <v>2025</v>
      </c>
      <c r="C26" s="28" t="s">
        <v>515</v>
      </c>
      <c r="D26" s="29">
        <v>45736</v>
      </c>
      <c r="E26" s="28">
        <v>246779414461</v>
      </c>
      <c r="F26" s="28" t="s">
        <v>11</v>
      </c>
      <c r="G26" s="30">
        <v>226.56</v>
      </c>
      <c r="H26" s="28" t="s">
        <v>59</v>
      </c>
      <c r="I26" s="30">
        <v>19640.77</v>
      </c>
      <c r="J26" s="28" t="s">
        <v>590</v>
      </c>
      <c r="K26" s="28" t="e">
        <v>#N/A</v>
      </c>
      <c r="L26" s="28"/>
      <c r="M26" s="28"/>
    </row>
    <row r="27" spans="1:13" x14ac:dyDescent="0.35">
      <c r="A27" s="28" t="s">
        <v>511</v>
      </c>
      <c r="B27" s="32">
        <v>2025</v>
      </c>
      <c r="C27" s="28" t="s">
        <v>515</v>
      </c>
      <c r="D27" s="29">
        <v>45736</v>
      </c>
      <c r="E27" s="28">
        <v>246779414525</v>
      </c>
      <c r="F27" s="28" t="s">
        <v>11</v>
      </c>
      <c r="G27" s="30">
        <v>211.39</v>
      </c>
      <c r="H27" s="28" t="s">
        <v>59</v>
      </c>
      <c r="I27" s="30">
        <v>18325.669999999998</v>
      </c>
      <c r="J27" s="28" t="s">
        <v>591</v>
      </c>
      <c r="K27" s="28" t="e">
        <v>#N/A</v>
      </c>
      <c r="L27" s="28"/>
      <c r="M27" s="28"/>
    </row>
    <row r="28" spans="1:13" x14ac:dyDescent="0.35">
      <c r="A28" s="28" t="s">
        <v>511</v>
      </c>
      <c r="B28" s="32">
        <v>2025</v>
      </c>
      <c r="C28" s="28" t="s">
        <v>515</v>
      </c>
      <c r="D28" s="29">
        <v>45736</v>
      </c>
      <c r="E28" s="28">
        <v>246779414526</v>
      </c>
      <c r="F28" s="28" t="s">
        <v>11</v>
      </c>
      <c r="G28" s="30">
        <v>141.6</v>
      </c>
      <c r="H28" s="28" t="s">
        <v>59</v>
      </c>
      <c r="I28" s="30">
        <v>12275.48</v>
      </c>
      <c r="J28" s="28" t="s">
        <v>592</v>
      </c>
      <c r="K28" s="28" t="e">
        <v>#N/A</v>
      </c>
      <c r="L28" s="28"/>
      <c r="M28" s="28"/>
    </row>
    <row r="29" spans="1:13" x14ac:dyDescent="0.35">
      <c r="A29" s="28" t="s">
        <v>511</v>
      </c>
      <c r="B29" s="32">
        <v>2025</v>
      </c>
      <c r="C29" s="28" t="s">
        <v>515</v>
      </c>
      <c r="D29" s="29">
        <v>45736</v>
      </c>
      <c r="E29" s="28">
        <v>246779414527</v>
      </c>
      <c r="F29" s="28" t="s">
        <v>11</v>
      </c>
      <c r="G29" s="30">
        <v>70.8</v>
      </c>
      <c r="H29" s="28" t="s">
        <v>59</v>
      </c>
      <c r="I29" s="30">
        <v>6137.74</v>
      </c>
      <c r="J29" s="28" t="s">
        <v>593</v>
      </c>
      <c r="K29" s="28" t="e">
        <v>#N/A</v>
      </c>
      <c r="L29" s="28"/>
      <c r="M29" s="28"/>
    </row>
    <row r="30" spans="1:13" x14ac:dyDescent="0.35">
      <c r="A30" s="28" t="s">
        <v>511</v>
      </c>
      <c r="B30" s="32">
        <v>2025</v>
      </c>
      <c r="C30" s="28" t="s">
        <v>515</v>
      </c>
      <c r="D30" s="29">
        <v>45736</v>
      </c>
      <c r="E30" s="28">
        <v>246779414528</v>
      </c>
      <c r="F30" s="28" t="s">
        <v>11</v>
      </c>
      <c r="G30" s="30">
        <v>236</v>
      </c>
      <c r="H30" s="28" t="s">
        <v>59</v>
      </c>
      <c r="I30" s="30">
        <v>20459.14</v>
      </c>
      <c r="J30" s="28" t="s">
        <v>594</v>
      </c>
      <c r="K30" s="28" t="e">
        <v>#N/A</v>
      </c>
      <c r="L30" s="28"/>
      <c r="M30" s="28"/>
    </row>
    <row r="31" spans="1:13" x14ac:dyDescent="0.35">
      <c r="A31" s="28" t="s">
        <v>511</v>
      </c>
      <c r="B31" s="32">
        <v>2025</v>
      </c>
      <c r="C31" s="28" t="s">
        <v>515</v>
      </c>
      <c r="D31" s="29">
        <v>45736</v>
      </c>
      <c r="E31" s="28">
        <v>246779414781</v>
      </c>
      <c r="F31" s="28" t="s">
        <v>11</v>
      </c>
      <c r="G31" s="30">
        <v>218.36</v>
      </c>
      <c r="H31" s="28" t="s">
        <v>59</v>
      </c>
      <c r="I31" s="30">
        <v>18929.900000000001</v>
      </c>
      <c r="J31" s="28" t="s">
        <v>581</v>
      </c>
      <c r="K31" s="28" t="e">
        <v>#N/A</v>
      </c>
      <c r="L31" s="28"/>
      <c r="M31" s="28"/>
    </row>
    <row r="32" spans="1:13" x14ac:dyDescent="0.35">
      <c r="A32" s="28" t="s">
        <v>511</v>
      </c>
      <c r="B32" s="32">
        <v>2025</v>
      </c>
      <c r="C32" s="28" t="s">
        <v>515</v>
      </c>
      <c r="D32" s="29">
        <v>45736</v>
      </c>
      <c r="E32" s="28">
        <v>246779414863</v>
      </c>
      <c r="F32" s="28" t="s">
        <v>11</v>
      </c>
      <c r="G32" s="30">
        <v>23.6</v>
      </c>
      <c r="H32" s="28" t="s">
        <v>59</v>
      </c>
      <c r="I32" s="30">
        <v>2045.91</v>
      </c>
      <c r="J32" s="28" t="s">
        <v>580</v>
      </c>
      <c r="K32" s="28" t="e">
        <v>#N/A</v>
      </c>
      <c r="L32" s="28"/>
      <c r="M32" s="28"/>
    </row>
    <row r="33" spans="1:13" x14ac:dyDescent="0.35">
      <c r="A33" s="28" t="s">
        <v>511</v>
      </c>
      <c r="B33" s="32">
        <v>2025</v>
      </c>
      <c r="C33" s="28" t="s">
        <v>515</v>
      </c>
      <c r="D33" s="29">
        <v>45736</v>
      </c>
      <c r="E33" s="28">
        <v>246779414864</v>
      </c>
      <c r="F33" s="28" t="s">
        <v>11</v>
      </c>
      <c r="G33" s="30">
        <v>26.55</v>
      </c>
      <c r="H33" s="28" t="s">
        <v>59</v>
      </c>
      <c r="I33" s="30">
        <v>2301.65</v>
      </c>
      <c r="J33" s="28" t="s">
        <v>580</v>
      </c>
      <c r="K33" s="28" t="e">
        <v>#N/A</v>
      </c>
      <c r="L33" s="28"/>
      <c r="M33" s="28"/>
    </row>
    <row r="34" spans="1:13" x14ac:dyDescent="0.35">
      <c r="A34" s="28" t="s">
        <v>511</v>
      </c>
      <c r="B34" s="32">
        <v>2025</v>
      </c>
      <c r="C34" s="28" t="s">
        <v>515</v>
      </c>
      <c r="D34" s="29">
        <v>45736</v>
      </c>
      <c r="E34" s="28">
        <v>246779414865</v>
      </c>
      <c r="F34" s="28" t="s">
        <v>11</v>
      </c>
      <c r="G34" s="30">
        <v>32.450000000000003</v>
      </c>
      <c r="H34" s="28" t="s">
        <v>59</v>
      </c>
      <c r="I34" s="30">
        <v>2813.13</v>
      </c>
      <c r="J34" s="28" t="s">
        <v>580</v>
      </c>
      <c r="K34" s="28" t="e">
        <v>#N/A</v>
      </c>
      <c r="L34" s="28"/>
      <c r="M34" s="28"/>
    </row>
    <row r="35" spans="1:13" x14ac:dyDescent="0.35">
      <c r="A35" s="28" t="s">
        <v>511</v>
      </c>
      <c r="B35" s="32">
        <v>2025</v>
      </c>
      <c r="C35" s="28" t="s">
        <v>515</v>
      </c>
      <c r="D35" s="29">
        <v>45736</v>
      </c>
      <c r="E35" s="28">
        <v>246779414866</v>
      </c>
      <c r="F35" s="28" t="s">
        <v>11</v>
      </c>
      <c r="G35" s="30">
        <v>26.55</v>
      </c>
      <c r="H35" s="28" t="s">
        <v>59</v>
      </c>
      <c r="I35" s="30">
        <v>2301.65</v>
      </c>
      <c r="J35" s="28" t="s">
        <v>580</v>
      </c>
      <c r="K35" s="28" t="e">
        <v>#N/A</v>
      </c>
      <c r="L35" s="28"/>
      <c r="M35" s="28"/>
    </row>
    <row r="36" spans="1:13" x14ac:dyDescent="0.35">
      <c r="A36" s="28" t="s">
        <v>511</v>
      </c>
      <c r="B36" s="32">
        <v>2025</v>
      </c>
      <c r="C36" s="28" t="s">
        <v>515</v>
      </c>
      <c r="D36" s="29">
        <v>45736</v>
      </c>
      <c r="E36" s="28">
        <v>246779414867</v>
      </c>
      <c r="F36" s="28" t="s">
        <v>11</v>
      </c>
      <c r="G36" s="30">
        <v>26.55</v>
      </c>
      <c r="H36" s="28" t="s">
        <v>59</v>
      </c>
      <c r="I36" s="30">
        <v>2301.65</v>
      </c>
      <c r="J36" s="28" t="s">
        <v>580</v>
      </c>
      <c r="K36" s="28" t="e">
        <v>#N/A</v>
      </c>
      <c r="L36" s="28"/>
      <c r="M36" s="28"/>
    </row>
    <row r="37" spans="1:13" x14ac:dyDescent="0.35">
      <c r="A37" s="28" t="s">
        <v>511</v>
      </c>
      <c r="B37" s="32">
        <v>2025</v>
      </c>
      <c r="C37" s="28" t="s">
        <v>515</v>
      </c>
      <c r="D37" s="29">
        <v>45736</v>
      </c>
      <c r="E37" s="28">
        <v>246779414868</v>
      </c>
      <c r="F37" s="28" t="s">
        <v>11</v>
      </c>
      <c r="G37" s="30">
        <v>2.95</v>
      </c>
      <c r="H37" s="28" t="s">
        <v>59</v>
      </c>
      <c r="I37" s="30">
        <v>255.74</v>
      </c>
      <c r="J37" s="28" t="s">
        <v>580</v>
      </c>
      <c r="K37" s="28" t="e">
        <v>#N/A</v>
      </c>
      <c r="L37" s="28"/>
      <c r="M37" s="28"/>
    </row>
    <row r="38" spans="1:13" x14ac:dyDescent="0.35">
      <c r="A38" s="28" t="s">
        <v>511</v>
      </c>
      <c r="B38" s="32">
        <v>2025</v>
      </c>
      <c r="C38" s="28" t="s">
        <v>515</v>
      </c>
      <c r="D38" s="29">
        <v>45736</v>
      </c>
      <c r="E38" s="28">
        <v>246779414869</v>
      </c>
      <c r="F38" s="28" t="s">
        <v>11</v>
      </c>
      <c r="G38" s="30">
        <v>35.4</v>
      </c>
      <c r="H38" s="28" t="s">
        <v>59</v>
      </c>
      <c r="I38" s="30">
        <v>3068.87</v>
      </c>
      <c r="J38" s="28" t="s">
        <v>580</v>
      </c>
      <c r="K38" s="28" t="e">
        <v>#N/A</v>
      </c>
      <c r="L38" s="28"/>
      <c r="M38" s="28"/>
    </row>
    <row r="39" spans="1:13" x14ac:dyDescent="0.35">
      <c r="A39" s="28" t="s">
        <v>511</v>
      </c>
      <c r="B39" s="32">
        <v>2025</v>
      </c>
      <c r="C39" s="28" t="s">
        <v>515</v>
      </c>
      <c r="D39" s="29">
        <v>45736</v>
      </c>
      <c r="E39" s="28">
        <v>246779414590</v>
      </c>
      <c r="F39" s="28" t="s">
        <v>11</v>
      </c>
      <c r="G39" s="30">
        <v>300.49</v>
      </c>
      <c r="H39" s="28" t="s">
        <v>59</v>
      </c>
      <c r="I39" s="30">
        <v>26049.86</v>
      </c>
      <c r="J39" s="28" t="s">
        <v>597</v>
      </c>
      <c r="K39" s="28" t="e">
        <v>#N/A</v>
      </c>
      <c r="L39" s="28"/>
      <c r="M39" s="28"/>
    </row>
    <row r="40" spans="1:13" x14ac:dyDescent="0.35">
      <c r="A40" s="28" t="s">
        <v>511</v>
      </c>
      <c r="B40" s="32">
        <v>2025</v>
      </c>
      <c r="C40" s="28" t="s">
        <v>515</v>
      </c>
      <c r="D40" s="29">
        <v>45736</v>
      </c>
      <c r="E40" s="28">
        <v>246779414726</v>
      </c>
      <c r="F40" s="28" t="s">
        <v>11</v>
      </c>
      <c r="G40" s="30">
        <v>165.4</v>
      </c>
      <c r="H40" s="28" t="s">
        <v>59</v>
      </c>
      <c r="I40" s="30">
        <v>14338.73</v>
      </c>
      <c r="J40" s="28" t="s">
        <v>580</v>
      </c>
      <c r="K40" s="28" t="e">
        <v>#N/A</v>
      </c>
      <c r="L40" s="28"/>
      <c r="M40" s="28"/>
    </row>
    <row r="41" spans="1:13" x14ac:dyDescent="0.35">
      <c r="A41" s="28" t="s">
        <v>511</v>
      </c>
      <c r="B41" s="32">
        <v>2025</v>
      </c>
      <c r="C41" s="28" t="s">
        <v>515</v>
      </c>
      <c r="D41" s="29">
        <v>45737</v>
      </c>
      <c r="E41" s="28">
        <v>246779414296</v>
      </c>
      <c r="F41" s="28" t="s">
        <v>11</v>
      </c>
      <c r="G41" s="30">
        <v>553.87</v>
      </c>
      <c r="H41" s="28" t="s">
        <v>59</v>
      </c>
      <c r="I41" s="30">
        <v>48015.69</v>
      </c>
      <c r="J41" s="28" t="s">
        <v>682</v>
      </c>
      <c r="K41" s="28" t="e">
        <v>#N/A</v>
      </c>
      <c r="L41" s="28"/>
      <c r="M41" s="28"/>
    </row>
    <row r="42" spans="1:13" x14ac:dyDescent="0.35">
      <c r="A42" s="28" t="s">
        <v>511</v>
      </c>
      <c r="B42" s="32">
        <v>2025</v>
      </c>
      <c r="C42" s="28" t="s">
        <v>515</v>
      </c>
      <c r="D42" s="29">
        <v>45737</v>
      </c>
      <c r="E42" s="28">
        <v>246779414297</v>
      </c>
      <c r="F42" s="28" t="s">
        <v>11</v>
      </c>
      <c r="G42" s="30">
        <v>424.8</v>
      </c>
      <c r="H42" s="28" t="s">
        <v>59</v>
      </c>
      <c r="I42" s="30">
        <v>36826.449999999997</v>
      </c>
      <c r="J42" s="28" t="s">
        <v>683</v>
      </c>
      <c r="K42" s="28" t="e">
        <v>#N/A</v>
      </c>
      <c r="L42" s="28"/>
      <c r="M42" s="28"/>
    </row>
    <row r="43" spans="1:13" x14ac:dyDescent="0.35">
      <c r="A43" s="28" t="s">
        <v>511</v>
      </c>
      <c r="B43" s="32">
        <v>2025</v>
      </c>
      <c r="C43" s="28" t="s">
        <v>515</v>
      </c>
      <c r="D43" s="29">
        <v>45737</v>
      </c>
      <c r="E43" s="28">
        <v>246779414298</v>
      </c>
      <c r="F43" s="28" t="s">
        <v>11</v>
      </c>
      <c r="G43" s="30">
        <v>70.8</v>
      </c>
      <c r="H43" s="28" t="s">
        <v>59</v>
      </c>
      <c r="I43" s="30">
        <v>6137.74</v>
      </c>
      <c r="J43" s="28" t="s">
        <v>684</v>
      </c>
      <c r="K43" s="28" t="e">
        <v>#N/A</v>
      </c>
      <c r="L43" s="28"/>
      <c r="M43" s="28"/>
    </row>
    <row r="44" spans="1:13" x14ac:dyDescent="0.35">
      <c r="A44" s="28" t="s">
        <v>511</v>
      </c>
      <c r="B44" s="32">
        <v>2025</v>
      </c>
      <c r="C44" s="28" t="s">
        <v>515</v>
      </c>
      <c r="D44" s="29">
        <v>45750</v>
      </c>
      <c r="E44" s="28">
        <v>256779410272</v>
      </c>
      <c r="F44" s="28" t="s">
        <v>11</v>
      </c>
      <c r="G44" s="30">
        <v>2286.2399999999998</v>
      </c>
      <c r="H44" s="28" t="s">
        <v>59</v>
      </c>
      <c r="I44" s="30">
        <v>198724.14</v>
      </c>
      <c r="J44" s="28" t="s">
        <v>617</v>
      </c>
      <c r="K44" s="28" t="e">
        <v>#N/A</v>
      </c>
      <c r="L44" s="28"/>
      <c r="M44" s="28"/>
    </row>
    <row r="45" spans="1:13" x14ac:dyDescent="0.35">
      <c r="A45" s="28" t="s">
        <v>511</v>
      </c>
      <c r="B45" s="32">
        <v>2025</v>
      </c>
      <c r="C45" s="28" t="s">
        <v>515</v>
      </c>
      <c r="D45" s="29">
        <v>45750</v>
      </c>
      <c r="E45" s="28">
        <v>256779410076</v>
      </c>
      <c r="F45" s="28" t="s">
        <v>11</v>
      </c>
      <c r="G45" s="30">
        <v>25.22</v>
      </c>
      <c r="H45" s="28" t="s">
        <v>59</v>
      </c>
      <c r="I45" s="30">
        <v>2192.17</v>
      </c>
      <c r="J45" s="28" t="s">
        <v>632</v>
      </c>
      <c r="K45" s="28" t="e">
        <v>#N/A</v>
      </c>
      <c r="L45" s="28"/>
      <c r="M45" s="28"/>
    </row>
    <row r="46" spans="1:13" x14ac:dyDescent="0.35">
      <c r="A46" s="28" t="s">
        <v>511</v>
      </c>
      <c r="B46" s="32">
        <v>2025</v>
      </c>
      <c r="C46" s="28" t="s">
        <v>515</v>
      </c>
      <c r="D46" s="29">
        <v>45750</v>
      </c>
      <c r="E46" s="28">
        <v>256779410077</v>
      </c>
      <c r="F46" s="28" t="s">
        <v>11</v>
      </c>
      <c r="G46" s="30">
        <v>84.96</v>
      </c>
      <c r="H46" s="28" t="s">
        <v>59</v>
      </c>
      <c r="I46" s="30">
        <v>7384.88</v>
      </c>
      <c r="J46" s="28" t="s">
        <v>633</v>
      </c>
      <c r="K46" s="28" t="e">
        <v>#N/A</v>
      </c>
      <c r="L46" s="28"/>
      <c r="M46" s="28"/>
    </row>
    <row r="47" spans="1:13" x14ac:dyDescent="0.35">
      <c r="A47" s="28" t="s">
        <v>511</v>
      </c>
      <c r="B47" s="32">
        <v>2025</v>
      </c>
      <c r="C47" s="28" t="s">
        <v>515</v>
      </c>
      <c r="D47" s="29">
        <v>45750</v>
      </c>
      <c r="E47" s="28">
        <v>256779410127</v>
      </c>
      <c r="F47" s="28" t="s">
        <v>11</v>
      </c>
      <c r="G47" s="30">
        <v>183.99</v>
      </c>
      <c r="H47" s="28" t="s">
        <v>59</v>
      </c>
      <c r="I47" s="30">
        <v>15992.75</v>
      </c>
      <c r="J47" s="28" t="s">
        <v>634</v>
      </c>
      <c r="K47" s="28" t="e">
        <v>#N/A</v>
      </c>
      <c r="L47" s="28"/>
      <c r="M47" s="28"/>
    </row>
    <row r="48" spans="1:13" x14ac:dyDescent="0.35">
      <c r="A48" s="28" t="s">
        <v>511</v>
      </c>
      <c r="B48" s="32">
        <v>2025</v>
      </c>
      <c r="C48" s="28" t="s">
        <v>515</v>
      </c>
      <c r="D48" s="29">
        <v>45750</v>
      </c>
      <c r="E48" s="28">
        <v>256779410213</v>
      </c>
      <c r="F48" s="28" t="s">
        <v>11</v>
      </c>
      <c r="G48" s="30">
        <v>236</v>
      </c>
      <c r="H48" s="28" t="s">
        <v>59</v>
      </c>
      <c r="I48" s="30">
        <v>20513.55</v>
      </c>
      <c r="J48" s="28" t="s">
        <v>635</v>
      </c>
      <c r="K48" s="28" t="e">
        <v>#N/A</v>
      </c>
      <c r="L48" s="28"/>
      <c r="M48" s="28"/>
    </row>
    <row r="49" spans="1:13" x14ac:dyDescent="0.35">
      <c r="A49" s="28" t="s">
        <v>511</v>
      </c>
      <c r="B49" s="32">
        <v>2025</v>
      </c>
      <c r="C49" s="28" t="s">
        <v>515</v>
      </c>
      <c r="D49" s="29">
        <v>45750</v>
      </c>
      <c r="E49" s="28">
        <v>256779410214</v>
      </c>
      <c r="F49" s="28" t="s">
        <v>11</v>
      </c>
      <c r="G49" s="30">
        <v>70.8</v>
      </c>
      <c r="H49" s="28" t="s">
        <v>59</v>
      </c>
      <c r="I49" s="30">
        <v>6154.06</v>
      </c>
      <c r="J49" s="28" t="s">
        <v>636</v>
      </c>
      <c r="K49" s="28" t="e">
        <v>#N/A</v>
      </c>
      <c r="L49" s="28"/>
      <c r="M49" s="28"/>
    </row>
    <row r="50" spans="1:13" x14ac:dyDescent="0.35">
      <c r="A50" s="28" t="s">
        <v>511</v>
      </c>
      <c r="B50" s="32">
        <v>2025</v>
      </c>
      <c r="C50" s="28" t="s">
        <v>515</v>
      </c>
      <c r="D50" s="29">
        <v>45750</v>
      </c>
      <c r="E50" s="28">
        <v>256779410231</v>
      </c>
      <c r="F50" s="28" t="s">
        <v>11</v>
      </c>
      <c r="G50" s="30">
        <v>2333.1799999999998</v>
      </c>
      <c r="H50" s="28" t="s">
        <v>59</v>
      </c>
      <c r="I50" s="30">
        <v>202804.25</v>
      </c>
      <c r="J50" s="28" t="s">
        <v>609</v>
      </c>
      <c r="K50" s="28" t="e">
        <v>#N/A</v>
      </c>
      <c r="L50" s="28"/>
      <c r="M50" s="28"/>
    </row>
    <row r="51" spans="1:13" x14ac:dyDescent="0.35">
      <c r="A51" s="28" t="s">
        <v>511</v>
      </c>
      <c r="B51" s="32">
        <v>2025</v>
      </c>
      <c r="C51" s="28" t="s">
        <v>515</v>
      </c>
      <c r="D51" s="29">
        <v>45751</v>
      </c>
      <c r="E51" s="28">
        <v>256779410819</v>
      </c>
      <c r="F51" s="28" t="s">
        <v>11</v>
      </c>
      <c r="G51" s="30">
        <v>1913.97</v>
      </c>
      <c r="H51" s="28" t="s">
        <v>59</v>
      </c>
      <c r="I51" s="30">
        <v>166365.76000000001</v>
      </c>
      <c r="J51" s="28" t="s">
        <v>877</v>
      </c>
      <c r="K51" s="28" t="e">
        <v>#N/A</v>
      </c>
      <c r="L51" s="28"/>
      <c r="M51" s="28"/>
    </row>
    <row r="52" spans="1:13" x14ac:dyDescent="0.35">
      <c r="A52" s="28" t="s">
        <v>511</v>
      </c>
      <c r="B52" s="32">
        <v>2025</v>
      </c>
      <c r="C52" s="28" t="s">
        <v>515</v>
      </c>
      <c r="D52" s="29">
        <v>45762</v>
      </c>
      <c r="E52" s="28">
        <v>256779411091</v>
      </c>
      <c r="F52" s="28" t="s">
        <v>11</v>
      </c>
      <c r="G52" s="30">
        <v>54.87</v>
      </c>
      <c r="H52" s="28" t="s">
        <v>59</v>
      </c>
      <c r="I52" s="30">
        <v>4769.3999999999996</v>
      </c>
      <c r="J52" s="28" t="s">
        <v>837</v>
      </c>
      <c r="K52" s="28" t="e">
        <v>#N/A</v>
      </c>
      <c r="L52" s="28"/>
      <c r="M52" s="28"/>
    </row>
    <row r="53" spans="1:13" x14ac:dyDescent="0.35">
      <c r="A53" s="28" t="s">
        <v>511</v>
      </c>
      <c r="B53" s="32">
        <v>2025</v>
      </c>
      <c r="C53" s="28" t="s">
        <v>515</v>
      </c>
      <c r="D53" s="29">
        <v>45762</v>
      </c>
      <c r="E53" s="28">
        <v>256779411092</v>
      </c>
      <c r="F53" s="28" t="s">
        <v>11</v>
      </c>
      <c r="G53" s="30">
        <v>54.87</v>
      </c>
      <c r="H53" s="28" t="s">
        <v>59</v>
      </c>
      <c r="I53" s="30">
        <v>4769.3999999999996</v>
      </c>
      <c r="J53" s="28" t="s">
        <v>837</v>
      </c>
      <c r="K53" s="28" t="e">
        <v>#N/A</v>
      </c>
      <c r="L53" s="28"/>
      <c r="M53" s="28"/>
    </row>
    <row r="54" spans="1:13" x14ac:dyDescent="0.35">
      <c r="A54" s="28" t="s">
        <v>511</v>
      </c>
      <c r="B54" s="32">
        <v>2025</v>
      </c>
      <c r="C54" s="28" t="s">
        <v>515</v>
      </c>
      <c r="D54" s="29">
        <v>45762</v>
      </c>
      <c r="E54" s="28">
        <v>256779411093</v>
      </c>
      <c r="F54" s="28" t="s">
        <v>11</v>
      </c>
      <c r="G54" s="30">
        <v>57.82</v>
      </c>
      <c r="H54" s="28" t="s">
        <v>59</v>
      </c>
      <c r="I54" s="30">
        <v>5025.82</v>
      </c>
      <c r="J54" s="28" t="s">
        <v>837</v>
      </c>
      <c r="K54" s="28" t="e">
        <v>#N/A</v>
      </c>
      <c r="L54" s="28"/>
      <c r="M54" s="28"/>
    </row>
    <row r="55" spans="1:13" x14ac:dyDescent="0.35">
      <c r="A55" s="28" t="s">
        <v>511</v>
      </c>
      <c r="B55" s="32">
        <v>2025</v>
      </c>
      <c r="C55" s="28" t="s">
        <v>515</v>
      </c>
      <c r="D55" s="29">
        <v>45762</v>
      </c>
      <c r="E55" s="28">
        <v>256779411094</v>
      </c>
      <c r="F55" s="28" t="s">
        <v>11</v>
      </c>
      <c r="G55" s="30">
        <v>34.22</v>
      </c>
      <c r="H55" s="28" t="s">
        <v>59</v>
      </c>
      <c r="I55" s="30">
        <v>2974.46</v>
      </c>
      <c r="J55" s="28" t="s">
        <v>837</v>
      </c>
      <c r="K55" s="28" t="e">
        <v>#N/A</v>
      </c>
      <c r="L55" s="28"/>
      <c r="M55" s="28"/>
    </row>
    <row r="56" spans="1:13" x14ac:dyDescent="0.35">
      <c r="A56" s="28" t="s">
        <v>511</v>
      </c>
      <c r="B56" s="32">
        <v>2025</v>
      </c>
      <c r="C56" s="28" t="s">
        <v>515</v>
      </c>
      <c r="D56" s="29">
        <v>45762</v>
      </c>
      <c r="E56" s="28">
        <v>256779411095</v>
      </c>
      <c r="F56" s="28" t="s">
        <v>11</v>
      </c>
      <c r="G56" s="30">
        <v>48.97</v>
      </c>
      <c r="H56" s="28" t="s">
        <v>59</v>
      </c>
      <c r="I56" s="30">
        <v>4256.5600000000004</v>
      </c>
      <c r="J56" s="28" t="s">
        <v>837</v>
      </c>
      <c r="K56" s="28" t="e">
        <v>#N/A</v>
      </c>
      <c r="L56" s="28"/>
      <c r="M56" s="28"/>
    </row>
    <row r="57" spans="1:13" x14ac:dyDescent="0.35">
      <c r="A57" s="28" t="s">
        <v>511</v>
      </c>
      <c r="B57" s="32">
        <v>2025</v>
      </c>
      <c r="C57" s="28" t="s">
        <v>515</v>
      </c>
      <c r="D57" s="29">
        <v>45762</v>
      </c>
      <c r="E57" s="28">
        <v>256779411096</v>
      </c>
      <c r="F57" s="28" t="s">
        <v>11</v>
      </c>
      <c r="G57" s="30">
        <v>43.07</v>
      </c>
      <c r="H57" s="28" t="s">
        <v>59</v>
      </c>
      <c r="I57" s="30">
        <v>3743.72</v>
      </c>
      <c r="J57" s="28" t="s">
        <v>837</v>
      </c>
      <c r="K57" s="28" t="e">
        <v>#N/A</v>
      </c>
      <c r="L57" s="28"/>
      <c r="M57" s="28"/>
    </row>
    <row r="58" spans="1:13" x14ac:dyDescent="0.35">
      <c r="A58" s="28" t="s">
        <v>511</v>
      </c>
      <c r="B58" s="32">
        <v>2025</v>
      </c>
      <c r="C58" s="28" t="s">
        <v>515</v>
      </c>
      <c r="D58" s="29">
        <v>45762</v>
      </c>
      <c r="E58" s="28">
        <v>256779411098</v>
      </c>
      <c r="F58" s="28" t="s">
        <v>11</v>
      </c>
      <c r="G58" s="30">
        <v>60.64</v>
      </c>
      <c r="H58" s="28" t="s">
        <v>59</v>
      </c>
      <c r="I58" s="30">
        <v>5270.94</v>
      </c>
      <c r="J58" s="28" t="s">
        <v>837</v>
      </c>
      <c r="K58" s="28" t="e">
        <v>#N/A</v>
      </c>
      <c r="L58" s="28"/>
      <c r="M58" s="28"/>
    </row>
    <row r="59" spans="1:13" x14ac:dyDescent="0.35">
      <c r="A59" s="28" t="s">
        <v>511</v>
      </c>
      <c r="B59" s="32">
        <v>2025</v>
      </c>
      <c r="C59" s="28" t="s">
        <v>515</v>
      </c>
      <c r="D59" s="29">
        <v>45762</v>
      </c>
      <c r="E59" s="28">
        <v>256779411099</v>
      </c>
      <c r="F59" s="28" t="s">
        <v>11</v>
      </c>
      <c r="G59" s="30">
        <v>58.81</v>
      </c>
      <c r="H59" s="28" t="s">
        <v>59</v>
      </c>
      <c r="I59" s="30">
        <v>5111.87</v>
      </c>
      <c r="J59" s="28" t="s">
        <v>837</v>
      </c>
      <c r="K59" s="28" t="e">
        <v>#N/A</v>
      </c>
      <c r="L59" s="28"/>
      <c r="M59" s="28"/>
    </row>
    <row r="60" spans="1:13" x14ac:dyDescent="0.35">
      <c r="A60" s="28" t="s">
        <v>511</v>
      </c>
      <c r="B60" s="32">
        <v>2025</v>
      </c>
      <c r="C60" s="28" t="s">
        <v>515</v>
      </c>
      <c r="D60" s="29">
        <v>45762</v>
      </c>
      <c r="E60" s="28">
        <v>256779411100</v>
      </c>
      <c r="F60" s="28" t="s">
        <v>11</v>
      </c>
      <c r="G60" s="30">
        <v>46.02</v>
      </c>
      <c r="H60" s="28" t="s">
        <v>59</v>
      </c>
      <c r="I60" s="30">
        <v>4000.14</v>
      </c>
      <c r="J60" s="28" t="s">
        <v>837</v>
      </c>
      <c r="K60" s="28" t="e">
        <v>#N/A</v>
      </c>
      <c r="L60" s="28"/>
      <c r="M60" s="28"/>
    </row>
    <row r="61" spans="1:13" x14ac:dyDescent="0.35">
      <c r="A61" s="28" t="s">
        <v>511</v>
      </c>
      <c r="B61" s="32">
        <v>2025</v>
      </c>
      <c r="C61" s="28" t="s">
        <v>515</v>
      </c>
      <c r="D61" s="29">
        <v>45762</v>
      </c>
      <c r="E61" s="28">
        <v>256779411101</v>
      </c>
      <c r="F61" s="28" t="s">
        <v>11</v>
      </c>
      <c r="G61" s="30">
        <v>32.450000000000003</v>
      </c>
      <c r="H61" s="28" t="s">
        <v>59</v>
      </c>
      <c r="I61" s="30">
        <v>2820.61</v>
      </c>
      <c r="J61" s="28" t="s">
        <v>837</v>
      </c>
      <c r="K61" s="28" t="e">
        <v>#N/A</v>
      </c>
      <c r="L61" s="28"/>
      <c r="M61" s="28"/>
    </row>
    <row r="62" spans="1:13" x14ac:dyDescent="0.35">
      <c r="A62" s="28" t="s">
        <v>511</v>
      </c>
      <c r="B62" s="32">
        <v>2025</v>
      </c>
      <c r="C62" s="28" t="s">
        <v>515</v>
      </c>
      <c r="D62" s="29">
        <v>45762</v>
      </c>
      <c r="E62" s="28">
        <v>256779411458</v>
      </c>
      <c r="F62" s="28" t="s">
        <v>11</v>
      </c>
      <c r="G62" s="30">
        <v>35.4</v>
      </c>
      <c r="H62" s="28" t="s">
        <v>59</v>
      </c>
      <c r="I62" s="30">
        <v>3077.03</v>
      </c>
      <c r="J62" s="28" t="s">
        <v>806</v>
      </c>
      <c r="K62" s="28" t="e">
        <v>#N/A</v>
      </c>
      <c r="L62" s="28"/>
      <c r="M62" s="28"/>
    </row>
    <row r="63" spans="1:13" x14ac:dyDescent="0.35">
      <c r="A63" s="28" t="s">
        <v>511</v>
      </c>
      <c r="B63" s="32">
        <v>2025</v>
      </c>
      <c r="C63" s="28" t="s">
        <v>515</v>
      </c>
      <c r="D63" s="29">
        <v>45762</v>
      </c>
      <c r="E63" s="28">
        <v>256779411459</v>
      </c>
      <c r="F63" s="28" t="s">
        <v>11</v>
      </c>
      <c r="G63" s="30">
        <v>29.5</v>
      </c>
      <c r="H63" s="28" t="s">
        <v>59</v>
      </c>
      <c r="I63" s="30">
        <v>2564.19</v>
      </c>
      <c r="J63" s="28" t="s">
        <v>806</v>
      </c>
      <c r="K63" s="28" t="e">
        <v>#N/A</v>
      </c>
      <c r="L63" s="28"/>
      <c r="M63" s="28"/>
    </row>
    <row r="64" spans="1:13" x14ac:dyDescent="0.35">
      <c r="A64" s="28" t="s">
        <v>511</v>
      </c>
      <c r="B64" s="32">
        <v>2025</v>
      </c>
      <c r="C64" s="28" t="s">
        <v>515</v>
      </c>
      <c r="D64" s="29">
        <v>45762</v>
      </c>
      <c r="E64" s="28">
        <v>256779411460</v>
      </c>
      <c r="F64" s="28" t="s">
        <v>11</v>
      </c>
      <c r="G64" s="30">
        <v>29.5</v>
      </c>
      <c r="H64" s="28" t="s">
        <v>59</v>
      </c>
      <c r="I64" s="30">
        <v>2564.19</v>
      </c>
      <c r="J64" s="28" t="s">
        <v>806</v>
      </c>
      <c r="K64" s="28" t="e">
        <v>#N/A</v>
      </c>
      <c r="L64" s="28"/>
      <c r="M64" s="28"/>
    </row>
    <row r="65" spans="1:13" x14ac:dyDescent="0.35">
      <c r="A65" s="28" t="s">
        <v>511</v>
      </c>
      <c r="B65" s="32">
        <v>2025</v>
      </c>
      <c r="C65" s="28" t="s">
        <v>515</v>
      </c>
      <c r="D65" s="29">
        <v>45762</v>
      </c>
      <c r="E65" s="28">
        <v>256779411461</v>
      </c>
      <c r="F65" s="28" t="s">
        <v>11</v>
      </c>
      <c r="G65" s="30">
        <v>35.4</v>
      </c>
      <c r="H65" s="28" t="s">
        <v>59</v>
      </c>
      <c r="I65" s="30">
        <v>3077.03</v>
      </c>
      <c r="J65" s="28" t="s">
        <v>806</v>
      </c>
      <c r="K65" s="28" t="e">
        <v>#N/A</v>
      </c>
      <c r="L65" s="28"/>
      <c r="M65" s="28"/>
    </row>
    <row r="66" spans="1:13" x14ac:dyDescent="0.35">
      <c r="A66" s="28" t="s">
        <v>511</v>
      </c>
      <c r="B66" s="32">
        <v>2025</v>
      </c>
      <c r="C66" s="28" t="s">
        <v>515</v>
      </c>
      <c r="D66" s="29">
        <v>45762</v>
      </c>
      <c r="E66" s="28">
        <v>256779411462</v>
      </c>
      <c r="F66" s="28" t="s">
        <v>11</v>
      </c>
      <c r="G66" s="30">
        <v>20.65</v>
      </c>
      <c r="H66" s="28" t="s">
        <v>59</v>
      </c>
      <c r="I66" s="30">
        <v>1794.94</v>
      </c>
      <c r="J66" s="28" t="s">
        <v>806</v>
      </c>
      <c r="K66" s="28" t="e">
        <v>#N/A</v>
      </c>
      <c r="L66" s="28"/>
      <c r="M66" s="28"/>
    </row>
    <row r="67" spans="1:13" x14ac:dyDescent="0.35">
      <c r="A67" s="28" t="s">
        <v>511</v>
      </c>
      <c r="B67" s="32">
        <v>2025</v>
      </c>
      <c r="C67" s="28" t="s">
        <v>515</v>
      </c>
      <c r="D67" s="29">
        <v>45762</v>
      </c>
      <c r="E67" s="28">
        <v>256779411464</v>
      </c>
      <c r="F67" s="28" t="s">
        <v>11</v>
      </c>
      <c r="G67" s="30">
        <v>8.85</v>
      </c>
      <c r="H67" s="28" t="s">
        <v>59</v>
      </c>
      <c r="I67" s="30">
        <v>769.26</v>
      </c>
      <c r="J67" s="28" t="s">
        <v>806</v>
      </c>
      <c r="K67" s="28" t="e">
        <v>#N/A</v>
      </c>
      <c r="L67" s="28"/>
      <c r="M67" s="28"/>
    </row>
    <row r="68" spans="1:13" x14ac:dyDescent="0.35">
      <c r="A68" s="28" t="s">
        <v>511</v>
      </c>
      <c r="B68" s="32">
        <v>2025</v>
      </c>
      <c r="C68" s="28" t="s">
        <v>515</v>
      </c>
      <c r="D68" s="29">
        <v>45762</v>
      </c>
      <c r="E68" s="28">
        <v>256779411469</v>
      </c>
      <c r="F68" s="28" t="s">
        <v>11</v>
      </c>
      <c r="G68" s="30">
        <v>35.4</v>
      </c>
      <c r="H68" s="28" t="s">
        <v>59</v>
      </c>
      <c r="I68" s="30">
        <v>3077.03</v>
      </c>
      <c r="J68" s="28" t="s">
        <v>806</v>
      </c>
      <c r="K68" s="28" t="e">
        <v>#N/A</v>
      </c>
      <c r="L68" s="28"/>
      <c r="M68" s="28"/>
    </row>
    <row r="69" spans="1:13" x14ac:dyDescent="0.35">
      <c r="A69" s="28" t="s">
        <v>511</v>
      </c>
      <c r="B69" s="32">
        <v>2025</v>
      </c>
      <c r="C69" s="28" t="s">
        <v>515</v>
      </c>
      <c r="D69" s="29">
        <v>45762</v>
      </c>
      <c r="E69" s="28">
        <v>256779411097</v>
      </c>
      <c r="F69" s="28" t="s">
        <v>11</v>
      </c>
      <c r="G69" s="30">
        <v>118</v>
      </c>
      <c r="H69" s="28" t="s">
        <v>59</v>
      </c>
      <c r="I69" s="30">
        <v>10256.77</v>
      </c>
      <c r="J69" s="28" t="s">
        <v>807</v>
      </c>
      <c r="K69" s="28" t="e">
        <v>#N/A</v>
      </c>
      <c r="L69" s="28"/>
      <c r="M69" s="28"/>
    </row>
    <row r="70" spans="1:13" x14ac:dyDescent="0.35">
      <c r="A70" s="28" t="s">
        <v>511</v>
      </c>
      <c r="B70" s="32">
        <v>2025</v>
      </c>
      <c r="C70" s="28" t="s">
        <v>515</v>
      </c>
      <c r="D70" s="29">
        <v>45763</v>
      </c>
      <c r="E70" s="28">
        <v>256779411722</v>
      </c>
      <c r="F70" s="28" t="s">
        <v>11</v>
      </c>
      <c r="G70" s="30">
        <v>236</v>
      </c>
      <c r="H70" s="28" t="s">
        <v>59</v>
      </c>
      <c r="I70" s="30">
        <v>20513.55</v>
      </c>
      <c r="J70" s="28" t="s">
        <v>728</v>
      </c>
      <c r="K70" s="28" t="e">
        <v>#N/A</v>
      </c>
      <c r="L70" s="28"/>
      <c r="M70" s="28"/>
    </row>
    <row r="71" spans="1:13" x14ac:dyDescent="0.35">
      <c r="A71" s="28" t="s">
        <v>511</v>
      </c>
      <c r="B71" s="32">
        <v>2025</v>
      </c>
      <c r="C71" s="28" t="s">
        <v>515</v>
      </c>
      <c r="D71" s="29">
        <v>45763</v>
      </c>
      <c r="E71" s="28">
        <v>256779411795</v>
      </c>
      <c r="F71" s="28" t="s">
        <v>11</v>
      </c>
      <c r="G71" s="30">
        <v>369.34</v>
      </c>
      <c r="H71" s="28" t="s">
        <v>59</v>
      </c>
      <c r="I71" s="30">
        <v>32103.7</v>
      </c>
      <c r="J71" s="28" t="s">
        <v>729</v>
      </c>
      <c r="K71" s="28" t="e">
        <v>#N/A</v>
      </c>
      <c r="L71" s="28"/>
      <c r="M71" s="28"/>
    </row>
    <row r="72" spans="1:13" x14ac:dyDescent="0.35">
      <c r="A72" s="28" t="s">
        <v>511</v>
      </c>
      <c r="B72" s="32">
        <v>2025</v>
      </c>
      <c r="C72" s="28" t="s">
        <v>515</v>
      </c>
      <c r="D72" s="29">
        <v>45763</v>
      </c>
      <c r="E72" s="28">
        <v>256779411796</v>
      </c>
      <c r="F72" s="28" t="s">
        <v>11</v>
      </c>
      <c r="G72" s="30">
        <v>226.56</v>
      </c>
      <c r="H72" s="28" t="s">
        <v>59</v>
      </c>
      <c r="I72" s="30">
        <v>19693.009999999998</v>
      </c>
      <c r="J72" s="28" t="s">
        <v>730</v>
      </c>
      <c r="K72" s="28" t="e">
        <v>#N/A</v>
      </c>
      <c r="L72" s="28"/>
      <c r="M72" s="28"/>
    </row>
    <row r="73" spans="1:13" x14ac:dyDescent="0.35">
      <c r="A73" s="28" t="s">
        <v>511</v>
      </c>
      <c r="B73" s="32">
        <v>2025</v>
      </c>
      <c r="C73" s="28" t="s">
        <v>515</v>
      </c>
      <c r="D73" s="29">
        <v>45763</v>
      </c>
      <c r="E73" s="28">
        <v>256779411797</v>
      </c>
      <c r="F73" s="28" t="s">
        <v>11</v>
      </c>
      <c r="G73" s="30">
        <v>35.4</v>
      </c>
      <c r="H73" s="28" t="s">
        <v>59</v>
      </c>
      <c r="I73" s="30">
        <v>3077.03</v>
      </c>
      <c r="J73" s="28" t="s">
        <v>844</v>
      </c>
      <c r="K73" s="28" t="e">
        <v>#N/A</v>
      </c>
      <c r="L73" s="28"/>
      <c r="M73" s="28"/>
    </row>
    <row r="74" spans="1:13" x14ac:dyDescent="0.35">
      <c r="A74" s="28" t="s">
        <v>511</v>
      </c>
      <c r="B74" s="32">
        <v>2025</v>
      </c>
      <c r="C74" s="28" t="s">
        <v>515</v>
      </c>
      <c r="D74" s="29">
        <v>45763</v>
      </c>
      <c r="E74" s="28">
        <v>256779411798</v>
      </c>
      <c r="F74" s="28" t="s">
        <v>11</v>
      </c>
      <c r="G74" s="30">
        <v>236</v>
      </c>
      <c r="H74" s="28" t="s">
        <v>59</v>
      </c>
      <c r="I74" s="30">
        <v>20513.55</v>
      </c>
      <c r="J74" s="28" t="s">
        <v>731</v>
      </c>
      <c r="K74" s="28" t="e">
        <v>#N/A</v>
      </c>
      <c r="L74" s="28"/>
      <c r="M74" s="28"/>
    </row>
    <row r="75" spans="1:13" x14ac:dyDescent="0.35">
      <c r="A75" s="28" t="s">
        <v>511</v>
      </c>
      <c r="B75" s="32">
        <v>2025</v>
      </c>
      <c r="C75" s="28" t="s">
        <v>515</v>
      </c>
      <c r="D75" s="29">
        <v>45763</v>
      </c>
      <c r="E75" s="28">
        <v>256779411799</v>
      </c>
      <c r="F75" s="28" t="s">
        <v>11</v>
      </c>
      <c r="G75" s="30">
        <v>70.8</v>
      </c>
      <c r="H75" s="28" t="s">
        <v>59</v>
      </c>
      <c r="I75" s="30">
        <v>6154.06</v>
      </c>
      <c r="J75" s="28" t="s">
        <v>732</v>
      </c>
      <c r="K75" s="28" t="e">
        <v>#N/A</v>
      </c>
      <c r="L75" s="28"/>
      <c r="M75" s="28"/>
    </row>
    <row r="76" spans="1:13" x14ac:dyDescent="0.35">
      <c r="A76" s="28" t="s">
        <v>511</v>
      </c>
      <c r="B76" s="32">
        <v>2025</v>
      </c>
      <c r="C76" s="28" t="s">
        <v>515</v>
      </c>
      <c r="D76" s="29">
        <v>45764</v>
      </c>
      <c r="E76" s="28">
        <v>256779412140</v>
      </c>
      <c r="F76" s="28" t="s">
        <v>59</v>
      </c>
      <c r="G76" s="30">
        <v>262.20999999999998</v>
      </c>
      <c r="H76" s="28" t="s">
        <v>59</v>
      </c>
      <c r="I76" s="30">
        <v>262.20999999999998</v>
      </c>
      <c r="J76" s="28" t="s">
        <v>639</v>
      </c>
      <c r="K76" s="28" t="e">
        <v>#N/A</v>
      </c>
      <c r="L76" s="28"/>
      <c r="M76" s="28"/>
    </row>
    <row r="77" spans="1:13" x14ac:dyDescent="0.35">
      <c r="A77" s="28" t="s">
        <v>511</v>
      </c>
      <c r="B77" s="32">
        <v>2025</v>
      </c>
      <c r="C77" s="28" t="s">
        <v>515</v>
      </c>
      <c r="D77" s="29">
        <v>45769</v>
      </c>
      <c r="E77" s="28">
        <v>256779412609</v>
      </c>
      <c r="F77" s="28" t="s">
        <v>11</v>
      </c>
      <c r="G77" s="30">
        <v>700.06</v>
      </c>
      <c r="H77" s="28" t="s">
        <v>59</v>
      </c>
      <c r="I77" s="30">
        <v>60850.49</v>
      </c>
      <c r="J77" s="28" t="s">
        <v>668</v>
      </c>
      <c r="K77" s="28" t="e">
        <v>#N/A</v>
      </c>
      <c r="L77" s="28"/>
      <c r="M77" s="28"/>
    </row>
    <row r="78" spans="1:13" x14ac:dyDescent="0.35">
      <c r="A78" s="28" t="s">
        <v>511</v>
      </c>
      <c r="B78" s="32">
        <v>2025</v>
      </c>
      <c r="C78" s="28" t="s">
        <v>515</v>
      </c>
      <c r="D78" s="29">
        <v>45769</v>
      </c>
      <c r="E78" s="28">
        <v>256779412649</v>
      </c>
      <c r="F78" s="28" t="s">
        <v>11</v>
      </c>
      <c r="G78" s="30">
        <v>79.650000000000006</v>
      </c>
      <c r="H78" s="28" t="s">
        <v>59</v>
      </c>
      <c r="I78" s="30">
        <v>6923.32</v>
      </c>
      <c r="J78" s="28" t="s">
        <v>669</v>
      </c>
      <c r="K78" s="28" t="e">
        <v>#N/A</v>
      </c>
      <c r="L78" s="28"/>
      <c r="M78" s="28"/>
    </row>
    <row r="79" spans="1:13" x14ac:dyDescent="0.35">
      <c r="A79" s="28" t="s">
        <v>511</v>
      </c>
      <c r="B79" s="32">
        <v>2025</v>
      </c>
      <c r="C79" s="28" t="s">
        <v>515</v>
      </c>
      <c r="D79" s="29">
        <v>45770</v>
      </c>
      <c r="E79" s="28">
        <v>256779412884</v>
      </c>
      <c r="F79" s="28" t="s">
        <v>11</v>
      </c>
      <c r="G79" s="30">
        <v>136.08000000000001</v>
      </c>
      <c r="H79" s="28" t="s">
        <v>59</v>
      </c>
      <c r="I79" s="30">
        <v>11828.32</v>
      </c>
      <c r="J79" s="28" t="s">
        <v>680</v>
      </c>
      <c r="K79" s="28" t="e">
        <v>#N/A</v>
      </c>
      <c r="L79" s="28"/>
      <c r="M79" s="28"/>
    </row>
    <row r="80" spans="1:13" x14ac:dyDescent="0.35">
      <c r="A80" s="28" t="s">
        <v>511</v>
      </c>
      <c r="B80" s="32">
        <v>2025</v>
      </c>
      <c r="C80" s="28" t="s">
        <v>515</v>
      </c>
      <c r="D80" s="29">
        <v>45770</v>
      </c>
      <c r="E80" s="28">
        <v>256779412918</v>
      </c>
      <c r="F80" s="28" t="s">
        <v>11</v>
      </c>
      <c r="G80" s="30">
        <v>183.35</v>
      </c>
      <c r="H80" s="28" t="s">
        <v>59</v>
      </c>
      <c r="I80" s="30">
        <v>15937.12</v>
      </c>
      <c r="J80" s="28" t="s">
        <v>681</v>
      </c>
      <c r="K80" s="28" t="e">
        <v>#N/A</v>
      </c>
      <c r="L80" s="28"/>
      <c r="M80" s="28"/>
    </row>
    <row r="81" spans="1:13" x14ac:dyDescent="0.35">
      <c r="A81" s="28" t="s">
        <v>511</v>
      </c>
      <c r="B81" s="32">
        <v>2025</v>
      </c>
      <c r="C81" s="28" t="s">
        <v>515</v>
      </c>
      <c r="D81" s="29">
        <v>45770</v>
      </c>
      <c r="E81" s="28">
        <v>256779412948</v>
      </c>
      <c r="F81" s="28" t="s">
        <v>11</v>
      </c>
      <c r="G81" s="30">
        <v>3.1</v>
      </c>
      <c r="H81" s="28" t="s">
        <v>59</v>
      </c>
      <c r="I81" s="30">
        <v>269.45999999999998</v>
      </c>
      <c r="J81" s="28" t="s">
        <v>681</v>
      </c>
      <c r="K81" s="28" t="e">
        <v>#N/A</v>
      </c>
      <c r="L81" s="28"/>
      <c r="M81" s="28"/>
    </row>
    <row r="82" spans="1:13" x14ac:dyDescent="0.35">
      <c r="A82" s="28" t="s">
        <v>511</v>
      </c>
      <c r="B82" s="32">
        <v>2025</v>
      </c>
      <c r="C82" s="28" t="s">
        <v>515</v>
      </c>
      <c r="D82" s="29">
        <v>45787</v>
      </c>
      <c r="E82" s="28">
        <v>256779413161</v>
      </c>
      <c r="F82" s="28" t="s">
        <v>11</v>
      </c>
      <c r="G82" s="30">
        <v>707.71</v>
      </c>
      <c r="H82" s="28" t="s">
        <v>59</v>
      </c>
      <c r="I82" s="30">
        <v>60851.519999999997</v>
      </c>
      <c r="J82" s="28" t="s">
        <v>692</v>
      </c>
      <c r="K82" s="28" t="e">
        <v>#N/A</v>
      </c>
      <c r="L82" s="28"/>
      <c r="M82" s="28"/>
    </row>
    <row r="83" spans="1:13" x14ac:dyDescent="0.35">
      <c r="A83" s="28" t="s">
        <v>511</v>
      </c>
      <c r="B83" s="32">
        <v>2025</v>
      </c>
      <c r="C83" s="28" t="s">
        <v>515</v>
      </c>
      <c r="D83" s="29">
        <v>45787</v>
      </c>
      <c r="E83" s="28">
        <v>256779413169</v>
      </c>
      <c r="F83" s="28" t="s">
        <v>11</v>
      </c>
      <c r="G83" s="30">
        <v>3.78</v>
      </c>
      <c r="H83" s="28" t="s">
        <v>59</v>
      </c>
      <c r="I83" s="30">
        <v>325.02</v>
      </c>
      <c r="J83" s="28" t="s">
        <v>693</v>
      </c>
      <c r="K83" s="28" t="e">
        <v>#N/A</v>
      </c>
      <c r="L83" s="28"/>
      <c r="M83" s="28"/>
    </row>
    <row r="84" spans="1:13" x14ac:dyDescent="0.35">
      <c r="A84" s="28" t="s">
        <v>511</v>
      </c>
      <c r="B84" s="32">
        <v>2025</v>
      </c>
      <c r="C84" s="28" t="s">
        <v>515</v>
      </c>
      <c r="D84" s="29">
        <v>45793</v>
      </c>
      <c r="E84" s="28">
        <v>256779413280</v>
      </c>
      <c r="F84" s="28" t="s">
        <v>11</v>
      </c>
      <c r="G84" s="30">
        <v>59</v>
      </c>
      <c r="H84" s="28" t="s">
        <v>59</v>
      </c>
      <c r="I84" s="30">
        <v>5073.04</v>
      </c>
      <c r="J84" s="28" t="s">
        <v>569</v>
      </c>
      <c r="K84" s="28" t="e">
        <v>#N/A</v>
      </c>
      <c r="L84" s="28"/>
      <c r="M84" s="28"/>
    </row>
    <row r="85" spans="1:13" x14ac:dyDescent="0.35">
      <c r="A85" s="28" t="s">
        <v>511</v>
      </c>
      <c r="B85" s="32">
        <v>2025</v>
      </c>
      <c r="C85" s="28" t="s">
        <v>515</v>
      </c>
      <c r="D85" s="29">
        <v>45793</v>
      </c>
      <c r="E85" s="28">
        <v>256779413308</v>
      </c>
      <c r="F85" s="28" t="s">
        <v>11</v>
      </c>
      <c r="G85" s="30">
        <v>723.47</v>
      </c>
      <c r="H85" s="28" t="s">
        <v>59</v>
      </c>
      <c r="I85" s="30">
        <v>62206.63</v>
      </c>
      <c r="J85" s="28" t="s">
        <v>570</v>
      </c>
      <c r="K85" s="28" t="e">
        <v>#N/A</v>
      </c>
      <c r="L85" s="28"/>
      <c r="M85" s="28"/>
    </row>
    <row r="86" spans="1:13" x14ac:dyDescent="0.35">
      <c r="A86" s="28" t="s">
        <v>511</v>
      </c>
      <c r="B86" s="32">
        <v>2025</v>
      </c>
      <c r="C86" s="28" t="s">
        <v>515</v>
      </c>
      <c r="D86" s="29">
        <v>45793</v>
      </c>
      <c r="E86" s="28">
        <v>256779413348</v>
      </c>
      <c r="F86" s="28" t="s">
        <v>11</v>
      </c>
      <c r="G86" s="30">
        <v>138.82</v>
      </c>
      <c r="H86" s="28" t="s">
        <v>59</v>
      </c>
      <c r="I86" s="30">
        <v>11936.26</v>
      </c>
      <c r="J86" s="28" t="s">
        <v>571</v>
      </c>
      <c r="K86" s="28" t="e">
        <v>#N/A</v>
      </c>
      <c r="L86" s="28"/>
      <c r="M86" s="28"/>
    </row>
    <row r="87" spans="1:13" x14ac:dyDescent="0.35">
      <c r="A87" s="28" t="s">
        <v>511</v>
      </c>
      <c r="B87" s="32">
        <v>2025</v>
      </c>
      <c r="C87" s="28" t="s">
        <v>515</v>
      </c>
      <c r="D87" s="29">
        <v>45795</v>
      </c>
      <c r="E87" s="28">
        <v>256779413859</v>
      </c>
      <c r="F87" s="28" t="s">
        <v>11</v>
      </c>
      <c r="G87" s="30">
        <v>413</v>
      </c>
      <c r="H87" s="28" t="s">
        <v>59</v>
      </c>
      <c r="I87" s="30">
        <v>35511.269999999997</v>
      </c>
      <c r="J87" s="28" t="s">
        <v>705</v>
      </c>
      <c r="K87" s="28" t="e">
        <v>#N/A</v>
      </c>
      <c r="L87" s="28"/>
      <c r="M87" s="28"/>
    </row>
    <row r="88" spans="1:13" x14ac:dyDescent="0.35">
      <c r="A88" s="28" t="s">
        <v>511</v>
      </c>
      <c r="B88" s="32">
        <v>2025</v>
      </c>
      <c r="C88" s="28" t="s">
        <v>515</v>
      </c>
      <c r="D88" s="29">
        <v>45797</v>
      </c>
      <c r="E88" s="28">
        <v>256779413835</v>
      </c>
      <c r="F88" s="28" t="s">
        <v>11</v>
      </c>
      <c r="G88" s="30">
        <v>206.02</v>
      </c>
      <c r="H88" s="28" t="s">
        <v>59</v>
      </c>
      <c r="I88" s="30">
        <v>17714.36</v>
      </c>
      <c r="J88" s="28" t="s">
        <v>627</v>
      </c>
      <c r="K88" s="28" t="e">
        <v>#N/A</v>
      </c>
      <c r="L88" s="28"/>
      <c r="M88" s="28"/>
    </row>
    <row r="89" spans="1:13" x14ac:dyDescent="0.35">
      <c r="A89" s="28" t="s">
        <v>511</v>
      </c>
      <c r="B89" s="32">
        <v>2025</v>
      </c>
      <c r="C89" s="28" t="s">
        <v>515</v>
      </c>
      <c r="D89" s="29">
        <v>45797</v>
      </c>
      <c r="E89" s="28">
        <v>256779413480</v>
      </c>
      <c r="F89" s="28" t="s">
        <v>11</v>
      </c>
      <c r="G89" s="30">
        <v>183.84</v>
      </c>
      <c r="H89" s="28" t="s">
        <v>59</v>
      </c>
      <c r="I89" s="30">
        <v>15807.24</v>
      </c>
      <c r="J89" s="28" t="s">
        <v>628</v>
      </c>
      <c r="K89" s="28" t="e">
        <v>#N/A</v>
      </c>
      <c r="L89" s="28"/>
      <c r="M89" s="28"/>
    </row>
    <row r="90" spans="1:13" x14ac:dyDescent="0.35">
      <c r="A90" s="28" t="s">
        <v>511</v>
      </c>
      <c r="B90" s="32">
        <v>2025</v>
      </c>
      <c r="C90" s="28" t="s">
        <v>515</v>
      </c>
      <c r="D90" s="29">
        <v>45797</v>
      </c>
      <c r="E90" s="28">
        <v>256779413879</v>
      </c>
      <c r="F90" s="28" t="s">
        <v>11</v>
      </c>
      <c r="G90" s="30">
        <v>37.17</v>
      </c>
      <c r="H90" s="28" t="s">
        <v>59</v>
      </c>
      <c r="I90" s="30">
        <v>3196.01</v>
      </c>
      <c r="J90" s="28" t="s">
        <v>629</v>
      </c>
      <c r="K90" s="28" t="e">
        <v>#N/A</v>
      </c>
      <c r="L90" s="28"/>
      <c r="M90" s="28"/>
    </row>
    <row r="91" spans="1:13" x14ac:dyDescent="0.35">
      <c r="A91" s="28" t="s">
        <v>511</v>
      </c>
      <c r="B91" s="32">
        <v>2025</v>
      </c>
      <c r="C91" s="28" t="s">
        <v>515</v>
      </c>
      <c r="D91" s="29">
        <v>45812</v>
      </c>
      <c r="E91" s="28">
        <v>256779414156</v>
      </c>
      <c r="F91" s="28" t="s">
        <v>11</v>
      </c>
      <c r="G91" s="30">
        <v>83.66</v>
      </c>
      <c r="H91" s="28" t="s">
        <v>59</v>
      </c>
      <c r="I91" s="30">
        <v>7152.16</v>
      </c>
      <c r="J91" s="28" t="s">
        <v>548</v>
      </c>
      <c r="K91" s="28" t="e">
        <v>#N/A</v>
      </c>
      <c r="L91" s="28"/>
      <c r="M91" s="28"/>
    </row>
    <row r="92" spans="1:13" x14ac:dyDescent="0.35">
      <c r="A92" s="28" t="s">
        <v>511</v>
      </c>
      <c r="B92" s="32">
        <v>2025</v>
      </c>
      <c r="C92" s="28" t="s">
        <v>515</v>
      </c>
      <c r="D92" s="29">
        <v>45812</v>
      </c>
      <c r="E92" s="28">
        <v>256779414173</v>
      </c>
      <c r="F92" s="28" t="s">
        <v>11</v>
      </c>
      <c r="G92" s="30">
        <v>2668.72</v>
      </c>
      <c r="H92" s="28" t="s">
        <v>59</v>
      </c>
      <c r="I92" s="30">
        <v>228150.95</v>
      </c>
      <c r="J92" s="28" t="s">
        <v>549</v>
      </c>
      <c r="K92" s="28" t="e">
        <v>#N/A</v>
      </c>
      <c r="L92" s="28"/>
      <c r="M92" s="28"/>
    </row>
    <row r="93" spans="1:13" x14ac:dyDescent="0.35">
      <c r="A93" s="28" t="s">
        <v>511</v>
      </c>
      <c r="B93" s="32">
        <v>2025</v>
      </c>
      <c r="C93" s="28" t="s">
        <v>515</v>
      </c>
      <c r="D93" s="29">
        <v>45812</v>
      </c>
      <c r="E93" s="28">
        <v>256779414206</v>
      </c>
      <c r="F93" s="28" t="s">
        <v>11</v>
      </c>
      <c r="G93" s="30">
        <v>201.33</v>
      </c>
      <c r="H93" s="28" t="s">
        <v>59</v>
      </c>
      <c r="I93" s="30">
        <v>17211.86</v>
      </c>
      <c r="J93" s="28" t="s">
        <v>550</v>
      </c>
      <c r="K93" s="28" t="e">
        <v>#N/A</v>
      </c>
      <c r="L93" s="28"/>
      <c r="M93" s="28"/>
    </row>
    <row r="94" spans="1:13" x14ac:dyDescent="0.35">
      <c r="A94" s="28" t="s">
        <v>511</v>
      </c>
      <c r="B94" s="32">
        <v>2025</v>
      </c>
      <c r="C94" s="28" t="s">
        <v>515</v>
      </c>
      <c r="D94" s="29">
        <v>45812</v>
      </c>
      <c r="E94" s="28">
        <v>256779414260</v>
      </c>
      <c r="F94" s="28" t="s">
        <v>11</v>
      </c>
      <c r="G94" s="30">
        <v>130.93</v>
      </c>
      <c r="H94" s="28" t="s">
        <v>59</v>
      </c>
      <c r="I94" s="30">
        <v>11193.31</v>
      </c>
      <c r="J94" s="28" t="s">
        <v>551</v>
      </c>
      <c r="K94" s="28" t="e">
        <v>#N/A</v>
      </c>
      <c r="L94" s="28"/>
      <c r="M94" s="28"/>
    </row>
    <row r="95" spans="1:13" x14ac:dyDescent="0.35">
      <c r="A95" s="28" t="s">
        <v>511</v>
      </c>
      <c r="B95" s="32">
        <v>2025</v>
      </c>
      <c r="C95" s="28" t="s">
        <v>515</v>
      </c>
      <c r="D95" s="29">
        <v>45812</v>
      </c>
      <c r="E95" s="28">
        <v>256779414271</v>
      </c>
      <c r="F95" s="28" t="s">
        <v>11</v>
      </c>
      <c r="G95" s="30">
        <v>967.68</v>
      </c>
      <c r="H95" s="28" t="s">
        <v>59</v>
      </c>
      <c r="I95" s="30">
        <v>82727.72</v>
      </c>
      <c r="J95" s="28" t="s">
        <v>552</v>
      </c>
      <c r="K95" s="28" t="e">
        <v>#N/A</v>
      </c>
      <c r="L95" s="28"/>
      <c r="M95" s="28"/>
    </row>
    <row r="96" spans="1:13" x14ac:dyDescent="0.35">
      <c r="A96" s="28" t="s">
        <v>511</v>
      </c>
      <c r="B96" s="32">
        <v>2025</v>
      </c>
      <c r="C96" s="28" t="s">
        <v>515</v>
      </c>
      <c r="D96" s="29">
        <v>45812</v>
      </c>
      <c r="E96" s="28">
        <v>256779414309</v>
      </c>
      <c r="F96" s="28" t="s">
        <v>11</v>
      </c>
      <c r="G96" s="30">
        <v>662.83</v>
      </c>
      <c r="H96" s="28" t="s">
        <v>59</v>
      </c>
      <c r="I96" s="30">
        <v>56665.85</v>
      </c>
      <c r="J96" s="28" t="s">
        <v>553</v>
      </c>
      <c r="K96" s="28" t="e">
        <v>#N/A</v>
      </c>
      <c r="L96" s="28"/>
      <c r="M96" s="28"/>
    </row>
    <row r="97" spans="1:13" x14ac:dyDescent="0.35">
      <c r="A97" s="28" t="s">
        <v>511</v>
      </c>
      <c r="B97" s="32">
        <v>2025</v>
      </c>
      <c r="C97" s="28" t="s">
        <v>515</v>
      </c>
      <c r="D97" s="29">
        <v>45815</v>
      </c>
      <c r="E97" s="28">
        <v>256779414253</v>
      </c>
      <c r="F97" s="28" t="s">
        <v>11</v>
      </c>
      <c r="G97" s="30">
        <v>9947.26</v>
      </c>
      <c r="H97" s="28" t="s">
        <v>59</v>
      </c>
      <c r="I97" s="30">
        <v>850399.02</v>
      </c>
      <c r="J97" s="28" t="s">
        <v>697</v>
      </c>
      <c r="K97" s="28" t="e">
        <v>#N/A</v>
      </c>
      <c r="L97" s="28"/>
      <c r="M97" s="28"/>
    </row>
    <row r="98" spans="1:13" x14ac:dyDescent="0.35">
      <c r="A98" s="28" t="s">
        <v>511</v>
      </c>
      <c r="B98" s="32">
        <v>2025</v>
      </c>
      <c r="C98" s="28" t="s">
        <v>515</v>
      </c>
      <c r="D98" s="29">
        <v>45826</v>
      </c>
      <c r="E98" s="28">
        <v>256779414430</v>
      </c>
      <c r="F98" s="28" t="s">
        <v>11</v>
      </c>
      <c r="G98" s="30">
        <v>95.24</v>
      </c>
      <c r="H98" s="28" t="s">
        <v>59</v>
      </c>
      <c r="I98" s="30">
        <v>8142.14</v>
      </c>
      <c r="J98" s="28" t="s">
        <v>604</v>
      </c>
      <c r="K98" s="28" t="e">
        <v>#N/A</v>
      </c>
      <c r="L98" s="28"/>
      <c r="M98" s="28"/>
    </row>
    <row r="99" spans="1:13" x14ac:dyDescent="0.35">
      <c r="A99" s="28" t="s">
        <v>511</v>
      </c>
      <c r="B99" s="32">
        <v>2025</v>
      </c>
      <c r="C99" s="28" t="s">
        <v>515</v>
      </c>
      <c r="D99" s="29">
        <v>45826</v>
      </c>
      <c r="E99" s="28">
        <v>256779414445</v>
      </c>
      <c r="F99" s="28" t="s">
        <v>11</v>
      </c>
      <c r="G99" s="30">
        <v>2333.1799999999998</v>
      </c>
      <c r="H99" s="28" t="s">
        <v>59</v>
      </c>
      <c r="I99" s="30">
        <v>199465.38</v>
      </c>
      <c r="J99" s="28" t="s">
        <v>609</v>
      </c>
      <c r="K99" s="28" t="e">
        <v>#N/A</v>
      </c>
      <c r="L99" s="28"/>
      <c r="M99" s="28"/>
    </row>
    <row r="100" spans="1:13" x14ac:dyDescent="0.35">
      <c r="A100" s="28" t="s">
        <v>511</v>
      </c>
      <c r="B100" s="32">
        <v>2025</v>
      </c>
      <c r="C100" s="28" t="s">
        <v>515</v>
      </c>
      <c r="D100" s="29">
        <v>45848</v>
      </c>
      <c r="E100" s="28">
        <v>256779415296</v>
      </c>
      <c r="F100" s="28" t="s">
        <v>11</v>
      </c>
      <c r="G100" s="30">
        <v>24</v>
      </c>
      <c r="H100" s="28" t="s">
        <v>59</v>
      </c>
      <c r="I100" s="30">
        <v>2064.02</v>
      </c>
      <c r="J100" s="28" t="s">
        <v>837</v>
      </c>
      <c r="K100" s="28" t="e">
        <v>#N/A</v>
      </c>
      <c r="L100" s="28"/>
      <c r="M100" s="28"/>
    </row>
    <row r="101" spans="1:13" x14ac:dyDescent="0.35">
      <c r="A101" s="28" t="s">
        <v>511</v>
      </c>
      <c r="B101" s="32">
        <v>2025</v>
      </c>
      <c r="C101" s="28" t="s">
        <v>515</v>
      </c>
      <c r="D101" s="29">
        <v>45848</v>
      </c>
      <c r="E101" s="28">
        <v>256779415363</v>
      </c>
      <c r="F101" s="28" t="s">
        <v>11</v>
      </c>
      <c r="G101" s="30">
        <v>3</v>
      </c>
      <c r="H101" s="28" t="s">
        <v>59</v>
      </c>
      <c r="I101" s="30">
        <v>258</v>
      </c>
      <c r="J101" s="28" t="s">
        <v>855</v>
      </c>
      <c r="K101" s="28" t="e">
        <v>#N/A</v>
      </c>
      <c r="L101" s="28"/>
      <c r="M101" s="28"/>
    </row>
    <row r="102" spans="1:13" x14ac:dyDescent="0.35">
      <c r="A102" s="28" t="s">
        <v>511</v>
      </c>
      <c r="B102" s="32">
        <v>2025</v>
      </c>
      <c r="C102" s="28" t="s">
        <v>515</v>
      </c>
      <c r="D102" s="29">
        <v>45856</v>
      </c>
      <c r="E102" s="28">
        <v>256779415792</v>
      </c>
      <c r="F102" s="28" t="s">
        <v>11</v>
      </c>
      <c r="G102" s="30">
        <v>608.41</v>
      </c>
      <c r="H102" s="28" t="s">
        <v>59</v>
      </c>
      <c r="I102" s="30">
        <v>52323.67</v>
      </c>
      <c r="J102" s="28" t="s">
        <v>577</v>
      </c>
      <c r="K102" s="28" t="e">
        <v>#N/A</v>
      </c>
      <c r="L102" s="28"/>
      <c r="M102" s="28"/>
    </row>
    <row r="103" spans="1:13" x14ac:dyDescent="0.35">
      <c r="A103" s="28" t="s">
        <v>511</v>
      </c>
      <c r="B103" s="32">
        <v>2025</v>
      </c>
      <c r="C103" s="28" t="s">
        <v>515</v>
      </c>
      <c r="D103" s="29">
        <v>45889</v>
      </c>
      <c r="E103" s="28">
        <v>256779416593</v>
      </c>
      <c r="F103" s="28" t="s">
        <v>11</v>
      </c>
      <c r="G103" s="30">
        <v>810</v>
      </c>
      <c r="H103" s="28" t="s">
        <v>59</v>
      </c>
      <c r="I103" s="30">
        <v>69684.399999999994</v>
      </c>
      <c r="J103" s="28" t="s">
        <v>618</v>
      </c>
      <c r="K103" s="28" t="e">
        <v>#N/A</v>
      </c>
      <c r="L103" s="28"/>
      <c r="M103" s="28"/>
    </row>
    <row r="104" spans="1:13" x14ac:dyDescent="0.35">
      <c r="A104" s="28" t="s">
        <v>511</v>
      </c>
      <c r="B104" s="32">
        <v>2025</v>
      </c>
      <c r="C104" s="28" t="s">
        <v>515</v>
      </c>
      <c r="D104" s="29">
        <v>45889</v>
      </c>
      <c r="E104" s="28">
        <v>256779416600</v>
      </c>
      <c r="F104" s="28" t="s">
        <v>11</v>
      </c>
      <c r="G104" s="30">
        <v>737.41</v>
      </c>
      <c r="H104" s="28" t="s">
        <v>59</v>
      </c>
      <c r="I104" s="30">
        <v>63439.47</v>
      </c>
      <c r="J104" s="28" t="s">
        <v>619</v>
      </c>
      <c r="K104" s="28" t="e">
        <v>#N/A</v>
      </c>
      <c r="L104" s="28"/>
      <c r="M104" s="28"/>
    </row>
    <row r="105" spans="1:13" x14ac:dyDescent="0.35">
      <c r="A105" s="28" t="s">
        <v>511</v>
      </c>
      <c r="B105" s="32">
        <v>2025</v>
      </c>
      <c r="C105" s="28" t="s">
        <v>515</v>
      </c>
      <c r="D105" s="29">
        <v>45889</v>
      </c>
      <c r="E105" s="28">
        <v>256779416801</v>
      </c>
      <c r="F105" s="28" t="s">
        <v>11</v>
      </c>
      <c r="G105" s="30">
        <v>110</v>
      </c>
      <c r="H105" s="28" t="s">
        <v>59</v>
      </c>
      <c r="I105" s="30">
        <v>9463.31</v>
      </c>
      <c r="J105" s="28" t="s">
        <v>620</v>
      </c>
      <c r="K105" s="28" t="e">
        <v>#N/A</v>
      </c>
      <c r="L105" s="28"/>
      <c r="M105" s="28"/>
    </row>
    <row r="106" spans="1:13" x14ac:dyDescent="0.35">
      <c r="A106" s="28" t="s">
        <v>511</v>
      </c>
      <c r="B106" s="32">
        <v>2025</v>
      </c>
      <c r="C106" s="28" t="s">
        <v>515</v>
      </c>
      <c r="D106" s="29">
        <v>45889</v>
      </c>
      <c r="E106" s="28">
        <v>256779416807</v>
      </c>
      <c r="F106" s="28" t="s">
        <v>11</v>
      </c>
      <c r="G106" s="30">
        <v>248.96</v>
      </c>
      <c r="H106" s="28" t="s">
        <v>59</v>
      </c>
      <c r="I106" s="30">
        <v>21418.06</v>
      </c>
      <c r="J106" s="28" t="s">
        <v>621</v>
      </c>
      <c r="K106" s="28" t="e">
        <v>#N/A</v>
      </c>
      <c r="L106" s="28"/>
      <c r="M106" s="28"/>
    </row>
    <row r="107" spans="1:13" x14ac:dyDescent="0.35">
      <c r="A107" s="28" t="s">
        <v>511</v>
      </c>
      <c r="B107" s="32">
        <v>2025</v>
      </c>
      <c r="C107" s="28" t="s">
        <v>515</v>
      </c>
      <c r="D107" s="29">
        <v>45889</v>
      </c>
      <c r="E107" s="28">
        <v>256779416814</v>
      </c>
      <c r="F107" s="28" t="s">
        <v>11</v>
      </c>
      <c r="G107" s="30">
        <v>230</v>
      </c>
      <c r="H107" s="28" t="s">
        <v>59</v>
      </c>
      <c r="I107" s="30">
        <v>19786.93</v>
      </c>
      <c r="J107" s="28" t="s">
        <v>622</v>
      </c>
      <c r="K107" s="28" t="e">
        <v>#N/A</v>
      </c>
      <c r="L107" s="28"/>
      <c r="M107" s="28"/>
    </row>
    <row r="108" spans="1:13" x14ac:dyDescent="0.35">
      <c r="A108" s="28" t="s">
        <v>511</v>
      </c>
      <c r="B108" s="32">
        <v>2025</v>
      </c>
      <c r="C108" s="28" t="s">
        <v>515</v>
      </c>
      <c r="D108" s="29">
        <v>45904</v>
      </c>
      <c r="E108" s="28">
        <v>256779417250</v>
      </c>
      <c r="F108" s="28" t="s">
        <v>11</v>
      </c>
      <c r="G108" s="30">
        <v>50</v>
      </c>
      <c r="H108" s="28" t="s">
        <v>59</v>
      </c>
      <c r="I108" s="30">
        <v>4375.72</v>
      </c>
      <c r="J108" s="28" t="s">
        <v>522</v>
      </c>
      <c r="K108" s="28" t="e">
        <v>#N/A</v>
      </c>
      <c r="L108" s="28"/>
      <c r="M108" s="28"/>
    </row>
    <row r="109" spans="1:13" x14ac:dyDescent="0.35">
      <c r="A109" s="28" t="s">
        <v>511</v>
      </c>
      <c r="B109" s="32">
        <v>2025</v>
      </c>
      <c r="C109" s="28" t="s">
        <v>515</v>
      </c>
      <c r="D109" s="29">
        <v>45906</v>
      </c>
      <c r="E109" s="28">
        <v>256779417093</v>
      </c>
      <c r="F109" s="28" t="s">
        <v>11</v>
      </c>
      <c r="G109" s="30">
        <v>4608.8</v>
      </c>
      <c r="H109" s="28" t="s">
        <v>59</v>
      </c>
      <c r="I109" s="30">
        <v>403336.04</v>
      </c>
      <c r="J109" s="28" t="s">
        <v>704</v>
      </c>
      <c r="K109" s="28" t="e">
        <v>#N/A</v>
      </c>
      <c r="L109" s="28"/>
      <c r="M109" s="28"/>
    </row>
    <row r="110" spans="1:13" x14ac:dyDescent="0.35">
      <c r="A110" s="28" t="s">
        <v>511</v>
      </c>
      <c r="B110" s="32">
        <v>2025</v>
      </c>
      <c r="C110" s="28" t="s">
        <v>515</v>
      </c>
      <c r="D110" s="29">
        <v>45935</v>
      </c>
      <c r="E110" s="28">
        <v>256779418357</v>
      </c>
      <c r="F110" s="28" t="s">
        <v>11</v>
      </c>
      <c r="G110" s="30">
        <v>394.19</v>
      </c>
      <c r="H110" s="28" t="s">
        <v>59</v>
      </c>
      <c r="I110" s="30">
        <v>34763.919999999998</v>
      </c>
      <c r="J110" s="28" t="s">
        <v>702</v>
      </c>
      <c r="K110" s="28" t="e">
        <v>#N/A</v>
      </c>
      <c r="L110" s="28"/>
      <c r="M110" s="28"/>
    </row>
    <row r="111" spans="1:13" x14ac:dyDescent="0.35">
      <c r="A111" s="28" t="s">
        <v>511</v>
      </c>
      <c r="B111" s="32">
        <v>2025</v>
      </c>
      <c r="C111" s="28" t="s">
        <v>515</v>
      </c>
      <c r="D111" s="29">
        <v>45935</v>
      </c>
      <c r="E111" s="28">
        <v>256779418068</v>
      </c>
      <c r="F111" s="28" t="s">
        <v>11</v>
      </c>
      <c r="G111" s="30">
        <v>94.81</v>
      </c>
      <c r="H111" s="28" t="s">
        <v>59</v>
      </c>
      <c r="I111" s="30">
        <v>8361.3700000000008</v>
      </c>
      <c r="J111" s="28" t="s">
        <v>701</v>
      </c>
      <c r="K111" s="28" t="e">
        <v>#N/A</v>
      </c>
      <c r="L111" s="28"/>
      <c r="M111" s="28"/>
    </row>
    <row r="112" spans="1:13" x14ac:dyDescent="0.35">
      <c r="A112" s="28" t="s">
        <v>511</v>
      </c>
      <c r="B112" s="32">
        <v>2025</v>
      </c>
      <c r="C112" s="28" t="s">
        <v>515</v>
      </c>
      <c r="D112" s="29">
        <v>45937</v>
      </c>
      <c r="E112" s="28">
        <v>256779418185</v>
      </c>
      <c r="F112" s="28" t="s">
        <v>11</v>
      </c>
      <c r="G112" s="30">
        <v>405.44</v>
      </c>
      <c r="H112" s="28" t="s">
        <v>59</v>
      </c>
      <c r="I112" s="30">
        <v>35756.07</v>
      </c>
      <c r="J112" s="28" t="s">
        <v>688</v>
      </c>
      <c r="K112" s="28" t="e">
        <v>#N/A</v>
      </c>
      <c r="L112" s="28"/>
      <c r="M112" s="28"/>
    </row>
    <row r="113" spans="1:13" x14ac:dyDescent="0.35">
      <c r="A113" s="28" t="s">
        <v>511</v>
      </c>
      <c r="B113" s="32">
        <v>2025</v>
      </c>
      <c r="C113" s="28" t="s">
        <v>515</v>
      </c>
      <c r="D113" s="29">
        <v>45950</v>
      </c>
      <c r="E113" s="28">
        <v>256779418692</v>
      </c>
      <c r="F113" s="28" t="s">
        <v>11</v>
      </c>
      <c r="G113" s="30">
        <v>531.26</v>
      </c>
      <c r="H113" s="28" t="s">
        <v>59</v>
      </c>
      <c r="I113" s="30">
        <v>46852.23</v>
      </c>
      <c r="J113" s="28" t="s">
        <v>638</v>
      </c>
      <c r="K113" s="28" t="e">
        <v>#N/A</v>
      </c>
      <c r="L113" s="28"/>
      <c r="M113" s="28"/>
    </row>
    <row r="114" spans="1:13" x14ac:dyDescent="0.35">
      <c r="A114" s="28" t="s">
        <v>511</v>
      </c>
      <c r="B114" s="32">
        <v>2025</v>
      </c>
      <c r="C114" s="28" t="s">
        <v>515</v>
      </c>
      <c r="D114" s="29">
        <v>45951</v>
      </c>
      <c r="E114" s="28">
        <v>256779418489</v>
      </c>
      <c r="F114" s="28" t="s">
        <v>11</v>
      </c>
      <c r="G114" s="30">
        <v>562.38</v>
      </c>
      <c r="H114" s="28" t="s">
        <v>59</v>
      </c>
      <c r="I114" s="30">
        <v>49596.73</v>
      </c>
      <c r="J114" s="28" t="s">
        <v>658</v>
      </c>
      <c r="K114" s="28" t="e">
        <v>#N/A</v>
      </c>
      <c r="L114" s="28"/>
      <c r="M114" s="28"/>
    </row>
    <row r="115" spans="1:13" x14ac:dyDescent="0.35">
      <c r="A115" s="28" t="s">
        <v>511</v>
      </c>
      <c r="B115" s="32">
        <v>2025</v>
      </c>
      <c r="C115" s="28" t="s">
        <v>515</v>
      </c>
      <c r="D115" s="29">
        <v>45951</v>
      </c>
      <c r="E115" s="28">
        <v>256779418495</v>
      </c>
      <c r="F115" s="28" t="s">
        <v>11</v>
      </c>
      <c r="G115" s="30">
        <v>13.59</v>
      </c>
      <c r="H115" s="28" t="s">
        <v>59</v>
      </c>
      <c r="I115" s="30">
        <v>1198.51</v>
      </c>
      <c r="J115" s="28" t="s">
        <v>659</v>
      </c>
      <c r="K115" s="28" t="e">
        <v>#N/A</v>
      </c>
      <c r="L115" s="28"/>
      <c r="M115" s="28"/>
    </row>
    <row r="116" spans="1:13" x14ac:dyDescent="0.35">
      <c r="A116" s="28" t="s">
        <v>511</v>
      </c>
      <c r="B116" s="32">
        <v>2025</v>
      </c>
      <c r="C116" s="28" t="s">
        <v>515</v>
      </c>
      <c r="D116" s="29">
        <v>45966</v>
      </c>
      <c r="E116" s="28">
        <v>256779418816</v>
      </c>
      <c r="F116" s="28" t="s">
        <v>11</v>
      </c>
      <c r="G116" s="30">
        <v>891</v>
      </c>
      <c r="H116" s="28" t="s">
        <v>59</v>
      </c>
      <c r="I116" s="30">
        <v>78411.02</v>
      </c>
      <c r="J116" s="28" t="s">
        <v>531</v>
      </c>
      <c r="K116" s="28" t="e">
        <v>#N/A</v>
      </c>
      <c r="L116" s="28"/>
      <c r="M116" s="28"/>
    </row>
    <row r="117" spans="1:13" x14ac:dyDescent="0.35">
      <c r="A117" s="28" t="s">
        <v>511</v>
      </c>
      <c r="B117" s="32">
        <v>2025</v>
      </c>
      <c r="C117" s="28" t="s">
        <v>515</v>
      </c>
      <c r="D117" s="29">
        <v>45966</v>
      </c>
      <c r="E117" s="28">
        <v>256779418872</v>
      </c>
      <c r="F117" s="28" t="s">
        <v>11</v>
      </c>
      <c r="G117" s="30">
        <v>5939.04</v>
      </c>
      <c r="H117" s="28" t="s">
        <v>59</v>
      </c>
      <c r="I117" s="30">
        <v>522655.65</v>
      </c>
      <c r="J117" s="28" t="s">
        <v>532</v>
      </c>
      <c r="K117" s="28" t="e">
        <v>#N/A</v>
      </c>
      <c r="L117" s="28"/>
      <c r="M117" s="28"/>
    </row>
    <row r="118" spans="1:13" x14ac:dyDescent="0.35">
      <c r="A118" s="28" t="s">
        <v>511</v>
      </c>
      <c r="B118" s="32">
        <v>2025</v>
      </c>
      <c r="C118" s="28" t="s">
        <v>515</v>
      </c>
      <c r="D118" s="29">
        <v>45966</v>
      </c>
      <c r="E118" s="28">
        <v>256779419222</v>
      </c>
      <c r="F118" s="28" t="s">
        <v>11</v>
      </c>
      <c r="G118" s="30">
        <v>3537</v>
      </c>
      <c r="H118" s="28" t="s">
        <v>59</v>
      </c>
      <c r="I118" s="30">
        <v>311267.99</v>
      </c>
      <c r="J118" s="28" t="s">
        <v>538</v>
      </c>
      <c r="K118" s="28" t="e">
        <v>#N/A</v>
      </c>
      <c r="L118" s="28"/>
      <c r="M118" s="28"/>
    </row>
    <row r="119" spans="1:13" x14ac:dyDescent="0.35">
      <c r="A119" s="28" t="s">
        <v>511</v>
      </c>
      <c r="B119" s="32">
        <v>2025</v>
      </c>
      <c r="C119" s="28" t="s">
        <v>515</v>
      </c>
      <c r="D119" s="29">
        <v>45981</v>
      </c>
      <c r="E119" s="28">
        <v>256779419581</v>
      </c>
      <c r="F119" s="28" t="s">
        <v>11</v>
      </c>
      <c r="G119" s="30">
        <v>156.19999999999999</v>
      </c>
      <c r="H119" s="28" t="s">
        <v>59</v>
      </c>
      <c r="I119" s="30">
        <v>13746.13</v>
      </c>
      <c r="J119" s="28" t="s">
        <v>667</v>
      </c>
      <c r="K119" s="28" t="e">
        <v>#N/A</v>
      </c>
      <c r="L119" s="28"/>
      <c r="M119" s="28"/>
    </row>
    <row r="120" spans="1:13" x14ac:dyDescent="0.35">
      <c r="A120" s="28" t="s">
        <v>511</v>
      </c>
      <c r="B120" s="32">
        <v>2026</v>
      </c>
      <c r="C120" s="28" t="s">
        <v>515</v>
      </c>
      <c r="D120" s="29">
        <v>46024</v>
      </c>
      <c r="E120" s="28">
        <v>256779440007</v>
      </c>
      <c r="F120" s="28" t="s">
        <v>11</v>
      </c>
      <c r="G120" s="30">
        <v>1332.49</v>
      </c>
      <c r="H120" s="28" t="s">
        <v>59</v>
      </c>
      <c r="I120" s="30">
        <v>120914.33</v>
      </c>
      <c r="J120" s="28" t="s">
        <v>706</v>
      </c>
      <c r="K120" s="28" t="e">
        <v>#N/A</v>
      </c>
      <c r="L120" s="28"/>
      <c r="M120" s="28"/>
    </row>
    <row r="121" spans="1:13" x14ac:dyDescent="0.35">
      <c r="A121" s="28" t="s">
        <v>511</v>
      </c>
      <c r="B121" s="32">
        <v>2026</v>
      </c>
      <c r="C121" s="28" t="s">
        <v>515</v>
      </c>
      <c r="D121" s="29">
        <v>46027</v>
      </c>
      <c r="E121" s="28">
        <v>256779440060</v>
      </c>
      <c r="F121" s="28" t="s">
        <v>11</v>
      </c>
      <c r="G121" s="30">
        <v>198.57</v>
      </c>
      <c r="H121" s="28" t="s">
        <v>59</v>
      </c>
      <c r="I121" s="30">
        <v>18018.87</v>
      </c>
      <c r="J121" s="28" t="s">
        <v>709</v>
      </c>
      <c r="K121" s="28" t="e">
        <v>#N/A</v>
      </c>
      <c r="L121" s="28"/>
      <c r="M121" s="28"/>
    </row>
    <row r="122" spans="1:13" x14ac:dyDescent="0.35">
      <c r="A122" s="28" t="s">
        <v>511</v>
      </c>
      <c r="B122" s="32">
        <v>2026</v>
      </c>
      <c r="C122" s="28" t="s">
        <v>515</v>
      </c>
      <c r="D122" s="29">
        <v>46027</v>
      </c>
      <c r="E122" s="28">
        <v>256779440067</v>
      </c>
      <c r="F122" s="28" t="s">
        <v>11</v>
      </c>
      <c r="G122" s="30">
        <v>100.07</v>
      </c>
      <c r="H122" s="28" t="s">
        <v>59</v>
      </c>
      <c r="I122" s="30">
        <v>9080.67</v>
      </c>
      <c r="J122" s="28" t="s">
        <v>710</v>
      </c>
      <c r="K122" s="28" t="e">
        <v>#N/A</v>
      </c>
      <c r="L122" s="28"/>
      <c r="M122" s="28"/>
    </row>
    <row r="123" spans="1:13" x14ac:dyDescent="0.35">
      <c r="A123" s="28" t="s">
        <v>511</v>
      </c>
      <c r="B123" s="32">
        <v>2026</v>
      </c>
      <c r="C123" s="28" t="s">
        <v>515</v>
      </c>
      <c r="D123" s="29">
        <v>46027</v>
      </c>
      <c r="E123" s="28">
        <v>256779440078</v>
      </c>
      <c r="F123" s="28" t="s">
        <v>11</v>
      </c>
      <c r="G123" s="30">
        <v>78.75</v>
      </c>
      <c r="H123" s="28" t="s">
        <v>59</v>
      </c>
      <c r="I123" s="30">
        <v>7146.02</v>
      </c>
      <c r="J123" s="28" t="s">
        <v>711</v>
      </c>
      <c r="K123" s="28" t="e">
        <v>#N/A</v>
      </c>
      <c r="L123" s="28"/>
      <c r="M123" s="28"/>
    </row>
    <row r="124" spans="1:13" x14ac:dyDescent="0.35">
      <c r="A124" s="28" t="s">
        <v>511</v>
      </c>
      <c r="B124" s="32">
        <v>2026</v>
      </c>
      <c r="C124" s="28" t="s">
        <v>515</v>
      </c>
      <c r="D124" s="29">
        <v>46027</v>
      </c>
      <c r="E124" s="28">
        <v>256779440116</v>
      </c>
      <c r="F124" s="28" t="s">
        <v>11</v>
      </c>
      <c r="G124" s="30">
        <v>498.28</v>
      </c>
      <c r="H124" s="28" t="s">
        <v>59</v>
      </c>
      <c r="I124" s="30">
        <v>45215.49</v>
      </c>
      <c r="J124" s="28" t="s">
        <v>712</v>
      </c>
      <c r="K124" s="28" t="e">
        <v>#N/A</v>
      </c>
      <c r="L124" s="28"/>
      <c r="M124" s="28"/>
    </row>
    <row r="125" spans="1:13" x14ac:dyDescent="0.35">
      <c r="A125" s="28" t="s">
        <v>511</v>
      </c>
      <c r="B125" s="32">
        <v>2026</v>
      </c>
      <c r="C125" s="28" t="s">
        <v>515</v>
      </c>
      <c r="D125" s="29">
        <v>46028</v>
      </c>
      <c r="E125" s="28">
        <v>256779440150</v>
      </c>
      <c r="F125" s="28" t="s">
        <v>11</v>
      </c>
      <c r="G125" s="30">
        <v>112.85</v>
      </c>
      <c r="H125" s="28" t="s">
        <v>59</v>
      </c>
      <c r="I125" s="30">
        <v>10240.36</v>
      </c>
      <c r="J125" s="28" t="s">
        <v>715</v>
      </c>
      <c r="K125" s="28" t="e">
        <v>#N/A</v>
      </c>
      <c r="L125" s="28"/>
      <c r="M125" s="28"/>
    </row>
    <row r="126" spans="1:13" x14ac:dyDescent="0.35">
      <c r="A126" s="28" t="s">
        <v>511</v>
      </c>
      <c r="B126" s="32">
        <v>2026</v>
      </c>
      <c r="C126" s="28" t="s">
        <v>515</v>
      </c>
      <c r="D126" s="29">
        <v>46028</v>
      </c>
      <c r="E126" s="28">
        <v>256779440159</v>
      </c>
      <c r="F126" s="28" t="s">
        <v>11</v>
      </c>
      <c r="G126" s="30">
        <v>160.22</v>
      </c>
      <c r="H126" s="28" t="s">
        <v>59</v>
      </c>
      <c r="I126" s="30">
        <v>14538.87</v>
      </c>
      <c r="J126" s="28" t="s">
        <v>716</v>
      </c>
      <c r="K126" s="28" t="e">
        <v>#N/A</v>
      </c>
      <c r="L126" s="28"/>
      <c r="M126" s="28"/>
    </row>
    <row r="127" spans="1:13" x14ac:dyDescent="0.35">
      <c r="A127" s="28" t="s">
        <v>511</v>
      </c>
      <c r="B127" s="32">
        <v>2026</v>
      </c>
      <c r="C127" s="28" t="s">
        <v>515</v>
      </c>
      <c r="D127" s="29">
        <v>46028</v>
      </c>
      <c r="E127" s="28">
        <v>256779440208</v>
      </c>
      <c r="F127" s="28" t="s">
        <v>11</v>
      </c>
      <c r="G127" s="30">
        <v>650.12</v>
      </c>
      <c r="H127" s="28" t="s">
        <v>59</v>
      </c>
      <c r="I127" s="30">
        <v>58993.93</v>
      </c>
      <c r="J127" s="28" t="s">
        <v>717</v>
      </c>
      <c r="K127" s="28" t="e">
        <v>#N/A</v>
      </c>
      <c r="L127" s="28"/>
      <c r="M127" s="28"/>
    </row>
    <row r="128" spans="1:13" x14ac:dyDescent="0.35">
      <c r="A128" s="28" t="s">
        <v>511</v>
      </c>
      <c r="B128" s="32">
        <v>2026</v>
      </c>
      <c r="C128" s="28" t="s">
        <v>515</v>
      </c>
      <c r="D128" s="29">
        <v>46028</v>
      </c>
      <c r="E128" s="28">
        <v>256779440238</v>
      </c>
      <c r="F128" s="28" t="s">
        <v>11</v>
      </c>
      <c r="G128" s="30">
        <v>1083.58</v>
      </c>
      <c r="H128" s="28" t="s">
        <v>59</v>
      </c>
      <c r="I128" s="30">
        <v>98327.45</v>
      </c>
      <c r="J128" s="28" t="s">
        <v>719</v>
      </c>
      <c r="K128" s="28" t="e">
        <v>#N/A</v>
      </c>
      <c r="L128" s="28"/>
      <c r="M128" s="28"/>
    </row>
    <row r="129" spans="1:13" x14ac:dyDescent="0.35">
      <c r="A129" s="28" t="s">
        <v>511</v>
      </c>
      <c r="B129" s="32">
        <v>2026</v>
      </c>
      <c r="C129" s="28" t="s">
        <v>515</v>
      </c>
      <c r="D129" s="29">
        <v>46028</v>
      </c>
      <c r="E129" s="28">
        <v>256779440309</v>
      </c>
      <c r="F129" s="28" t="s">
        <v>59</v>
      </c>
      <c r="G129" s="30">
        <v>200000</v>
      </c>
      <c r="H129" s="28" t="s">
        <v>59</v>
      </c>
      <c r="I129" s="30">
        <v>200000</v>
      </c>
      <c r="J129" s="28" t="s">
        <v>721</v>
      </c>
      <c r="K129" s="28" t="e">
        <v>#N/A</v>
      </c>
      <c r="L129" s="28"/>
      <c r="M129" s="28"/>
    </row>
    <row r="130" spans="1:13" x14ac:dyDescent="0.35">
      <c r="A130" s="28" t="s">
        <v>511</v>
      </c>
      <c r="B130" s="32">
        <v>2026</v>
      </c>
      <c r="C130" s="28" t="s">
        <v>515</v>
      </c>
      <c r="D130" s="29">
        <v>46028</v>
      </c>
      <c r="E130" s="28">
        <v>256779440310</v>
      </c>
      <c r="F130" s="28" t="s">
        <v>59</v>
      </c>
      <c r="G130" s="30">
        <v>8000</v>
      </c>
      <c r="H130" s="28" t="s">
        <v>59</v>
      </c>
      <c r="I130" s="30">
        <v>8000</v>
      </c>
      <c r="J130" s="28" t="s">
        <v>721</v>
      </c>
      <c r="K130" s="28" t="e">
        <v>#N/A</v>
      </c>
      <c r="L130" s="28"/>
      <c r="M130" s="28"/>
    </row>
    <row r="131" spans="1:13" x14ac:dyDescent="0.35">
      <c r="A131" s="28" t="s">
        <v>511</v>
      </c>
      <c r="B131" s="32">
        <v>2026</v>
      </c>
      <c r="C131" s="28" t="s">
        <v>515</v>
      </c>
      <c r="D131" s="29">
        <v>46028</v>
      </c>
      <c r="E131" s="28">
        <v>256779440311</v>
      </c>
      <c r="F131" s="28" t="s">
        <v>59</v>
      </c>
      <c r="G131" s="30">
        <v>4400</v>
      </c>
      <c r="H131" s="28" t="s">
        <v>59</v>
      </c>
      <c r="I131" s="30">
        <v>4400</v>
      </c>
      <c r="J131" s="28" t="s">
        <v>721</v>
      </c>
      <c r="K131" s="28" t="e">
        <v>#N/A</v>
      </c>
      <c r="L131" s="28"/>
      <c r="M131" s="28"/>
    </row>
    <row r="132" spans="1:13" x14ac:dyDescent="0.35">
      <c r="A132" s="28" t="s">
        <v>511</v>
      </c>
      <c r="B132" s="32">
        <v>2026</v>
      </c>
      <c r="C132" s="28" t="s">
        <v>515</v>
      </c>
      <c r="D132" s="29">
        <v>46031</v>
      </c>
      <c r="E132" s="28">
        <v>256779440126</v>
      </c>
      <c r="F132" s="28" t="s">
        <v>11</v>
      </c>
      <c r="G132" s="30">
        <v>122.48</v>
      </c>
      <c r="H132" s="28" t="s">
        <v>59</v>
      </c>
      <c r="I132" s="30">
        <v>11114.22</v>
      </c>
      <c r="J132" s="28" t="s">
        <v>666</v>
      </c>
      <c r="K132" s="28" t="e">
        <v>#N/A</v>
      </c>
      <c r="L132" s="28"/>
      <c r="M132" s="28"/>
    </row>
    <row r="133" spans="1:13" x14ac:dyDescent="0.35">
      <c r="A133" s="28" t="s">
        <v>511</v>
      </c>
      <c r="B133" s="32">
        <v>2026</v>
      </c>
      <c r="C133" s="28" t="s">
        <v>515</v>
      </c>
      <c r="D133" s="29">
        <v>46031</v>
      </c>
      <c r="E133" s="28">
        <v>256779440136</v>
      </c>
      <c r="F133" s="28" t="s">
        <v>11</v>
      </c>
      <c r="G133" s="30">
        <v>27.81</v>
      </c>
      <c r="H133" s="28" t="s">
        <v>59</v>
      </c>
      <c r="I133" s="30">
        <v>2523.5700000000002</v>
      </c>
      <c r="J133" s="28" t="s">
        <v>714</v>
      </c>
      <c r="K133" s="28" t="e">
        <v>#N/A</v>
      </c>
      <c r="L133" s="28"/>
      <c r="M133" s="28"/>
    </row>
    <row r="134" spans="1:13" x14ac:dyDescent="0.35">
      <c r="A134" s="28" t="s">
        <v>511</v>
      </c>
      <c r="B134" s="32">
        <v>2026</v>
      </c>
      <c r="C134" s="28" t="s">
        <v>515</v>
      </c>
      <c r="D134" s="29">
        <v>46034</v>
      </c>
      <c r="E134" s="28">
        <v>256779440227</v>
      </c>
      <c r="F134" s="28" t="s">
        <v>11</v>
      </c>
      <c r="G134" s="30">
        <v>304.07</v>
      </c>
      <c r="H134" s="28" t="s">
        <v>59</v>
      </c>
      <c r="I134" s="30">
        <v>27592.27</v>
      </c>
      <c r="J134" s="28" t="s">
        <v>718</v>
      </c>
      <c r="K134" s="28" t="e">
        <v>#N/A</v>
      </c>
      <c r="L134" s="28"/>
      <c r="M134" s="28"/>
    </row>
    <row r="135" spans="1:13" x14ac:dyDescent="0.35">
      <c r="A135" s="28" t="s">
        <v>511</v>
      </c>
      <c r="B135" s="32">
        <v>2026</v>
      </c>
      <c r="C135" s="28" t="s">
        <v>515</v>
      </c>
      <c r="D135" s="29">
        <v>46034</v>
      </c>
      <c r="E135" s="28">
        <v>256779440285</v>
      </c>
      <c r="F135" s="28" t="s">
        <v>11</v>
      </c>
      <c r="G135" s="30">
        <v>535.29</v>
      </c>
      <c r="H135" s="28" t="s">
        <v>59</v>
      </c>
      <c r="I135" s="30">
        <v>48573.9</v>
      </c>
      <c r="J135" s="28" t="s">
        <v>720</v>
      </c>
      <c r="K135" s="28" t="e">
        <v>#N/A</v>
      </c>
      <c r="L135" s="28"/>
      <c r="M135" s="28"/>
    </row>
    <row r="136" spans="1:13" x14ac:dyDescent="0.35">
      <c r="A136" s="28" t="s">
        <v>511</v>
      </c>
      <c r="B136" s="32">
        <v>2026</v>
      </c>
      <c r="C136" s="28" t="s">
        <v>515</v>
      </c>
      <c r="D136" s="29">
        <v>46035</v>
      </c>
      <c r="E136" s="28">
        <v>256779440363</v>
      </c>
      <c r="F136" s="28" t="s">
        <v>11</v>
      </c>
      <c r="G136" s="30">
        <v>937.45</v>
      </c>
      <c r="H136" s="28" t="s">
        <v>59</v>
      </c>
      <c r="I136" s="30">
        <v>85067.16</v>
      </c>
      <c r="J136" s="28" t="s">
        <v>722</v>
      </c>
      <c r="K136" s="28" t="e">
        <v>#N/A</v>
      </c>
      <c r="L136" s="28"/>
      <c r="M136" s="28"/>
    </row>
    <row r="137" spans="1:13" x14ac:dyDescent="0.35">
      <c r="A137" s="28" t="s">
        <v>511</v>
      </c>
      <c r="B137" s="32">
        <v>2026</v>
      </c>
      <c r="C137" s="28" t="s">
        <v>515</v>
      </c>
      <c r="D137" s="29">
        <v>46043</v>
      </c>
      <c r="E137" s="28">
        <v>256779440381</v>
      </c>
      <c r="F137" s="28" t="s">
        <v>11</v>
      </c>
      <c r="G137" s="30">
        <v>6.79</v>
      </c>
      <c r="H137" s="28" t="s">
        <v>59</v>
      </c>
      <c r="I137" s="30">
        <v>616.15</v>
      </c>
      <c r="J137" s="28" t="s">
        <v>723</v>
      </c>
      <c r="K137" s="28" t="e">
        <v>#N/A</v>
      </c>
      <c r="L137" s="28"/>
      <c r="M137" s="28"/>
    </row>
    <row r="138" spans="1:13" x14ac:dyDescent="0.35">
      <c r="A138" s="28" t="s">
        <v>511</v>
      </c>
      <c r="B138" s="32">
        <v>2026</v>
      </c>
      <c r="C138" s="28" t="s">
        <v>515</v>
      </c>
      <c r="D138" s="29">
        <v>46043</v>
      </c>
      <c r="E138" s="28">
        <v>256779440388</v>
      </c>
      <c r="F138" s="28" t="s">
        <v>11</v>
      </c>
      <c r="G138" s="30">
        <v>57.29</v>
      </c>
      <c r="H138" s="28" t="s">
        <v>59</v>
      </c>
      <c r="I138" s="30">
        <v>5198.67</v>
      </c>
      <c r="J138" s="28" t="s">
        <v>724</v>
      </c>
      <c r="K138" s="28" t="e">
        <v>#N/A</v>
      </c>
      <c r="L138" s="28"/>
      <c r="M138" s="28"/>
    </row>
    <row r="139" spans="1:13" x14ac:dyDescent="0.35">
      <c r="A139" s="28" t="s">
        <v>511</v>
      </c>
      <c r="B139" s="32">
        <v>2026</v>
      </c>
      <c r="C139" s="28" t="s">
        <v>515</v>
      </c>
      <c r="D139" s="29">
        <v>46045</v>
      </c>
      <c r="E139" s="28">
        <v>256779440411</v>
      </c>
      <c r="F139" s="28" t="s">
        <v>11</v>
      </c>
      <c r="G139" s="30">
        <v>554.49</v>
      </c>
      <c r="H139" s="28" t="s">
        <v>59</v>
      </c>
      <c r="I139" s="30">
        <v>50316.160000000003</v>
      </c>
      <c r="J139" s="28" t="s">
        <v>725</v>
      </c>
      <c r="K139" s="28" t="e">
        <v>#N/A</v>
      </c>
      <c r="L139" s="28"/>
      <c r="M139" s="28"/>
    </row>
    <row r="140" spans="1:13" x14ac:dyDescent="0.35">
      <c r="A140" s="28" t="s">
        <v>511</v>
      </c>
      <c r="B140" s="32">
        <v>2026</v>
      </c>
      <c r="C140" s="28" t="s">
        <v>515</v>
      </c>
      <c r="D140" s="29">
        <v>46045</v>
      </c>
      <c r="E140" s="28">
        <v>256779440427</v>
      </c>
      <c r="F140" s="28" t="s">
        <v>11</v>
      </c>
      <c r="G140" s="30">
        <v>44.06</v>
      </c>
      <c r="H140" s="28" t="s">
        <v>59</v>
      </c>
      <c r="I140" s="30">
        <v>3998.14</v>
      </c>
      <c r="J140" s="28" t="s">
        <v>726</v>
      </c>
      <c r="K140" s="28" t="e">
        <v>#N/A</v>
      </c>
      <c r="L140" s="28"/>
      <c r="M140" s="28"/>
    </row>
    <row r="141" spans="1:13" x14ac:dyDescent="0.35">
      <c r="A141" s="28" t="s">
        <v>511</v>
      </c>
      <c r="B141" s="32">
        <v>2026</v>
      </c>
      <c r="C141" s="28" t="s">
        <v>515</v>
      </c>
      <c r="D141" s="29">
        <v>46049</v>
      </c>
      <c r="E141" s="28">
        <v>256779440443</v>
      </c>
      <c r="F141" s="28" t="s">
        <v>11</v>
      </c>
      <c r="G141" s="30">
        <v>18.41</v>
      </c>
      <c r="H141" s="28" t="s">
        <v>59</v>
      </c>
      <c r="I141" s="30">
        <v>1670.58</v>
      </c>
      <c r="J141" s="28" t="s">
        <v>727</v>
      </c>
      <c r="K141" s="28" t="e">
        <v>#N/A</v>
      </c>
      <c r="L141" s="28"/>
      <c r="M141" s="28"/>
    </row>
    <row r="142" spans="1:13" x14ac:dyDescent="0.35">
      <c r="I142" s="27">
        <f>SUM(I2:I141)</f>
        <v>5638773.6300000018</v>
      </c>
    </row>
    <row r="143" spans="1:13" x14ac:dyDescent="0.35">
      <c r="I143" s="27">
        <v>-2696690.439999999</v>
      </c>
    </row>
    <row r="144" spans="1:13" x14ac:dyDescent="0.35">
      <c r="I144" s="27">
        <f>I142+I143</f>
        <v>2942083.1900000027</v>
      </c>
    </row>
    <row r="145" spans="9:9" x14ac:dyDescent="0.35">
      <c r="I145">
        <v>3054301.9799999949</v>
      </c>
    </row>
    <row r="146" spans="9:9" x14ac:dyDescent="0.35">
      <c r="I146" s="27">
        <f>I145-I144</f>
        <v>112218.78999999212</v>
      </c>
    </row>
  </sheetData>
  <autoFilter ref="A1:M141" xr:uid="{9FE06E1E-1B54-4235-AADA-962557EC6204}">
    <sortState xmlns:xlrd2="http://schemas.microsoft.com/office/spreadsheetml/2017/richdata2" ref="A2:M141">
      <sortCondition ref="D1:D141"/>
    </sortState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CAB42-07CB-4DF1-BB55-46ACE7AFA11F}">
  <dimension ref="A1:J147"/>
  <sheetViews>
    <sheetView topLeftCell="A122" workbookViewId="0">
      <selection activeCell="I2" sqref="I2"/>
    </sheetView>
  </sheetViews>
  <sheetFormatPr defaultRowHeight="14.5" x14ac:dyDescent="0.35"/>
  <cols>
    <col min="1" max="1" width="7.81640625" bestFit="1" customWidth="1"/>
    <col min="2" max="2" width="13.90625" bestFit="1" customWidth="1"/>
    <col min="3" max="3" width="11.81640625" bestFit="1" customWidth="1"/>
    <col min="4" max="4" width="8.1796875" bestFit="1" customWidth="1"/>
    <col min="5" max="5" width="8.453125" bestFit="1" customWidth="1"/>
    <col min="7" max="7" width="11.90625" bestFit="1" customWidth="1"/>
    <col min="8" max="8" width="41.1796875" bestFit="1" customWidth="1"/>
    <col min="9" max="9" width="0" hidden="1" customWidth="1"/>
    <col min="10" max="10" width="15.453125" bestFit="1" customWidth="1"/>
  </cols>
  <sheetData>
    <row r="1" spans="1:10" ht="58" x14ac:dyDescent="0.35">
      <c r="A1" s="26" t="s">
        <v>502</v>
      </c>
      <c r="B1" s="25" t="s">
        <v>503</v>
      </c>
      <c r="C1" s="25" t="s">
        <v>505</v>
      </c>
      <c r="D1" s="26" t="s">
        <v>506</v>
      </c>
      <c r="E1" s="26" t="s">
        <v>507</v>
      </c>
      <c r="F1" s="26" t="s">
        <v>508</v>
      </c>
      <c r="G1" s="26" t="s">
        <v>509</v>
      </c>
      <c r="H1" s="25" t="s">
        <v>510</v>
      </c>
    </row>
    <row r="2" spans="1:10" x14ac:dyDescent="0.35">
      <c r="A2" s="12" t="s">
        <v>512</v>
      </c>
      <c r="B2" s="13">
        <v>45848</v>
      </c>
      <c r="C2" s="12">
        <v>256779421326</v>
      </c>
      <c r="D2" s="12" t="s">
        <v>11</v>
      </c>
      <c r="E2" s="14">
        <v>-70.8</v>
      </c>
      <c r="F2" s="12" t="s">
        <v>59</v>
      </c>
      <c r="G2" s="14">
        <v>-6088.85</v>
      </c>
      <c r="H2" s="12" t="s">
        <v>514</v>
      </c>
      <c r="I2" t="str">
        <f>MID(H2,32,15)</f>
        <v>256779414309</v>
      </c>
      <c r="J2" s="4">
        <v>256779414309</v>
      </c>
    </row>
    <row r="3" spans="1:10" x14ac:dyDescent="0.35">
      <c r="A3" s="12" t="s">
        <v>512</v>
      </c>
      <c r="B3" s="13">
        <v>45848</v>
      </c>
      <c r="C3" s="12">
        <v>256779421327</v>
      </c>
      <c r="D3" s="12" t="s">
        <v>11</v>
      </c>
      <c r="E3" s="14">
        <v>-113.28</v>
      </c>
      <c r="F3" s="12" t="s">
        <v>59</v>
      </c>
      <c r="G3" s="14">
        <v>-9742.16</v>
      </c>
      <c r="H3" s="12" t="s">
        <v>514</v>
      </c>
      <c r="I3" t="str">
        <f t="shared" ref="I3:I66" si="0">MID(H3,32,15)</f>
        <v>256779414309</v>
      </c>
      <c r="J3" s="4">
        <v>256779414309</v>
      </c>
    </row>
    <row r="4" spans="1:10" x14ac:dyDescent="0.35">
      <c r="A4" s="12" t="s">
        <v>512</v>
      </c>
      <c r="B4" s="13">
        <v>45848</v>
      </c>
      <c r="C4" s="12">
        <v>256779421328</v>
      </c>
      <c r="D4" s="12" t="s">
        <v>11</v>
      </c>
      <c r="E4" s="14">
        <v>-242.75</v>
      </c>
      <c r="F4" s="12" t="s">
        <v>59</v>
      </c>
      <c r="G4" s="14">
        <v>-20876.66</v>
      </c>
      <c r="H4" s="12" t="s">
        <v>514</v>
      </c>
      <c r="I4" t="str">
        <f t="shared" si="0"/>
        <v>256779414309</v>
      </c>
      <c r="J4" s="4">
        <v>256779414309</v>
      </c>
    </row>
    <row r="5" spans="1:10" x14ac:dyDescent="0.35">
      <c r="A5" s="12" t="s">
        <v>512</v>
      </c>
      <c r="B5" s="13">
        <v>45964</v>
      </c>
      <c r="C5" s="12">
        <v>256779422067</v>
      </c>
      <c r="D5" s="12" t="s">
        <v>11</v>
      </c>
      <c r="E5" s="14">
        <v>-4608.8</v>
      </c>
      <c r="F5" s="12" t="s">
        <v>59</v>
      </c>
      <c r="G5" s="14">
        <v>-405590.02</v>
      </c>
      <c r="H5" s="12" t="s">
        <v>540</v>
      </c>
      <c r="I5" t="str">
        <f>MID(H5,18,15)</f>
        <v xml:space="preserve"> 256779417093</v>
      </c>
      <c r="J5" s="4">
        <v>256779417093</v>
      </c>
    </row>
    <row r="6" spans="1:10" x14ac:dyDescent="0.35">
      <c r="A6" s="12" t="s">
        <v>512</v>
      </c>
      <c r="B6" s="13">
        <v>45791</v>
      </c>
      <c r="C6" s="12">
        <v>256779420272</v>
      </c>
      <c r="D6" s="12" t="s">
        <v>11</v>
      </c>
      <c r="E6" s="14">
        <v>-40.06</v>
      </c>
      <c r="F6" s="12" t="s">
        <v>59</v>
      </c>
      <c r="G6" s="14">
        <v>-3472.85</v>
      </c>
      <c r="H6" s="12" t="s">
        <v>554</v>
      </c>
      <c r="I6" t="str">
        <f>MID(H6,20,15)</f>
        <v xml:space="preserve"> 246779412202</v>
      </c>
      <c r="J6" s="4">
        <v>246779412202</v>
      </c>
    </row>
    <row r="7" spans="1:10" x14ac:dyDescent="0.35">
      <c r="A7" s="12" t="s">
        <v>512</v>
      </c>
      <c r="B7" s="13">
        <v>45791</v>
      </c>
      <c r="C7" s="12">
        <v>256779420273</v>
      </c>
      <c r="D7" s="12" t="s">
        <v>11</v>
      </c>
      <c r="E7" s="14">
        <v>-28.62</v>
      </c>
      <c r="F7" s="12" t="s">
        <v>59</v>
      </c>
      <c r="G7" s="14">
        <v>-2481.1</v>
      </c>
      <c r="H7" s="12" t="s">
        <v>555</v>
      </c>
      <c r="I7" t="str">
        <f t="shared" ref="I7:I20" si="1">MID(H7,20,15)</f>
        <v xml:space="preserve"> 246779412203</v>
      </c>
      <c r="J7" s="4">
        <v>246779412203</v>
      </c>
    </row>
    <row r="8" spans="1:10" x14ac:dyDescent="0.35">
      <c r="A8" s="12" t="s">
        <v>512</v>
      </c>
      <c r="B8" s="13">
        <v>45791</v>
      </c>
      <c r="C8" s="12">
        <v>256779420275</v>
      </c>
      <c r="D8" s="12" t="s">
        <v>11</v>
      </c>
      <c r="E8" s="14">
        <v>-114.46</v>
      </c>
      <c r="F8" s="12" t="s">
        <v>59</v>
      </c>
      <c r="G8" s="14">
        <v>-9922.68</v>
      </c>
      <c r="H8" s="12" t="s">
        <v>556</v>
      </c>
      <c r="I8" t="str">
        <f t="shared" si="1"/>
        <v xml:space="preserve"> 246779412205</v>
      </c>
      <c r="J8" s="4">
        <v>246779412205</v>
      </c>
    </row>
    <row r="9" spans="1:10" x14ac:dyDescent="0.35">
      <c r="A9" s="12" t="s">
        <v>512</v>
      </c>
      <c r="B9" s="13">
        <v>45791</v>
      </c>
      <c r="C9" s="12">
        <v>256779420276</v>
      </c>
      <c r="D9" s="12" t="s">
        <v>11</v>
      </c>
      <c r="E9" s="14">
        <v>-68.680000000000007</v>
      </c>
      <c r="F9" s="12" t="s">
        <v>59</v>
      </c>
      <c r="G9" s="14">
        <v>-5953.96</v>
      </c>
      <c r="H9" s="12" t="s">
        <v>557</v>
      </c>
      <c r="I9" t="str">
        <f t="shared" si="1"/>
        <v xml:space="preserve"> 246779412206</v>
      </c>
      <c r="J9" s="4">
        <v>246779412206</v>
      </c>
    </row>
    <row r="10" spans="1:10" x14ac:dyDescent="0.35">
      <c r="A10" s="12" t="s">
        <v>512</v>
      </c>
      <c r="B10" s="13">
        <v>45791</v>
      </c>
      <c r="C10" s="12">
        <v>256779420268</v>
      </c>
      <c r="D10" s="12" t="s">
        <v>11</v>
      </c>
      <c r="E10" s="14">
        <v>-249.55</v>
      </c>
      <c r="F10" s="12" t="s">
        <v>59</v>
      </c>
      <c r="G10" s="14">
        <v>-21633.8</v>
      </c>
      <c r="H10" s="12" t="s">
        <v>558</v>
      </c>
      <c r="I10" t="str">
        <f t="shared" si="1"/>
        <v xml:space="preserve"> 246779412198</v>
      </c>
      <c r="J10" s="4">
        <v>246779412198</v>
      </c>
    </row>
    <row r="11" spans="1:10" x14ac:dyDescent="0.35">
      <c r="A11" s="12" t="s">
        <v>512</v>
      </c>
      <c r="B11" s="13">
        <v>45791</v>
      </c>
      <c r="C11" s="12">
        <v>256779420269</v>
      </c>
      <c r="D11" s="12" t="s">
        <v>11</v>
      </c>
      <c r="E11" s="14">
        <v>-40.06</v>
      </c>
      <c r="F11" s="12" t="s">
        <v>59</v>
      </c>
      <c r="G11" s="14">
        <v>-3472.85</v>
      </c>
      <c r="H11" s="12" t="s">
        <v>559</v>
      </c>
      <c r="I11" t="str">
        <f t="shared" si="1"/>
        <v xml:space="preserve"> 246779412199</v>
      </c>
      <c r="J11" s="4">
        <v>246779412199</v>
      </c>
    </row>
    <row r="12" spans="1:10" x14ac:dyDescent="0.35">
      <c r="A12" s="12" t="s">
        <v>512</v>
      </c>
      <c r="B12" s="13">
        <v>45791</v>
      </c>
      <c r="C12" s="12">
        <v>256779420274</v>
      </c>
      <c r="D12" s="12" t="s">
        <v>11</v>
      </c>
      <c r="E12" s="14">
        <v>-22.89</v>
      </c>
      <c r="F12" s="12" t="s">
        <v>59</v>
      </c>
      <c r="G12" s="14">
        <v>-1984.36</v>
      </c>
      <c r="H12" s="12" t="s">
        <v>560</v>
      </c>
      <c r="I12" t="str">
        <f t="shared" si="1"/>
        <v xml:space="preserve"> 246779412204</v>
      </c>
      <c r="J12" s="4">
        <v>246779412204</v>
      </c>
    </row>
    <row r="13" spans="1:10" x14ac:dyDescent="0.35">
      <c r="A13" s="12" t="s">
        <v>512</v>
      </c>
      <c r="B13" s="13">
        <v>45791</v>
      </c>
      <c r="C13" s="12">
        <v>256779420277</v>
      </c>
      <c r="D13" s="12" t="s">
        <v>11</v>
      </c>
      <c r="E13" s="14">
        <v>-312.5</v>
      </c>
      <c r="F13" s="12" t="s">
        <v>59</v>
      </c>
      <c r="G13" s="14">
        <v>-27091.02</v>
      </c>
      <c r="H13" s="12" t="s">
        <v>561</v>
      </c>
      <c r="I13" t="str">
        <f t="shared" si="1"/>
        <v xml:space="preserve"> 246779412207</v>
      </c>
      <c r="J13" s="4">
        <v>246779412207</v>
      </c>
    </row>
    <row r="14" spans="1:10" x14ac:dyDescent="0.35">
      <c r="A14" s="12" t="s">
        <v>512</v>
      </c>
      <c r="B14" s="13">
        <v>45791</v>
      </c>
      <c r="C14" s="12">
        <v>256779420278</v>
      </c>
      <c r="D14" s="12" t="s">
        <v>11</v>
      </c>
      <c r="E14" s="14">
        <v>-23.35</v>
      </c>
      <c r="F14" s="12" t="s">
        <v>59</v>
      </c>
      <c r="G14" s="14">
        <v>-2024.24</v>
      </c>
      <c r="H14" s="12" t="s">
        <v>562</v>
      </c>
      <c r="I14" t="str">
        <f t="shared" si="1"/>
        <v xml:space="preserve"> 246779412208</v>
      </c>
      <c r="J14" s="4">
        <v>246779412208</v>
      </c>
    </row>
    <row r="15" spans="1:10" x14ac:dyDescent="0.35">
      <c r="A15" s="12" t="s">
        <v>512</v>
      </c>
      <c r="B15" s="13">
        <v>45791</v>
      </c>
      <c r="C15" s="12">
        <v>256779420266</v>
      </c>
      <c r="D15" s="12" t="s">
        <v>11</v>
      </c>
      <c r="E15" s="14">
        <v>-57.23</v>
      </c>
      <c r="F15" s="12" t="s">
        <v>59</v>
      </c>
      <c r="G15" s="14">
        <v>-4961.34</v>
      </c>
      <c r="H15" s="12" t="s">
        <v>563</v>
      </c>
      <c r="I15" t="str">
        <f t="shared" si="1"/>
        <v xml:space="preserve"> 246779412196</v>
      </c>
      <c r="J15" s="4">
        <v>246779412196</v>
      </c>
    </row>
    <row r="16" spans="1:10" x14ac:dyDescent="0.35">
      <c r="A16" s="12" t="s">
        <v>512</v>
      </c>
      <c r="B16" s="13">
        <v>45791</v>
      </c>
      <c r="C16" s="12">
        <v>256779420267</v>
      </c>
      <c r="D16" s="12" t="s">
        <v>11</v>
      </c>
      <c r="E16" s="14">
        <v>-40.06</v>
      </c>
      <c r="F16" s="12" t="s">
        <v>59</v>
      </c>
      <c r="G16" s="14">
        <v>-3472.85</v>
      </c>
      <c r="H16" s="12" t="s">
        <v>564</v>
      </c>
      <c r="I16" t="str">
        <f t="shared" si="1"/>
        <v xml:space="preserve"> 246779412197</v>
      </c>
      <c r="J16" s="4">
        <v>246779412197</v>
      </c>
    </row>
    <row r="17" spans="1:10" x14ac:dyDescent="0.35">
      <c r="A17" s="12" t="s">
        <v>512</v>
      </c>
      <c r="B17" s="13">
        <v>45791</v>
      </c>
      <c r="C17" s="12">
        <v>256779420270</v>
      </c>
      <c r="D17" s="12" t="s">
        <v>11</v>
      </c>
      <c r="E17" s="14">
        <v>-45.79</v>
      </c>
      <c r="F17" s="12" t="s">
        <v>59</v>
      </c>
      <c r="G17" s="14">
        <v>-3969.59</v>
      </c>
      <c r="H17" s="12" t="s">
        <v>565</v>
      </c>
      <c r="I17" t="str">
        <f t="shared" si="1"/>
        <v xml:space="preserve"> 246779412200</v>
      </c>
      <c r="J17" s="4">
        <v>246779412200</v>
      </c>
    </row>
    <row r="18" spans="1:10" x14ac:dyDescent="0.35">
      <c r="A18" s="12" t="s">
        <v>512</v>
      </c>
      <c r="B18" s="13">
        <v>45791</v>
      </c>
      <c r="C18" s="12">
        <v>256779420271</v>
      </c>
      <c r="D18" s="12" t="s">
        <v>11</v>
      </c>
      <c r="E18" s="14">
        <v>-20.03</v>
      </c>
      <c r="F18" s="12" t="s">
        <v>59</v>
      </c>
      <c r="G18" s="14">
        <v>-1736.43</v>
      </c>
      <c r="H18" s="12" t="s">
        <v>566</v>
      </c>
      <c r="I18" t="str">
        <f t="shared" si="1"/>
        <v xml:space="preserve"> 246779412201</v>
      </c>
      <c r="J18" s="4">
        <v>246779412201</v>
      </c>
    </row>
    <row r="19" spans="1:10" x14ac:dyDescent="0.35">
      <c r="A19" s="12" t="s">
        <v>512</v>
      </c>
      <c r="B19" s="13">
        <v>45791</v>
      </c>
      <c r="C19" s="12">
        <v>256779420492</v>
      </c>
      <c r="D19" s="12" t="s">
        <v>11</v>
      </c>
      <c r="E19" s="14">
        <v>-2333.1799999999998</v>
      </c>
      <c r="F19" s="12" t="s">
        <v>59</v>
      </c>
      <c r="G19" s="14">
        <v>-202804.25</v>
      </c>
      <c r="H19" s="12" t="s">
        <v>567</v>
      </c>
      <c r="I19" t="str">
        <f t="shared" si="1"/>
        <v xml:space="preserve"> 256779410231</v>
      </c>
      <c r="J19" s="4">
        <v>256779410231</v>
      </c>
    </row>
    <row r="20" spans="1:10" x14ac:dyDescent="0.35">
      <c r="A20" s="12" t="s">
        <v>512</v>
      </c>
      <c r="B20" s="13">
        <v>45791</v>
      </c>
      <c r="C20" s="12">
        <v>256779420526</v>
      </c>
      <c r="D20" s="12" t="s">
        <v>11</v>
      </c>
      <c r="E20" s="14">
        <v>-2286.2399999999998</v>
      </c>
      <c r="F20" s="12" t="s">
        <v>59</v>
      </c>
      <c r="G20" s="14">
        <v>-198724.14</v>
      </c>
      <c r="H20" s="12" t="s">
        <v>568</v>
      </c>
      <c r="I20" t="str">
        <f t="shared" si="1"/>
        <v xml:space="preserve"> 256779410272</v>
      </c>
      <c r="J20" s="4">
        <v>256779410272</v>
      </c>
    </row>
    <row r="21" spans="1:10" x14ac:dyDescent="0.35">
      <c r="A21" s="12" t="s">
        <v>512</v>
      </c>
      <c r="B21" s="13">
        <v>45873</v>
      </c>
      <c r="C21" s="12">
        <v>256779421623</v>
      </c>
      <c r="D21" s="12" t="s">
        <v>11</v>
      </c>
      <c r="E21" s="14">
        <v>-608.41</v>
      </c>
      <c r="F21" s="12" t="s">
        <v>59</v>
      </c>
      <c r="G21" s="14">
        <v>-52323.67</v>
      </c>
      <c r="H21" s="12" t="s">
        <v>630</v>
      </c>
      <c r="I21" t="str">
        <f>MID(H21,28,15)</f>
        <v>256779415792</v>
      </c>
      <c r="J21" s="4">
        <v>256779415792</v>
      </c>
    </row>
    <row r="22" spans="1:10" x14ac:dyDescent="0.35">
      <c r="A22" s="12" t="s">
        <v>512</v>
      </c>
      <c r="B22" s="13">
        <v>45862</v>
      </c>
      <c r="C22" s="12">
        <v>256779421498</v>
      </c>
      <c r="D22" s="12" t="s">
        <v>11</v>
      </c>
      <c r="E22" s="14">
        <v>-95.24</v>
      </c>
      <c r="F22" s="12" t="s">
        <v>59</v>
      </c>
      <c r="G22" s="14">
        <v>-8190.7</v>
      </c>
      <c r="H22" s="12" t="s">
        <v>640</v>
      </c>
      <c r="I22" t="str">
        <f t="shared" ref="I22:I23" si="2">MID(H22,28,15)</f>
        <v>256779414430</v>
      </c>
      <c r="J22" s="4">
        <v>256779414430</v>
      </c>
    </row>
    <row r="23" spans="1:10" x14ac:dyDescent="0.35">
      <c r="A23" s="12" t="s">
        <v>512</v>
      </c>
      <c r="B23" s="13">
        <v>45862</v>
      </c>
      <c r="C23" s="12">
        <v>256779421512</v>
      </c>
      <c r="D23" s="12" t="s">
        <v>11</v>
      </c>
      <c r="E23" s="14">
        <v>-2333.1799999999998</v>
      </c>
      <c r="F23" s="12" t="s">
        <v>59</v>
      </c>
      <c r="G23" s="14">
        <v>-200655.04</v>
      </c>
      <c r="H23" s="12" t="s">
        <v>641</v>
      </c>
      <c r="I23" t="str">
        <f t="shared" si="2"/>
        <v>256779414445</v>
      </c>
      <c r="J23" s="4">
        <v>256779414445</v>
      </c>
    </row>
    <row r="24" spans="1:10" x14ac:dyDescent="0.35">
      <c r="A24" s="12" t="s">
        <v>512</v>
      </c>
      <c r="B24" s="13">
        <v>45800</v>
      </c>
      <c r="C24" s="12">
        <v>256779421106</v>
      </c>
      <c r="D24" s="12" t="s">
        <v>11</v>
      </c>
      <c r="E24" s="14">
        <v>-707.71</v>
      </c>
      <c r="F24" s="12" t="s">
        <v>59</v>
      </c>
      <c r="G24" s="14">
        <v>-60851.519999999997</v>
      </c>
      <c r="H24" s="12" t="s">
        <v>642</v>
      </c>
      <c r="I24" t="str">
        <f t="shared" ref="I24:I25" si="3">MID(H24,20,15)</f>
        <v xml:space="preserve"> 256779413161</v>
      </c>
      <c r="J24" s="4">
        <v>256779413161</v>
      </c>
    </row>
    <row r="25" spans="1:10" x14ac:dyDescent="0.35">
      <c r="A25" s="12" t="s">
        <v>512</v>
      </c>
      <c r="B25" s="13">
        <v>45800</v>
      </c>
      <c r="C25" s="12">
        <v>256779421109</v>
      </c>
      <c r="D25" s="12" t="s">
        <v>11</v>
      </c>
      <c r="E25" s="14">
        <v>-3.78</v>
      </c>
      <c r="F25" s="12" t="s">
        <v>59</v>
      </c>
      <c r="G25" s="14">
        <v>-325.02</v>
      </c>
      <c r="H25" s="12" t="s">
        <v>643</v>
      </c>
      <c r="I25" t="str">
        <f t="shared" si="3"/>
        <v xml:space="preserve"> 256779413169</v>
      </c>
      <c r="J25" s="4">
        <v>256779413169</v>
      </c>
    </row>
    <row r="26" spans="1:10" x14ac:dyDescent="0.35">
      <c r="A26" s="12" t="s">
        <v>512</v>
      </c>
      <c r="B26" s="13">
        <v>45890</v>
      </c>
      <c r="C26" s="12">
        <v>256779421698</v>
      </c>
      <c r="D26" s="12" t="s">
        <v>11</v>
      </c>
      <c r="E26" s="14">
        <v>-30</v>
      </c>
      <c r="F26" s="12" t="s">
        <v>59</v>
      </c>
      <c r="G26" s="14">
        <v>-2580.9</v>
      </c>
      <c r="H26" s="12" t="s">
        <v>647</v>
      </c>
      <c r="I26" t="str">
        <f t="shared" ref="I26:I34" si="4">MID(H26,27,15)</f>
        <v>256779415304</v>
      </c>
      <c r="J26" s="4">
        <v>256779415304</v>
      </c>
    </row>
    <row r="27" spans="1:10" x14ac:dyDescent="0.35">
      <c r="A27" s="12" t="s">
        <v>512</v>
      </c>
      <c r="B27" s="13">
        <v>45890</v>
      </c>
      <c r="C27" s="12">
        <v>256779421699</v>
      </c>
      <c r="D27" s="12" t="s">
        <v>11</v>
      </c>
      <c r="E27" s="14">
        <v>-30</v>
      </c>
      <c r="F27" s="12" t="s">
        <v>59</v>
      </c>
      <c r="G27" s="14">
        <v>-2580.9</v>
      </c>
      <c r="H27" s="12" t="s">
        <v>648</v>
      </c>
      <c r="I27" t="str">
        <f t="shared" si="4"/>
        <v>256779415305</v>
      </c>
      <c r="J27" s="4">
        <v>256779415305</v>
      </c>
    </row>
    <row r="28" spans="1:10" x14ac:dyDescent="0.35">
      <c r="A28" s="12" t="s">
        <v>512</v>
      </c>
      <c r="B28" s="13">
        <v>45890</v>
      </c>
      <c r="C28" s="12">
        <v>256779421700</v>
      </c>
      <c r="D28" s="12" t="s">
        <v>11</v>
      </c>
      <c r="E28" s="14">
        <v>-30</v>
      </c>
      <c r="F28" s="12" t="s">
        <v>59</v>
      </c>
      <c r="G28" s="14">
        <v>-2580.9</v>
      </c>
      <c r="H28" s="12" t="s">
        <v>649</v>
      </c>
      <c r="I28" t="str">
        <f t="shared" si="4"/>
        <v>256779415306</v>
      </c>
      <c r="J28" s="4">
        <v>256779415306</v>
      </c>
    </row>
    <row r="29" spans="1:10" x14ac:dyDescent="0.35">
      <c r="A29" s="12" t="s">
        <v>512</v>
      </c>
      <c r="B29" s="13">
        <v>45890</v>
      </c>
      <c r="C29" s="12">
        <v>256779421701</v>
      </c>
      <c r="D29" s="12" t="s">
        <v>11</v>
      </c>
      <c r="E29" s="14">
        <v>-30</v>
      </c>
      <c r="F29" s="12" t="s">
        <v>59</v>
      </c>
      <c r="G29" s="14">
        <v>-2580.9</v>
      </c>
      <c r="H29" s="12" t="s">
        <v>650</v>
      </c>
      <c r="I29" t="str">
        <f t="shared" si="4"/>
        <v>256779415307</v>
      </c>
      <c r="J29" s="4">
        <v>256779415307</v>
      </c>
    </row>
    <row r="30" spans="1:10" x14ac:dyDescent="0.35">
      <c r="A30" s="12" t="s">
        <v>512</v>
      </c>
      <c r="B30" s="13">
        <v>45890</v>
      </c>
      <c r="C30" s="12">
        <v>256779421702</v>
      </c>
      <c r="D30" s="12" t="s">
        <v>11</v>
      </c>
      <c r="E30" s="14">
        <v>-30</v>
      </c>
      <c r="F30" s="12" t="s">
        <v>59</v>
      </c>
      <c r="G30" s="14">
        <v>-2580.9</v>
      </c>
      <c r="H30" s="12" t="s">
        <v>651</v>
      </c>
      <c r="I30" t="str">
        <f t="shared" si="4"/>
        <v>256779415308</v>
      </c>
      <c r="J30" s="4">
        <v>256779415308</v>
      </c>
    </row>
    <row r="31" spans="1:10" x14ac:dyDescent="0.35">
      <c r="A31" s="12" t="s">
        <v>512</v>
      </c>
      <c r="B31" s="13">
        <v>45890</v>
      </c>
      <c r="C31" s="12">
        <v>256779421703</v>
      </c>
      <c r="D31" s="12" t="s">
        <v>11</v>
      </c>
      <c r="E31" s="14">
        <v>-27.39</v>
      </c>
      <c r="F31" s="12" t="s">
        <v>59</v>
      </c>
      <c r="G31" s="14">
        <v>-2356.36</v>
      </c>
      <c r="H31" s="12" t="s">
        <v>652</v>
      </c>
      <c r="I31" t="str">
        <f t="shared" si="4"/>
        <v>256779415339</v>
      </c>
      <c r="J31" s="4">
        <v>256779415339</v>
      </c>
    </row>
    <row r="32" spans="1:10" x14ac:dyDescent="0.35">
      <c r="A32" s="12" t="s">
        <v>512</v>
      </c>
      <c r="B32" s="13">
        <v>45890</v>
      </c>
      <c r="C32" s="12">
        <v>256779421705</v>
      </c>
      <c r="D32" s="12" t="s">
        <v>11</v>
      </c>
      <c r="E32" s="14">
        <v>-212.5</v>
      </c>
      <c r="F32" s="12" t="s">
        <v>59</v>
      </c>
      <c r="G32" s="14">
        <v>-18281.400000000001</v>
      </c>
      <c r="H32" s="12" t="s">
        <v>653</v>
      </c>
      <c r="I32" t="str">
        <f t="shared" si="4"/>
        <v>256779415321</v>
      </c>
      <c r="J32" s="4">
        <v>256779415321</v>
      </c>
    </row>
    <row r="33" spans="1:10" x14ac:dyDescent="0.35">
      <c r="A33" s="12" t="s">
        <v>512</v>
      </c>
      <c r="B33" s="13">
        <v>45890</v>
      </c>
      <c r="C33" s="12">
        <v>256779421706</v>
      </c>
      <c r="D33" s="12" t="s">
        <v>11</v>
      </c>
      <c r="E33" s="14">
        <v>-362.02</v>
      </c>
      <c r="F33" s="12" t="s">
        <v>59</v>
      </c>
      <c r="G33" s="14">
        <v>-31144.62</v>
      </c>
      <c r="H33" s="12" t="s">
        <v>654</v>
      </c>
      <c r="I33" t="str">
        <f t="shared" si="4"/>
        <v>256779415374</v>
      </c>
      <c r="J33" s="4">
        <v>256779415374</v>
      </c>
    </row>
    <row r="34" spans="1:10" x14ac:dyDescent="0.35">
      <c r="A34" s="12" t="s">
        <v>512</v>
      </c>
      <c r="B34" s="13">
        <v>45890</v>
      </c>
      <c r="C34" s="12">
        <v>256779421707</v>
      </c>
      <c r="D34" s="12" t="s">
        <v>11</v>
      </c>
      <c r="E34" s="14">
        <v>-228.75</v>
      </c>
      <c r="F34" s="12" t="s">
        <v>59</v>
      </c>
      <c r="G34" s="14">
        <v>-19679.39</v>
      </c>
      <c r="H34" s="12" t="s">
        <v>655</v>
      </c>
      <c r="I34" t="str">
        <f t="shared" si="4"/>
        <v>246779414662</v>
      </c>
      <c r="J34" s="4">
        <v>246779414662</v>
      </c>
    </row>
    <row r="35" spans="1:10" x14ac:dyDescent="0.35">
      <c r="A35" s="12" t="s">
        <v>512</v>
      </c>
      <c r="B35" s="13">
        <v>45890</v>
      </c>
      <c r="C35" s="12">
        <v>256779421708</v>
      </c>
      <c r="D35" s="12" t="s">
        <v>11</v>
      </c>
      <c r="E35" s="14">
        <v>-281.5</v>
      </c>
      <c r="F35" s="12" t="s">
        <v>59</v>
      </c>
      <c r="G35" s="14">
        <v>-24217.48</v>
      </c>
      <c r="H35" s="12" t="s">
        <v>656</v>
      </c>
      <c r="I35" t="str">
        <f>MID(H35,27,15)</f>
        <v>256779415365</v>
      </c>
      <c r="J35" s="4">
        <v>256779415365</v>
      </c>
    </row>
    <row r="36" spans="1:10" x14ac:dyDescent="0.35">
      <c r="A36" s="12" t="s">
        <v>512</v>
      </c>
      <c r="B36" s="13">
        <v>45799</v>
      </c>
      <c r="C36" s="12">
        <v>256779420844</v>
      </c>
      <c r="D36" s="12" t="s">
        <v>59</v>
      </c>
      <c r="E36" s="14">
        <v>-262.20999999999998</v>
      </c>
      <c r="F36" s="12" t="s">
        <v>59</v>
      </c>
      <c r="G36" s="14">
        <v>-262.20999999999998</v>
      </c>
      <c r="H36" s="12" t="s">
        <v>676</v>
      </c>
      <c r="I36" t="str">
        <f>MID(H36,20,15)</f>
        <v xml:space="preserve"> 256779412140</v>
      </c>
      <c r="J36" s="4">
        <v>256779412140</v>
      </c>
    </row>
    <row r="37" spans="1:10" x14ac:dyDescent="0.35">
      <c r="A37" s="12" t="s">
        <v>512</v>
      </c>
      <c r="B37" s="13">
        <v>45799</v>
      </c>
      <c r="C37" s="12">
        <v>256779420845</v>
      </c>
      <c r="D37" s="12" t="s">
        <v>11</v>
      </c>
      <c r="E37" s="14">
        <v>-466.37</v>
      </c>
      <c r="F37" s="12" t="s">
        <v>59</v>
      </c>
      <c r="G37" s="14">
        <v>-40430.199999999997</v>
      </c>
      <c r="H37" s="12" t="s">
        <v>677</v>
      </c>
      <c r="I37" t="str">
        <f>MID(H37,20,15)</f>
        <v xml:space="preserve"> 246779413076</v>
      </c>
      <c r="J37" s="4">
        <v>246779413076</v>
      </c>
    </row>
    <row r="38" spans="1:10" x14ac:dyDescent="0.35">
      <c r="A38" s="12" t="s">
        <v>512</v>
      </c>
      <c r="B38" s="13">
        <v>46027</v>
      </c>
      <c r="C38" s="12">
        <v>256779422164</v>
      </c>
      <c r="D38" s="12" t="s">
        <v>11</v>
      </c>
      <c r="E38" s="14">
        <v>-562.38</v>
      </c>
      <c r="F38" s="12" t="s">
        <v>59</v>
      </c>
      <c r="G38" s="14">
        <v>-51032.13</v>
      </c>
      <c r="H38" s="12" t="s">
        <v>707</v>
      </c>
      <c r="I38" t="str">
        <f>MID(H38,36,15)</f>
        <v>256779418489</v>
      </c>
      <c r="J38" s="4">
        <v>256779418489</v>
      </c>
    </row>
    <row r="39" spans="1:10" x14ac:dyDescent="0.35">
      <c r="A39" s="12" t="s">
        <v>512</v>
      </c>
      <c r="B39" s="13">
        <v>46027</v>
      </c>
      <c r="C39" s="12">
        <v>256779422170</v>
      </c>
      <c r="D39" s="12" t="s">
        <v>11</v>
      </c>
      <c r="E39" s="14">
        <v>-13.59</v>
      </c>
      <c r="F39" s="12" t="s">
        <v>59</v>
      </c>
      <c r="G39" s="14">
        <v>-1233.2</v>
      </c>
      <c r="H39" s="12" t="s">
        <v>708</v>
      </c>
      <c r="I39" t="str">
        <f>MID(H39,36,15)</f>
        <v>256779418495</v>
      </c>
      <c r="J39" s="4">
        <v>256779418495</v>
      </c>
    </row>
    <row r="40" spans="1:10" x14ac:dyDescent="0.35">
      <c r="A40" s="12" t="s">
        <v>512</v>
      </c>
      <c r="B40" s="13">
        <v>45848</v>
      </c>
      <c r="C40" s="12">
        <v>256779421222</v>
      </c>
      <c r="D40" s="12" t="s">
        <v>11</v>
      </c>
      <c r="E40" s="14">
        <v>-295</v>
      </c>
      <c r="F40" s="12" t="s">
        <v>59</v>
      </c>
      <c r="G40" s="14">
        <v>-25370.2</v>
      </c>
      <c r="H40" s="12" t="s">
        <v>738</v>
      </c>
      <c r="I40" t="str">
        <f t="shared" si="0"/>
        <v>256779411867</v>
      </c>
      <c r="J40" s="4">
        <v>256779411867</v>
      </c>
    </row>
    <row r="41" spans="1:10" x14ac:dyDescent="0.35">
      <c r="A41" s="12" t="s">
        <v>512</v>
      </c>
      <c r="B41" s="13">
        <v>45848</v>
      </c>
      <c r="C41" s="12">
        <v>256779421223</v>
      </c>
      <c r="D41" s="12" t="s">
        <v>11</v>
      </c>
      <c r="E41" s="14">
        <v>-28.32</v>
      </c>
      <c r="F41" s="12" t="s">
        <v>59</v>
      </c>
      <c r="G41" s="14">
        <v>-2435.54</v>
      </c>
      <c r="H41" s="12" t="s">
        <v>739</v>
      </c>
      <c r="I41" t="str">
        <f t="shared" si="0"/>
        <v>246779414057</v>
      </c>
      <c r="J41" s="4">
        <v>246779414057</v>
      </c>
    </row>
    <row r="42" spans="1:10" x14ac:dyDescent="0.35">
      <c r="A42" s="12" t="s">
        <v>512</v>
      </c>
      <c r="B42" s="13">
        <v>45848</v>
      </c>
      <c r="C42" s="12">
        <v>256779421224</v>
      </c>
      <c r="D42" s="12" t="s">
        <v>11</v>
      </c>
      <c r="E42" s="14">
        <v>-28.32</v>
      </c>
      <c r="F42" s="12" t="s">
        <v>59</v>
      </c>
      <c r="G42" s="14">
        <v>-2435.54</v>
      </c>
      <c r="H42" s="12" t="s">
        <v>740</v>
      </c>
      <c r="I42" t="str">
        <f t="shared" si="0"/>
        <v>256779411091</v>
      </c>
      <c r="J42" s="4">
        <v>256779411091</v>
      </c>
    </row>
    <row r="43" spans="1:10" x14ac:dyDescent="0.35">
      <c r="A43" s="12" t="s">
        <v>512</v>
      </c>
      <c r="B43" s="13">
        <v>45848</v>
      </c>
      <c r="C43" s="12">
        <v>256779421225</v>
      </c>
      <c r="D43" s="12" t="s">
        <v>11</v>
      </c>
      <c r="E43" s="14">
        <v>-28.32</v>
      </c>
      <c r="F43" s="12" t="s">
        <v>59</v>
      </c>
      <c r="G43" s="14">
        <v>-2435.54</v>
      </c>
      <c r="H43" s="12" t="s">
        <v>741</v>
      </c>
      <c r="I43" t="str">
        <f t="shared" si="0"/>
        <v>256779411092</v>
      </c>
      <c r="J43" s="4">
        <v>256779411092</v>
      </c>
    </row>
    <row r="44" spans="1:10" x14ac:dyDescent="0.35">
      <c r="A44" s="12" t="s">
        <v>512</v>
      </c>
      <c r="B44" s="13">
        <v>45848</v>
      </c>
      <c r="C44" s="12">
        <v>256779421226</v>
      </c>
      <c r="D44" s="12" t="s">
        <v>11</v>
      </c>
      <c r="E44" s="14">
        <v>-28.32</v>
      </c>
      <c r="F44" s="12" t="s">
        <v>59</v>
      </c>
      <c r="G44" s="14">
        <v>-2435.54</v>
      </c>
      <c r="H44" s="12" t="s">
        <v>742</v>
      </c>
      <c r="I44" t="str">
        <f t="shared" si="0"/>
        <v>256779411093</v>
      </c>
      <c r="J44" s="4">
        <v>256779411093</v>
      </c>
    </row>
    <row r="45" spans="1:10" x14ac:dyDescent="0.35">
      <c r="A45" s="12" t="s">
        <v>512</v>
      </c>
      <c r="B45" s="13">
        <v>45848</v>
      </c>
      <c r="C45" s="12">
        <v>256779421227</v>
      </c>
      <c r="D45" s="12" t="s">
        <v>11</v>
      </c>
      <c r="E45" s="14">
        <v>-28.32</v>
      </c>
      <c r="F45" s="12" t="s">
        <v>59</v>
      </c>
      <c r="G45" s="14">
        <v>-2435.54</v>
      </c>
      <c r="H45" s="12" t="s">
        <v>743</v>
      </c>
      <c r="I45" t="str">
        <f t="shared" si="0"/>
        <v>256779411094</v>
      </c>
      <c r="J45" s="4">
        <v>256779411094</v>
      </c>
    </row>
    <row r="46" spans="1:10" x14ac:dyDescent="0.35">
      <c r="A46" s="12" t="s">
        <v>512</v>
      </c>
      <c r="B46" s="13">
        <v>45848</v>
      </c>
      <c r="C46" s="12">
        <v>256779421228</v>
      </c>
      <c r="D46" s="12" t="s">
        <v>11</v>
      </c>
      <c r="E46" s="14">
        <v>-28.32</v>
      </c>
      <c r="F46" s="12" t="s">
        <v>59</v>
      </c>
      <c r="G46" s="14">
        <v>-2435.54</v>
      </c>
      <c r="H46" s="12" t="s">
        <v>744</v>
      </c>
      <c r="I46" t="str">
        <f t="shared" si="0"/>
        <v>256779411095</v>
      </c>
      <c r="J46" s="4">
        <v>256779411095</v>
      </c>
    </row>
    <row r="47" spans="1:10" x14ac:dyDescent="0.35">
      <c r="A47" s="12" t="s">
        <v>512</v>
      </c>
      <c r="B47" s="13">
        <v>45848</v>
      </c>
      <c r="C47" s="12">
        <v>256779421229</v>
      </c>
      <c r="D47" s="12" t="s">
        <v>11</v>
      </c>
      <c r="E47" s="14">
        <v>-28.32</v>
      </c>
      <c r="F47" s="12" t="s">
        <v>59</v>
      </c>
      <c r="G47" s="14">
        <v>-2435.54</v>
      </c>
      <c r="H47" s="12" t="s">
        <v>745</v>
      </c>
      <c r="I47" t="str">
        <f t="shared" si="0"/>
        <v>256779411096</v>
      </c>
      <c r="J47" s="4">
        <v>256779411096</v>
      </c>
    </row>
    <row r="48" spans="1:10" x14ac:dyDescent="0.35">
      <c r="A48" s="12" t="s">
        <v>512</v>
      </c>
      <c r="B48" s="13">
        <v>45848</v>
      </c>
      <c r="C48" s="12">
        <v>256779421230</v>
      </c>
      <c r="D48" s="12" t="s">
        <v>11</v>
      </c>
      <c r="E48" s="14">
        <v>-28.32</v>
      </c>
      <c r="F48" s="12" t="s">
        <v>59</v>
      </c>
      <c r="G48" s="14">
        <v>-2435.54</v>
      </c>
      <c r="H48" s="12" t="s">
        <v>746</v>
      </c>
      <c r="I48" t="str">
        <f t="shared" si="0"/>
        <v>256779411098</v>
      </c>
      <c r="J48" s="4">
        <v>256779411098</v>
      </c>
    </row>
    <row r="49" spans="1:10" x14ac:dyDescent="0.35">
      <c r="A49" s="12" t="s">
        <v>512</v>
      </c>
      <c r="B49" s="13">
        <v>45848</v>
      </c>
      <c r="C49" s="12">
        <v>256779421231</v>
      </c>
      <c r="D49" s="12" t="s">
        <v>11</v>
      </c>
      <c r="E49" s="14">
        <v>-28.32</v>
      </c>
      <c r="F49" s="12" t="s">
        <v>59</v>
      </c>
      <c r="G49" s="14">
        <v>-2435.54</v>
      </c>
      <c r="H49" s="12" t="s">
        <v>747</v>
      </c>
      <c r="I49" t="str">
        <f t="shared" si="0"/>
        <v>256779411099</v>
      </c>
      <c r="J49" s="4">
        <v>256779411099</v>
      </c>
    </row>
    <row r="50" spans="1:10" x14ac:dyDescent="0.35">
      <c r="A50" s="12" t="s">
        <v>512</v>
      </c>
      <c r="B50" s="13">
        <v>45848</v>
      </c>
      <c r="C50" s="12">
        <v>256779421232</v>
      </c>
      <c r="D50" s="12" t="s">
        <v>11</v>
      </c>
      <c r="E50" s="14">
        <v>-28.32</v>
      </c>
      <c r="F50" s="12" t="s">
        <v>59</v>
      </c>
      <c r="G50" s="14">
        <v>-2435.54</v>
      </c>
      <c r="H50" s="12" t="s">
        <v>748</v>
      </c>
      <c r="I50" t="str">
        <f t="shared" si="0"/>
        <v>256779411100</v>
      </c>
      <c r="J50" s="4">
        <v>256779411100</v>
      </c>
    </row>
    <row r="51" spans="1:10" x14ac:dyDescent="0.35">
      <c r="A51" s="12" t="s">
        <v>512</v>
      </c>
      <c r="B51" s="13">
        <v>45848</v>
      </c>
      <c r="C51" s="12">
        <v>256779421233</v>
      </c>
      <c r="D51" s="12" t="s">
        <v>11</v>
      </c>
      <c r="E51" s="14">
        <v>-28.32</v>
      </c>
      <c r="F51" s="12" t="s">
        <v>59</v>
      </c>
      <c r="G51" s="14">
        <v>-2435.54</v>
      </c>
      <c r="H51" s="12" t="s">
        <v>749</v>
      </c>
      <c r="I51" t="str">
        <f t="shared" si="0"/>
        <v>256779411101</v>
      </c>
      <c r="J51" s="4">
        <v>256779411101</v>
      </c>
    </row>
    <row r="52" spans="1:10" x14ac:dyDescent="0.35">
      <c r="A52" s="12" t="s">
        <v>512</v>
      </c>
      <c r="B52" s="13">
        <v>45848</v>
      </c>
      <c r="C52" s="12">
        <v>256779421234</v>
      </c>
      <c r="D52" s="12" t="s">
        <v>11</v>
      </c>
      <c r="E52" s="14">
        <v>-35.4</v>
      </c>
      <c r="F52" s="12" t="s">
        <v>59</v>
      </c>
      <c r="G52" s="14">
        <v>-3044.42</v>
      </c>
      <c r="H52" s="12" t="s">
        <v>750</v>
      </c>
      <c r="I52" t="str">
        <f t="shared" si="0"/>
        <v>246779414122</v>
      </c>
      <c r="J52" s="4">
        <v>246779414122</v>
      </c>
    </row>
    <row r="53" spans="1:10" x14ac:dyDescent="0.35">
      <c r="A53" s="12" t="s">
        <v>512</v>
      </c>
      <c r="B53" s="13">
        <v>45848</v>
      </c>
      <c r="C53" s="12">
        <v>256779421235</v>
      </c>
      <c r="D53" s="12" t="s">
        <v>11</v>
      </c>
      <c r="E53" s="14">
        <v>-35.4</v>
      </c>
      <c r="F53" s="12" t="s">
        <v>59</v>
      </c>
      <c r="G53" s="14">
        <v>-3044.42</v>
      </c>
      <c r="H53" s="12" t="s">
        <v>751</v>
      </c>
      <c r="I53" t="str">
        <f t="shared" si="0"/>
        <v>246779414869</v>
      </c>
      <c r="J53" s="4">
        <v>246779414869</v>
      </c>
    </row>
    <row r="54" spans="1:10" x14ac:dyDescent="0.35">
      <c r="A54" s="12" t="s">
        <v>512</v>
      </c>
      <c r="B54" s="13">
        <v>45848</v>
      </c>
      <c r="C54" s="12">
        <v>256779421237</v>
      </c>
      <c r="D54" s="12" t="s">
        <v>11</v>
      </c>
      <c r="E54" s="14">
        <v>-35.4</v>
      </c>
      <c r="F54" s="12" t="s">
        <v>59</v>
      </c>
      <c r="G54" s="14">
        <v>-3044.42</v>
      </c>
      <c r="H54" s="12" t="s">
        <v>752</v>
      </c>
      <c r="I54" t="str">
        <f t="shared" si="0"/>
        <v>256779411458</v>
      </c>
      <c r="J54" s="4">
        <v>256779411458</v>
      </c>
    </row>
    <row r="55" spans="1:10" x14ac:dyDescent="0.35">
      <c r="A55" s="12" t="s">
        <v>512</v>
      </c>
      <c r="B55" s="13">
        <v>45848</v>
      </c>
      <c r="C55" s="12">
        <v>256779421238</v>
      </c>
      <c r="D55" s="12" t="s">
        <v>11</v>
      </c>
      <c r="E55" s="14">
        <v>-35.4</v>
      </c>
      <c r="F55" s="12" t="s">
        <v>59</v>
      </c>
      <c r="G55" s="14">
        <v>-3044.42</v>
      </c>
      <c r="H55" s="12" t="s">
        <v>753</v>
      </c>
      <c r="I55" t="str">
        <f t="shared" si="0"/>
        <v>256779411461</v>
      </c>
      <c r="J55" s="4">
        <v>256779411461</v>
      </c>
    </row>
    <row r="56" spans="1:10" x14ac:dyDescent="0.35">
      <c r="A56" s="12" t="s">
        <v>512</v>
      </c>
      <c r="B56" s="13">
        <v>45848</v>
      </c>
      <c r="C56" s="12">
        <v>256779421239</v>
      </c>
      <c r="D56" s="12" t="s">
        <v>11</v>
      </c>
      <c r="E56" s="14">
        <v>-35.4</v>
      </c>
      <c r="F56" s="12" t="s">
        <v>59</v>
      </c>
      <c r="G56" s="14">
        <v>-3044.42</v>
      </c>
      <c r="H56" s="12" t="s">
        <v>754</v>
      </c>
      <c r="I56" t="str">
        <f t="shared" si="0"/>
        <v>256779411466</v>
      </c>
      <c r="J56" s="4">
        <v>256779411466</v>
      </c>
    </row>
    <row r="57" spans="1:10" x14ac:dyDescent="0.35">
      <c r="A57" s="12" t="s">
        <v>512</v>
      </c>
      <c r="B57" s="13">
        <v>45848</v>
      </c>
      <c r="C57" s="12">
        <v>256779421240</v>
      </c>
      <c r="D57" s="12" t="s">
        <v>11</v>
      </c>
      <c r="E57" s="14">
        <v>-35.4</v>
      </c>
      <c r="F57" s="12" t="s">
        <v>59</v>
      </c>
      <c r="G57" s="14">
        <v>-3044.42</v>
      </c>
      <c r="H57" s="12" t="s">
        <v>755</v>
      </c>
      <c r="I57" t="str">
        <f t="shared" si="0"/>
        <v>256779411467</v>
      </c>
      <c r="J57" s="4">
        <v>256779411467</v>
      </c>
    </row>
    <row r="58" spans="1:10" x14ac:dyDescent="0.35">
      <c r="A58" s="12" t="s">
        <v>512</v>
      </c>
      <c r="B58" s="13">
        <v>45848</v>
      </c>
      <c r="C58" s="12">
        <v>256779421241</v>
      </c>
      <c r="D58" s="12" t="s">
        <v>11</v>
      </c>
      <c r="E58" s="14">
        <v>-35.4</v>
      </c>
      <c r="F58" s="12" t="s">
        <v>59</v>
      </c>
      <c r="G58" s="14">
        <v>-3044.42</v>
      </c>
      <c r="H58" s="12" t="s">
        <v>756</v>
      </c>
      <c r="I58" t="str">
        <f t="shared" si="0"/>
        <v>256779411469</v>
      </c>
      <c r="J58" s="4">
        <v>256779411469</v>
      </c>
    </row>
    <row r="59" spans="1:10" x14ac:dyDescent="0.35">
      <c r="A59" s="12" t="s">
        <v>512</v>
      </c>
      <c r="B59" s="13">
        <v>45848</v>
      </c>
      <c r="C59" s="12">
        <v>256779421242</v>
      </c>
      <c r="D59" s="12" t="s">
        <v>11</v>
      </c>
      <c r="E59" s="14">
        <v>-35.4</v>
      </c>
      <c r="F59" s="12" t="s">
        <v>59</v>
      </c>
      <c r="G59" s="14">
        <v>-3044.42</v>
      </c>
      <c r="H59" s="12" t="s">
        <v>757</v>
      </c>
      <c r="I59" t="str">
        <f t="shared" si="0"/>
        <v>256779411797</v>
      </c>
      <c r="J59" s="4">
        <v>256779411797</v>
      </c>
    </row>
    <row r="60" spans="1:10" x14ac:dyDescent="0.35">
      <c r="A60" s="12" t="s">
        <v>512</v>
      </c>
      <c r="B60" s="13">
        <v>45848</v>
      </c>
      <c r="C60" s="12">
        <v>256779421243</v>
      </c>
      <c r="D60" s="12" t="s">
        <v>11</v>
      </c>
      <c r="E60" s="14">
        <v>-35.4</v>
      </c>
      <c r="F60" s="12" t="s">
        <v>59</v>
      </c>
      <c r="G60" s="14">
        <v>-3044.42</v>
      </c>
      <c r="H60" s="12" t="s">
        <v>758</v>
      </c>
      <c r="I60" t="str">
        <f t="shared" si="0"/>
        <v>256779412609</v>
      </c>
      <c r="J60" s="4">
        <v>256779412609</v>
      </c>
    </row>
    <row r="61" spans="1:10" x14ac:dyDescent="0.35">
      <c r="A61" s="12" t="s">
        <v>512</v>
      </c>
      <c r="B61" s="13">
        <v>45848</v>
      </c>
      <c r="C61" s="12">
        <v>256779421244</v>
      </c>
      <c r="D61" s="12" t="s">
        <v>11</v>
      </c>
      <c r="E61" s="14">
        <v>-91.43</v>
      </c>
      <c r="F61" s="12" t="s">
        <v>59</v>
      </c>
      <c r="G61" s="14">
        <v>-7863.04</v>
      </c>
      <c r="H61" s="12" t="s">
        <v>759</v>
      </c>
      <c r="I61" t="str">
        <f t="shared" si="0"/>
        <v>246779414058</v>
      </c>
      <c r="J61" s="4">
        <v>246779414058</v>
      </c>
    </row>
    <row r="62" spans="1:10" x14ac:dyDescent="0.35">
      <c r="A62" s="12" t="s">
        <v>512</v>
      </c>
      <c r="B62" s="13">
        <v>45848</v>
      </c>
      <c r="C62" s="12">
        <v>256779421245</v>
      </c>
      <c r="D62" s="12" t="s">
        <v>11</v>
      </c>
      <c r="E62" s="14">
        <v>-236</v>
      </c>
      <c r="F62" s="12" t="s">
        <v>59</v>
      </c>
      <c r="G62" s="14">
        <v>-20296.16</v>
      </c>
      <c r="H62" s="12" t="s">
        <v>759</v>
      </c>
      <c r="I62" t="str">
        <f t="shared" si="0"/>
        <v>246779414058</v>
      </c>
      <c r="J62" s="4">
        <v>246779414058</v>
      </c>
    </row>
    <row r="63" spans="1:10" x14ac:dyDescent="0.35">
      <c r="A63" s="12" t="s">
        <v>512</v>
      </c>
      <c r="B63" s="13">
        <v>45848</v>
      </c>
      <c r="C63" s="12">
        <v>256779421246</v>
      </c>
      <c r="D63" s="12" t="s">
        <v>11</v>
      </c>
      <c r="E63" s="14">
        <v>-70.8</v>
      </c>
      <c r="F63" s="12" t="s">
        <v>59</v>
      </c>
      <c r="G63" s="14">
        <v>-6088.85</v>
      </c>
      <c r="H63" s="12" t="s">
        <v>759</v>
      </c>
      <c r="I63" t="str">
        <f t="shared" si="0"/>
        <v>246779414058</v>
      </c>
      <c r="J63" s="4">
        <v>246779414058</v>
      </c>
    </row>
    <row r="64" spans="1:10" x14ac:dyDescent="0.35">
      <c r="A64" s="12" t="s">
        <v>512</v>
      </c>
      <c r="B64" s="13">
        <v>45848</v>
      </c>
      <c r="C64" s="12">
        <v>256779421247</v>
      </c>
      <c r="D64" s="12" t="s">
        <v>11</v>
      </c>
      <c r="E64" s="14">
        <v>-211.39</v>
      </c>
      <c r="F64" s="12" t="s">
        <v>59</v>
      </c>
      <c r="G64" s="14">
        <v>-18179.68</v>
      </c>
      <c r="H64" s="12" t="s">
        <v>760</v>
      </c>
      <c r="I64" t="str">
        <f t="shared" si="0"/>
        <v>246779414525</v>
      </c>
      <c r="J64" s="4">
        <v>246779414525</v>
      </c>
    </row>
    <row r="65" spans="1:10" x14ac:dyDescent="0.35">
      <c r="A65" s="12" t="s">
        <v>512</v>
      </c>
      <c r="B65" s="13">
        <v>45848</v>
      </c>
      <c r="C65" s="12">
        <v>256779421248</v>
      </c>
      <c r="D65" s="12" t="s">
        <v>11</v>
      </c>
      <c r="E65" s="14">
        <v>-141.6</v>
      </c>
      <c r="F65" s="12" t="s">
        <v>59</v>
      </c>
      <c r="G65" s="14">
        <v>-12177.69</v>
      </c>
      <c r="H65" s="12" t="s">
        <v>761</v>
      </c>
      <c r="I65" t="str">
        <f t="shared" si="0"/>
        <v>246779414526</v>
      </c>
      <c r="J65" s="4">
        <v>246779414526</v>
      </c>
    </row>
    <row r="66" spans="1:10" x14ac:dyDescent="0.35">
      <c r="A66" s="12" t="s">
        <v>512</v>
      </c>
      <c r="B66" s="13">
        <v>45848</v>
      </c>
      <c r="C66" s="12">
        <v>256779421249</v>
      </c>
      <c r="D66" s="12" t="s">
        <v>11</v>
      </c>
      <c r="E66" s="14">
        <v>-70.8</v>
      </c>
      <c r="F66" s="12" t="s">
        <v>59</v>
      </c>
      <c r="G66" s="14">
        <v>-6088.85</v>
      </c>
      <c r="H66" s="12" t="s">
        <v>762</v>
      </c>
      <c r="I66" t="str">
        <f t="shared" si="0"/>
        <v>246779414527</v>
      </c>
      <c r="J66" s="4">
        <v>246779414527</v>
      </c>
    </row>
    <row r="67" spans="1:10" x14ac:dyDescent="0.35">
      <c r="A67" s="12" t="s">
        <v>512</v>
      </c>
      <c r="B67" s="13">
        <v>45848</v>
      </c>
      <c r="C67" s="12">
        <v>256779421250</v>
      </c>
      <c r="D67" s="12" t="s">
        <v>11</v>
      </c>
      <c r="E67" s="14">
        <v>-236</v>
      </c>
      <c r="F67" s="12" t="s">
        <v>59</v>
      </c>
      <c r="G67" s="14">
        <v>-20296.16</v>
      </c>
      <c r="H67" s="12" t="s">
        <v>763</v>
      </c>
      <c r="I67" t="str">
        <f t="shared" ref="I67:I130" si="5">MID(H67,32,15)</f>
        <v>246779414528</v>
      </c>
      <c r="J67" s="4">
        <v>246779414528</v>
      </c>
    </row>
    <row r="68" spans="1:10" x14ac:dyDescent="0.35">
      <c r="A68" s="12" t="s">
        <v>512</v>
      </c>
      <c r="B68" s="13">
        <v>45848</v>
      </c>
      <c r="C68" s="12">
        <v>256779421251</v>
      </c>
      <c r="D68" s="12" t="s">
        <v>11</v>
      </c>
      <c r="E68" s="14">
        <v>-300.49</v>
      </c>
      <c r="F68" s="12" t="s">
        <v>59</v>
      </c>
      <c r="G68" s="14">
        <v>-25842.34</v>
      </c>
      <c r="H68" s="12" t="s">
        <v>764</v>
      </c>
      <c r="I68" t="str">
        <f t="shared" si="5"/>
        <v>246779414590</v>
      </c>
      <c r="J68" s="4">
        <v>246779414590</v>
      </c>
    </row>
    <row r="69" spans="1:10" x14ac:dyDescent="0.35">
      <c r="A69" s="12" t="s">
        <v>512</v>
      </c>
      <c r="B69" s="13">
        <v>45848</v>
      </c>
      <c r="C69" s="12">
        <v>256779421252</v>
      </c>
      <c r="D69" s="12" t="s">
        <v>11</v>
      </c>
      <c r="E69" s="14">
        <v>-165.4</v>
      </c>
      <c r="F69" s="12" t="s">
        <v>59</v>
      </c>
      <c r="G69" s="14">
        <v>-14224.51</v>
      </c>
      <c r="H69" s="12" t="s">
        <v>765</v>
      </c>
      <c r="I69" t="str">
        <f t="shared" si="5"/>
        <v>246779414726</v>
      </c>
      <c r="J69" s="4">
        <v>246779414726</v>
      </c>
    </row>
    <row r="70" spans="1:10" x14ac:dyDescent="0.35">
      <c r="A70" s="12" t="s">
        <v>512</v>
      </c>
      <c r="B70" s="13">
        <v>45848</v>
      </c>
      <c r="C70" s="12">
        <v>256779421253</v>
      </c>
      <c r="D70" s="12" t="s">
        <v>11</v>
      </c>
      <c r="E70" s="14">
        <v>-14.75</v>
      </c>
      <c r="F70" s="12" t="s">
        <v>59</v>
      </c>
      <c r="G70" s="14">
        <v>-1268.51</v>
      </c>
      <c r="H70" s="12" t="s">
        <v>739</v>
      </c>
      <c r="I70" t="str">
        <f t="shared" si="5"/>
        <v>246779414057</v>
      </c>
      <c r="J70" s="4">
        <v>246779414057</v>
      </c>
    </row>
    <row r="71" spans="1:10" x14ac:dyDescent="0.35">
      <c r="A71" s="12" t="s">
        <v>512</v>
      </c>
      <c r="B71" s="13">
        <v>45848</v>
      </c>
      <c r="C71" s="12">
        <v>256779421254</v>
      </c>
      <c r="D71" s="12" t="s">
        <v>11</v>
      </c>
      <c r="E71" s="14">
        <v>-250.75</v>
      </c>
      <c r="F71" s="12" t="s">
        <v>59</v>
      </c>
      <c r="G71" s="14">
        <v>-21564.67</v>
      </c>
      <c r="H71" s="12" t="s">
        <v>766</v>
      </c>
      <c r="I71" t="str">
        <f t="shared" si="5"/>
        <v>246779414120</v>
      </c>
      <c r="J71" s="4">
        <v>246779414120</v>
      </c>
    </row>
    <row r="72" spans="1:10" x14ac:dyDescent="0.35">
      <c r="A72" s="12" t="s">
        <v>512</v>
      </c>
      <c r="B72" s="13">
        <v>45848</v>
      </c>
      <c r="C72" s="12">
        <v>256779421255</v>
      </c>
      <c r="D72" s="12" t="s">
        <v>11</v>
      </c>
      <c r="E72" s="14">
        <v>-226.56</v>
      </c>
      <c r="F72" s="12" t="s">
        <v>59</v>
      </c>
      <c r="G72" s="14">
        <v>-19484.310000000001</v>
      </c>
      <c r="H72" s="12" t="s">
        <v>767</v>
      </c>
      <c r="I72" t="str">
        <f t="shared" si="5"/>
        <v>246779414121</v>
      </c>
      <c r="J72" s="4">
        <v>246779414121</v>
      </c>
    </row>
    <row r="73" spans="1:10" x14ac:dyDescent="0.35">
      <c r="A73" s="12" t="s">
        <v>512</v>
      </c>
      <c r="B73" s="13">
        <v>45848</v>
      </c>
      <c r="C73" s="12">
        <v>256779421256</v>
      </c>
      <c r="D73" s="12" t="s">
        <v>11</v>
      </c>
      <c r="E73" s="14">
        <v>-249.87</v>
      </c>
      <c r="F73" s="12" t="s">
        <v>59</v>
      </c>
      <c r="G73" s="14">
        <v>-21488.99</v>
      </c>
      <c r="H73" s="12" t="s">
        <v>768</v>
      </c>
      <c r="I73" t="str">
        <f t="shared" si="5"/>
        <v>246779414204</v>
      </c>
      <c r="J73" s="4">
        <v>246779414204</v>
      </c>
    </row>
    <row r="74" spans="1:10" x14ac:dyDescent="0.35">
      <c r="A74" s="12" t="s">
        <v>512</v>
      </c>
      <c r="B74" s="13">
        <v>45848</v>
      </c>
      <c r="C74" s="12">
        <v>256779421257</v>
      </c>
      <c r="D74" s="12" t="s">
        <v>11</v>
      </c>
      <c r="E74" s="14">
        <v>-173.05</v>
      </c>
      <c r="F74" s="12" t="s">
        <v>59</v>
      </c>
      <c r="G74" s="14">
        <v>-14882.42</v>
      </c>
      <c r="H74" s="12" t="s">
        <v>769</v>
      </c>
      <c r="I74" t="str">
        <f t="shared" si="5"/>
        <v>246779414460</v>
      </c>
      <c r="J74" s="4">
        <v>246779414460</v>
      </c>
    </row>
    <row r="75" spans="1:10" x14ac:dyDescent="0.35">
      <c r="A75" s="12" t="s">
        <v>512</v>
      </c>
      <c r="B75" s="13">
        <v>45848</v>
      </c>
      <c r="C75" s="12">
        <v>256779421258</v>
      </c>
      <c r="D75" s="12" t="s">
        <v>11</v>
      </c>
      <c r="E75" s="14">
        <v>-226.56</v>
      </c>
      <c r="F75" s="12" t="s">
        <v>59</v>
      </c>
      <c r="G75" s="14">
        <v>-19484.310000000001</v>
      </c>
      <c r="H75" s="12" t="s">
        <v>770</v>
      </c>
      <c r="I75" t="str">
        <f t="shared" si="5"/>
        <v>246779414461</v>
      </c>
      <c r="J75" s="4">
        <v>246779414461</v>
      </c>
    </row>
    <row r="76" spans="1:10" x14ac:dyDescent="0.35">
      <c r="A76" s="12" t="s">
        <v>512</v>
      </c>
      <c r="B76" s="13">
        <v>45848</v>
      </c>
      <c r="C76" s="12">
        <v>256779421259</v>
      </c>
      <c r="D76" s="12" t="s">
        <v>11</v>
      </c>
      <c r="E76" s="14">
        <v>-218.36</v>
      </c>
      <c r="F76" s="12" t="s">
        <v>59</v>
      </c>
      <c r="G76" s="14">
        <v>-18779.11</v>
      </c>
      <c r="H76" s="12" t="s">
        <v>771</v>
      </c>
      <c r="I76" t="str">
        <f t="shared" si="5"/>
        <v>246779414781</v>
      </c>
      <c r="J76" s="4">
        <v>246779414781</v>
      </c>
    </row>
    <row r="77" spans="1:10" x14ac:dyDescent="0.35">
      <c r="A77" s="12" t="s">
        <v>512</v>
      </c>
      <c r="B77" s="13">
        <v>45848</v>
      </c>
      <c r="C77" s="12">
        <v>256779421260</v>
      </c>
      <c r="D77" s="12" t="s">
        <v>11</v>
      </c>
      <c r="E77" s="14">
        <v>-23.6</v>
      </c>
      <c r="F77" s="12" t="s">
        <v>59</v>
      </c>
      <c r="G77" s="14">
        <v>-2029.62</v>
      </c>
      <c r="H77" s="12" t="s">
        <v>772</v>
      </c>
      <c r="I77" t="str">
        <f t="shared" si="5"/>
        <v>246779414863</v>
      </c>
      <c r="J77" s="4">
        <v>246779414863</v>
      </c>
    </row>
    <row r="78" spans="1:10" x14ac:dyDescent="0.35">
      <c r="A78" s="12" t="s">
        <v>512</v>
      </c>
      <c r="B78" s="13">
        <v>45848</v>
      </c>
      <c r="C78" s="12">
        <v>256779421261</v>
      </c>
      <c r="D78" s="12" t="s">
        <v>11</v>
      </c>
      <c r="E78" s="14">
        <v>-26.55</v>
      </c>
      <c r="F78" s="12" t="s">
        <v>59</v>
      </c>
      <c r="G78" s="14">
        <v>-2283.3200000000002</v>
      </c>
      <c r="H78" s="12" t="s">
        <v>773</v>
      </c>
      <c r="I78" t="str">
        <f t="shared" si="5"/>
        <v>246779414864</v>
      </c>
      <c r="J78" s="4">
        <v>246779414864</v>
      </c>
    </row>
    <row r="79" spans="1:10" x14ac:dyDescent="0.35">
      <c r="A79" s="12" t="s">
        <v>512</v>
      </c>
      <c r="B79" s="13">
        <v>45848</v>
      </c>
      <c r="C79" s="12">
        <v>256779421262</v>
      </c>
      <c r="D79" s="12" t="s">
        <v>11</v>
      </c>
      <c r="E79" s="14">
        <v>-32.450000000000003</v>
      </c>
      <c r="F79" s="12" t="s">
        <v>59</v>
      </c>
      <c r="G79" s="14">
        <v>-2790.72</v>
      </c>
      <c r="H79" s="12" t="s">
        <v>774</v>
      </c>
      <c r="I79" t="str">
        <f t="shared" si="5"/>
        <v>246779414865</v>
      </c>
      <c r="J79" s="4">
        <v>246779414865</v>
      </c>
    </row>
    <row r="80" spans="1:10" x14ac:dyDescent="0.35">
      <c r="A80" s="12" t="s">
        <v>512</v>
      </c>
      <c r="B80" s="13">
        <v>45848</v>
      </c>
      <c r="C80" s="12">
        <v>256779421263</v>
      </c>
      <c r="D80" s="12" t="s">
        <v>11</v>
      </c>
      <c r="E80" s="14">
        <v>-26.55</v>
      </c>
      <c r="F80" s="12" t="s">
        <v>59</v>
      </c>
      <c r="G80" s="14">
        <v>-2283.3200000000002</v>
      </c>
      <c r="H80" s="12" t="s">
        <v>775</v>
      </c>
      <c r="I80" t="str">
        <f t="shared" si="5"/>
        <v>246779414866</v>
      </c>
      <c r="J80" s="4">
        <v>246779414866</v>
      </c>
    </row>
    <row r="81" spans="1:10" x14ac:dyDescent="0.35">
      <c r="A81" s="12" t="s">
        <v>512</v>
      </c>
      <c r="B81" s="13">
        <v>45848</v>
      </c>
      <c r="C81" s="12">
        <v>256779421264</v>
      </c>
      <c r="D81" s="12" t="s">
        <v>11</v>
      </c>
      <c r="E81" s="14">
        <v>-26.55</v>
      </c>
      <c r="F81" s="12" t="s">
        <v>59</v>
      </c>
      <c r="G81" s="14">
        <v>-2283.3200000000002</v>
      </c>
      <c r="H81" s="12" t="s">
        <v>776</v>
      </c>
      <c r="I81" t="str">
        <f t="shared" si="5"/>
        <v>246779414867</v>
      </c>
      <c r="J81" s="4">
        <v>246779414867</v>
      </c>
    </row>
    <row r="82" spans="1:10" x14ac:dyDescent="0.35">
      <c r="A82" s="12" t="s">
        <v>512</v>
      </c>
      <c r="B82" s="13">
        <v>45848</v>
      </c>
      <c r="C82" s="12">
        <v>256779421265</v>
      </c>
      <c r="D82" s="12" t="s">
        <v>11</v>
      </c>
      <c r="E82" s="14">
        <v>-2.95</v>
      </c>
      <c r="F82" s="12" t="s">
        <v>59</v>
      </c>
      <c r="G82" s="14">
        <v>-253.7</v>
      </c>
      <c r="H82" s="12" t="s">
        <v>777</v>
      </c>
      <c r="I82" t="str">
        <f t="shared" si="5"/>
        <v>246779414868</v>
      </c>
      <c r="J82" s="4">
        <v>246779414868</v>
      </c>
    </row>
    <row r="83" spans="1:10" x14ac:dyDescent="0.35">
      <c r="A83" s="12" t="s">
        <v>512</v>
      </c>
      <c r="B83" s="13">
        <v>45848</v>
      </c>
      <c r="C83" s="12">
        <v>256779421266</v>
      </c>
      <c r="D83" s="12" t="s">
        <v>11</v>
      </c>
      <c r="E83" s="14">
        <v>-26.55</v>
      </c>
      <c r="F83" s="12" t="s">
        <v>59</v>
      </c>
      <c r="G83" s="14">
        <v>-2283.3200000000002</v>
      </c>
      <c r="H83" s="12" t="s">
        <v>740</v>
      </c>
      <c r="I83" t="str">
        <f t="shared" si="5"/>
        <v>256779411091</v>
      </c>
      <c r="J83" s="4">
        <v>256779411091</v>
      </c>
    </row>
    <row r="84" spans="1:10" x14ac:dyDescent="0.35">
      <c r="A84" s="12" t="s">
        <v>512</v>
      </c>
      <c r="B84" s="13">
        <v>45848</v>
      </c>
      <c r="C84" s="12">
        <v>256779421267</v>
      </c>
      <c r="D84" s="12" t="s">
        <v>11</v>
      </c>
      <c r="E84" s="14">
        <v>-26.55</v>
      </c>
      <c r="F84" s="12" t="s">
        <v>59</v>
      </c>
      <c r="G84" s="14">
        <v>-2283.3200000000002</v>
      </c>
      <c r="H84" s="12" t="s">
        <v>741</v>
      </c>
      <c r="I84" t="str">
        <f t="shared" si="5"/>
        <v>256779411092</v>
      </c>
      <c r="J84" s="4">
        <v>256779411092</v>
      </c>
    </row>
    <row r="85" spans="1:10" x14ac:dyDescent="0.35">
      <c r="A85" s="12" t="s">
        <v>512</v>
      </c>
      <c r="B85" s="13">
        <v>45848</v>
      </c>
      <c r="C85" s="12">
        <v>256779421268</v>
      </c>
      <c r="D85" s="12" t="s">
        <v>11</v>
      </c>
      <c r="E85" s="14">
        <v>-29.5</v>
      </c>
      <c r="F85" s="12" t="s">
        <v>59</v>
      </c>
      <c r="G85" s="14">
        <v>-2537.02</v>
      </c>
      <c r="H85" s="12" t="s">
        <v>742</v>
      </c>
      <c r="I85" t="str">
        <f t="shared" si="5"/>
        <v>256779411093</v>
      </c>
      <c r="J85" s="4">
        <v>256779411093</v>
      </c>
    </row>
    <row r="86" spans="1:10" x14ac:dyDescent="0.35">
      <c r="A86" s="12" t="s">
        <v>512</v>
      </c>
      <c r="B86" s="13">
        <v>45848</v>
      </c>
      <c r="C86" s="12">
        <v>256779421269</v>
      </c>
      <c r="D86" s="12" t="s">
        <v>11</v>
      </c>
      <c r="E86" s="14">
        <v>-5.9</v>
      </c>
      <c r="F86" s="12" t="s">
        <v>59</v>
      </c>
      <c r="G86" s="14">
        <v>-507.4</v>
      </c>
      <c r="H86" s="12" t="s">
        <v>743</v>
      </c>
      <c r="I86" t="str">
        <f t="shared" si="5"/>
        <v>256779411094</v>
      </c>
      <c r="J86" s="4">
        <v>256779411094</v>
      </c>
    </row>
    <row r="87" spans="1:10" x14ac:dyDescent="0.35">
      <c r="A87" s="12" t="s">
        <v>512</v>
      </c>
      <c r="B87" s="13">
        <v>45848</v>
      </c>
      <c r="C87" s="12">
        <v>256779421270</v>
      </c>
      <c r="D87" s="12" t="s">
        <v>11</v>
      </c>
      <c r="E87" s="14">
        <v>-20.65</v>
      </c>
      <c r="F87" s="12" t="s">
        <v>59</v>
      </c>
      <c r="G87" s="14">
        <v>-1775.91</v>
      </c>
      <c r="H87" s="12" t="s">
        <v>744</v>
      </c>
      <c r="I87" t="str">
        <f t="shared" si="5"/>
        <v>256779411095</v>
      </c>
      <c r="J87" s="4">
        <v>256779411095</v>
      </c>
    </row>
    <row r="88" spans="1:10" x14ac:dyDescent="0.35">
      <c r="A88" s="12" t="s">
        <v>512</v>
      </c>
      <c r="B88" s="13">
        <v>45848</v>
      </c>
      <c r="C88" s="12">
        <v>256779421271</v>
      </c>
      <c r="D88" s="12" t="s">
        <v>11</v>
      </c>
      <c r="E88" s="14">
        <v>-14.75</v>
      </c>
      <c r="F88" s="12" t="s">
        <v>59</v>
      </c>
      <c r="G88" s="14">
        <v>-1268.51</v>
      </c>
      <c r="H88" s="12" t="s">
        <v>745</v>
      </c>
      <c r="I88" t="str">
        <f t="shared" si="5"/>
        <v>256779411096</v>
      </c>
      <c r="J88" s="4">
        <v>256779411096</v>
      </c>
    </row>
    <row r="89" spans="1:10" x14ac:dyDescent="0.35">
      <c r="A89" s="12" t="s">
        <v>512</v>
      </c>
      <c r="B89" s="13">
        <v>45848</v>
      </c>
      <c r="C89" s="12">
        <v>256779421272</v>
      </c>
      <c r="D89" s="12" t="s">
        <v>11</v>
      </c>
      <c r="E89" s="14">
        <v>-32.32</v>
      </c>
      <c r="F89" s="12" t="s">
        <v>59</v>
      </c>
      <c r="G89" s="14">
        <v>-2779.54</v>
      </c>
      <c r="H89" s="12" t="s">
        <v>746</v>
      </c>
      <c r="I89" t="str">
        <f t="shared" si="5"/>
        <v>256779411098</v>
      </c>
      <c r="J89" s="4">
        <v>256779411098</v>
      </c>
    </row>
    <row r="90" spans="1:10" x14ac:dyDescent="0.35">
      <c r="A90" s="12" t="s">
        <v>512</v>
      </c>
      <c r="B90" s="13">
        <v>45848</v>
      </c>
      <c r="C90" s="12">
        <v>256779421273</v>
      </c>
      <c r="D90" s="12" t="s">
        <v>11</v>
      </c>
      <c r="E90" s="14">
        <v>-30.49</v>
      </c>
      <c r="F90" s="12" t="s">
        <v>59</v>
      </c>
      <c r="G90" s="14">
        <v>-2622.16</v>
      </c>
      <c r="H90" s="12" t="s">
        <v>747</v>
      </c>
      <c r="I90" t="str">
        <f t="shared" si="5"/>
        <v>256779411099</v>
      </c>
      <c r="J90" s="4">
        <v>256779411099</v>
      </c>
    </row>
    <row r="91" spans="1:10" x14ac:dyDescent="0.35">
      <c r="A91" s="12" t="s">
        <v>512</v>
      </c>
      <c r="B91" s="13">
        <v>45848</v>
      </c>
      <c r="C91" s="12">
        <v>256779421274</v>
      </c>
      <c r="D91" s="12" t="s">
        <v>11</v>
      </c>
      <c r="E91" s="14">
        <v>-17.7</v>
      </c>
      <c r="F91" s="12" t="s">
        <v>59</v>
      </c>
      <c r="G91" s="14">
        <v>-1522.21</v>
      </c>
      <c r="H91" s="12" t="s">
        <v>748</v>
      </c>
      <c r="I91" t="str">
        <f t="shared" si="5"/>
        <v>256779411100</v>
      </c>
      <c r="J91" s="4">
        <v>256779411100</v>
      </c>
    </row>
    <row r="92" spans="1:10" x14ac:dyDescent="0.35">
      <c r="A92" s="12" t="s">
        <v>512</v>
      </c>
      <c r="B92" s="13">
        <v>45848</v>
      </c>
      <c r="C92" s="12">
        <v>256779421275</v>
      </c>
      <c r="D92" s="12" t="s">
        <v>11</v>
      </c>
      <c r="E92" s="14">
        <v>-2.95</v>
      </c>
      <c r="F92" s="12" t="s">
        <v>59</v>
      </c>
      <c r="G92" s="14">
        <v>-253.7</v>
      </c>
      <c r="H92" s="12" t="s">
        <v>749</v>
      </c>
      <c r="I92" t="str">
        <f t="shared" si="5"/>
        <v>256779411101</v>
      </c>
      <c r="J92" s="4">
        <v>256779411101</v>
      </c>
    </row>
    <row r="93" spans="1:10" x14ac:dyDescent="0.35">
      <c r="A93" s="12" t="s">
        <v>512</v>
      </c>
      <c r="B93" s="13">
        <v>45848</v>
      </c>
      <c r="C93" s="12">
        <v>256779421276</v>
      </c>
      <c r="D93" s="12" t="s">
        <v>11</v>
      </c>
      <c r="E93" s="14">
        <v>-1.18</v>
      </c>
      <c r="F93" s="12" t="s">
        <v>59</v>
      </c>
      <c r="G93" s="14">
        <v>-101.48</v>
      </c>
      <c r="H93" s="12" t="s">
        <v>749</v>
      </c>
      <c r="I93" t="str">
        <f t="shared" si="5"/>
        <v>256779411101</v>
      </c>
      <c r="J93" s="4">
        <v>256779411101</v>
      </c>
    </row>
    <row r="94" spans="1:10" x14ac:dyDescent="0.35">
      <c r="A94" s="12" t="s">
        <v>512</v>
      </c>
      <c r="B94" s="13">
        <v>45848</v>
      </c>
      <c r="C94" s="12">
        <v>256779421277</v>
      </c>
      <c r="D94" s="12" t="s">
        <v>11</v>
      </c>
      <c r="E94" s="14">
        <v>-29.5</v>
      </c>
      <c r="F94" s="12" t="s">
        <v>59</v>
      </c>
      <c r="G94" s="14">
        <v>-2537.02</v>
      </c>
      <c r="H94" s="12" t="s">
        <v>778</v>
      </c>
      <c r="I94" t="str">
        <f t="shared" si="5"/>
        <v>256779411459</v>
      </c>
      <c r="J94" s="4">
        <v>256779411459</v>
      </c>
    </row>
    <row r="95" spans="1:10" x14ac:dyDescent="0.35">
      <c r="A95" s="12" t="s">
        <v>512</v>
      </c>
      <c r="B95" s="13">
        <v>45848</v>
      </c>
      <c r="C95" s="12">
        <v>256779421278</v>
      </c>
      <c r="D95" s="12" t="s">
        <v>11</v>
      </c>
      <c r="E95" s="14">
        <v>-29.5</v>
      </c>
      <c r="F95" s="12" t="s">
        <v>59</v>
      </c>
      <c r="G95" s="14">
        <v>-2537.02</v>
      </c>
      <c r="H95" s="12" t="s">
        <v>779</v>
      </c>
      <c r="I95" t="str">
        <f t="shared" si="5"/>
        <v>256779411460</v>
      </c>
      <c r="J95" s="4">
        <v>256779411460</v>
      </c>
    </row>
    <row r="96" spans="1:10" x14ac:dyDescent="0.35">
      <c r="A96" s="12" t="s">
        <v>512</v>
      </c>
      <c r="B96" s="13">
        <v>45848</v>
      </c>
      <c r="C96" s="12">
        <v>256779421279</v>
      </c>
      <c r="D96" s="12" t="s">
        <v>11</v>
      </c>
      <c r="E96" s="14">
        <v>-20.65</v>
      </c>
      <c r="F96" s="12" t="s">
        <v>59</v>
      </c>
      <c r="G96" s="14">
        <v>-1775.91</v>
      </c>
      <c r="H96" s="12" t="s">
        <v>780</v>
      </c>
      <c r="I96" t="str">
        <f t="shared" si="5"/>
        <v>256779411462</v>
      </c>
      <c r="J96" s="4">
        <v>256779411462</v>
      </c>
    </row>
    <row r="97" spans="1:10" x14ac:dyDescent="0.35">
      <c r="A97" s="12" t="s">
        <v>512</v>
      </c>
      <c r="B97" s="13">
        <v>45848</v>
      </c>
      <c r="C97" s="12">
        <v>256779421280</v>
      </c>
      <c r="D97" s="12" t="s">
        <v>11</v>
      </c>
      <c r="E97" s="14">
        <v>-23.6</v>
      </c>
      <c r="F97" s="12" t="s">
        <v>59</v>
      </c>
      <c r="G97" s="14">
        <v>-2029.62</v>
      </c>
      <c r="H97" s="12" t="s">
        <v>781</v>
      </c>
      <c r="I97" t="str">
        <f t="shared" si="5"/>
        <v>256779411463</v>
      </c>
      <c r="J97" s="4">
        <v>256779411463</v>
      </c>
    </row>
    <row r="98" spans="1:10" x14ac:dyDescent="0.35">
      <c r="A98" s="12" t="s">
        <v>512</v>
      </c>
      <c r="B98" s="13">
        <v>45848</v>
      </c>
      <c r="C98" s="12">
        <v>256779421281</v>
      </c>
      <c r="D98" s="12" t="s">
        <v>11</v>
      </c>
      <c r="E98" s="14">
        <v>-8.85</v>
      </c>
      <c r="F98" s="12" t="s">
        <v>59</v>
      </c>
      <c r="G98" s="14">
        <v>-761.11</v>
      </c>
      <c r="H98" s="12" t="s">
        <v>782</v>
      </c>
      <c r="I98" t="str">
        <f t="shared" si="5"/>
        <v>256779411464</v>
      </c>
      <c r="J98" s="4">
        <v>256779411464</v>
      </c>
    </row>
    <row r="99" spans="1:10" x14ac:dyDescent="0.35">
      <c r="A99" s="12" t="s">
        <v>512</v>
      </c>
      <c r="B99" s="13">
        <v>45848</v>
      </c>
      <c r="C99" s="12">
        <v>256779421282</v>
      </c>
      <c r="D99" s="12" t="s">
        <v>11</v>
      </c>
      <c r="E99" s="14">
        <v>-32.450000000000003</v>
      </c>
      <c r="F99" s="12" t="s">
        <v>59</v>
      </c>
      <c r="G99" s="14">
        <v>-2790.72</v>
      </c>
      <c r="H99" s="12" t="s">
        <v>783</v>
      </c>
      <c r="I99" t="str">
        <f t="shared" si="5"/>
        <v>256779411465</v>
      </c>
      <c r="J99" s="4">
        <v>256779411465</v>
      </c>
    </row>
    <row r="100" spans="1:10" x14ac:dyDescent="0.35">
      <c r="A100" s="12" t="s">
        <v>512</v>
      </c>
      <c r="B100" s="13">
        <v>45848</v>
      </c>
      <c r="C100" s="12">
        <v>256779421283</v>
      </c>
      <c r="D100" s="12" t="s">
        <v>11</v>
      </c>
      <c r="E100" s="14">
        <v>-26.55</v>
      </c>
      <c r="F100" s="12" t="s">
        <v>59</v>
      </c>
      <c r="G100" s="14">
        <v>-2283.3200000000002</v>
      </c>
      <c r="H100" s="12" t="s">
        <v>784</v>
      </c>
      <c r="I100" t="str">
        <f t="shared" si="5"/>
        <v>256779411468</v>
      </c>
      <c r="J100" s="4">
        <v>256779411468</v>
      </c>
    </row>
    <row r="101" spans="1:10" x14ac:dyDescent="0.35">
      <c r="A101" s="12" t="s">
        <v>512</v>
      </c>
      <c r="B101" s="13">
        <v>45848</v>
      </c>
      <c r="C101" s="12">
        <v>256779421284</v>
      </c>
      <c r="D101" s="12" t="s">
        <v>11</v>
      </c>
      <c r="E101" s="14">
        <v>-20.100000000000001</v>
      </c>
      <c r="F101" s="12" t="s">
        <v>59</v>
      </c>
      <c r="G101" s="14">
        <v>-1728.61</v>
      </c>
      <c r="H101" s="12" t="s">
        <v>785</v>
      </c>
      <c r="I101" t="str">
        <f t="shared" si="5"/>
        <v>246779413317</v>
      </c>
      <c r="J101" s="4">
        <v>246779413317</v>
      </c>
    </row>
    <row r="102" spans="1:10" x14ac:dyDescent="0.35">
      <c r="A102" s="12" t="s">
        <v>512</v>
      </c>
      <c r="B102" s="13">
        <v>45848</v>
      </c>
      <c r="C102" s="12">
        <v>256779421285</v>
      </c>
      <c r="D102" s="12" t="s">
        <v>11</v>
      </c>
      <c r="E102" s="14">
        <v>-183.99</v>
      </c>
      <c r="F102" s="12" t="s">
        <v>59</v>
      </c>
      <c r="G102" s="14">
        <v>-15823.26</v>
      </c>
      <c r="H102" s="12" t="s">
        <v>786</v>
      </c>
      <c r="I102" t="str">
        <f t="shared" si="5"/>
        <v>256779410127</v>
      </c>
      <c r="J102" s="4">
        <v>256779410127</v>
      </c>
    </row>
    <row r="103" spans="1:10" x14ac:dyDescent="0.35">
      <c r="A103" s="12" t="s">
        <v>512</v>
      </c>
      <c r="B103" s="13">
        <v>45848</v>
      </c>
      <c r="C103" s="12">
        <v>256779421286</v>
      </c>
      <c r="D103" s="12" t="s">
        <v>11</v>
      </c>
      <c r="E103" s="14">
        <v>-236</v>
      </c>
      <c r="F103" s="12" t="s">
        <v>59</v>
      </c>
      <c r="G103" s="14">
        <v>-20296.16</v>
      </c>
      <c r="H103" s="12" t="s">
        <v>787</v>
      </c>
      <c r="I103" t="str">
        <f t="shared" si="5"/>
        <v>256779410213</v>
      </c>
      <c r="J103" s="4">
        <v>256779410213</v>
      </c>
    </row>
    <row r="104" spans="1:10" x14ac:dyDescent="0.35">
      <c r="A104" s="12" t="s">
        <v>512</v>
      </c>
      <c r="B104" s="13">
        <v>45848</v>
      </c>
      <c r="C104" s="12">
        <v>256779421287</v>
      </c>
      <c r="D104" s="12" t="s">
        <v>11</v>
      </c>
      <c r="E104" s="14">
        <v>-70.8</v>
      </c>
      <c r="F104" s="12" t="s">
        <v>59</v>
      </c>
      <c r="G104" s="14">
        <v>-6088.85</v>
      </c>
      <c r="H104" s="12" t="s">
        <v>788</v>
      </c>
      <c r="I104" t="str">
        <f t="shared" si="5"/>
        <v>256779410214</v>
      </c>
      <c r="J104" s="4">
        <v>256779410214</v>
      </c>
    </row>
    <row r="105" spans="1:10" x14ac:dyDescent="0.35">
      <c r="A105" s="12" t="s">
        <v>512</v>
      </c>
      <c r="B105" s="13">
        <v>45848</v>
      </c>
      <c r="C105" s="12">
        <v>256779421288</v>
      </c>
      <c r="D105" s="12" t="s">
        <v>11</v>
      </c>
      <c r="E105" s="14">
        <v>-25.22</v>
      </c>
      <c r="F105" s="12" t="s">
        <v>59</v>
      </c>
      <c r="G105" s="14">
        <v>-2168.94</v>
      </c>
      <c r="H105" s="12" t="s">
        <v>789</v>
      </c>
      <c r="I105" t="str">
        <f t="shared" si="5"/>
        <v>256779410076</v>
      </c>
      <c r="J105" s="4">
        <v>256779410076</v>
      </c>
    </row>
    <row r="106" spans="1:10" x14ac:dyDescent="0.35">
      <c r="A106" s="12" t="s">
        <v>512</v>
      </c>
      <c r="B106" s="13">
        <v>45848</v>
      </c>
      <c r="C106" s="12">
        <v>256779421289</v>
      </c>
      <c r="D106" s="12" t="s">
        <v>11</v>
      </c>
      <c r="E106" s="14">
        <v>-84.96</v>
      </c>
      <c r="F106" s="12" t="s">
        <v>59</v>
      </c>
      <c r="G106" s="14">
        <v>-7306.62</v>
      </c>
      <c r="H106" s="12" t="s">
        <v>790</v>
      </c>
      <c r="I106" t="str">
        <f t="shared" si="5"/>
        <v>256779410077</v>
      </c>
      <c r="J106" s="4">
        <v>256779410077</v>
      </c>
    </row>
    <row r="107" spans="1:10" x14ac:dyDescent="0.35">
      <c r="A107" s="12" t="s">
        <v>512</v>
      </c>
      <c r="B107" s="13">
        <v>45848</v>
      </c>
      <c r="C107" s="12">
        <v>256779421290</v>
      </c>
      <c r="D107" s="12" t="s">
        <v>11</v>
      </c>
      <c r="E107" s="14">
        <v>-244.58</v>
      </c>
      <c r="F107" s="12" t="s">
        <v>59</v>
      </c>
      <c r="G107" s="14">
        <v>-21034.04</v>
      </c>
      <c r="H107" s="12" t="s">
        <v>758</v>
      </c>
      <c r="I107" t="str">
        <f t="shared" si="5"/>
        <v>256779412609</v>
      </c>
      <c r="J107" s="4">
        <v>256779412609</v>
      </c>
    </row>
    <row r="108" spans="1:10" x14ac:dyDescent="0.35">
      <c r="A108" s="12" t="s">
        <v>512</v>
      </c>
      <c r="B108" s="13">
        <v>45848</v>
      </c>
      <c r="C108" s="12">
        <v>256779421291</v>
      </c>
      <c r="D108" s="12" t="s">
        <v>11</v>
      </c>
      <c r="E108" s="14">
        <v>-113.28</v>
      </c>
      <c r="F108" s="12" t="s">
        <v>59</v>
      </c>
      <c r="G108" s="14">
        <v>-9742.16</v>
      </c>
      <c r="H108" s="12" t="s">
        <v>758</v>
      </c>
      <c r="I108" t="str">
        <f t="shared" si="5"/>
        <v>256779412609</v>
      </c>
      <c r="J108" s="4">
        <v>256779412609</v>
      </c>
    </row>
    <row r="109" spans="1:10" x14ac:dyDescent="0.35">
      <c r="A109" s="12" t="s">
        <v>512</v>
      </c>
      <c r="B109" s="13">
        <v>45848</v>
      </c>
      <c r="C109" s="12">
        <v>256779421292</v>
      </c>
      <c r="D109" s="12" t="s">
        <v>11</v>
      </c>
      <c r="E109" s="14">
        <v>-236</v>
      </c>
      <c r="F109" s="12" t="s">
        <v>59</v>
      </c>
      <c r="G109" s="14">
        <v>-20296.16</v>
      </c>
      <c r="H109" s="12" t="s">
        <v>758</v>
      </c>
      <c r="I109" t="str">
        <f t="shared" si="5"/>
        <v>256779412609</v>
      </c>
      <c r="J109" s="4">
        <v>256779412609</v>
      </c>
    </row>
    <row r="110" spans="1:10" x14ac:dyDescent="0.35">
      <c r="A110" s="12" t="s">
        <v>512</v>
      </c>
      <c r="B110" s="13">
        <v>45848</v>
      </c>
      <c r="C110" s="12">
        <v>256779421293</v>
      </c>
      <c r="D110" s="12" t="s">
        <v>11</v>
      </c>
      <c r="E110" s="14">
        <v>-70.8</v>
      </c>
      <c r="F110" s="12" t="s">
        <v>59</v>
      </c>
      <c r="G110" s="14">
        <v>-6088.85</v>
      </c>
      <c r="H110" s="12" t="s">
        <v>758</v>
      </c>
      <c r="I110" t="str">
        <f t="shared" si="5"/>
        <v>256779412609</v>
      </c>
      <c r="J110" s="4">
        <v>256779412609</v>
      </c>
    </row>
    <row r="111" spans="1:10" x14ac:dyDescent="0.35">
      <c r="A111" s="12" t="s">
        <v>512</v>
      </c>
      <c r="B111" s="13">
        <v>45848</v>
      </c>
      <c r="C111" s="12">
        <v>256779421294</v>
      </c>
      <c r="D111" s="12" t="s">
        <v>11</v>
      </c>
      <c r="E111" s="14">
        <v>-79.650000000000006</v>
      </c>
      <c r="F111" s="12" t="s">
        <v>59</v>
      </c>
      <c r="G111" s="14">
        <v>-6849.95</v>
      </c>
      <c r="H111" s="12" t="s">
        <v>791</v>
      </c>
      <c r="I111" t="str">
        <f t="shared" si="5"/>
        <v>256779412649</v>
      </c>
      <c r="J111" s="4">
        <v>256779412649</v>
      </c>
    </row>
    <row r="112" spans="1:10" x14ac:dyDescent="0.35">
      <c r="A112" s="12" t="s">
        <v>512</v>
      </c>
      <c r="B112" s="13">
        <v>45848</v>
      </c>
      <c r="C112" s="12">
        <v>256779421295</v>
      </c>
      <c r="D112" s="12" t="s">
        <v>11</v>
      </c>
      <c r="E112" s="14">
        <v>-3.54</v>
      </c>
      <c r="F112" s="12" t="s">
        <v>59</v>
      </c>
      <c r="G112" s="14">
        <v>-304.44</v>
      </c>
      <c r="H112" s="12" t="s">
        <v>792</v>
      </c>
      <c r="I112" t="str">
        <f t="shared" si="5"/>
        <v>246779410482</v>
      </c>
      <c r="J112" s="4">
        <v>246779410482</v>
      </c>
    </row>
    <row r="113" spans="1:10" x14ac:dyDescent="0.35">
      <c r="A113" s="12" t="s">
        <v>512</v>
      </c>
      <c r="B113" s="13">
        <v>45848</v>
      </c>
      <c r="C113" s="12">
        <v>256779421296</v>
      </c>
      <c r="D113" s="12" t="s">
        <v>11</v>
      </c>
      <c r="E113" s="14">
        <v>-3.54</v>
      </c>
      <c r="F113" s="12" t="s">
        <v>59</v>
      </c>
      <c r="G113" s="14">
        <v>-304.44</v>
      </c>
      <c r="H113" s="12" t="s">
        <v>793</v>
      </c>
      <c r="I113" t="str">
        <f t="shared" si="5"/>
        <v>246779410483</v>
      </c>
      <c r="J113" s="4">
        <v>246779410483</v>
      </c>
    </row>
    <row r="114" spans="1:10" x14ac:dyDescent="0.35">
      <c r="A114" s="12" t="s">
        <v>512</v>
      </c>
      <c r="B114" s="13">
        <v>45848</v>
      </c>
      <c r="C114" s="12">
        <v>256779421297</v>
      </c>
      <c r="D114" s="12" t="s">
        <v>11</v>
      </c>
      <c r="E114" s="14">
        <v>-236</v>
      </c>
      <c r="F114" s="12" t="s">
        <v>59</v>
      </c>
      <c r="G114" s="14">
        <v>-20296.16</v>
      </c>
      <c r="H114" s="12" t="s">
        <v>794</v>
      </c>
      <c r="I114" t="str">
        <f t="shared" si="5"/>
        <v>256779411722</v>
      </c>
      <c r="J114" s="4">
        <v>256779411722</v>
      </c>
    </row>
    <row r="115" spans="1:10" x14ac:dyDescent="0.35">
      <c r="A115" s="12" t="s">
        <v>512</v>
      </c>
      <c r="B115" s="13">
        <v>45848</v>
      </c>
      <c r="C115" s="12">
        <v>256779421298</v>
      </c>
      <c r="D115" s="12" t="s">
        <v>11</v>
      </c>
      <c r="E115" s="14">
        <v>-369.34</v>
      </c>
      <c r="F115" s="12" t="s">
        <v>59</v>
      </c>
      <c r="G115" s="14">
        <v>-31763.49</v>
      </c>
      <c r="H115" s="12" t="s">
        <v>795</v>
      </c>
      <c r="I115" t="str">
        <f t="shared" si="5"/>
        <v>256779411795</v>
      </c>
      <c r="J115" s="4">
        <v>256779411795</v>
      </c>
    </row>
    <row r="116" spans="1:10" x14ac:dyDescent="0.35">
      <c r="A116" s="12" t="s">
        <v>512</v>
      </c>
      <c r="B116" s="13">
        <v>45848</v>
      </c>
      <c r="C116" s="12">
        <v>256779421299</v>
      </c>
      <c r="D116" s="12" t="s">
        <v>11</v>
      </c>
      <c r="E116" s="14">
        <v>-226.56</v>
      </c>
      <c r="F116" s="12" t="s">
        <v>59</v>
      </c>
      <c r="G116" s="14">
        <v>-19484.310000000001</v>
      </c>
      <c r="H116" s="12" t="s">
        <v>796</v>
      </c>
      <c r="I116" t="str">
        <f t="shared" si="5"/>
        <v>256779411796</v>
      </c>
      <c r="J116" s="4">
        <v>256779411796</v>
      </c>
    </row>
    <row r="117" spans="1:10" x14ac:dyDescent="0.35">
      <c r="A117" s="12" t="s">
        <v>512</v>
      </c>
      <c r="B117" s="13">
        <v>45848</v>
      </c>
      <c r="C117" s="12">
        <v>256779421300</v>
      </c>
      <c r="D117" s="12" t="s">
        <v>11</v>
      </c>
      <c r="E117" s="14">
        <v>-236</v>
      </c>
      <c r="F117" s="12" t="s">
        <v>59</v>
      </c>
      <c r="G117" s="14">
        <v>-20296.16</v>
      </c>
      <c r="H117" s="12" t="s">
        <v>797</v>
      </c>
      <c r="I117" t="str">
        <f t="shared" si="5"/>
        <v>256779411798</v>
      </c>
      <c r="J117" s="4">
        <v>256779411798</v>
      </c>
    </row>
    <row r="118" spans="1:10" x14ac:dyDescent="0.35">
      <c r="A118" s="12" t="s">
        <v>512</v>
      </c>
      <c r="B118" s="13">
        <v>45848</v>
      </c>
      <c r="C118" s="12">
        <v>256779421301</v>
      </c>
      <c r="D118" s="12" t="s">
        <v>11</v>
      </c>
      <c r="E118" s="14">
        <v>-70.8</v>
      </c>
      <c r="F118" s="12" t="s">
        <v>59</v>
      </c>
      <c r="G118" s="14">
        <v>-6088.85</v>
      </c>
      <c r="H118" s="12" t="s">
        <v>798</v>
      </c>
      <c r="I118" t="str">
        <f t="shared" si="5"/>
        <v>256779411799</v>
      </c>
      <c r="J118" s="4">
        <v>256779411799</v>
      </c>
    </row>
    <row r="119" spans="1:10" x14ac:dyDescent="0.35">
      <c r="A119" s="12" t="s">
        <v>512</v>
      </c>
      <c r="B119" s="13">
        <v>45848</v>
      </c>
      <c r="C119" s="12">
        <v>256779421302</v>
      </c>
      <c r="D119" s="12" t="s">
        <v>11</v>
      </c>
      <c r="E119" s="14">
        <v>-3.54</v>
      </c>
      <c r="F119" s="12" t="s">
        <v>59</v>
      </c>
      <c r="G119" s="14">
        <v>-304.44</v>
      </c>
      <c r="H119" s="12" t="s">
        <v>799</v>
      </c>
      <c r="I119" t="str">
        <f t="shared" si="5"/>
        <v>246779410665</v>
      </c>
      <c r="J119" s="4">
        <v>246779410665</v>
      </c>
    </row>
    <row r="120" spans="1:10" x14ac:dyDescent="0.35">
      <c r="A120" s="12" t="s">
        <v>512</v>
      </c>
      <c r="B120" s="13">
        <v>45848</v>
      </c>
      <c r="C120" s="12">
        <v>256779421303</v>
      </c>
      <c r="D120" s="12" t="s">
        <v>11</v>
      </c>
      <c r="E120" s="14">
        <v>-84.96</v>
      </c>
      <c r="F120" s="12" t="s">
        <v>59</v>
      </c>
      <c r="G120" s="14">
        <v>-7306.62</v>
      </c>
      <c r="H120" s="12" t="s">
        <v>800</v>
      </c>
      <c r="I120" t="str">
        <f t="shared" si="5"/>
        <v>256779412884</v>
      </c>
      <c r="J120" s="4">
        <v>256779412884</v>
      </c>
    </row>
    <row r="121" spans="1:10" x14ac:dyDescent="0.35">
      <c r="A121" s="12" t="s">
        <v>512</v>
      </c>
      <c r="B121" s="13">
        <v>45848</v>
      </c>
      <c r="C121" s="12">
        <v>256779421304</v>
      </c>
      <c r="D121" s="12" t="s">
        <v>11</v>
      </c>
      <c r="E121" s="14">
        <v>-51.12</v>
      </c>
      <c r="F121" s="12" t="s">
        <v>59</v>
      </c>
      <c r="G121" s="14">
        <v>-4396.3500000000004</v>
      </c>
      <c r="H121" s="12" t="s">
        <v>800</v>
      </c>
      <c r="I121" t="str">
        <f t="shared" si="5"/>
        <v>256779412884</v>
      </c>
      <c r="J121" s="4">
        <v>256779412884</v>
      </c>
    </row>
    <row r="122" spans="1:10" x14ac:dyDescent="0.35">
      <c r="A122" s="12" t="s">
        <v>512</v>
      </c>
      <c r="B122" s="13">
        <v>45848</v>
      </c>
      <c r="C122" s="12">
        <v>256779421305</v>
      </c>
      <c r="D122" s="12" t="s">
        <v>11</v>
      </c>
      <c r="E122" s="14">
        <v>-183.35</v>
      </c>
      <c r="F122" s="12" t="s">
        <v>59</v>
      </c>
      <c r="G122" s="14">
        <v>-15768.22</v>
      </c>
      <c r="H122" s="12" t="s">
        <v>801</v>
      </c>
      <c r="I122" t="str">
        <f t="shared" si="5"/>
        <v>256779412918</v>
      </c>
      <c r="J122" s="4">
        <v>256779412918</v>
      </c>
    </row>
    <row r="123" spans="1:10" x14ac:dyDescent="0.35">
      <c r="A123" s="12" t="s">
        <v>512</v>
      </c>
      <c r="B123" s="13">
        <v>45848</v>
      </c>
      <c r="C123" s="12">
        <v>256779421306</v>
      </c>
      <c r="D123" s="12" t="s">
        <v>11</v>
      </c>
      <c r="E123" s="14">
        <v>-3.1</v>
      </c>
      <c r="F123" s="12" t="s">
        <v>59</v>
      </c>
      <c r="G123" s="14">
        <v>-266.60000000000002</v>
      </c>
      <c r="H123" s="12" t="s">
        <v>802</v>
      </c>
      <c r="I123" t="str">
        <f t="shared" si="5"/>
        <v>256779412948</v>
      </c>
      <c r="J123" s="4">
        <v>256779412948</v>
      </c>
    </row>
    <row r="124" spans="1:10" x14ac:dyDescent="0.35">
      <c r="A124" s="12" t="s">
        <v>512</v>
      </c>
      <c r="B124" s="13">
        <v>45848</v>
      </c>
      <c r="C124" s="12">
        <v>256779421307</v>
      </c>
      <c r="D124" s="12" t="s">
        <v>11</v>
      </c>
      <c r="E124" s="14">
        <v>-553.87</v>
      </c>
      <c r="F124" s="12" t="s">
        <v>59</v>
      </c>
      <c r="G124" s="14">
        <v>-47633.19</v>
      </c>
      <c r="H124" s="12" t="s">
        <v>803</v>
      </c>
      <c r="I124" t="str">
        <f t="shared" si="5"/>
        <v>246779414296</v>
      </c>
      <c r="J124" s="4">
        <v>246779414296</v>
      </c>
    </row>
    <row r="125" spans="1:10" x14ac:dyDescent="0.35">
      <c r="A125" s="12" t="s">
        <v>512</v>
      </c>
      <c r="B125" s="13">
        <v>45848</v>
      </c>
      <c r="C125" s="12">
        <v>256779421308</v>
      </c>
      <c r="D125" s="12" t="s">
        <v>11</v>
      </c>
      <c r="E125" s="14">
        <v>-424.8</v>
      </c>
      <c r="F125" s="12" t="s">
        <v>59</v>
      </c>
      <c r="G125" s="14">
        <v>-36533.08</v>
      </c>
      <c r="H125" s="12" t="s">
        <v>804</v>
      </c>
      <c r="I125" t="str">
        <f t="shared" si="5"/>
        <v>246779414297</v>
      </c>
      <c r="J125" s="4">
        <v>246779414297</v>
      </c>
    </row>
    <row r="126" spans="1:10" x14ac:dyDescent="0.35">
      <c r="A126" s="12" t="s">
        <v>512</v>
      </c>
      <c r="B126" s="13">
        <v>45848</v>
      </c>
      <c r="C126" s="12">
        <v>256779421309</v>
      </c>
      <c r="D126" s="12" t="s">
        <v>11</v>
      </c>
      <c r="E126" s="14">
        <v>-70.8</v>
      </c>
      <c r="F126" s="12" t="s">
        <v>59</v>
      </c>
      <c r="G126" s="14">
        <v>-6088.85</v>
      </c>
      <c r="H126" s="12" t="s">
        <v>805</v>
      </c>
      <c r="I126" t="str">
        <f t="shared" si="5"/>
        <v>246779414298</v>
      </c>
      <c r="J126" s="4">
        <v>246779414298</v>
      </c>
    </row>
    <row r="127" spans="1:10" x14ac:dyDescent="0.35">
      <c r="A127" s="12" t="s">
        <v>512</v>
      </c>
      <c r="B127" s="13">
        <v>45848</v>
      </c>
      <c r="C127" s="12">
        <v>256779421310</v>
      </c>
      <c r="D127" s="12" t="s">
        <v>11</v>
      </c>
      <c r="E127" s="14">
        <v>-59</v>
      </c>
      <c r="F127" s="12" t="s">
        <v>59</v>
      </c>
      <c r="G127" s="14">
        <v>-5074.04</v>
      </c>
      <c r="H127" s="12" t="s">
        <v>823</v>
      </c>
      <c r="I127" t="str">
        <f t="shared" si="5"/>
        <v>256779413280</v>
      </c>
      <c r="J127" s="4">
        <v>256779413280</v>
      </c>
    </row>
    <row r="128" spans="1:10" x14ac:dyDescent="0.35">
      <c r="A128" s="12" t="s">
        <v>512</v>
      </c>
      <c r="B128" s="13">
        <v>45848</v>
      </c>
      <c r="C128" s="12">
        <v>256779421311</v>
      </c>
      <c r="D128" s="12" t="s">
        <v>11</v>
      </c>
      <c r="E128" s="14">
        <v>-141.6</v>
      </c>
      <c r="F128" s="12" t="s">
        <v>59</v>
      </c>
      <c r="G128" s="14">
        <v>-12177.69</v>
      </c>
      <c r="H128" s="12" t="s">
        <v>824</v>
      </c>
      <c r="I128" t="str">
        <f t="shared" si="5"/>
        <v>256779413308</v>
      </c>
      <c r="J128" s="4">
        <v>256779413308</v>
      </c>
    </row>
    <row r="129" spans="1:10" x14ac:dyDescent="0.35">
      <c r="A129" s="12" t="s">
        <v>512</v>
      </c>
      <c r="B129" s="13">
        <v>45848</v>
      </c>
      <c r="C129" s="12">
        <v>256779421312</v>
      </c>
      <c r="D129" s="12" t="s">
        <v>11</v>
      </c>
      <c r="E129" s="14">
        <v>-275.07</v>
      </c>
      <c r="F129" s="12" t="s">
        <v>59</v>
      </c>
      <c r="G129" s="14">
        <v>-23656.2</v>
      </c>
      <c r="H129" s="12" t="s">
        <v>824</v>
      </c>
      <c r="I129" t="str">
        <f t="shared" si="5"/>
        <v>256779413308</v>
      </c>
      <c r="J129" s="4">
        <v>256779413308</v>
      </c>
    </row>
    <row r="130" spans="1:10" x14ac:dyDescent="0.35">
      <c r="A130" s="12" t="s">
        <v>512</v>
      </c>
      <c r="B130" s="13">
        <v>45848</v>
      </c>
      <c r="C130" s="12">
        <v>256779421313</v>
      </c>
      <c r="D130" s="12" t="s">
        <v>11</v>
      </c>
      <c r="E130" s="14">
        <v>-236</v>
      </c>
      <c r="F130" s="12" t="s">
        <v>59</v>
      </c>
      <c r="G130" s="14">
        <v>-20296.16</v>
      </c>
      <c r="H130" s="12" t="s">
        <v>824</v>
      </c>
      <c r="I130" t="str">
        <f t="shared" si="5"/>
        <v>256779413308</v>
      </c>
      <c r="J130" s="4">
        <v>256779413308</v>
      </c>
    </row>
    <row r="131" spans="1:10" x14ac:dyDescent="0.35">
      <c r="A131" s="12" t="s">
        <v>512</v>
      </c>
      <c r="B131" s="13">
        <v>45848</v>
      </c>
      <c r="C131" s="12">
        <v>256779421314</v>
      </c>
      <c r="D131" s="12" t="s">
        <v>11</v>
      </c>
      <c r="E131" s="14">
        <v>-70.8</v>
      </c>
      <c r="F131" s="12" t="s">
        <v>59</v>
      </c>
      <c r="G131" s="14">
        <v>-6088.85</v>
      </c>
      <c r="H131" s="12" t="s">
        <v>824</v>
      </c>
      <c r="I131" t="str">
        <f t="shared" ref="I131:I144" si="6">MID(H131,32,15)</f>
        <v>256779413308</v>
      </c>
      <c r="J131" s="4">
        <v>256779413308</v>
      </c>
    </row>
    <row r="132" spans="1:10" x14ac:dyDescent="0.35">
      <c r="A132" s="12" t="s">
        <v>512</v>
      </c>
      <c r="B132" s="13">
        <v>45848</v>
      </c>
      <c r="C132" s="12">
        <v>256779421315</v>
      </c>
      <c r="D132" s="12" t="s">
        <v>11</v>
      </c>
      <c r="E132" s="14">
        <v>-138.82</v>
      </c>
      <c r="F132" s="12" t="s">
        <v>59</v>
      </c>
      <c r="G132" s="14">
        <v>-11938.61</v>
      </c>
      <c r="H132" s="12" t="s">
        <v>825</v>
      </c>
      <c r="I132" t="str">
        <f t="shared" si="6"/>
        <v>256779413348</v>
      </c>
      <c r="J132" s="4">
        <v>256779413348</v>
      </c>
    </row>
    <row r="133" spans="1:10" x14ac:dyDescent="0.35">
      <c r="A133" s="12" t="s">
        <v>512</v>
      </c>
      <c r="B133" s="13">
        <v>45848</v>
      </c>
      <c r="C133" s="12">
        <v>256779421316</v>
      </c>
      <c r="D133" s="12" t="s">
        <v>11</v>
      </c>
      <c r="E133" s="14">
        <v>-183.84</v>
      </c>
      <c r="F133" s="12" t="s">
        <v>59</v>
      </c>
      <c r="G133" s="14">
        <v>-15810.36</v>
      </c>
      <c r="H133" s="12" t="s">
        <v>826</v>
      </c>
      <c r="I133" t="str">
        <f t="shared" si="6"/>
        <v>256779413480</v>
      </c>
      <c r="J133" s="4">
        <v>256779413480</v>
      </c>
    </row>
    <row r="134" spans="1:10" x14ac:dyDescent="0.35">
      <c r="A134" s="12" t="s">
        <v>512</v>
      </c>
      <c r="B134" s="13">
        <v>45848</v>
      </c>
      <c r="C134" s="12">
        <v>256779421317</v>
      </c>
      <c r="D134" s="12" t="s">
        <v>11</v>
      </c>
      <c r="E134" s="14">
        <v>-413</v>
      </c>
      <c r="F134" s="12" t="s">
        <v>59</v>
      </c>
      <c r="G134" s="14">
        <v>-35518.28</v>
      </c>
      <c r="H134" s="12" t="s">
        <v>827</v>
      </c>
      <c r="I134" t="str">
        <f t="shared" si="6"/>
        <v>256779413859</v>
      </c>
      <c r="J134" s="4">
        <v>256779413859</v>
      </c>
    </row>
    <row r="135" spans="1:10" x14ac:dyDescent="0.35">
      <c r="A135" s="12" t="s">
        <v>512</v>
      </c>
      <c r="B135" s="13">
        <v>45848</v>
      </c>
      <c r="C135" s="12">
        <v>256779421318</v>
      </c>
      <c r="D135" s="12" t="s">
        <v>11</v>
      </c>
      <c r="E135" s="14">
        <v>-28.32</v>
      </c>
      <c r="F135" s="12" t="s">
        <v>59</v>
      </c>
      <c r="G135" s="14">
        <v>-2435.54</v>
      </c>
      <c r="H135" s="12" t="s">
        <v>828</v>
      </c>
      <c r="I135" t="str">
        <f t="shared" si="6"/>
        <v>256779413879</v>
      </c>
      <c r="J135" s="4">
        <v>256779413879</v>
      </c>
    </row>
    <row r="136" spans="1:10" x14ac:dyDescent="0.35">
      <c r="A136" s="12" t="s">
        <v>512</v>
      </c>
      <c r="B136" s="13">
        <v>45848</v>
      </c>
      <c r="C136" s="12">
        <v>256779421319</v>
      </c>
      <c r="D136" s="12" t="s">
        <v>11</v>
      </c>
      <c r="E136" s="14">
        <v>-8.85</v>
      </c>
      <c r="F136" s="12" t="s">
        <v>59</v>
      </c>
      <c r="G136" s="14">
        <v>-761.11</v>
      </c>
      <c r="H136" s="12" t="s">
        <v>828</v>
      </c>
      <c r="I136" t="str">
        <f t="shared" si="6"/>
        <v>256779413879</v>
      </c>
      <c r="J136" s="4">
        <v>256779413879</v>
      </c>
    </row>
    <row r="137" spans="1:10" x14ac:dyDescent="0.35">
      <c r="A137" s="12" t="s">
        <v>512</v>
      </c>
      <c r="B137" s="13">
        <v>45848</v>
      </c>
      <c r="C137" s="12">
        <v>256779421320</v>
      </c>
      <c r="D137" s="12" t="s">
        <v>11</v>
      </c>
      <c r="E137" s="14">
        <v>-83.66</v>
      </c>
      <c r="F137" s="12" t="s">
        <v>59</v>
      </c>
      <c r="G137" s="14">
        <v>-7194.82</v>
      </c>
      <c r="H137" s="12" t="s">
        <v>829</v>
      </c>
      <c r="I137" t="str">
        <f t="shared" si="6"/>
        <v>256779414156</v>
      </c>
      <c r="J137" s="4">
        <v>256779414156</v>
      </c>
    </row>
    <row r="138" spans="1:10" x14ac:dyDescent="0.35">
      <c r="A138" s="12" t="s">
        <v>512</v>
      </c>
      <c r="B138" s="13">
        <v>45848</v>
      </c>
      <c r="C138" s="12">
        <v>256779421321</v>
      </c>
      <c r="D138" s="12" t="s">
        <v>11</v>
      </c>
      <c r="E138" s="14">
        <v>-2668.72</v>
      </c>
      <c r="F138" s="12" t="s">
        <v>59</v>
      </c>
      <c r="G138" s="14">
        <v>-229511.71</v>
      </c>
      <c r="H138" s="12" t="s">
        <v>830</v>
      </c>
      <c r="I138" t="str">
        <f t="shared" si="6"/>
        <v>256779414173</v>
      </c>
      <c r="J138" s="4">
        <v>256779414173</v>
      </c>
    </row>
    <row r="139" spans="1:10" x14ac:dyDescent="0.35">
      <c r="A139" s="12" t="s">
        <v>512</v>
      </c>
      <c r="B139" s="13">
        <v>45848</v>
      </c>
      <c r="C139" s="12">
        <v>256779421322</v>
      </c>
      <c r="D139" s="12" t="s">
        <v>11</v>
      </c>
      <c r="E139" s="14">
        <v>-201.33</v>
      </c>
      <c r="F139" s="12" t="s">
        <v>59</v>
      </c>
      <c r="G139" s="14">
        <v>-17314.509999999998</v>
      </c>
      <c r="H139" s="12" t="s">
        <v>831</v>
      </c>
      <c r="I139" t="str">
        <f t="shared" si="6"/>
        <v>256779414206</v>
      </c>
      <c r="J139" s="4">
        <v>256779414206</v>
      </c>
    </row>
    <row r="140" spans="1:10" x14ac:dyDescent="0.35">
      <c r="A140" s="12" t="s">
        <v>512</v>
      </c>
      <c r="B140" s="13">
        <v>45848</v>
      </c>
      <c r="C140" s="12">
        <v>256779421323</v>
      </c>
      <c r="D140" s="12" t="s">
        <v>11</v>
      </c>
      <c r="E140" s="14">
        <v>-130.93</v>
      </c>
      <c r="F140" s="12" t="s">
        <v>59</v>
      </c>
      <c r="G140" s="14">
        <v>-11260.07</v>
      </c>
      <c r="H140" s="12" t="s">
        <v>832</v>
      </c>
      <c r="I140" t="str">
        <f t="shared" si="6"/>
        <v>256779414260</v>
      </c>
      <c r="J140" s="4">
        <v>256779414260</v>
      </c>
    </row>
    <row r="141" spans="1:10" x14ac:dyDescent="0.35">
      <c r="A141" s="12" t="s">
        <v>512</v>
      </c>
      <c r="B141" s="13">
        <v>45848</v>
      </c>
      <c r="C141" s="12">
        <v>256779421324</v>
      </c>
      <c r="D141" s="12" t="s">
        <v>11</v>
      </c>
      <c r="E141" s="14">
        <v>-967.68</v>
      </c>
      <c r="F141" s="12" t="s">
        <v>59</v>
      </c>
      <c r="G141" s="14">
        <v>-83221.13</v>
      </c>
      <c r="H141" s="12" t="s">
        <v>833</v>
      </c>
      <c r="I141" t="str">
        <f t="shared" si="6"/>
        <v>256779414271</v>
      </c>
      <c r="J141" s="4">
        <v>256779414271</v>
      </c>
    </row>
    <row r="142" spans="1:10" x14ac:dyDescent="0.35">
      <c r="A142" s="12" t="s">
        <v>512</v>
      </c>
      <c r="B142" s="13">
        <v>45848</v>
      </c>
      <c r="C142" s="12">
        <v>256779421325</v>
      </c>
      <c r="D142" s="12" t="s">
        <v>11</v>
      </c>
      <c r="E142" s="14">
        <v>-236</v>
      </c>
      <c r="F142" s="12" t="s">
        <v>59</v>
      </c>
      <c r="G142" s="14">
        <v>-20296.16</v>
      </c>
      <c r="H142" s="12" t="s">
        <v>514</v>
      </c>
      <c r="I142" t="str">
        <f t="shared" si="6"/>
        <v>256779414309</v>
      </c>
      <c r="J142" s="4">
        <v>256779414309</v>
      </c>
    </row>
    <row r="143" spans="1:10" x14ac:dyDescent="0.35">
      <c r="A143" s="12" t="s">
        <v>512</v>
      </c>
      <c r="B143" s="13">
        <v>45947</v>
      </c>
      <c r="C143" s="12">
        <v>256779422006</v>
      </c>
      <c r="D143" s="12" t="s">
        <v>11</v>
      </c>
      <c r="E143" s="14">
        <v>-94.81</v>
      </c>
      <c r="F143" s="12" t="s">
        <v>59</v>
      </c>
      <c r="G143" s="14">
        <v>-8361.3700000000008</v>
      </c>
      <c r="H143" s="12" t="s">
        <v>838</v>
      </c>
      <c r="I143" t="str">
        <f>MID(H143,28,15)</f>
        <v>256779418068</v>
      </c>
      <c r="J143" s="4">
        <v>256779418068</v>
      </c>
    </row>
    <row r="144" spans="1:10" x14ac:dyDescent="0.35">
      <c r="A144" s="12" t="s">
        <v>512</v>
      </c>
      <c r="B144" s="13">
        <v>45848</v>
      </c>
      <c r="C144" s="12">
        <v>256779421236</v>
      </c>
      <c r="D144" s="12" t="s">
        <v>11</v>
      </c>
      <c r="E144" s="14">
        <v>-118</v>
      </c>
      <c r="F144" s="12" t="s">
        <v>59</v>
      </c>
      <c r="G144" s="14">
        <v>-10148.08</v>
      </c>
      <c r="H144" s="12" t="s">
        <v>871</v>
      </c>
      <c r="I144" t="str">
        <f t="shared" si="6"/>
        <v>256779411097</v>
      </c>
      <c r="J144" s="4">
        <v>256779411097</v>
      </c>
    </row>
    <row r="145" spans="1:10" x14ac:dyDescent="0.35">
      <c r="A145" s="12" t="s">
        <v>512</v>
      </c>
      <c r="B145" s="13">
        <v>45890</v>
      </c>
      <c r="C145" s="12">
        <v>256779421697</v>
      </c>
      <c r="D145" s="12" t="s">
        <v>11</v>
      </c>
      <c r="E145" s="14">
        <v>-100</v>
      </c>
      <c r="F145" s="12" t="s">
        <v>59</v>
      </c>
      <c r="G145" s="14">
        <v>-8603.01</v>
      </c>
      <c r="H145" s="12" t="s">
        <v>872</v>
      </c>
      <c r="I145" t="str">
        <f>MID(H145,27,15)</f>
        <v>256779415303</v>
      </c>
      <c r="J145" s="4">
        <v>256779415303</v>
      </c>
    </row>
    <row r="146" spans="1:10" x14ac:dyDescent="0.35">
      <c r="A146" s="12" t="s">
        <v>512</v>
      </c>
      <c r="B146" s="13">
        <v>45890</v>
      </c>
      <c r="C146" s="12">
        <v>256779421704</v>
      </c>
      <c r="D146" s="12" t="s">
        <v>11</v>
      </c>
      <c r="E146" s="14">
        <v>-8.48</v>
      </c>
      <c r="F146" s="12" t="s">
        <v>59</v>
      </c>
      <c r="G146" s="14">
        <v>-729.54</v>
      </c>
      <c r="H146" s="12" t="s">
        <v>873</v>
      </c>
      <c r="I146" t="str">
        <f>MID(H146,27,15)</f>
        <v>256779415349</v>
      </c>
      <c r="J146" s="4">
        <v>256779415349</v>
      </c>
    </row>
    <row r="147" spans="1:10" x14ac:dyDescent="0.35">
      <c r="G147" s="27">
        <f>SUM(G2:G146)</f>
        <v>-2696690.439999999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6201B-C2FD-40E3-982B-6A9F504100D2}">
  <dimension ref="A1:M11"/>
  <sheetViews>
    <sheetView workbookViewId="0">
      <selection activeCell="B10" sqref="B10"/>
    </sheetView>
  </sheetViews>
  <sheetFormatPr defaultRowHeight="14.5" x14ac:dyDescent="0.35"/>
  <cols>
    <col min="1" max="1" width="2.81640625" bestFit="1" customWidth="1"/>
    <col min="2" max="2" width="15" bestFit="1" customWidth="1"/>
    <col min="3" max="3" width="10.08984375" bestFit="1" customWidth="1"/>
    <col min="4" max="4" width="10.90625" bestFit="1" customWidth="1"/>
    <col min="5" max="5" width="10.81640625" bestFit="1" customWidth="1"/>
    <col min="6" max="6" width="43.36328125" bestFit="1" customWidth="1"/>
    <col min="7" max="7" width="8.54296875" bestFit="1" customWidth="1"/>
    <col min="8" max="8" width="4.1796875" bestFit="1" customWidth="1"/>
    <col min="9" max="9" width="8.81640625" bestFit="1" customWidth="1"/>
    <col min="10" max="10" width="6.453125" bestFit="1" customWidth="1"/>
    <col min="11" max="11" width="7.36328125" bestFit="1" customWidth="1"/>
    <col min="12" max="12" width="7.81640625" bestFit="1" customWidth="1"/>
    <col min="13" max="13" width="13.54296875" bestFit="1" customWidth="1"/>
  </cols>
  <sheetData>
    <row r="1" spans="1:13" x14ac:dyDescent="0.35">
      <c r="A1" t="s">
        <v>450</v>
      </c>
      <c r="B1" t="s">
        <v>451</v>
      </c>
      <c r="C1" t="s">
        <v>452</v>
      </c>
      <c r="D1" s="1" t="s">
        <v>453</v>
      </c>
      <c r="E1" s="1" t="s">
        <v>0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</row>
    <row r="2" spans="1:13" x14ac:dyDescent="0.35">
      <c r="A2" t="s">
        <v>471</v>
      </c>
      <c r="B2" s="4" t="s">
        <v>472</v>
      </c>
      <c r="C2" s="3">
        <v>45730</v>
      </c>
      <c r="D2" s="1">
        <v>249.55</v>
      </c>
      <c r="E2" s="1">
        <v>21721.43</v>
      </c>
      <c r="F2" t="s">
        <v>93</v>
      </c>
      <c r="H2" t="s">
        <v>11</v>
      </c>
      <c r="I2" s="2">
        <v>45839</v>
      </c>
      <c r="M2">
        <v>53826350</v>
      </c>
    </row>
    <row r="3" spans="1:13" x14ac:dyDescent="0.35">
      <c r="A3" t="s">
        <v>471</v>
      </c>
      <c r="B3" s="4" t="s">
        <v>472</v>
      </c>
      <c r="C3" s="3">
        <v>45730</v>
      </c>
      <c r="D3" s="1">
        <v>0</v>
      </c>
      <c r="E3" s="1">
        <v>-2.0499999999999998</v>
      </c>
      <c r="F3" t="s">
        <v>15</v>
      </c>
      <c r="H3" t="s">
        <v>11</v>
      </c>
      <c r="I3" s="2">
        <v>45839</v>
      </c>
      <c r="M3">
        <v>54969548</v>
      </c>
    </row>
    <row r="4" spans="1:13" x14ac:dyDescent="0.35">
      <c r="A4" t="s">
        <v>471</v>
      </c>
      <c r="B4" s="4" t="s">
        <v>478</v>
      </c>
      <c r="C4" s="3">
        <v>45918</v>
      </c>
      <c r="D4" s="1">
        <v>184.38</v>
      </c>
      <c r="E4" s="1">
        <v>184.38</v>
      </c>
      <c r="H4" t="s">
        <v>11</v>
      </c>
      <c r="I4" s="2">
        <v>46023</v>
      </c>
      <c r="M4">
        <v>68208016</v>
      </c>
    </row>
    <row r="5" spans="1:13" x14ac:dyDescent="0.35">
      <c r="A5" t="s">
        <v>480</v>
      </c>
      <c r="B5" s="4">
        <v>2830735</v>
      </c>
      <c r="C5" s="3">
        <v>46053</v>
      </c>
      <c r="D5" s="1">
        <v>0</v>
      </c>
      <c r="E5" s="1">
        <v>-7756</v>
      </c>
      <c r="F5" t="s">
        <v>481</v>
      </c>
      <c r="H5" t="s">
        <v>59</v>
      </c>
      <c r="I5" s="2">
        <v>46023</v>
      </c>
      <c r="M5">
        <v>68369723</v>
      </c>
    </row>
    <row r="6" spans="1:13" x14ac:dyDescent="0.35">
      <c r="A6" t="s">
        <v>480</v>
      </c>
      <c r="B6" s="4">
        <v>2830736</v>
      </c>
      <c r="C6" s="3">
        <v>46053</v>
      </c>
      <c r="D6" s="1">
        <v>0</v>
      </c>
      <c r="E6" s="1">
        <v>-15004</v>
      </c>
      <c r="F6" t="s">
        <v>482</v>
      </c>
      <c r="H6" t="s">
        <v>59</v>
      </c>
      <c r="I6" s="2">
        <v>46023</v>
      </c>
      <c r="M6">
        <v>68369723</v>
      </c>
    </row>
    <row r="7" spans="1:13" x14ac:dyDescent="0.35">
      <c r="A7" t="s">
        <v>480</v>
      </c>
      <c r="B7" s="4">
        <v>2830738</v>
      </c>
      <c r="C7" s="3">
        <v>46053</v>
      </c>
      <c r="D7" s="1">
        <v>0</v>
      </c>
      <c r="E7" s="1">
        <v>-17437</v>
      </c>
      <c r="F7" t="s">
        <v>484</v>
      </c>
      <c r="H7" t="s">
        <v>59</v>
      </c>
      <c r="I7" s="2">
        <v>46023</v>
      </c>
      <c r="M7">
        <v>68369723</v>
      </c>
    </row>
    <row r="8" spans="1:13" x14ac:dyDescent="0.35">
      <c r="A8" t="s">
        <v>480</v>
      </c>
      <c r="B8" s="4">
        <v>2830739</v>
      </c>
      <c r="C8" s="3">
        <v>46053</v>
      </c>
      <c r="D8" s="1">
        <v>0</v>
      </c>
      <c r="E8" s="1">
        <v>-5206</v>
      </c>
      <c r="F8" t="s">
        <v>485</v>
      </c>
      <c r="H8" t="s">
        <v>59</v>
      </c>
      <c r="I8" s="2">
        <v>46023</v>
      </c>
      <c r="M8">
        <v>68369723</v>
      </c>
    </row>
    <row r="9" spans="1:13" x14ac:dyDescent="0.35">
      <c r="A9" t="s">
        <v>471</v>
      </c>
      <c r="B9" s="4" t="s">
        <v>478</v>
      </c>
      <c r="C9" s="3">
        <v>45918</v>
      </c>
      <c r="D9" s="1">
        <v>-3.69</v>
      </c>
      <c r="E9" s="1">
        <v>-3.69</v>
      </c>
      <c r="F9" t="s">
        <v>486</v>
      </c>
      <c r="H9" t="s">
        <v>11</v>
      </c>
      <c r="I9" s="2">
        <v>46023</v>
      </c>
      <c r="M9">
        <v>68389624</v>
      </c>
    </row>
    <row r="10" spans="1:13" x14ac:dyDescent="0.35">
      <c r="A10" t="s">
        <v>471</v>
      </c>
      <c r="B10" s="4" t="s">
        <v>478</v>
      </c>
      <c r="C10" s="3">
        <v>45918</v>
      </c>
      <c r="D10" s="1">
        <v>0</v>
      </c>
      <c r="E10" s="1">
        <v>16376.07</v>
      </c>
      <c r="F10" t="s">
        <v>15</v>
      </c>
      <c r="H10" t="s">
        <v>11</v>
      </c>
      <c r="I10" s="2">
        <v>46023</v>
      </c>
      <c r="M10">
        <v>68459189</v>
      </c>
    </row>
    <row r="11" spans="1:13" x14ac:dyDescent="0.35">
      <c r="E11" s="76">
        <f>SUM(E2:E10)</f>
        <v>-7126.8599999999969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6B361C-3ADC-40DB-89BE-A9B218892CB0}">
  <dimension ref="A1:M708"/>
  <sheetViews>
    <sheetView topLeftCell="I1" workbookViewId="0">
      <selection activeCell="J1" sqref="J1"/>
    </sheetView>
  </sheetViews>
  <sheetFormatPr defaultRowHeight="14.5" x14ac:dyDescent="0.35"/>
  <cols>
    <col min="1" max="1" width="23.81640625" bestFit="1" customWidth="1"/>
    <col min="2" max="2" width="9.453125" bestFit="1" customWidth="1"/>
    <col min="3" max="3" width="7.81640625" bestFit="1" customWidth="1"/>
    <col min="4" max="4" width="13.90625" bestFit="1" customWidth="1"/>
    <col min="5" max="5" width="14.90625" bestFit="1" customWidth="1"/>
    <col min="6" max="6" width="8.1796875" bestFit="1" customWidth="1"/>
    <col min="7" max="7" width="11.90625" bestFit="1" customWidth="1"/>
    <col min="9" max="9" width="11.90625" bestFit="1" customWidth="1"/>
    <col min="10" max="10" width="47" bestFit="1" customWidth="1"/>
    <col min="11" max="11" width="13.6328125" bestFit="1" customWidth="1"/>
    <col min="12" max="12" width="13.08984375" bestFit="1" customWidth="1"/>
    <col min="13" max="13" width="9.453125" bestFit="1" customWidth="1"/>
  </cols>
  <sheetData>
    <row r="1" spans="1:13" ht="58" x14ac:dyDescent="0.35">
      <c r="A1" s="25" t="s">
        <v>499</v>
      </c>
      <c r="B1" s="25" t="s">
        <v>500</v>
      </c>
      <c r="C1" s="26" t="s">
        <v>502</v>
      </c>
      <c r="D1" s="25" t="s">
        <v>503</v>
      </c>
      <c r="E1" s="25" t="s">
        <v>505</v>
      </c>
      <c r="F1" s="26" t="s">
        <v>506</v>
      </c>
      <c r="G1" s="26" t="s">
        <v>507</v>
      </c>
      <c r="H1" s="26" t="s">
        <v>508</v>
      </c>
      <c r="I1" s="26" t="s">
        <v>509</v>
      </c>
      <c r="J1" s="25" t="s">
        <v>510</v>
      </c>
      <c r="K1" s="25" t="s">
        <v>890</v>
      </c>
      <c r="L1" s="25" t="s">
        <v>891</v>
      </c>
      <c r="M1" s="25" t="s">
        <v>893</v>
      </c>
    </row>
    <row r="2" spans="1:13" x14ac:dyDescent="0.35">
      <c r="A2" s="28" t="s">
        <v>511</v>
      </c>
      <c r="B2" s="32">
        <v>2025</v>
      </c>
      <c r="C2" s="28" t="s">
        <v>512</v>
      </c>
      <c r="D2" s="29">
        <v>45848</v>
      </c>
      <c r="E2" s="28">
        <v>256779421326</v>
      </c>
      <c r="F2" s="28" t="s">
        <v>11</v>
      </c>
      <c r="G2" s="30">
        <v>-70.8</v>
      </c>
      <c r="H2" s="28" t="s">
        <v>59</v>
      </c>
      <c r="I2" s="30">
        <v>-6088.85</v>
      </c>
      <c r="J2" s="28" t="s">
        <v>514</v>
      </c>
      <c r="K2" s="28" t="e" cm="1">
        <f t="array" ref="K2">VLOOKUP(E2,[1]A023951!D$1:H$1114,{3,5},0)</f>
        <v>#N/A</v>
      </c>
      <c r="L2" s="28"/>
      <c r="M2" s="28"/>
    </row>
    <row r="3" spans="1:13" x14ac:dyDescent="0.35">
      <c r="A3" s="28" t="s">
        <v>511</v>
      </c>
      <c r="B3" s="32">
        <v>2025</v>
      </c>
      <c r="C3" s="28" t="s">
        <v>512</v>
      </c>
      <c r="D3" s="29">
        <v>45848</v>
      </c>
      <c r="E3" s="28">
        <v>256779421327</v>
      </c>
      <c r="F3" s="28" t="s">
        <v>11</v>
      </c>
      <c r="G3" s="30">
        <v>-113.28</v>
      </c>
      <c r="H3" s="28" t="s">
        <v>59</v>
      </c>
      <c r="I3" s="30">
        <v>-9742.16</v>
      </c>
      <c r="J3" s="28" t="s">
        <v>514</v>
      </c>
      <c r="K3" s="28" t="e" cm="1">
        <f t="array" ref="K3">VLOOKUP(E3,[1]A023951!D$1:H$1114,{3,5},0)</f>
        <v>#N/A</v>
      </c>
      <c r="L3" s="28"/>
      <c r="M3" s="28"/>
    </row>
    <row r="4" spans="1:13" x14ac:dyDescent="0.35">
      <c r="A4" s="28" t="s">
        <v>511</v>
      </c>
      <c r="B4" s="32">
        <v>2025</v>
      </c>
      <c r="C4" s="28" t="s">
        <v>512</v>
      </c>
      <c r="D4" s="29">
        <v>45848</v>
      </c>
      <c r="E4" s="28">
        <v>256779421328</v>
      </c>
      <c r="F4" s="28" t="s">
        <v>11</v>
      </c>
      <c r="G4" s="30">
        <v>-242.75</v>
      </c>
      <c r="H4" s="28" t="s">
        <v>59</v>
      </c>
      <c r="I4" s="30">
        <v>-20876.66</v>
      </c>
      <c r="J4" s="28" t="s">
        <v>514</v>
      </c>
      <c r="K4" s="28" t="e" cm="1">
        <f t="array" ref="K4">VLOOKUP(E4,[1]A023951!D$1:H$1114,{3,5},0)</f>
        <v>#N/A</v>
      </c>
      <c r="L4" s="28"/>
      <c r="M4" s="28"/>
    </row>
    <row r="5" spans="1:13" x14ac:dyDescent="0.35">
      <c r="A5" s="28" t="s">
        <v>511</v>
      </c>
      <c r="B5" s="32">
        <v>2025</v>
      </c>
      <c r="C5" s="28" t="s">
        <v>515</v>
      </c>
      <c r="D5" s="29">
        <v>45904</v>
      </c>
      <c r="E5" s="28">
        <v>256779416909</v>
      </c>
      <c r="F5" s="28" t="s">
        <v>11</v>
      </c>
      <c r="G5" s="30">
        <v>989.55</v>
      </c>
      <c r="H5" s="28" t="s">
        <v>59</v>
      </c>
      <c r="I5" s="30">
        <v>86599.81</v>
      </c>
      <c r="J5" s="28" t="s">
        <v>516</v>
      </c>
      <c r="K5" s="28" cm="1">
        <f t="array" ref="K5:L5">VLOOKUP(E5,[1]A023951!D$1:H$1114,{3,5},0)</f>
        <v>-989.55</v>
      </c>
      <c r="L5" s="28">
        <v>-87733</v>
      </c>
      <c r="M5" s="31">
        <f t="shared" ref="M5:M10" si="0">I5+L5</f>
        <v>-1133.1900000000023</v>
      </c>
    </row>
    <row r="6" spans="1:13" x14ac:dyDescent="0.35">
      <c r="A6" s="28" t="s">
        <v>511</v>
      </c>
      <c r="B6" s="32">
        <v>2025</v>
      </c>
      <c r="C6" s="28" t="s">
        <v>515</v>
      </c>
      <c r="D6" s="29">
        <v>45904</v>
      </c>
      <c r="E6" s="28">
        <v>256779417134</v>
      </c>
      <c r="F6" s="28" t="s">
        <v>11</v>
      </c>
      <c r="G6" s="30">
        <v>536.44000000000005</v>
      </c>
      <c r="H6" s="28" t="s">
        <v>59</v>
      </c>
      <c r="I6" s="30">
        <v>46946.19</v>
      </c>
      <c r="J6" s="28" t="s">
        <v>517</v>
      </c>
      <c r="K6" s="28" cm="1">
        <f t="array" ref="K6:L6">VLOOKUP(E6,[1]A023951!D$1:H$1114,{3,5},0)</f>
        <v>-536.44000000000005</v>
      </c>
      <c r="L6" s="28">
        <v>-47020</v>
      </c>
      <c r="M6" s="31">
        <f t="shared" si="0"/>
        <v>-73.809999999997672</v>
      </c>
    </row>
    <row r="7" spans="1:13" x14ac:dyDescent="0.35">
      <c r="A7" s="28" t="s">
        <v>511</v>
      </c>
      <c r="B7" s="32">
        <v>2025</v>
      </c>
      <c r="C7" s="28" t="s">
        <v>515</v>
      </c>
      <c r="D7" s="29">
        <v>45904</v>
      </c>
      <c r="E7" s="28">
        <v>256779417137</v>
      </c>
      <c r="F7" s="28" t="s">
        <v>11</v>
      </c>
      <c r="G7" s="30">
        <v>409.79</v>
      </c>
      <c r="H7" s="28" t="s">
        <v>59</v>
      </c>
      <c r="I7" s="30">
        <v>35862.5</v>
      </c>
      <c r="J7" s="28" t="s">
        <v>518</v>
      </c>
      <c r="K7" s="28" cm="1">
        <f t="array" ref="K7:L7">VLOOKUP(E7,[1]A023951!D$1:H$1114,{3,5},0)</f>
        <v>-409.79</v>
      </c>
      <c r="L7" s="28">
        <v>-35918.879999999997</v>
      </c>
      <c r="M7" s="31">
        <f t="shared" si="0"/>
        <v>-56.379999999997381</v>
      </c>
    </row>
    <row r="8" spans="1:13" x14ac:dyDescent="0.35">
      <c r="A8" s="28" t="s">
        <v>511</v>
      </c>
      <c r="B8" s="32">
        <v>2025</v>
      </c>
      <c r="C8" s="28" t="s">
        <v>515</v>
      </c>
      <c r="D8" s="29">
        <v>45904</v>
      </c>
      <c r="E8" s="28">
        <v>256779417158</v>
      </c>
      <c r="F8" s="28" t="s">
        <v>11</v>
      </c>
      <c r="G8" s="30">
        <v>110</v>
      </c>
      <c r="H8" s="28" t="s">
        <v>59</v>
      </c>
      <c r="I8" s="30">
        <v>9626.58</v>
      </c>
      <c r="J8" s="28" t="s">
        <v>519</v>
      </c>
      <c r="K8" s="28" cm="1">
        <f t="array" ref="K8:L8">VLOOKUP(E8,[1]A023951!D$1:H$1114,{3,5},0)</f>
        <v>-110</v>
      </c>
      <c r="L8" s="28">
        <v>-9641.7099999999991</v>
      </c>
      <c r="M8" s="31">
        <f t="shared" si="0"/>
        <v>-15.1299999999992</v>
      </c>
    </row>
    <row r="9" spans="1:13" x14ac:dyDescent="0.35">
      <c r="A9" s="28" t="s">
        <v>511</v>
      </c>
      <c r="B9" s="32">
        <v>2025</v>
      </c>
      <c r="C9" s="28" t="s">
        <v>515</v>
      </c>
      <c r="D9" s="29">
        <v>45904</v>
      </c>
      <c r="E9" s="28">
        <v>256779417200</v>
      </c>
      <c r="F9" s="28" t="s">
        <v>11</v>
      </c>
      <c r="G9" s="30">
        <v>100.74</v>
      </c>
      <c r="H9" s="28" t="s">
        <v>59</v>
      </c>
      <c r="I9" s="30">
        <v>8816.19</v>
      </c>
      <c r="J9" s="28" t="s">
        <v>520</v>
      </c>
      <c r="K9" s="28" cm="1">
        <f t="array" ref="K9:L9">VLOOKUP(E9,[1]A023951!D$1:H$1114,{3,5},0)</f>
        <v>-100.74</v>
      </c>
      <c r="L9" s="28">
        <v>-8830.0499999999993</v>
      </c>
      <c r="M9" s="31">
        <f t="shared" si="0"/>
        <v>-13.859999999998763</v>
      </c>
    </row>
    <row r="10" spans="1:13" x14ac:dyDescent="0.35">
      <c r="A10" s="28" t="s">
        <v>511</v>
      </c>
      <c r="B10" s="32">
        <v>2025</v>
      </c>
      <c r="C10" s="28" t="s">
        <v>515</v>
      </c>
      <c r="D10" s="29">
        <v>45904</v>
      </c>
      <c r="E10" s="28">
        <v>256779417238</v>
      </c>
      <c r="F10" s="28" t="s">
        <v>11</v>
      </c>
      <c r="G10" s="30">
        <v>608.78</v>
      </c>
      <c r="H10" s="28" t="s">
        <v>59</v>
      </c>
      <c r="I10" s="30">
        <v>53276.97</v>
      </c>
      <c r="J10" s="28" t="s">
        <v>521</v>
      </c>
      <c r="K10" s="28" cm="1">
        <f t="array" ref="K10:L10">VLOOKUP(E10,[1]A023951!D$1:H$1114,{3,5},0)</f>
        <v>-608.78</v>
      </c>
      <c r="L10" s="28">
        <v>-53360.74</v>
      </c>
      <c r="M10" s="31">
        <f t="shared" si="0"/>
        <v>-83.769999999996799</v>
      </c>
    </row>
    <row r="11" spans="1:13" x14ac:dyDescent="0.35">
      <c r="A11" s="28" t="s">
        <v>511</v>
      </c>
      <c r="B11" s="32">
        <v>2025</v>
      </c>
      <c r="C11" s="28" t="s">
        <v>515</v>
      </c>
      <c r="D11" s="29">
        <v>45904</v>
      </c>
      <c r="E11" s="28">
        <v>256779417250</v>
      </c>
      <c r="F11" s="28" t="s">
        <v>11</v>
      </c>
      <c r="G11" s="30">
        <v>50</v>
      </c>
      <c r="H11" s="28" t="s">
        <v>59</v>
      </c>
      <c r="I11" s="30">
        <v>4375.72</v>
      </c>
      <c r="J11" s="28" t="s">
        <v>522</v>
      </c>
      <c r="K11" s="28" t="e" cm="1">
        <f t="array" ref="K11">VLOOKUP(E11,[1]A023951!D$1:H$1114,{3,5},0)</f>
        <v>#N/A</v>
      </c>
      <c r="L11" s="28"/>
      <c r="M11" s="28"/>
    </row>
    <row r="12" spans="1:13" x14ac:dyDescent="0.35">
      <c r="A12" s="28" t="s">
        <v>511</v>
      </c>
      <c r="B12" s="32">
        <v>2025</v>
      </c>
      <c r="C12" s="28" t="s">
        <v>515</v>
      </c>
      <c r="D12" s="29">
        <v>45904</v>
      </c>
      <c r="E12" s="28">
        <v>256779417257</v>
      </c>
      <c r="F12" s="28" t="s">
        <v>11</v>
      </c>
      <c r="G12" s="30">
        <v>22.77</v>
      </c>
      <c r="H12" s="28" t="s">
        <v>59</v>
      </c>
      <c r="I12" s="30">
        <v>1992.7</v>
      </c>
      <c r="J12" s="28" t="s">
        <v>523</v>
      </c>
      <c r="K12" s="28" cm="1">
        <f t="array" ref="K12:L12">VLOOKUP(E12,[1]A023951!D$1:H$1114,{3,5},0)</f>
        <v>-22.77</v>
      </c>
      <c r="L12" s="28">
        <v>-1995.83</v>
      </c>
      <c r="M12" s="31">
        <f t="shared" ref="M12:M21" si="1">I12+L12</f>
        <v>-3.1299999999998818</v>
      </c>
    </row>
    <row r="13" spans="1:13" x14ac:dyDescent="0.35">
      <c r="A13" s="28" t="s">
        <v>511</v>
      </c>
      <c r="B13" s="32">
        <v>2025</v>
      </c>
      <c r="C13" s="28" t="s">
        <v>515</v>
      </c>
      <c r="D13" s="29">
        <v>45904</v>
      </c>
      <c r="E13" s="28">
        <v>256779417280</v>
      </c>
      <c r="F13" s="28" t="s">
        <v>11</v>
      </c>
      <c r="G13" s="30">
        <v>249.98</v>
      </c>
      <c r="H13" s="28" t="s">
        <v>59</v>
      </c>
      <c r="I13" s="30">
        <v>21876.83</v>
      </c>
      <c r="J13" s="28" t="s">
        <v>524</v>
      </c>
      <c r="K13" s="28" cm="1">
        <f t="array" ref="K13:L13">VLOOKUP(E13,[1]A023951!D$1:H$1114,{3,5},0)</f>
        <v>-249.98</v>
      </c>
      <c r="L13" s="28">
        <v>-21911.23</v>
      </c>
      <c r="M13" s="31">
        <f t="shared" si="1"/>
        <v>-34.399999999997817</v>
      </c>
    </row>
    <row r="14" spans="1:13" x14ac:dyDescent="0.35">
      <c r="A14" s="28" t="s">
        <v>511</v>
      </c>
      <c r="B14" s="32">
        <v>2025</v>
      </c>
      <c r="C14" s="28" t="s">
        <v>515</v>
      </c>
      <c r="D14" s="29">
        <v>45904</v>
      </c>
      <c r="E14" s="28">
        <v>256779417317</v>
      </c>
      <c r="F14" s="28" t="s">
        <v>11</v>
      </c>
      <c r="G14" s="30">
        <v>170.85</v>
      </c>
      <c r="H14" s="28" t="s">
        <v>59</v>
      </c>
      <c r="I14" s="30">
        <v>14951.82</v>
      </c>
      <c r="J14" s="28" t="s">
        <v>525</v>
      </c>
      <c r="K14" s="28" cm="1">
        <f t="array" ref="K14:L14">VLOOKUP(E14,[1]A023951!D$1:H$1114,{3,5},0)</f>
        <v>-170.85</v>
      </c>
      <c r="L14" s="28">
        <v>-14975.33</v>
      </c>
      <c r="M14" s="31">
        <f t="shared" si="1"/>
        <v>-23.510000000000218</v>
      </c>
    </row>
    <row r="15" spans="1:13" x14ac:dyDescent="0.35">
      <c r="A15" s="28" t="s">
        <v>511</v>
      </c>
      <c r="B15" s="32">
        <v>2025</v>
      </c>
      <c r="C15" s="28" t="s">
        <v>515</v>
      </c>
      <c r="D15" s="29">
        <v>45842</v>
      </c>
      <c r="E15" s="28">
        <v>256779414859</v>
      </c>
      <c r="F15" s="28" t="s">
        <v>11</v>
      </c>
      <c r="G15" s="30">
        <v>318.47000000000003</v>
      </c>
      <c r="H15" s="28" t="s">
        <v>59</v>
      </c>
      <c r="I15" s="30">
        <v>27388.63</v>
      </c>
      <c r="J15" s="28" t="s">
        <v>526</v>
      </c>
      <c r="K15" s="28" cm="1">
        <f t="array" ref="K15:L15">VLOOKUP(E15,[1]A023951!D$1:H$1114,{3,5},0)</f>
        <v>-318.47000000000003</v>
      </c>
      <c r="L15" s="28">
        <v>-27385.08</v>
      </c>
      <c r="M15" s="31">
        <f t="shared" si="1"/>
        <v>3.5499999999992724</v>
      </c>
    </row>
    <row r="16" spans="1:13" x14ac:dyDescent="0.35">
      <c r="A16" s="28" t="s">
        <v>511</v>
      </c>
      <c r="B16" s="32">
        <v>2025</v>
      </c>
      <c r="C16" s="28" t="s">
        <v>515</v>
      </c>
      <c r="D16" s="29">
        <v>45842</v>
      </c>
      <c r="E16" s="28">
        <v>256779415012</v>
      </c>
      <c r="F16" s="28" t="s">
        <v>11</v>
      </c>
      <c r="G16" s="30">
        <v>184.3</v>
      </c>
      <c r="H16" s="28" t="s">
        <v>59</v>
      </c>
      <c r="I16" s="30">
        <v>15849.92</v>
      </c>
      <c r="J16" s="28" t="s">
        <v>527</v>
      </c>
      <c r="K16" s="28" cm="1">
        <f t="array" ref="K16:L16">VLOOKUP(E16,[1]A023951!D$1:H$1114,{3,5},0)</f>
        <v>-184</v>
      </c>
      <c r="L16" s="28">
        <v>-15822.07</v>
      </c>
      <c r="M16" s="31">
        <f t="shared" si="1"/>
        <v>27.850000000000364</v>
      </c>
    </row>
    <row r="17" spans="1:13" x14ac:dyDescent="0.35">
      <c r="A17" s="28" t="s">
        <v>511</v>
      </c>
      <c r="B17" s="32">
        <v>2025</v>
      </c>
      <c r="C17" s="28" t="s">
        <v>515</v>
      </c>
      <c r="D17" s="29">
        <v>45842</v>
      </c>
      <c r="E17" s="28">
        <v>256779415208</v>
      </c>
      <c r="F17" s="28" t="s">
        <v>11</v>
      </c>
      <c r="G17" s="30">
        <v>183.43</v>
      </c>
      <c r="H17" s="28" t="s">
        <v>59</v>
      </c>
      <c r="I17" s="30">
        <v>15775.1</v>
      </c>
      <c r="J17" s="28" t="s">
        <v>528</v>
      </c>
      <c r="K17" s="28" cm="1">
        <f t="array" ref="K17:L17">VLOOKUP(E17,[1]A023951!D$1:H$1114,{3,5},0)</f>
        <v>-183.43</v>
      </c>
      <c r="L17" s="28">
        <v>-16228.05</v>
      </c>
      <c r="M17" s="31">
        <f t="shared" si="1"/>
        <v>-452.94999999999891</v>
      </c>
    </row>
    <row r="18" spans="1:13" x14ac:dyDescent="0.35">
      <c r="A18" s="28" t="s">
        <v>511</v>
      </c>
      <c r="B18" s="32">
        <v>2025</v>
      </c>
      <c r="C18" s="28" t="s">
        <v>515</v>
      </c>
      <c r="D18" s="29">
        <v>45842</v>
      </c>
      <c r="E18" s="28">
        <v>256779415209</v>
      </c>
      <c r="F18" s="28" t="s">
        <v>11</v>
      </c>
      <c r="G18" s="30">
        <v>63.26</v>
      </c>
      <c r="H18" s="28" t="s">
        <v>59</v>
      </c>
      <c r="I18" s="30">
        <v>5440.4</v>
      </c>
      <c r="J18" s="28" t="s">
        <v>528</v>
      </c>
      <c r="K18" s="28" cm="1">
        <f t="array" ref="K18:L18">VLOOKUP(E18,[1]A023951!D$1:H$1114,{3,5},0)</f>
        <v>-63.26</v>
      </c>
      <c r="L18" s="28">
        <v>-5596.61</v>
      </c>
      <c r="M18" s="31">
        <f t="shared" si="1"/>
        <v>-156.21000000000004</v>
      </c>
    </row>
    <row r="19" spans="1:13" x14ac:dyDescent="0.35">
      <c r="A19" s="28" t="s">
        <v>511</v>
      </c>
      <c r="B19" s="32">
        <v>2025</v>
      </c>
      <c r="C19" s="28" t="s">
        <v>515</v>
      </c>
      <c r="D19" s="29">
        <v>45842</v>
      </c>
      <c r="E19" s="28">
        <v>256779415210</v>
      </c>
      <c r="F19" s="28" t="s">
        <v>11</v>
      </c>
      <c r="G19" s="30">
        <v>9629.6299999999992</v>
      </c>
      <c r="H19" s="28" t="s">
        <v>59</v>
      </c>
      <c r="I19" s="30">
        <v>828154.63</v>
      </c>
      <c r="J19" s="28" t="s">
        <v>528</v>
      </c>
      <c r="K19" s="28" cm="1">
        <f t="array" ref="K19:L19">VLOOKUP(E19,[1]A023951!D$1:H$1114,{3,5},0)</f>
        <v>-9629.6299999999992</v>
      </c>
      <c r="L19" s="28">
        <v>-851933.37</v>
      </c>
      <c r="M19" s="31">
        <f t="shared" si="1"/>
        <v>-23778.739999999991</v>
      </c>
    </row>
    <row r="20" spans="1:13" x14ac:dyDescent="0.35">
      <c r="A20" s="28" t="s">
        <v>511</v>
      </c>
      <c r="B20" s="32">
        <v>2025</v>
      </c>
      <c r="C20" s="28" t="s">
        <v>515</v>
      </c>
      <c r="D20" s="29">
        <v>45842</v>
      </c>
      <c r="E20" s="28">
        <v>256779415261</v>
      </c>
      <c r="F20" s="28" t="s">
        <v>11</v>
      </c>
      <c r="G20" s="30">
        <v>292.95999999999998</v>
      </c>
      <c r="H20" s="28" t="s">
        <v>59</v>
      </c>
      <c r="I20" s="30">
        <v>25194.76</v>
      </c>
      <c r="J20" s="28" t="s">
        <v>529</v>
      </c>
      <c r="K20" s="28" cm="1">
        <f t="array" ref="K20:L20">VLOOKUP(E20,[1]A023951!D$1:H$1114,{3,5},0)</f>
        <v>-292.26</v>
      </c>
      <c r="L20" s="28">
        <v>-25131.29</v>
      </c>
      <c r="M20" s="31">
        <f t="shared" si="1"/>
        <v>63.469999999997526</v>
      </c>
    </row>
    <row r="21" spans="1:13" x14ac:dyDescent="0.35">
      <c r="A21" s="28" t="s">
        <v>511</v>
      </c>
      <c r="B21" s="32">
        <v>2025</v>
      </c>
      <c r="C21" s="28" t="s">
        <v>515</v>
      </c>
      <c r="D21" s="29">
        <v>45842</v>
      </c>
      <c r="E21" s="28">
        <v>256779415270</v>
      </c>
      <c r="F21" s="28" t="s">
        <v>11</v>
      </c>
      <c r="G21" s="30">
        <v>420.86</v>
      </c>
      <c r="H21" s="28" t="s">
        <v>59</v>
      </c>
      <c r="I21" s="30">
        <v>36194.239999999998</v>
      </c>
      <c r="J21" s="28" t="s">
        <v>530</v>
      </c>
      <c r="K21" s="28" cm="1">
        <f t="array" ref="K21:L21">VLOOKUP(E21,[1]A023951!D$1:H$1114,{3,5},0)</f>
        <v>-420.86</v>
      </c>
      <c r="L21" s="28">
        <v>-37233.480000000003</v>
      </c>
      <c r="M21" s="31">
        <f t="shared" si="1"/>
        <v>-1039.2400000000052</v>
      </c>
    </row>
    <row r="22" spans="1:13" x14ac:dyDescent="0.35">
      <c r="A22" s="28" t="s">
        <v>511</v>
      </c>
      <c r="B22" s="32">
        <v>2025</v>
      </c>
      <c r="C22" s="28" t="s">
        <v>515</v>
      </c>
      <c r="D22" s="29">
        <v>45966</v>
      </c>
      <c r="E22" s="28">
        <v>256779418816</v>
      </c>
      <c r="F22" s="28" t="s">
        <v>11</v>
      </c>
      <c r="G22" s="30">
        <v>891</v>
      </c>
      <c r="H22" s="28" t="s">
        <v>59</v>
      </c>
      <c r="I22" s="30">
        <v>78411.02</v>
      </c>
      <c r="J22" s="28" t="s">
        <v>531</v>
      </c>
      <c r="K22" s="28" t="e" cm="1">
        <f t="array" ref="K22">VLOOKUP(E22,[1]A023951!D$1:H$1114,{3,5},0)</f>
        <v>#N/A</v>
      </c>
      <c r="L22" s="28"/>
      <c r="M22" s="28"/>
    </row>
    <row r="23" spans="1:13" x14ac:dyDescent="0.35">
      <c r="A23" s="28" t="s">
        <v>511</v>
      </c>
      <c r="B23" s="32">
        <v>2025</v>
      </c>
      <c r="C23" s="28" t="s">
        <v>515</v>
      </c>
      <c r="D23" s="29">
        <v>45966</v>
      </c>
      <c r="E23" s="28">
        <v>256779418872</v>
      </c>
      <c r="F23" s="28" t="s">
        <v>11</v>
      </c>
      <c r="G23" s="30">
        <v>5939.04</v>
      </c>
      <c r="H23" s="28" t="s">
        <v>59</v>
      </c>
      <c r="I23" s="30">
        <v>522655.65</v>
      </c>
      <c r="J23" s="28" t="s">
        <v>532</v>
      </c>
      <c r="K23" s="28" t="e" cm="1">
        <f t="array" ref="K23">VLOOKUP(E23,[1]A023951!D$1:H$1114,{3,5},0)</f>
        <v>#N/A</v>
      </c>
      <c r="L23" s="28"/>
      <c r="M23" s="28"/>
    </row>
    <row r="24" spans="1:13" x14ac:dyDescent="0.35">
      <c r="A24" s="28" t="s">
        <v>511</v>
      </c>
      <c r="B24" s="32">
        <v>2025</v>
      </c>
      <c r="C24" s="28" t="s">
        <v>515</v>
      </c>
      <c r="D24" s="29">
        <v>45966</v>
      </c>
      <c r="E24" s="28">
        <v>256779418892</v>
      </c>
      <c r="F24" s="28" t="s">
        <v>11</v>
      </c>
      <c r="G24" s="30">
        <v>1683.97</v>
      </c>
      <c r="H24" s="28" t="s">
        <v>59</v>
      </c>
      <c r="I24" s="30">
        <v>148195.07</v>
      </c>
      <c r="J24" s="28" t="s">
        <v>533</v>
      </c>
      <c r="K24" s="28" cm="1">
        <f t="array" ref="K24:L24">VLOOKUP(E24,[1]A023951!D$1:H$1114,{3,5},0)</f>
        <v>-1683.97</v>
      </c>
      <c r="L24" s="28">
        <v>-148614.68</v>
      </c>
      <c r="M24" s="31">
        <f>I24+L24</f>
        <v>-419.60999999998603</v>
      </c>
    </row>
    <row r="25" spans="1:13" x14ac:dyDescent="0.35">
      <c r="A25" s="28" t="s">
        <v>511</v>
      </c>
      <c r="B25" s="32">
        <v>2025</v>
      </c>
      <c r="C25" s="28" t="s">
        <v>515</v>
      </c>
      <c r="D25" s="29">
        <v>45966</v>
      </c>
      <c r="E25" s="28">
        <v>256779418904</v>
      </c>
      <c r="F25" s="28" t="s">
        <v>11</v>
      </c>
      <c r="G25" s="30">
        <v>1273.92</v>
      </c>
      <c r="H25" s="28" t="s">
        <v>59</v>
      </c>
      <c r="I25" s="30">
        <v>112109.28</v>
      </c>
      <c r="J25" s="28" t="s">
        <v>534</v>
      </c>
      <c r="K25" s="28" cm="1">
        <f t="array" ref="K25:L25">VLOOKUP(E25,[1]A023951!D$1:H$1114,{3,5},0)</f>
        <v>-1273.92</v>
      </c>
      <c r="L25" s="28">
        <v>-112426.72</v>
      </c>
      <c r="M25" s="31">
        <f>I25+L25</f>
        <v>-317.44000000000233</v>
      </c>
    </row>
    <row r="26" spans="1:13" x14ac:dyDescent="0.35">
      <c r="A26" s="28" t="s">
        <v>511</v>
      </c>
      <c r="B26" s="32">
        <v>2025</v>
      </c>
      <c r="C26" s="28" t="s">
        <v>515</v>
      </c>
      <c r="D26" s="29">
        <v>45966</v>
      </c>
      <c r="E26" s="28">
        <v>256779419165</v>
      </c>
      <c r="F26" s="28" t="s">
        <v>11</v>
      </c>
      <c r="G26" s="30">
        <v>191.57</v>
      </c>
      <c r="H26" s="28" t="s">
        <v>59</v>
      </c>
      <c r="I26" s="30">
        <v>16858.810000000001</v>
      </c>
      <c r="J26" s="28" t="s">
        <v>535</v>
      </c>
      <c r="K26" s="28" cm="1">
        <f t="array" ref="K26:L26">VLOOKUP(E26,[1]A023951!D$1:H$1114,{3,5},0)</f>
        <v>-191.57</v>
      </c>
      <c r="L26" s="28">
        <v>-16906.55</v>
      </c>
      <c r="M26" s="31">
        <f>I26+L26</f>
        <v>-47.739999999997963</v>
      </c>
    </row>
    <row r="27" spans="1:13" x14ac:dyDescent="0.35">
      <c r="A27" s="28" t="s">
        <v>511</v>
      </c>
      <c r="B27" s="32">
        <v>2025</v>
      </c>
      <c r="C27" s="28" t="s">
        <v>515</v>
      </c>
      <c r="D27" s="29">
        <v>45966</v>
      </c>
      <c r="E27" s="28">
        <v>256779419192</v>
      </c>
      <c r="F27" s="28" t="s">
        <v>11</v>
      </c>
      <c r="G27" s="30">
        <v>171.87</v>
      </c>
      <c r="H27" s="28" t="s">
        <v>59</v>
      </c>
      <c r="I27" s="30">
        <v>15125.14</v>
      </c>
      <c r="J27" s="28" t="s">
        <v>536</v>
      </c>
      <c r="K27" s="28" cm="1">
        <f t="array" ref="K27:L27">VLOOKUP(E27,[1]A023951!D$1:H$1114,{3,5},0)</f>
        <v>-171.87</v>
      </c>
      <c r="L27" s="28">
        <v>-15167.97</v>
      </c>
      <c r="M27" s="31">
        <f>I27+L27</f>
        <v>-42.829999999999927</v>
      </c>
    </row>
    <row r="28" spans="1:13" x14ac:dyDescent="0.35">
      <c r="A28" s="28" t="s">
        <v>511</v>
      </c>
      <c r="B28" s="32">
        <v>2025</v>
      </c>
      <c r="C28" s="28" t="s">
        <v>515</v>
      </c>
      <c r="D28" s="29">
        <v>45966</v>
      </c>
      <c r="E28" s="28">
        <v>256779419211</v>
      </c>
      <c r="F28" s="28" t="s">
        <v>11</v>
      </c>
      <c r="G28" s="30">
        <v>28.18</v>
      </c>
      <c r="H28" s="28" t="s">
        <v>59</v>
      </c>
      <c r="I28" s="30">
        <v>2479.94</v>
      </c>
      <c r="J28" s="28" t="s">
        <v>537</v>
      </c>
      <c r="K28" s="28" cm="1">
        <f t="array" ref="K28:L28">VLOOKUP(E28,[1]A023951!D$1:H$1114,{3,5},0)</f>
        <v>-28.18</v>
      </c>
      <c r="L28" s="28">
        <v>-2486.96</v>
      </c>
      <c r="M28" s="31">
        <f>I28+L28</f>
        <v>-7.0199999999999818</v>
      </c>
    </row>
    <row r="29" spans="1:13" x14ac:dyDescent="0.35">
      <c r="A29" s="28" t="s">
        <v>511</v>
      </c>
      <c r="B29" s="32">
        <v>2025</v>
      </c>
      <c r="C29" s="28" t="s">
        <v>515</v>
      </c>
      <c r="D29" s="29">
        <v>45966</v>
      </c>
      <c r="E29" s="28">
        <v>256779419222</v>
      </c>
      <c r="F29" s="28" t="s">
        <v>11</v>
      </c>
      <c r="G29" s="30">
        <v>3537</v>
      </c>
      <c r="H29" s="28" t="s">
        <v>59</v>
      </c>
      <c r="I29" s="30">
        <v>311267.99</v>
      </c>
      <c r="J29" s="28" t="s">
        <v>538</v>
      </c>
      <c r="K29" s="28" t="e" cm="1">
        <f t="array" ref="K29">VLOOKUP(E29,[1]A023951!D$1:H$1114,{3,5},0)</f>
        <v>#N/A</v>
      </c>
      <c r="L29" s="28"/>
      <c r="M29" s="28"/>
    </row>
    <row r="30" spans="1:13" x14ac:dyDescent="0.35">
      <c r="A30" s="28" t="s">
        <v>511</v>
      </c>
      <c r="B30" s="32">
        <v>2025</v>
      </c>
      <c r="C30" s="28" t="s">
        <v>515</v>
      </c>
      <c r="D30" s="29">
        <v>45964</v>
      </c>
      <c r="E30" s="28">
        <v>256779419122</v>
      </c>
      <c r="F30" s="28" t="s">
        <v>11</v>
      </c>
      <c r="G30" s="30">
        <v>670.42</v>
      </c>
      <c r="H30" s="28" t="s">
        <v>59</v>
      </c>
      <c r="I30" s="30">
        <v>58999.23</v>
      </c>
      <c r="J30" s="28" t="s">
        <v>539</v>
      </c>
      <c r="K30" s="28" cm="1">
        <f t="array" ref="K30:L30">VLOOKUP(E30,[1]A023951!D$1:H$1114,{3,5},0)</f>
        <v>-670.42</v>
      </c>
      <c r="L30" s="28">
        <v>-59439.1</v>
      </c>
      <c r="M30" s="31">
        <f>I30+L30</f>
        <v>-439.86999999999534</v>
      </c>
    </row>
    <row r="31" spans="1:13" x14ac:dyDescent="0.35">
      <c r="A31" s="28" t="s">
        <v>511</v>
      </c>
      <c r="B31" s="32">
        <v>2025</v>
      </c>
      <c r="C31" s="28" t="s">
        <v>512</v>
      </c>
      <c r="D31" s="29">
        <v>45964</v>
      </c>
      <c r="E31" s="28">
        <v>256779422067</v>
      </c>
      <c r="F31" s="28" t="s">
        <v>11</v>
      </c>
      <c r="G31" s="30">
        <v>-4608.8</v>
      </c>
      <c r="H31" s="28" t="s">
        <v>59</v>
      </c>
      <c r="I31" s="30">
        <v>-405590.02</v>
      </c>
      <c r="J31" s="28" t="s">
        <v>540</v>
      </c>
      <c r="K31" s="28" t="e" cm="1">
        <f t="array" ref="K31">VLOOKUP(E31,[1]A023951!D$1:H$1114,{3,5},0)</f>
        <v>#N/A</v>
      </c>
      <c r="L31" s="28"/>
      <c r="M31" s="28"/>
    </row>
    <row r="32" spans="1:13" x14ac:dyDescent="0.35">
      <c r="A32" s="28" t="s">
        <v>511</v>
      </c>
      <c r="B32" s="32">
        <v>2025</v>
      </c>
      <c r="C32" s="28" t="s">
        <v>515</v>
      </c>
      <c r="D32" s="29">
        <v>45877</v>
      </c>
      <c r="E32" s="28">
        <v>256779416096</v>
      </c>
      <c r="F32" s="28" t="s">
        <v>11</v>
      </c>
      <c r="G32" s="30">
        <v>7386.34</v>
      </c>
      <c r="H32" s="28" t="s">
        <v>59</v>
      </c>
      <c r="I32" s="30">
        <v>635447.72</v>
      </c>
      <c r="J32" s="28" t="s">
        <v>541</v>
      </c>
      <c r="K32" s="28" cm="1">
        <f t="array" ref="K32:L32">VLOOKUP(E32,[1]A023951!D$1:H$1114,{3,5},0)</f>
        <v>-7386.34</v>
      </c>
      <c r="L32" s="28">
        <v>-639885.32999999996</v>
      </c>
      <c r="M32" s="31">
        <f t="shared" ref="M32:M38" si="2">I32+L32</f>
        <v>-4437.609999999986</v>
      </c>
    </row>
    <row r="33" spans="1:13" x14ac:dyDescent="0.35">
      <c r="A33" s="28" t="s">
        <v>511</v>
      </c>
      <c r="B33" s="32">
        <v>2025</v>
      </c>
      <c r="C33" s="28" t="s">
        <v>515</v>
      </c>
      <c r="D33" s="29">
        <v>45877</v>
      </c>
      <c r="E33" s="28">
        <v>256779416137</v>
      </c>
      <c r="F33" s="28" t="s">
        <v>11</v>
      </c>
      <c r="G33" s="30">
        <v>55.28</v>
      </c>
      <c r="H33" s="28" t="s">
        <v>59</v>
      </c>
      <c r="I33" s="30">
        <v>4755.75</v>
      </c>
      <c r="J33" s="28" t="s">
        <v>542</v>
      </c>
      <c r="K33" s="28" cm="1">
        <f t="array" ref="K33:L33">VLOOKUP(E33,[1]A023951!D$1:H$1114,{3,5},0)</f>
        <v>-55</v>
      </c>
      <c r="L33" s="28">
        <v>-4764.7</v>
      </c>
      <c r="M33" s="31">
        <f t="shared" si="2"/>
        <v>-8.9499999999998181</v>
      </c>
    </row>
    <row r="34" spans="1:13" x14ac:dyDescent="0.35">
      <c r="A34" s="28" t="s">
        <v>511</v>
      </c>
      <c r="B34" s="32">
        <v>2025</v>
      </c>
      <c r="C34" s="28" t="s">
        <v>515</v>
      </c>
      <c r="D34" s="29">
        <v>45877</v>
      </c>
      <c r="E34" s="28">
        <v>256779416169</v>
      </c>
      <c r="F34" s="28" t="s">
        <v>11</v>
      </c>
      <c r="G34" s="30">
        <v>256.97000000000003</v>
      </c>
      <c r="H34" s="28" t="s">
        <v>59</v>
      </c>
      <c r="I34" s="30">
        <v>22107.16</v>
      </c>
      <c r="J34" s="28" t="s">
        <v>543</v>
      </c>
      <c r="K34" s="28" cm="1">
        <f t="array" ref="K34:L34">VLOOKUP(E34,[1]A023951!D$1:H$1114,{3,5},0)</f>
        <v>-257</v>
      </c>
      <c r="L34" s="28">
        <v>-22264.14</v>
      </c>
      <c r="M34" s="31">
        <f t="shared" si="2"/>
        <v>-156.97999999999956</v>
      </c>
    </row>
    <row r="35" spans="1:13" x14ac:dyDescent="0.35">
      <c r="A35" s="28" t="s">
        <v>511</v>
      </c>
      <c r="B35" s="32">
        <v>2025</v>
      </c>
      <c r="C35" s="28" t="s">
        <v>515</v>
      </c>
      <c r="D35" s="29">
        <v>45877</v>
      </c>
      <c r="E35" s="28">
        <v>256779416214</v>
      </c>
      <c r="F35" s="28" t="s">
        <v>11</v>
      </c>
      <c r="G35" s="30">
        <v>212.34</v>
      </c>
      <c r="H35" s="28" t="s">
        <v>59</v>
      </c>
      <c r="I35" s="30">
        <v>18267.64</v>
      </c>
      <c r="J35" s="28" t="s">
        <v>544</v>
      </c>
      <c r="K35" s="28" cm="1">
        <f t="array" ref="K35:L35">VLOOKUP(E35,[1]A023951!D$1:H$1114,{3,5},0)</f>
        <v>-212</v>
      </c>
      <c r="L35" s="28">
        <v>-18365.75</v>
      </c>
      <c r="M35" s="31">
        <f t="shared" si="2"/>
        <v>-98.110000000000582</v>
      </c>
    </row>
    <row r="36" spans="1:13" x14ac:dyDescent="0.35">
      <c r="A36" s="28" t="s">
        <v>511</v>
      </c>
      <c r="B36" s="32">
        <v>2025</v>
      </c>
      <c r="C36" s="28" t="s">
        <v>515</v>
      </c>
      <c r="D36" s="29">
        <v>45877</v>
      </c>
      <c r="E36" s="28">
        <v>256779416255</v>
      </c>
      <c r="F36" s="28" t="s">
        <v>11</v>
      </c>
      <c r="G36" s="30">
        <v>392.28</v>
      </c>
      <c r="H36" s="28" t="s">
        <v>59</v>
      </c>
      <c r="I36" s="30">
        <v>33747.9</v>
      </c>
      <c r="J36" s="28" t="s">
        <v>545</v>
      </c>
      <c r="K36" s="28" cm="1">
        <f t="array" ref="K36:L36">VLOOKUP(E36,[1]A023951!D$1:H$1114,{3,5},0)</f>
        <v>-392</v>
      </c>
      <c r="L36" s="28">
        <v>-33959.32</v>
      </c>
      <c r="M36" s="31">
        <f t="shared" si="2"/>
        <v>-211.41999999999825</v>
      </c>
    </row>
    <row r="37" spans="1:13" x14ac:dyDescent="0.35">
      <c r="A37" s="28" t="s">
        <v>511</v>
      </c>
      <c r="B37" s="32">
        <v>2025</v>
      </c>
      <c r="C37" s="28" t="s">
        <v>515</v>
      </c>
      <c r="D37" s="29">
        <v>45877</v>
      </c>
      <c r="E37" s="28">
        <v>256779416442</v>
      </c>
      <c r="F37" s="28" t="s">
        <v>11</v>
      </c>
      <c r="G37" s="30">
        <v>1053.3399999999999</v>
      </c>
      <c r="H37" s="28" t="s">
        <v>59</v>
      </c>
      <c r="I37" s="30">
        <v>90618.97</v>
      </c>
      <c r="J37" s="28" t="s">
        <v>546</v>
      </c>
      <c r="K37" s="28" cm="1">
        <f t="array" ref="K37:L37">VLOOKUP(E37,[1]A023951!D$1:H$1114,{3,5},0)</f>
        <v>-1053</v>
      </c>
      <c r="L37" s="28">
        <v>-91222.35</v>
      </c>
      <c r="M37" s="31">
        <f t="shared" si="2"/>
        <v>-603.38000000000466</v>
      </c>
    </row>
    <row r="38" spans="1:13" x14ac:dyDescent="0.35">
      <c r="A38" s="28" t="s">
        <v>511</v>
      </c>
      <c r="B38" s="32">
        <v>2025</v>
      </c>
      <c r="C38" s="28" t="s">
        <v>515</v>
      </c>
      <c r="D38" s="29">
        <v>45877</v>
      </c>
      <c r="E38" s="28">
        <v>256779416454</v>
      </c>
      <c r="F38" s="28" t="s">
        <v>11</v>
      </c>
      <c r="G38" s="30">
        <v>411.19</v>
      </c>
      <c r="H38" s="28" t="s">
        <v>59</v>
      </c>
      <c r="I38" s="30">
        <v>35374.730000000003</v>
      </c>
      <c r="J38" s="28" t="s">
        <v>547</v>
      </c>
      <c r="K38" s="28" cm="1">
        <f t="array" ref="K38:L38">VLOOKUP(E38,[1]A023951!D$1:H$1114,{3,5},0)</f>
        <v>-411</v>
      </c>
      <c r="L38" s="28">
        <v>-35605.300000000003</v>
      </c>
      <c r="M38" s="31">
        <f t="shared" si="2"/>
        <v>-230.56999999999971</v>
      </c>
    </row>
    <row r="39" spans="1:13" x14ac:dyDescent="0.35">
      <c r="A39" s="28" t="s">
        <v>511</v>
      </c>
      <c r="B39" s="32">
        <v>2025</v>
      </c>
      <c r="C39" s="28" t="s">
        <v>515</v>
      </c>
      <c r="D39" s="29">
        <v>45812</v>
      </c>
      <c r="E39" s="28">
        <v>256779414156</v>
      </c>
      <c r="F39" s="28" t="s">
        <v>11</v>
      </c>
      <c r="G39" s="30">
        <v>83.66</v>
      </c>
      <c r="H39" s="28" t="s">
        <v>59</v>
      </c>
      <c r="I39" s="30">
        <v>7152.16</v>
      </c>
      <c r="J39" s="28" t="s">
        <v>548</v>
      </c>
      <c r="K39" s="28" t="e" cm="1">
        <f t="array" ref="K39">VLOOKUP(E39,[1]A023951!D$1:H$1114,{3,5},0)</f>
        <v>#N/A</v>
      </c>
      <c r="L39" s="28"/>
      <c r="M39" s="28"/>
    </row>
    <row r="40" spans="1:13" x14ac:dyDescent="0.35">
      <c r="A40" s="28" t="s">
        <v>511</v>
      </c>
      <c r="B40" s="32">
        <v>2025</v>
      </c>
      <c r="C40" s="28" t="s">
        <v>515</v>
      </c>
      <c r="D40" s="29">
        <v>45812</v>
      </c>
      <c r="E40" s="28">
        <v>256779414173</v>
      </c>
      <c r="F40" s="28" t="s">
        <v>11</v>
      </c>
      <c r="G40" s="30">
        <v>2668.72</v>
      </c>
      <c r="H40" s="28" t="s">
        <v>59</v>
      </c>
      <c r="I40" s="30">
        <v>228150.95</v>
      </c>
      <c r="J40" s="28" t="s">
        <v>549</v>
      </c>
      <c r="K40" s="28" t="e" cm="1">
        <f t="array" ref="K40">VLOOKUP(E40,[1]A023951!D$1:H$1114,{3,5},0)</f>
        <v>#N/A</v>
      </c>
      <c r="L40" s="28"/>
      <c r="M40" s="28"/>
    </row>
    <row r="41" spans="1:13" x14ac:dyDescent="0.35">
      <c r="A41" s="28" t="s">
        <v>511</v>
      </c>
      <c r="B41" s="32">
        <v>2025</v>
      </c>
      <c r="C41" s="28" t="s">
        <v>515</v>
      </c>
      <c r="D41" s="29">
        <v>45812</v>
      </c>
      <c r="E41" s="28">
        <v>256779414206</v>
      </c>
      <c r="F41" s="28" t="s">
        <v>11</v>
      </c>
      <c r="G41" s="30">
        <v>201.33</v>
      </c>
      <c r="H41" s="28" t="s">
        <v>59</v>
      </c>
      <c r="I41" s="30">
        <v>17211.86</v>
      </c>
      <c r="J41" s="28" t="s">
        <v>550</v>
      </c>
      <c r="K41" s="28" t="e" cm="1">
        <f t="array" ref="K41">VLOOKUP(E41,[1]A023951!D$1:H$1114,{3,5},0)</f>
        <v>#N/A</v>
      </c>
      <c r="L41" s="28"/>
      <c r="M41" s="28"/>
    </row>
    <row r="42" spans="1:13" x14ac:dyDescent="0.35">
      <c r="A42" s="28" t="s">
        <v>511</v>
      </c>
      <c r="B42" s="32">
        <v>2025</v>
      </c>
      <c r="C42" s="28" t="s">
        <v>515</v>
      </c>
      <c r="D42" s="29">
        <v>45812</v>
      </c>
      <c r="E42" s="28">
        <v>256779414260</v>
      </c>
      <c r="F42" s="28" t="s">
        <v>11</v>
      </c>
      <c r="G42" s="30">
        <v>130.93</v>
      </c>
      <c r="H42" s="28" t="s">
        <v>59</v>
      </c>
      <c r="I42" s="30">
        <v>11193.31</v>
      </c>
      <c r="J42" s="28" t="s">
        <v>551</v>
      </c>
      <c r="K42" s="28" t="e" cm="1">
        <f t="array" ref="K42">VLOOKUP(E42,[1]A023951!D$1:H$1114,{3,5},0)</f>
        <v>#N/A</v>
      </c>
      <c r="L42" s="28"/>
      <c r="M42" s="28"/>
    </row>
    <row r="43" spans="1:13" x14ac:dyDescent="0.35">
      <c r="A43" s="28" t="s">
        <v>511</v>
      </c>
      <c r="B43" s="32">
        <v>2025</v>
      </c>
      <c r="C43" s="28" t="s">
        <v>515</v>
      </c>
      <c r="D43" s="29">
        <v>45812</v>
      </c>
      <c r="E43" s="28">
        <v>256779414271</v>
      </c>
      <c r="F43" s="28" t="s">
        <v>11</v>
      </c>
      <c r="G43" s="30">
        <v>967.68</v>
      </c>
      <c r="H43" s="28" t="s">
        <v>59</v>
      </c>
      <c r="I43" s="30">
        <v>82727.72</v>
      </c>
      <c r="J43" s="28" t="s">
        <v>552</v>
      </c>
      <c r="K43" s="28" t="e" cm="1">
        <f t="array" ref="K43">VLOOKUP(E43,[1]A023951!D$1:H$1114,{3,5},0)</f>
        <v>#N/A</v>
      </c>
      <c r="L43" s="28"/>
      <c r="M43" s="28"/>
    </row>
    <row r="44" spans="1:13" x14ac:dyDescent="0.35">
      <c r="A44" s="28" t="s">
        <v>511</v>
      </c>
      <c r="B44" s="32">
        <v>2025</v>
      </c>
      <c r="C44" s="28" t="s">
        <v>515</v>
      </c>
      <c r="D44" s="29">
        <v>45812</v>
      </c>
      <c r="E44" s="28">
        <v>256779414309</v>
      </c>
      <c r="F44" s="28" t="s">
        <v>11</v>
      </c>
      <c r="G44" s="30">
        <v>662.83</v>
      </c>
      <c r="H44" s="28" t="s">
        <v>59</v>
      </c>
      <c r="I44" s="30">
        <v>56665.85</v>
      </c>
      <c r="J44" s="28" t="s">
        <v>553</v>
      </c>
      <c r="K44" s="28" t="e" cm="1">
        <f t="array" ref="K44">VLOOKUP(E44,[1]A023951!D$1:H$1114,{3,5},0)</f>
        <v>#N/A</v>
      </c>
      <c r="L44" s="28"/>
      <c r="M44" s="28"/>
    </row>
    <row r="45" spans="1:13" x14ac:dyDescent="0.35">
      <c r="A45" s="28" t="s">
        <v>511</v>
      </c>
      <c r="B45" s="32">
        <v>2025</v>
      </c>
      <c r="C45" s="28" t="s">
        <v>512</v>
      </c>
      <c r="D45" s="29">
        <v>45791</v>
      </c>
      <c r="E45" s="28">
        <v>256779420272</v>
      </c>
      <c r="F45" s="28" t="s">
        <v>11</v>
      </c>
      <c r="G45" s="30">
        <v>-40.06</v>
      </c>
      <c r="H45" s="28" t="s">
        <v>59</v>
      </c>
      <c r="I45" s="30">
        <v>-3472.85</v>
      </c>
      <c r="J45" s="28" t="s">
        <v>554</v>
      </c>
      <c r="K45" s="28" t="e" cm="1">
        <f t="array" ref="K45">VLOOKUP(E45,[1]A023951!D$1:H$1114,{3,5},0)</f>
        <v>#N/A</v>
      </c>
      <c r="L45" s="28"/>
      <c r="M45" s="28"/>
    </row>
    <row r="46" spans="1:13" x14ac:dyDescent="0.35">
      <c r="A46" s="28" t="s">
        <v>511</v>
      </c>
      <c r="B46" s="32">
        <v>2025</v>
      </c>
      <c r="C46" s="28" t="s">
        <v>512</v>
      </c>
      <c r="D46" s="29">
        <v>45791</v>
      </c>
      <c r="E46" s="28">
        <v>256779420273</v>
      </c>
      <c r="F46" s="28" t="s">
        <v>11</v>
      </c>
      <c r="G46" s="30">
        <v>-28.62</v>
      </c>
      <c r="H46" s="28" t="s">
        <v>59</v>
      </c>
      <c r="I46" s="30">
        <v>-2481.1</v>
      </c>
      <c r="J46" s="28" t="s">
        <v>555</v>
      </c>
      <c r="K46" s="28" t="e" cm="1">
        <f t="array" ref="K46">VLOOKUP(E46,[1]A023951!D$1:H$1114,{3,5},0)</f>
        <v>#N/A</v>
      </c>
      <c r="L46" s="28"/>
      <c r="M46" s="28"/>
    </row>
    <row r="47" spans="1:13" x14ac:dyDescent="0.35">
      <c r="A47" s="28" t="s">
        <v>511</v>
      </c>
      <c r="B47" s="32">
        <v>2025</v>
      </c>
      <c r="C47" s="28" t="s">
        <v>512</v>
      </c>
      <c r="D47" s="29">
        <v>45791</v>
      </c>
      <c r="E47" s="28">
        <v>256779420275</v>
      </c>
      <c r="F47" s="28" t="s">
        <v>11</v>
      </c>
      <c r="G47" s="30">
        <v>-114.46</v>
      </c>
      <c r="H47" s="28" t="s">
        <v>59</v>
      </c>
      <c r="I47" s="30">
        <v>-9922.68</v>
      </c>
      <c r="J47" s="28" t="s">
        <v>556</v>
      </c>
      <c r="K47" s="28" t="e" cm="1">
        <f t="array" ref="K47">VLOOKUP(E47,[1]A023951!D$1:H$1114,{3,5},0)</f>
        <v>#N/A</v>
      </c>
      <c r="L47" s="28"/>
      <c r="M47" s="28"/>
    </row>
    <row r="48" spans="1:13" x14ac:dyDescent="0.35">
      <c r="A48" s="28" t="s">
        <v>511</v>
      </c>
      <c r="B48" s="32">
        <v>2025</v>
      </c>
      <c r="C48" s="28" t="s">
        <v>512</v>
      </c>
      <c r="D48" s="29">
        <v>45791</v>
      </c>
      <c r="E48" s="28">
        <v>256779420276</v>
      </c>
      <c r="F48" s="28" t="s">
        <v>11</v>
      </c>
      <c r="G48" s="30">
        <v>-68.680000000000007</v>
      </c>
      <c r="H48" s="28" t="s">
        <v>59</v>
      </c>
      <c r="I48" s="30">
        <v>-5953.96</v>
      </c>
      <c r="J48" s="28" t="s">
        <v>557</v>
      </c>
      <c r="K48" s="28" t="e" cm="1">
        <f t="array" ref="K48">VLOOKUP(E48,[1]A023951!D$1:H$1114,{3,5},0)</f>
        <v>#N/A</v>
      </c>
      <c r="L48" s="28"/>
      <c r="M48" s="28"/>
    </row>
    <row r="49" spans="1:13" x14ac:dyDescent="0.35">
      <c r="A49" s="28" t="s">
        <v>511</v>
      </c>
      <c r="B49" s="32">
        <v>2025</v>
      </c>
      <c r="C49" s="28" t="s">
        <v>512</v>
      </c>
      <c r="D49" s="29">
        <v>45791</v>
      </c>
      <c r="E49" s="28">
        <v>256779420268</v>
      </c>
      <c r="F49" s="28" t="s">
        <v>11</v>
      </c>
      <c r="G49" s="30">
        <v>-249.55</v>
      </c>
      <c r="H49" s="28" t="s">
        <v>59</v>
      </c>
      <c r="I49" s="30">
        <v>-21633.8</v>
      </c>
      <c r="J49" s="28" t="s">
        <v>558</v>
      </c>
      <c r="K49" s="28" t="e" cm="1">
        <f t="array" ref="K49">VLOOKUP(E49,[1]A023951!D$1:H$1114,{3,5},0)</f>
        <v>#N/A</v>
      </c>
      <c r="L49" s="28"/>
      <c r="M49" s="28"/>
    </row>
    <row r="50" spans="1:13" x14ac:dyDescent="0.35">
      <c r="A50" s="28" t="s">
        <v>511</v>
      </c>
      <c r="B50" s="32">
        <v>2025</v>
      </c>
      <c r="C50" s="28" t="s">
        <v>512</v>
      </c>
      <c r="D50" s="29">
        <v>45791</v>
      </c>
      <c r="E50" s="28">
        <v>256779420269</v>
      </c>
      <c r="F50" s="28" t="s">
        <v>11</v>
      </c>
      <c r="G50" s="30">
        <v>-40.06</v>
      </c>
      <c r="H50" s="28" t="s">
        <v>59</v>
      </c>
      <c r="I50" s="30">
        <v>-3472.85</v>
      </c>
      <c r="J50" s="28" t="s">
        <v>559</v>
      </c>
      <c r="K50" s="28" t="e" cm="1">
        <f t="array" ref="K50">VLOOKUP(E50,[1]A023951!D$1:H$1114,{3,5},0)</f>
        <v>#N/A</v>
      </c>
      <c r="L50" s="28"/>
      <c r="M50" s="28"/>
    </row>
    <row r="51" spans="1:13" x14ac:dyDescent="0.35">
      <c r="A51" s="28" t="s">
        <v>511</v>
      </c>
      <c r="B51" s="32">
        <v>2025</v>
      </c>
      <c r="C51" s="28" t="s">
        <v>512</v>
      </c>
      <c r="D51" s="29">
        <v>45791</v>
      </c>
      <c r="E51" s="28">
        <v>256779420274</v>
      </c>
      <c r="F51" s="28" t="s">
        <v>11</v>
      </c>
      <c r="G51" s="30">
        <v>-22.89</v>
      </c>
      <c r="H51" s="28" t="s">
        <v>59</v>
      </c>
      <c r="I51" s="30">
        <v>-1984.36</v>
      </c>
      <c r="J51" s="28" t="s">
        <v>560</v>
      </c>
      <c r="K51" s="28" t="e" cm="1">
        <f t="array" ref="K51">VLOOKUP(E51,[1]A023951!D$1:H$1114,{3,5},0)</f>
        <v>#N/A</v>
      </c>
      <c r="L51" s="28"/>
      <c r="M51" s="28"/>
    </row>
    <row r="52" spans="1:13" x14ac:dyDescent="0.35">
      <c r="A52" s="28" t="s">
        <v>511</v>
      </c>
      <c r="B52" s="32">
        <v>2025</v>
      </c>
      <c r="C52" s="28" t="s">
        <v>512</v>
      </c>
      <c r="D52" s="29">
        <v>45791</v>
      </c>
      <c r="E52" s="28">
        <v>256779420277</v>
      </c>
      <c r="F52" s="28" t="s">
        <v>11</v>
      </c>
      <c r="G52" s="30">
        <v>-312.5</v>
      </c>
      <c r="H52" s="28" t="s">
        <v>59</v>
      </c>
      <c r="I52" s="30">
        <v>-27091.02</v>
      </c>
      <c r="J52" s="28" t="s">
        <v>561</v>
      </c>
      <c r="K52" s="28" t="e" cm="1">
        <f t="array" ref="K52">VLOOKUP(E52,[1]A023951!D$1:H$1114,{3,5},0)</f>
        <v>#N/A</v>
      </c>
      <c r="L52" s="28"/>
      <c r="M52" s="28"/>
    </row>
    <row r="53" spans="1:13" x14ac:dyDescent="0.35">
      <c r="A53" s="28" t="s">
        <v>511</v>
      </c>
      <c r="B53" s="32">
        <v>2025</v>
      </c>
      <c r="C53" s="28" t="s">
        <v>512</v>
      </c>
      <c r="D53" s="29">
        <v>45791</v>
      </c>
      <c r="E53" s="28">
        <v>256779420278</v>
      </c>
      <c r="F53" s="28" t="s">
        <v>11</v>
      </c>
      <c r="G53" s="30">
        <v>-23.35</v>
      </c>
      <c r="H53" s="28" t="s">
        <v>59</v>
      </c>
      <c r="I53" s="30">
        <v>-2024.24</v>
      </c>
      <c r="J53" s="28" t="s">
        <v>562</v>
      </c>
      <c r="K53" s="28" t="e" cm="1">
        <f t="array" ref="K53">VLOOKUP(E53,[1]A023951!D$1:H$1114,{3,5},0)</f>
        <v>#N/A</v>
      </c>
      <c r="L53" s="28"/>
      <c r="M53" s="28"/>
    </row>
    <row r="54" spans="1:13" x14ac:dyDescent="0.35">
      <c r="A54" s="28" t="s">
        <v>511</v>
      </c>
      <c r="B54" s="32">
        <v>2025</v>
      </c>
      <c r="C54" s="28" t="s">
        <v>512</v>
      </c>
      <c r="D54" s="29">
        <v>45791</v>
      </c>
      <c r="E54" s="28">
        <v>256779420266</v>
      </c>
      <c r="F54" s="28" t="s">
        <v>11</v>
      </c>
      <c r="G54" s="30">
        <v>-57.23</v>
      </c>
      <c r="H54" s="28" t="s">
        <v>59</v>
      </c>
      <c r="I54" s="30">
        <v>-4961.34</v>
      </c>
      <c r="J54" s="28" t="s">
        <v>563</v>
      </c>
      <c r="K54" s="28" t="e" cm="1">
        <f t="array" ref="K54">VLOOKUP(E54,[1]A023951!D$1:H$1114,{3,5},0)</f>
        <v>#N/A</v>
      </c>
      <c r="L54" s="28"/>
      <c r="M54" s="28"/>
    </row>
    <row r="55" spans="1:13" x14ac:dyDescent="0.35">
      <c r="A55" s="28" t="s">
        <v>511</v>
      </c>
      <c r="B55" s="32">
        <v>2025</v>
      </c>
      <c r="C55" s="28" t="s">
        <v>512</v>
      </c>
      <c r="D55" s="29">
        <v>45791</v>
      </c>
      <c r="E55" s="28">
        <v>256779420267</v>
      </c>
      <c r="F55" s="28" t="s">
        <v>11</v>
      </c>
      <c r="G55" s="30">
        <v>-40.06</v>
      </c>
      <c r="H55" s="28" t="s">
        <v>59</v>
      </c>
      <c r="I55" s="30">
        <v>-3472.85</v>
      </c>
      <c r="J55" s="28" t="s">
        <v>564</v>
      </c>
      <c r="K55" s="28" t="e" cm="1">
        <f t="array" ref="K55">VLOOKUP(E55,[1]A023951!D$1:H$1114,{3,5},0)</f>
        <v>#N/A</v>
      </c>
      <c r="L55" s="28"/>
      <c r="M55" s="28"/>
    </row>
    <row r="56" spans="1:13" x14ac:dyDescent="0.35">
      <c r="A56" s="28" t="s">
        <v>511</v>
      </c>
      <c r="B56" s="32">
        <v>2025</v>
      </c>
      <c r="C56" s="28" t="s">
        <v>512</v>
      </c>
      <c r="D56" s="29">
        <v>45791</v>
      </c>
      <c r="E56" s="28">
        <v>256779420270</v>
      </c>
      <c r="F56" s="28" t="s">
        <v>11</v>
      </c>
      <c r="G56" s="30">
        <v>-45.79</v>
      </c>
      <c r="H56" s="28" t="s">
        <v>59</v>
      </c>
      <c r="I56" s="30">
        <v>-3969.59</v>
      </c>
      <c r="J56" s="28" t="s">
        <v>565</v>
      </c>
      <c r="K56" s="28" t="e" cm="1">
        <f t="array" ref="K56">VLOOKUP(E56,[1]A023951!D$1:H$1114,{3,5},0)</f>
        <v>#N/A</v>
      </c>
      <c r="L56" s="28"/>
      <c r="M56" s="28"/>
    </row>
    <row r="57" spans="1:13" x14ac:dyDescent="0.35">
      <c r="A57" s="28" t="s">
        <v>511</v>
      </c>
      <c r="B57" s="32">
        <v>2025</v>
      </c>
      <c r="C57" s="28" t="s">
        <v>512</v>
      </c>
      <c r="D57" s="29">
        <v>45791</v>
      </c>
      <c r="E57" s="28">
        <v>256779420271</v>
      </c>
      <c r="F57" s="28" t="s">
        <v>11</v>
      </c>
      <c r="G57" s="30">
        <v>-20.03</v>
      </c>
      <c r="H57" s="28" t="s">
        <v>59</v>
      </c>
      <c r="I57" s="30">
        <v>-1736.43</v>
      </c>
      <c r="J57" s="28" t="s">
        <v>566</v>
      </c>
      <c r="K57" s="28" t="e" cm="1">
        <f t="array" ref="K57">VLOOKUP(E57,[1]A023951!D$1:H$1114,{3,5},0)</f>
        <v>#N/A</v>
      </c>
      <c r="L57" s="28"/>
      <c r="M57" s="28"/>
    </row>
    <row r="58" spans="1:13" x14ac:dyDescent="0.35">
      <c r="A58" s="28" t="s">
        <v>511</v>
      </c>
      <c r="B58" s="32">
        <v>2025</v>
      </c>
      <c r="C58" s="28" t="s">
        <v>512</v>
      </c>
      <c r="D58" s="29">
        <v>45791</v>
      </c>
      <c r="E58" s="28">
        <v>256779420492</v>
      </c>
      <c r="F58" s="28" t="s">
        <v>11</v>
      </c>
      <c r="G58" s="30">
        <v>-2333.1799999999998</v>
      </c>
      <c r="H58" s="28" t="s">
        <v>59</v>
      </c>
      <c r="I58" s="30">
        <v>-202804.25</v>
      </c>
      <c r="J58" s="28" t="s">
        <v>567</v>
      </c>
      <c r="K58" s="28" t="e" cm="1">
        <f t="array" ref="K58">VLOOKUP(E58,[1]A023951!D$1:H$1114,{3,5},0)</f>
        <v>#N/A</v>
      </c>
      <c r="L58" s="28"/>
      <c r="M58" s="28"/>
    </row>
    <row r="59" spans="1:13" x14ac:dyDescent="0.35">
      <c r="A59" s="28" t="s">
        <v>511</v>
      </c>
      <c r="B59" s="32">
        <v>2025</v>
      </c>
      <c r="C59" s="28" t="s">
        <v>512</v>
      </c>
      <c r="D59" s="29">
        <v>45791</v>
      </c>
      <c r="E59" s="28">
        <v>256779420526</v>
      </c>
      <c r="F59" s="28" t="s">
        <v>11</v>
      </c>
      <c r="G59" s="30">
        <v>-2286.2399999999998</v>
      </c>
      <c r="H59" s="28" t="s">
        <v>59</v>
      </c>
      <c r="I59" s="30">
        <v>-198724.14</v>
      </c>
      <c r="J59" s="28" t="s">
        <v>568</v>
      </c>
      <c r="K59" s="28" t="e" cm="1">
        <f t="array" ref="K59">VLOOKUP(E59,[1]A023951!D$1:H$1114,{3,5},0)</f>
        <v>#N/A</v>
      </c>
      <c r="L59" s="28"/>
      <c r="M59" s="28"/>
    </row>
    <row r="60" spans="1:13" x14ac:dyDescent="0.35">
      <c r="A60" s="28" t="s">
        <v>511</v>
      </c>
      <c r="B60" s="32">
        <v>2025</v>
      </c>
      <c r="C60" s="28" t="s">
        <v>515</v>
      </c>
      <c r="D60" s="29">
        <v>45793</v>
      </c>
      <c r="E60" s="28">
        <v>256779413280</v>
      </c>
      <c r="F60" s="28" t="s">
        <v>11</v>
      </c>
      <c r="G60" s="30">
        <v>59</v>
      </c>
      <c r="H60" s="28" t="s">
        <v>59</v>
      </c>
      <c r="I60" s="30">
        <v>5073.04</v>
      </c>
      <c r="J60" s="28" t="s">
        <v>569</v>
      </c>
      <c r="K60" s="28" t="e" cm="1">
        <f t="array" ref="K60">VLOOKUP(E60,[1]A023951!D$1:H$1114,{3,5},0)</f>
        <v>#N/A</v>
      </c>
      <c r="L60" s="28"/>
      <c r="M60" s="28"/>
    </row>
    <row r="61" spans="1:13" x14ac:dyDescent="0.35">
      <c r="A61" s="28" t="s">
        <v>511</v>
      </c>
      <c r="B61" s="32">
        <v>2025</v>
      </c>
      <c r="C61" s="28" t="s">
        <v>515</v>
      </c>
      <c r="D61" s="29">
        <v>45793</v>
      </c>
      <c r="E61" s="28">
        <v>256779413308</v>
      </c>
      <c r="F61" s="28" t="s">
        <v>11</v>
      </c>
      <c r="G61" s="30">
        <v>723.47</v>
      </c>
      <c r="H61" s="28" t="s">
        <v>59</v>
      </c>
      <c r="I61" s="30">
        <v>62206.63</v>
      </c>
      <c r="J61" s="28" t="s">
        <v>570</v>
      </c>
      <c r="K61" s="28" t="e" cm="1">
        <f t="array" ref="K61">VLOOKUP(E61,[1]A023951!D$1:H$1114,{3,5},0)</f>
        <v>#N/A</v>
      </c>
      <c r="L61" s="28"/>
      <c r="M61" s="28"/>
    </row>
    <row r="62" spans="1:13" x14ac:dyDescent="0.35">
      <c r="A62" s="28" t="s">
        <v>511</v>
      </c>
      <c r="B62" s="32">
        <v>2025</v>
      </c>
      <c r="C62" s="28" t="s">
        <v>515</v>
      </c>
      <c r="D62" s="29">
        <v>45793</v>
      </c>
      <c r="E62" s="28">
        <v>256779413348</v>
      </c>
      <c r="F62" s="28" t="s">
        <v>11</v>
      </c>
      <c r="G62" s="30">
        <v>138.82</v>
      </c>
      <c r="H62" s="28" t="s">
        <v>59</v>
      </c>
      <c r="I62" s="30">
        <v>11936.26</v>
      </c>
      <c r="J62" s="28" t="s">
        <v>571</v>
      </c>
      <c r="K62" s="28" t="e" cm="1">
        <f t="array" ref="K62">VLOOKUP(E62,[1]A023951!D$1:H$1114,{3,5},0)</f>
        <v>#N/A</v>
      </c>
      <c r="L62" s="28"/>
      <c r="M62" s="28"/>
    </row>
    <row r="63" spans="1:13" x14ac:dyDescent="0.35">
      <c r="A63" s="28" t="s">
        <v>511</v>
      </c>
      <c r="B63" s="32">
        <v>2025</v>
      </c>
      <c r="C63" s="28" t="s">
        <v>515</v>
      </c>
      <c r="D63" s="29">
        <v>46000</v>
      </c>
      <c r="E63" s="28">
        <v>256779419995</v>
      </c>
      <c r="F63" s="28" t="s">
        <v>11</v>
      </c>
      <c r="G63" s="30">
        <v>187.19</v>
      </c>
      <c r="H63" s="28" t="s">
        <v>59</v>
      </c>
      <c r="I63" s="30">
        <v>16603.78</v>
      </c>
      <c r="J63" s="28" t="s">
        <v>572</v>
      </c>
      <c r="K63" s="28" cm="1">
        <f t="array" ref="K63:L63">VLOOKUP(E63,[1]A023951!D$1:H$1114,{3,5},0)</f>
        <v>-187.19</v>
      </c>
      <c r="L63" s="28">
        <v>-16688.88</v>
      </c>
      <c r="M63" s="31">
        <f t="shared" ref="M63:M69" si="3">I63+L63</f>
        <v>-85.100000000002183</v>
      </c>
    </row>
    <row r="64" spans="1:13" x14ac:dyDescent="0.35">
      <c r="A64" s="28" t="s">
        <v>511</v>
      </c>
      <c r="B64" s="32">
        <v>2025</v>
      </c>
      <c r="C64" s="28" t="s">
        <v>515</v>
      </c>
      <c r="D64" s="29">
        <v>45805</v>
      </c>
      <c r="E64" s="28">
        <v>256779413908</v>
      </c>
      <c r="F64" s="28" t="s">
        <v>11</v>
      </c>
      <c r="G64" s="30">
        <v>3200.83</v>
      </c>
      <c r="H64" s="28" t="s">
        <v>59</v>
      </c>
      <c r="I64" s="30">
        <v>275219.21000000002</v>
      </c>
      <c r="J64" s="28" t="s">
        <v>573</v>
      </c>
      <c r="K64" s="28" cm="1">
        <f t="array" ref="K64:L64">VLOOKUP(E64,[1]A023951!D$1:H$1114,{3,5},0)</f>
        <v>-3200.83</v>
      </c>
      <c r="L64" s="28">
        <v>-273269.15999999997</v>
      </c>
      <c r="M64" s="31">
        <f t="shared" si="3"/>
        <v>1950.0500000000466</v>
      </c>
    </row>
    <row r="65" spans="1:13" x14ac:dyDescent="0.35">
      <c r="A65" s="28" t="s">
        <v>511</v>
      </c>
      <c r="B65" s="32">
        <v>2025</v>
      </c>
      <c r="C65" s="28" t="s">
        <v>515</v>
      </c>
      <c r="D65" s="29">
        <v>45856</v>
      </c>
      <c r="E65" s="28">
        <v>256779415426</v>
      </c>
      <c r="F65" s="28" t="s">
        <v>11</v>
      </c>
      <c r="G65" s="30">
        <v>464.73</v>
      </c>
      <c r="H65" s="28" t="s">
        <v>59</v>
      </c>
      <c r="I65" s="30">
        <v>39967.089999999997</v>
      </c>
      <c r="J65" s="28" t="s">
        <v>574</v>
      </c>
      <c r="K65" s="28" cm="1">
        <f t="array" ref="K65:L65">VLOOKUP(E65,[1]A023951!D$1:H$1114,{3,5},0)</f>
        <v>-464.73</v>
      </c>
      <c r="L65" s="28">
        <v>-39961.910000000003</v>
      </c>
      <c r="M65" s="31">
        <f t="shared" si="3"/>
        <v>5.1799999999930151</v>
      </c>
    </row>
    <row r="66" spans="1:13" x14ac:dyDescent="0.35">
      <c r="A66" s="28" t="s">
        <v>511</v>
      </c>
      <c r="B66" s="32">
        <v>2025</v>
      </c>
      <c r="C66" s="28" t="s">
        <v>515</v>
      </c>
      <c r="D66" s="29">
        <v>45856</v>
      </c>
      <c r="E66" s="28">
        <v>256779415442</v>
      </c>
      <c r="F66" s="28" t="s">
        <v>11</v>
      </c>
      <c r="G66" s="30">
        <v>1.59</v>
      </c>
      <c r="H66" s="28" t="s">
        <v>59</v>
      </c>
      <c r="I66" s="30">
        <v>136.74</v>
      </c>
      <c r="J66" s="28" t="s">
        <v>575</v>
      </c>
      <c r="K66" s="28" cm="1">
        <f t="array" ref="K66:L66">VLOOKUP(E66,[1]A023951!D$1:H$1114,{3,5},0)</f>
        <v>-1.59</v>
      </c>
      <c r="L66" s="28">
        <v>-136.72</v>
      </c>
      <c r="M66" s="31">
        <f t="shared" si="3"/>
        <v>2.0000000000010232E-2</v>
      </c>
    </row>
    <row r="67" spans="1:13" x14ac:dyDescent="0.35">
      <c r="A67" s="28" t="s">
        <v>511</v>
      </c>
      <c r="B67" s="32">
        <v>2025</v>
      </c>
      <c r="C67" s="28" t="s">
        <v>515</v>
      </c>
      <c r="D67" s="29">
        <v>45856</v>
      </c>
      <c r="E67" s="28">
        <v>256779415453</v>
      </c>
      <c r="F67" s="28" t="s">
        <v>11</v>
      </c>
      <c r="G67" s="30">
        <v>293.45999999999998</v>
      </c>
      <c r="H67" s="28" t="s">
        <v>59</v>
      </c>
      <c r="I67" s="30">
        <v>25237.759999999998</v>
      </c>
      <c r="J67" s="28" t="s">
        <v>576</v>
      </c>
      <c r="K67" s="28" cm="1">
        <f t="array" ref="K67:L67">VLOOKUP(E67,[1]A023951!D$1:H$1114,{3,5},0)</f>
        <v>-293.45999999999998</v>
      </c>
      <c r="L67" s="28">
        <v>-25234.48</v>
      </c>
      <c r="M67" s="31">
        <f t="shared" si="3"/>
        <v>3.2799999999988358</v>
      </c>
    </row>
    <row r="68" spans="1:13" x14ac:dyDescent="0.35">
      <c r="A68" s="28" t="s">
        <v>511</v>
      </c>
      <c r="B68" s="32">
        <v>2025</v>
      </c>
      <c r="C68" s="28" t="s">
        <v>515</v>
      </c>
      <c r="D68" s="29">
        <v>45856</v>
      </c>
      <c r="E68" s="28">
        <v>256779415474</v>
      </c>
      <c r="F68" s="28" t="s">
        <v>11</v>
      </c>
      <c r="G68" s="30">
        <v>608.41</v>
      </c>
      <c r="H68" s="28" t="s">
        <v>59</v>
      </c>
      <c r="I68" s="30">
        <v>52323.67</v>
      </c>
      <c r="J68" s="28" t="s">
        <v>577</v>
      </c>
      <c r="K68" s="28" cm="1">
        <f t="array" ref="K68:L68">VLOOKUP(E68,[1]A023951!D$1:H$1114,{3,5},0)</f>
        <v>-608.41</v>
      </c>
      <c r="L68" s="28">
        <v>-52316.88</v>
      </c>
      <c r="M68" s="31">
        <f t="shared" si="3"/>
        <v>6.7900000000008731</v>
      </c>
    </row>
    <row r="69" spans="1:13" x14ac:dyDescent="0.35">
      <c r="A69" s="28" t="s">
        <v>511</v>
      </c>
      <c r="B69" s="32">
        <v>2025</v>
      </c>
      <c r="C69" s="28" t="s">
        <v>515</v>
      </c>
      <c r="D69" s="29">
        <v>45856</v>
      </c>
      <c r="E69" s="28">
        <v>256779415517</v>
      </c>
      <c r="F69" s="28" t="s">
        <v>11</v>
      </c>
      <c r="G69" s="30">
        <v>116.74</v>
      </c>
      <c r="H69" s="28" t="s">
        <v>59</v>
      </c>
      <c r="I69" s="30">
        <v>10039.719999999999</v>
      </c>
      <c r="J69" s="28" t="s">
        <v>578</v>
      </c>
      <c r="K69" s="28" cm="1">
        <f t="array" ref="K69:L69">VLOOKUP(E69,[1]A023951!D$1:H$1114,{3,5},0)</f>
        <v>-116.74</v>
      </c>
      <c r="L69" s="28">
        <v>-10038.42</v>
      </c>
      <c r="M69" s="31">
        <f t="shared" si="3"/>
        <v>1.2999999999992724</v>
      </c>
    </row>
    <row r="70" spans="1:13" x14ac:dyDescent="0.35">
      <c r="A70" s="28" t="s">
        <v>511</v>
      </c>
      <c r="B70" s="32">
        <v>2025</v>
      </c>
      <c r="C70" s="28" t="s">
        <v>515</v>
      </c>
      <c r="D70" s="29">
        <v>45856</v>
      </c>
      <c r="E70" s="28">
        <v>256779415792</v>
      </c>
      <c r="F70" s="28" t="s">
        <v>11</v>
      </c>
      <c r="G70" s="30">
        <v>608.41</v>
      </c>
      <c r="H70" s="28" t="s">
        <v>59</v>
      </c>
      <c r="I70" s="30">
        <v>52323.67</v>
      </c>
      <c r="J70" s="28" t="s">
        <v>577</v>
      </c>
      <c r="K70" s="28" t="e" cm="1">
        <f t="array" ref="K70">VLOOKUP(E70,[1]A023951!D$1:H$1114,{3,5},0)</f>
        <v>#N/A</v>
      </c>
      <c r="L70" s="28"/>
      <c r="M70" s="28"/>
    </row>
    <row r="71" spans="1:13" x14ac:dyDescent="0.35">
      <c r="A71" s="28" t="s">
        <v>511</v>
      </c>
      <c r="B71" s="32">
        <v>2025</v>
      </c>
      <c r="C71" s="28" t="s">
        <v>515</v>
      </c>
      <c r="D71" s="29">
        <v>45729</v>
      </c>
      <c r="E71" s="28">
        <v>246779411312</v>
      </c>
      <c r="F71" s="28" t="s">
        <v>11</v>
      </c>
      <c r="G71" s="30">
        <v>27</v>
      </c>
      <c r="H71" s="28" t="s">
        <v>59</v>
      </c>
      <c r="I71" s="30">
        <v>2340.66</v>
      </c>
      <c r="J71" s="28" t="s">
        <v>579</v>
      </c>
      <c r="K71" s="28" cm="1">
        <f t="array" ref="K71:L71">VLOOKUP(E71,[1]A023951!D$1:H$1114,{3,5},0)</f>
        <v>-27</v>
      </c>
      <c r="L71" s="28">
        <v>-2350.15</v>
      </c>
      <c r="M71" s="31">
        <f t="shared" ref="M71:M79" si="4">I71+L71</f>
        <v>-9.4900000000002365</v>
      </c>
    </row>
    <row r="72" spans="1:13" x14ac:dyDescent="0.35">
      <c r="A72" s="28" t="s">
        <v>511</v>
      </c>
      <c r="B72" s="32">
        <v>2025</v>
      </c>
      <c r="C72" s="28" t="s">
        <v>515</v>
      </c>
      <c r="D72" s="29">
        <v>45736</v>
      </c>
      <c r="E72" s="28">
        <v>246779413730</v>
      </c>
      <c r="F72" s="28" t="s">
        <v>11</v>
      </c>
      <c r="G72" s="30">
        <v>3.2</v>
      </c>
      <c r="H72" s="28" t="s">
        <v>59</v>
      </c>
      <c r="I72" s="30">
        <v>277.41000000000003</v>
      </c>
      <c r="J72" s="28" t="s">
        <v>580</v>
      </c>
      <c r="K72" s="28" cm="1">
        <f t="array" ref="K72:L72">VLOOKUP(E72,[1]A023951!D$1:H$1114,{3,5},0)</f>
        <v>-3.2</v>
      </c>
      <c r="L72" s="28">
        <v>-278.54000000000002</v>
      </c>
      <c r="M72" s="31">
        <f t="shared" si="4"/>
        <v>-1.1299999999999955</v>
      </c>
    </row>
    <row r="73" spans="1:13" x14ac:dyDescent="0.35">
      <c r="A73" s="28" t="s">
        <v>511</v>
      </c>
      <c r="B73" s="32">
        <v>2025</v>
      </c>
      <c r="C73" s="28" t="s">
        <v>515</v>
      </c>
      <c r="D73" s="29">
        <v>45736</v>
      </c>
      <c r="E73" s="28">
        <v>246779413747</v>
      </c>
      <c r="F73" s="28" t="s">
        <v>11</v>
      </c>
      <c r="G73" s="30">
        <v>2.74</v>
      </c>
      <c r="H73" s="28" t="s">
        <v>59</v>
      </c>
      <c r="I73" s="30">
        <v>237.53</v>
      </c>
      <c r="J73" s="28" t="s">
        <v>581</v>
      </c>
      <c r="K73" s="28" cm="1">
        <f t="array" ref="K73:L73">VLOOKUP(E73,[1]A023951!D$1:H$1114,{3,5},0)</f>
        <v>-2.74</v>
      </c>
      <c r="L73" s="28">
        <v>-238.5</v>
      </c>
      <c r="M73" s="31">
        <f t="shared" si="4"/>
        <v>-0.96999999999999886</v>
      </c>
    </row>
    <row r="74" spans="1:13" x14ac:dyDescent="0.35">
      <c r="A74" s="28" t="s">
        <v>511</v>
      </c>
      <c r="B74" s="32">
        <v>2025</v>
      </c>
      <c r="C74" s="28" t="s">
        <v>515</v>
      </c>
      <c r="D74" s="29">
        <v>45736</v>
      </c>
      <c r="E74" s="28">
        <v>246779413815</v>
      </c>
      <c r="F74" s="28" t="s">
        <v>11</v>
      </c>
      <c r="G74" s="30">
        <v>50</v>
      </c>
      <c r="H74" s="28" t="s">
        <v>59</v>
      </c>
      <c r="I74" s="30">
        <v>4334.5600000000004</v>
      </c>
      <c r="J74" s="28" t="s">
        <v>582</v>
      </c>
      <c r="K74" s="28" cm="1">
        <f t="array" ref="K74:L74">VLOOKUP(E74,[1]A023951!D$1:H$1114,{3,5},0)</f>
        <v>-50</v>
      </c>
      <c r="L74" s="28">
        <v>-4352.12</v>
      </c>
      <c r="M74" s="31">
        <f t="shared" si="4"/>
        <v>-17.559999999999491</v>
      </c>
    </row>
    <row r="75" spans="1:13" x14ac:dyDescent="0.35">
      <c r="A75" s="28" t="s">
        <v>511</v>
      </c>
      <c r="B75" s="32">
        <v>2025</v>
      </c>
      <c r="C75" s="28" t="s">
        <v>515</v>
      </c>
      <c r="D75" s="29">
        <v>45736</v>
      </c>
      <c r="E75" s="28">
        <v>246779413920</v>
      </c>
      <c r="F75" s="28" t="s">
        <v>11</v>
      </c>
      <c r="G75" s="30">
        <v>22.5</v>
      </c>
      <c r="H75" s="28" t="s">
        <v>59</v>
      </c>
      <c r="I75" s="30">
        <v>1950.55</v>
      </c>
      <c r="J75" s="28" t="s">
        <v>581</v>
      </c>
      <c r="K75" s="28" cm="1">
        <f t="array" ref="K75:L75">VLOOKUP(E75,[1]A023951!D$1:H$1114,{3,5},0)</f>
        <v>-22.5</v>
      </c>
      <c r="L75" s="28">
        <v>-1958.45</v>
      </c>
      <c r="M75" s="31">
        <f t="shared" si="4"/>
        <v>-7.9000000000000909</v>
      </c>
    </row>
    <row r="76" spans="1:13" x14ac:dyDescent="0.35">
      <c r="A76" s="28" t="s">
        <v>511</v>
      </c>
      <c r="B76" s="32">
        <v>2025</v>
      </c>
      <c r="C76" s="28" t="s">
        <v>515</v>
      </c>
      <c r="D76" s="29">
        <v>45736</v>
      </c>
      <c r="E76" s="28">
        <v>246779413936</v>
      </c>
      <c r="F76" s="28" t="s">
        <v>11</v>
      </c>
      <c r="G76" s="30">
        <v>27.5</v>
      </c>
      <c r="H76" s="28" t="s">
        <v>59</v>
      </c>
      <c r="I76" s="30">
        <v>2384.0100000000002</v>
      </c>
      <c r="J76" s="28" t="s">
        <v>581</v>
      </c>
      <c r="K76" s="28" cm="1">
        <f t="array" ref="K76:L76">VLOOKUP(E76,[1]A023951!D$1:H$1114,{3,5},0)</f>
        <v>-27.5</v>
      </c>
      <c r="L76" s="28">
        <v>-2393.67</v>
      </c>
      <c r="M76" s="31">
        <f t="shared" si="4"/>
        <v>-9.6599999999998545</v>
      </c>
    </row>
    <row r="77" spans="1:13" x14ac:dyDescent="0.35">
      <c r="A77" s="28" t="s">
        <v>511</v>
      </c>
      <c r="B77" s="32">
        <v>2025</v>
      </c>
      <c r="C77" s="28" t="s">
        <v>515</v>
      </c>
      <c r="D77" s="29">
        <v>45736</v>
      </c>
      <c r="E77" s="28">
        <v>246779413941</v>
      </c>
      <c r="F77" s="28" t="s">
        <v>11</v>
      </c>
      <c r="G77" s="30">
        <v>30</v>
      </c>
      <c r="H77" s="28" t="s">
        <v>59</v>
      </c>
      <c r="I77" s="30">
        <v>2600.7399999999998</v>
      </c>
      <c r="J77" s="28" t="s">
        <v>581</v>
      </c>
      <c r="K77" s="28" cm="1">
        <f t="array" ref="K77:L77">VLOOKUP(E77,[1]A023951!D$1:H$1114,{3,5},0)</f>
        <v>-30</v>
      </c>
      <c r="L77" s="28">
        <v>-2611.27</v>
      </c>
      <c r="M77" s="31">
        <f t="shared" si="4"/>
        <v>-10.5300000000002</v>
      </c>
    </row>
    <row r="78" spans="1:13" x14ac:dyDescent="0.35">
      <c r="A78" s="28" t="s">
        <v>511</v>
      </c>
      <c r="B78" s="32">
        <v>2025</v>
      </c>
      <c r="C78" s="28" t="s">
        <v>515</v>
      </c>
      <c r="D78" s="29">
        <v>45736</v>
      </c>
      <c r="E78" s="28">
        <v>246779414384</v>
      </c>
      <c r="F78" s="28" t="s">
        <v>11</v>
      </c>
      <c r="G78" s="30">
        <v>182.5</v>
      </c>
      <c r="H78" s="28" t="s">
        <v>59</v>
      </c>
      <c r="I78" s="30">
        <v>15821.15</v>
      </c>
      <c r="J78" s="28" t="s">
        <v>583</v>
      </c>
      <c r="K78" s="28" cm="1">
        <f t="array" ref="K78:L78">VLOOKUP(E78,[1]A023951!D$1:H$1114,{3,5},0)</f>
        <v>-182.5</v>
      </c>
      <c r="L78" s="28">
        <v>-15885.24</v>
      </c>
      <c r="M78" s="31">
        <f t="shared" si="4"/>
        <v>-64.090000000000146</v>
      </c>
    </row>
    <row r="79" spans="1:13" x14ac:dyDescent="0.35">
      <c r="A79" s="28" t="s">
        <v>511</v>
      </c>
      <c r="B79" s="32">
        <v>2025</v>
      </c>
      <c r="C79" s="28" t="s">
        <v>515</v>
      </c>
      <c r="D79" s="29">
        <v>45736</v>
      </c>
      <c r="E79" s="28">
        <v>246779414385</v>
      </c>
      <c r="F79" s="28" t="s">
        <v>11</v>
      </c>
      <c r="G79" s="30">
        <v>240</v>
      </c>
      <c r="H79" s="28" t="s">
        <v>59</v>
      </c>
      <c r="I79" s="30">
        <v>20805.900000000001</v>
      </c>
      <c r="J79" s="28" t="s">
        <v>584</v>
      </c>
      <c r="K79" s="28" cm="1">
        <f t="array" ref="K79:L79">VLOOKUP(E79,[1]A023951!D$1:H$1114,{3,5},0)</f>
        <v>-240</v>
      </c>
      <c r="L79" s="28">
        <v>-20890.18</v>
      </c>
      <c r="M79" s="31">
        <f t="shared" si="4"/>
        <v>-84.279999999998836</v>
      </c>
    </row>
    <row r="80" spans="1:13" x14ac:dyDescent="0.35">
      <c r="A80" s="28" t="s">
        <v>511</v>
      </c>
      <c r="B80" s="32">
        <v>2025</v>
      </c>
      <c r="C80" s="28" t="s">
        <v>515</v>
      </c>
      <c r="D80" s="29">
        <v>45736</v>
      </c>
      <c r="E80" s="28">
        <v>246779414057</v>
      </c>
      <c r="F80" s="28" t="s">
        <v>11</v>
      </c>
      <c r="G80" s="30">
        <v>43.07</v>
      </c>
      <c r="H80" s="28" t="s">
        <v>59</v>
      </c>
      <c r="I80" s="30">
        <v>3733.79</v>
      </c>
      <c r="J80" s="28" t="s">
        <v>585</v>
      </c>
      <c r="K80" s="28" t="e" cm="1">
        <f t="array" ref="K80">VLOOKUP(E80,[1]A023951!D$1:H$1114,{3,5},0)</f>
        <v>#N/A</v>
      </c>
      <c r="L80" s="28"/>
      <c r="M80" s="28"/>
    </row>
    <row r="81" spans="1:13" x14ac:dyDescent="0.35">
      <c r="A81" s="28" t="s">
        <v>511</v>
      </c>
      <c r="B81" s="32">
        <v>2025</v>
      </c>
      <c r="C81" s="28" t="s">
        <v>515</v>
      </c>
      <c r="D81" s="29">
        <v>45736</v>
      </c>
      <c r="E81" s="28">
        <v>246779414058</v>
      </c>
      <c r="F81" s="28" t="s">
        <v>11</v>
      </c>
      <c r="G81" s="30">
        <v>398.23</v>
      </c>
      <c r="H81" s="28" t="s">
        <v>59</v>
      </c>
      <c r="I81" s="30">
        <v>34523.06</v>
      </c>
      <c r="J81" s="28" t="s">
        <v>585</v>
      </c>
      <c r="K81" s="28" t="e" cm="1">
        <f t="array" ref="K81">VLOOKUP(E81,[1]A023951!D$1:H$1114,{3,5},0)</f>
        <v>#N/A</v>
      </c>
      <c r="L81" s="28"/>
      <c r="M81" s="28"/>
    </row>
    <row r="82" spans="1:13" x14ac:dyDescent="0.35">
      <c r="A82" s="28" t="s">
        <v>511</v>
      </c>
      <c r="B82" s="32">
        <v>2025</v>
      </c>
      <c r="C82" s="28" t="s">
        <v>515</v>
      </c>
      <c r="D82" s="29">
        <v>45736</v>
      </c>
      <c r="E82" s="28">
        <v>246779414120</v>
      </c>
      <c r="F82" s="28" t="s">
        <v>11</v>
      </c>
      <c r="G82" s="30">
        <v>250.75</v>
      </c>
      <c r="H82" s="28" t="s">
        <v>59</v>
      </c>
      <c r="I82" s="30">
        <v>21737.83</v>
      </c>
      <c r="J82" s="28" t="s">
        <v>586</v>
      </c>
      <c r="K82" s="28" t="e" cm="1">
        <f t="array" ref="K82">VLOOKUP(E82,[1]A023951!D$1:H$1114,{3,5},0)</f>
        <v>#N/A</v>
      </c>
      <c r="L82" s="28"/>
      <c r="M82" s="28"/>
    </row>
    <row r="83" spans="1:13" x14ac:dyDescent="0.35">
      <c r="A83" s="28" t="s">
        <v>511</v>
      </c>
      <c r="B83" s="32">
        <v>2025</v>
      </c>
      <c r="C83" s="28" t="s">
        <v>515</v>
      </c>
      <c r="D83" s="29">
        <v>45736</v>
      </c>
      <c r="E83" s="28">
        <v>246779414121</v>
      </c>
      <c r="F83" s="28" t="s">
        <v>11</v>
      </c>
      <c r="G83" s="30">
        <v>226.56</v>
      </c>
      <c r="H83" s="28" t="s">
        <v>59</v>
      </c>
      <c r="I83" s="30">
        <v>19640.77</v>
      </c>
      <c r="J83" s="28" t="s">
        <v>587</v>
      </c>
      <c r="K83" s="28" t="e" cm="1">
        <f t="array" ref="K83">VLOOKUP(E83,[1]A023951!D$1:H$1114,{3,5},0)</f>
        <v>#N/A</v>
      </c>
      <c r="L83" s="28"/>
      <c r="M83" s="28"/>
    </row>
    <row r="84" spans="1:13" x14ac:dyDescent="0.35">
      <c r="A84" s="28" t="s">
        <v>511</v>
      </c>
      <c r="B84" s="32">
        <v>2025</v>
      </c>
      <c r="C84" s="28" t="s">
        <v>515</v>
      </c>
      <c r="D84" s="29">
        <v>45736</v>
      </c>
      <c r="E84" s="28">
        <v>246779414122</v>
      </c>
      <c r="F84" s="28" t="s">
        <v>11</v>
      </c>
      <c r="G84" s="30">
        <v>35.4</v>
      </c>
      <c r="H84" s="28" t="s">
        <v>59</v>
      </c>
      <c r="I84" s="30">
        <v>3068.87</v>
      </c>
      <c r="J84" s="28" t="s">
        <v>588</v>
      </c>
      <c r="K84" s="28" t="e" cm="1">
        <f t="array" ref="K84">VLOOKUP(E84,[1]A023951!D$1:H$1114,{3,5},0)</f>
        <v>#N/A</v>
      </c>
      <c r="L84" s="28"/>
      <c r="M84" s="28"/>
    </row>
    <row r="85" spans="1:13" x14ac:dyDescent="0.35">
      <c r="A85" s="28" t="s">
        <v>511</v>
      </c>
      <c r="B85" s="32">
        <v>2025</v>
      </c>
      <c r="C85" s="28" t="s">
        <v>515</v>
      </c>
      <c r="D85" s="29">
        <v>45736</v>
      </c>
      <c r="E85" s="28">
        <v>246779414204</v>
      </c>
      <c r="F85" s="28" t="s">
        <v>11</v>
      </c>
      <c r="G85" s="30">
        <v>249.87</v>
      </c>
      <c r="H85" s="28" t="s">
        <v>59</v>
      </c>
      <c r="I85" s="30">
        <v>21661.55</v>
      </c>
      <c r="J85" s="28" t="s">
        <v>589</v>
      </c>
      <c r="K85" s="28" t="e" cm="1">
        <f t="array" ref="K85">VLOOKUP(E85,[1]A023951!D$1:H$1114,{3,5},0)</f>
        <v>#N/A</v>
      </c>
      <c r="L85" s="28"/>
      <c r="M85" s="28"/>
    </row>
    <row r="86" spans="1:13" x14ac:dyDescent="0.35">
      <c r="A86" s="28" t="s">
        <v>511</v>
      </c>
      <c r="B86" s="32">
        <v>2025</v>
      </c>
      <c r="C86" s="28" t="s">
        <v>515</v>
      </c>
      <c r="D86" s="29">
        <v>45736</v>
      </c>
      <c r="E86" s="28">
        <v>246779414460</v>
      </c>
      <c r="F86" s="28" t="s">
        <v>11</v>
      </c>
      <c r="G86" s="30">
        <v>173.05</v>
      </c>
      <c r="H86" s="28" t="s">
        <v>59</v>
      </c>
      <c r="I86" s="30">
        <v>15001.92</v>
      </c>
      <c r="J86" s="28" t="s">
        <v>585</v>
      </c>
      <c r="K86" s="28" t="e" cm="1">
        <f t="array" ref="K86">VLOOKUP(E86,[1]A023951!D$1:H$1114,{3,5},0)</f>
        <v>#N/A</v>
      </c>
      <c r="L86" s="28"/>
      <c r="M86" s="28"/>
    </row>
    <row r="87" spans="1:13" x14ac:dyDescent="0.35">
      <c r="A87" s="28" t="s">
        <v>511</v>
      </c>
      <c r="B87" s="32">
        <v>2025</v>
      </c>
      <c r="C87" s="28" t="s">
        <v>515</v>
      </c>
      <c r="D87" s="29">
        <v>45736</v>
      </c>
      <c r="E87" s="28">
        <v>246779414461</v>
      </c>
      <c r="F87" s="28" t="s">
        <v>11</v>
      </c>
      <c r="G87" s="30">
        <v>226.56</v>
      </c>
      <c r="H87" s="28" t="s">
        <v>59</v>
      </c>
      <c r="I87" s="30">
        <v>19640.77</v>
      </c>
      <c r="J87" s="28" t="s">
        <v>590</v>
      </c>
      <c r="K87" s="28" t="e" cm="1">
        <f t="array" ref="K87">VLOOKUP(E87,[1]A023951!D$1:H$1114,{3,5},0)</f>
        <v>#N/A</v>
      </c>
      <c r="L87" s="28"/>
      <c r="M87" s="28"/>
    </row>
    <row r="88" spans="1:13" x14ac:dyDescent="0.35">
      <c r="A88" s="28" t="s">
        <v>511</v>
      </c>
      <c r="B88" s="32">
        <v>2025</v>
      </c>
      <c r="C88" s="28" t="s">
        <v>515</v>
      </c>
      <c r="D88" s="29">
        <v>45736</v>
      </c>
      <c r="E88" s="28">
        <v>246779414525</v>
      </c>
      <c r="F88" s="28" t="s">
        <v>11</v>
      </c>
      <c r="G88" s="30">
        <v>211.39</v>
      </c>
      <c r="H88" s="28" t="s">
        <v>59</v>
      </c>
      <c r="I88" s="30">
        <v>18325.669999999998</v>
      </c>
      <c r="J88" s="28" t="s">
        <v>591</v>
      </c>
      <c r="K88" s="28" t="e" cm="1">
        <f t="array" ref="K88">VLOOKUP(E88,[1]A023951!D$1:H$1114,{3,5},0)</f>
        <v>#N/A</v>
      </c>
      <c r="L88" s="28"/>
      <c r="M88" s="28"/>
    </row>
    <row r="89" spans="1:13" x14ac:dyDescent="0.35">
      <c r="A89" s="28" t="s">
        <v>511</v>
      </c>
      <c r="B89" s="32">
        <v>2025</v>
      </c>
      <c r="C89" s="28" t="s">
        <v>515</v>
      </c>
      <c r="D89" s="29">
        <v>45736</v>
      </c>
      <c r="E89" s="28">
        <v>246779414526</v>
      </c>
      <c r="F89" s="28" t="s">
        <v>11</v>
      </c>
      <c r="G89" s="30">
        <v>141.6</v>
      </c>
      <c r="H89" s="28" t="s">
        <v>59</v>
      </c>
      <c r="I89" s="30">
        <v>12275.48</v>
      </c>
      <c r="J89" s="28" t="s">
        <v>592</v>
      </c>
      <c r="K89" s="28" t="e" cm="1">
        <f t="array" ref="K89">VLOOKUP(E89,[1]A023951!D$1:H$1114,{3,5},0)</f>
        <v>#N/A</v>
      </c>
      <c r="L89" s="28"/>
      <c r="M89" s="28"/>
    </row>
    <row r="90" spans="1:13" x14ac:dyDescent="0.35">
      <c r="A90" s="28" t="s">
        <v>511</v>
      </c>
      <c r="B90" s="32">
        <v>2025</v>
      </c>
      <c r="C90" s="28" t="s">
        <v>515</v>
      </c>
      <c r="D90" s="29">
        <v>45736</v>
      </c>
      <c r="E90" s="28">
        <v>246779414527</v>
      </c>
      <c r="F90" s="28" t="s">
        <v>11</v>
      </c>
      <c r="G90" s="30">
        <v>70.8</v>
      </c>
      <c r="H90" s="28" t="s">
        <v>59</v>
      </c>
      <c r="I90" s="30">
        <v>6137.74</v>
      </c>
      <c r="J90" s="28" t="s">
        <v>593</v>
      </c>
      <c r="K90" s="28" t="e" cm="1">
        <f t="array" ref="K90">VLOOKUP(E90,[1]A023951!D$1:H$1114,{3,5},0)</f>
        <v>#N/A</v>
      </c>
      <c r="L90" s="28"/>
      <c r="M90" s="28"/>
    </row>
    <row r="91" spans="1:13" x14ac:dyDescent="0.35">
      <c r="A91" s="28" t="s">
        <v>511</v>
      </c>
      <c r="B91" s="32">
        <v>2025</v>
      </c>
      <c r="C91" s="28" t="s">
        <v>515</v>
      </c>
      <c r="D91" s="29">
        <v>45736</v>
      </c>
      <c r="E91" s="28">
        <v>246779414528</v>
      </c>
      <c r="F91" s="28" t="s">
        <v>11</v>
      </c>
      <c r="G91" s="30">
        <v>236</v>
      </c>
      <c r="H91" s="28" t="s">
        <v>59</v>
      </c>
      <c r="I91" s="30">
        <v>20459.14</v>
      </c>
      <c r="J91" s="28" t="s">
        <v>594</v>
      </c>
      <c r="K91" s="28" t="e" cm="1">
        <f t="array" ref="K91">VLOOKUP(E91,[1]A023951!D$1:H$1114,{3,5},0)</f>
        <v>#N/A</v>
      </c>
      <c r="L91" s="28"/>
      <c r="M91" s="28"/>
    </row>
    <row r="92" spans="1:13" x14ac:dyDescent="0.35">
      <c r="A92" s="28" t="s">
        <v>511</v>
      </c>
      <c r="B92" s="32">
        <v>2025</v>
      </c>
      <c r="C92" s="28" t="s">
        <v>515</v>
      </c>
      <c r="D92" s="29">
        <v>45736</v>
      </c>
      <c r="E92" s="28">
        <v>246779414781</v>
      </c>
      <c r="F92" s="28" t="s">
        <v>11</v>
      </c>
      <c r="G92" s="30">
        <v>218.36</v>
      </c>
      <c r="H92" s="28" t="s">
        <v>59</v>
      </c>
      <c r="I92" s="30">
        <v>18929.900000000001</v>
      </c>
      <c r="J92" s="28" t="s">
        <v>581</v>
      </c>
      <c r="K92" s="28" t="e" cm="1">
        <f t="array" ref="K92">VLOOKUP(E92,[1]A023951!D$1:H$1114,{3,5},0)</f>
        <v>#N/A</v>
      </c>
      <c r="L92" s="28"/>
      <c r="M92" s="28"/>
    </row>
    <row r="93" spans="1:13" x14ac:dyDescent="0.35">
      <c r="A93" s="28" t="s">
        <v>511</v>
      </c>
      <c r="B93" s="32">
        <v>2025</v>
      </c>
      <c r="C93" s="28" t="s">
        <v>515</v>
      </c>
      <c r="D93" s="29">
        <v>45736</v>
      </c>
      <c r="E93" s="28">
        <v>246779414863</v>
      </c>
      <c r="F93" s="28" t="s">
        <v>11</v>
      </c>
      <c r="G93" s="30">
        <v>23.6</v>
      </c>
      <c r="H93" s="28" t="s">
        <v>59</v>
      </c>
      <c r="I93" s="30">
        <v>2045.91</v>
      </c>
      <c r="J93" s="28" t="s">
        <v>580</v>
      </c>
      <c r="K93" s="28" t="e" cm="1">
        <f t="array" ref="K93">VLOOKUP(E93,[1]A023951!D$1:H$1114,{3,5},0)</f>
        <v>#N/A</v>
      </c>
      <c r="L93" s="28"/>
      <c r="M93" s="28"/>
    </row>
    <row r="94" spans="1:13" x14ac:dyDescent="0.35">
      <c r="A94" s="28" t="s">
        <v>511</v>
      </c>
      <c r="B94" s="32">
        <v>2025</v>
      </c>
      <c r="C94" s="28" t="s">
        <v>515</v>
      </c>
      <c r="D94" s="29">
        <v>45736</v>
      </c>
      <c r="E94" s="28">
        <v>246779414864</v>
      </c>
      <c r="F94" s="28" t="s">
        <v>11</v>
      </c>
      <c r="G94" s="30">
        <v>26.55</v>
      </c>
      <c r="H94" s="28" t="s">
        <v>59</v>
      </c>
      <c r="I94" s="30">
        <v>2301.65</v>
      </c>
      <c r="J94" s="28" t="s">
        <v>580</v>
      </c>
      <c r="K94" s="28" t="e" cm="1">
        <f t="array" ref="K94">VLOOKUP(E94,[1]A023951!D$1:H$1114,{3,5},0)</f>
        <v>#N/A</v>
      </c>
      <c r="L94" s="28"/>
      <c r="M94" s="28"/>
    </row>
    <row r="95" spans="1:13" x14ac:dyDescent="0.35">
      <c r="A95" s="28" t="s">
        <v>511</v>
      </c>
      <c r="B95" s="32">
        <v>2025</v>
      </c>
      <c r="C95" s="28" t="s">
        <v>515</v>
      </c>
      <c r="D95" s="29">
        <v>45736</v>
      </c>
      <c r="E95" s="28">
        <v>246779414865</v>
      </c>
      <c r="F95" s="28" t="s">
        <v>11</v>
      </c>
      <c r="G95" s="30">
        <v>32.450000000000003</v>
      </c>
      <c r="H95" s="28" t="s">
        <v>59</v>
      </c>
      <c r="I95" s="30">
        <v>2813.13</v>
      </c>
      <c r="J95" s="28" t="s">
        <v>580</v>
      </c>
      <c r="K95" s="28" t="e" cm="1">
        <f t="array" ref="K95">VLOOKUP(E95,[1]A023951!D$1:H$1114,{3,5},0)</f>
        <v>#N/A</v>
      </c>
      <c r="L95" s="28"/>
      <c r="M95" s="28"/>
    </row>
    <row r="96" spans="1:13" x14ac:dyDescent="0.35">
      <c r="A96" s="28" t="s">
        <v>511</v>
      </c>
      <c r="B96" s="32">
        <v>2025</v>
      </c>
      <c r="C96" s="28" t="s">
        <v>515</v>
      </c>
      <c r="D96" s="29">
        <v>45736</v>
      </c>
      <c r="E96" s="28">
        <v>246779414866</v>
      </c>
      <c r="F96" s="28" t="s">
        <v>11</v>
      </c>
      <c r="G96" s="30">
        <v>26.55</v>
      </c>
      <c r="H96" s="28" t="s">
        <v>59</v>
      </c>
      <c r="I96" s="30">
        <v>2301.65</v>
      </c>
      <c r="J96" s="28" t="s">
        <v>580</v>
      </c>
      <c r="K96" s="28" t="e" cm="1">
        <f t="array" ref="K96">VLOOKUP(E96,[1]A023951!D$1:H$1114,{3,5},0)</f>
        <v>#N/A</v>
      </c>
      <c r="L96" s="28"/>
      <c r="M96" s="28"/>
    </row>
    <row r="97" spans="1:13" x14ac:dyDescent="0.35">
      <c r="A97" s="28" t="s">
        <v>511</v>
      </c>
      <c r="B97" s="32">
        <v>2025</v>
      </c>
      <c r="C97" s="28" t="s">
        <v>515</v>
      </c>
      <c r="D97" s="29">
        <v>45736</v>
      </c>
      <c r="E97" s="28">
        <v>246779414867</v>
      </c>
      <c r="F97" s="28" t="s">
        <v>11</v>
      </c>
      <c r="G97" s="30">
        <v>26.55</v>
      </c>
      <c r="H97" s="28" t="s">
        <v>59</v>
      </c>
      <c r="I97" s="30">
        <v>2301.65</v>
      </c>
      <c r="J97" s="28" t="s">
        <v>580</v>
      </c>
      <c r="K97" s="28" t="e" cm="1">
        <f t="array" ref="K97">VLOOKUP(E97,[1]A023951!D$1:H$1114,{3,5},0)</f>
        <v>#N/A</v>
      </c>
      <c r="L97" s="28"/>
      <c r="M97" s="28"/>
    </row>
    <row r="98" spans="1:13" x14ac:dyDescent="0.35">
      <c r="A98" s="28" t="s">
        <v>511</v>
      </c>
      <c r="B98" s="32">
        <v>2025</v>
      </c>
      <c r="C98" s="28" t="s">
        <v>515</v>
      </c>
      <c r="D98" s="29">
        <v>45736</v>
      </c>
      <c r="E98" s="28">
        <v>246779414868</v>
      </c>
      <c r="F98" s="28" t="s">
        <v>11</v>
      </c>
      <c r="G98" s="30">
        <v>2.95</v>
      </c>
      <c r="H98" s="28" t="s">
        <v>59</v>
      </c>
      <c r="I98" s="30">
        <v>255.74</v>
      </c>
      <c r="J98" s="28" t="s">
        <v>580</v>
      </c>
      <c r="K98" s="28" t="e" cm="1">
        <f t="array" ref="K98">VLOOKUP(E98,[1]A023951!D$1:H$1114,{3,5},0)</f>
        <v>#N/A</v>
      </c>
      <c r="L98" s="28"/>
      <c r="M98" s="28"/>
    </row>
    <row r="99" spans="1:13" x14ac:dyDescent="0.35">
      <c r="A99" s="28" t="s">
        <v>511</v>
      </c>
      <c r="B99" s="32">
        <v>2025</v>
      </c>
      <c r="C99" s="28" t="s">
        <v>515</v>
      </c>
      <c r="D99" s="29">
        <v>45736</v>
      </c>
      <c r="E99" s="28">
        <v>246779414869</v>
      </c>
      <c r="F99" s="28" t="s">
        <v>11</v>
      </c>
      <c r="G99" s="30">
        <v>35.4</v>
      </c>
      <c r="H99" s="28" t="s">
        <v>59</v>
      </c>
      <c r="I99" s="30">
        <v>3068.87</v>
      </c>
      <c r="J99" s="28" t="s">
        <v>580</v>
      </c>
      <c r="K99" s="28" t="e" cm="1">
        <f t="array" ref="K99">VLOOKUP(E99,[1]A023951!D$1:H$1114,{3,5},0)</f>
        <v>#N/A</v>
      </c>
      <c r="L99" s="28"/>
      <c r="M99" s="28"/>
    </row>
    <row r="100" spans="1:13" x14ac:dyDescent="0.35">
      <c r="A100" s="28" t="s">
        <v>511</v>
      </c>
      <c r="B100" s="32">
        <v>2025</v>
      </c>
      <c r="C100" s="28" t="s">
        <v>515</v>
      </c>
      <c r="D100" s="29">
        <v>45736</v>
      </c>
      <c r="E100" s="28">
        <v>246779413889</v>
      </c>
      <c r="F100" s="28" t="s">
        <v>11</v>
      </c>
      <c r="G100" s="30">
        <v>42.5</v>
      </c>
      <c r="H100" s="28" t="s">
        <v>59</v>
      </c>
      <c r="I100" s="30">
        <v>3684.38</v>
      </c>
      <c r="J100" s="28" t="s">
        <v>581</v>
      </c>
      <c r="K100" s="28" cm="1">
        <f t="array" ref="K100:L100">VLOOKUP(E100,[1]A023951!D$1:H$1114,{3,5},0)</f>
        <v>-42.5</v>
      </c>
      <c r="L100" s="28">
        <v>-3699.3</v>
      </c>
      <c r="M100" s="31">
        <f>I100+L100</f>
        <v>-14.920000000000073</v>
      </c>
    </row>
    <row r="101" spans="1:13" x14ac:dyDescent="0.35">
      <c r="A101" s="28" t="s">
        <v>511</v>
      </c>
      <c r="B101" s="32">
        <v>2025</v>
      </c>
      <c r="C101" s="28" t="s">
        <v>515</v>
      </c>
      <c r="D101" s="29">
        <v>45736</v>
      </c>
      <c r="E101" s="28">
        <v>246779414662</v>
      </c>
      <c r="F101" s="28" t="s">
        <v>11</v>
      </c>
      <c r="G101" s="30">
        <v>275</v>
      </c>
      <c r="H101" s="28" t="s">
        <v>59</v>
      </c>
      <c r="I101" s="30">
        <v>23840.1</v>
      </c>
      <c r="J101" s="28" t="s">
        <v>595</v>
      </c>
      <c r="K101" s="28" cm="1">
        <f t="array" ref="K101:L101">VLOOKUP(E101,[1]A023951!D$1:H$1114,{3,5},0)</f>
        <v>-275</v>
      </c>
      <c r="L101" s="28">
        <v>-23936.66</v>
      </c>
      <c r="M101" s="31">
        <f>I101+L101</f>
        <v>-96.56000000000131</v>
      </c>
    </row>
    <row r="102" spans="1:13" x14ac:dyDescent="0.35">
      <c r="A102" s="28" t="s">
        <v>511</v>
      </c>
      <c r="B102" s="32">
        <v>2025</v>
      </c>
      <c r="C102" s="28" t="s">
        <v>515</v>
      </c>
      <c r="D102" s="29">
        <v>45736</v>
      </c>
      <c r="E102" s="28">
        <v>246779414663</v>
      </c>
      <c r="F102" s="28" t="s">
        <v>11</v>
      </c>
      <c r="G102" s="30">
        <v>45</v>
      </c>
      <c r="H102" s="28" t="s">
        <v>59</v>
      </c>
      <c r="I102" s="30">
        <v>3901.11</v>
      </c>
      <c r="J102" s="28" t="s">
        <v>596</v>
      </c>
      <c r="K102" s="28" cm="1">
        <f t="array" ref="K102:L102">VLOOKUP(E102,[1]A023951!D$1:H$1114,{3,5},0)</f>
        <v>-45</v>
      </c>
      <c r="L102" s="28">
        <v>-3916.91</v>
      </c>
      <c r="M102" s="31">
        <f>I102+L102</f>
        <v>-15.799999999999727</v>
      </c>
    </row>
    <row r="103" spans="1:13" x14ac:dyDescent="0.35">
      <c r="A103" s="28" t="s">
        <v>511</v>
      </c>
      <c r="B103" s="32">
        <v>2025</v>
      </c>
      <c r="C103" s="28" t="s">
        <v>515</v>
      </c>
      <c r="D103" s="29">
        <v>45736</v>
      </c>
      <c r="E103" s="28">
        <v>246779414590</v>
      </c>
      <c r="F103" s="28" t="s">
        <v>11</v>
      </c>
      <c r="G103" s="30">
        <v>300.49</v>
      </c>
      <c r="H103" s="28" t="s">
        <v>59</v>
      </c>
      <c r="I103" s="30">
        <v>26049.86</v>
      </c>
      <c r="J103" s="28" t="s">
        <v>597</v>
      </c>
      <c r="K103" s="28" t="e" cm="1">
        <f t="array" ref="K103">VLOOKUP(E103,[1]A023951!D$1:H$1114,{3,5},0)</f>
        <v>#N/A</v>
      </c>
      <c r="L103" s="28"/>
      <c r="M103" s="28"/>
    </row>
    <row r="104" spans="1:13" x14ac:dyDescent="0.35">
      <c r="A104" s="28" t="s">
        <v>511</v>
      </c>
      <c r="B104" s="32">
        <v>2025</v>
      </c>
      <c r="C104" s="28" t="s">
        <v>515</v>
      </c>
      <c r="D104" s="29">
        <v>45736</v>
      </c>
      <c r="E104" s="28">
        <v>246779414726</v>
      </c>
      <c r="F104" s="28" t="s">
        <v>11</v>
      </c>
      <c r="G104" s="30">
        <v>165.4</v>
      </c>
      <c r="H104" s="28" t="s">
        <v>59</v>
      </c>
      <c r="I104" s="30">
        <v>14338.73</v>
      </c>
      <c r="J104" s="28" t="s">
        <v>580</v>
      </c>
      <c r="K104" s="28" t="e" cm="1">
        <f t="array" ref="K104">VLOOKUP(E104,[1]A023951!D$1:H$1114,{3,5},0)</f>
        <v>#N/A</v>
      </c>
      <c r="L104" s="28"/>
      <c r="M104" s="28"/>
    </row>
    <row r="105" spans="1:13" x14ac:dyDescent="0.35">
      <c r="A105" s="28" t="s">
        <v>511</v>
      </c>
      <c r="B105" s="32">
        <v>2025</v>
      </c>
      <c r="C105" s="28" t="s">
        <v>515</v>
      </c>
      <c r="D105" s="29">
        <v>45708</v>
      </c>
      <c r="E105" s="28">
        <v>246779410010</v>
      </c>
      <c r="F105" s="28" t="s">
        <v>11</v>
      </c>
      <c r="G105" s="30">
        <v>2380.9499999999998</v>
      </c>
      <c r="H105" s="28" t="s">
        <v>59</v>
      </c>
      <c r="I105" s="30">
        <v>205484.7</v>
      </c>
      <c r="J105" s="28" t="s">
        <v>598</v>
      </c>
      <c r="K105" s="28" cm="1">
        <f t="array" ref="K105:L105">VLOOKUP(E105,[1]A023951!D$1:H$1114,{3,5},0)</f>
        <v>-2380.9499999999998</v>
      </c>
      <c r="L105" s="28">
        <v>-206046.42</v>
      </c>
      <c r="M105" s="31">
        <f t="shared" ref="M105:M124" si="5">I105+L105</f>
        <v>-561.72000000000116</v>
      </c>
    </row>
    <row r="106" spans="1:13" x14ac:dyDescent="0.35">
      <c r="A106" s="28" t="s">
        <v>511</v>
      </c>
      <c r="B106" s="32">
        <v>2025</v>
      </c>
      <c r="C106" s="28" t="s">
        <v>515</v>
      </c>
      <c r="D106" s="29">
        <v>45708</v>
      </c>
      <c r="E106" s="28">
        <v>246779410030</v>
      </c>
      <c r="F106" s="28" t="s">
        <v>11</v>
      </c>
      <c r="G106" s="30">
        <v>2380.9499999999998</v>
      </c>
      <c r="H106" s="28" t="s">
        <v>59</v>
      </c>
      <c r="I106" s="30">
        <v>205484.7</v>
      </c>
      <c r="J106" s="28" t="s">
        <v>599</v>
      </c>
      <c r="K106" s="28" cm="1">
        <f t="array" ref="K106:L106">VLOOKUP(E106,[1]A023951!D$1:H$1114,{3,5},0)</f>
        <v>-2380.9499999999998</v>
      </c>
      <c r="L106" s="28">
        <v>-206046.42</v>
      </c>
      <c r="M106" s="31">
        <f t="shared" si="5"/>
        <v>-561.72000000000116</v>
      </c>
    </row>
    <row r="107" spans="1:13" x14ac:dyDescent="0.35">
      <c r="A107" s="28" t="s">
        <v>511</v>
      </c>
      <c r="B107" s="32">
        <v>2025</v>
      </c>
      <c r="C107" s="28" t="s">
        <v>515</v>
      </c>
      <c r="D107" s="29">
        <v>45708</v>
      </c>
      <c r="E107" s="28">
        <v>246779410063</v>
      </c>
      <c r="F107" s="28" t="s">
        <v>11</v>
      </c>
      <c r="G107" s="30">
        <v>95.24</v>
      </c>
      <c r="H107" s="28" t="s">
        <v>59</v>
      </c>
      <c r="I107" s="30">
        <v>8219.56</v>
      </c>
      <c r="J107" s="28" t="s">
        <v>600</v>
      </c>
      <c r="K107" s="28" cm="1">
        <f t="array" ref="K107:L107">VLOOKUP(E107,[1]A023951!D$1:H$1114,{3,5},0)</f>
        <v>-95.24</v>
      </c>
      <c r="L107" s="28">
        <v>-8242.0300000000007</v>
      </c>
      <c r="M107" s="31">
        <f t="shared" si="5"/>
        <v>-22.470000000001164</v>
      </c>
    </row>
    <row r="108" spans="1:13" x14ac:dyDescent="0.35">
      <c r="A108" s="28" t="s">
        <v>511</v>
      </c>
      <c r="B108" s="32">
        <v>2025</v>
      </c>
      <c r="C108" s="28" t="s">
        <v>515</v>
      </c>
      <c r="D108" s="29">
        <v>45708</v>
      </c>
      <c r="E108" s="28">
        <v>246779410064</v>
      </c>
      <c r="F108" s="28" t="s">
        <v>11</v>
      </c>
      <c r="G108" s="30">
        <v>52.38</v>
      </c>
      <c r="H108" s="28" t="s">
        <v>59</v>
      </c>
      <c r="I108" s="30">
        <v>4520.59</v>
      </c>
      <c r="J108" s="28" t="s">
        <v>601</v>
      </c>
      <c r="K108" s="28" cm="1">
        <f t="array" ref="K108:L108">VLOOKUP(E108,[1]A023951!D$1:H$1114,{3,5},0)</f>
        <v>-52.38</v>
      </c>
      <c r="L108" s="28">
        <v>-4532.9399999999996</v>
      </c>
      <c r="M108" s="31">
        <f t="shared" si="5"/>
        <v>-12.349999999999454</v>
      </c>
    </row>
    <row r="109" spans="1:13" x14ac:dyDescent="0.35">
      <c r="A109" s="28" t="s">
        <v>511</v>
      </c>
      <c r="B109" s="32">
        <v>2025</v>
      </c>
      <c r="C109" s="28" t="s">
        <v>515</v>
      </c>
      <c r="D109" s="29">
        <v>45708</v>
      </c>
      <c r="E109" s="28">
        <v>246779410080</v>
      </c>
      <c r="F109" s="28" t="s">
        <v>11</v>
      </c>
      <c r="G109" s="30">
        <v>95.24</v>
      </c>
      <c r="H109" s="28" t="s">
        <v>59</v>
      </c>
      <c r="I109" s="30">
        <v>8219.56</v>
      </c>
      <c r="J109" s="28" t="s">
        <v>602</v>
      </c>
      <c r="K109" s="28" cm="1">
        <f t="array" ref="K109:L109">VLOOKUP(E109,[1]A023951!D$1:H$1114,{3,5},0)</f>
        <v>-95.24</v>
      </c>
      <c r="L109" s="28">
        <v>-8242.0300000000007</v>
      </c>
      <c r="M109" s="31">
        <f t="shared" si="5"/>
        <v>-22.470000000001164</v>
      </c>
    </row>
    <row r="110" spans="1:13" x14ac:dyDescent="0.35">
      <c r="A110" s="28" t="s">
        <v>511</v>
      </c>
      <c r="B110" s="32">
        <v>2025</v>
      </c>
      <c r="C110" s="28" t="s">
        <v>515</v>
      </c>
      <c r="D110" s="29">
        <v>45708</v>
      </c>
      <c r="E110" s="28">
        <v>246779410098</v>
      </c>
      <c r="F110" s="28" t="s">
        <v>11</v>
      </c>
      <c r="G110" s="30">
        <v>2380.9499999999998</v>
      </c>
      <c r="H110" s="28" t="s">
        <v>59</v>
      </c>
      <c r="I110" s="30">
        <v>205484.7</v>
      </c>
      <c r="J110" s="28" t="s">
        <v>603</v>
      </c>
      <c r="K110" s="28" cm="1">
        <f t="array" ref="K110:L110">VLOOKUP(E110,[1]A023951!D$1:H$1114,{3,5},0)</f>
        <v>-2380.9499999999998</v>
      </c>
      <c r="L110" s="28">
        <v>-206046.42</v>
      </c>
      <c r="M110" s="31">
        <f t="shared" si="5"/>
        <v>-561.72000000000116</v>
      </c>
    </row>
    <row r="111" spans="1:13" x14ac:dyDescent="0.35">
      <c r="A111" s="28" t="s">
        <v>511</v>
      </c>
      <c r="B111" s="32">
        <v>2025</v>
      </c>
      <c r="C111" s="28" t="s">
        <v>515</v>
      </c>
      <c r="D111" s="29">
        <v>45708</v>
      </c>
      <c r="E111" s="28">
        <v>246779410131</v>
      </c>
      <c r="F111" s="28" t="s">
        <v>11</v>
      </c>
      <c r="G111" s="30">
        <v>95.24</v>
      </c>
      <c r="H111" s="28" t="s">
        <v>59</v>
      </c>
      <c r="I111" s="30">
        <v>8219.56</v>
      </c>
      <c r="J111" s="28" t="s">
        <v>604</v>
      </c>
      <c r="K111" s="28" cm="1">
        <f t="array" ref="K111:L111">VLOOKUP(E111,[1]A023951!D$1:H$1114,{3,5},0)</f>
        <v>-95.24</v>
      </c>
      <c r="L111" s="28">
        <v>-8242.0300000000007</v>
      </c>
      <c r="M111" s="31">
        <f t="shared" si="5"/>
        <v>-22.470000000001164</v>
      </c>
    </row>
    <row r="112" spans="1:13" x14ac:dyDescent="0.35">
      <c r="A112" s="28" t="s">
        <v>511</v>
      </c>
      <c r="B112" s="32">
        <v>2025</v>
      </c>
      <c r="C112" s="28" t="s">
        <v>515</v>
      </c>
      <c r="D112" s="29">
        <v>45708</v>
      </c>
      <c r="E112" s="28">
        <v>246779410132</v>
      </c>
      <c r="F112" s="28" t="s">
        <v>11</v>
      </c>
      <c r="G112" s="30">
        <v>52.38</v>
      </c>
      <c r="H112" s="28" t="s">
        <v>59</v>
      </c>
      <c r="I112" s="30">
        <v>4520.59</v>
      </c>
      <c r="J112" s="28" t="s">
        <v>605</v>
      </c>
      <c r="K112" s="28" cm="1">
        <f t="array" ref="K112:L112">VLOOKUP(E112,[1]A023951!D$1:H$1114,{3,5},0)</f>
        <v>-52.38</v>
      </c>
      <c r="L112" s="28">
        <v>-4532.9399999999996</v>
      </c>
      <c r="M112" s="31">
        <f t="shared" si="5"/>
        <v>-12.349999999999454</v>
      </c>
    </row>
    <row r="113" spans="1:13" x14ac:dyDescent="0.35">
      <c r="A113" s="28" t="s">
        <v>511</v>
      </c>
      <c r="B113" s="32">
        <v>2025</v>
      </c>
      <c r="C113" s="28" t="s">
        <v>515</v>
      </c>
      <c r="D113" s="29">
        <v>45708</v>
      </c>
      <c r="E113" s="28">
        <v>246779410141</v>
      </c>
      <c r="F113" s="28" t="s">
        <v>11</v>
      </c>
      <c r="G113" s="30">
        <v>2380.9499999999998</v>
      </c>
      <c r="H113" s="28" t="s">
        <v>59</v>
      </c>
      <c r="I113" s="30">
        <v>205484.7</v>
      </c>
      <c r="J113" s="28" t="s">
        <v>606</v>
      </c>
      <c r="K113" s="28" cm="1">
        <f t="array" ref="K113:L113">VLOOKUP(E113,[1]A023951!D$1:H$1114,{3,5},0)</f>
        <v>-2380.9499999999998</v>
      </c>
      <c r="L113" s="28">
        <v>-206046.42</v>
      </c>
      <c r="M113" s="31">
        <f t="shared" si="5"/>
        <v>-561.72000000000116</v>
      </c>
    </row>
    <row r="114" spans="1:13" x14ac:dyDescent="0.35">
      <c r="A114" s="28" t="s">
        <v>511</v>
      </c>
      <c r="B114" s="32">
        <v>2025</v>
      </c>
      <c r="C114" s="28" t="s">
        <v>515</v>
      </c>
      <c r="D114" s="29">
        <v>45708</v>
      </c>
      <c r="E114" s="28">
        <v>246779410174</v>
      </c>
      <c r="F114" s="28" t="s">
        <v>11</v>
      </c>
      <c r="G114" s="30">
        <v>95.24</v>
      </c>
      <c r="H114" s="28" t="s">
        <v>59</v>
      </c>
      <c r="I114" s="30">
        <v>8219.56</v>
      </c>
      <c r="J114" s="28" t="s">
        <v>607</v>
      </c>
      <c r="K114" s="28" cm="1">
        <f t="array" ref="K114:L114">VLOOKUP(E114,[1]A023951!D$1:H$1114,{3,5},0)</f>
        <v>-95.24</v>
      </c>
      <c r="L114" s="28">
        <v>-8242.0300000000007</v>
      </c>
      <c r="M114" s="31">
        <f t="shared" si="5"/>
        <v>-22.470000000001164</v>
      </c>
    </row>
    <row r="115" spans="1:13" x14ac:dyDescent="0.35">
      <c r="A115" s="28" t="s">
        <v>511</v>
      </c>
      <c r="B115" s="32">
        <v>2025</v>
      </c>
      <c r="C115" s="28" t="s">
        <v>515</v>
      </c>
      <c r="D115" s="29">
        <v>45708</v>
      </c>
      <c r="E115" s="28">
        <v>246779410175</v>
      </c>
      <c r="F115" s="28" t="s">
        <v>11</v>
      </c>
      <c r="G115" s="30">
        <v>52.38</v>
      </c>
      <c r="H115" s="28" t="s">
        <v>59</v>
      </c>
      <c r="I115" s="30">
        <v>4520.59</v>
      </c>
      <c r="J115" s="28" t="s">
        <v>608</v>
      </c>
      <c r="K115" s="28" cm="1">
        <f t="array" ref="K115:L115">VLOOKUP(E115,[1]A023951!D$1:H$1114,{3,5},0)</f>
        <v>-52.38</v>
      </c>
      <c r="L115" s="28">
        <v>-4532.9399999999996</v>
      </c>
      <c r="M115" s="31">
        <f t="shared" si="5"/>
        <v>-12.349999999999454</v>
      </c>
    </row>
    <row r="116" spans="1:13" x14ac:dyDescent="0.35">
      <c r="A116" s="28" t="s">
        <v>511</v>
      </c>
      <c r="B116" s="32">
        <v>2025</v>
      </c>
      <c r="C116" s="28" t="s">
        <v>515</v>
      </c>
      <c r="D116" s="29">
        <v>45708</v>
      </c>
      <c r="E116" s="28">
        <v>246779410184</v>
      </c>
      <c r="F116" s="28" t="s">
        <v>11</v>
      </c>
      <c r="G116" s="30">
        <v>2333.1799999999998</v>
      </c>
      <c r="H116" s="28" t="s">
        <v>59</v>
      </c>
      <c r="I116" s="30">
        <v>201361.97</v>
      </c>
      <c r="J116" s="28" t="s">
        <v>609</v>
      </c>
      <c r="K116" s="28" cm="1">
        <f t="array" ref="K116:L116">VLOOKUP(E116,[1]A023951!D$1:H$1114,{3,5},0)</f>
        <v>-2333.1799999999998</v>
      </c>
      <c r="L116" s="28">
        <v>-201912.42</v>
      </c>
      <c r="M116" s="31">
        <f t="shared" si="5"/>
        <v>-550.45000000001164</v>
      </c>
    </row>
    <row r="117" spans="1:13" x14ac:dyDescent="0.35">
      <c r="A117" s="28" t="s">
        <v>511</v>
      </c>
      <c r="B117" s="32">
        <v>2025</v>
      </c>
      <c r="C117" s="28" t="s">
        <v>515</v>
      </c>
      <c r="D117" s="29">
        <v>45708</v>
      </c>
      <c r="E117" s="28">
        <v>246779410217</v>
      </c>
      <c r="F117" s="28" t="s">
        <v>11</v>
      </c>
      <c r="G117" s="30">
        <v>93.33</v>
      </c>
      <c r="H117" s="28" t="s">
        <v>59</v>
      </c>
      <c r="I117" s="30">
        <v>8054.72</v>
      </c>
      <c r="J117" s="28" t="s">
        <v>610</v>
      </c>
      <c r="K117" s="28" cm="1">
        <f t="array" ref="K117:L117">VLOOKUP(E117,[1]A023951!D$1:H$1114,{3,5},0)</f>
        <v>-93.33</v>
      </c>
      <c r="L117" s="28">
        <v>-8076.74</v>
      </c>
      <c r="M117" s="31">
        <f t="shared" si="5"/>
        <v>-22.019999999999527</v>
      </c>
    </row>
    <row r="118" spans="1:13" x14ac:dyDescent="0.35">
      <c r="A118" s="28" t="s">
        <v>511</v>
      </c>
      <c r="B118" s="32">
        <v>2025</v>
      </c>
      <c r="C118" s="28" t="s">
        <v>515</v>
      </c>
      <c r="D118" s="29">
        <v>45708</v>
      </c>
      <c r="E118" s="28">
        <v>246779410218</v>
      </c>
      <c r="F118" s="28" t="s">
        <v>11</v>
      </c>
      <c r="G118" s="30">
        <v>51.33</v>
      </c>
      <c r="H118" s="28" t="s">
        <v>59</v>
      </c>
      <c r="I118" s="30">
        <v>4429.97</v>
      </c>
      <c r="J118" s="28" t="s">
        <v>611</v>
      </c>
      <c r="K118" s="28" cm="1">
        <f t="array" ref="K118:L118">VLOOKUP(E118,[1]A023951!D$1:H$1114,{3,5},0)</f>
        <v>-51.33</v>
      </c>
      <c r="L118" s="28">
        <v>-4442.08</v>
      </c>
      <c r="M118" s="31">
        <f t="shared" si="5"/>
        <v>-12.109999999999673</v>
      </c>
    </row>
    <row r="119" spans="1:13" x14ac:dyDescent="0.35">
      <c r="A119" s="28" t="s">
        <v>511</v>
      </c>
      <c r="B119" s="32">
        <v>2025</v>
      </c>
      <c r="C119" s="28" t="s">
        <v>515</v>
      </c>
      <c r="D119" s="29">
        <v>45708</v>
      </c>
      <c r="E119" s="28">
        <v>246779410260</v>
      </c>
      <c r="F119" s="28" t="s">
        <v>11</v>
      </c>
      <c r="G119" s="30">
        <v>91.45</v>
      </c>
      <c r="H119" s="28" t="s">
        <v>59</v>
      </c>
      <c r="I119" s="30">
        <v>7892.47</v>
      </c>
      <c r="J119" s="28" t="s">
        <v>612</v>
      </c>
      <c r="K119" s="28" cm="1">
        <f t="array" ref="K119:L119">VLOOKUP(E119,[1]A023951!D$1:H$1114,{3,5},0)</f>
        <v>-91.45</v>
      </c>
      <c r="L119" s="28">
        <v>-7914.04</v>
      </c>
      <c r="M119" s="31">
        <f t="shared" si="5"/>
        <v>-21.569999999999709</v>
      </c>
    </row>
    <row r="120" spans="1:13" x14ac:dyDescent="0.35">
      <c r="A120" s="28" t="s">
        <v>511</v>
      </c>
      <c r="B120" s="32">
        <v>2025</v>
      </c>
      <c r="C120" s="28" t="s">
        <v>515</v>
      </c>
      <c r="D120" s="29">
        <v>45708</v>
      </c>
      <c r="E120" s="28">
        <v>246779410261</v>
      </c>
      <c r="F120" s="28" t="s">
        <v>11</v>
      </c>
      <c r="G120" s="30">
        <v>50.3</v>
      </c>
      <c r="H120" s="28" t="s">
        <v>59</v>
      </c>
      <c r="I120" s="30">
        <v>4341.07</v>
      </c>
      <c r="J120" s="28" t="s">
        <v>613</v>
      </c>
      <c r="K120" s="28" cm="1">
        <f t="array" ref="K120:L120">VLOOKUP(E120,[1]A023951!D$1:H$1114,{3,5},0)</f>
        <v>-50.3</v>
      </c>
      <c r="L120" s="28">
        <v>-4352.9399999999996</v>
      </c>
      <c r="M120" s="31">
        <f t="shared" si="5"/>
        <v>-11.869999999999891</v>
      </c>
    </row>
    <row r="121" spans="1:13" x14ac:dyDescent="0.35">
      <c r="A121" s="28" t="s">
        <v>511</v>
      </c>
      <c r="B121" s="32">
        <v>2025</v>
      </c>
      <c r="C121" s="28" t="s">
        <v>515</v>
      </c>
      <c r="D121" s="29">
        <v>45708</v>
      </c>
      <c r="E121" s="28">
        <v>246779410311</v>
      </c>
      <c r="F121" s="28" t="s">
        <v>11</v>
      </c>
      <c r="G121" s="30">
        <v>95.24</v>
      </c>
      <c r="H121" s="28" t="s">
        <v>59</v>
      </c>
      <c r="I121" s="30">
        <v>8219.56</v>
      </c>
      <c r="J121" s="28" t="s">
        <v>614</v>
      </c>
      <c r="K121" s="28" cm="1">
        <f t="array" ref="K121:L121">VLOOKUP(E121,[1]A023951!D$1:H$1114,{3,5},0)</f>
        <v>-95.24</v>
      </c>
      <c r="L121" s="28">
        <v>-8242.0300000000007</v>
      </c>
      <c r="M121" s="31">
        <f t="shared" si="5"/>
        <v>-22.470000000001164</v>
      </c>
    </row>
    <row r="122" spans="1:13" x14ac:dyDescent="0.35">
      <c r="A122" s="28" t="s">
        <v>511</v>
      </c>
      <c r="B122" s="32">
        <v>2025</v>
      </c>
      <c r="C122" s="28" t="s">
        <v>515</v>
      </c>
      <c r="D122" s="29">
        <v>45708</v>
      </c>
      <c r="E122" s="28">
        <v>246779410312</v>
      </c>
      <c r="F122" s="28" t="s">
        <v>11</v>
      </c>
      <c r="G122" s="30">
        <v>52.38</v>
      </c>
      <c r="H122" s="28" t="s">
        <v>59</v>
      </c>
      <c r="I122" s="30">
        <v>4520.59</v>
      </c>
      <c r="J122" s="28" t="s">
        <v>615</v>
      </c>
      <c r="K122" s="28" cm="1">
        <f t="array" ref="K122:L122">VLOOKUP(E122,[1]A023951!D$1:H$1114,{3,5},0)</f>
        <v>-52.38</v>
      </c>
      <c r="L122" s="28">
        <v>-4559.28</v>
      </c>
      <c r="M122" s="31">
        <f t="shared" si="5"/>
        <v>-38.6899999999996</v>
      </c>
    </row>
    <row r="123" spans="1:13" x14ac:dyDescent="0.35">
      <c r="A123" s="28" t="s">
        <v>511</v>
      </c>
      <c r="B123" s="32">
        <v>2025</v>
      </c>
      <c r="C123" s="28" t="s">
        <v>515</v>
      </c>
      <c r="D123" s="29">
        <v>45708</v>
      </c>
      <c r="E123" s="28">
        <v>246779410315</v>
      </c>
      <c r="F123" s="28" t="s">
        <v>11</v>
      </c>
      <c r="G123" s="30">
        <v>2380.9499999999998</v>
      </c>
      <c r="H123" s="28" t="s">
        <v>59</v>
      </c>
      <c r="I123" s="30">
        <v>205484.7</v>
      </c>
      <c r="J123" s="28" t="s">
        <v>616</v>
      </c>
      <c r="K123" s="28" cm="1">
        <f t="array" ref="K123:L123">VLOOKUP(E123,[1]A023951!D$1:H$1114,{3,5},0)</f>
        <v>-2380.9499999999998</v>
      </c>
      <c r="L123" s="28">
        <v>-207243.64</v>
      </c>
      <c r="M123" s="31">
        <f t="shared" si="5"/>
        <v>-1758.9400000000023</v>
      </c>
    </row>
    <row r="124" spans="1:13" x14ac:dyDescent="0.35">
      <c r="A124" s="28" t="s">
        <v>511</v>
      </c>
      <c r="B124" s="32">
        <v>2025</v>
      </c>
      <c r="C124" s="28" t="s">
        <v>515</v>
      </c>
      <c r="D124" s="29">
        <v>45708</v>
      </c>
      <c r="E124" s="28">
        <v>246779410227</v>
      </c>
      <c r="F124" s="28" t="s">
        <v>11</v>
      </c>
      <c r="G124" s="30">
        <v>2286.2399999999998</v>
      </c>
      <c r="H124" s="28" t="s">
        <v>59</v>
      </c>
      <c r="I124" s="30">
        <v>197310.88</v>
      </c>
      <c r="J124" s="28" t="s">
        <v>617</v>
      </c>
      <c r="K124" s="28" cm="1">
        <f t="array" ref="K124:L124">VLOOKUP(E124,[1]A023951!D$1:H$1114,{3,5},0)</f>
        <v>-2286.2399999999998</v>
      </c>
      <c r="L124" s="28">
        <v>-197850.25</v>
      </c>
      <c r="M124" s="31">
        <f t="shared" si="5"/>
        <v>-539.36999999999534</v>
      </c>
    </row>
    <row r="125" spans="1:13" x14ac:dyDescent="0.35">
      <c r="A125" s="28" t="s">
        <v>511</v>
      </c>
      <c r="B125" s="32">
        <v>2025</v>
      </c>
      <c r="C125" s="28" t="s">
        <v>515</v>
      </c>
      <c r="D125" s="29">
        <v>45889</v>
      </c>
      <c r="E125" s="28">
        <v>256779416593</v>
      </c>
      <c r="F125" s="28" t="s">
        <v>11</v>
      </c>
      <c r="G125" s="30">
        <v>810</v>
      </c>
      <c r="H125" s="28" t="s">
        <v>59</v>
      </c>
      <c r="I125" s="30">
        <v>69684.399999999994</v>
      </c>
      <c r="J125" s="28" t="s">
        <v>618</v>
      </c>
      <c r="K125" s="28" t="e" cm="1">
        <f t="array" ref="K125">VLOOKUP(E125,[1]A023951!D$1:H$1114,{3,5},0)</f>
        <v>#N/A</v>
      </c>
      <c r="L125" s="28"/>
      <c r="M125" s="28"/>
    </row>
    <row r="126" spans="1:13" x14ac:dyDescent="0.35">
      <c r="A126" s="28" t="s">
        <v>511</v>
      </c>
      <c r="B126" s="32">
        <v>2025</v>
      </c>
      <c r="C126" s="28" t="s">
        <v>515</v>
      </c>
      <c r="D126" s="29">
        <v>45889</v>
      </c>
      <c r="E126" s="28">
        <v>256779416600</v>
      </c>
      <c r="F126" s="28" t="s">
        <v>11</v>
      </c>
      <c r="G126" s="30">
        <v>737.41</v>
      </c>
      <c r="H126" s="28" t="s">
        <v>59</v>
      </c>
      <c r="I126" s="30">
        <v>63439.47</v>
      </c>
      <c r="J126" s="28" t="s">
        <v>619</v>
      </c>
      <c r="K126" s="28" t="e" cm="1">
        <f t="array" ref="K126">VLOOKUP(E126,[1]A023951!D$1:H$1114,{3,5},0)</f>
        <v>#N/A</v>
      </c>
      <c r="L126" s="28"/>
      <c r="M126" s="28"/>
    </row>
    <row r="127" spans="1:13" x14ac:dyDescent="0.35">
      <c r="A127" s="28" t="s">
        <v>511</v>
      </c>
      <c r="B127" s="32">
        <v>2025</v>
      </c>
      <c r="C127" s="28" t="s">
        <v>515</v>
      </c>
      <c r="D127" s="29">
        <v>45889</v>
      </c>
      <c r="E127" s="28">
        <v>256779416801</v>
      </c>
      <c r="F127" s="28" t="s">
        <v>11</v>
      </c>
      <c r="G127" s="30">
        <v>110</v>
      </c>
      <c r="H127" s="28" t="s">
        <v>59</v>
      </c>
      <c r="I127" s="30">
        <v>9463.31</v>
      </c>
      <c r="J127" s="28" t="s">
        <v>620</v>
      </c>
      <c r="K127" s="28" t="e" cm="1">
        <f t="array" ref="K127">VLOOKUP(E127,[1]A023951!D$1:H$1114,{3,5},0)</f>
        <v>#N/A</v>
      </c>
      <c r="L127" s="28"/>
      <c r="M127" s="28"/>
    </row>
    <row r="128" spans="1:13" x14ac:dyDescent="0.35">
      <c r="A128" s="28" t="s">
        <v>511</v>
      </c>
      <c r="B128" s="32">
        <v>2025</v>
      </c>
      <c r="C128" s="28" t="s">
        <v>515</v>
      </c>
      <c r="D128" s="29">
        <v>45889</v>
      </c>
      <c r="E128" s="28">
        <v>256779416807</v>
      </c>
      <c r="F128" s="28" t="s">
        <v>11</v>
      </c>
      <c r="G128" s="30">
        <v>248.96</v>
      </c>
      <c r="H128" s="28" t="s">
        <v>59</v>
      </c>
      <c r="I128" s="30">
        <v>21418.06</v>
      </c>
      <c r="J128" s="28" t="s">
        <v>621</v>
      </c>
      <c r="K128" s="28" t="e" cm="1">
        <f t="array" ref="K128">VLOOKUP(E128,[1]A023951!D$1:H$1114,{3,5},0)</f>
        <v>#N/A</v>
      </c>
      <c r="L128" s="28"/>
      <c r="M128" s="28"/>
    </row>
    <row r="129" spans="1:13" x14ac:dyDescent="0.35">
      <c r="A129" s="28" t="s">
        <v>511</v>
      </c>
      <c r="B129" s="32">
        <v>2025</v>
      </c>
      <c r="C129" s="28" t="s">
        <v>515</v>
      </c>
      <c r="D129" s="29">
        <v>45889</v>
      </c>
      <c r="E129" s="28">
        <v>256779416814</v>
      </c>
      <c r="F129" s="28" t="s">
        <v>11</v>
      </c>
      <c r="G129" s="30">
        <v>230</v>
      </c>
      <c r="H129" s="28" t="s">
        <v>59</v>
      </c>
      <c r="I129" s="30">
        <v>19786.93</v>
      </c>
      <c r="J129" s="28" t="s">
        <v>622</v>
      </c>
      <c r="K129" s="28" t="e" cm="1">
        <f t="array" ref="K129">VLOOKUP(E129,[1]A023951!D$1:H$1114,{3,5},0)</f>
        <v>#N/A</v>
      </c>
      <c r="L129" s="28"/>
      <c r="M129" s="28"/>
    </row>
    <row r="130" spans="1:13" x14ac:dyDescent="0.35">
      <c r="A130" s="28" t="s">
        <v>511</v>
      </c>
      <c r="B130" s="32">
        <v>2025</v>
      </c>
      <c r="C130" s="28" t="s">
        <v>515</v>
      </c>
      <c r="D130" s="29">
        <v>45889</v>
      </c>
      <c r="E130" s="28">
        <v>256779416838</v>
      </c>
      <c r="F130" s="28" t="s">
        <v>11</v>
      </c>
      <c r="G130" s="30">
        <v>685.03</v>
      </c>
      <c r="H130" s="28" t="s">
        <v>59</v>
      </c>
      <c r="I130" s="30">
        <v>58933.21</v>
      </c>
      <c r="J130" s="28" t="s">
        <v>623</v>
      </c>
      <c r="K130" s="28" cm="1">
        <f t="array" ref="K130:L130">VLOOKUP(E130,[1]A023951!D$1:H$1114,{3,5},0)</f>
        <v>-685.03</v>
      </c>
      <c r="L130" s="28">
        <v>-59344.77</v>
      </c>
      <c r="M130" s="31">
        <f>I130+L130</f>
        <v>-411.55999999999767</v>
      </c>
    </row>
    <row r="131" spans="1:13" x14ac:dyDescent="0.35">
      <c r="A131" s="28" t="s">
        <v>511</v>
      </c>
      <c r="B131" s="32">
        <v>2025</v>
      </c>
      <c r="C131" s="28" t="s">
        <v>515</v>
      </c>
      <c r="D131" s="29">
        <v>45889</v>
      </c>
      <c r="E131" s="28">
        <v>256779416869</v>
      </c>
      <c r="F131" s="28" t="s">
        <v>11</v>
      </c>
      <c r="G131" s="30">
        <v>115.98</v>
      </c>
      <c r="H131" s="28" t="s">
        <v>59</v>
      </c>
      <c r="I131" s="30">
        <v>9977.77</v>
      </c>
      <c r="J131" s="28" t="s">
        <v>624</v>
      </c>
      <c r="K131" s="28" cm="1">
        <f t="array" ref="K131:L131">VLOOKUP(E131,[1]A023951!D$1:H$1114,{3,5},0)</f>
        <v>-115.98</v>
      </c>
      <c r="L131" s="28">
        <v>-10047.450000000001</v>
      </c>
      <c r="M131" s="31">
        <f>I131+L131</f>
        <v>-69.680000000000291</v>
      </c>
    </row>
    <row r="132" spans="1:13" x14ac:dyDescent="0.35">
      <c r="A132" s="28" t="s">
        <v>511</v>
      </c>
      <c r="B132" s="32">
        <v>2025</v>
      </c>
      <c r="C132" s="28" t="s">
        <v>515</v>
      </c>
      <c r="D132" s="29">
        <v>45999</v>
      </c>
      <c r="E132" s="28">
        <v>256779419858</v>
      </c>
      <c r="F132" s="28" t="s">
        <v>11</v>
      </c>
      <c r="G132" s="30">
        <v>147.37</v>
      </c>
      <c r="H132" s="28" t="s">
        <v>59</v>
      </c>
      <c r="I132" s="30">
        <v>13071.74</v>
      </c>
      <c r="J132" s="28" t="s">
        <v>625</v>
      </c>
      <c r="K132" s="28" cm="1">
        <f t="array" ref="K132:L132">VLOOKUP(E132,[1]A023951!D$1:H$1114,{3,5},0)</f>
        <v>-147.37</v>
      </c>
      <c r="L132" s="28">
        <v>-13138.74</v>
      </c>
      <c r="M132" s="31">
        <f>I132+L132</f>
        <v>-67</v>
      </c>
    </row>
    <row r="133" spans="1:13" x14ac:dyDescent="0.35">
      <c r="A133" s="28" t="s">
        <v>511</v>
      </c>
      <c r="B133" s="32">
        <v>2025</v>
      </c>
      <c r="C133" s="28" t="s">
        <v>515</v>
      </c>
      <c r="D133" s="29">
        <v>45707</v>
      </c>
      <c r="E133" s="28">
        <v>246779410081</v>
      </c>
      <c r="F133" s="28" t="s">
        <v>11</v>
      </c>
      <c r="G133" s="30">
        <v>52.38</v>
      </c>
      <c r="H133" s="28" t="s">
        <v>59</v>
      </c>
      <c r="I133" s="30">
        <v>4520.59</v>
      </c>
      <c r="J133" s="28" t="s">
        <v>626</v>
      </c>
      <c r="K133" s="28" cm="1">
        <f t="array" ref="K133:L133">VLOOKUP(E133,[1]A023951!D$1:H$1114,{3,5},0)</f>
        <v>-52.38</v>
      </c>
      <c r="L133" s="28">
        <v>-4532.9399999999996</v>
      </c>
      <c r="M133" s="31">
        <f>I133+L133</f>
        <v>-12.349999999999454</v>
      </c>
    </row>
    <row r="134" spans="1:13" x14ac:dyDescent="0.35">
      <c r="A134" s="28" t="s">
        <v>511</v>
      </c>
      <c r="B134" s="32">
        <v>2025</v>
      </c>
      <c r="C134" s="28" t="s">
        <v>515</v>
      </c>
      <c r="D134" s="29">
        <v>45797</v>
      </c>
      <c r="E134" s="28">
        <v>256779413835</v>
      </c>
      <c r="F134" s="28" t="s">
        <v>11</v>
      </c>
      <c r="G134" s="30">
        <v>206.02</v>
      </c>
      <c r="H134" s="28" t="s">
        <v>59</v>
      </c>
      <c r="I134" s="30">
        <v>17714.36</v>
      </c>
      <c r="J134" s="28" t="s">
        <v>627</v>
      </c>
      <c r="K134" s="28" t="e" cm="1">
        <f t="array" ref="K134">VLOOKUP(E134,[1]A023951!D$1:H$1114,{3,5},0)</f>
        <v>#N/A</v>
      </c>
      <c r="L134" s="28"/>
      <c r="M134" s="28"/>
    </row>
    <row r="135" spans="1:13" x14ac:dyDescent="0.35">
      <c r="A135" s="28" t="s">
        <v>511</v>
      </c>
      <c r="B135" s="32">
        <v>2025</v>
      </c>
      <c r="C135" s="28" t="s">
        <v>515</v>
      </c>
      <c r="D135" s="29">
        <v>45797</v>
      </c>
      <c r="E135" s="28">
        <v>256779413480</v>
      </c>
      <c r="F135" s="28" t="s">
        <v>11</v>
      </c>
      <c r="G135" s="30">
        <v>183.84</v>
      </c>
      <c r="H135" s="28" t="s">
        <v>59</v>
      </c>
      <c r="I135" s="30">
        <v>15807.24</v>
      </c>
      <c r="J135" s="28" t="s">
        <v>628</v>
      </c>
      <c r="K135" s="28" t="e" cm="1">
        <f t="array" ref="K135">VLOOKUP(E135,[1]A023951!D$1:H$1114,{3,5},0)</f>
        <v>#N/A</v>
      </c>
      <c r="L135" s="28"/>
      <c r="M135" s="28"/>
    </row>
    <row r="136" spans="1:13" x14ac:dyDescent="0.35">
      <c r="A136" s="28" t="s">
        <v>511</v>
      </c>
      <c r="B136" s="32">
        <v>2025</v>
      </c>
      <c r="C136" s="28" t="s">
        <v>515</v>
      </c>
      <c r="D136" s="29">
        <v>45797</v>
      </c>
      <c r="E136" s="28">
        <v>256779413879</v>
      </c>
      <c r="F136" s="28" t="s">
        <v>11</v>
      </c>
      <c r="G136" s="30">
        <v>37.17</v>
      </c>
      <c r="H136" s="28" t="s">
        <v>59</v>
      </c>
      <c r="I136" s="30">
        <v>3196.01</v>
      </c>
      <c r="J136" s="28" t="s">
        <v>629</v>
      </c>
      <c r="K136" s="28" t="e" cm="1">
        <f t="array" ref="K136">VLOOKUP(E136,[1]A023951!D$1:H$1114,{3,5},0)</f>
        <v>#N/A</v>
      </c>
      <c r="L136" s="28"/>
      <c r="M136" s="28"/>
    </row>
    <row r="137" spans="1:13" x14ac:dyDescent="0.35">
      <c r="A137" s="28" t="s">
        <v>511</v>
      </c>
      <c r="B137" s="32">
        <v>2025</v>
      </c>
      <c r="C137" s="28" t="s">
        <v>512</v>
      </c>
      <c r="D137" s="29">
        <v>45873</v>
      </c>
      <c r="E137" s="28">
        <v>256779421623</v>
      </c>
      <c r="F137" s="28" t="s">
        <v>11</v>
      </c>
      <c r="G137" s="30">
        <v>-608.41</v>
      </c>
      <c r="H137" s="28" t="s">
        <v>59</v>
      </c>
      <c r="I137" s="30">
        <v>-52323.67</v>
      </c>
      <c r="J137" s="28" t="s">
        <v>630</v>
      </c>
      <c r="K137" s="28" t="e" cm="1">
        <f t="array" ref="K137">VLOOKUP(E137,[1]A023951!D$1:H$1114,{3,5},0)</f>
        <v>#N/A</v>
      </c>
      <c r="L137" s="28"/>
      <c r="M137" s="28"/>
    </row>
    <row r="138" spans="1:13" x14ac:dyDescent="0.35">
      <c r="A138" s="28" t="s">
        <v>511</v>
      </c>
      <c r="B138" s="32">
        <v>2025</v>
      </c>
      <c r="C138" s="28" t="s">
        <v>515</v>
      </c>
      <c r="D138" s="29">
        <v>45750</v>
      </c>
      <c r="E138" s="28">
        <v>256779410196</v>
      </c>
      <c r="F138" s="28" t="s">
        <v>11</v>
      </c>
      <c r="G138" s="30">
        <v>246.52</v>
      </c>
      <c r="H138" s="28" t="s">
        <v>59</v>
      </c>
      <c r="I138" s="30">
        <v>21427.97</v>
      </c>
      <c r="J138" s="28" t="s">
        <v>631</v>
      </c>
      <c r="K138" s="28" cm="1">
        <f t="array" ref="K138:L138">VLOOKUP(E138,[1]A023951!D$1:H$1114,{3,5},0)</f>
        <v>-246.52</v>
      </c>
      <c r="L138" s="28">
        <v>-21133.41</v>
      </c>
      <c r="M138" s="31">
        <f>I138+L138</f>
        <v>294.56000000000131</v>
      </c>
    </row>
    <row r="139" spans="1:13" x14ac:dyDescent="0.35">
      <c r="A139" s="28" t="s">
        <v>511</v>
      </c>
      <c r="B139" s="32">
        <v>2025</v>
      </c>
      <c r="C139" s="28" t="s">
        <v>515</v>
      </c>
      <c r="D139" s="29">
        <v>45750</v>
      </c>
      <c r="E139" s="28">
        <v>256779410262</v>
      </c>
      <c r="F139" s="28" t="s">
        <v>11</v>
      </c>
      <c r="G139" s="30">
        <v>93.33</v>
      </c>
      <c r="H139" s="28" t="s">
        <v>59</v>
      </c>
      <c r="I139" s="30">
        <v>8112.41</v>
      </c>
      <c r="J139" s="28" t="s">
        <v>610</v>
      </c>
      <c r="K139" s="28" cm="1">
        <f t="array" ref="K139:L139">VLOOKUP(E139,[1]A023951!D$1:H$1114,{3,5},0)</f>
        <v>0</v>
      </c>
      <c r="L139" s="28">
        <v>-93.33</v>
      </c>
      <c r="M139" s="31">
        <f>I139+L139</f>
        <v>8019.08</v>
      </c>
    </row>
    <row r="140" spans="1:13" x14ac:dyDescent="0.35">
      <c r="A140" s="28" t="s">
        <v>511</v>
      </c>
      <c r="B140" s="32">
        <v>2025</v>
      </c>
      <c r="C140" s="28" t="s">
        <v>515</v>
      </c>
      <c r="D140" s="29">
        <v>45750</v>
      </c>
      <c r="E140" s="28">
        <v>256779410263</v>
      </c>
      <c r="F140" s="28" t="s">
        <v>11</v>
      </c>
      <c r="G140" s="30">
        <v>51.33</v>
      </c>
      <c r="H140" s="28" t="s">
        <v>59</v>
      </c>
      <c r="I140" s="30">
        <v>4461.7</v>
      </c>
      <c r="J140" s="28" t="s">
        <v>611</v>
      </c>
      <c r="K140" s="28" cm="1">
        <f t="array" ref="K140:L140">VLOOKUP(E140,[1]A023951!D$1:H$1114,{3,5},0)</f>
        <v>0</v>
      </c>
      <c r="L140" s="28">
        <v>-51.33</v>
      </c>
      <c r="M140" s="31">
        <f>I140+L140</f>
        <v>4410.37</v>
      </c>
    </row>
    <row r="141" spans="1:13" x14ac:dyDescent="0.35">
      <c r="A141" s="28" t="s">
        <v>511</v>
      </c>
      <c r="B141" s="32">
        <v>2025</v>
      </c>
      <c r="C141" s="28" t="s">
        <v>515</v>
      </c>
      <c r="D141" s="29">
        <v>45750</v>
      </c>
      <c r="E141" s="28">
        <v>256779410272</v>
      </c>
      <c r="F141" s="28" t="s">
        <v>11</v>
      </c>
      <c r="G141" s="30">
        <v>2286.2399999999998</v>
      </c>
      <c r="H141" s="28" t="s">
        <v>59</v>
      </c>
      <c r="I141" s="30">
        <v>198724.14</v>
      </c>
      <c r="J141" s="28" t="s">
        <v>617</v>
      </c>
      <c r="K141" s="28" t="e" cm="1">
        <f t="array" ref="K141">VLOOKUP(E141,[1]A023951!D$1:H$1114,{3,5},0)</f>
        <v>#N/A</v>
      </c>
      <c r="L141" s="28"/>
      <c r="M141" s="28"/>
    </row>
    <row r="142" spans="1:13" x14ac:dyDescent="0.35">
      <c r="A142" s="28" t="s">
        <v>511</v>
      </c>
      <c r="B142" s="32">
        <v>2025</v>
      </c>
      <c r="C142" s="28" t="s">
        <v>515</v>
      </c>
      <c r="D142" s="29">
        <v>45750</v>
      </c>
      <c r="E142" s="28">
        <v>256779410303</v>
      </c>
      <c r="F142" s="28" t="s">
        <v>11</v>
      </c>
      <c r="G142" s="30">
        <v>91.45</v>
      </c>
      <c r="H142" s="28" t="s">
        <v>59</v>
      </c>
      <c r="I142" s="30">
        <v>7949</v>
      </c>
      <c r="J142" s="28" t="s">
        <v>612</v>
      </c>
      <c r="K142" s="28" cm="1">
        <f t="array" ref="K142:L142">VLOOKUP(E142,[1]A023951!D$1:H$1114,{3,5},0)</f>
        <v>-91.45</v>
      </c>
      <c r="L142" s="28">
        <v>-7839.73</v>
      </c>
      <c r="M142" s="31">
        <f>I142+L142</f>
        <v>109.27000000000044</v>
      </c>
    </row>
    <row r="143" spans="1:13" x14ac:dyDescent="0.35">
      <c r="A143" s="28" t="s">
        <v>511</v>
      </c>
      <c r="B143" s="32">
        <v>2025</v>
      </c>
      <c r="C143" s="28" t="s">
        <v>515</v>
      </c>
      <c r="D143" s="29">
        <v>45750</v>
      </c>
      <c r="E143" s="28">
        <v>256779410304</v>
      </c>
      <c r="F143" s="28" t="s">
        <v>11</v>
      </c>
      <c r="G143" s="30">
        <v>50.3</v>
      </c>
      <c r="H143" s="28" t="s">
        <v>59</v>
      </c>
      <c r="I143" s="30">
        <v>4372.17</v>
      </c>
      <c r="J143" s="28" t="s">
        <v>613</v>
      </c>
      <c r="K143" s="28" cm="1">
        <f t="array" ref="K143:L143">VLOOKUP(E143,[1]A023951!D$1:H$1114,{3,5},0)</f>
        <v>-50.3</v>
      </c>
      <c r="L143" s="28">
        <v>-4312.07</v>
      </c>
      <c r="M143" s="31">
        <f>I143+L143</f>
        <v>60.100000000000364</v>
      </c>
    </row>
    <row r="144" spans="1:13" x14ac:dyDescent="0.35">
      <c r="A144" s="28" t="s">
        <v>511</v>
      </c>
      <c r="B144" s="32">
        <v>2025</v>
      </c>
      <c r="C144" s="28" t="s">
        <v>515</v>
      </c>
      <c r="D144" s="29">
        <v>45750</v>
      </c>
      <c r="E144" s="28">
        <v>256779410076</v>
      </c>
      <c r="F144" s="28" t="s">
        <v>11</v>
      </c>
      <c r="G144" s="30">
        <v>25.22</v>
      </c>
      <c r="H144" s="28" t="s">
        <v>59</v>
      </c>
      <c r="I144" s="30">
        <v>2192.17</v>
      </c>
      <c r="J144" s="28" t="s">
        <v>632</v>
      </c>
      <c r="K144" s="28" t="e" cm="1">
        <f t="array" ref="K144">VLOOKUP(E144,[1]A023951!D$1:H$1114,{3,5},0)</f>
        <v>#N/A</v>
      </c>
      <c r="L144" s="28"/>
      <c r="M144" s="28"/>
    </row>
    <row r="145" spans="1:13" x14ac:dyDescent="0.35">
      <c r="A145" s="28" t="s">
        <v>511</v>
      </c>
      <c r="B145" s="32">
        <v>2025</v>
      </c>
      <c r="C145" s="28" t="s">
        <v>515</v>
      </c>
      <c r="D145" s="29">
        <v>45750</v>
      </c>
      <c r="E145" s="28">
        <v>256779410077</v>
      </c>
      <c r="F145" s="28" t="s">
        <v>11</v>
      </c>
      <c r="G145" s="30">
        <v>84.96</v>
      </c>
      <c r="H145" s="28" t="s">
        <v>59</v>
      </c>
      <c r="I145" s="30">
        <v>7384.88</v>
      </c>
      <c r="J145" s="28" t="s">
        <v>633</v>
      </c>
      <c r="K145" s="28" t="e" cm="1">
        <f t="array" ref="K145">VLOOKUP(E145,[1]A023951!D$1:H$1114,{3,5},0)</f>
        <v>#N/A</v>
      </c>
      <c r="L145" s="28"/>
      <c r="M145" s="28"/>
    </row>
    <row r="146" spans="1:13" x14ac:dyDescent="0.35">
      <c r="A146" s="28" t="s">
        <v>511</v>
      </c>
      <c r="B146" s="32">
        <v>2025</v>
      </c>
      <c r="C146" s="28" t="s">
        <v>515</v>
      </c>
      <c r="D146" s="29">
        <v>45750</v>
      </c>
      <c r="E146" s="28">
        <v>256779410127</v>
      </c>
      <c r="F146" s="28" t="s">
        <v>11</v>
      </c>
      <c r="G146" s="30">
        <v>183.99</v>
      </c>
      <c r="H146" s="28" t="s">
        <v>59</v>
      </c>
      <c r="I146" s="30">
        <v>15992.75</v>
      </c>
      <c r="J146" s="28" t="s">
        <v>634</v>
      </c>
      <c r="K146" s="28" t="e" cm="1">
        <f t="array" ref="K146">VLOOKUP(E146,[1]A023951!D$1:H$1114,{3,5},0)</f>
        <v>#N/A</v>
      </c>
      <c r="L146" s="28"/>
      <c r="M146" s="28"/>
    </row>
    <row r="147" spans="1:13" x14ac:dyDescent="0.35">
      <c r="A147" s="28" t="s">
        <v>511</v>
      </c>
      <c r="B147" s="32">
        <v>2025</v>
      </c>
      <c r="C147" s="28" t="s">
        <v>515</v>
      </c>
      <c r="D147" s="29">
        <v>45750</v>
      </c>
      <c r="E147" s="28">
        <v>256779410213</v>
      </c>
      <c r="F147" s="28" t="s">
        <v>11</v>
      </c>
      <c r="G147" s="30">
        <v>236</v>
      </c>
      <c r="H147" s="28" t="s">
        <v>59</v>
      </c>
      <c r="I147" s="30">
        <v>20513.55</v>
      </c>
      <c r="J147" s="28" t="s">
        <v>635</v>
      </c>
      <c r="K147" s="28" t="e" cm="1">
        <f t="array" ref="K147">VLOOKUP(E147,[1]A023951!D$1:H$1114,{3,5},0)</f>
        <v>#N/A</v>
      </c>
      <c r="L147" s="28"/>
      <c r="M147" s="28"/>
    </row>
    <row r="148" spans="1:13" x14ac:dyDescent="0.35">
      <c r="A148" s="28" t="s">
        <v>511</v>
      </c>
      <c r="B148" s="32">
        <v>2025</v>
      </c>
      <c r="C148" s="28" t="s">
        <v>515</v>
      </c>
      <c r="D148" s="29">
        <v>45750</v>
      </c>
      <c r="E148" s="28">
        <v>256779410214</v>
      </c>
      <c r="F148" s="28" t="s">
        <v>11</v>
      </c>
      <c r="G148" s="30">
        <v>70.8</v>
      </c>
      <c r="H148" s="28" t="s">
        <v>59</v>
      </c>
      <c r="I148" s="30">
        <v>6154.06</v>
      </c>
      <c r="J148" s="28" t="s">
        <v>636</v>
      </c>
      <c r="K148" s="28" t="e" cm="1">
        <f t="array" ref="K148">VLOOKUP(E148,[1]A023951!D$1:H$1114,{3,5},0)</f>
        <v>#N/A</v>
      </c>
      <c r="L148" s="28"/>
      <c r="M148" s="28"/>
    </row>
    <row r="149" spans="1:13" x14ac:dyDescent="0.35">
      <c r="A149" s="28" t="s">
        <v>511</v>
      </c>
      <c r="B149" s="32">
        <v>2025</v>
      </c>
      <c r="C149" s="28" t="s">
        <v>515</v>
      </c>
      <c r="D149" s="29">
        <v>45750</v>
      </c>
      <c r="E149" s="28">
        <v>256779410231</v>
      </c>
      <c r="F149" s="28" t="s">
        <v>11</v>
      </c>
      <c r="G149" s="30">
        <v>2333.1799999999998</v>
      </c>
      <c r="H149" s="28" t="s">
        <v>59</v>
      </c>
      <c r="I149" s="30">
        <v>202804.25</v>
      </c>
      <c r="J149" s="28" t="s">
        <v>609</v>
      </c>
      <c r="K149" s="28" t="e" cm="1">
        <f t="array" ref="K149">VLOOKUP(E149,[1]A023951!D$1:H$1114,{3,5},0)</f>
        <v>#N/A</v>
      </c>
      <c r="L149" s="28"/>
      <c r="M149" s="28"/>
    </row>
    <row r="150" spans="1:13" x14ac:dyDescent="0.35">
      <c r="A150" s="28" t="s">
        <v>511</v>
      </c>
      <c r="B150" s="32">
        <v>2025</v>
      </c>
      <c r="C150" s="28" t="s">
        <v>515</v>
      </c>
      <c r="D150" s="29">
        <v>45950</v>
      </c>
      <c r="E150" s="28">
        <v>256779418653</v>
      </c>
      <c r="F150" s="28" t="s">
        <v>11</v>
      </c>
      <c r="G150" s="30">
        <v>170.68</v>
      </c>
      <c r="H150" s="28" t="s">
        <v>59</v>
      </c>
      <c r="I150" s="30">
        <v>15052.4</v>
      </c>
      <c r="J150" s="28" t="s">
        <v>637</v>
      </c>
      <c r="K150" s="28" cm="1">
        <f t="array" ref="K150:L150">VLOOKUP(E150,[1]A023951!D$1:H$1114,{3,5},0)</f>
        <v>-170.68</v>
      </c>
      <c r="L150" s="28">
        <v>-15132.4</v>
      </c>
      <c r="M150" s="31">
        <f>I150+L150</f>
        <v>-80</v>
      </c>
    </row>
    <row r="151" spans="1:13" x14ac:dyDescent="0.35">
      <c r="A151" s="28" t="s">
        <v>511</v>
      </c>
      <c r="B151" s="32">
        <v>2025</v>
      </c>
      <c r="C151" s="28" t="s">
        <v>515</v>
      </c>
      <c r="D151" s="29">
        <v>45950</v>
      </c>
      <c r="E151" s="28">
        <v>256779418692</v>
      </c>
      <c r="F151" s="28" t="s">
        <v>11</v>
      </c>
      <c r="G151" s="30">
        <v>531.26</v>
      </c>
      <c r="H151" s="28" t="s">
        <v>59</v>
      </c>
      <c r="I151" s="30">
        <v>46852.23</v>
      </c>
      <c r="J151" s="28" t="s">
        <v>638</v>
      </c>
      <c r="K151" s="28" t="e" cm="1">
        <f t="array" ref="K151">VLOOKUP(E151,[1]A023951!D$1:H$1114,{3,5},0)</f>
        <v>#N/A</v>
      </c>
      <c r="L151" s="28"/>
      <c r="M151" s="28"/>
    </row>
    <row r="152" spans="1:13" x14ac:dyDescent="0.35">
      <c r="A152" s="28" t="s">
        <v>511</v>
      </c>
      <c r="B152" s="32">
        <v>2025</v>
      </c>
      <c r="C152" s="28" t="s">
        <v>515</v>
      </c>
      <c r="D152" s="29">
        <v>45768</v>
      </c>
      <c r="E152" s="28">
        <v>256779412155</v>
      </c>
      <c r="F152" s="28" t="s">
        <v>11</v>
      </c>
      <c r="G152" s="30">
        <v>2330.73</v>
      </c>
      <c r="H152" s="28" t="s">
        <v>59</v>
      </c>
      <c r="I152" s="30">
        <v>199999.94</v>
      </c>
      <c r="J152" s="28" t="s">
        <v>639</v>
      </c>
      <c r="K152" s="28" cm="1">
        <f t="array" ref="K152:L152">VLOOKUP(E152,[1]A023951!D$1:H$1114,{3,5},0)</f>
        <v>-2330.73</v>
      </c>
      <c r="L152" s="28">
        <v>-199806.42</v>
      </c>
      <c r="M152" s="31">
        <f>I152+L152</f>
        <v>193.51999999998952</v>
      </c>
    </row>
    <row r="153" spans="1:13" x14ac:dyDescent="0.35">
      <c r="A153" s="28" t="s">
        <v>511</v>
      </c>
      <c r="B153" s="32">
        <v>2025</v>
      </c>
      <c r="C153" s="28" t="s">
        <v>515</v>
      </c>
      <c r="D153" s="29">
        <v>45768</v>
      </c>
      <c r="E153" s="28">
        <v>256779412184</v>
      </c>
      <c r="F153" s="28" t="s">
        <v>11</v>
      </c>
      <c r="G153" s="30">
        <v>93.23</v>
      </c>
      <c r="H153" s="28" t="s">
        <v>59</v>
      </c>
      <c r="I153" s="30">
        <v>8000.07</v>
      </c>
      <c r="J153" s="28" t="s">
        <v>639</v>
      </c>
      <c r="K153" s="28" cm="1">
        <f t="array" ref="K153:L153">VLOOKUP(E153,[1]A023951!D$1:H$1114,{3,5},0)</f>
        <v>-93.23</v>
      </c>
      <c r="L153" s="28">
        <v>-7992.33</v>
      </c>
      <c r="M153" s="31">
        <f>I153+L153</f>
        <v>7.7399999999997817</v>
      </c>
    </row>
    <row r="154" spans="1:13" x14ac:dyDescent="0.35">
      <c r="A154" s="28" t="s">
        <v>511</v>
      </c>
      <c r="B154" s="32">
        <v>2025</v>
      </c>
      <c r="C154" s="28" t="s">
        <v>515</v>
      </c>
      <c r="D154" s="29">
        <v>45768</v>
      </c>
      <c r="E154" s="28">
        <v>256779412185</v>
      </c>
      <c r="F154" s="28" t="s">
        <v>11</v>
      </c>
      <c r="G154" s="30">
        <v>51.28</v>
      </c>
      <c r="H154" s="28" t="s">
        <v>59</v>
      </c>
      <c r="I154" s="30">
        <v>4400.34</v>
      </c>
      <c r="J154" s="28" t="s">
        <v>639</v>
      </c>
      <c r="K154" s="28" cm="1">
        <f t="array" ref="K154:L154">VLOOKUP(E154,[1]A023951!D$1:H$1114,{3,5},0)</f>
        <v>-51.28</v>
      </c>
      <c r="L154" s="28">
        <v>-4396.08</v>
      </c>
      <c r="M154" s="31">
        <f>I154+L154</f>
        <v>4.2600000000002183</v>
      </c>
    </row>
    <row r="155" spans="1:13" x14ac:dyDescent="0.35">
      <c r="A155" s="28" t="s">
        <v>511</v>
      </c>
      <c r="B155" s="32">
        <v>2025</v>
      </c>
      <c r="C155" s="28" t="s">
        <v>515</v>
      </c>
      <c r="D155" s="29">
        <v>45768</v>
      </c>
      <c r="E155" s="28">
        <v>256779412189</v>
      </c>
      <c r="F155" s="28" t="s">
        <v>59</v>
      </c>
      <c r="G155" s="30">
        <v>262.20999999999998</v>
      </c>
      <c r="H155" s="28" t="s">
        <v>59</v>
      </c>
      <c r="I155" s="30">
        <v>262.20999999999998</v>
      </c>
      <c r="J155" s="28" t="s">
        <v>639</v>
      </c>
      <c r="K155" s="28" cm="1">
        <f t="array" ref="K155:L155">VLOOKUP(E155,[1]A023951!D$1:H$1114,{3,5},0)</f>
        <v>0</v>
      </c>
      <c r="L155" s="28">
        <v>-262.20999999999998</v>
      </c>
      <c r="M155" s="31">
        <f>I155+L155</f>
        <v>0</v>
      </c>
    </row>
    <row r="156" spans="1:13" x14ac:dyDescent="0.35">
      <c r="A156" s="28" t="s">
        <v>511</v>
      </c>
      <c r="B156" s="32">
        <v>2025</v>
      </c>
      <c r="C156" s="28" t="s">
        <v>512</v>
      </c>
      <c r="D156" s="29">
        <v>45862</v>
      </c>
      <c r="E156" s="28">
        <v>256779421498</v>
      </c>
      <c r="F156" s="28" t="s">
        <v>11</v>
      </c>
      <c r="G156" s="30">
        <v>-95.24</v>
      </c>
      <c r="H156" s="28" t="s">
        <v>59</v>
      </c>
      <c r="I156" s="30">
        <v>-8190.7</v>
      </c>
      <c r="J156" s="28" t="s">
        <v>640</v>
      </c>
      <c r="K156" s="28" t="e" cm="1">
        <f t="array" ref="K156">VLOOKUP(E156,[1]A023951!D$1:H$1114,{3,5},0)</f>
        <v>#N/A</v>
      </c>
      <c r="L156" s="28"/>
      <c r="M156" s="28"/>
    </row>
    <row r="157" spans="1:13" x14ac:dyDescent="0.35">
      <c r="A157" s="28" t="s">
        <v>511</v>
      </c>
      <c r="B157" s="32">
        <v>2025</v>
      </c>
      <c r="C157" s="28" t="s">
        <v>512</v>
      </c>
      <c r="D157" s="29">
        <v>45862</v>
      </c>
      <c r="E157" s="28">
        <v>256779421512</v>
      </c>
      <c r="F157" s="28" t="s">
        <v>11</v>
      </c>
      <c r="G157" s="30">
        <v>-2333.1799999999998</v>
      </c>
      <c r="H157" s="28" t="s">
        <v>59</v>
      </c>
      <c r="I157" s="30">
        <v>-200655.04</v>
      </c>
      <c r="J157" s="28" t="s">
        <v>641</v>
      </c>
      <c r="K157" s="28" t="e" cm="1">
        <f t="array" ref="K157">VLOOKUP(E157,[1]A023951!D$1:H$1114,{3,5},0)</f>
        <v>#N/A</v>
      </c>
      <c r="L157" s="28"/>
      <c r="M157" s="28"/>
    </row>
    <row r="158" spans="1:13" x14ac:dyDescent="0.35">
      <c r="A158" s="28" t="s">
        <v>511</v>
      </c>
      <c r="B158" s="32">
        <v>2025</v>
      </c>
      <c r="C158" s="28" t="s">
        <v>512</v>
      </c>
      <c r="D158" s="29">
        <v>45800</v>
      </c>
      <c r="E158" s="28">
        <v>256779421106</v>
      </c>
      <c r="F158" s="28" t="s">
        <v>11</v>
      </c>
      <c r="G158" s="30">
        <v>-707.71</v>
      </c>
      <c r="H158" s="28" t="s">
        <v>59</v>
      </c>
      <c r="I158" s="30">
        <v>-60851.519999999997</v>
      </c>
      <c r="J158" s="28" t="s">
        <v>642</v>
      </c>
      <c r="K158" s="28" t="e" cm="1">
        <f t="array" ref="K158">VLOOKUP(E158,[1]A023951!D$1:H$1114,{3,5},0)</f>
        <v>#N/A</v>
      </c>
      <c r="L158" s="28"/>
      <c r="M158" s="28"/>
    </row>
    <row r="159" spans="1:13" x14ac:dyDescent="0.35">
      <c r="A159" s="28" t="s">
        <v>511</v>
      </c>
      <c r="B159" s="32">
        <v>2025</v>
      </c>
      <c r="C159" s="28" t="s">
        <v>512</v>
      </c>
      <c r="D159" s="29">
        <v>45800</v>
      </c>
      <c r="E159" s="28">
        <v>256779421109</v>
      </c>
      <c r="F159" s="28" t="s">
        <v>11</v>
      </c>
      <c r="G159" s="30">
        <v>-3.78</v>
      </c>
      <c r="H159" s="28" t="s">
        <v>59</v>
      </c>
      <c r="I159" s="30">
        <v>-325.02</v>
      </c>
      <c r="J159" s="28" t="s">
        <v>643</v>
      </c>
      <c r="K159" s="28" t="e" cm="1">
        <f t="array" ref="K159">VLOOKUP(E159,[1]A023951!D$1:H$1114,{3,5},0)</f>
        <v>#N/A</v>
      </c>
      <c r="L159" s="28"/>
      <c r="M159" s="28"/>
    </row>
    <row r="160" spans="1:13" x14ac:dyDescent="0.35">
      <c r="A160" s="28" t="s">
        <v>511</v>
      </c>
      <c r="B160" s="32">
        <v>2025</v>
      </c>
      <c r="C160" s="28" t="s">
        <v>515</v>
      </c>
      <c r="D160" s="29">
        <v>45798</v>
      </c>
      <c r="E160" s="28">
        <v>256779413391</v>
      </c>
      <c r="F160" s="28" t="s">
        <v>11</v>
      </c>
      <c r="G160" s="30">
        <v>253.29</v>
      </c>
      <c r="H160" s="28" t="s">
        <v>59</v>
      </c>
      <c r="I160" s="30">
        <v>21778.81</v>
      </c>
      <c r="J160" s="28" t="s">
        <v>644</v>
      </c>
      <c r="K160" s="28" cm="1">
        <f t="array" ref="K160:L160">VLOOKUP(E160,[1]A023951!D$1:H$1114,{3,5},0)</f>
        <v>-253.29</v>
      </c>
      <c r="L160" s="28">
        <v>-21624.5</v>
      </c>
      <c r="M160" s="31">
        <f t="shared" ref="M160:M172" si="6">I160+L160</f>
        <v>154.31000000000131</v>
      </c>
    </row>
    <row r="161" spans="1:13" x14ac:dyDescent="0.35">
      <c r="A161" s="28" t="s">
        <v>511</v>
      </c>
      <c r="B161" s="32">
        <v>2025</v>
      </c>
      <c r="C161" s="28" t="s">
        <v>515</v>
      </c>
      <c r="D161" s="29">
        <v>45798</v>
      </c>
      <c r="E161" s="28">
        <v>256779413392</v>
      </c>
      <c r="F161" s="28" t="s">
        <v>11</v>
      </c>
      <c r="G161" s="30">
        <v>218.17</v>
      </c>
      <c r="H161" s="28" t="s">
        <v>59</v>
      </c>
      <c r="I161" s="30">
        <v>18759.060000000001</v>
      </c>
      <c r="J161" s="28" t="s">
        <v>644</v>
      </c>
      <c r="K161" s="28" cm="1">
        <f t="array" ref="K161:L161">VLOOKUP(E161,[1]A023951!D$1:H$1114,{3,5},0)</f>
        <v>-218.17</v>
      </c>
      <c r="L161" s="28">
        <v>-18626.150000000001</v>
      </c>
      <c r="M161" s="31">
        <f t="shared" si="6"/>
        <v>132.90999999999985</v>
      </c>
    </row>
    <row r="162" spans="1:13" x14ac:dyDescent="0.35">
      <c r="A162" s="28" t="s">
        <v>511</v>
      </c>
      <c r="B162" s="32">
        <v>2025</v>
      </c>
      <c r="C162" s="28" t="s">
        <v>515</v>
      </c>
      <c r="D162" s="29">
        <v>45798</v>
      </c>
      <c r="E162" s="28">
        <v>256779413393</v>
      </c>
      <c r="F162" s="28" t="s">
        <v>11</v>
      </c>
      <c r="G162" s="30">
        <v>229.87</v>
      </c>
      <c r="H162" s="28" t="s">
        <v>59</v>
      </c>
      <c r="I162" s="30">
        <v>19765.07</v>
      </c>
      <c r="J162" s="28" t="s">
        <v>644</v>
      </c>
      <c r="K162" s="28" cm="1">
        <f t="array" ref="K162:L162">VLOOKUP(E162,[1]A023951!D$1:H$1114,{3,5},0)</f>
        <v>-229.87</v>
      </c>
      <c r="L162" s="28">
        <v>-19625.03</v>
      </c>
      <c r="M162" s="31">
        <f t="shared" si="6"/>
        <v>140.04000000000087</v>
      </c>
    </row>
    <row r="163" spans="1:13" x14ac:dyDescent="0.35">
      <c r="A163" s="28" t="s">
        <v>511</v>
      </c>
      <c r="B163" s="32">
        <v>2025</v>
      </c>
      <c r="C163" s="28" t="s">
        <v>515</v>
      </c>
      <c r="D163" s="29">
        <v>45798</v>
      </c>
      <c r="E163" s="28">
        <v>256779413394</v>
      </c>
      <c r="F163" s="28" t="s">
        <v>11</v>
      </c>
      <c r="G163" s="30">
        <v>218.17</v>
      </c>
      <c r="H163" s="28" t="s">
        <v>59</v>
      </c>
      <c r="I163" s="30">
        <v>18759.060000000001</v>
      </c>
      <c r="J163" s="28" t="s">
        <v>644</v>
      </c>
      <c r="K163" s="28" cm="1">
        <f t="array" ref="K163:L163">VLOOKUP(E163,[1]A023951!D$1:H$1114,{3,5},0)</f>
        <v>-218.17</v>
      </c>
      <c r="L163" s="28">
        <v>-18626.150000000001</v>
      </c>
      <c r="M163" s="31">
        <f t="shared" si="6"/>
        <v>132.90999999999985</v>
      </c>
    </row>
    <row r="164" spans="1:13" x14ac:dyDescent="0.35">
      <c r="A164" s="28" t="s">
        <v>511</v>
      </c>
      <c r="B164" s="32">
        <v>2025</v>
      </c>
      <c r="C164" s="28" t="s">
        <v>515</v>
      </c>
      <c r="D164" s="29">
        <v>45798</v>
      </c>
      <c r="E164" s="28">
        <v>256779413395</v>
      </c>
      <c r="F164" s="28" t="s">
        <v>11</v>
      </c>
      <c r="G164" s="30">
        <v>264.98</v>
      </c>
      <c r="H164" s="28" t="s">
        <v>59</v>
      </c>
      <c r="I164" s="30">
        <v>22783.96</v>
      </c>
      <c r="J164" s="28" t="s">
        <v>645</v>
      </c>
      <c r="K164" s="28" cm="1">
        <f t="array" ref="K164:L164">VLOOKUP(E164,[1]A023951!D$1:H$1114,{3,5},0)</f>
        <v>-264.98</v>
      </c>
      <c r="L164" s="28">
        <v>-22622.53</v>
      </c>
      <c r="M164" s="31">
        <f t="shared" si="6"/>
        <v>161.43000000000029</v>
      </c>
    </row>
    <row r="165" spans="1:13" x14ac:dyDescent="0.35">
      <c r="A165" s="28" t="s">
        <v>511</v>
      </c>
      <c r="B165" s="32">
        <v>2025</v>
      </c>
      <c r="C165" s="28" t="s">
        <v>515</v>
      </c>
      <c r="D165" s="29">
        <v>45798</v>
      </c>
      <c r="E165" s="28">
        <v>256779413396</v>
      </c>
      <c r="F165" s="28" t="s">
        <v>11</v>
      </c>
      <c r="G165" s="30">
        <v>218.17</v>
      </c>
      <c r="H165" s="28" t="s">
        <v>59</v>
      </c>
      <c r="I165" s="30">
        <v>18759.060000000001</v>
      </c>
      <c r="J165" s="28" t="s">
        <v>645</v>
      </c>
      <c r="K165" s="28" cm="1">
        <f t="array" ref="K165:L165">VLOOKUP(E165,[1]A023951!D$1:H$1114,{3,5},0)</f>
        <v>-218.17</v>
      </c>
      <c r="L165" s="28">
        <v>-18626.150000000001</v>
      </c>
      <c r="M165" s="31">
        <f t="shared" si="6"/>
        <v>132.90999999999985</v>
      </c>
    </row>
    <row r="166" spans="1:13" x14ac:dyDescent="0.35">
      <c r="A166" s="28" t="s">
        <v>511</v>
      </c>
      <c r="B166" s="32">
        <v>2025</v>
      </c>
      <c r="C166" s="28" t="s">
        <v>515</v>
      </c>
      <c r="D166" s="29">
        <v>45798</v>
      </c>
      <c r="E166" s="28">
        <v>256779413397</v>
      </c>
      <c r="F166" s="28" t="s">
        <v>11</v>
      </c>
      <c r="G166" s="30">
        <v>229.87</v>
      </c>
      <c r="H166" s="28" t="s">
        <v>59</v>
      </c>
      <c r="I166" s="30">
        <v>19765.07</v>
      </c>
      <c r="J166" s="28" t="s">
        <v>645</v>
      </c>
      <c r="K166" s="28" cm="1">
        <f t="array" ref="K166:L166">VLOOKUP(E166,[1]A023951!D$1:H$1114,{3,5},0)</f>
        <v>-229.87</v>
      </c>
      <c r="L166" s="28">
        <v>-19625.03</v>
      </c>
      <c r="M166" s="31">
        <f t="shared" si="6"/>
        <v>140.04000000000087</v>
      </c>
    </row>
    <row r="167" spans="1:13" x14ac:dyDescent="0.35">
      <c r="A167" s="28" t="s">
        <v>511</v>
      </c>
      <c r="B167" s="32">
        <v>2025</v>
      </c>
      <c r="C167" s="28" t="s">
        <v>515</v>
      </c>
      <c r="D167" s="29">
        <v>45798</v>
      </c>
      <c r="E167" s="28">
        <v>256779413398</v>
      </c>
      <c r="F167" s="28" t="s">
        <v>11</v>
      </c>
      <c r="G167" s="30">
        <v>218.17</v>
      </c>
      <c r="H167" s="28" t="s">
        <v>59</v>
      </c>
      <c r="I167" s="30">
        <v>18759.060000000001</v>
      </c>
      <c r="J167" s="28" t="s">
        <v>645</v>
      </c>
      <c r="K167" s="28" cm="1">
        <f t="array" ref="K167:L167">VLOOKUP(E167,[1]A023951!D$1:H$1114,{3,5},0)</f>
        <v>-218.17</v>
      </c>
      <c r="L167" s="28">
        <v>-18626.150000000001</v>
      </c>
      <c r="M167" s="31">
        <f t="shared" si="6"/>
        <v>132.90999999999985</v>
      </c>
    </row>
    <row r="168" spans="1:13" x14ac:dyDescent="0.35">
      <c r="A168" s="28" t="s">
        <v>511</v>
      </c>
      <c r="B168" s="32">
        <v>2025</v>
      </c>
      <c r="C168" s="28" t="s">
        <v>515</v>
      </c>
      <c r="D168" s="29">
        <v>45798</v>
      </c>
      <c r="E168" s="28">
        <v>256779413399</v>
      </c>
      <c r="F168" s="28" t="s">
        <v>11</v>
      </c>
      <c r="G168" s="30">
        <v>229.87</v>
      </c>
      <c r="H168" s="28" t="s">
        <v>59</v>
      </c>
      <c r="I168" s="30">
        <v>19765.07</v>
      </c>
      <c r="J168" s="28" t="s">
        <v>645</v>
      </c>
      <c r="K168" s="28" cm="1">
        <f t="array" ref="K168:L168">VLOOKUP(E168,[1]A023951!D$1:H$1114,{3,5},0)</f>
        <v>-229.87</v>
      </c>
      <c r="L168" s="28">
        <v>-19625.03</v>
      </c>
      <c r="M168" s="31">
        <f t="shared" si="6"/>
        <v>140.04000000000087</v>
      </c>
    </row>
    <row r="169" spans="1:13" x14ac:dyDescent="0.35">
      <c r="A169" s="28" t="s">
        <v>511</v>
      </c>
      <c r="B169" s="32">
        <v>2025</v>
      </c>
      <c r="C169" s="28" t="s">
        <v>515</v>
      </c>
      <c r="D169" s="29">
        <v>45798</v>
      </c>
      <c r="E169" s="28">
        <v>256779413400</v>
      </c>
      <c r="F169" s="28" t="s">
        <v>11</v>
      </c>
      <c r="G169" s="30">
        <v>218.17</v>
      </c>
      <c r="H169" s="28" t="s">
        <v>59</v>
      </c>
      <c r="I169" s="30">
        <v>18759.060000000001</v>
      </c>
      <c r="J169" s="28" t="s">
        <v>645</v>
      </c>
      <c r="K169" s="28" cm="1">
        <f t="array" ref="K169:L169">VLOOKUP(E169,[1]A023951!D$1:H$1114,{3,5},0)</f>
        <v>-218.17</v>
      </c>
      <c r="L169" s="28">
        <v>-18626.150000000001</v>
      </c>
      <c r="M169" s="31">
        <f t="shared" si="6"/>
        <v>132.90999999999985</v>
      </c>
    </row>
    <row r="170" spans="1:13" x14ac:dyDescent="0.35">
      <c r="A170" s="28" t="s">
        <v>511</v>
      </c>
      <c r="B170" s="32">
        <v>2025</v>
      </c>
      <c r="C170" s="28" t="s">
        <v>515</v>
      </c>
      <c r="D170" s="29">
        <v>45798</v>
      </c>
      <c r="E170" s="28">
        <v>256779413401</v>
      </c>
      <c r="F170" s="28" t="s">
        <v>11</v>
      </c>
      <c r="G170" s="30">
        <v>229.87</v>
      </c>
      <c r="H170" s="28" t="s">
        <v>59</v>
      </c>
      <c r="I170" s="30">
        <v>19765.07</v>
      </c>
      <c r="J170" s="28" t="s">
        <v>645</v>
      </c>
      <c r="K170" s="28" cm="1">
        <f t="array" ref="K170:L170">VLOOKUP(E170,[1]A023951!D$1:H$1114,{3,5},0)</f>
        <v>-229.87</v>
      </c>
      <c r="L170" s="28">
        <v>-19625.03</v>
      </c>
      <c r="M170" s="31">
        <f t="shared" si="6"/>
        <v>140.04000000000087</v>
      </c>
    </row>
    <row r="171" spans="1:13" x14ac:dyDescent="0.35">
      <c r="A171" s="28" t="s">
        <v>511</v>
      </c>
      <c r="B171" s="32">
        <v>2025</v>
      </c>
      <c r="C171" s="28" t="s">
        <v>515</v>
      </c>
      <c r="D171" s="29">
        <v>45798</v>
      </c>
      <c r="E171" s="28">
        <v>256779413402</v>
      </c>
      <c r="F171" s="28" t="s">
        <v>11</v>
      </c>
      <c r="G171" s="30">
        <v>229.87</v>
      </c>
      <c r="H171" s="28" t="s">
        <v>59</v>
      </c>
      <c r="I171" s="30">
        <v>19765.07</v>
      </c>
      <c r="J171" s="28" t="s">
        <v>645</v>
      </c>
      <c r="K171" s="28" cm="1">
        <f t="array" ref="K171:L171">VLOOKUP(E171,[1]A023951!D$1:H$1114,{3,5},0)</f>
        <v>-229.87</v>
      </c>
      <c r="L171" s="28">
        <v>-19625.03</v>
      </c>
      <c r="M171" s="31">
        <f t="shared" si="6"/>
        <v>140.04000000000087</v>
      </c>
    </row>
    <row r="172" spans="1:13" x14ac:dyDescent="0.35">
      <c r="A172" s="28" t="s">
        <v>511</v>
      </c>
      <c r="B172" s="32">
        <v>2025</v>
      </c>
      <c r="C172" s="28" t="s">
        <v>515</v>
      </c>
      <c r="D172" s="29">
        <v>45798</v>
      </c>
      <c r="E172" s="28">
        <v>256779413403</v>
      </c>
      <c r="F172" s="28" t="s">
        <v>11</v>
      </c>
      <c r="G172" s="30">
        <v>402.88</v>
      </c>
      <c r="H172" s="28" t="s">
        <v>59</v>
      </c>
      <c r="I172" s="30">
        <v>34641.11</v>
      </c>
      <c r="J172" s="28" t="s">
        <v>646</v>
      </c>
      <c r="K172" s="28" cm="1">
        <f t="array" ref="K172:L172">VLOOKUP(E172,[1]A023951!D$1:H$1114,{3,5},0)</f>
        <v>-402.88</v>
      </c>
      <c r="L172" s="28">
        <v>-34395.67</v>
      </c>
      <c r="M172" s="31">
        <f t="shared" si="6"/>
        <v>245.44000000000233</v>
      </c>
    </row>
    <row r="173" spans="1:13" x14ac:dyDescent="0.35">
      <c r="A173" s="28" t="s">
        <v>511</v>
      </c>
      <c r="B173" s="32">
        <v>2025</v>
      </c>
      <c r="C173" s="28" t="s">
        <v>512</v>
      </c>
      <c r="D173" s="29">
        <v>45890</v>
      </c>
      <c r="E173" s="28">
        <v>256779421698</v>
      </c>
      <c r="F173" s="28" t="s">
        <v>11</v>
      </c>
      <c r="G173" s="30">
        <v>-30</v>
      </c>
      <c r="H173" s="28" t="s">
        <v>59</v>
      </c>
      <c r="I173" s="30">
        <v>-2580.9</v>
      </c>
      <c r="J173" s="28" t="s">
        <v>647</v>
      </c>
      <c r="K173" s="28" t="e" cm="1">
        <f t="array" ref="K173">VLOOKUP(E173,[1]A023951!D$1:H$1114,{3,5},0)</f>
        <v>#N/A</v>
      </c>
      <c r="L173" s="28"/>
      <c r="M173" s="28"/>
    </row>
    <row r="174" spans="1:13" x14ac:dyDescent="0.35">
      <c r="A174" s="28" t="s">
        <v>511</v>
      </c>
      <c r="B174" s="32">
        <v>2025</v>
      </c>
      <c r="C174" s="28" t="s">
        <v>512</v>
      </c>
      <c r="D174" s="29">
        <v>45890</v>
      </c>
      <c r="E174" s="28">
        <v>256779421699</v>
      </c>
      <c r="F174" s="28" t="s">
        <v>11</v>
      </c>
      <c r="G174" s="30">
        <v>-30</v>
      </c>
      <c r="H174" s="28" t="s">
        <v>59</v>
      </c>
      <c r="I174" s="30">
        <v>-2580.9</v>
      </c>
      <c r="J174" s="28" t="s">
        <v>648</v>
      </c>
      <c r="K174" s="28" t="e" cm="1">
        <f t="array" ref="K174">VLOOKUP(E174,[1]A023951!D$1:H$1114,{3,5},0)</f>
        <v>#N/A</v>
      </c>
      <c r="L174" s="28"/>
      <c r="M174" s="28"/>
    </row>
    <row r="175" spans="1:13" x14ac:dyDescent="0.35">
      <c r="A175" s="28" t="s">
        <v>511</v>
      </c>
      <c r="B175" s="32">
        <v>2025</v>
      </c>
      <c r="C175" s="28" t="s">
        <v>512</v>
      </c>
      <c r="D175" s="29">
        <v>45890</v>
      </c>
      <c r="E175" s="28">
        <v>256779421700</v>
      </c>
      <c r="F175" s="28" t="s">
        <v>11</v>
      </c>
      <c r="G175" s="30">
        <v>-30</v>
      </c>
      <c r="H175" s="28" t="s">
        <v>59</v>
      </c>
      <c r="I175" s="30">
        <v>-2580.9</v>
      </c>
      <c r="J175" s="28" t="s">
        <v>649</v>
      </c>
      <c r="K175" s="28" t="e" cm="1">
        <f t="array" ref="K175">VLOOKUP(E175,[1]A023951!D$1:H$1114,{3,5},0)</f>
        <v>#N/A</v>
      </c>
      <c r="L175" s="28"/>
      <c r="M175" s="28"/>
    </row>
    <row r="176" spans="1:13" x14ac:dyDescent="0.35">
      <c r="A176" s="28" t="s">
        <v>511</v>
      </c>
      <c r="B176" s="32">
        <v>2025</v>
      </c>
      <c r="C176" s="28" t="s">
        <v>512</v>
      </c>
      <c r="D176" s="29">
        <v>45890</v>
      </c>
      <c r="E176" s="28">
        <v>256779421701</v>
      </c>
      <c r="F176" s="28" t="s">
        <v>11</v>
      </c>
      <c r="G176" s="30">
        <v>-30</v>
      </c>
      <c r="H176" s="28" t="s">
        <v>59</v>
      </c>
      <c r="I176" s="30">
        <v>-2580.9</v>
      </c>
      <c r="J176" s="28" t="s">
        <v>650</v>
      </c>
      <c r="K176" s="28" t="e" cm="1">
        <f t="array" ref="K176">VLOOKUP(E176,[1]A023951!D$1:H$1114,{3,5},0)</f>
        <v>#N/A</v>
      </c>
      <c r="L176" s="28"/>
      <c r="M176" s="28"/>
    </row>
    <row r="177" spans="1:13" x14ac:dyDescent="0.35">
      <c r="A177" s="28" t="s">
        <v>511</v>
      </c>
      <c r="B177" s="32">
        <v>2025</v>
      </c>
      <c r="C177" s="28" t="s">
        <v>512</v>
      </c>
      <c r="D177" s="29">
        <v>45890</v>
      </c>
      <c r="E177" s="28">
        <v>256779421702</v>
      </c>
      <c r="F177" s="28" t="s">
        <v>11</v>
      </c>
      <c r="G177" s="30">
        <v>-30</v>
      </c>
      <c r="H177" s="28" t="s">
        <v>59</v>
      </c>
      <c r="I177" s="30">
        <v>-2580.9</v>
      </c>
      <c r="J177" s="28" t="s">
        <v>651</v>
      </c>
      <c r="K177" s="28" t="e" cm="1">
        <f t="array" ref="K177">VLOOKUP(E177,[1]A023951!D$1:H$1114,{3,5},0)</f>
        <v>#N/A</v>
      </c>
      <c r="L177" s="28"/>
      <c r="M177" s="28"/>
    </row>
    <row r="178" spans="1:13" x14ac:dyDescent="0.35">
      <c r="A178" s="28" t="s">
        <v>511</v>
      </c>
      <c r="B178" s="32">
        <v>2025</v>
      </c>
      <c r="C178" s="28" t="s">
        <v>512</v>
      </c>
      <c r="D178" s="29">
        <v>45890</v>
      </c>
      <c r="E178" s="28">
        <v>256779421703</v>
      </c>
      <c r="F178" s="28" t="s">
        <v>11</v>
      </c>
      <c r="G178" s="30">
        <v>-27.39</v>
      </c>
      <c r="H178" s="28" t="s">
        <v>59</v>
      </c>
      <c r="I178" s="30">
        <v>-2356.36</v>
      </c>
      <c r="J178" s="28" t="s">
        <v>652</v>
      </c>
      <c r="K178" s="28" t="e" cm="1">
        <f t="array" ref="K178">VLOOKUP(E178,[1]A023951!D$1:H$1114,{3,5},0)</f>
        <v>#N/A</v>
      </c>
      <c r="L178" s="28"/>
      <c r="M178" s="28"/>
    </row>
    <row r="179" spans="1:13" x14ac:dyDescent="0.35">
      <c r="A179" s="28" t="s">
        <v>511</v>
      </c>
      <c r="B179" s="32">
        <v>2025</v>
      </c>
      <c r="C179" s="28" t="s">
        <v>512</v>
      </c>
      <c r="D179" s="29">
        <v>45890</v>
      </c>
      <c r="E179" s="28">
        <v>256779421705</v>
      </c>
      <c r="F179" s="28" t="s">
        <v>11</v>
      </c>
      <c r="G179" s="30">
        <v>-212.5</v>
      </c>
      <c r="H179" s="28" t="s">
        <v>59</v>
      </c>
      <c r="I179" s="30">
        <v>-18281.400000000001</v>
      </c>
      <c r="J179" s="28" t="s">
        <v>653</v>
      </c>
      <c r="K179" s="28" t="e" cm="1">
        <f t="array" ref="K179">VLOOKUP(E179,[1]A023951!D$1:H$1114,{3,5},0)</f>
        <v>#N/A</v>
      </c>
      <c r="L179" s="28"/>
      <c r="M179" s="28"/>
    </row>
    <row r="180" spans="1:13" x14ac:dyDescent="0.35">
      <c r="A180" s="28" t="s">
        <v>511</v>
      </c>
      <c r="B180" s="32">
        <v>2025</v>
      </c>
      <c r="C180" s="28" t="s">
        <v>512</v>
      </c>
      <c r="D180" s="29">
        <v>45890</v>
      </c>
      <c r="E180" s="28">
        <v>256779421706</v>
      </c>
      <c r="F180" s="28" t="s">
        <v>11</v>
      </c>
      <c r="G180" s="30">
        <v>-362.02</v>
      </c>
      <c r="H180" s="28" t="s">
        <v>59</v>
      </c>
      <c r="I180" s="30">
        <v>-31144.62</v>
      </c>
      <c r="J180" s="28" t="s">
        <v>654</v>
      </c>
      <c r="K180" s="28" t="e" cm="1">
        <f t="array" ref="K180">VLOOKUP(E180,[1]A023951!D$1:H$1114,{3,5},0)</f>
        <v>#N/A</v>
      </c>
      <c r="L180" s="28"/>
      <c r="M180" s="28"/>
    </row>
    <row r="181" spans="1:13" x14ac:dyDescent="0.35">
      <c r="A181" s="28" t="s">
        <v>511</v>
      </c>
      <c r="B181" s="32">
        <v>2025</v>
      </c>
      <c r="C181" s="28" t="s">
        <v>512</v>
      </c>
      <c r="D181" s="29">
        <v>45890</v>
      </c>
      <c r="E181" s="28">
        <v>256779421707</v>
      </c>
      <c r="F181" s="28" t="s">
        <v>11</v>
      </c>
      <c r="G181" s="30">
        <v>-228.75</v>
      </c>
      <c r="H181" s="28" t="s">
        <v>59</v>
      </c>
      <c r="I181" s="30">
        <v>-19679.39</v>
      </c>
      <c r="J181" s="28" t="s">
        <v>655</v>
      </c>
      <c r="K181" s="28" t="e" cm="1">
        <f t="array" ref="K181">VLOOKUP(E181,[1]A023951!D$1:H$1114,{3,5},0)</f>
        <v>#N/A</v>
      </c>
      <c r="L181" s="28"/>
      <c r="M181" s="28"/>
    </row>
    <row r="182" spans="1:13" x14ac:dyDescent="0.35">
      <c r="A182" s="28" t="s">
        <v>511</v>
      </c>
      <c r="B182" s="32">
        <v>2025</v>
      </c>
      <c r="C182" s="28" t="s">
        <v>512</v>
      </c>
      <c r="D182" s="29">
        <v>45890</v>
      </c>
      <c r="E182" s="28">
        <v>256779421708</v>
      </c>
      <c r="F182" s="28" t="s">
        <v>11</v>
      </c>
      <c r="G182" s="30">
        <v>-281.5</v>
      </c>
      <c r="H182" s="28" t="s">
        <v>59</v>
      </c>
      <c r="I182" s="30">
        <v>-24217.48</v>
      </c>
      <c r="J182" s="28" t="s">
        <v>656</v>
      </c>
      <c r="K182" s="28" t="e" cm="1">
        <f t="array" ref="K182">VLOOKUP(E182,[1]A023951!D$1:H$1114,{3,5},0)</f>
        <v>#N/A</v>
      </c>
      <c r="L182" s="28"/>
      <c r="M182" s="28"/>
    </row>
    <row r="183" spans="1:13" x14ac:dyDescent="0.35">
      <c r="A183" s="28" t="s">
        <v>511</v>
      </c>
      <c r="B183" s="32">
        <v>2025</v>
      </c>
      <c r="C183" s="28" t="s">
        <v>515</v>
      </c>
      <c r="D183" s="29">
        <v>45771</v>
      </c>
      <c r="E183" s="28">
        <v>256779412776</v>
      </c>
      <c r="F183" s="28" t="s">
        <v>11</v>
      </c>
      <c r="G183" s="30">
        <v>632.46</v>
      </c>
      <c r="H183" s="28" t="s">
        <v>59</v>
      </c>
      <c r="I183" s="30">
        <v>54974.57</v>
      </c>
      <c r="J183" s="28" t="s">
        <v>657</v>
      </c>
      <c r="K183" s="28" cm="1">
        <f t="array" ref="K183:L183">VLOOKUP(E183,[1]A023951!D$1:H$1114,{3,5},0)</f>
        <v>-632.46</v>
      </c>
      <c r="L183" s="28">
        <v>-54218.879999999997</v>
      </c>
      <c r="M183" s="31">
        <f>I183+L183</f>
        <v>755.69000000000233</v>
      </c>
    </row>
    <row r="184" spans="1:13" x14ac:dyDescent="0.35">
      <c r="A184" s="28" t="s">
        <v>511</v>
      </c>
      <c r="B184" s="32">
        <v>2025</v>
      </c>
      <c r="C184" s="28" t="s">
        <v>515</v>
      </c>
      <c r="D184" s="29">
        <v>45826</v>
      </c>
      <c r="E184" s="28">
        <v>256779414431</v>
      </c>
      <c r="F184" s="28" t="s">
        <v>11</v>
      </c>
      <c r="G184" s="30">
        <v>52.38</v>
      </c>
      <c r="H184" s="28" t="s">
        <v>59</v>
      </c>
      <c r="I184" s="30">
        <v>4478.01</v>
      </c>
      <c r="J184" s="28" t="s">
        <v>605</v>
      </c>
      <c r="K184" s="28" cm="1">
        <f t="array" ref="K184:L184">VLOOKUP(E184,[1]A023951!D$1:H$1114,{3,5},0)</f>
        <v>-52.38</v>
      </c>
      <c r="L184" s="28">
        <v>-4455.66</v>
      </c>
      <c r="M184" s="31">
        <f>I184+L184</f>
        <v>22.350000000000364</v>
      </c>
    </row>
    <row r="185" spans="1:13" x14ac:dyDescent="0.35">
      <c r="A185" s="28" t="s">
        <v>511</v>
      </c>
      <c r="B185" s="32">
        <v>2025</v>
      </c>
      <c r="C185" s="28" t="s">
        <v>515</v>
      </c>
      <c r="D185" s="29">
        <v>45826</v>
      </c>
      <c r="E185" s="28">
        <v>256779414430</v>
      </c>
      <c r="F185" s="28" t="s">
        <v>11</v>
      </c>
      <c r="G185" s="30">
        <v>95.24</v>
      </c>
      <c r="H185" s="28" t="s">
        <v>59</v>
      </c>
      <c r="I185" s="30">
        <v>8142.14</v>
      </c>
      <c r="J185" s="28" t="s">
        <v>604</v>
      </c>
      <c r="K185" s="28" t="e" cm="1">
        <f t="array" ref="K185">VLOOKUP(E185,[1]A023951!D$1:H$1114,{3,5},0)</f>
        <v>#N/A</v>
      </c>
      <c r="L185" s="28"/>
      <c r="M185" s="28"/>
    </row>
    <row r="186" spans="1:13" x14ac:dyDescent="0.35">
      <c r="A186" s="28" t="s">
        <v>511</v>
      </c>
      <c r="B186" s="32">
        <v>2025</v>
      </c>
      <c r="C186" s="28" t="s">
        <v>515</v>
      </c>
      <c r="D186" s="29">
        <v>45826</v>
      </c>
      <c r="E186" s="28">
        <v>256779414445</v>
      </c>
      <c r="F186" s="28" t="s">
        <v>11</v>
      </c>
      <c r="G186" s="30">
        <v>2333.1799999999998</v>
      </c>
      <c r="H186" s="28" t="s">
        <v>59</v>
      </c>
      <c r="I186" s="30">
        <v>199465.38</v>
      </c>
      <c r="J186" s="28" t="s">
        <v>609</v>
      </c>
      <c r="K186" s="28" t="e" cm="1">
        <f t="array" ref="K186">VLOOKUP(E186,[1]A023951!D$1:H$1114,{3,5},0)</f>
        <v>#N/A</v>
      </c>
      <c r="L186" s="28"/>
      <c r="M186" s="28"/>
    </row>
    <row r="187" spans="1:13" x14ac:dyDescent="0.35">
      <c r="A187" s="28" t="s">
        <v>511</v>
      </c>
      <c r="B187" s="32">
        <v>2025</v>
      </c>
      <c r="C187" s="28" t="s">
        <v>515</v>
      </c>
      <c r="D187" s="29">
        <v>45951</v>
      </c>
      <c r="E187" s="28">
        <v>256779418474</v>
      </c>
      <c r="F187" s="28" t="s">
        <v>11</v>
      </c>
      <c r="G187" s="30">
        <v>562.38</v>
      </c>
      <c r="H187" s="28" t="s">
        <v>59</v>
      </c>
      <c r="I187" s="30">
        <v>49596.73</v>
      </c>
      <c r="J187" s="28" t="s">
        <v>658</v>
      </c>
      <c r="K187" s="28" cm="1">
        <f t="array" ref="K187:L187">VLOOKUP(E187,[1]A023951!D$1:H$1114,{3,5},0)</f>
        <v>-562.38</v>
      </c>
      <c r="L187" s="28">
        <v>-49860.33</v>
      </c>
      <c r="M187" s="31">
        <f>I187+L187</f>
        <v>-263.59999999999854</v>
      </c>
    </row>
    <row r="188" spans="1:13" x14ac:dyDescent="0.35">
      <c r="A188" s="28" t="s">
        <v>511</v>
      </c>
      <c r="B188" s="32">
        <v>2025</v>
      </c>
      <c r="C188" s="28" t="s">
        <v>515</v>
      </c>
      <c r="D188" s="29">
        <v>45951</v>
      </c>
      <c r="E188" s="28">
        <v>256779418480</v>
      </c>
      <c r="F188" s="28" t="s">
        <v>11</v>
      </c>
      <c r="G188" s="30">
        <v>13.59</v>
      </c>
      <c r="H188" s="28" t="s">
        <v>59</v>
      </c>
      <c r="I188" s="30">
        <v>1198.51</v>
      </c>
      <c r="J188" s="28" t="s">
        <v>659</v>
      </c>
      <c r="K188" s="28" cm="1">
        <f t="array" ref="K188:L188">VLOOKUP(E188,[1]A023951!D$1:H$1114,{3,5},0)</f>
        <v>-13.59</v>
      </c>
      <c r="L188" s="28">
        <v>-1204.8800000000001</v>
      </c>
      <c r="M188" s="31">
        <f>I188+L188</f>
        <v>-6.3700000000001182</v>
      </c>
    </row>
    <row r="189" spans="1:13" x14ac:dyDescent="0.35">
      <c r="A189" s="28" t="s">
        <v>511</v>
      </c>
      <c r="B189" s="32">
        <v>2025</v>
      </c>
      <c r="C189" s="28" t="s">
        <v>515</v>
      </c>
      <c r="D189" s="29">
        <v>45951</v>
      </c>
      <c r="E189" s="28">
        <v>256779418489</v>
      </c>
      <c r="F189" s="28" t="s">
        <v>11</v>
      </c>
      <c r="G189" s="30">
        <v>562.38</v>
      </c>
      <c r="H189" s="28" t="s">
        <v>59</v>
      </c>
      <c r="I189" s="30">
        <v>49596.73</v>
      </c>
      <c r="J189" s="28" t="s">
        <v>658</v>
      </c>
      <c r="K189" s="28" t="e" cm="1">
        <f t="array" ref="K189">VLOOKUP(E189,[1]A023951!D$1:H$1114,{3,5},0)</f>
        <v>#N/A</v>
      </c>
      <c r="L189" s="28"/>
      <c r="M189" s="28"/>
    </row>
    <row r="190" spans="1:13" x14ac:dyDescent="0.35">
      <c r="A190" s="28" t="s">
        <v>511</v>
      </c>
      <c r="B190" s="32">
        <v>2025</v>
      </c>
      <c r="C190" s="28" t="s">
        <v>515</v>
      </c>
      <c r="D190" s="29">
        <v>45951</v>
      </c>
      <c r="E190" s="28">
        <v>256779418495</v>
      </c>
      <c r="F190" s="28" t="s">
        <v>11</v>
      </c>
      <c r="G190" s="30">
        <v>13.59</v>
      </c>
      <c r="H190" s="28" t="s">
        <v>59</v>
      </c>
      <c r="I190" s="30">
        <v>1198.51</v>
      </c>
      <c r="J190" s="28" t="s">
        <v>659</v>
      </c>
      <c r="K190" s="28" t="e" cm="1">
        <f t="array" ref="K190">VLOOKUP(E190,[1]A023951!D$1:H$1114,{3,5},0)</f>
        <v>#N/A</v>
      </c>
      <c r="L190" s="28"/>
      <c r="M190" s="28"/>
    </row>
    <row r="191" spans="1:13" x14ac:dyDescent="0.35">
      <c r="A191" s="28" t="s">
        <v>511</v>
      </c>
      <c r="B191" s="32">
        <v>2025</v>
      </c>
      <c r="C191" s="28" t="s">
        <v>515</v>
      </c>
      <c r="D191" s="29">
        <v>45735</v>
      </c>
      <c r="E191" s="28">
        <v>246779412994</v>
      </c>
      <c r="F191" s="28" t="s">
        <v>11</v>
      </c>
      <c r="G191" s="30">
        <v>2297.27</v>
      </c>
      <c r="H191" s="28" t="s">
        <v>59</v>
      </c>
      <c r="I191" s="30">
        <v>199153.23</v>
      </c>
      <c r="J191" s="28" t="s">
        <v>660</v>
      </c>
      <c r="K191" s="28" cm="1">
        <f t="array" ref="K191:L191">VLOOKUP(E191,[1]A023951!D$1:H$1114,{3,5},0)</f>
        <v>-2297.27</v>
      </c>
      <c r="L191" s="28">
        <v>-199959.93</v>
      </c>
      <c r="M191" s="31">
        <f>I191+L191</f>
        <v>-806.69999999998254</v>
      </c>
    </row>
    <row r="192" spans="1:13" x14ac:dyDescent="0.35">
      <c r="A192" s="28" t="s">
        <v>511</v>
      </c>
      <c r="B192" s="32">
        <v>2025</v>
      </c>
      <c r="C192" s="28" t="s">
        <v>515</v>
      </c>
      <c r="D192" s="29">
        <v>45735</v>
      </c>
      <c r="E192" s="28">
        <v>246779413023</v>
      </c>
      <c r="F192" s="28" t="s">
        <v>11</v>
      </c>
      <c r="G192" s="30">
        <v>91.89</v>
      </c>
      <c r="H192" s="28" t="s">
        <v>59</v>
      </c>
      <c r="I192" s="30">
        <v>7966.06</v>
      </c>
      <c r="J192" s="28" t="s">
        <v>660</v>
      </c>
      <c r="K192" s="28" cm="1">
        <f t="array" ref="K192:L192">VLOOKUP(E192,[1]A023951!D$1:H$1114,{3,5},0)</f>
        <v>-91.89</v>
      </c>
      <c r="L192" s="28">
        <v>-7998.33</v>
      </c>
      <c r="M192" s="31">
        <f>I192+L192</f>
        <v>-32.269999999999527</v>
      </c>
    </row>
    <row r="193" spans="1:13" x14ac:dyDescent="0.35">
      <c r="A193" s="28" t="s">
        <v>511</v>
      </c>
      <c r="B193" s="32">
        <v>2025</v>
      </c>
      <c r="C193" s="28" t="s">
        <v>515</v>
      </c>
      <c r="D193" s="29">
        <v>45735</v>
      </c>
      <c r="E193" s="28">
        <v>246779413024</v>
      </c>
      <c r="F193" s="28" t="s">
        <v>11</v>
      </c>
      <c r="G193" s="30">
        <v>50.54</v>
      </c>
      <c r="H193" s="28" t="s">
        <v>59</v>
      </c>
      <c r="I193" s="30">
        <v>4381.38</v>
      </c>
      <c r="J193" s="28" t="s">
        <v>660</v>
      </c>
      <c r="K193" s="28" cm="1">
        <f t="array" ref="K193:L193">VLOOKUP(E193,[1]A023951!D$1:H$1114,{3,5},0)</f>
        <v>-50.54</v>
      </c>
      <c r="L193" s="28">
        <v>-4399.12</v>
      </c>
      <c r="M193" s="31">
        <f>I193+L193</f>
        <v>-17.739999999999782</v>
      </c>
    </row>
    <row r="194" spans="1:13" x14ac:dyDescent="0.35">
      <c r="A194" s="28" t="s">
        <v>511</v>
      </c>
      <c r="B194" s="32">
        <v>2025</v>
      </c>
      <c r="C194" s="28" t="s">
        <v>515</v>
      </c>
      <c r="D194" s="29">
        <v>45735</v>
      </c>
      <c r="E194" s="28">
        <v>246779413202</v>
      </c>
      <c r="F194" s="28" t="s">
        <v>11</v>
      </c>
      <c r="G194" s="30">
        <v>39.06</v>
      </c>
      <c r="H194" s="28" t="s">
        <v>59</v>
      </c>
      <c r="I194" s="30">
        <v>3386.16</v>
      </c>
      <c r="J194" s="28" t="s">
        <v>661</v>
      </c>
      <c r="K194" s="28" cm="1">
        <f t="array" ref="K194:L194">VLOOKUP(E194,[1]A023951!D$1:H$1114,{3,5},0)</f>
        <v>-39.06</v>
      </c>
      <c r="L194" s="28">
        <v>-3380.24</v>
      </c>
      <c r="M194" s="31">
        <f>I194+L194</f>
        <v>5.9200000000000728</v>
      </c>
    </row>
    <row r="195" spans="1:13" x14ac:dyDescent="0.35">
      <c r="A195" s="28" t="s">
        <v>511</v>
      </c>
      <c r="B195" s="32">
        <v>2025</v>
      </c>
      <c r="C195" s="28" t="s">
        <v>515</v>
      </c>
      <c r="D195" s="29">
        <v>45735</v>
      </c>
      <c r="E195" s="28">
        <v>246779413317</v>
      </c>
      <c r="F195" s="28" t="s">
        <v>11</v>
      </c>
      <c r="G195" s="30">
        <v>20.100000000000001</v>
      </c>
      <c r="H195" s="28" t="s">
        <v>59</v>
      </c>
      <c r="I195" s="30">
        <v>1742.49</v>
      </c>
      <c r="J195" s="28" t="s">
        <v>662</v>
      </c>
      <c r="K195" s="28" t="e" cm="1">
        <f t="array" ref="K195">VLOOKUP(E195,[1]A023951!D$1:H$1114,{3,5},0)</f>
        <v>#N/A</v>
      </c>
      <c r="L195" s="28"/>
      <c r="M195" s="28"/>
    </row>
    <row r="196" spans="1:13" x14ac:dyDescent="0.35">
      <c r="A196" s="28" t="s">
        <v>511</v>
      </c>
      <c r="B196" s="32">
        <v>2025</v>
      </c>
      <c r="C196" s="28" t="s">
        <v>515</v>
      </c>
      <c r="D196" s="29">
        <v>45827</v>
      </c>
      <c r="E196" s="28">
        <v>256779414741</v>
      </c>
      <c r="F196" s="28" t="s">
        <v>11</v>
      </c>
      <c r="G196" s="30">
        <v>579.79</v>
      </c>
      <c r="H196" s="28" t="s">
        <v>59</v>
      </c>
      <c r="I196" s="30">
        <v>49566.7</v>
      </c>
      <c r="J196" s="28" t="s">
        <v>663</v>
      </c>
      <c r="K196" s="28" cm="1">
        <f t="array" ref="K196:L196">VLOOKUP(E196,[1]A023951!D$1:H$1114,{3,5},0)</f>
        <v>-579.79</v>
      </c>
      <c r="L196" s="28">
        <v>-49319.31</v>
      </c>
      <c r="M196" s="31">
        <f>I196+L196</f>
        <v>247.38999999999942</v>
      </c>
    </row>
    <row r="197" spans="1:13" x14ac:dyDescent="0.35">
      <c r="A197" s="28" t="s">
        <v>511</v>
      </c>
      <c r="B197" s="32">
        <v>2025</v>
      </c>
      <c r="C197" s="28" t="s">
        <v>515</v>
      </c>
      <c r="D197" s="29">
        <v>45981</v>
      </c>
      <c r="E197" s="28">
        <v>256779419620</v>
      </c>
      <c r="F197" s="28" t="s">
        <v>11</v>
      </c>
      <c r="G197" s="30">
        <v>102.39</v>
      </c>
      <c r="H197" s="28" t="s">
        <v>59</v>
      </c>
      <c r="I197" s="30">
        <v>9010.67</v>
      </c>
      <c r="J197" s="28" t="s">
        <v>664</v>
      </c>
      <c r="K197" s="28" cm="1">
        <f t="array" ref="K197:L197">VLOOKUP(E197,[1]A023951!D$1:H$1114,{3,5},0)</f>
        <v>-102.39</v>
      </c>
      <c r="L197" s="28">
        <v>-9036.18</v>
      </c>
      <c r="M197" s="31">
        <f>I197+L197</f>
        <v>-25.510000000000218</v>
      </c>
    </row>
    <row r="198" spans="1:13" x14ac:dyDescent="0.35">
      <c r="A198" s="28" t="s">
        <v>511</v>
      </c>
      <c r="B198" s="32">
        <v>2025</v>
      </c>
      <c r="C198" s="28" t="s">
        <v>515</v>
      </c>
      <c r="D198" s="29">
        <v>45981</v>
      </c>
      <c r="E198" s="28">
        <v>256779419531</v>
      </c>
      <c r="F198" s="28" t="s">
        <v>11</v>
      </c>
      <c r="G198" s="30">
        <v>417.77</v>
      </c>
      <c r="H198" s="28" t="s">
        <v>59</v>
      </c>
      <c r="I198" s="30">
        <v>36765.18</v>
      </c>
      <c r="J198" s="28" t="s">
        <v>665</v>
      </c>
      <c r="K198" s="28" cm="1">
        <f t="array" ref="K198:L198">VLOOKUP(E198,[1]A023951!D$1:H$1114,{3,5},0)</f>
        <v>-417.77</v>
      </c>
      <c r="L198" s="28">
        <v>-36869.279999999999</v>
      </c>
      <c r="M198" s="31">
        <f>I198+L198</f>
        <v>-104.09999999999854</v>
      </c>
    </row>
    <row r="199" spans="1:13" x14ac:dyDescent="0.35">
      <c r="A199" s="28" t="s">
        <v>511</v>
      </c>
      <c r="B199" s="32">
        <v>2025</v>
      </c>
      <c r="C199" s="28" t="s">
        <v>515</v>
      </c>
      <c r="D199" s="29">
        <v>45981</v>
      </c>
      <c r="E199" s="28">
        <v>256779419542</v>
      </c>
      <c r="F199" s="28" t="s">
        <v>11</v>
      </c>
      <c r="G199" s="30">
        <v>409.4</v>
      </c>
      <c r="H199" s="28" t="s">
        <v>59</v>
      </c>
      <c r="I199" s="30">
        <v>36028.589999999997</v>
      </c>
      <c r="J199" s="28" t="s">
        <v>666</v>
      </c>
      <c r="K199" s="28" cm="1">
        <f t="array" ref="K199:L199">VLOOKUP(E199,[1]A023951!D$1:H$1114,{3,5},0)</f>
        <v>-409.4</v>
      </c>
      <c r="L199" s="28">
        <v>-36130.6</v>
      </c>
      <c r="M199" s="31">
        <f>I199+L199</f>
        <v>-102.01000000000204</v>
      </c>
    </row>
    <row r="200" spans="1:13" x14ac:dyDescent="0.35">
      <c r="A200" s="28" t="s">
        <v>511</v>
      </c>
      <c r="B200" s="32">
        <v>2025</v>
      </c>
      <c r="C200" s="28" t="s">
        <v>515</v>
      </c>
      <c r="D200" s="29">
        <v>45981</v>
      </c>
      <c r="E200" s="28">
        <v>256779419581</v>
      </c>
      <c r="F200" s="28" t="s">
        <v>11</v>
      </c>
      <c r="G200" s="30">
        <v>156.19999999999999</v>
      </c>
      <c r="H200" s="28" t="s">
        <v>59</v>
      </c>
      <c r="I200" s="30">
        <v>13746.13</v>
      </c>
      <c r="J200" s="28" t="s">
        <v>667</v>
      </c>
      <c r="K200" s="28" t="e" cm="1">
        <f t="array" ref="K200">VLOOKUP(E200,[1]A023951!D$1:H$1114,{3,5},0)</f>
        <v>#N/A</v>
      </c>
      <c r="L200" s="28"/>
      <c r="M200" s="28"/>
    </row>
    <row r="201" spans="1:13" x14ac:dyDescent="0.35">
      <c r="A201" s="28" t="s">
        <v>511</v>
      </c>
      <c r="B201" s="32">
        <v>2025</v>
      </c>
      <c r="C201" s="28" t="s">
        <v>515</v>
      </c>
      <c r="D201" s="29">
        <v>45769</v>
      </c>
      <c r="E201" s="28">
        <v>256779412524</v>
      </c>
      <c r="F201" s="28" t="s">
        <v>11</v>
      </c>
      <c r="G201" s="30">
        <v>36.5</v>
      </c>
      <c r="H201" s="28" t="s">
        <v>59</v>
      </c>
      <c r="I201" s="30">
        <v>3172.65</v>
      </c>
      <c r="J201" s="28" t="s">
        <v>591</v>
      </c>
      <c r="K201" s="28" cm="1">
        <f t="array" ref="K201:L201">VLOOKUP(E201,[1]A023951!D$1:H$1114,{3,5},0)</f>
        <v>-36.5</v>
      </c>
      <c r="L201" s="28">
        <v>-3129.03</v>
      </c>
      <c r="M201" s="31">
        <f t="shared" ref="M201:M216" si="7">I201+L201</f>
        <v>43.619999999999891</v>
      </c>
    </row>
    <row r="202" spans="1:13" x14ac:dyDescent="0.35">
      <c r="A202" s="28" t="s">
        <v>511</v>
      </c>
      <c r="B202" s="32">
        <v>2025</v>
      </c>
      <c r="C202" s="28" t="s">
        <v>515</v>
      </c>
      <c r="D202" s="29">
        <v>45769</v>
      </c>
      <c r="E202" s="28">
        <v>256779412529</v>
      </c>
      <c r="F202" s="28" t="s">
        <v>11</v>
      </c>
      <c r="G202" s="30">
        <v>29.57</v>
      </c>
      <c r="H202" s="28" t="s">
        <v>59</v>
      </c>
      <c r="I202" s="30">
        <v>2570.2800000000002</v>
      </c>
      <c r="J202" s="28" t="s">
        <v>591</v>
      </c>
      <c r="K202" s="28" cm="1">
        <f t="array" ref="K202:L202">VLOOKUP(E202,[1]A023951!D$1:H$1114,{3,5},0)</f>
        <v>-29.57</v>
      </c>
      <c r="L202" s="28">
        <v>-2534.9499999999998</v>
      </c>
      <c r="M202" s="31">
        <f t="shared" si="7"/>
        <v>35.330000000000382</v>
      </c>
    </row>
    <row r="203" spans="1:13" x14ac:dyDescent="0.35">
      <c r="A203" s="28" t="s">
        <v>511</v>
      </c>
      <c r="B203" s="32">
        <v>2025</v>
      </c>
      <c r="C203" s="28" t="s">
        <v>515</v>
      </c>
      <c r="D203" s="29">
        <v>45769</v>
      </c>
      <c r="E203" s="28">
        <v>256779412536</v>
      </c>
      <c r="F203" s="28" t="s">
        <v>11</v>
      </c>
      <c r="G203" s="30">
        <v>37.020000000000003</v>
      </c>
      <c r="H203" s="28" t="s">
        <v>59</v>
      </c>
      <c r="I203" s="30">
        <v>3217.85</v>
      </c>
      <c r="J203" s="28" t="s">
        <v>591</v>
      </c>
      <c r="K203" s="28" cm="1">
        <f t="array" ref="K203:L203">VLOOKUP(E203,[1]A023951!D$1:H$1114,{3,5},0)</f>
        <v>-37.020000000000003</v>
      </c>
      <c r="L203" s="28">
        <v>-3173.61</v>
      </c>
      <c r="M203" s="31">
        <f t="shared" si="7"/>
        <v>44.239999999999782</v>
      </c>
    </row>
    <row r="204" spans="1:13" x14ac:dyDescent="0.35">
      <c r="A204" s="28" t="s">
        <v>511</v>
      </c>
      <c r="B204" s="32">
        <v>2025</v>
      </c>
      <c r="C204" s="28" t="s">
        <v>515</v>
      </c>
      <c r="D204" s="29">
        <v>45769</v>
      </c>
      <c r="E204" s="28">
        <v>256779412537</v>
      </c>
      <c r="F204" s="28" t="s">
        <v>11</v>
      </c>
      <c r="G204" s="30">
        <v>407.58</v>
      </c>
      <c r="H204" s="28" t="s">
        <v>59</v>
      </c>
      <c r="I204" s="30">
        <v>35427.599999999999</v>
      </c>
      <c r="J204" s="28" t="s">
        <v>591</v>
      </c>
      <c r="K204" s="28" cm="1">
        <f t="array" ref="K204:L204">VLOOKUP(E204,[1]A023951!D$1:H$1114,{3,5},0)</f>
        <v>-407.58</v>
      </c>
      <c r="L204" s="28">
        <v>-34940.6</v>
      </c>
      <c r="M204" s="31">
        <f t="shared" si="7"/>
        <v>487</v>
      </c>
    </row>
    <row r="205" spans="1:13" x14ac:dyDescent="0.35">
      <c r="A205" s="28" t="s">
        <v>511</v>
      </c>
      <c r="B205" s="32">
        <v>2025</v>
      </c>
      <c r="C205" s="28" t="s">
        <v>515</v>
      </c>
      <c r="D205" s="29">
        <v>45769</v>
      </c>
      <c r="E205" s="28">
        <v>256779412562</v>
      </c>
      <c r="F205" s="28" t="s">
        <v>11</v>
      </c>
      <c r="G205" s="30">
        <v>54.65</v>
      </c>
      <c r="H205" s="28" t="s">
        <v>59</v>
      </c>
      <c r="I205" s="30">
        <v>4750.28</v>
      </c>
      <c r="J205" s="28" t="s">
        <v>591</v>
      </c>
      <c r="K205" s="28" cm="1">
        <f t="array" ref="K205:L205">VLOOKUP(E205,[1]A023951!D$1:H$1114,{3,5},0)</f>
        <v>-54.65</v>
      </c>
      <c r="L205" s="28">
        <v>-4684.9799999999996</v>
      </c>
      <c r="M205" s="31">
        <f t="shared" si="7"/>
        <v>65.300000000000182</v>
      </c>
    </row>
    <row r="206" spans="1:13" x14ac:dyDescent="0.35">
      <c r="A206" s="28" t="s">
        <v>511</v>
      </c>
      <c r="B206" s="32">
        <v>2025</v>
      </c>
      <c r="C206" s="28" t="s">
        <v>515</v>
      </c>
      <c r="D206" s="29">
        <v>45769</v>
      </c>
      <c r="E206" s="28">
        <v>256779412563</v>
      </c>
      <c r="F206" s="28" t="s">
        <v>11</v>
      </c>
      <c r="G206" s="30">
        <v>27</v>
      </c>
      <c r="H206" s="28" t="s">
        <v>59</v>
      </c>
      <c r="I206" s="30">
        <v>2346.89</v>
      </c>
      <c r="J206" s="28" t="s">
        <v>591</v>
      </c>
      <c r="K206" s="28" cm="1">
        <f t="array" ref="K206:L206">VLOOKUP(E206,[1]A023951!D$1:H$1114,{3,5},0)</f>
        <v>-27</v>
      </c>
      <c r="L206" s="28">
        <v>-2314.63</v>
      </c>
      <c r="M206" s="31">
        <f t="shared" si="7"/>
        <v>32.259999999999764</v>
      </c>
    </row>
    <row r="207" spans="1:13" x14ac:dyDescent="0.35">
      <c r="A207" s="28" t="s">
        <v>511</v>
      </c>
      <c r="B207" s="32">
        <v>2025</v>
      </c>
      <c r="C207" s="28" t="s">
        <v>515</v>
      </c>
      <c r="D207" s="29">
        <v>45769</v>
      </c>
      <c r="E207" s="28">
        <v>256779412564</v>
      </c>
      <c r="F207" s="28" t="s">
        <v>11</v>
      </c>
      <c r="G207" s="30">
        <v>55.2</v>
      </c>
      <c r="H207" s="28" t="s">
        <v>59</v>
      </c>
      <c r="I207" s="30">
        <v>4798.08</v>
      </c>
      <c r="J207" s="28" t="s">
        <v>591</v>
      </c>
      <c r="K207" s="28" cm="1">
        <f t="array" ref="K207:L207">VLOOKUP(E207,[1]A023951!D$1:H$1114,{3,5},0)</f>
        <v>-55.2</v>
      </c>
      <c r="L207" s="28">
        <v>-4732.13</v>
      </c>
      <c r="M207" s="31">
        <f t="shared" si="7"/>
        <v>65.949999999999818</v>
      </c>
    </row>
    <row r="208" spans="1:13" x14ac:dyDescent="0.35">
      <c r="A208" s="28" t="s">
        <v>511</v>
      </c>
      <c r="B208" s="32">
        <v>2025</v>
      </c>
      <c r="C208" s="28" t="s">
        <v>515</v>
      </c>
      <c r="D208" s="29">
        <v>45769</v>
      </c>
      <c r="E208" s="28">
        <v>256779412570</v>
      </c>
      <c r="F208" s="28" t="s">
        <v>11</v>
      </c>
      <c r="G208" s="30">
        <v>43.38</v>
      </c>
      <c r="H208" s="28" t="s">
        <v>59</v>
      </c>
      <c r="I208" s="30">
        <v>3770.67</v>
      </c>
      <c r="J208" s="28" t="s">
        <v>591</v>
      </c>
      <c r="K208" s="28" cm="1">
        <f t="array" ref="K208:L208">VLOOKUP(E208,[1]A023951!D$1:H$1114,{3,5},0)</f>
        <v>-43.38</v>
      </c>
      <c r="L208" s="28">
        <v>-3718.84</v>
      </c>
      <c r="M208" s="31">
        <f t="shared" si="7"/>
        <v>51.829999999999927</v>
      </c>
    </row>
    <row r="209" spans="1:13" x14ac:dyDescent="0.35">
      <c r="A209" s="28" t="s">
        <v>511</v>
      </c>
      <c r="B209" s="32">
        <v>2025</v>
      </c>
      <c r="C209" s="28" t="s">
        <v>515</v>
      </c>
      <c r="D209" s="29">
        <v>45769</v>
      </c>
      <c r="E209" s="28">
        <v>256779412576</v>
      </c>
      <c r="F209" s="28" t="s">
        <v>11</v>
      </c>
      <c r="G209" s="30">
        <v>46</v>
      </c>
      <c r="H209" s="28" t="s">
        <v>59</v>
      </c>
      <c r="I209" s="30">
        <v>3998.4</v>
      </c>
      <c r="J209" s="28" t="s">
        <v>591</v>
      </c>
      <c r="K209" s="28" cm="1">
        <f t="array" ref="K209:L209">VLOOKUP(E209,[1]A023951!D$1:H$1114,{3,5},0)</f>
        <v>-46</v>
      </c>
      <c r="L209" s="28">
        <v>-3943.44</v>
      </c>
      <c r="M209" s="31">
        <f t="shared" si="7"/>
        <v>54.960000000000036</v>
      </c>
    </row>
    <row r="210" spans="1:13" x14ac:dyDescent="0.35">
      <c r="A210" s="28" t="s">
        <v>511</v>
      </c>
      <c r="B210" s="32">
        <v>2025</v>
      </c>
      <c r="C210" s="28" t="s">
        <v>515</v>
      </c>
      <c r="D210" s="29">
        <v>45769</v>
      </c>
      <c r="E210" s="28">
        <v>256779412577</v>
      </c>
      <c r="F210" s="28" t="s">
        <v>11</v>
      </c>
      <c r="G210" s="30">
        <v>46</v>
      </c>
      <c r="H210" s="28" t="s">
        <v>59</v>
      </c>
      <c r="I210" s="30">
        <v>3998.4</v>
      </c>
      <c r="J210" s="28" t="s">
        <v>591</v>
      </c>
      <c r="K210" s="28" cm="1">
        <f t="array" ref="K210:L210">VLOOKUP(E210,[1]A023951!D$1:H$1114,{3,5},0)</f>
        <v>-46</v>
      </c>
      <c r="L210" s="28">
        <v>-3943.44</v>
      </c>
      <c r="M210" s="31">
        <f t="shared" si="7"/>
        <v>54.960000000000036</v>
      </c>
    </row>
    <row r="211" spans="1:13" x14ac:dyDescent="0.35">
      <c r="A211" s="28" t="s">
        <v>511</v>
      </c>
      <c r="B211" s="32">
        <v>2025</v>
      </c>
      <c r="C211" s="28" t="s">
        <v>515</v>
      </c>
      <c r="D211" s="29">
        <v>45769</v>
      </c>
      <c r="E211" s="28">
        <v>256779412579</v>
      </c>
      <c r="F211" s="28" t="s">
        <v>11</v>
      </c>
      <c r="G211" s="30">
        <v>57.6</v>
      </c>
      <c r="H211" s="28" t="s">
        <v>59</v>
      </c>
      <c r="I211" s="30">
        <v>5006.7</v>
      </c>
      <c r="J211" s="28" t="s">
        <v>591</v>
      </c>
      <c r="K211" s="28" cm="1">
        <f t="array" ref="K211:L211">VLOOKUP(E211,[1]A023951!D$1:H$1114,{3,5},0)</f>
        <v>-57.6</v>
      </c>
      <c r="L211" s="28">
        <v>-4937.87</v>
      </c>
      <c r="M211" s="31">
        <f t="shared" si="7"/>
        <v>68.829999999999927</v>
      </c>
    </row>
    <row r="212" spans="1:13" x14ac:dyDescent="0.35">
      <c r="A212" s="28" t="s">
        <v>511</v>
      </c>
      <c r="B212" s="32">
        <v>2025</v>
      </c>
      <c r="C212" s="28" t="s">
        <v>515</v>
      </c>
      <c r="D212" s="29">
        <v>45769</v>
      </c>
      <c r="E212" s="28">
        <v>256779412580</v>
      </c>
      <c r="F212" s="28" t="s">
        <v>11</v>
      </c>
      <c r="G212" s="30">
        <v>40.5</v>
      </c>
      <c r="H212" s="28" t="s">
        <v>59</v>
      </c>
      <c r="I212" s="30">
        <v>3520.33</v>
      </c>
      <c r="J212" s="28" t="s">
        <v>591</v>
      </c>
      <c r="K212" s="28" cm="1">
        <f t="array" ref="K212:L212">VLOOKUP(E212,[1]A023951!D$1:H$1114,{3,5},0)</f>
        <v>-40.5</v>
      </c>
      <c r="L212" s="28">
        <v>-3471.94</v>
      </c>
      <c r="M212" s="31">
        <f t="shared" si="7"/>
        <v>48.389999999999873</v>
      </c>
    </row>
    <row r="213" spans="1:13" x14ac:dyDescent="0.35">
      <c r="A213" s="28" t="s">
        <v>511</v>
      </c>
      <c r="B213" s="32">
        <v>2025</v>
      </c>
      <c r="C213" s="28" t="s">
        <v>515</v>
      </c>
      <c r="D213" s="29">
        <v>45769</v>
      </c>
      <c r="E213" s="28">
        <v>256779412581</v>
      </c>
      <c r="F213" s="28" t="s">
        <v>11</v>
      </c>
      <c r="G213" s="30">
        <v>51.5</v>
      </c>
      <c r="H213" s="28" t="s">
        <v>59</v>
      </c>
      <c r="I213" s="30">
        <v>4476.47</v>
      </c>
      <c r="J213" s="28" t="s">
        <v>591</v>
      </c>
      <c r="K213" s="28" cm="1">
        <f t="array" ref="K213:L213">VLOOKUP(E213,[1]A023951!D$1:H$1114,{3,5},0)</f>
        <v>-51.5</v>
      </c>
      <c r="L213" s="28">
        <v>-4414.9399999999996</v>
      </c>
      <c r="M213" s="31">
        <f t="shared" si="7"/>
        <v>61.530000000000655</v>
      </c>
    </row>
    <row r="214" spans="1:13" x14ac:dyDescent="0.35">
      <c r="A214" s="28" t="s">
        <v>511</v>
      </c>
      <c r="B214" s="32">
        <v>2025</v>
      </c>
      <c r="C214" s="28" t="s">
        <v>515</v>
      </c>
      <c r="D214" s="29">
        <v>45769</v>
      </c>
      <c r="E214" s="28">
        <v>256779412583</v>
      </c>
      <c r="F214" s="28" t="s">
        <v>11</v>
      </c>
      <c r="G214" s="30">
        <v>51.75</v>
      </c>
      <c r="H214" s="28" t="s">
        <v>59</v>
      </c>
      <c r="I214" s="30">
        <v>4498.2</v>
      </c>
      <c r="J214" s="28" t="s">
        <v>591</v>
      </c>
      <c r="K214" s="28" cm="1">
        <f t="array" ref="K214:L214">VLOOKUP(E214,[1]A023951!D$1:H$1114,{3,5},0)</f>
        <v>-51.75</v>
      </c>
      <c r="L214" s="28">
        <v>-4436.37</v>
      </c>
      <c r="M214" s="31">
        <f t="shared" si="7"/>
        <v>61.829999999999927</v>
      </c>
    </row>
    <row r="215" spans="1:13" x14ac:dyDescent="0.35">
      <c r="A215" s="28" t="s">
        <v>511</v>
      </c>
      <c r="B215" s="32">
        <v>2025</v>
      </c>
      <c r="C215" s="28" t="s">
        <v>515</v>
      </c>
      <c r="D215" s="29">
        <v>45769</v>
      </c>
      <c r="E215" s="28">
        <v>256779412585</v>
      </c>
      <c r="F215" s="28" t="s">
        <v>11</v>
      </c>
      <c r="G215" s="30">
        <v>48.75</v>
      </c>
      <c r="H215" s="28" t="s">
        <v>59</v>
      </c>
      <c r="I215" s="30">
        <v>4237.4399999999996</v>
      </c>
      <c r="J215" s="28" t="s">
        <v>591</v>
      </c>
      <c r="K215" s="28" cm="1">
        <f t="array" ref="K215:L215">VLOOKUP(E215,[1]A023951!D$1:H$1114,{3,5},0)</f>
        <v>-48.75</v>
      </c>
      <c r="L215" s="28">
        <v>-4179.1899999999996</v>
      </c>
      <c r="M215" s="31">
        <f t="shared" si="7"/>
        <v>58.25</v>
      </c>
    </row>
    <row r="216" spans="1:13" x14ac:dyDescent="0.35">
      <c r="A216" s="28" t="s">
        <v>511</v>
      </c>
      <c r="B216" s="32">
        <v>2025</v>
      </c>
      <c r="C216" s="28" t="s">
        <v>515</v>
      </c>
      <c r="D216" s="29">
        <v>45769</v>
      </c>
      <c r="E216" s="28">
        <v>256779412586</v>
      </c>
      <c r="F216" s="28" t="s">
        <v>11</v>
      </c>
      <c r="G216" s="30">
        <v>51.5</v>
      </c>
      <c r="H216" s="28" t="s">
        <v>59</v>
      </c>
      <c r="I216" s="30">
        <v>4476.47</v>
      </c>
      <c r="J216" s="28" t="s">
        <v>591</v>
      </c>
      <c r="K216" s="28" cm="1">
        <f t="array" ref="K216:L216">VLOOKUP(E216,[1]A023951!D$1:H$1114,{3,5},0)</f>
        <v>-51.5</v>
      </c>
      <c r="L216" s="28">
        <v>-4414.9399999999996</v>
      </c>
      <c r="M216" s="31">
        <f t="shared" si="7"/>
        <v>61.530000000000655</v>
      </c>
    </row>
    <row r="217" spans="1:13" x14ac:dyDescent="0.35">
      <c r="A217" s="28" t="s">
        <v>511</v>
      </c>
      <c r="B217" s="32">
        <v>2025</v>
      </c>
      <c r="C217" s="28" t="s">
        <v>515</v>
      </c>
      <c r="D217" s="29">
        <v>45769</v>
      </c>
      <c r="E217" s="28">
        <v>256779412609</v>
      </c>
      <c r="F217" s="28" t="s">
        <v>11</v>
      </c>
      <c r="G217" s="30">
        <v>700.06</v>
      </c>
      <c r="H217" s="28" t="s">
        <v>59</v>
      </c>
      <c r="I217" s="30">
        <v>60850.49</v>
      </c>
      <c r="J217" s="28" t="s">
        <v>668</v>
      </c>
      <c r="K217" s="28" t="e" cm="1">
        <f t="array" ref="K217">VLOOKUP(E217,[1]A023951!D$1:H$1114,{3,5},0)</f>
        <v>#N/A</v>
      </c>
      <c r="L217" s="28"/>
      <c r="M217" s="28"/>
    </row>
    <row r="218" spans="1:13" x14ac:dyDescent="0.35">
      <c r="A218" s="28" t="s">
        <v>511</v>
      </c>
      <c r="B218" s="32">
        <v>2025</v>
      </c>
      <c r="C218" s="28" t="s">
        <v>515</v>
      </c>
      <c r="D218" s="29">
        <v>45769</v>
      </c>
      <c r="E218" s="28">
        <v>256779412649</v>
      </c>
      <c r="F218" s="28" t="s">
        <v>11</v>
      </c>
      <c r="G218" s="30">
        <v>79.650000000000006</v>
      </c>
      <c r="H218" s="28" t="s">
        <v>59</v>
      </c>
      <c r="I218" s="30">
        <v>6923.32</v>
      </c>
      <c r="J218" s="28" t="s">
        <v>669</v>
      </c>
      <c r="K218" s="28" t="e" cm="1">
        <f t="array" ref="K218">VLOOKUP(E218,[1]A023951!D$1:H$1114,{3,5},0)</f>
        <v>#N/A</v>
      </c>
      <c r="L218" s="28"/>
      <c r="M218" s="28"/>
    </row>
    <row r="219" spans="1:13" x14ac:dyDescent="0.35">
      <c r="A219" s="28" t="s">
        <v>511</v>
      </c>
      <c r="B219" s="32">
        <v>2025</v>
      </c>
      <c r="C219" s="28" t="s">
        <v>515</v>
      </c>
      <c r="D219" s="29">
        <v>45918</v>
      </c>
      <c r="E219" s="28">
        <v>256779417517</v>
      </c>
      <c r="F219" s="28" t="s">
        <v>11</v>
      </c>
      <c r="G219" s="30">
        <v>4.68</v>
      </c>
      <c r="H219" s="28" t="s">
        <v>59</v>
      </c>
      <c r="I219" s="30">
        <v>409.57</v>
      </c>
      <c r="J219" s="28" t="s">
        <v>670</v>
      </c>
      <c r="K219" s="28" cm="1">
        <f t="array" ref="K219:L219">VLOOKUP(E219,[1]A023951!D$1:H$1114,{3,5},0)</f>
        <v>-4.68</v>
      </c>
      <c r="L219" s="28">
        <v>-410.21</v>
      </c>
      <c r="M219" s="31">
        <f t="shared" ref="M219:M224" si="8">I219+L219</f>
        <v>-0.63999999999998636</v>
      </c>
    </row>
    <row r="220" spans="1:13" x14ac:dyDescent="0.35">
      <c r="A220" s="28" t="s">
        <v>511</v>
      </c>
      <c r="B220" s="32">
        <v>2025</v>
      </c>
      <c r="C220" s="28" t="s">
        <v>515</v>
      </c>
      <c r="D220" s="29">
        <v>45918</v>
      </c>
      <c r="E220" s="28">
        <v>256779417557</v>
      </c>
      <c r="F220" s="28" t="s">
        <v>11</v>
      </c>
      <c r="G220" s="30">
        <v>725.96</v>
      </c>
      <c r="H220" s="28" t="s">
        <v>59</v>
      </c>
      <c r="I220" s="30">
        <v>63531.9</v>
      </c>
      <c r="J220" s="28" t="s">
        <v>671</v>
      </c>
      <c r="K220" s="28" cm="1">
        <f t="array" ref="K220:L220">VLOOKUP(E220,[1]A023951!D$1:H$1114,{3,5},0)</f>
        <v>-725.96</v>
      </c>
      <c r="L220" s="28">
        <v>-63631.79</v>
      </c>
      <c r="M220" s="31">
        <f t="shared" si="8"/>
        <v>-99.889999999999418</v>
      </c>
    </row>
    <row r="221" spans="1:13" x14ac:dyDescent="0.35">
      <c r="A221" s="28" t="s">
        <v>511</v>
      </c>
      <c r="B221" s="32">
        <v>2025</v>
      </c>
      <c r="C221" s="28" t="s">
        <v>515</v>
      </c>
      <c r="D221" s="29">
        <v>45918</v>
      </c>
      <c r="E221" s="28">
        <v>256779417580</v>
      </c>
      <c r="F221" s="28" t="s">
        <v>11</v>
      </c>
      <c r="G221" s="30">
        <v>184.38</v>
      </c>
      <c r="H221" s="28" t="s">
        <v>59</v>
      </c>
      <c r="I221" s="30">
        <v>16135.89</v>
      </c>
      <c r="J221" s="28" t="s">
        <v>672</v>
      </c>
      <c r="K221" s="28" cm="1">
        <f t="array" ref="K221:L221">VLOOKUP(E221,[1]A023951!D$1:H$1114,{3,5},0)</f>
        <v>-184.38</v>
      </c>
      <c r="L221" s="28">
        <v>-184.38</v>
      </c>
      <c r="M221" s="31">
        <f t="shared" si="8"/>
        <v>15951.51</v>
      </c>
    </row>
    <row r="222" spans="1:13" x14ac:dyDescent="0.35">
      <c r="A222" s="28" t="s">
        <v>511</v>
      </c>
      <c r="B222" s="32">
        <v>2025</v>
      </c>
      <c r="C222" s="28" t="s">
        <v>515</v>
      </c>
      <c r="D222" s="29">
        <v>45918</v>
      </c>
      <c r="E222" s="28">
        <v>256779417597</v>
      </c>
      <c r="F222" s="28" t="s">
        <v>11</v>
      </c>
      <c r="G222" s="30">
        <v>1055.04</v>
      </c>
      <c r="H222" s="28" t="s">
        <v>59</v>
      </c>
      <c r="I222" s="30">
        <v>92331.12</v>
      </c>
      <c r="J222" s="28" t="s">
        <v>673</v>
      </c>
      <c r="K222" s="28" cm="1">
        <f t="array" ref="K222:L222">VLOOKUP(E222,[1]A023951!D$1:H$1114,{3,5},0)</f>
        <v>-1055.04</v>
      </c>
      <c r="L222" s="28">
        <v>-92476.28</v>
      </c>
      <c r="M222" s="31">
        <f t="shared" si="8"/>
        <v>-145.16000000000349</v>
      </c>
    </row>
    <row r="223" spans="1:13" x14ac:dyDescent="0.35">
      <c r="A223" s="28" t="s">
        <v>511</v>
      </c>
      <c r="B223" s="32">
        <v>2025</v>
      </c>
      <c r="C223" s="28" t="s">
        <v>515</v>
      </c>
      <c r="D223" s="29">
        <v>45996</v>
      </c>
      <c r="E223" s="28">
        <v>256779419808</v>
      </c>
      <c r="F223" s="28" t="s">
        <v>11</v>
      </c>
      <c r="G223" s="30">
        <v>27.95</v>
      </c>
      <c r="H223" s="28" t="s">
        <v>59</v>
      </c>
      <c r="I223" s="30">
        <v>2479.17</v>
      </c>
      <c r="J223" s="28" t="s">
        <v>674</v>
      </c>
      <c r="K223" s="28" cm="1">
        <f t="array" ref="K223:L223">VLOOKUP(E223,[1]A023951!D$1:H$1114,{3,5},0)</f>
        <v>-27.95</v>
      </c>
      <c r="L223" s="28">
        <v>-2491.88</v>
      </c>
      <c r="M223" s="31">
        <f t="shared" si="8"/>
        <v>-12.710000000000036</v>
      </c>
    </row>
    <row r="224" spans="1:13" x14ac:dyDescent="0.35">
      <c r="A224" s="28" t="s">
        <v>511</v>
      </c>
      <c r="B224" s="32">
        <v>2025</v>
      </c>
      <c r="C224" s="28" t="s">
        <v>515</v>
      </c>
      <c r="D224" s="29">
        <v>45996</v>
      </c>
      <c r="E224" s="28">
        <v>256779419908</v>
      </c>
      <c r="F224" s="28" t="s">
        <v>11</v>
      </c>
      <c r="G224" s="30">
        <v>375.94</v>
      </c>
      <c r="H224" s="28" t="s">
        <v>59</v>
      </c>
      <c r="I224" s="30">
        <v>33345.93</v>
      </c>
      <c r="J224" s="28" t="s">
        <v>675</v>
      </c>
      <c r="K224" s="28" cm="1">
        <f t="array" ref="K224:L224">VLOOKUP(E224,[1]A023951!D$1:H$1114,{3,5},0)</f>
        <v>-375.94</v>
      </c>
      <c r="L224" s="28">
        <v>-33516.85</v>
      </c>
      <c r="M224" s="31">
        <f t="shared" si="8"/>
        <v>-170.91999999999825</v>
      </c>
    </row>
    <row r="225" spans="1:13" x14ac:dyDescent="0.35">
      <c r="A225" s="28" t="s">
        <v>511</v>
      </c>
      <c r="B225" s="32">
        <v>2025</v>
      </c>
      <c r="C225" s="28" t="s">
        <v>512</v>
      </c>
      <c r="D225" s="29">
        <v>45799</v>
      </c>
      <c r="E225" s="28">
        <v>256779420844</v>
      </c>
      <c r="F225" s="28" t="s">
        <v>59</v>
      </c>
      <c r="G225" s="30">
        <v>-262.20999999999998</v>
      </c>
      <c r="H225" s="28" t="s">
        <v>59</v>
      </c>
      <c r="I225" s="30">
        <v>-262.20999999999998</v>
      </c>
      <c r="J225" s="28" t="s">
        <v>676</v>
      </c>
      <c r="K225" s="28" t="e" cm="1">
        <f t="array" ref="K225">VLOOKUP(E225,[1]A023951!D$1:H$1114,{3,5},0)</f>
        <v>#N/A</v>
      </c>
      <c r="L225" s="28"/>
      <c r="M225" s="28"/>
    </row>
    <row r="226" spans="1:13" x14ac:dyDescent="0.35">
      <c r="A226" s="28" t="s">
        <v>511</v>
      </c>
      <c r="B226" s="32">
        <v>2025</v>
      </c>
      <c r="C226" s="28" t="s">
        <v>512</v>
      </c>
      <c r="D226" s="29">
        <v>45799</v>
      </c>
      <c r="E226" s="28">
        <v>256779420845</v>
      </c>
      <c r="F226" s="28" t="s">
        <v>11</v>
      </c>
      <c r="G226" s="30">
        <v>-466.37</v>
      </c>
      <c r="H226" s="28" t="s">
        <v>59</v>
      </c>
      <c r="I226" s="30">
        <v>-40430.199999999997</v>
      </c>
      <c r="J226" s="28" t="s">
        <v>677</v>
      </c>
      <c r="K226" s="28" t="e" cm="1">
        <f t="array" ref="K226">VLOOKUP(E226,[1]A023951!D$1:H$1114,{3,5},0)</f>
        <v>#N/A</v>
      </c>
      <c r="L226" s="28"/>
      <c r="M226" s="28"/>
    </row>
    <row r="227" spans="1:13" x14ac:dyDescent="0.35">
      <c r="A227" s="28" t="s">
        <v>511</v>
      </c>
      <c r="B227" s="32">
        <v>2025</v>
      </c>
      <c r="C227" s="28" t="s">
        <v>515</v>
      </c>
      <c r="D227" s="29">
        <v>45922</v>
      </c>
      <c r="E227" s="28">
        <v>256779417744</v>
      </c>
      <c r="F227" s="28" t="s">
        <v>11</v>
      </c>
      <c r="G227" s="30">
        <v>870</v>
      </c>
      <c r="H227" s="28" t="s">
        <v>59</v>
      </c>
      <c r="I227" s="30">
        <v>76137.47</v>
      </c>
      <c r="J227" s="28" t="s">
        <v>678</v>
      </c>
      <c r="K227" s="28" cm="1">
        <f t="array" ref="K227:L227">VLOOKUP(E227,[1]A023951!D$1:H$1114,{3,5},0)</f>
        <v>-870</v>
      </c>
      <c r="L227" s="28">
        <v>-76257.17</v>
      </c>
      <c r="M227" s="31">
        <f>I227+L227</f>
        <v>-119.69999999999709</v>
      </c>
    </row>
    <row r="228" spans="1:13" x14ac:dyDescent="0.35">
      <c r="A228" s="28" t="s">
        <v>511</v>
      </c>
      <c r="B228" s="32">
        <v>2025</v>
      </c>
      <c r="C228" s="28" t="s">
        <v>515</v>
      </c>
      <c r="D228" s="29">
        <v>45922</v>
      </c>
      <c r="E228" s="28">
        <v>256779417801</v>
      </c>
      <c r="F228" s="28" t="s">
        <v>11</v>
      </c>
      <c r="G228" s="30">
        <v>4755.47</v>
      </c>
      <c r="H228" s="28" t="s">
        <v>59</v>
      </c>
      <c r="I228" s="30">
        <v>416171.77</v>
      </c>
      <c r="J228" s="28" t="s">
        <v>679</v>
      </c>
      <c r="K228" s="28" cm="1">
        <f t="array" ref="K228:L228">VLOOKUP(E228,[1]A023951!D$1:H$1114,{3,5},0)</f>
        <v>-4755.47</v>
      </c>
      <c r="L228" s="28">
        <v>-416826.08</v>
      </c>
      <c r="M228" s="31">
        <f>I228+L228</f>
        <v>-654.30999999999767</v>
      </c>
    </row>
    <row r="229" spans="1:13" x14ac:dyDescent="0.35">
      <c r="A229" s="28" t="s">
        <v>511</v>
      </c>
      <c r="B229" s="32">
        <v>2025</v>
      </c>
      <c r="C229" s="28" t="s">
        <v>515</v>
      </c>
      <c r="D229" s="29">
        <v>45770</v>
      </c>
      <c r="E229" s="28">
        <v>256779412884</v>
      </c>
      <c r="F229" s="28" t="s">
        <v>11</v>
      </c>
      <c r="G229" s="30">
        <v>136.08000000000001</v>
      </c>
      <c r="H229" s="28" t="s">
        <v>59</v>
      </c>
      <c r="I229" s="30">
        <v>11828.32</v>
      </c>
      <c r="J229" s="28" t="s">
        <v>680</v>
      </c>
      <c r="K229" s="28" t="e" cm="1">
        <f t="array" ref="K229">VLOOKUP(E229,[1]A023951!D$1:H$1114,{3,5},0)</f>
        <v>#N/A</v>
      </c>
      <c r="L229" s="28"/>
      <c r="M229" s="28"/>
    </row>
    <row r="230" spans="1:13" x14ac:dyDescent="0.35">
      <c r="A230" s="28" t="s">
        <v>511</v>
      </c>
      <c r="B230" s="32">
        <v>2025</v>
      </c>
      <c r="C230" s="28" t="s">
        <v>515</v>
      </c>
      <c r="D230" s="29">
        <v>45770</v>
      </c>
      <c r="E230" s="28">
        <v>256779412918</v>
      </c>
      <c r="F230" s="28" t="s">
        <v>11</v>
      </c>
      <c r="G230" s="30">
        <v>183.35</v>
      </c>
      <c r="H230" s="28" t="s">
        <v>59</v>
      </c>
      <c r="I230" s="30">
        <v>15937.12</v>
      </c>
      <c r="J230" s="28" t="s">
        <v>681</v>
      </c>
      <c r="K230" s="28" t="e" cm="1">
        <f t="array" ref="K230">VLOOKUP(E230,[1]A023951!D$1:H$1114,{3,5},0)</f>
        <v>#N/A</v>
      </c>
      <c r="L230" s="28"/>
      <c r="M230" s="28"/>
    </row>
    <row r="231" spans="1:13" x14ac:dyDescent="0.35">
      <c r="A231" s="28" t="s">
        <v>511</v>
      </c>
      <c r="B231" s="32">
        <v>2025</v>
      </c>
      <c r="C231" s="28" t="s">
        <v>515</v>
      </c>
      <c r="D231" s="29">
        <v>45770</v>
      </c>
      <c r="E231" s="28">
        <v>256779412948</v>
      </c>
      <c r="F231" s="28" t="s">
        <v>11</v>
      </c>
      <c r="G231" s="30">
        <v>3.1</v>
      </c>
      <c r="H231" s="28" t="s">
        <v>59</v>
      </c>
      <c r="I231" s="30">
        <v>269.45999999999998</v>
      </c>
      <c r="J231" s="28" t="s">
        <v>681</v>
      </c>
      <c r="K231" s="28" t="e" cm="1">
        <f t="array" ref="K231">VLOOKUP(E231,[1]A023951!D$1:H$1114,{3,5},0)</f>
        <v>#N/A</v>
      </c>
      <c r="L231" s="28"/>
      <c r="M231" s="28"/>
    </row>
    <row r="232" spans="1:13" x14ac:dyDescent="0.35">
      <c r="A232" s="28" t="s">
        <v>511</v>
      </c>
      <c r="B232" s="32">
        <v>2025</v>
      </c>
      <c r="C232" s="28" t="s">
        <v>515</v>
      </c>
      <c r="D232" s="29">
        <v>45737</v>
      </c>
      <c r="E232" s="28">
        <v>246779414296</v>
      </c>
      <c r="F232" s="28" t="s">
        <v>11</v>
      </c>
      <c r="G232" s="30">
        <v>553.87</v>
      </c>
      <c r="H232" s="28" t="s">
        <v>59</v>
      </c>
      <c r="I232" s="30">
        <v>48015.69</v>
      </c>
      <c r="J232" s="28" t="s">
        <v>682</v>
      </c>
      <c r="K232" s="28" t="e" cm="1">
        <f t="array" ref="K232">VLOOKUP(E232,[1]A023951!D$1:H$1114,{3,5},0)</f>
        <v>#N/A</v>
      </c>
      <c r="L232" s="28"/>
      <c r="M232" s="28"/>
    </row>
    <row r="233" spans="1:13" x14ac:dyDescent="0.35">
      <c r="A233" s="28" t="s">
        <v>511</v>
      </c>
      <c r="B233" s="32">
        <v>2025</v>
      </c>
      <c r="C233" s="28" t="s">
        <v>515</v>
      </c>
      <c r="D233" s="29">
        <v>45737</v>
      </c>
      <c r="E233" s="28">
        <v>246779414297</v>
      </c>
      <c r="F233" s="28" t="s">
        <v>11</v>
      </c>
      <c r="G233" s="30">
        <v>424.8</v>
      </c>
      <c r="H233" s="28" t="s">
        <v>59</v>
      </c>
      <c r="I233" s="30">
        <v>36826.449999999997</v>
      </c>
      <c r="J233" s="28" t="s">
        <v>683</v>
      </c>
      <c r="K233" s="28" t="e" cm="1">
        <f t="array" ref="K233">VLOOKUP(E233,[1]A023951!D$1:H$1114,{3,5},0)</f>
        <v>#N/A</v>
      </c>
      <c r="L233" s="28"/>
      <c r="M233" s="28"/>
    </row>
    <row r="234" spans="1:13" x14ac:dyDescent="0.35">
      <c r="A234" s="28" t="s">
        <v>511</v>
      </c>
      <c r="B234" s="32">
        <v>2025</v>
      </c>
      <c r="C234" s="28" t="s">
        <v>515</v>
      </c>
      <c r="D234" s="29">
        <v>45737</v>
      </c>
      <c r="E234" s="28">
        <v>246779414298</v>
      </c>
      <c r="F234" s="28" t="s">
        <v>11</v>
      </c>
      <c r="G234" s="30">
        <v>70.8</v>
      </c>
      <c r="H234" s="28" t="s">
        <v>59</v>
      </c>
      <c r="I234" s="30">
        <v>6137.74</v>
      </c>
      <c r="J234" s="28" t="s">
        <v>684</v>
      </c>
      <c r="K234" s="28" t="e" cm="1">
        <f t="array" ref="K234">VLOOKUP(E234,[1]A023951!D$1:H$1114,{3,5},0)</f>
        <v>#N/A</v>
      </c>
      <c r="L234" s="28"/>
      <c r="M234" s="28"/>
    </row>
    <row r="235" spans="1:13" x14ac:dyDescent="0.35">
      <c r="A235" s="28" t="s">
        <v>511</v>
      </c>
      <c r="B235" s="32">
        <v>2025</v>
      </c>
      <c r="C235" s="28" t="s">
        <v>515</v>
      </c>
      <c r="D235" s="29">
        <v>45810</v>
      </c>
      <c r="E235" s="28">
        <v>256779413931</v>
      </c>
      <c r="F235" s="28" t="s">
        <v>11</v>
      </c>
      <c r="G235" s="30">
        <v>395.23</v>
      </c>
      <c r="H235" s="28" t="s">
        <v>59</v>
      </c>
      <c r="I235" s="30">
        <v>33788.519999999997</v>
      </c>
      <c r="J235" s="28" t="s">
        <v>685</v>
      </c>
      <c r="K235" s="28" cm="1">
        <f t="array" ref="K235:L235">VLOOKUP(E235,[1]A023951!D$1:H$1114,{3,5},0)</f>
        <v>-395.23</v>
      </c>
      <c r="L235" s="28">
        <v>-33619.879999999997</v>
      </c>
      <c r="M235" s="31">
        <f>I235+L235</f>
        <v>168.63999999999942</v>
      </c>
    </row>
    <row r="236" spans="1:13" x14ac:dyDescent="0.35">
      <c r="A236" s="28" t="s">
        <v>511</v>
      </c>
      <c r="B236" s="32">
        <v>2025</v>
      </c>
      <c r="C236" s="28" t="s">
        <v>515</v>
      </c>
      <c r="D236" s="29">
        <v>45810</v>
      </c>
      <c r="E236" s="28">
        <v>256779413972</v>
      </c>
      <c r="F236" s="28" t="s">
        <v>59</v>
      </c>
      <c r="G236" s="30">
        <v>262.20999999999998</v>
      </c>
      <c r="H236" s="28" t="s">
        <v>59</v>
      </c>
      <c r="I236" s="30">
        <v>262.20999999999998</v>
      </c>
      <c r="J236" s="28" t="s">
        <v>686</v>
      </c>
      <c r="K236" s="28" cm="1">
        <f t="array" ref="K236:L236">VLOOKUP(E236,[1]A023951!D$1:H$1114,{3,5},0)</f>
        <v>0</v>
      </c>
      <c r="L236" s="28">
        <v>-262</v>
      </c>
      <c r="M236" s="31">
        <f>I236+L236</f>
        <v>0.20999999999997954</v>
      </c>
    </row>
    <row r="237" spans="1:13" x14ac:dyDescent="0.35">
      <c r="A237" s="28" t="s">
        <v>511</v>
      </c>
      <c r="B237" s="32">
        <v>2025</v>
      </c>
      <c r="C237" s="28" t="s">
        <v>515</v>
      </c>
      <c r="D237" s="29">
        <v>45937</v>
      </c>
      <c r="E237" s="28">
        <v>256779418176</v>
      </c>
      <c r="F237" s="28" t="s">
        <v>11</v>
      </c>
      <c r="G237" s="30">
        <v>639.04999999999995</v>
      </c>
      <c r="H237" s="28" t="s">
        <v>59</v>
      </c>
      <c r="I237" s="30">
        <v>56358.31</v>
      </c>
      <c r="J237" s="28" t="s">
        <v>687</v>
      </c>
      <c r="K237" s="28" cm="1">
        <f t="array" ref="K237:L237">VLOOKUP(E237,[1]A023951!D$1:H$1114,{3,5},0)</f>
        <v>-639.04999999999995</v>
      </c>
      <c r="L237" s="28">
        <v>-56657.85</v>
      </c>
      <c r="M237" s="31">
        <f>I237+L237</f>
        <v>-299.54000000000087</v>
      </c>
    </row>
    <row r="238" spans="1:13" x14ac:dyDescent="0.35">
      <c r="A238" s="28" t="s">
        <v>511</v>
      </c>
      <c r="B238" s="32">
        <v>2025</v>
      </c>
      <c r="C238" s="28" t="s">
        <v>515</v>
      </c>
      <c r="D238" s="29">
        <v>45937</v>
      </c>
      <c r="E238" s="28">
        <v>256779418185</v>
      </c>
      <c r="F238" s="28" t="s">
        <v>11</v>
      </c>
      <c r="G238" s="30">
        <v>405.44</v>
      </c>
      <c r="H238" s="28" t="s">
        <v>59</v>
      </c>
      <c r="I238" s="30">
        <v>35756.07</v>
      </c>
      <c r="J238" s="28" t="s">
        <v>688</v>
      </c>
      <c r="K238" s="28" t="e" cm="1">
        <f t="array" ref="K238">VLOOKUP(E238,[1]A023951!D$1:H$1114,{3,5},0)</f>
        <v>#N/A</v>
      </c>
      <c r="L238" s="28"/>
      <c r="M238" s="28"/>
    </row>
    <row r="239" spans="1:13" x14ac:dyDescent="0.35">
      <c r="A239" s="28" t="s">
        <v>511</v>
      </c>
      <c r="B239" s="32">
        <v>2025</v>
      </c>
      <c r="C239" s="28" t="s">
        <v>515</v>
      </c>
      <c r="D239" s="29">
        <v>45857</v>
      </c>
      <c r="E239" s="28">
        <v>256779415769</v>
      </c>
      <c r="F239" s="28" t="s">
        <v>11</v>
      </c>
      <c r="G239" s="30">
        <v>234.91</v>
      </c>
      <c r="H239" s="28" t="s">
        <v>59</v>
      </c>
      <c r="I239" s="30">
        <v>20202.419999999998</v>
      </c>
      <c r="J239" s="28" t="s">
        <v>689</v>
      </c>
      <c r="K239" s="28" cm="1">
        <f t="array" ref="K239:L239">VLOOKUP(E239,[1]A023951!D$1:H$1114,{3,5},0)</f>
        <v>-234.91</v>
      </c>
      <c r="L239" s="28">
        <v>-20199.8</v>
      </c>
      <c r="M239" s="31">
        <f>I239+L239</f>
        <v>2.6199999999989814</v>
      </c>
    </row>
    <row r="240" spans="1:13" x14ac:dyDescent="0.35">
      <c r="A240" s="28" t="s">
        <v>511</v>
      </c>
      <c r="B240" s="32">
        <v>2025</v>
      </c>
      <c r="C240" s="28" t="s">
        <v>515</v>
      </c>
      <c r="D240" s="29">
        <v>45787</v>
      </c>
      <c r="E240" s="28">
        <v>256779413240</v>
      </c>
      <c r="F240" s="28" t="s">
        <v>11</v>
      </c>
      <c r="G240" s="30">
        <v>424.03</v>
      </c>
      <c r="H240" s="28" t="s">
        <v>59</v>
      </c>
      <c r="I240" s="30">
        <v>36459.67</v>
      </c>
      <c r="J240" s="28" t="s">
        <v>690</v>
      </c>
      <c r="K240" s="28" cm="1">
        <f t="array" ref="K240:L240">VLOOKUP(E240,[1]A023951!D$1:H$1114,{3,5},0)</f>
        <v>-424.03</v>
      </c>
      <c r="L240" s="28">
        <v>-36201.339999999997</v>
      </c>
      <c r="M240" s="31">
        <f>I240+L240</f>
        <v>258.33000000000175</v>
      </c>
    </row>
    <row r="241" spans="1:13" x14ac:dyDescent="0.35">
      <c r="A241" s="28" t="s">
        <v>511</v>
      </c>
      <c r="B241" s="32">
        <v>2025</v>
      </c>
      <c r="C241" s="28" t="s">
        <v>515</v>
      </c>
      <c r="D241" s="29">
        <v>45787</v>
      </c>
      <c r="E241" s="28">
        <v>256779413250</v>
      </c>
      <c r="F241" s="28" t="s">
        <v>11</v>
      </c>
      <c r="G241" s="30">
        <v>423.28</v>
      </c>
      <c r="H241" s="28" t="s">
        <v>59</v>
      </c>
      <c r="I241" s="30">
        <v>36395.18</v>
      </c>
      <c r="J241" s="28" t="s">
        <v>691</v>
      </c>
      <c r="K241" s="28" cm="1">
        <f t="array" ref="K241:L241">VLOOKUP(E241,[1]A023951!D$1:H$1114,{3,5},0)</f>
        <v>-423.28</v>
      </c>
      <c r="L241" s="28">
        <v>-36137.300000000003</v>
      </c>
      <c r="M241" s="31">
        <f>I241+L241</f>
        <v>257.87999999999738</v>
      </c>
    </row>
    <row r="242" spans="1:13" x14ac:dyDescent="0.35">
      <c r="A242" s="28" t="s">
        <v>511</v>
      </c>
      <c r="B242" s="32">
        <v>2025</v>
      </c>
      <c r="C242" s="28" t="s">
        <v>515</v>
      </c>
      <c r="D242" s="29">
        <v>45787</v>
      </c>
      <c r="E242" s="28">
        <v>256779413161</v>
      </c>
      <c r="F242" s="28" t="s">
        <v>11</v>
      </c>
      <c r="G242" s="30">
        <v>707.71</v>
      </c>
      <c r="H242" s="28" t="s">
        <v>59</v>
      </c>
      <c r="I242" s="30">
        <v>60851.519999999997</v>
      </c>
      <c r="J242" s="28" t="s">
        <v>692</v>
      </c>
      <c r="K242" s="28" t="e" cm="1">
        <f t="array" ref="K242">VLOOKUP(E242,[1]A023951!D$1:H$1114,{3,5},0)</f>
        <v>#N/A</v>
      </c>
      <c r="L242" s="28"/>
      <c r="M242" s="28"/>
    </row>
    <row r="243" spans="1:13" x14ac:dyDescent="0.35">
      <c r="A243" s="28" t="s">
        <v>511</v>
      </c>
      <c r="B243" s="32">
        <v>2025</v>
      </c>
      <c r="C243" s="28" t="s">
        <v>515</v>
      </c>
      <c r="D243" s="29">
        <v>45787</v>
      </c>
      <c r="E243" s="28">
        <v>256779413169</v>
      </c>
      <c r="F243" s="28" t="s">
        <v>11</v>
      </c>
      <c r="G243" s="30">
        <v>3.78</v>
      </c>
      <c r="H243" s="28" t="s">
        <v>59</v>
      </c>
      <c r="I243" s="30">
        <v>325.02</v>
      </c>
      <c r="J243" s="28" t="s">
        <v>693</v>
      </c>
      <c r="K243" s="28" t="e" cm="1">
        <f t="array" ref="K243">VLOOKUP(E243,[1]A023951!D$1:H$1114,{3,5},0)</f>
        <v>#N/A</v>
      </c>
      <c r="L243" s="28"/>
      <c r="M243" s="28"/>
    </row>
    <row r="244" spans="1:13" x14ac:dyDescent="0.35">
      <c r="A244" s="28" t="s">
        <v>511</v>
      </c>
      <c r="B244" s="32">
        <v>2025</v>
      </c>
      <c r="C244" s="28" t="s">
        <v>515</v>
      </c>
      <c r="D244" s="29">
        <v>45997</v>
      </c>
      <c r="E244" s="28">
        <v>256779419983</v>
      </c>
      <c r="F244" s="28" t="s">
        <v>11</v>
      </c>
      <c r="G244" s="30">
        <v>55.63</v>
      </c>
      <c r="H244" s="28" t="s">
        <v>59</v>
      </c>
      <c r="I244" s="30">
        <v>4934.3900000000003</v>
      </c>
      <c r="J244" s="28" t="s">
        <v>694</v>
      </c>
      <c r="K244" s="28" cm="1">
        <f t="array" ref="K244:L244">VLOOKUP(E244,[1]A023951!D$1:H$1114,{3,5},0)</f>
        <v>-55.63</v>
      </c>
      <c r="L244" s="28">
        <v>-4959.68</v>
      </c>
      <c r="M244" s="31">
        <f>I244+L244</f>
        <v>-25.289999999999964</v>
      </c>
    </row>
    <row r="245" spans="1:13" x14ac:dyDescent="0.35">
      <c r="A245" s="28" t="s">
        <v>511</v>
      </c>
      <c r="B245" s="32">
        <v>2025</v>
      </c>
      <c r="C245" s="28" t="s">
        <v>515</v>
      </c>
      <c r="D245" s="29">
        <v>45948</v>
      </c>
      <c r="E245" s="28">
        <v>256779418424</v>
      </c>
      <c r="F245" s="28" t="s">
        <v>11</v>
      </c>
      <c r="G245" s="30">
        <v>1334.62</v>
      </c>
      <c r="H245" s="28" t="s">
        <v>59</v>
      </c>
      <c r="I245" s="30">
        <v>117701.17</v>
      </c>
      <c r="J245" s="28" t="s">
        <v>695</v>
      </c>
      <c r="K245" s="28" cm="1">
        <f t="array" ref="K245:L245">VLOOKUP(E245,[1]A023951!D$1:H$1114,{3,5},0)</f>
        <v>-1334.62</v>
      </c>
      <c r="L245" s="28">
        <v>-118326.74</v>
      </c>
      <c r="M245" s="31">
        <f>I245+L245</f>
        <v>-625.57000000000698</v>
      </c>
    </row>
    <row r="246" spans="1:13" x14ac:dyDescent="0.35">
      <c r="A246" s="28" t="s">
        <v>511</v>
      </c>
      <c r="B246" s="32">
        <v>2025</v>
      </c>
      <c r="C246" s="28" t="s">
        <v>515</v>
      </c>
      <c r="D246" s="29">
        <v>45948</v>
      </c>
      <c r="E246" s="28">
        <v>256779418433</v>
      </c>
      <c r="F246" s="28" t="s">
        <v>11</v>
      </c>
      <c r="G246" s="30">
        <v>351.43</v>
      </c>
      <c r="H246" s="28" t="s">
        <v>59</v>
      </c>
      <c r="I246" s="30">
        <v>30992.880000000001</v>
      </c>
      <c r="J246" s="28" t="s">
        <v>696</v>
      </c>
      <c r="K246" s="28" cm="1">
        <f t="array" ref="K246:L246">VLOOKUP(E246,[1]A023951!D$1:H$1114,{3,5},0)</f>
        <v>-351.43</v>
      </c>
      <c r="L246" s="28">
        <v>-31157.61</v>
      </c>
      <c r="M246" s="31">
        <f>I246+L246</f>
        <v>-164.72999999999956</v>
      </c>
    </row>
    <row r="247" spans="1:13" x14ac:dyDescent="0.35">
      <c r="A247" s="28" t="s">
        <v>511</v>
      </c>
      <c r="B247" s="32">
        <v>2025</v>
      </c>
      <c r="C247" s="28" t="s">
        <v>515</v>
      </c>
      <c r="D247" s="29">
        <v>45815</v>
      </c>
      <c r="E247" s="28">
        <v>256779414253</v>
      </c>
      <c r="F247" s="28" t="s">
        <v>11</v>
      </c>
      <c r="G247" s="30">
        <v>9947.26</v>
      </c>
      <c r="H247" s="28" t="s">
        <v>59</v>
      </c>
      <c r="I247" s="30">
        <v>850399.02</v>
      </c>
      <c r="J247" s="28" t="s">
        <v>697</v>
      </c>
      <c r="K247" s="28" t="e" cm="1">
        <f t="array" ref="K247">VLOOKUP(E247,[1]A023951!D$1:H$1114,{3,5},0)</f>
        <v>#N/A</v>
      </c>
      <c r="L247" s="28"/>
      <c r="M247" s="28"/>
    </row>
    <row r="248" spans="1:13" x14ac:dyDescent="0.35">
      <c r="A248" s="28" t="s">
        <v>511</v>
      </c>
      <c r="B248" s="32">
        <v>2025</v>
      </c>
      <c r="C248" s="28" t="s">
        <v>515</v>
      </c>
      <c r="D248" s="29">
        <v>45936</v>
      </c>
      <c r="E248" s="28">
        <v>256779418006</v>
      </c>
      <c r="F248" s="28" t="s">
        <v>11</v>
      </c>
      <c r="G248" s="30">
        <v>4667.07</v>
      </c>
      <c r="H248" s="28" t="s">
        <v>59</v>
      </c>
      <c r="I248" s="30">
        <v>411592.5</v>
      </c>
      <c r="J248" s="28" t="s">
        <v>698</v>
      </c>
      <c r="K248" s="28" cm="1">
        <f t="array" ref="K248:L248">VLOOKUP(E248,[1]A023951!D$1:H$1114,{3,5},0)</f>
        <v>-4667.07</v>
      </c>
      <c r="L248" s="28">
        <v>-413780.08</v>
      </c>
      <c r="M248" s="31">
        <f>I248+L248</f>
        <v>-2187.5800000000163</v>
      </c>
    </row>
    <row r="249" spans="1:13" x14ac:dyDescent="0.35">
      <c r="A249" s="28" t="s">
        <v>511</v>
      </c>
      <c r="B249" s="32">
        <v>2025</v>
      </c>
      <c r="C249" s="28" t="s">
        <v>515</v>
      </c>
      <c r="D249" s="29">
        <v>45935</v>
      </c>
      <c r="E249" s="28">
        <v>256779417892</v>
      </c>
      <c r="F249" s="28" t="s">
        <v>11</v>
      </c>
      <c r="G249" s="30">
        <v>58.45</v>
      </c>
      <c r="H249" s="28" t="s">
        <v>59</v>
      </c>
      <c r="I249" s="30">
        <v>5154.75</v>
      </c>
      <c r="J249" s="28" t="s">
        <v>699</v>
      </c>
      <c r="K249" s="28" cm="1">
        <f t="array" ref="K249:L249">VLOOKUP(E249,[1]A023951!D$1:H$1114,{3,5},0)</f>
        <v>-58.45</v>
      </c>
      <c r="L249" s="28">
        <v>-5182.1499999999996</v>
      </c>
      <c r="M249" s="31">
        <f>I249+L249</f>
        <v>-27.399999999999636</v>
      </c>
    </row>
    <row r="250" spans="1:13" x14ac:dyDescent="0.35">
      <c r="A250" s="28" t="s">
        <v>511</v>
      </c>
      <c r="B250" s="32">
        <v>2025</v>
      </c>
      <c r="C250" s="28" t="s">
        <v>515</v>
      </c>
      <c r="D250" s="29">
        <v>45935</v>
      </c>
      <c r="E250" s="28">
        <v>256779417931</v>
      </c>
      <c r="F250" s="28" t="s">
        <v>11</v>
      </c>
      <c r="G250" s="30">
        <v>288.83999999999997</v>
      </c>
      <c r="H250" s="28" t="s">
        <v>59</v>
      </c>
      <c r="I250" s="30">
        <v>25473.02</v>
      </c>
      <c r="J250" s="28" t="s">
        <v>700</v>
      </c>
      <c r="K250" s="28" cm="1">
        <f t="array" ref="K250:L250">VLOOKUP(E250,[1]A023951!D$1:H$1114,{3,5},0)</f>
        <v>-288.83999999999997</v>
      </c>
      <c r="L250" s="28">
        <v>-25608.41</v>
      </c>
      <c r="M250" s="31">
        <f>I250+L250</f>
        <v>-135.38999999999942</v>
      </c>
    </row>
    <row r="251" spans="1:13" x14ac:dyDescent="0.35">
      <c r="A251" s="28" t="s">
        <v>511</v>
      </c>
      <c r="B251" s="32">
        <v>2025</v>
      </c>
      <c r="C251" s="28" t="s">
        <v>515</v>
      </c>
      <c r="D251" s="29">
        <v>45935</v>
      </c>
      <c r="E251" s="28">
        <v>256779417971</v>
      </c>
      <c r="F251" s="28" t="s">
        <v>11</v>
      </c>
      <c r="G251" s="30">
        <v>94.81</v>
      </c>
      <c r="H251" s="28" t="s">
        <v>59</v>
      </c>
      <c r="I251" s="30">
        <v>8361.3700000000008</v>
      </c>
      <c r="J251" s="28" t="s">
        <v>701</v>
      </c>
      <c r="K251" s="28" cm="1">
        <f t="array" ref="K251:L251">VLOOKUP(E251,[1]A023951!D$1:H$1114,{3,5},0)</f>
        <v>-94.81</v>
      </c>
      <c r="L251" s="28">
        <v>-8405.81</v>
      </c>
      <c r="M251" s="31">
        <f>I251+L251</f>
        <v>-44.43999999999869</v>
      </c>
    </row>
    <row r="252" spans="1:13" x14ac:dyDescent="0.35">
      <c r="A252" s="28" t="s">
        <v>511</v>
      </c>
      <c r="B252" s="32">
        <v>2025</v>
      </c>
      <c r="C252" s="28" t="s">
        <v>515</v>
      </c>
      <c r="D252" s="29">
        <v>45935</v>
      </c>
      <c r="E252" s="28">
        <v>256779418357</v>
      </c>
      <c r="F252" s="28" t="s">
        <v>11</v>
      </c>
      <c r="G252" s="30">
        <v>394.19</v>
      </c>
      <c r="H252" s="28" t="s">
        <v>59</v>
      </c>
      <c r="I252" s="30">
        <v>34763.919999999998</v>
      </c>
      <c r="J252" s="28" t="s">
        <v>702</v>
      </c>
      <c r="K252" s="28" t="e" cm="1">
        <f t="array" ref="K252">VLOOKUP(E252,[1]A023951!D$1:H$1114,{3,5},0)</f>
        <v>#N/A</v>
      </c>
      <c r="L252" s="28"/>
      <c r="M252" s="28"/>
    </row>
    <row r="253" spans="1:13" x14ac:dyDescent="0.35">
      <c r="A253" s="28" t="s">
        <v>511</v>
      </c>
      <c r="B253" s="32">
        <v>2025</v>
      </c>
      <c r="C253" s="28" t="s">
        <v>515</v>
      </c>
      <c r="D253" s="29">
        <v>45935</v>
      </c>
      <c r="E253" s="28">
        <v>256779418391</v>
      </c>
      <c r="F253" s="28" t="s">
        <v>11</v>
      </c>
      <c r="G253" s="30">
        <v>38.51</v>
      </c>
      <c r="H253" s="28" t="s">
        <v>59</v>
      </c>
      <c r="I253" s="30">
        <v>3396.23</v>
      </c>
      <c r="J253" s="28" t="s">
        <v>703</v>
      </c>
      <c r="K253" s="28" cm="1">
        <f t="array" ref="K253:L253">VLOOKUP(E253,[1]A023951!D$1:H$1114,{3,5},0)</f>
        <v>-38.51</v>
      </c>
      <c r="L253" s="28">
        <v>-3414.28</v>
      </c>
      <c r="M253" s="31">
        <f>I253+L253</f>
        <v>-18.050000000000182</v>
      </c>
    </row>
    <row r="254" spans="1:13" x14ac:dyDescent="0.35">
      <c r="A254" s="28" t="s">
        <v>511</v>
      </c>
      <c r="B254" s="32">
        <v>2025</v>
      </c>
      <c r="C254" s="28" t="s">
        <v>515</v>
      </c>
      <c r="D254" s="29">
        <v>45935</v>
      </c>
      <c r="E254" s="28">
        <v>256779418068</v>
      </c>
      <c r="F254" s="28" t="s">
        <v>11</v>
      </c>
      <c r="G254" s="30">
        <v>94.81</v>
      </c>
      <c r="H254" s="28" t="s">
        <v>59</v>
      </c>
      <c r="I254" s="30">
        <v>8361.3700000000008</v>
      </c>
      <c r="J254" s="28" t="s">
        <v>701</v>
      </c>
      <c r="K254" s="28" t="e" cm="1">
        <f t="array" ref="K254">VLOOKUP(E254,[1]A023951!D$1:H$1114,{3,5},0)</f>
        <v>#N/A</v>
      </c>
      <c r="L254" s="28"/>
      <c r="M254" s="28"/>
    </row>
    <row r="255" spans="1:13" x14ac:dyDescent="0.35">
      <c r="A255" s="28" t="s">
        <v>511</v>
      </c>
      <c r="B255" s="32">
        <v>2025</v>
      </c>
      <c r="C255" s="28" t="s">
        <v>515</v>
      </c>
      <c r="D255" s="29">
        <v>45906</v>
      </c>
      <c r="E255" s="28">
        <v>256779417093</v>
      </c>
      <c r="F255" s="28" t="s">
        <v>11</v>
      </c>
      <c r="G255" s="30">
        <v>4608.8</v>
      </c>
      <c r="H255" s="28" t="s">
        <v>59</v>
      </c>
      <c r="I255" s="30">
        <v>403336.04</v>
      </c>
      <c r="J255" s="28" t="s">
        <v>704</v>
      </c>
      <c r="K255" s="28" t="e" cm="1">
        <f t="array" ref="K255">VLOOKUP(E255,[1]A023951!D$1:H$1114,{3,5},0)</f>
        <v>#N/A</v>
      </c>
      <c r="L255" s="28"/>
      <c r="M255" s="28"/>
    </row>
    <row r="256" spans="1:13" x14ac:dyDescent="0.35">
      <c r="A256" s="28" t="s">
        <v>511</v>
      </c>
      <c r="B256" s="32">
        <v>2025</v>
      </c>
      <c r="C256" s="28" t="s">
        <v>515</v>
      </c>
      <c r="D256" s="29">
        <v>45795</v>
      </c>
      <c r="E256" s="28">
        <v>256779413859</v>
      </c>
      <c r="F256" s="28" t="s">
        <v>11</v>
      </c>
      <c r="G256" s="30">
        <v>413</v>
      </c>
      <c r="H256" s="28" t="s">
        <v>59</v>
      </c>
      <c r="I256" s="30">
        <v>35511.269999999997</v>
      </c>
      <c r="J256" s="28" t="s">
        <v>705</v>
      </c>
      <c r="K256" s="28" t="e" cm="1">
        <f t="array" ref="K256">VLOOKUP(E256,[1]A023951!D$1:H$1114,{3,5},0)</f>
        <v>#N/A</v>
      </c>
      <c r="L256" s="28"/>
      <c r="M256" s="28"/>
    </row>
    <row r="257" spans="1:13" x14ac:dyDescent="0.35">
      <c r="A257" s="28" t="s">
        <v>511</v>
      </c>
      <c r="B257" s="32">
        <v>2026</v>
      </c>
      <c r="C257" s="28" t="s">
        <v>515</v>
      </c>
      <c r="D257" s="29">
        <v>46024</v>
      </c>
      <c r="E257" s="28">
        <v>256779440007</v>
      </c>
      <c r="F257" s="28" t="s">
        <v>11</v>
      </c>
      <c r="G257" s="30">
        <v>1332.49</v>
      </c>
      <c r="H257" s="28" t="s">
        <v>59</v>
      </c>
      <c r="I257" s="30">
        <v>120914.33</v>
      </c>
      <c r="J257" s="28" t="s">
        <v>706</v>
      </c>
      <c r="K257" s="28" t="e" cm="1">
        <f t="array" ref="K257">VLOOKUP(E257,[1]A023951!D$1:H$1114,{3,5},0)</f>
        <v>#N/A</v>
      </c>
      <c r="L257" s="28"/>
      <c r="M257" s="28"/>
    </row>
    <row r="258" spans="1:13" x14ac:dyDescent="0.35">
      <c r="A258" s="28" t="s">
        <v>511</v>
      </c>
      <c r="B258" s="32">
        <v>2026</v>
      </c>
      <c r="C258" s="28" t="s">
        <v>512</v>
      </c>
      <c r="D258" s="29">
        <v>46027</v>
      </c>
      <c r="E258" s="28">
        <v>256779422164</v>
      </c>
      <c r="F258" s="28" t="s">
        <v>11</v>
      </c>
      <c r="G258" s="30">
        <v>-562.38</v>
      </c>
      <c r="H258" s="28" t="s">
        <v>59</v>
      </c>
      <c r="I258" s="30">
        <v>-51032.13</v>
      </c>
      <c r="J258" s="28" t="s">
        <v>707</v>
      </c>
      <c r="K258" s="28" t="e" cm="1">
        <f t="array" ref="K258">VLOOKUP(E258,[1]A023951!D$1:H$1114,{3,5},0)</f>
        <v>#N/A</v>
      </c>
      <c r="L258" s="28"/>
      <c r="M258" s="28"/>
    </row>
    <row r="259" spans="1:13" x14ac:dyDescent="0.35">
      <c r="A259" s="28" t="s">
        <v>511</v>
      </c>
      <c r="B259" s="32">
        <v>2026</v>
      </c>
      <c r="C259" s="28" t="s">
        <v>512</v>
      </c>
      <c r="D259" s="29">
        <v>46027</v>
      </c>
      <c r="E259" s="28">
        <v>256779422170</v>
      </c>
      <c r="F259" s="28" t="s">
        <v>11</v>
      </c>
      <c r="G259" s="30">
        <v>-13.59</v>
      </c>
      <c r="H259" s="28" t="s">
        <v>59</v>
      </c>
      <c r="I259" s="30">
        <v>-1233.2</v>
      </c>
      <c r="J259" s="28" t="s">
        <v>708</v>
      </c>
      <c r="K259" s="28" t="e" cm="1">
        <f t="array" ref="K259">VLOOKUP(E259,[1]A023951!D$1:H$1114,{3,5},0)</f>
        <v>#N/A</v>
      </c>
      <c r="L259" s="28"/>
      <c r="M259" s="28"/>
    </row>
    <row r="260" spans="1:13" x14ac:dyDescent="0.35">
      <c r="A260" s="28" t="s">
        <v>511</v>
      </c>
      <c r="B260" s="32">
        <v>2026</v>
      </c>
      <c r="C260" s="28" t="s">
        <v>515</v>
      </c>
      <c r="D260" s="29">
        <v>46027</v>
      </c>
      <c r="E260" s="28">
        <v>256779440060</v>
      </c>
      <c r="F260" s="28" t="s">
        <v>11</v>
      </c>
      <c r="G260" s="30">
        <v>198.57</v>
      </c>
      <c r="H260" s="28" t="s">
        <v>59</v>
      </c>
      <c r="I260" s="30">
        <v>18018.87</v>
      </c>
      <c r="J260" s="28" t="s">
        <v>709</v>
      </c>
      <c r="K260" s="28" t="e" cm="1">
        <f t="array" ref="K260">VLOOKUP(E260,[1]A023951!D$1:H$1114,{3,5},0)</f>
        <v>#N/A</v>
      </c>
      <c r="L260" s="28"/>
      <c r="M260" s="28"/>
    </row>
    <row r="261" spans="1:13" x14ac:dyDescent="0.35">
      <c r="A261" s="28" t="s">
        <v>511</v>
      </c>
      <c r="B261" s="32">
        <v>2026</v>
      </c>
      <c r="C261" s="28" t="s">
        <v>515</v>
      </c>
      <c r="D261" s="29">
        <v>46027</v>
      </c>
      <c r="E261" s="28">
        <v>256779440067</v>
      </c>
      <c r="F261" s="28" t="s">
        <v>11</v>
      </c>
      <c r="G261" s="30">
        <v>100.07</v>
      </c>
      <c r="H261" s="28" t="s">
        <v>59</v>
      </c>
      <c r="I261" s="30">
        <v>9080.67</v>
      </c>
      <c r="J261" s="28" t="s">
        <v>710</v>
      </c>
      <c r="K261" s="28" t="e" cm="1">
        <f t="array" ref="K261">VLOOKUP(E261,[1]A023951!D$1:H$1114,{3,5},0)</f>
        <v>#N/A</v>
      </c>
      <c r="L261" s="28"/>
      <c r="M261" s="28"/>
    </row>
    <row r="262" spans="1:13" x14ac:dyDescent="0.35">
      <c r="A262" s="28" t="s">
        <v>511</v>
      </c>
      <c r="B262" s="32">
        <v>2026</v>
      </c>
      <c r="C262" s="28" t="s">
        <v>515</v>
      </c>
      <c r="D262" s="29">
        <v>46027</v>
      </c>
      <c r="E262" s="28">
        <v>256779440078</v>
      </c>
      <c r="F262" s="28" t="s">
        <v>11</v>
      </c>
      <c r="G262" s="30">
        <v>78.75</v>
      </c>
      <c r="H262" s="28" t="s">
        <v>59</v>
      </c>
      <c r="I262" s="30">
        <v>7146.02</v>
      </c>
      <c r="J262" s="28" t="s">
        <v>711</v>
      </c>
      <c r="K262" s="28" t="e" cm="1">
        <f t="array" ref="K262">VLOOKUP(E262,[1]A023951!D$1:H$1114,{3,5},0)</f>
        <v>#N/A</v>
      </c>
      <c r="L262" s="28"/>
      <c r="M262" s="28"/>
    </row>
    <row r="263" spans="1:13" x14ac:dyDescent="0.35">
      <c r="A263" s="28" t="s">
        <v>511</v>
      </c>
      <c r="B263" s="32">
        <v>2026</v>
      </c>
      <c r="C263" s="28" t="s">
        <v>515</v>
      </c>
      <c r="D263" s="29">
        <v>46027</v>
      </c>
      <c r="E263" s="28">
        <v>256779440116</v>
      </c>
      <c r="F263" s="28" t="s">
        <v>11</v>
      </c>
      <c r="G263" s="30">
        <v>498.28</v>
      </c>
      <c r="H263" s="28" t="s">
        <v>59</v>
      </c>
      <c r="I263" s="30">
        <v>45215.49</v>
      </c>
      <c r="J263" s="28" t="s">
        <v>712</v>
      </c>
      <c r="K263" s="28" t="e" cm="1">
        <f t="array" ref="K263">VLOOKUP(E263,[1]A023951!D$1:H$1114,{3,5},0)</f>
        <v>#N/A</v>
      </c>
      <c r="L263" s="28"/>
      <c r="M263" s="28"/>
    </row>
    <row r="264" spans="1:13" x14ac:dyDescent="0.35">
      <c r="A264" s="28" t="s">
        <v>511</v>
      </c>
      <c r="B264" s="32">
        <v>2026</v>
      </c>
      <c r="C264" s="28" t="s">
        <v>713</v>
      </c>
      <c r="D264" s="29">
        <v>46030</v>
      </c>
      <c r="E264" s="28" t="s">
        <v>513</v>
      </c>
      <c r="F264" s="28" t="s">
        <v>59</v>
      </c>
      <c r="G264" s="30">
        <v>-719881.09</v>
      </c>
      <c r="H264" s="28" t="s">
        <v>59</v>
      </c>
      <c r="I264" s="30">
        <v>-719881.09</v>
      </c>
      <c r="J264" s="28" t="s">
        <v>513</v>
      </c>
      <c r="K264" s="28" t="e" cm="1">
        <f t="array" ref="K264">VLOOKUP(E264,[1]A023951!D$1:H$1114,{3,5},0)</f>
        <v>#N/A</v>
      </c>
      <c r="L264" s="28"/>
      <c r="M264" s="28"/>
    </row>
    <row r="265" spans="1:13" x14ac:dyDescent="0.35">
      <c r="A265" s="28" t="s">
        <v>511</v>
      </c>
      <c r="B265" s="32">
        <v>2026</v>
      </c>
      <c r="C265" s="28" t="s">
        <v>515</v>
      </c>
      <c r="D265" s="29">
        <v>46031</v>
      </c>
      <c r="E265" s="28">
        <v>256779440126</v>
      </c>
      <c r="F265" s="28" t="s">
        <v>11</v>
      </c>
      <c r="G265" s="30">
        <v>122.48</v>
      </c>
      <c r="H265" s="28" t="s">
        <v>59</v>
      </c>
      <c r="I265" s="30">
        <v>11114.22</v>
      </c>
      <c r="J265" s="28" t="s">
        <v>666</v>
      </c>
      <c r="K265" s="28" t="e" cm="1">
        <f t="array" ref="K265">VLOOKUP(E265,[1]A023951!D$1:H$1114,{3,5},0)</f>
        <v>#N/A</v>
      </c>
      <c r="L265" s="28"/>
      <c r="M265" s="28"/>
    </row>
    <row r="266" spans="1:13" x14ac:dyDescent="0.35">
      <c r="A266" s="28" t="s">
        <v>511</v>
      </c>
      <c r="B266" s="32">
        <v>2026</v>
      </c>
      <c r="C266" s="28" t="s">
        <v>515</v>
      </c>
      <c r="D266" s="29">
        <v>46031</v>
      </c>
      <c r="E266" s="28">
        <v>256779440136</v>
      </c>
      <c r="F266" s="28" t="s">
        <v>11</v>
      </c>
      <c r="G266" s="30">
        <v>27.81</v>
      </c>
      <c r="H266" s="28" t="s">
        <v>59</v>
      </c>
      <c r="I266" s="30">
        <v>2523.5700000000002</v>
      </c>
      <c r="J266" s="28" t="s">
        <v>714</v>
      </c>
      <c r="K266" s="28" t="e" cm="1">
        <f t="array" ref="K266">VLOOKUP(E266,[1]A023951!D$1:H$1114,{3,5},0)</f>
        <v>#N/A</v>
      </c>
      <c r="L266" s="28"/>
      <c r="M266" s="28"/>
    </row>
    <row r="267" spans="1:13" x14ac:dyDescent="0.35">
      <c r="A267" s="28" t="s">
        <v>511</v>
      </c>
      <c r="B267" s="32">
        <v>2026</v>
      </c>
      <c r="C267" s="28" t="s">
        <v>515</v>
      </c>
      <c r="D267" s="29">
        <v>46028</v>
      </c>
      <c r="E267" s="28">
        <v>256779440150</v>
      </c>
      <c r="F267" s="28" t="s">
        <v>11</v>
      </c>
      <c r="G267" s="30">
        <v>112.85</v>
      </c>
      <c r="H267" s="28" t="s">
        <v>59</v>
      </c>
      <c r="I267" s="30">
        <v>10240.36</v>
      </c>
      <c r="J267" s="28" t="s">
        <v>715</v>
      </c>
      <c r="K267" s="28" t="e" cm="1">
        <f t="array" ref="K267">VLOOKUP(E267,[1]A023951!D$1:H$1114,{3,5},0)</f>
        <v>#N/A</v>
      </c>
      <c r="L267" s="28"/>
      <c r="M267" s="28"/>
    </row>
    <row r="268" spans="1:13" x14ac:dyDescent="0.35">
      <c r="A268" s="28" t="s">
        <v>511</v>
      </c>
      <c r="B268" s="32">
        <v>2026</v>
      </c>
      <c r="C268" s="28" t="s">
        <v>515</v>
      </c>
      <c r="D268" s="29">
        <v>46028</v>
      </c>
      <c r="E268" s="28">
        <v>256779440159</v>
      </c>
      <c r="F268" s="28" t="s">
        <v>11</v>
      </c>
      <c r="G268" s="30">
        <v>160.22</v>
      </c>
      <c r="H268" s="28" t="s">
        <v>59</v>
      </c>
      <c r="I268" s="30">
        <v>14538.87</v>
      </c>
      <c r="J268" s="28" t="s">
        <v>716</v>
      </c>
      <c r="K268" s="28" t="e" cm="1">
        <f t="array" ref="K268">VLOOKUP(E268,[1]A023951!D$1:H$1114,{3,5},0)</f>
        <v>#N/A</v>
      </c>
      <c r="L268" s="28"/>
      <c r="M268" s="28"/>
    </row>
    <row r="269" spans="1:13" x14ac:dyDescent="0.35">
      <c r="A269" s="28" t="s">
        <v>511</v>
      </c>
      <c r="B269" s="32">
        <v>2026</v>
      </c>
      <c r="C269" s="28" t="s">
        <v>515</v>
      </c>
      <c r="D269" s="29">
        <v>46028</v>
      </c>
      <c r="E269" s="28">
        <v>256779440208</v>
      </c>
      <c r="F269" s="28" t="s">
        <v>11</v>
      </c>
      <c r="G269" s="30">
        <v>650.12</v>
      </c>
      <c r="H269" s="28" t="s">
        <v>59</v>
      </c>
      <c r="I269" s="30">
        <v>58993.93</v>
      </c>
      <c r="J269" s="28" t="s">
        <v>717</v>
      </c>
      <c r="K269" s="28" t="e" cm="1">
        <f t="array" ref="K269">VLOOKUP(E269,[1]A023951!D$1:H$1114,{3,5},0)</f>
        <v>#N/A</v>
      </c>
      <c r="L269" s="28"/>
      <c r="M269" s="28"/>
    </row>
    <row r="270" spans="1:13" x14ac:dyDescent="0.35">
      <c r="A270" s="28" t="s">
        <v>511</v>
      </c>
      <c r="B270" s="32">
        <v>2026</v>
      </c>
      <c r="C270" s="28" t="s">
        <v>515</v>
      </c>
      <c r="D270" s="29">
        <v>46034</v>
      </c>
      <c r="E270" s="28">
        <v>256779440227</v>
      </c>
      <c r="F270" s="28" t="s">
        <v>11</v>
      </c>
      <c r="G270" s="30">
        <v>304.07</v>
      </c>
      <c r="H270" s="28" t="s">
        <v>59</v>
      </c>
      <c r="I270" s="30">
        <v>27592.27</v>
      </c>
      <c r="J270" s="28" t="s">
        <v>718</v>
      </c>
      <c r="K270" s="28" t="e" cm="1">
        <f t="array" ref="K270">VLOOKUP(E270,[1]A023951!D$1:H$1114,{3,5},0)</f>
        <v>#N/A</v>
      </c>
      <c r="L270" s="28"/>
      <c r="M270" s="28"/>
    </row>
    <row r="271" spans="1:13" x14ac:dyDescent="0.35">
      <c r="A271" s="28" t="s">
        <v>511</v>
      </c>
      <c r="B271" s="32">
        <v>2026</v>
      </c>
      <c r="C271" s="28" t="s">
        <v>515</v>
      </c>
      <c r="D271" s="29">
        <v>46028</v>
      </c>
      <c r="E271" s="28">
        <v>256779440238</v>
      </c>
      <c r="F271" s="28" t="s">
        <v>11</v>
      </c>
      <c r="G271" s="30">
        <v>1083.58</v>
      </c>
      <c r="H271" s="28" t="s">
        <v>59</v>
      </c>
      <c r="I271" s="30">
        <v>98327.45</v>
      </c>
      <c r="J271" s="28" t="s">
        <v>719</v>
      </c>
      <c r="K271" s="28" t="e" cm="1">
        <f t="array" ref="K271">VLOOKUP(E271,[1]A023951!D$1:H$1114,{3,5},0)</f>
        <v>#N/A</v>
      </c>
      <c r="L271" s="28"/>
      <c r="M271" s="28"/>
    </row>
    <row r="272" spans="1:13" x14ac:dyDescent="0.35">
      <c r="A272" s="28" t="s">
        <v>511</v>
      </c>
      <c r="B272" s="32">
        <v>2026</v>
      </c>
      <c r="C272" s="28" t="s">
        <v>515</v>
      </c>
      <c r="D272" s="29">
        <v>46034</v>
      </c>
      <c r="E272" s="28">
        <v>256779440285</v>
      </c>
      <c r="F272" s="28" t="s">
        <v>11</v>
      </c>
      <c r="G272" s="30">
        <v>535.29</v>
      </c>
      <c r="H272" s="28" t="s">
        <v>59</v>
      </c>
      <c r="I272" s="30">
        <v>48573.9</v>
      </c>
      <c r="J272" s="28" t="s">
        <v>720</v>
      </c>
      <c r="K272" s="28" t="e" cm="1">
        <f t="array" ref="K272">VLOOKUP(E272,[1]A023951!D$1:H$1114,{3,5},0)</f>
        <v>#N/A</v>
      </c>
      <c r="L272" s="28"/>
      <c r="M272" s="28"/>
    </row>
    <row r="273" spans="1:13" x14ac:dyDescent="0.35">
      <c r="A273" s="28" t="s">
        <v>511</v>
      </c>
      <c r="B273" s="32">
        <v>2026</v>
      </c>
      <c r="C273" s="28" t="s">
        <v>515</v>
      </c>
      <c r="D273" s="29">
        <v>46028</v>
      </c>
      <c r="E273" s="28">
        <v>256779440309</v>
      </c>
      <c r="F273" s="28" t="s">
        <v>59</v>
      </c>
      <c r="G273" s="30">
        <v>200000</v>
      </c>
      <c r="H273" s="28" t="s">
        <v>59</v>
      </c>
      <c r="I273" s="30">
        <v>200000</v>
      </c>
      <c r="J273" s="28" t="s">
        <v>721</v>
      </c>
      <c r="K273" s="28" t="e" cm="1">
        <f t="array" ref="K273">VLOOKUP(E273,[1]A023951!D$1:H$1114,{3,5},0)</f>
        <v>#N/A</v>
      </c>
      <c r="L273" s="28"/>
      <c r="M273" s="28"/>
    </row>
    <row r="274" spans="1:13" x14ac:dyDescent="0.35">
      <c r="A274" s="28" t="s">
        <v>511</v>
      </c>
      <c r="B274" s="32">
        <v>2026</v>
      </c>
      <c r="C274" s="28" t="s">
        <v>515</v>
      </c>
      <c r="D274" s="29">
        <v>46028</v>
      </c>
      <c r="E274" s="28">
        <v>256779440310</v>
      </c>
      <c r="F274" s="28" t="s">
        <v>59</v>
      </c>
      <c r="G274" s="30">
        <v>8000</v>
      </c>
      <c r="H274" s="28" t="s">
        <v>59</v>
      </c>
      <c r="I274" s="30">
        <v>8000</v>
      </c>
      <c r="J274" s="28" t="s">
        <v>721</v>
      </c>
      <c r="K274" s="28" t="e" cm="1">
        <f t="array" ref="K274">VLOOKUP(E274,[1]A023951!D$1:H$1114,{3,5},0)</f>
        <v>#N/A</v>
      </c>
      <c r="L274" s="28"/>
      <c r="M274" s="28"/>
    </row>
    <row r="275" spans="1:13" x14ac:dyDescent="0.35">
      <c r="A275" s="28" t="s">
        <v>511</v>
      </c>
      <c r="B275" s="32">
        <v>2026</v>
      </c>
      <c r="C275" s="28" t="s">
        <v>515</v>
      </c>
      <c r="D275" s="29">
        <v>46028</v>
      </c>
      <c r="E275" s="28">
        <v>256779440311</v>
      </c>
      <c r="F275" s="28" t="s">
        <v>59</v>
      </c>
      <c r="G275" s="30">
        <v>4400</v>
      </c>
      <c r="H275" s="28" t="s">
        <v>59</v>
      </c>
      <c r="I275" s="30">
        <v>4400</v>
      </c>
      <c r="J275" s="28" t="s">
        <v>721</v>
      </c>
      <c r="K275" s="28" t="e" cm="1">
        <f t="array" ref="K275">VLOOKUP(E275,[1]A023951!D$1:H$1114,{3,5},0)</f>
        <v>#N/A</v>
      </c>
      <c r="L275" s="28"/>
      <c r="M275" s="28"/>
    </row>
    <row r="276" spans="1:13" x14ac:dyDescent="0.35">
      <c r="A276" s="28" t="s">
        <v>511</v>
      </c>
      <c r="B276" s="32">
        <v>2026</v>
      </c>
      <c r="C276" s="28" t="s">
        <v>515</v>
      </c>
      <c r="D276" s="29">
        <v>46035</v>
      </c>
      <c r="E276" s="28">
        <v>256779440363</v>
      </c>
      <c r="F276" s="28" t="s">
        <v>11</v>
      </c>
      <c r="G276" s="30">
        <v>937.45</v>
      </c>
      <c r="H276" s="28" t="s">
        <v>59</v>
      </c>
      <c r="I276" s="30">
        <v>85067.16</v>
      </c>
      <c r="J276" s="28" t="s">
        <v>722</v>
      </c>
      <c r="K276" s="28" t="e" cm="1">
        <f t="array" ref="K276">VLOOKUP(E276,[1]A023951!D$1:H$1114,{3,5},0)</f>
        <v>#N/A</v>
      </c>
      <c r="L276" s="28"/>
      <c r="M276" s="28"/>
    </row>
    <row r="277" spans="1:13" x14ac:dyDescent="0.35">
      <c r="A277" s="28" t="s">
        <v>511</v>
      </c>
      <c r="B277" s="32">
        <v>2026</v>
      </c>
      <c r="C277" s="28" t="s">
        <v>515</v>
      </c>
      <c r="D277" s="29">
        <v>46043</v>
      </c>
      <c r="E277" s="28">
        <v>256779440381</v>
      </c>
      <c r="F277" s="28" t="s">
        <v>11</v>
      </c>
      <c r="G277" s="30">
        <v>6.79</v>
      </c>
      <c r="H277" s="28" t="s">
        <v>59</v>
      </c>
      <c r="I277" s="30">
        <v>616.15</v>
      </c>
      <c r="J277" s="28" t="s">
        <v>723</v>
      </c>
      <c r="K277" s="28" t="e" cm="1">
        <f t="array" ref="K277">VLOOKUP(E277,[1]A023951!D$1:H$1114,{3,5},0)</f>
        <v>#N/A</v>
      </c>
      <c r="L277" s="28"/>
      <c r="M277" s="28"/>
    </row>
    <row r="278" spans="1:13" x14ac:dyDescent="0.35">
      <c r="A278" s="28" t="s">
        <v>511</v>
      </c>
      <c r="B278" s="32">
        <v>2026</v>
      </c>
      <c r="C278" s="28" t="s">
        <v>515</v>
      </c>
      <c r="D278" s="29">
        <v>46043</v>
      </c>
      <c r="E278" s="28">
        <v>256779440388</v>
      </c>
      <c r="F278" s="28" t="s">
        <v>11</v>
      </c>
      <c r="G278" s="30">
        <v>57.29</v>
      </c>
      <c r="H278" s="28" t="s">
        <v>59</v>
      </c>
      <c r="I278" s="30">
        <v>5198.67</v>
      </c>
      <c r="J278" s="28" t="s">
        <v>724</v>
      </c>
      <c r="K278" s="28" t="e" cm="1">
        <f t="array" ref="K278">VLOOKUP(E278,[1]A023951!D$1:H$1114,{3,5},0)</f>
        <v>#N/A</v>
      </c>
      <c r="L278" s="28"/>
      <c r="M278" s="28"/>
    </row>
    <row r="279" spans="1:13" x14ac:dyDescent="0.35">
      <c r="A279" s="28" t="s">
        <v>511</v>
      </c>
      <c r="B279" s="32">
        <v>2026</v>
      </c>
      <c r="C279" s="28" t="s">
        <v>515</v>
      </c>
      <c r="D279" s="29">
        <v>46045</v>
      </c>
      <c r="E279" s="28">
        <v>256779440411</v>
      </c>
      <c r="F279" s="28" t="s">
        <v>11</v>
      </c>
      <c r="G279" s="30">
        <v>554.49</v>
      </c>
      <c r="H279" s="28" t="s">
        <v>59</v>
      </c>
      <c r="I279" s="30">
        <v>50316.160000000003</v>
      </c>
      <c r="J279" s="28" t="s">
        <v>725</v>
      </c>
      <c r="K279" s="28" t="e" cm="1">
        <f t="array" ref="K279">VLOOKUP(E279,[1]A023951!D$1:H$1114,{3,5},0)</f>
        <v>#N/A</v>
      </c>
      <c r="L279" s="28"/>
      <c r="M279" s="28"/>
    </row>
    <row r="280" spans="1:13" x14ac:dyDescent="0.35">
      <c r="A280" s="28" t="s">
        <v>511</v>
      </c>
      <c r="B280" s="32">
        <v>2026</v>
      </c>
      <c r="C280" s="28" t="s">
        <v>515</v>
      </c>
      <c r="D280" s="29">
        <v>46045</v>
      </c>
      <c r="E280" s="28">
        <v>256779440427</v>
      </c>
      <c r="F280" s="28" t="s">
        <v>11</v>
      </c>
      <c r="G280" s="30">
        <v>44.06</v>
      </c>
      <c r="H280" s="28" t="s">
        <v>59</v>
      </c>
      <c r="I280" s="30">
        <v>3998.14</v>
      </c>
      <c r="J280" s="28" t="s">
        <v>726</v>
      </c>
      <c r="K280" s="28" t="e" cm="1">
        <f t="array" ref="K280">VLOOKUP(E280,[1]A023951!D$1:H$1114,{3,5},0)</f>
        <v>#N/A</v>
      </c>
      <c r="L280" s="28"/>
      <c r="M280" s="28"/>
    </row>
    <row r="281" spans="1:13" x14ac:dyDescent="0.35">
      <c r="A281" s="28" t="s">
        <v>511</v>
      </c>
      <c r="B281" s="32">
        <v>2026</v>
      </c>
      <c r="C281" s="28" t="s">
        <v>515</v>
      </c>
      <c r="D281" s="29">
        <v>46049</v>
      </c>
      <c r="E281" s="28">
        <v>256779440443</v>
      </c>
      <c r="F281" s="28" t="s">
        <v>11</v>
      </c>
      <c r="G281" s="30">
        <v>18.41</v>
      </c>
      <c r="H281" s="28" t="s">
        <v>59</v>
      </c>
      <c r="I281" s="30">
        <v>1670.58</v>
      </c>
      <c r="J281" s="28" t="s">
        <v>727</v>
      </c>
      <c r="K281" s="28" t="e" cm="1">
        <f t="array" ref="K281">VLOOKUP(E281,[1]A023951!D$1:H$1114,{3,5},0)</f>
        <v>#N/A</v>
      </c>
      <c r="L281" s="28"/>
      <c r="M281" s="28"/>
    </row>
    <row r="282" spans="1:13" x14ac:dyDescent="0.35">
      <c r="A282" s="28" t="s">
        <v>511</v>
      </c>
      <c r="B282" s="32">
        <v>2025</v>
      </c>
      <c r="C282" s="28" t="s">
        <v>515</v>
      </c>
      <c r="D282" s="29">
        <v>45848</v>
      </c>
      <c r="E282" s="28">
        <v>256779415364</v>
      </c>
      <c r="F282" s="28" t="s">
        <v>11</v>
      </c>
      <c r="G282" s="30">
        <v>200</v>
      </c>
      <c r="H282" s="28" t="s">
        <v>59</v>
      </c>
      <c r="I282" s="30">
        <v>17200.13</v>
      </c>
      <c r="J282" s="28" t="s">
        <v>728</v>
      </c>
      <c r="K282" s="28" cm="1">
        <f t="array" ref="K282:L282">VLOOKUP(E282,[1]A023951!D$1:H$1114,{3,5},0)</f>
        <v>-200</v>
      </c>
      <c r="L282" s="28">
        <v>-17694</v>
      </c>
      <c r="M282" s="31">
        <f t="shared" ref="M282:M294" si="9">I282+L282</f>
        <v>-493.86999999999898</v>
      </c>
    </row>
    <row r="283" spans="1:13" x14ac:dyDescent="0.35">
      <c r="A283" s="28" t="s">
        <v>511</v>
      </c>
      <c r="B283" s="32">
        <v>2025</v>
      </c>
      <c r="C283" s="28" t="s">
        <v>515</v>
      </c>
      <c r="D283" s="29">
        <v>45848</v>
      </c>
      <c r="E283" s="28">
        <v>256779415365</v>
      </c>
      <c r="F283" s="28" t="s">
        <v>11</v>
      </c>
      <c r="G283" s="30">
        <v>313</v>
      </c>
      <c r="H283" s="28" t="s">
        <v>59</v>
      </c>
      <c r="I283" s="30">
        <v>26918.21</v>
      </c>
      <c r="J283" s="28" t="s">
        <v>729</v>
      </c>
      <c r="K283" s="28" cm="1">
        <f t="array" ref="K283:L283">VLOOKUP(E283,[1]A023951!D$1:H$1114,{3,5},0)</f>
        <v>-313</v>
      </c>
      <c r="L283" s="28">
        <v>-27691.11</v>
      </c>
      <c r="M283" s="31">
        <f t="shared" si="9"/>
        <v>-772.90000000000146</v>
      </c>
    </row>
    <row r="284" spans="1:13" x14ac:dyDescent="0.35">
      <c r="A284" s="28" t="s">
        <v>511</v>
      </c>
      <c r="B284" s="32">
        <v>2025</v>
      </c>
      <c r="C284" s="28" t="s">
        <v>515</v>
      </c>
      <c r="D284" s="29">
        <v>45848</v>
      </c>
      <c r="E284" s="28">
        <v>256779415366</v>
      </c>
      <c r="F284" s="28" t="s">
        <v>11</v>
      </c>
      <c r="G284" s="30">
        <v>192</v>
      </c>
      <c r="H284" s="28" t="s">
        <v>59</v>
      </c>
      <c r="I284" s="30">
        <v>16512.13</v>
      </c>
      <c r="J284" s="28" t="s">
        <v>730</v>
      </c>
      <c r="K284" s="28" cm="1">
        <f t="array" ref="K284:L284">VLOOKUP(E284,[1]A023951!D$1:H$1114,{3,5},0)</f>
        <v>-192</v>
      </c>
      <c r="L284" s="28">
        <v>-16986.240000000002</v>
      </c>
      <c r="M284" s="31">
        <f t="shared" si="9"/>
        <v>-474.11000000000058</v>
      </c>
    </row>
    <row r="285" spans="1:13" x14ac:dyDescent="0.35">
      <c r="A285" s="28" t="s">
        <v>511</v>
      </c>
      <c r="B285" s="32">
        <v>2025</v>
      </c>
      <c r="C285" s="28" t="s">
        <v>515</v>
      </c>
      <c r="D285" s="29">
        <v>45848</v>
      </c>
      <c r="E285" s="28">
        <v>256779415367</v>
      </c>
      <c r="F285" s="28" t="s">
        <v>11</v>
      </c>
      <c r="G285" s="30">
        <v>200</v>
      </c>
      <c r="H285" s="28" t="s">
        <v>59</v>
      </c>
      <c r="I285" s="30">
        <v>17200.13</v>
      </c>
      <c r="J285" s="28" t="s">
        <v>731</v>
      </c>
      <c r="K285" s="28" cm="1">
        <f t="array" ref="K285:L285">VLOOKUP(E285,[1]A023951!D$1:H$1114,{3,5},0)</f>
        <v>-200</v>
      </c>
      <c r="L285" s="28">
        <v>-17694</v>
      </c>
      <c r="M285" s="31">
        <f t="shared" si="9"/>
        <v>-493.86999999999898</v>
      </c>
    </row>
    <row r="286" spans="1:13" x14ac:dyDescent="0.35">
      <c r="A286" s="28" t="s">
        <v>511</v>
      </c>
      <c r="B286" s="32">
        <v>2025</v>
      </c>
      <c r="C286" s="28" t="s">
        <v>515</v>
      </c>
      <c r="D286" s="29">
        <v>45848</v>
      </c>
      <c r="E286" s="28">
        <v>256779415368</v>
      </c>
      <c r="F286" s="28" t="s">
        <v>11</v>
      </c>
      <c r="G286" s="30">
        <v>60</v>
      </c>
      <c r="H286" s="28" t="s">
        <v>59</v>
      </c>
      <c r="I286" s="30">
        <v>5160.04</v>
      </c>
      <c r="J286" s="28" t="s">
        <v>732</v>
      </c>
      <c r="K286" s="28" cm="1">
        <f t="array" ref="K286:L286">VLOOKUP(E286,[1]A023951!D$1:H$1114,{3,5},0)</f>
        <v>-60</v>
      </c>
      <c r="L286" s="28">
        <v>-5308.2</v>
      </c>
      <c r="M286" s="31">
        <f t="shared" si="9"/>
        <v>-148.15999999999985</v>
      </c>
    </row>
    <row r="287" spans="1:13" x14ac:dyDescent="0.35">
      <c r="A287" s="28" t="s">
        <v>511</v>
      </c>
      <c r="B287" s="32">
        <v>2025</v>
      </c>
      <c r="C287" s="28" t="s">
        <v>515</v>
      </c>
      <c r="D287" s="29">
        <v>45848</v>
      </c>
      <c r="E287" s="28">
        <v>256779415369</v>
      </c>
      <c r="F287" s="28" t="s">
        <v>11</v>
      </c>
      <c r="G287" s="30">
        <v>3</v>
      </c>
      <c r="H287" s="28" t="s">
        <v>59</v>
      </c>
      <c r="I287" s="30">
        <v>258</v>
      </c>
      <c r="J287" s="28" t="s">
        <v>733</v>
      </c>
      <c r="K287" s="28" cm="1">
        <f t="array" ref="K287:L287">VLOOKUP(E287,[1]A023951!D$1:H$1114,{3,5},0)</f>
        <v>-3</v>
      </c>
      <c r="L287" s="28">
        <v>-265.41000000000003</v>
      </c>
      <c r="M287" s="31">
        <f t="shared" si="9"/>
        <v>-7.410000000000025</v>
      </c>
    </row>
    <row r="288" spans="1:13" x14ac:dyDescent="0.35">
      <c r="A288" s="28" t="s">
        <v>511</v>
      </c>
      <c r="B288" s="32">
        <v>2025</v>
      </c>
      <c r="C288" s="28" t="s">
        <v>515</v>
      </c>
      <c r="D288" s="29">
        <v>45848</v>
      </c>
      <c r="E288" s="28">
        <v>256779415370</v>
      </c>
      <c r="F288" s="28" t="s">
        <v>11</v>
      </c>
      <c r="G288" s="30">
        <v>72</v>
      </c>
      <c r="H288" s="28" t="s">
        <v>59</v>
      </c>
      <c r="I288" s="30">
        <v>6192.05</v>
      </c>
      <c r="J288" s="28" t="s">
        <v>734</v>
      </c>
      <c r="K288" s="28" cm="1">
        <f t="array" ref="K288:L288">VLOOKUP(E288,[1]A023951!D$1:H$1114,{3,5},0)</f>
        <v>-72</v>
      </c>
      <c r="L288" s="28">
        <v>-6369.84</v>
      </c>
      <c r="M288" s="31">
        <f t="shared" si="9"/>
        <v>-177.78999999999996</v>
      </c>
    </row>
    <row r="289" spans="1:13" x14ac:dyDescent="0.35">
      <c r="A289" s="28" t="s">
        <v>511</v>
      </c>
      <c r="B289" s="32">
        <v>2025</v>
      </c>
      <c r="C289" s="28" t="s">
        <v>515</v>
      </c>
      <c r="D289" s="29">
        <v>45848</v>
      </c>
      <c r="E289" s="28">
        <v>256779415371</v>
      </c>
      <c r="F289" s="28" t="s">
        <v>11</v>
      </c>
      <c r="G289" s="30">
        <v>43.32</v>
      </c>
      <c r="H289" s="28" t="s">
        <v>59</v>
      </c>
      <c r="I289" s="30">
        <v>3725.55</v>
      </c>
      <c r="J289" s="28" t="s">
        <v>735</v>
      </c>
      <c r="K289" s="28" cm="1">
        <f t="array" ref="K289:L289">VLOOKUP(E289,[1]A023951!D$1:H$1114,{3,5},0)</f>
        <v>-43.32</v>
      </c>
      <c r="L289" s="28">
        <v>-3832.52</v>
      </c>
      <c r="M289" s="31">
        <f t="shared" si="9"/>
        <v>-106.9699999999998</v>
      </c>
    </row>
    <row r="290" spans="1:13" x14ac:dyDescent="0.35">
      <c r="A290" s="28" t="s">
        <v>511</v>
      </c>
      <c r="B290" s="32">
        <v>2025</v>
      </c>
      <c r="C290" s="28" t="s">
        <v>515</v>
      </c>
      <c r="D290" s="29">
        <v>45848</v>
      </c>
      <c r="E290" s="28">
        <v>256779415372</v>
      </c>
      <c r="F290" s="28" t="s">
        <v>11</v>
      </c>
      <c r="G290" s="30">
        <v>155.38</v>
      </c>
      <c r="H290" s="28" t="s">
        <v>59</v>
      </c>
      <c r="I290" s="30">
        <v>13362.78</v>
      </c>
      <c r="J290" s="28" t="s">
        <v>736</v>
      </c>
      <c r="K290" s="28" cm="1">
        <f t="array" ref="K290:L290">VLOOKUP(E290,[1]A023951!D$1:H$1114,{3,5},0)</f>
        <v>-155.38</v>
      </c>
      <c r="L290" s="28">
        <v>-13746.47</v>
      </c>
      <c r="M290" s="31">
        <f t="shared" si="9"/>
        <v>-383.68999999999869</v>
      </c>
    </row>
    <row r="291" spans="1:13" x14ac:dyDescent="0.35">
      <c r="A291" s="28" t="s">
        <v>511</v>
      </c>
      <c r="B291" s="32">
        <v>2025</v>
      </c>
      <c r="C291" s="28" t="s">
        <v>515</v>
      </c>
      <c r="D291" s="29">
        <v>45848</v>
      </c>
      <c r="E291" s="28">
        <v>256779415373</v>
      </c>
      <c r="F291" s="28" t="s">
        <v>11</v>
      </c>
      <c r="G291" s="30">
        <v>2.63</v>
      </c>
      <c r="H291" s="28" t="s">
        <v>59</v>
      </c>
      <c r="I291" s="30">
        <v>226.18</v>
      </c>
      <c r="J291" s="28" t="s">
        <v>737</v>
      </c>
      <c r="K291" s="28" cm="1">
        <f t="array" ref="K291:L291">VLOOKUP(E291,[1]A023951!D$1:H$1114,{3,5},0)</f>
        <v>-2.63</v>
      </c>
      <c r="L291" s="28">
        <v>-232.68</v>
      </c>
      <c r="M291" s="31">
        <f t="shared" si="9"/>
        <v>-6.5</v>
      </c>
    </row>
    <row r="292" spans="1:13" x14ac:dyDescent="0.35">
      <c r="A292" s="28" t="s">
        <v>511</v>
      </c>
      <c r="B292" s="32">
        <v>2025</v>
      </c>
      <c r="C292" s="28" t="s">
        <v>515</v>
      </c>
      <c r="D292" s="29">
        <v>45848</v>
      </c>
      <c r="E292" s="28">
        <v>256779415374</v>
      </c>
      <c r="F292" s="28" t="s">
        <v>11</v>
      </c>
      <c r="G292" s="30">
        <v>469.38</v>
      </c>
      <c r="H292" s="28" t="s">
        <v>59</v>
      </c>
      <c r="I292" s="30">
        <v>40366.99</v>
      </c>
      <c r="J292" s="28" t="s">
        <v>682</v>
      </c>
      <c r="K292" s="28" cm="1">
        <f t="array" ref="K292:L292">VLOOKUP(E292,[1]A023951!D$1:H$1114,{3,5},0)</f>
        <v>-469.38</v>
      </c>
      <c r="L292" s="28">
        <v>-41526.050000000003</v>
      </c>
      <c r="M292" s="31">
        <f t="shared" si="9"/>
        <v>-1159.0600000000049</v>
      </c>
    </row>
    <row r="293" spans="1:13" x14ac:dyDescent="0.35">
      <c r="A293" s="28" t="s">
        <v>511</v>
      </c>
      <c r="B293" s="32">
        <v>2025</v>
      </c>
      <c r="C293" s="28" t="s">
        <v>515</v>
      </c>
      <c r="D293" s="29">
        <v>45848</v>
      </c>
      <c r="E293" s="28">
        <v>256779415375</v>
      </c>
      <c r="F293" s="28" t="s">
        <v>11</v>
      </c>
      <c r="G293" s="30">
        <v>360</v>
      </c>
      <c r="H293" s="28" t="s">
        <v>59</v>
      </c>
      <c r="I293" s="30">
        <v>30960.240000000002</v>
      </c>
      <c r="J293" s="28" t="s">
        <v>683</v>
      </c>
      <c r="K293" s="28" cm="1">
        <f t="array" ref="K293:L293">VLOOKUP(E293,[1]A023951!D$1:H$1114,{3,5},0)</f>
        <v>-360</v>
      </c>
      <c r="L293" s="28">
        <v>-31849.200000000001</v>
      </c>
      <c r="M293" s="31">
        <f t="shared" si="9"/>
        <v>-888.95999999999913</v>
      </c>
    </row>
    <row r="294" spans="1:13" x14ac:dyDescent="0.35">
      <c r="A294" s="28" t="s">
        <v>511</v>
      </c>
      <c r="B294" s="32">
        <v>2025</v>
      </c>
      <c r="C294" s="28" t="s">
        <v>515</v>
      </c>
      <c r="D294" s="29">
        <v>45848</v>
      </c>
      <c r="E294" s="28">
        <v>256779415376</v>
      </c>
      <c r="F294" s="28" t="s">
        <v>11</v>
      </c>
      <c r="G294" s="30">
        <v>60</v>
      </c>
      <c r="H294" s="28" t="s">
        <v>59</v>
      </c>
      <c r="I294" s="30">
        <v>5160.04</v>
      </c>
      <c r="J294" s="28" t="s">
        <v>684</v>
      </c>
      <c r="K294" s="28" cm="1">
        <f t="array" ref="K294:L294">VLOOKUP(E294,[1]A023951!D$1:H$1114,{3,5},0)</f>
        <v>-60</v>
      </c>
      <c r="L294" s="28">
        <v>-5308.2</v>
      </c>
      <c r="M294" s="31">
        <f t="shared" si="9"/>
        <v>-148.15999999999985</v>
      </c>
    </row>
    <row r="295" spans="1:13" x14ac:dyDescent="0.35">
      <c r="A295" s="28" t="s">
        <v>511</v>
      </c>
      <c r="B295" s="32">
        <v>2025</v>
      </c>
      <c r="C295" s="28" t="s">
        <v>512</v>
      </c>
      <c r="D295" s="29">
        <v>45848</v>
      </c>
      <c r="E295" s="28">
        <v>256779421222</v>
      </c>
      <c r="F295" s="28" t="s">
        <v>11</v>
      </c>
      <c r="G295" s="30">
        <v>-295</v>
      </c>
      <c r="H295" s="28" t="s">
        <v>59</v>
      </c>
      <c r="I295" s="30">
        <v>-25370.2</v>
      </c>
      <c r="J295" s="28" t="s">
        <v>738</v>
      </c>
      <c r="K295" s="28" t="e" cm="1">
        <f t="array" ref="K295">VLOOKUP(E295,[1]A023951!D$1:H$1114,{3,5},0)</f>
        <v>#N/A</v>
      </c>
      <c r="L295" s="28"/>
      <c r="M295" s="28"/>
    </row>
    <row r="296" spans="1:13" x14ac:dyDescent="0.35">
      <c r="A296" s="28" t="s">
        <v>511</v>
      </c>
      <c r="B296" s="32">
        <v>2025</v>
      </c>
      <c r="C296" s="28" t="s">
        <v>512</v>
      </c>
      <c r="D296" s="29">
        <v>45848</v>
      </c>
      <c r="E296" s="28">
        <v>256779421223</v>
      </c>
      <c r="F296" s="28" t="s">
        <v>11</v>
      </c>
      <c r="G296" s="30">
        <v>-28.32</v>
      </c>
      <c r="H296" s="28" t="s">
        <v>59</v>
      </c>
      <c r="I296" s="30">
        <v>-2435.54</v>
      </c>
      <c r="J296" s="28" t="s">
        <v>739</v>
      </c>
      <c r="K296" s="28" t="e" cm="1">
        <f t="array" ref="K296">VLOOKUP(E296,[1]A023951!D$1:H$1114,{3,5},0)</f>
        <v>#N/A</v>
      </c>
      <c r="L296" s="28"/>
      <c r="M296" s="28"/>
    </row>
    <row r="297" spans="1:13" x14ac:dyDescent="0.35">
      <c r="A297" s="28" t="s">
        <v>511</v>
      </c>
      <c r="B297" s="32">
        <v>2025</v>
      </c>
      <c r="C297" s="28" t="s">
        <v>512</v>
      </c>
      <c r="D297" s="29">
        <v>45848</v>
      </c>
      <c r="E297" s="28">
        <v>256779421224</v>
      </c>
      <c r="F297" s="28" t="s">
        <v>11</v>
      </c>
      <c r="G297" s="30">
        <v>-28.32</v>
      </c>
      <c r="H297" s="28" t="s">
        <v>59</v>
      </c>
      <c r="I297" s="30">
        <v>-2435.54</v>
      </c>
      <c r="J297" s="28" t="s">
        <v>740</v>
      </c>
      <c r="K297" s="28" t="e" cm="1">
        <f t="array" ref="K297">VLOOKUP(E297,[1]A023951!D$1:H$1114,{3,5},0)</f>
        <v>#N/A</v>
      </c>
      <c r="L297" s="28"/>
      <c r="M297" s="28"/>
    </row>
    <row r="298" spans="1:13" x14ac:dyDescent="0.35">
      <c r="A298" s="28" t="s">
        <v>511</v>
      </c>
      <c r="B298" s="32">
        <v>2025</v>
      </c>
      <c r="C298" s="28" t="s">
        <v>512</v>
      </c>
      <c r="D298" s="29">
        <v>45848</v>
      </c>
      <c r="E298" s="28">
        <v>256779421225</v>
      </c>
      <c r="F298" s="28" t="s">
        <v>11</v>
      </c>
      <c r="G298" s="30">
        <v>-28.32</v>
      </c>
      <c r="H298" s="28" t="s">
        <v>59</v>
      </c>
      <c r="I298" s="30">
        <v>-2435.54</v>
      </c>
      <c r="J298" s="28" t="s">
        <v>741</v>
      </c>
      <c r="K298" s="28" t="e" cm="1">
        <f t="array" ref="K298">VLOOKUP(E298,[1]A023951!D$1:H$1114,{3,5},0)</f>
        <v>#N/A</v>
      </c>
      <c r="L298" s="28"/>
      <c r="M298" s="28"/>
    </row>
    <row r="299" spans="1:13" x14ac:dyDescent="0.35">
      <c r="A299" s="28" t="s">
        <v>511</v>
      </c>
      <c r="B299" s="32">
        <v>2025</v>
      </c>
      <c r="C299" s="28" t="s">
        <v>512</v>
      </c>
      <c r="D299" s="29">
        <v>45848</v>
      </c>
      <c r="E299" s="28">
        <v>256779421226</v>
      </c>
      <c r="F299" s="28" t="s">
        <v>11</v>
      </c>
      <c r="G299" s="30">
        <v>-28.32</v>
      </c>
      <c r="H299" s="28" t="s">
        <v>59</v>
      </c>
      <c r="I299" s="30">
        <v>-2435.54</v>
      </c>
      <c r="J299" s="28" t="s">
        <v>742</v>
      </c>
      <c r="K299" s="28" t="e" cm="1">
        <f t="array" ref="K299">VLOOKUP(E299,[1]A023951!D$1:H$1114,{3,5},0)</f>
        <v>#N/A</v>
      </c>
      <c r="L299" s="28"/>
      <c r="M299" s="28"/>
    </row>
    <row r="300" spans="1:13" x14ac:dyDescent="0.35">
      <c r="A300" s="28" t="s">
        <v>511</v>
      </c>
      <c r="B300" s="32">
        <v>2025</v>
      </c>
      <c r="C300" s="28" t="s">
        <v>512</v>
      </c>
      <c r="D300" s="29">
        <v>45848</v>
      </c>
      <c r="E300" s="28">
        <v>256779421227</v>
      </c>
      <c r="F300" s="28" t="s">
        <v>11</v>
      </c>
      <c r="G300" s="30">
        <v>-28.32</v>
      </c>
      <c r="H300" s="28" t="s">
        <v>59</v>
      </c>
      <c r="I300" s="30">
        <v>-2435.54</v>
      </c>
      <c r="J300" s="28" t="s">
        <v>743</v>
      </c>
      <c r="K300" s="28" t="e" cm="1">
        <f t="array" ref="K300">VLOOKUP(E300,[1]A023951!D$1:H$1114,{3,5},0)</f>
        <v>#N/A</v>
      </c>
      <c r="L300" s="28"/>
      <c r="M300" s="28"/>
    </row>
    <row r="301" spans="1:13" x14ac:dyDescent="0.35">
      <c r="A301" s="28" t="s">
        <v>511</v>
      </c>
      <c r="B301" s="32">
        <v>2025</v>
      </c>
      <c r="C301" s="28" t="s">
        <v>512</v>
      </c>
      <c r="D301" s="29">
        <v>45848</v>
      </c>
      <c r="E301" s="28">
        <v>256779421228</v>
      </c>
      <c r="F301" s="28" t="s">
        <v>11</v>
      </c>
      <c r="G301" s="30">
        <v>-28.32</v>
      </c>
      <c r="H301" s="28" t="s">
        <v>59</v>
      </c>
      <c r="I301" s="30">
        <v>-2435.54</v>
      </c>
      <c r="J301" s="28" t="s">
        <v>744</v>
      </c>
      <c r="K301" s="28" t="e" cm="1">
        <f t="array" ref="K301">VLOOKUP(E301,[1]A023951!D$1:H$1114,{3,5},0)</f>
        <v>#N/A</v>
      </c>
      <c r="L301" s="28"/>
      <c r="M301" s="28"/>
    </row>
    <row r="302" spans="1:13" x14ac:dyDescent="0.35">
      <c r="A302" s="28" t="s">
        <v>511</v>
      </c>
      <c r="B302" s="32">
        <v>2025</v>
      </c>
      <c r="C302" s="28" t="s">
        <v>512</v>
      </c>
      <c r="D302" s="29">
        <v>45848</v>
      </c>
      <c r="E302" s="28">
        <v>256779421229</v>
      </c>
      <c r="F302" s="28" t="s">
        <v>11</v>
      </c>
      <c r="G302" s="30">
        <v>-28.32</v>
      </c>
      <c r="H302" s="28" t="s">
        <v>59</v>
      </c>
      <c r="I302" s="30">
        <v>-2435.54</v>
      </c>
      <c r="J302" s="28" t="s">
        <v>745</v>
      </c>
      <c r="K302" s="28" t="e" cm="1">
        <f t="array" ref="K302">VLOOKUP(E302,[1]A023951!D$1:H$1114,{3,5},0)</f>
        <v>#N/A</v>
      </c>
      <c r="L302" s="28"/>
      <c r="M302" s="28"/>
    </row>
    <row r="303" spans="1:13" x14ac:dyDescent="0.35">
      <c r="A303" s="28" t="s">
        <v>511</v>
      </c>
      <c r="B303" s="32">
        <v>2025</v>
      </c>
      <c r="C303" s="28" t="s">
        <v>512</v>
      </c>
      <c r="D303" s="29">
        <v>45848</v>
      </c>
      <c r="E303" s="28">
        <v>256779421230</v>
      </c>
      <c r="F303" s="28" t="s">
        <v>11</v>
      </c>
      <c r="G303" s="30">
        <v>-28.32</v>
      </c>
      <c r="H303" s="28" t="s">
        <v>59</v>
      </c>
      <c r="I303" s="30">
        <v>-2435.54</v>
      </c>
      <c r="J303" s="28" t="s">
        <v>746</v>
      </c>
      <c r="K303" s="28" t="e" cm="1">
        <f t="array" ref="K303">VLOOKUP(E303,[1]A023951!D$1:H$1114,{3,5},0)</f>
        <v>#N/A</v>
      </c>
      <c r="L303" s="28"/>
      <c r="M303" s="28"/>
    </row>
    <row r="304" spans="1:13" x14ac:dyDescent="0.35">
      <c r="A304" s="28" t="s">
        <v>511</v>
      </c>
      <c r="B304" s="32">
        <v>2025</v>
      </c>
      <c r="C304" s="28" t="s">
        <v>512</v>
      </c>
      <c r="D304" s="29">
        <v>45848</v>
      </c>
      <c r="E304" s="28">
        <v>256779421231</v>
      </c>
      <c r="F304" s="28" t="s">
        <v>11</v>
      </c>
      <c r="G304" s="30">
        <v>-28.32</v>
      </c>
      <c r="H304" s="28" t="s">
        <v>59</v>
      </c>
      <c r="I304" s="30">
        <v>-2435.54</v>
      </c>
      <c r="J304" s="28" t="s">
        <v>747</v>
      </c>
      <c r="K304" s="28" t="e" cm="1">
        <f t="array" ref="K304">VLOOKUP(E304,[1]A023951!D$1:H$1114,{3,5},0)</f>
        <v>#N/A</v>
      </c>
      <c r="L304" s="28"/>
      <c r="M304" s="28"/>
    </row>
    <row r="305" spans="1:13" x14ac:dyDescent="0.35">
      <c r="A305" s="28" t="s">
        <v>511</v>
      </c>
      <c r="B305" s="32">
        <v>2025</v>
      </c>
      <c r="C305" s="28" t="s">
        <v>512</v>
      </c>
      <c r="D305" s="29">
        <v>45848</v>
      </c>
      <c r="E305" s="28">
        <v>256779421232</v>
      </c>
      <c r="F305" s="28" t="s">
        <v>11</v>
      </c>
      <c r="G305" s="30">
        <v>-28.32</v>
      </c>
      <c r="H305" s="28" t="s">
        <v>59</v>
      </c>
      <c r="I305" s="30">
        <v>-2435.54</v>
      </c>
      <c r="J305" s="28" t="s">
        <v>748</v>
      </c>
      <c r="K305" s="28" t="e" cm="1">
        <f t="array" ref="K305">VLOOKUP(E305,[1]A023951!D$1:H$1114,{3,5},0)</f>
        <v>#N/A</v>
      </c>
      <c r="L305" s="28"/>
      <c r="M305" s="28"/>
    </row>
    <row r="306" spans="1:13" x14ac:dyDescent="0.35">
      <c r="A306" s="28" t="s">
        <v>511</v>
      </c>
      <c r="B306" s="32">
        <v>2025</v>
      </c>
      <c r="C306" s="28" t="s">
        <v>512</v>
      </c>
      <c r="D306" s="29">
        <v>45848</v>
      </c>
      <c r="E306" s="28">
        <v>256779421233</v>
      </c>
      <c r="F306" s="28" t="s">
        <v>11</v>
      </c>
      <c r="G306" s="30">
        <v>-28.32</v>
      </c>
      <c r="H306" s="28" t="s">
        <v>59</v>
      </c>
      <c r="I306" s="30">
        <v>-2435.54</v>
      </c>
      <c r="J306" s="28" t="s">
        <v>749</v>
      </c>
      <c r="K306" s="28" t="e" cm="1">
        <f t="array" ref="K306">VLOOKUP(E306,[1]A023951!D$1:H$1114,{3,5},0)</f>
        <v>#N/A</v>
      </c>
      <c r="L306" s="28"/>
      <c r="M306" s="28"/>
    </row>
    <row r="307" spans="1:13" x14ac:dyDescent="0.35">
      <c r="A307" s="28" t="s">
        <v>511</v>
      </c>
      <c r="B307" s="32">
        <v>2025</v>
      </c>
      <c r="C307" s="28" t="s">
        <v>512</v>
      </c>
      <c r="D307" s="29">
        <v>45848</v>
      </c>
      <c r="E307" s="28">
        <v>256779421234</v>
      </c>
      <c r="F307" s="28" t="s">
        <v>11</v>
      </c>
      <c r="G307" s="30">
        <v>-35.4</v>
      </c>
      <c r="H307" s="28" t="s">
        <v>59</v>
      </c>
      <c r="I307" s="30">
        <v>-3044.42</v>
      </c>
      <c r="J307" s="28" t="s">
        <v>750</v>
      </c>
      <c r="K307" s="28" t="e" cm="1">
        <f t="array" ref="K307">VLOOKUP(E307,[1]A023951!D$1:H$1114,{3,5},0)</f>
        <v>#N/A</v>
      </c>
      <c r="L307" s="28"/>
      <c r="M307" s="28"/>
    </row>
    <row r="308" spans="1:13" x14ac:dyDescent="0.35">
      <c r="A308" s="28" t="s">
        <v>511</v>
      </c>
      <c r="B308" s="32">
        <v>2025</v>
      </c>
      <c r="C308" s="28" t="s">
        <v>512</v>
      </c>
      <c r="D308" s="29">
        <v>45848</v>
      </c>
      <c r="E308" s="28">
        <v>256779421235</v>
      </c>
      <c r="F308" s="28" t="s">
        <v>11</v>
      </c>
      <c r="G308" s="30">
        <v>-35.4</v>
      </c>
      <c r="H308" s="28" t="s">
        <v>59</v>
      </c>
      <c r="I308" s="30">
        <v>-3044.42</v>
      </c>
      <c r="J308" s="28" t="s">
        <v>751</v>
      </c>
      <c r="K308" s="28" t="e" cm="1">
        <f t="array" ref="K308">VLOOKUP(E308,[1]A023951!D$1:H$1114,{3,5},0)</f>
        <v>#N/A</v>
      </c>
      <c r="L308" s="28"/>
      <c r="M308" s="28"/>
    </row>
    <row r="309" spans="1:13" x14ac:dyDescent="0.35">
      <c r="A309" s="28" t="s">
        <v>511</v>
      </c>
      <c r="B309" s="32">
        <v>2025</v>
      </c>
      <c r="C309" s="28" t="s">
        <v>512</v>
      </c>
      <c r="D309" s="29">
        <v>45848</v>
      </c>
      <c r="E309" s="28">
        <v>256779421237</v>
      </c>
      <c r="F309" s="28" t="s">
        <v>11</v>
      </c>
      <c r="G309" s="30">
        <v>-35.4</v>
      </c>
      <c r="H309" s="28" t="s">
        <v>59</v>
      </c>
      <c r="I309" s="30">
        <v>-3044.42</v>
      </c>
      <c r="J309" s="28" t="s">
        <v>752</v>
      </c>
      <c r="K309" s="28" t="e" cm="1">
        <f t="array" ref="K309">VLOOKUP(E309,[1]A023951!D$1:H$1114,{3,5},0)</f>
        <v>#N/A</v>
      </c>
      <c r="L309" s="28"/>
      <c r="M309" s="28"/>
    </row>
    <row r="310" spans="1:13" x14ac:dyDescent="0.35">
      <c r="A310" s="28" t="s">
        <v>511</v>
      </c>
      <c r="B310" s="32">
        <v>2025</v>
      </c>
      <c r="C310" s="28" t="s">
        <v>512</v>
      </c>
      <c r="D310" s="29">
        <v>45848</v>
      </c>
      <c r="E310" s="28">
        <v>256779421238</v>
      </c>
      <c r="F310" s="28" t="s">
        <v>11</v>
      </c>
      <c r="G310" s="30">
        <v>-35.4</v>
      </c>
      <c r="H310" s="28" t="s">
        <v>59</v>
      </c>
      <c r="I310" s="30">
        <v>-3044.42</v>
      </c>
      <c r="J310" s="28" t="s">
        <v>753</v>
      </c>
      <c r="K310" s="28" t="e" cm="1">
        <f t="array" ref="K310">VLOOKUP(E310,[1]A023951!D$1:H$1114,{3,5},0)</f>
        <v>#N/A</v>
      </c>
      <c r="L310" s="28"/>
      <c r="M310" s="28"/>
    </row>
    <row r="311" spans="1:13" x14ac:dyDescent="0.35">
      <c r="A311" s="28" t="s">
        <v>511</v>
      </c>
      <c r="B311" s="32">
        <v>2025</v>
      </c>
      <c r="C311" s="28" t="s">
        <v>512</v>
      </c>
      <c r="D311" s="29">
        <v>45848</v>
      </c>
      <c r="E311" s="28">
        <v>256779421239</v>
      </c>
      <c r="F311" s="28" t="s">
        <v>11</v>
      </c>
      <c r="G311" s="30">
        <v>-35.4</v>
      </c>
      <c r="H311" s="28" t="s">
        <v>59</v>
      </c>
      <c r="I311" s="30">
        <v>-3044.42</v>
      </c>
      <c r="J311" s="28" t="s">
        <v>754</v>
      </c>
      <c r="K311" s="28" t="e" cm="1">
        <f t="array" ref="K311">VLOOKUP(E311,[1]A023951!D$1:H$1114,{3,5},0)</f>
        <v>#N/A</v>
      </c>
      <c r="L311" s="28"/>
      <c r="M311" s="28"/>
    </row>
    <row r="312" spans="1:13" x14ac:dyDescent="0.35">
      <c r="A312" s="28" t="s">
        <v>511</v>
      </c>
      <c r="B312" s="32">
        <v>2025</v>
      </c>
      <c r="C312" s="28" t="s">
        <v>512</v>
      </c>
      <c r="D312" s="29">
        <v>45848</v>
      </c>
      <c r="E312" s="28">
        <v>256779421240</v>
      </c>
      <c r="F312" s="28" t="s">
        <v>11</v>
      </c>
      <c r="G312" s="30">
        <v>-35.4</v>
      </c>
      <c r="H312" s="28" t="s">
        <v>59</v>
      </c>
      <c r="I312" s="30">
        <v>-3044.42</v>
      </c>
      <c r="J312" s="28" t="s">
        <v>755</v>
      </c>
      <c r="K312" s="28" t="e" cm="1">
        <f t="array" ref="K312">VLOOKUP(E312,[1]A023951!D$1:H$1114,{3,5},0)</f>
        <v>#N/A</v>
      </c>
      <c r="L312" s="28"/>
      <c r="M312" s="28"/>
    </row>
    <row r="313" spans="1:13" x14ac:dyDescent="0.35">
      <c r="A313" s="28" t="s">
        <v>511</v>
      </c>
      <c r="B313" s="32">
        <v>2025</v>
      </c>
      <c r="C313" s="28" t="s">
        <v>512</v>
      </c>
      <c r="D313" s="29">
        <v>45848</v>
      </c>
      <c r="E313" s="28">
        <v>256779421241</v>
      </c>
      <c r="F313" s="28" t="s">
        <v>11</v>
      </c>
      <c r="G313" s="30">
        <v>-35.4</v>
      </c>
      <c r="H313" s="28" t="s">
        <v>59</v>
      </c>
      <c r="I313" s="30">
        <v>-3044.42</v>
      </c>
      <c r="J313" s="28" t="s">
        <v>756</v>
      </c>
      <c r="K313" s="28" t="e" cm="1">
        <f t="array" ref="K313">VLOOKUP(E313,[1]A023951!D$1:H$1114,{3,5},0)</f>
        <v>#N/A</v>
      </c>
      <c r="L313" s="28"/>
      <c r="M313" s="28"/>
    </row>
    <row r="314" spans="1:13" x14ac:dyDescent="0.35">
      <c r="A314" s="28" t="s">
        <v>511</v>
      </c>
      <c r="B314" s="32">
        <v>2025</v>
      </c>
      <c r="C314" s="28" t="s">
        <v>512</v>
      </c>
      <c r="D314" s="29">
        <v>45848</v>
      </c>
      <c r="E314" s="28">
        <v>256779421242</v>
      </c>
      <c r="F314" s="28" t="s">
        <v>11</v>
      </c>
      <c r="G314" s="30">
        <v>-35.4</v>
      </c>
      <c r="H314" s="28" t="s">
        <v>59</v>
      </c>
      <c r="I314" s="30">
        <v>-3044.42</v>
      </c>
      <c r="J314" s="28" t="s">
        <v>757</v>
      </c>
      <c r="K314" s="28" t="e" cm="1">
        <f t="array" ref="K314">VLOOKUP(E314,[1]A023951!D$1:H$1114,{3,5},0)</f>
        <v>#N/A</v>
      </c>
      <c r="L314" s="28"/>
      <c r="M314" s="28"/>
    </row>
    <row r="315" spans="1:13" x14ac:dyDescent="0.35">
      <c r="A315" s="28" t="s">
        <v>511</v>
      </c>
      <c r="B315" s="32">
        <v>2025</v>
      </c>
      <c r="C315" s="28" t="s">
        <v>512</v>
      </c>
      <c r="D315" s="29">
        <v>45848</v>
      </c>
      <c r="E315" s="28">
        <v>256779421243</v>
      </c>
      <c r="F315" s="28" t="s">
        <v>11</v>
      </c>
      <c r="G315" s="30">
        <v>-35.4</v>
      </c>
      <c r="H315" s="28" t="s">
        <v>59</v>
      </c>
      <c r="I315" s="30">
        <v>-3044.42</v>
      </c>
      <c r="J315" s="28" t="s">
        <v>758</v>
      </c>
      <c r="K315" s="28" t="e" cm="1">
        <f t="array" ref="K315">VLOOKUP(E315,[1]A023951!D$1:H$1114,{3,5},0)</f>
        <v>#N/A</v>
      </c>
      <c r="L315" s="28"/>
      <c r="M315" s="28"/>
    </row>
    <row r="316" spans="1:13" x14ac:dyDescent="0.35">
      <c r="A316" s="28" t="s">
        <v>511</v>
      </c>
      <c r="B316" s="32">
        <v>2025</v>
      </c>
      <c r="C316" s="28" t="s">
        <v>512</v>
      </c>
      <c r="D316" s="29">
        <v>45848</v>
      </c>
      <c r="E316" s="28">
        <v>256779421244</v>
      </c>
      <c r="F316" s="28" t="s">
        <v>11</v>
      </c>
      <c r="G316" s="30">
        <v>-91.43</v>
      </c>
      <c r="H316" s="28" t="s">
        <v>59</v>
      </c>
      <c r="I316" s="30">
        <v>-7863.04</v>
      </c>
      <c r="J316" s="28" t="s">
        <v>759</v>
      </c>
      <c r="K316" s="28" t="e" cm="1">
        <f t="array" ref="K316">VLOOKUP(E316,[1]A023951!D$1:H$1114,{3,5},0)</f>
        <v>#N/A</v>
      </c>
      <c r="L316" s="28"/>
      <c r="M316" s="28"/>
    </row>
    <row r="317" spans="1:13" x14ac:dyDescent="0.35">
      <c r="A317" s="28" t="s">
        <v>511</v>
      </c>
      <c r="B317" s="32">
        <v>2025</v>
      </c>
      <c r="C317" s="28" t="s">
        <v>512</v>
      </c>
      <c r="D317" s="29">
        <v>45848</v>
      </c>
      <c r="E317" s="28">
        <v>256779421245</v>
      </c>
      <c r="F317" s="28" t="s">
        <v>11</v>
      </c>
      <c r="G317" s="30">
        <v>-236</v>
      </c>
      <c r="H317" s="28" t="s">
        <v>59</v>
      </c>
      <c r="I317" s="30">
        <v>-20296.16</v>
      </c>
      <c r="J317" s="28" t="s">
        <v>759</v>
      </c>
      <c r="K317" s="28" t="e" cm="1">
        <f t="array" ref="K317">VLOOKUP(E317,[1]A023951!D$1:H$1114,{3,5},0)</f>
        <v>#N/A</v>
      </c>
      <c r="L317" s="28"/>
      <c r="M317" s="28"/>
    </row>
    <row r="318" spans="1:13" x14ac:dyDescent="0.35">
      <c r="A318" s="28" t="s">
        <v>511</v>
      </c>
      <c r="B318" s="32">
        <v>2025</v>
      </c>
      <c r="C318" s="28" t="s">
        <v>512</v>
      </c>
      <c r="D318" s="29">
        <v>45848</v>
      </c>
      <c r="E318" s="28">
        <v>256779421246</v>
      </c>
      <c r="F318" s="28" t="s">
        <v>11</v>
      </c>
      <c r="G318" s="30">
        <v>-70.8</v>
      </c>
      <c r="H318" s="28" t="s">
        <v>59</v>
      </c>
      <c r="I318" s="30">
        <v>-6088.85</v>
      </c>
      <c r="J318" s="28" t="s">
        <v>759</v>
      </c>
      <c r="K318" s="28" t="e" cm="1">
        <f t="array" ref="K318">VLOOKUP(E318,[1]A023951!D$1:H$1114,{3,5},0)</f>
        <v>#N/A</v>
      </c>
      <c r="L318" s="28"/>
      <c r="M318" s="28"/>
    </row>
    <row r="319" spans="1:13" x14ac:dyDescent="0.35">
      <c r="A319" s="28" t="s">
        <v>511</v>
      </c>
      <c r="B319" s="32">
        <v>2025</v>
      </c>
      <c r="C319" s="28" t="s">
        <v>512</v>
      </c>
      <c r="D319" s="29">
        <v>45848</v>
      </c>
      <c r="E319" s="28">
        <v>256779421247</v>
      </c>
      <c r="F319" s="28" t="s">
        <v>11</v>
      </c>
      <c r="G319" s="30">
        <v>-211.39</v>
      </c>
      <c r="H319" s="28" t="s">
        <v>59</v>
      </c>
      <c r="I319" s="30">
        <v>-18179.68</v>
      </c>
      <c r="J319" s="28" t="s">
        <v>760</v>
      </c>
      <c r="K319" s="28" t="e" cm="1">
        <f t="array" ref="K319">VLOOKUP(E319,[1]A023951!D$1:H$1114,{3,5},0)</f>
        <v>#N/A</v>
      </c>
      <c r="L319" s="28"/>
      <c r="M319" s="28"/>
    </row>
    <row r="320" spans="1:13" x14ac:dyDescent="0.35">
      <c r="A320" s="28" t="s">
        <v>511</v>
      </c>
      <c r="B320" s="32">
        <v>2025</v>
      </c>
      <c r="C320" s="28" t="s">
        <v>512</v>
      </c>
      <c r="D320" s="29">
        <v>45848</v>
      </c>
      <c r="E320" s="28">
        <v>256779421248</v>
      </c>
      <c r="F320" s="28" t="s">
        <v>11</v>
      </c>
      <c r="G320" s="30">
        <v>-141.6</v>
      </c>
      <c r="H320" s="28" t="s">
        <v>59</v>
      </c>
      <c r="I320" s="30">
        <v>-12177.69</v>
      </c>
      <c r="J320" s="28" t="s">
        <v>761</v>
      </c>
      <c r="K320" s="28" t="e" cm="1">
        <f t="array" ref="K320">VLOOKUP(E320,[1]A023951!D$1:H$1114,{3,5},0)</f>
        <v>#N/A</v>
      </c>
      <c r="L320" s="28"/>
      <c r="M320" s="28"/>
    </row>
    <row r="321" spans="1:13" x14ac:dyDescent="0.35">
      <c r="A321" s="28" t="s">
        <v>511</v>
      </c>
      <c r="B321" s="32">
        <v>2025</v>
      </c>
      <c r="C321" s="28" t="s">
        <v>512</v>
      </c>
      <c r="D321" s="29">
        <v>45848</v>
      </c>
      <c r="E321" s="28">
        <v>256779421249</v>
      </c>
      <c r="F321" s="28" t="s">
        <v>11</v>
      </c>
      <c r="G321" s="30">
        <v>-70.8</v>
      </c>
      <c r="H321" s="28" t="s">
        <v>59</v>
      </c>
      <c r="I321" s="30">
        <v>-6088.85</v>
      </c>
      <c r="J321" s="28" t="s">
        <v>762</v>
      </c>
      <c r="K321" s="28" t="e" cm="1">
        <f t="array" ref="K321">VLOOKUP(E321,[1]A023951!D$1:H$1114,{3,5},0)</f>
        <v>#N/A</v>
      </c>
      <c r="L321" s="28"/>
      <c r="M321" s="28"/>
    </row>
    <row r="322" spans="1:13" x14ac:dyDescent="0.35">
      <c r="A322" s="28" t="s">
        <v>511</v>
      </c>
      <c r="B322" s="32">
        <v>2025</v>
      </c>
      <c r="C322" s="28" t="s">
        <v>512</v>
      </c>
      <c r="D322" s="29">
        <v>45848</v>
      </c>
      <c r="E322" s="28">
        <v>256779421250</v>
      </c>
      <c r="F322" s="28" t="s">
        <v>11</v>
      </c>
      <c r="G322" s="30">
        <v>-236</v>
      </c>
      <c r="H322" s="28" t="s">
        <v>59</v>
      </c>
      <c r="I322" s="30">
        <v>-20296.16</v>
      </c>
      <c r="J322" s="28" t="s">
        <v>763</v>
      </c>
      <c r="K322" s="28" t="e" cm="1">
        <f t="array" ref="K322">VLOOKUP(E322,[1]A023951!D$1:H$1114,{3,5},0)</f>
        <v>#N/A</v>
      </c>
      <c r="L322" s="28"/>
      <c r="M322" s="28"/>
    </row>
    <row r="323" spans="1:13" x14ac:dyDescent="0.35">
      <c r="A323" s="28" t="s">
        <v>511</v>
      </c>
      <c r="B323" s="32">
        <v>2025</v>
      </c>
      <c r="C323" s="28" t="s">
        <v>512</v>
      </c>
      <c r="D323" s="29">
        <v>45848</v>
      </c>
      <c r="E323" s="28">
        <v>256779421251</v>
      </c>
      <c r="F323" s="28" t="s">
        <v>11</v>
      </c>
      <c r="G323" s="30">
        <v>-300.49</v>
      </c>
      <c r="H323" s="28" t="s">
        <v>59</v>
      </c>
      <c r="I323" s="30">
        <v>-25842.34</v>
      </c>
      <c r="J323" s="28" t="s">
        <v>764</v>
      </c>
      <c r="K323" s="28" t="e" cm="1">
        <f t="array" ref="K323">VLOOKUP(E323,[1]A023951!D$1:H$1114,{3,5},0)</f>
        <v>#N/A</v>
      </c>
      <c r="L323" s="28"/>
      <c r="M323" s="28"/>
    </row>
    <row r="324" spans="1:13" x14ac:dyDescent="0.35">
      <c r="A324" s="28" t="s">
        <v>511</v>
      </c>
      <c r="B324" s="32">
        <v>2025</v>
      </c>
      <c r="C324" s="28" t="s">
        <v>512</v>
      </c>
      <c r="D324" s="29">
        <v>45848</v>
      </c>
      <c r="E324" s="28">
        <v>256779421252</v>
      </c>
      <c r="F324" s="28" t="s">
        <v>11</v>
      </c>
      <c r="G324" s="30">
        <v>-165.4</v>
      </c>
      <c r="H324" s="28" t="s">
        <v>59</v>
      </c>
      <c r="I324" s="30">
        <v>-14224.51</v>
      </c>
      <c r="J324" s="28" t="s">
        <v>765</v>
      </c>
      <c r="K324" s="28" t="e" cm="1">
        <f t="array" ref="K324">VLOOKUP(E324,[1]A023951!D$1:H$1114,{3,5},0)</f>
        <v>#N/A</v>
      </c>
      <c r="L324" s="28"/>
      <c r="M324" s="28"/>
    </row>
    <row r="325" spans="1:13" x14ac:dyDescent="0.35">
      <c r="A325" s="28" t="s">
        <v>511</v>
      </c>
      <c r="B325" s="32">
        <v>2025</v>
      </c>
      <c r="C325" s="28" t="s">
        <v>512</v>
      </c>
      <c r="D325" s="29">
        <v>45848</v>
      </c>
      <c r="E325" s="28">
        <v>256779421253</v>
      </c>
      <c r="F325" s="28" t="s">
        <v>11</v>
      </c>
      <c r="G325" s="30">
        <v>-14.75</v>
      </c>
      <c r="H325" s="28" t="s">
        <v>59</v>
      </c>
      <c r="I325" s="30">
        <v>-1268.51</v>
      </c>
      <c r="J325" s="28" t="s">
        <v>739</v>
      </c>
      <c r="K325" s="28" t="e" cm="1">
        <f t="array" ref="K325">VLOOKUP(E325,[1]A023951!D$1:H$1114,{3,5},0)</f>
        <v>#N/A</v>
      </c>
      <c r="L325" s="28"/>
      <c r="M325" s="28"/>
    </row>
    <row r="326" spans="1:13" x14ac:dyDescent="0.35">
      <c r="A326" s="28" t="s">
        <v>511</v>
      </c>
      <c r="B326" s="32">
        <v>2025</v>
      </c>
      <c r="C326" s="28" t="s">
        <v>512</v>
      </c>
      <c r="D326" s="29">
        <v>45848</v>
      </c>
      <c r="E326" s="28">
        <v>256779421254</v>
      </c>
      <c r="F326" s="28" t="s">
        <v>11</v>
      </c>
      <c r="G326" s="30">
        <v>-250.75</v>
      </c>
      <c r="H326" s="28" t="s">
        <v>59</v>
      </c>
      <c r="I326" s="30">
        <v>-21564.67</v>
      </c>
      <c r="J326" s="28" t="s">
        <v>766</v>
      </c>
      <c r="K326" s="28" t="e" cm="1">
        <f t="array" ref="K326">VLOOKUP(E326,[1]A023951!D$1:H$1114,{3,5},0)</f>
        <v>#N/A</v>
      </c>
      <c r="L326" s="28"/>
      <c r="M326" s="28"/>
    </row>
    <row r="327" spans="1:13" x14ac:dyDescent="0.35">
      <c r="A327" s="28" t="s">
        <v>511</v>
      </c>
      <c r="B327" s="32">
        <v>2025</v>
      </c>
      <c r="C327" s="28" t="s">
        <v>512</v>
      </c>
      <c r="D327" s="29">
        <v>45848</v>
      </c>
      <c r="E327" s="28">
        <v>256779421255</v>
      </c>
      <c r="F327" s="28" t="s">
        <v>11</v>
      </c>
      <c r="G327" s="30">
        <v>-226.56</v>
      </c>
      <c r="H327" s="28" t="s">
        <v>59</v>
      </c>
      <c r="I327" s="30">
        <v>-19484.310000000001</v>
      </c>
      <c r="J327" s="28" t="s">
        <v>767</v>
      </c>
      <c r="K327" s="28" t="e" cm="1">
        <f t="array" ref="K327">VLOOKUP(E327,[1]A023951!D$1:H$1114,{3,5},0)</f>
        <v>#N/A</v>
      </c>
      <c r="L327" s="28"/>
      <c r="M327" s="28"/>
    </row>
    <row r="328" spans="1:13" x14ac:dyDescent="0.35">
      <c r="A328" s="28" t="s">
        <v>511</v>
      </c>
      <c r="B328" s="32">
        <v>2025</v>
      </c>
      <c r="C328" s="28" t="s">
        <v>512</v>
      </c>
      <c r="D328" s="29">
        <v>45848</v>
      </c>
      <c r="E328" s="28">
        <v>256779421256</v>
      </c>
      <c r="F328" s="28" t="s">
        <v>11</v>
      </c>
      <c r="G328" s="30">
        <v>-249.87</v>
      </c>
      <c r="H328" s="28" t="s">
        <v>59</v>
      </c>
      <c r="I328" s="30">
        <v>-21488.99</v>
      </c>
      <c r="J328" s="28" t="s">
        <v>768</v>
      </c>
      <c r="K328" s="28" t="e" cm="1">
        <f t="array" ref="K328">VLOOKUP(E328,[1]A023951!D$1:H$1114,{3,5},0)</f>
        <v>#N/A</v>
      </c>
      <c r="L328" s="28"/>
      <c r="M328" s="28"/>
    </row>
    <row r="329" spans="1:13" x14ac:dyDescent="0.35">
      <c r="A329" s="28" t="s">
        <v>511</v>
      </c>
      <c r="B329" s="32">
        <v>2025</v>
      </c>
      <c r="C329" s="28" t="s">
        <v>512</v>
      </c>
      <c r="D329" s="29">
        <v>45848</v>
      </c>
      <c r="E329" s="28">
        <v>256779421257</v>
      </c>
      <c r="F329" s="28" t="s">
        <v>11</v>
      </c>
      <c r="G329" s="30">
        <v>-173.05</v>
      </c>
      <c r="H329" s="28" t="s">
        <v>59</v>
      </c>
      <c r="I329" s="30">
        <v>-14882.42</v>
      </c>
      <c r="J329" s="28" t="s">
        <v>769</v>
      </c>
      <c r="K329" s="28" t="e" cm="1">
        <f t="array" ref="K329">VLOOKUP(E329,[1]A023951!D$1:H$1114,{3,5},0)</f>
        <v>#N/A</v>
      </c>
      <c r="L329" s="28"/>
      <c r="M329" s="28"/>
    </row>
    <row r="330" spans="1:13" x14ac:dyDescent="0.35">
      <c r="A330" s="28" t="s">
        <v>511</v>
      </c>
      <c r="B330" s="32">
        <v>2025</v>
      </c>
      <c r="C330" s="28" t="s">
        <v>512</v>
      </c>
      <c r="D330" s="29">
        <v>45848</v>
      </c>
      <c r="E330" s="28">
        <v>256779421258</v>
      </c>
      <c r="F330" s="28" t="s">
        <v>11</v>
      </c>
      <c r="G330" s="30">
        <v>-226.56</v>
      </c>
      <c r="H330" s="28" t="s">
        <v>59</v>
      </c>
      <c r="I330" s="30">
        <v>-19484.310000000001</v>
      </c>
      <c r="J330" s="28" t="s">
        <v>770</v>
      </c>
      <c r="K330" s="28" t="e" cm="1">
        <f t="array" ref="K330">VLOOKUP(E330,[1]A023951!D$1:H$1114,{3,5},0)</f>
        <v>#N/A</v>
      </c>
      <c r="L330" s="28"/>
      <c r="M330" s="28"/>
    </row>
    <row r="331" spans="1:13" x14ac:dyDescent="0.35">
      <c r="A331" s="28" t="s">
        <v>511</v>
      </c>
      <c r="B331" s="32">
        <v>2025</v>
      </c>
      <c r="C331" s="28" t="s">
        <v>512</v>
      </c>
      <c r="D331" s="29">
        <v>45848</v>
      </c>
      <c r="E331" s="28">
        <v>256779421259</v>
      </c>
      <c r="F331" s="28" t="s">
        <v>11</v>
      </c>
      <c r="G331" s="30">
        <v>-218.36</v>
      </c>
      <c r="H331" s="28" t="s">
        <v>59</v>
      </c>
      <c r="I331" s="30">
        <v>-18779.11</v>
      </c>
      <c r="J331" s="28" t="s">
        <v>771</v>
      </c>
      <c r="K331" s="28" t="e" cm="1">
        <f t="array" ref="K331">VLOOKUP(E331,[1]A023951!D$1:H$1114,{3,5},0)</f>
        <v>#N/A</v>
      </c>
      <c r="L331" s="28"/>
      <c r="M331" s="28"/>
    </row>
    <row r="332" spans="1:13" x14ac:dyDescent="0.35">
      <c r="A332" s="28" t="s">
        <v>511</v>
      </c>
      <c r="B332" s="32">
        <v>2025</v>
      </c>
      <c r="C332" s="28" t="s">
        <v>512</v>
      </c>
      <c r="D332" s="29">
        <v>45848</v>
      </c>
      <c r="E332" s="28">
        <v>256779421260</v>
      </c>
      <c r="F332" s="28" t="s">
        <v>11</v>
      </c>
      <c r="G332" s="30">
        <v>-23.6</v>
      </c>
      <c r="H332" s="28" t="s">
        <v>59</v>
      </c>
      <c r="I332" s="30">
        <v>-2029.62</v>
      </c>
      <c r="J332" s="28" t="s">
        <v>772</v>
      </c>
      <c r="K332" s="28" t="e" cm="1">
        <f t="array" ref="K332">VLOOKUP(E332,[1]A023951!D$1:H$1114,{3,5},0)</f>
        <v>#N/A</v>
      </c>
      <c r="L332" s="28"/>
      <c r="M332" s="28"/>
    </row>
    <row r="333" spans="1:13" x14ac:dyDescent="0.35">
      <c r="A333" s="28" t="s">
        <v>511</v>
      </c>
      <c r="B333" s="32">
        <v>2025</v>
      </c>
      <c r="C333" s="28" t="s">
        <v>512</v>
      </c>
      <c r="D333" s="29">
        <v>45848</v>
      </c>
      <c r="E333" s="28">
        <v>256779421261</v>
      </c>
      <c r="F333" s="28" t="s">
        <v>11</v>
      </c>
      <c r="G333" s="30">
        <v>-26.55</v>
      </c>
      <c r="H333" s="28" t="s">
        <v>59</v>
      </c>
      <c r="I333" s="30">
        <v>-2283.3200000000002</v>
      </c>
      <c r="J333" s="28" t="s">
        <v>773</v>
      </c>
      <c r="K333" s="28" t="e" cm="1">
        <f t="array" ref="K333">VLOOKUP(E333,[1]A023951!D$1:H$1114,{3,5},0)</f>
        <v>#N/A</v>
      </c>
      <c r="L333" s="28"/>
      <c r="M333" s="28"/>
    </row>
    <row r="334" spans="1:13" x14ac:dyDescent="0.35">
      <c r="A334" s="28" t="s">
        <v>511</v>
      </c>
      <c r="B334" s="32">
        <v>2025</v>
      </c>
      <c r="C334" s="28" t="s">
        <v>512</v>
      </c>
      <c r="D334" s="29">
        <v>45848</v>
      </c>
      <c r="E334" s="28">
        <v>256779421262</v>
      </c>
      <c r="F334" s="28" t="s">
        <v>11</v>
      </c>
      <c r="G334" s="30">
        <v>-32.450000000000003</v>
      </c>
      <c r="H334" s="28" t="s">
        <v>59</v>
      </c>
      <c r="I334" s="30">
        <v>-2790.72</v>
      </c>
      <c r="J334" s="28" t="s">
        <v>774</v>
      </c>
      <c r="K334" s="28" t="e" cm="1">
        <f t="array" ref="K334">VLOOKUP(E334,[1]A023951!D$1:H$1114,{3,5},0)</f>
        <v>#N/A</v>
      </c>
      <c r="L334" s="28"/>
      <c r="M334" s="28"/>
    </row>
    <row r="335" spans="1:13" x14ac:dyDescent="0.35">
      <c r="A335" s="28" t="s">
        <v>511</v>
      </c>
      <c r="B335" s="32">
        <v>2025</v>
      </c>
      <c r="C335" s="28" t="s">
        <v>512</v>
      </c>
      <c r="D335" s="29">
        <v>45848</v>
      </c>
      <c r="E335" s="28">
        <v>256779421263</v>
      </c>
      <c r="F335" s="28" t="s">
        <v>11</v>
      </c>
      <c r="G335" s="30">
        <v>-26.55</v>
      </c>
      <c r="H335" s="28" t="s">
        <v>59</v>
      </c>
      <c r="I335" s="30">
        <v>-2283.3200000000002</v>
      </c>
      <c r="J335" s="28" t="s">
        <v>775</v>
      </c>
      <c r="K335" s="28" t="e" cm="1">
        <f t="array" ref="K335">VLOOKUP(E335,[1]A023951!D$1:H$1114,{3,5},0)</f>
        <v>#N/A</v>
      </c>
      <c r="L335" s="28"/>
      <c r="M335" s="28"/>
    </row>
    <row r="336" spans="1:13" x14ac:dyDescent="0.35">
      <c r="A336" s="28" t="s">
        <v>511</v>
      </c>
      <c r="B336" s="32">
        <v>2025</v>
      </c>
      <c r="C336" s="28" t="s">
        <v>512</v>
      </c>
      <c r="D336" s="29">
        <v>45848</v>
      </c>
      <c r="E336" s="28">
        <v>256779421264</v>
      </c>
      <c r="F336" s="28" t="s">
        <v>11</v>
      </c>
      <c r="G336" s="30">
        <v>-26.55</v>
      </c>
      <c r="H336" s="28" t="s">
        <v>59</v>
      </c>
      <c r="I336" s="30">
        <v>-2283.3200000000002</v>
      </c>
      <c r="J336" s="28" t="s">
        <v>776</v>
      </c>
      <c r="K336" s="28" t="e" cm="1">
        <f t="array" ref="K336">VLOOKUP(E336,[1]A023951!D$1:H$1114,{3,5},0)</f>
        <v>#N/A</v>
      </c>
      <c r="L336" s="28"/>
      <c r="M336" s="28"/>
    </row>
    <row r="337" spans="1:13" x14ac:dyDescent="0.35">
      <c r="A337" s="28" t="s">
        <v>511</v>
      </c>
      <c r="B337" s="32">
        <v>2025</v>
      </c>
      <c r="C337" s="28" t="s">
        <v>512</v>
      </c>
      <c r="D337" s="29">
        <v>45848</v>
      </c>
      <c r="E337" s="28">
        <v>256779421265</v>
      </c>
      <c r="F337" s="28" t="s">
        <v>11</v>
      </c>
      <c r="G337" s="30">
        <v>-2.95</v>
      </c>
      <c r="H337" s="28" t="s">
        <v>59</v>
      </c>
      <c r="I337" s="30">
        <v>-253.7</v>
      </c>
      <c r="J337" s="28" t="s">
        <v>777</v>
      </c>
      <c r="K337" s="28" t="e" cm="1">
        <f t="array" ref="K337">VLOOKUP(E337,[1]A023951!D$1:H$1114,{3,5},0)</f>
        <v>#N/A</v>
      </c>
      <c r="L337" s="28"/>
      <c r="M337" s="28"/>
    </row>
    <row r="338" spans="1:13" x14ac:dyDescent="0.35">
      <c r="A338" s="28" t="s">
        <v>511</v>
      </c>
      <c r="B338" s="32">
        <v>2025</v>
      </c>
      <c r="C338" s="28" t="s">
        <v>512</v>
      </c>
      <c r="D338" s="29">
        <v>45848</v>
      </c>
      <c r="E338" s="28">
        <v>256779421266</v>
      </c>
      <c r="F338" s="28" t="s">
        <v>11</v>
      </c>
      <c r="G338" s="30">
        <v>-26.55</v>
      </c>
      <c r="H338" s="28" t="s">
        <v>59</v>
      </c>
      <c r="I338" s="30">
        <v>-2283.3200000000002</v>
      </c>
      <c r="J338" s="28" t="s">
        <v>740</v>
      </c>
      <c r="K338" s="28" t="e" cm="1">
        <f t="array" ref="K338">VLOOKUP(E338,[1]A023951!D$1:H$1114,{3,5},0)</f>
        <v>#N/A</v>
      </c>
      <c r="L338" s="28"/>
      <c r="M338" s="28"/>
    </row>
    <row r="339" spans="1:13" x14ac:dyDescent="0.35">
      <c r="A339" s="28" t="s">
        <v>511</v>
      </c>
      <c r="B339" s="32">
        <v>2025</v>
      </c>
      <c r="C339" s="28" t="s">
        <v>512</v>
      </c>
      <c r="D339" s="29">
        <v>45848</v>
      </c>
      <c r="E339" s="28">
        <v>256779421267</v>
      </c>
      <c r="F339" s="28" t="s">
        <v>11</v>
      </c>
      <c r="G339" s="30">
        <v>-26.55</v>
      </c>
      <c r="H339" s="28" t="s">
        <v>59</v>
      </c>
      <c r="I339" s="30">
        <v>-2283.3200000000002</v>
      </c>
      <c r="J339" s="28" t="s">
        <v>741</v>
      </c>
      <c r="K339" s="28" t="e" cm="1">
        <f t="array" ref="K339">VLOOKUP(E339,[1]A023951!D$1:H$1114,{3,5},0)</f>
        <v>#N/A</v>
      </c>
      <c r="L339" s="28"/>
      <c r="M339" s="28"/>
    </row>
    <row r="340" spans="1:13" x14ac:dyDescent="0.35">
      <c r="A340" s="28" t="s">
        <v>511</v>
      </c>
      <c r="B340" s="32">
        <v>2025</v>
      </c>
      <c r="C340" s="28" t="s">
        <v>512</v>
      </c>
      <c r="D340" s="29">
        <v>45848</v>
      </c>
      <c r="E340" s="28">
        <v>256779421268</v>
      </c>
      <c r="F340" s="28" t="s">
        <v>11</v>
      </c>
      <c r="G340" s="30">
        <v>-29.5</v>
      </c>
      <c r="H340" s="28" t="s">
        <v>59</v>
      </c>
      <c r="I340" s="30">
        <v>-2537.02</v>
      </c>
      <c r="J340" s="28" t="s">
        <v>742</v>
      </c>
      <c r="K340" s="28" t="e" cm="1">
        <f t="array" ref="K340">VLOOKUP(E340,[1]A023951!D$1:H$1114,{3,5},0)</f>
        <v>#N/A</v>
      </c>
      <c r="L340" s="28"/>
      <c r="M340" s="28"/>
    </row>
    <row r="341" spans="1:13" x14ac:dyDescent="0.35">
      <c r="A341" s="28" t="s">
        <v>511</v>
      </c>
      <c r="B341" s="32">
        <v>2025</v>
      </c>
      <c r="C341" s="28" t="s">
        <v>512</v>
      </c>
      <c r="D341" s="29">
        <v>45848</v>
      </c>
      <c r="E341" s="28">
        <v>256779421269</v>
      </c>
      <c r="F341" s="28" t="s">
        <v>11</v>
      </c>
      <c r="G341" s="30">
        <v>-5.9</v>
      </c>
      <c r="H341" s="28" t="s">
        <v>59</v>
      </c>
      <c r="I341" s="30">
        <v>-507.4</v>
      </c>
      <c r="J341" s="28" t="s">
        <v>743</v>
      </c>
      <c r="K341" s="28" t="e" cm="1">
        <f t="array" ref="K341">VLOOKUP(E341,[1]A023951!D$1:H$1114,{3,5},0)</f>
        <v>#N/A</v>
      </c>
      <c r="L341" s="28"/>
      <c r="M341" s="28"/>
    </row>
    <row r="342" spans="1:13" x14ac:dyDescent="0.35">
      <c r="A342" s="28" t="s">
        <v>511</v>
      </c>
      <c r="B342" s="32">
        <v>2025</v>
      </c>
      <c r="C342" s="28" t="s">
        <v>512</v>
      </c>
      <c r="D342" s="29">
        <v>45848</v>
      </c>
      <c r="E342" s="28">
        <v>256779421270</v>
      </c>
      <c r="F342" s="28" t="s">
        <v>11</v>
      </c>
      <c r="G342" s="30">
        <v>-20.65</v>
      </c>
      <c r="H342" s="28" t="s">
        <v>59</v>
      </c>
      <c r="I342" s="30">
        <v>-1775.91</v>
      </c>
      <c r="J342" s="28" t="s">
        <v>744</v>
      </c>
      <c r="K342" s="28" t="e" cm="1">
        <f t="array" ref="K342">VLOOKUP(E342,[1]A023951!D$1:H$1114,{3,5},0)</f>
        <v>#N/A</v>
      </c>
      <c r="L342" s="28"/>
      <c r="M342" s="28"/>
    </row>
    <row r="343" spans="1:13" x14ac:dyDescent="0.35">
      <c r="A343" s="28" t="s">
        <v>511</v>
      </c>
      <c r="B343" s="32">
        <v>2025</v>
      </c>
      <c r="C343" s="28" t="s">
        <v>512</v>
      </c>
      <c r="D343" s="29">
        <v>45848</v>
      </c>
      <c r="E343" s="28">
        <v>256779421271</v>
      </c>
      <c r="F343" s="28" t="s">
        <v>11</v>
      </c>
      <c r="G343" s="30">
        <v>-14.75</v>
      </c>
      <c r="H343" s="28" t="s">
        <v>59</v>
      </c>
      <c r="I343" s="30">
        <v>-1268.51</v>
      </c>
      <c r="J343" s="28" t="s">
        <v>745</v>
      </c>
      <c r="K343" s="28" t="e" cm="1">
        <f t="array" ref="K343">VLOOKUP(E343,[1]A023951!D$1:H$1114,{3,5},0)</f>
        <v>#N/A</v>
      </c>
      <c r="L343" s="28"/>
      <c r="M343" s="28"/>
    </row>
    <row r="344" spans="1:13" x14ac:dyDescent="0.35">
      <c r="A344" s="28" t="s">
        <v>511</v>
      </c>
      <c r="B344" s="32">
        <v>2025</v>
      </c>
      <c r="C344" s="28" t="s">
        <v>512</v>
      </c>
      <c r="D344" s="29">
        <v>45848</v>
      </c>
      <c r="E344" s="28">
        <v>256779421272</v>
      </c>
      <c r="F344" s="28" t="s">
        <v>11</v>
      </c>
      <c r="G344" s="30">
        <v>-32.32</v>
      </c>
      <c r="H344" s="28" t="s">
        <v>59</v>
      </c>
      <c r="I344" s="30">
        <v>-2779.54</v>
      </c>
      <c r="J344" s="28" t="s">
        <v>746</v>
      </c>
      <c r="K344" s="28" t="e" cm="1">
        <f t="array" ref="K344">VLOOKUP(E344,[1]A023951!D$1:H$1114,{3,5},0)</f>
        <v>#N/A</v>
      </c>
      <c r="L344" s="28"/>
      <c r="M344" s="28"/>
    </row>
    <row r="345" spans="1:13" x14ac:dyDescent="0.35">
      <c r="A345" s="28" t="s">
        <v>511</v>
      </c>
      <c r="B345" s="32">
        <v>2025</v>
      </c>
      <c r="C345" s="28" t="s">
        <v>512</v>
      </c>
      <c r="D345" s="29">
        <v>45848</v>
      </c>
      <c r="E345" s="28">
        <v>256779421273</v>
      </c>
      <c r="F345" s="28" t="s">
        <v>11</v>
      </c>
      <c r="G345" s="30">
        <v>-30.49</v>
      </c>
      <c r="H345" s="28" t="s">
        <v>59</v>
      </c>
      <c r="I345" s="30">
        <v>-2622.16</v>
      </c>
      <c r="J345" s="28" t="s">
        <v>747</v>
      </c>
      <c r="K345" s="28" t="e" cm="1">
        <f t="array" ref="K345">VLOOKUP(E345,[1]A023951!D$1:H$1114,{3,5},0)</f>
        <v>#N/A</v>
      </c>
      <c r="L345" s="28"/>
      <c r="M345" s="28"/>
    </row>
    <row r="346" spans="1:13" x14ac:dyDescent="0.35">
      <c r="A346" s="28" t="s">
        <v>511</v>
      </c>
      <c r="B346" s="32">
        <v>2025</v>
      </c>
      <c r="C346" s="28" t="s">
        <v>512</v>
      </c>
      <c r="D346" s="29">
        <v>45848</v>
      </c>
      <c r="E346" s="28">
        <v>256779421274</v>
      </c>
      <c r="F346" s="28" t="s">
        <v>11</v>
      </c>
      <c r="G346" s="30">
        <v>-17.7</v>
      </c>
      <c r="H346" s="28" t="s">
        <v>59</v>
      </c>
      <c r="I346" s="30">
        <v>-1522.21</v>
      </c>
      <c r="J346" s="28" t="s">
        <v>748</v>
      </c>
      <c r="K346" s="28" t="e" cm="1">
        <f t="array" ref="K346">VLOOKUP(E346,[1]A023951!D$1:H$1114,{3,5},0)</f>
        <v>#N/A</v>
      </c>
      <c r="L346" s="28"/>
      <c r="M346" s="28"/>
    </row>
    <row r="347" spans="1:13" x14ac:dyDescent="0.35">
      <c r="A347" s="28" t="s">
        <v>511</v>
      </c>
      <c r="B347" s="32">
        <v>2025</v>
      </c>
      <c r="C347" s="28" t="s">
        <v>512</v>
      </c>
      <c r="D347" s="29">
        <v>45848</v>
      </c>
      <c r="E347" s="28">
        <v>256779421275</v>
      </c>
      <c r="F347" s="28" t="s">
        <v>11</v>
      </c>
      <c r="G347" s="30">
        <v>-2.95</v>
      </c>
      <c r="H347" s="28" t="s">
        <v>59</v>
      </c>
      <c r="I347" s="30">
        <v>-253.7</v>
      </c>
      <c r="J347" s="28" t="s">
        <v>749</v>
      </c>
      <c r="K347" s="28" t="e" cm="1">
        <f t="array" ref="K347">VLOOKUP(E347,[1]A023951!D$1:H$1114,{3,5},0)</f>
        <v>#N/A</v>
      </c>
      <c r="L347" s="28"/>
      <c r="M347" s="28"/>
    </row>
    <row r="348" spans="1:13" x14ac:dyDescent="0.35">
      <c r="A348" s="28" t="s">
        <v>511</v>
      </c>
      <c r="B348" s="32">
        <v>2025</v>
      </c>
      <c r="C348" s="28" t="s">
        <v>512</v>
      </c>
      <c r="D348" s="29">
        <v>45848</v>
      </c>
      <c r="E348" s="28">
        <v>256779421276</v>
      </c>
      <c r="F348" s="28" t="s">
        <v>11</v>
      </c>
      <c r="G348" s="30">
        <v>-1.18</v>
      </c>
      <c r="H348" s="28" t="s">
        <v>59</v>
      </c>
      <c r="I348" s="30">
        <v>-101.48</v>
      </c>
      <c r="J348" s="28" t="s">
        <v>749</v>
      </c>
      <c r="K348" s="28" t="e" cm="1">
        <f t="array" ref="K348">VLOOKUP(E348,[1]A023951!D$1:H$1114,{3,5},0)</f>
        <v>#N/A</v>
      </c>
      <c r="L348" s="28"/>
      <c r="M348" s="28"/>
    </row>
    <row r="349" spans="1:13" x14ac:dyDescent="0.35">
      <c r="A349" s="28" t="s">
        <v>511</v>
      </c>
      <c r="B349" s="32">
        <v>2025</v>
      </c>
      <c r="C349" s="28" t="s">
        <v>512</v>
      </c>
      <c r="D349" s="29">
        <v>45848</v>
      </c>
      <c r="E349" s="28">
        <v>256779421277</v>
      </c>
      <c r="F349" s="28" t="s">
        <v>11</v>
      </c>
      <c r="G349" s="30">
        <v>-29.5</v>
      </c>
      <c r="H349" s="28" t="s">
        <v>59</v>
      </c>
      <c r="I349" s="30">
        <v>-2537.02</v>
      </c>
      <c r="J349" s="28" t="s">
        <v>778</v>
      </c>
      <c r="K349" s="28" t="e" cm="1">
        <f t="array" ref="K349">VLOOKUP(E349,[1]A023951!D$1:H$1114,{3,5},0)</f>
        <v>#N/A</v>
      </c>
      <c r="L349" s="28"/>
      <c r="M349" s="28"/>
    </row>
    <row r="350" spans="1:13" x14ac:dyDescent="0.35">
      <c r="A350" s="28" t="s">
        <v>511</v>
      </c>
      <c r="B350" s="32">
        <v>2025</v>
      </c>
      <c r="C350" s="28" t="s">
        <v>512</v>
      </c>
      <c r="D350" s="29">
        <v>45848</v>
      </c>
      <c r="E350" s="28">
        <v>256779421278</v>
      </c>
      <c r="F350" s="28" t="s">
        <v>11</v>
      </c>
      <c r="G350" s="30">
        <v>-29.5</v>
      </c>
      <c r="H350" s="28" t="s">
        <v>59</v>
      </c>
      <c r="I350" s="30">
        <v>-2537.02</v>
      </c>
      <c r="J350" s="28" t="s">
        <v>779</v>
      </c>
      <c r="K350" s="28" t="e" cm="1">
        <f t="array" ref="K350">VLOOKUP(E350,[1]A023951!D$1:H$1114,{3,5},0)</f>
        <v>#N/A</v>
      </c>
      <c r="L350" s="28"/>
      <c r="M350" s="28"/>
    </row>
    <row r="351" spans="1:13" x14ac:dyDescent="0.35">
      <c r="A351" s="28" t="s">
        <v>511</v>
      </c>
      <c r="B351" s="32">
        <v>2025</v>
      </c>
      <c r="C351" s="28" t="s">
        <v>512</v>
      </c>
      <c r="D351" s="29">
        <v>45848</v>
      </c>
      <c r="E351" s="28">
        <v>256779421279</v>
      </c>
      <c r="F351" s="28" t="s">
        <v>11</v>
      </c>
      <c r="G351" s="30">
        <v>-20.65</v>
      </c>
      <c r="H351" s="28" t="s">
        <v>59</v>
      </c>
      <c r="I351" s="30">
        <v>-1775.91</v>
      </c>
      <c r="J351" s="28" t="s">
        <v>780</v>
      </c>
      <c r="K351" s="28" t="e" cm="1">
        <f t="array" ref="K351">VLOOKUP(E351,[1]A023951!D$1:H$1114,{3,5},0)</f>
        <v>#N/A</v>
      </c>
      <c r="L351" s="28"/>
      <c r="M351" s="28"/>
    </row>
    <row r="352" spans="1:13" x14ac:dyDescent="0.35">
      <c r="A352" s="28" t="s">
        <v>511</v>
      </c>
      <c r="B352" s="32">
        <v>2025</v>
      </c>
      <c r="C352" s="28" t="s">
        <v>512</v>
      </c>
      <c r="D352" s="29">
        <v>45848</v>
      </c>
      <c r="E352" s="28">
        <v>256779421280</v>
      </c>
      <c r="F352" s="28" t="s">
        <v>11</v>
      </c>
      <c r="G352" s="30">
        <v>-23.6</v>
      </c>
      <c r="H352" s="28" t="s">
        <v>59</v>
      </c>
      <c r="I352" s="30">
        <v>-2029.62</v>
      </c>
      <c r="J352" s="28" t="s">
        <v>781</v>
      </c>
      <c r="K352" s="28" t="e" cm="1">
        <f t="array" ref="K352">VLOOKUP(E352,[1]A023951!D$1:H$1114,{3,5},0)</f>
        <v>#N/A</v>
      </c>
      <c r="L352" s="28"/>
      <c r="M352" s="28"/>
    </row>
    <row r="353" spans="1:13" x14ac:dyDescent="0.35">
      <c r="A353" s="28" t="s">
        <v>511</v>
      </c>
      <c r="B353" s="32">
        <v>2025</v>
      </c>
      <c r="C353" s="28" t="s">
        <v>512</v>
      </c>
      <c r="D353" s="29">
        <v>45848</v>
      </c>
      <c r="E353" s="28">
        <v>256779421281</v>
      </c>
      <c r="F353" s="28" t="s">
        <v>11</v>
      </c>
      <c r="G353" s="30">
        <v>-8.85</v>
      </c>
      <c r="H353" s="28" t="s">
        <v>59</v>
      </c>
      <c r="I353" s="30">
        <v>-761.11</v>
      </c>
      <c r="J353" s="28" t="s">
        <v>782</v>
      </c>
      <c r="K353" s="28" t="e" cm="1">
        <f t="array" ref="K353">VLOOKUP(E353,[1]A023951!D$1:H$1114,{3,5},0)</f>
        <v>#N/A</v>
      </c>
      <c r="L353" s="28"/>
      <c r="M353" s="28"/>
    </row>
    <row r="354" spans="1:13" x14ac:dyDescent="0.35">
      <c r="A354" s="28" t="s">
        <v>511</v>
      </c>
      <c r="B354" s="32">
        <v>2025</v>
      </c>
      <c r="C354" s="28" t="s">
        <v>512</v>
      </c>
      <c r="D354" s="29">
        <v>45848</v>
      </c>
      <c r="E354" s="28">
        <v>256779421282</v>
      </c>
      <c r="F354" s="28" t="s">
        <v>11</v>
      </c>
      <c r="G354" s="30">
        <v>-32.450000000000003</v>
      </c>
      <c r="H354" s="28" t="s">
        <v>59</v>
      </c>
      <c r="I354" s="30">
        <v>-2790.72</v>
      </c>
      <c r="J354" s="28" t="s">
        <v>783</v>
      </c>
      <c r="K354" s="28" t="e" cm="1">
        <f t="array" ref="K354">VLOOKUP(E354,[1]A023951!D$1:H$1114,{3,5},0)</f>
        <v>#N/A</v>
      </c>
      <c r="L354" s="28"/>
      <c r="M354" s="28"/>
    </row>
    <row r="355" spans="1:13" x14ac:dyDescent="0.35">
      <c r="A355" s="28" t="s">
        <v>511</v>
      </c>
      <c r="B355" s="32">
        <v>2025</v>
      </c>
      <c r="C355" s="28" t="s">
        <v>512</v>
      </c>
      <c r="D355" s="29">
        <v>45848</v>
      </c>
      <c r="E355" s="28">
        <v>256779421283</v>
      </c>
      <c r="F355" s="28" t="s">
        <v>11</v>
      </c>
      <c r="G355" s="30">
        <v>-26.55</v>
      </c>
      <c r="H355" s="28" t="s">
        <v>59</v>
      </c>
      <c r="I355" s="30">
        <v>-2283.3200000000002</v>
      </c>
      <c r="J355" s="28" t="s">
        <v>784</v>
      </c>
      <c r="K355" s="28" t="e" cm="1">
        <f t="array" ref="K355">VLOOKUP(E355,[1]A023951!D$1:H$1114,{3,5},0)</f>
        <v>#N/A</v>
      </c>
      <c r="L355" s="28"/>
      <c r="M355" s="28"/>
    </row>
    <row r="356" spans="1:13" x14ac:dyDescent="0.35">
      <c r="A356" s="28" t="s">
        <v>511</v>
      </c>
      <c r="B356" s="32">
        <v>2025</v>
      </c>
      <c r="C356" s="28" t="s">
        <v>512</v>
      </c>
      <c r="D356" s="29">
        <v>45848</v>
      </c>
      <c r="E356" s="28">
        <v>256779421284</v>
      </c>
      <c r="F356" s="28" t="s">
        <v>11</v>
      </c>
      <c r="G356" s="30">
        <v>-20.100000000000001</v>
      </c>
      <c r="H356" s="28" t="s">
        <v>59</v>
      </c>
      <c r="I356" s="30">
        <v>-1728.61</v>
      </c>
      <c r="J356" s="28" t="s">
        <v>785</v>
      </c>
      <c r="K356" s="28" t="e" cm="1">
        <f t="array" ref="K356">VLOOKUP(E356,[1]A023951!D$1:H$1114,{3,5},0)</f>
        <v>#N/A</v>
      </c>
      <c r="L356" s="28"/>
      <c r="M356" s="28"/>
    </row>
    <row r="357" spans="1:13" x14ac:dyDescent="0.35">
      <c r="A357" s="28" t="s">
        <v>511</v>
      </c>
      <c r="B357" s="32">
        <v>2025</v>
      </c>
      <c r="C357" s="28" t="s">
        <v>512</v>
      </c>
      <c r="D357" s="29">
        <v>45848</v>
      </c>
      <c r="E357" s="28">
        <v>256779421285</v>
      </c>
      <c r="F357" s="28" t="s">
        <v>11</v>
      </c>
      <c r="G357" s="30">
        <v>-183.99</v>
      </c>
      <c r="H357" s="28" t="s">
        <v>59</v>
      </c>
      <c r="I357" s="30">
        <v>-15823.26</v>
      </c>
      <c r="J357" s="28" t="s">
        <v>786</v>
      </c>
      <c r="K357" s="28" t="e" cm="1">
        <f t="array" ref="K357">VLOOKUP(E357,[1]A023951!D$1:H$1114,{3,5},0)</f>
        <v>#N/A</v>
      </c>
      <c r="L357" s="28"/>
      <c r="M357" s="28"/>
    </row>
    <row r="358" spans="1:13" x14ac:dyDescent="0.35">
      <c r="A358" s="28" t="s">
        <v>511</v>
      </c>
      <c r="B358" s="32">
        <v>2025</v>
      </c>
      <c r="C358" s="28" t="s">
        <v>512</v>
      </c>
      <c r="D358" s="29">
        <v>45848</v>
      </c>
      <c r="E358" s="28">
        <v>256779421286</v>
      </c>
      <c r="F358" s="28" t="s">
        <v>11</v>
      </c>
      <c r="G358" s="30">
        <v>-236</v>
      </c>
      <c r="H358" s="28" t="s">
        <v>59</v>
      </c>
      <c r="I358" s="30">
        <v>-20296.16</v>
      </c>
      <c r="J358" s="28" t="s">
        <v>787</v>
      </c>
      <c r="K358" s="28" t="e" cm="1">
        <f t="array" ref="K358">VLOOKUP(E358,[1]A023951!D$1:H$1114,{3,5},0)</f>
        <v>#N/A</v>
      </c>
      <c r="L358" s="28"/>
      <c r="M358" s="28"/>
    </row>
    <row r="359" spans="1:13" x14ac:dyDescent="0.35">
      <c r="A359" s="28" t="s">
        <v>511</v>
      </c>
      <c r="B359" s="32">
        <v>2025</v>
      </c>
      <c r="C359" s="28" t="s">
        <v>512</v>
      </c>
      <c r="D359" s="29">
        <v>45848</v>
      </c>
      <c r="E359" s="28">
        <v>256779421287</v>
      </c>
      <c r="F359" s="28" t="s">
        <v>11</v>
      </c>
      <c r="G359" s="30">
        <v>-70.8</v>
      </c>
      <c r="H359" s="28" t="s">
        <v>59</v>
      </c>
      <c r="I359" s="30">
        <v>-6088.85</v>
      </c>
      <c r="J359" s="28" t="s">
        <v>788</v>
      </c>
      <c r="K359" s="28" t="e" cm="1">
        <f t="array" ref="K359">VLOOKUP(E359,[1]A023951!D$1:H$1114,{3,5},0)</f>
        <v>#N/A</v>
      </c>
      <c r="L359" s="28"/>
      <c r="M359" s="28"/>
    </row>
    <row r="360" spans="1:13" x14ac:dyDescent="0.35">
      <c r="A360" s="28" t="s">
        <v>511</v>
      </c>
      <c r="B360" s="32">
        <v>2025</v>
      </c>
      <c r="C360" s="28" t="s">
        <v>512</v>
      </c>
      <c r="D360" s="29">
        <v>45848</v>
      </c>
      <c r="E360" s="28">
        <v>256779421288</v>
      </c>
      <c r="F360" s="28" t="s">
        <v>11</v>
      </c>
      <c r="G360" s="30">
        <v>-25.22</v>
      </c>
      <c r="H360" s="28" t="s">
        <v>59</v>
      </c>
      <c r="I360" s="30">
        <v>-2168.94</v>
      </c>
      <c r="J360" s="28" t="s">
        <v>789</v>
      </c>
      <c r="K360" s="28" t="e" cm="1">
        <f t="array" ref="K360">VLOOKUP(E360,[1]A023951!D$1:H$1114,{3,5},0)</f>
        <v>#N/A</v>
      </c>
      <c r="L360" s="28"/>
      <c r="M360" s="28"/>
    </row>
    <row r="361" spans="1:13" x14ac:dyDescent="0.35">
      <c r="A361" s="28" t="s">
        <v>511</v>
      </c>
      <c r="B361" s="32">
        <v>2025</v>
      </c>
      <c r="C361" s="28" t="s">
        <v>512</v>
      </c>
      <c r="D361" s="29">
        <v>45848</v>
      </c>
      <c r="E361" s="28">
        <v>256779421289</v>
      </c>
      <c r="F361" s="28" t="s">
        <v>11</v>
      </c>
      <c r="G361" s="30">
        <v>-84.96</v>
      </c>
      <c r="H361" s="28" t="s">
        <v>59</v>
      </c>
      <c r="I361" s="30">
        <v>-7306.62</v>
      </c>
      <c r="J361" s="28" t="s">
        <v>790</v>
      </c>
      <c r="K361" s="28" t="e" cm="1">
        <f t="array" ref="K361">VLOOKUP(E361,[1]A023951!D$1:H$1114,{3,5},0)</f>
        <v>#N/A</v>
      </c>
      <c r="L361" s="28"/>
      <c r="M361" s="28"/>
    </row>
    <row r="362" spans="1:13" x14ac:dyDescent="0.35">
      <c r="A362" s="28" t="s">
        <v>511</v>
      </c>
      <c r="B362" s="32">
        <v>2025</v>
      </c>
      <c r="C362" s="28" t="s">
        <v>512</v>
      </c>
      <c r="D362" s="29">
        <v>45848</v>
      </c>
      <c r="E362" s="28">
        <v>256779421290</v>
      </c>
      <c r="F362" s="28" t="s">
        <v>11</v>
      </c>
      <c r="G362" s="30">
        <v>-244.58</v>
      </c>
      <c r="H362" s="28" t="s">
        <v>59</v>
      </c>
      <c r="I362" s="30">
        <v>-21034.04</v>
      </c>
      <c r="J362" s="28" t="s">
        <v>758</v>
      </c>
      <c r="K362" s="28" t="e" cm="1">
        <f t="array" ref="K362">VLOOKUP(E362,[1]A023951!D$1:H$1114,{3,5},0)</f>
        <v>#N/A</v>
      </c>
      <c r="L362" s="28"/>
      <c r="M362" s="28"/>
    </row>
    <row r="363" spans="1:13" x14ac:dyDescent="0.35">
      <c r="A363" s="28" t="s">
        <v>511</v>
      </c>
      <c r="B363" s="32">
        <v>2025</v>
      </c>
      <c r="C363" s="28" t="s">
        <v>512</v>
      </c>
      <c r="D363" s="29">
        <v>45848</v>
      </c>
      <c r="E363" s="28">
        <v>256779421291</v>
      </c>
      <c r="F363" s="28" t="s">
        <v>11</v>
      </c>
      <c r="G363" s="30">
        <v>-113.28</v>
      </c>
      <c r="H363" s="28" t="s">
        <v>59</v>
      </c>
      <c r="I363" s="30">
        <v>-9742.16</v>
      </c>
      <c r="J363" s="28" t="s">
        <v>758</v>
      </c>
      <c r="K363" s="28" t="e" cm="1">
        <f t="array" ref="K363">VLOOKUP(E363,[1]A023951!D$1:H$1114,{3,5},0)</f>
        <v>#N/A</v>
      </c>
      <c r="L363" s="28"/>
      <c r="M363" s="28"/>
    </row>
    <row r="364" spans="1:13" x14ac:dyDescent="0.35">
      <c r="A364" s="28" t="s">
        <v>511</v>
      </c>
      <c r="B364" s="32">
        <v>2025</v>
      </c>
      <c r="C364" s="28" t="s">
        <v>512</v>
      </c>
      <c r="D364" s="29">
        <v>45848</v>
      </c>
      <c r="E364" s="28">
        <v>256779421292</v>
      </c>
      <c r="F364" s="28" t="s">
        <v>11</v>
      </c>
      <c r="G364" s="30">
        <v>-236</v>
      </c>
      <c r="H364" s="28" t="s">
        <v>59</v>
      </c>
      <c r="I364" s="30">
        <v>-20296.16</v>
      </c>
      <c r="J364" s="28" t="s">
        <v>758</v>
      </c>
      <c r="K364" s="28" t="e" cm="1">
        <f t="array" ref="K364">VLOOKUP(E364,[1]A023951!D$1:H$1114,{3,5},0)</f>
        <v>#N/A</v>
      </c>
      <c r="L364" s="28"/>
      <c r="M364" s="28"/>
    </row>
    <row r="365" spans="1:13" x14ac:dyDescent="0.35">
      <c r="A365" s="28" t="s">
        <v>511</v>
      </c>
      <c r="B365" s="32">
        <v>2025</v>
      </c>
      <c r="C365" s="28" t="s">
        <v>512</v>
      </c>
      <c r="D365" s="29">
        <v>45848</v>
      </c>
      <c r="E365" s="28">
        <v>256779421293</v>
      </c>
      <c r="F365" s="28" t="s">
        <v>11</v>
      </c>
      <c r="G365" s="30">
        <v>-70.8</v>
      </c>
      <c r="H365" s="28" t="s">
        <v>59</v>
      </c>
      <c r="I365" s="30">
        <v>-6088.85</v>
      </c>
      <c r="J365" s="28" t="s">
        <v>758</v>
      </c>
      <c r="K365" s="28" t="e" cm="1">
        <f t="array" ref="K365">VLOOKUP(E365,[1]A023951!D$1:H$1114,{3,5},0)</f>
        <v>#N/A</v>
      </c>
      <c r="L365" s="28"/>
      <c r="M365" s="28"/>
    </row>
    <row r="366" spans="1:13" x14ac:dyDescent="0.35">
      <c r="A366" s="28" t="s">
        <v>511</v>
      </c>
      <c r="B366" s="32">
        <v>2025</v>
      </c>
      <c r="C366" s="28" t="s">
        <v>512</v>
      </c>
      <c r="D366" s="29">
        <v>45848</v>
      </c>
      <c r="E366" s="28">
        <v>256779421294</v>
      </c>
      <c r="F366" s="28" t="s">
        <v>11</v>
      </c>
      <c r="G366" s="30">
        <v>-79.650000000000006</v>
      </c>
      <c r="H366" s="28" t="s">
        <v>59</v>
      </c>
      <c r="I366" s="30">
        <v>-6849.95</v>
      </c>
      <c r="J366" s="28" t="s">
        <v>791</v>
      </c>
      <c r="K366" s="28" t="e" cm="1">
        <f t="array" ref="K366">VLOOKUP(E366,[1]A023951!D$1:H$1114,{3,5},0)</f>
        <v>#N/A</v>
      </c>
      <c r="L366" s="28"/>
      <c r="M366" s="28"/>
    </row>
    <row r="367" spans="1:13" x14ac:dyDescent="0.35">
      <c r="A367" s="28" t="s">
        <v>511</v>
      </c>
      <c r="B367" s="32">
        <v>2025</v>
      </c>
      <c r="C367" s="28" t="s">
        <v>512</v>
      </c>
      <c r="D367" s="29">
        <v>45848</v>
      </c>
      <c r="E367" s="28">
        <v>256779421295</v>
      </c>
      <c r="F367" s="28" t="s">
        <v>11</v>
      </c>
      <c r="G367" s="30">
        <v>-3.54</v>
      </c>
      <c r="H367" s="28" t="s">
        <v>59</v>
      </c>
      <c r="I367" s="30">
        <v>-304.44</v>
      </c>
      <c r="J367" s="28" t="s">
        <v>792</v>
      </c>
      <c r="K367" s="28" t="e" cm="1">
        <f t="array" ref="K367">VLOOKUP(E367,[1]A023951!D$1:H$1114,{3,5},0)</f>
        <v>#N/A</v>
      </c>
      <c r="L367" s="28"/>
      <c r="M367" s="28"/>
    </row>
    <row r="368" spans="1:13" x14ac:dyDescent="0.35">
      <c r="A368" s="28" t="s">
        <v>511</v>
      </c>
      <c r="B368" s="32">
        <v>2025</v>
      </c>
      <c r="C368" s="28" t="s">
        <v>512</v>
      </c>
      <c r="D368" s="29">
        <v>45848</v>
      </c>
      <c r="E368" s="28">
        <v>256779421296</v>
      </c>
      <c r="F368" s="28" t="s">
        <v>11</v>
      </c>
      <c r="G368" s="30">
        <v>-3.54</v>
      </c>
      <c r="H368" s="28" t="s">
        <v>59</v>
      </c>
      <c r="I368" s="30">
        <v>-304.44</v>
      </c>
      <c r="J368" s="28" t="s">
        <v>793</v>
      </c>
      <c r="K368" s="28" t="e" cm="1">
        <f t="array" ref="K368">VLOOKUP(E368,[1]A023951!D$1:H$1114,{3,5},0)</f>
        <v>#N/A</v>
      </c>
      <c r="L368" s="28"/>
      <c r="M368" s="28"/>
    </row>
    <row r="369" spans="1:13" x14ac:dyDescent="0.35">
      <c r="A369" s="28" t="s">
        <v>511</v>
      </c>
      <c r="B369" s="32">
        <v>2025</v>
      </c>
      <c r="C369" s="28" t="s">
        <v>512</v>
      </c>
      <c r="D369" s="29">
        <v>45848</v>
      </c>
      <c r="E369" s="28">
        <v>256779421297</v>
      </c>
      <c r="F369" s="28" t="s">
        <v>11</v>
      </c>
      <c r="G369" s="30">
        <v>-236</v>
      </c>
      <c r="H369" s="28" t="s">
        <v>59</v>
      </c>
      <c r="I369" s="30">
        <v>-20296.16</v>
      </c>
      <c r="J369" s="28" t="s">
        <v>794</v>
      </c>
      <c r="K369" s="28" t="e" cm="1">
        <f t="array" ref="K369">VLOOKUP(E369,[1]A023951!D$1:H$1114,{3,5},0)</f>
        <v>#N/A</v>
      </c>
      <c r="L369" s="28"/>
      <c r="M369" s="28"/>
    </row>
    <row r="370" spans="1:13" x14ac:dyDescent="0.35">
      <c r="A370" s="28" t="s">
        <v>511</v>
      </c>
      <c r="B370" s="32">
        <v>2025</v>
      </c>
      <c r="C370" s="28" t="s">
        <v>512</v>
      </c>
      <c r="D370" s="29">
        <v>45848</v>
      </c>
      <c r="E370" s="28">
        <v>256779421298</v>
      </c>
      <c r="F370" s="28" t="s">
        <v>11</v>
      </c>
      <c r="G370" s="30">
        <v>-369.34</v>
      </c>
      <c r="H370" s="28" t="s">
        <v>59</v>
      </c>
      <c r="I370" s="30">
        <v>-31763.49</v>
      </c>
      <c r="J370" s="28" t="s">
        <v>795</v>
      </c>
      <c r="K370" s="28" t="e" cm="1">
        <f t="array" ref="K370">VLOOKUP(E370,[1]A023951!D$1:H$1114,{3,5},0)</f>
        <v>#N/A</v>
      </c>
      <c r="L370" s="28"/>
      <c r="M370" s="28"/>
    </row>
    <row r="371" spans="1:13" x14ac:dyDescent="0.35">
      <c r="A371" s="28" t="s">
        <v>511</v>
      </c>
      <c r="B371" s="32">
        <v>2025</v>
      </c>
      <c r="C371" s="28" t="s">
        <v>512</v>
      </c>
      <c r="D371" s="29">
        <v>45848</v>
      </c>
      <c r="E371" s="28">
        <v>256779421299</v>
      </c>
      <c r="F371" s="28" t="s">
        <v>11</v>
      </c>
      <c r="G371" s="30">
        <v>-226.56</v>
      </c>
      <c r="H371" s="28" t="s">
        <v>59</v>
      </c>
      <c r="I371" s="30">
        <v>-19484.310000000001</v>
      </c>
      <c r="J371" s="28" t="s">
        <v>796</v>
      </c>
      <c r="K371" s="28" t="e" cm="1">
        <f t="array" ref="K371">VLOOKUP(E371,[1]A023951!D$1:H$1114,{3,5},0)</f>
        <v>#N/A</v>
      </c>
      <c r="L371" s="28"/>
      <c r="M371" s="28"/>
    </row>
    <row r="372" spans="1:13" x14ac:dyDescent="0.35">
      <c r="A372" s="28" t="s">
        <v>511</v>
      </c>
      <c r="B372" s="32">
        <v>2025</v>
      </c>
      <c r="C372" s="28" t="s">
        <v>512</v>
      </c>
      <c r="D372" s="29">
        <v>45848</v>
      </c>
      <c r="E372" s="28">
        <v>256779421300</v>
      </c>
      <c r="F372" s="28" t="s">
        <v>11</v>
      </c>
      <c r="G372" s="30">
        <v>-236</v>
      </c>
      <c r="H372" s="28" t="s">
        <v>59</v>
      </c>
      <c r="I372" s="30">
        <v>-20296.16</v>
      </c>
      <c r="J372" s="28" t="s">
        <v>797</v>
      </c>
      <c r="K372" s="28" t="e" cm="1">
        <f t="array" ref="K372">VLOOKUP(E372,[1]A023951!D$1:H$1114,{3,5},0)</f>
        <v>#N/A</v>
      </c>
      <c r="L372" s="28"/>
      <c r="M372" s="28"/>
    </row>
    <row r="373" spans="1:13" x14ac:dyDescent="0.35">
      <c r="A373" s="28" t="s">
        <v>511</v>
      </c>
      <c r="B373" s="32">
        <v>2025</v>
      </c>
      <c r="C373" s="28" t="s">
        <v>512</v>
      </c>
      <c r="D373" s="29">
        <v>45848</v>
      </c>
      <c r="E373" s="28">
        <v>256779421301</v>
      </c>
      <c r="F373" s="28" t="s">
        <v>11</v>
      </c>
      <c r="G373" s="30">
        <v>-70.8</v>
      </c>
      <c r="H373" s="28" t="s">
        <v>59</v>
      </c>
      <c r="I373" s="30">
        <v>-6088.85</v>
      </c>
      <c r="J373" s="28" t="s">
        <v>798</v>
      </c>
      <c r="K373" s="28" t="e" cm="1">
        <f t="array" ref="K373">VLOOKUP(E373,[1]A023951!D$1:H$1114,{3,5},0)</f>
        <v>#N/A</v>
      </c>
      <c r="L373" s="28"/>
      <c r="M373" s="28"/>
    </row>
    <row r="374" spans="1:13" x14ac:dyDescent="0.35">
      <c r="A374" s="28" t="s">
        <v>511</v>
      </c>
      <c r="B374" s="32">
        <v>2025</v>
      </c>
      <c r="C374" s="28" t="s">
        <v>512</v>
      </c>
      <c r="D374" s="29">
        <v>45848</v>
      </c>
      <c r="E374" s="28">
        <v>256779421302</v>
      </c>
      <c r="F374" s="28" t="s">
        <v>11</v>
      </c>
      <c r="G374" s="30">
        <v>-3.54</v>
      </c>
      <c r="H374" s="28" t="s">
        <v>59</v>
      </c>
      <c r="I374" s="30">
        <v>-304.44</v>
      </c>
      <c r="J374" s="28" t="s">
        <v>799</v>
      </c>
      <c r="K374" s="28" t="e" cm="1">
        <f t="array" ref="K374">VLOOKUP(E374,[1]A023951!D$1:H$1114,{3,5},0)</f>
        <v>#N/A</v>
      </c>
      <c r="L374" s="28"/>
      <c r="M374" s="28"/>
    </row>
    <row r="375" spans="1:13" x14ac:dyDescent="0.35">
      <c r="A375" s="28" t="s">
        <v>511</v>
      </c>
      <c r="B375" s="32">
        <v>2025</v>
      </c>
      <c r="C375" s="28" t="s">
        <v>512</v>
      </c>
      <c r="D375" s="29">
        <v>45848</v>
      </c>
      <c r="E375" s="28">
        <v>256779421303</v>
      </c>
      <c r="F375" s="28" t="s">
        <v>11</v>
      </c>
      <c r="G375" s="30">
        <v>-84.96</v>
      </c>
      <c r="H375" s="28" t="s">
        <v>59</v>
      </c>
      <c r="I375" s="30">
        <v>-7306.62</v>
      </c>
      <c r="J375" s="28" t="s">
        <v>800</v>
      </c>
      <c r="K375" s="28" t="e" cm="1">
        <f t="array" ref="K375">VLOOKUP(E375,[1]A023951!D$1:H$1114,{3,5},0)</f>
        <v>#N/A</v>
      </c>
      <c r="L375" s="28"/>
      <c r="M375" s="28"/>
    </row>
    <row r="376" spans="1:13" x14ac:dyDescent="0.35">
      <c r="A376" s="28" t="s">
        <v>511</v>
      </c>
      <c r="B376" s="32">
        <v>2025</v>
      </c>
      <c r="C376" s="28" t="s">
        <v>512</v>
      </c>
      <c r="D376" s="29">
        <v>45848</v>
      </c>
      <c r="E376" s="28">
        <v>256779421304</v>
      </c>
      <c r="F376" s="28" t="s">
        <v>11</v>
      </c>
      <c r="G376" s="30">
        <v>-51.12</v>
      </c>
      <c r="H376" s="28" t="s">
        <v>59</v>
      </c>
      <c r="I376" s="30">
        <v>-4396.3500000000004</v>
      </c>
      <c r="J376" s="28" t="s">
        <v>800</v>
      </c>
      <c r="K376" s="28" t="e" cm="1">
        <f t="array" ref="K376">VLOOKUP(E376,[1]A023951!D$1:H$1114,{3,5},0)</f>
        <v>#N/A</v>
      </c>
      <c r="L376" s="28"/>
      <c r="M376" s="28"/>
    </row>
    <row r="377" spans="1:13" x14ac:dyDescent="0.35">
      <c r="A377" s="28" t="s">
        <v>511</v>
      </c>
      <c r="B377" s="32">
        <v>2025</v>
      </c>
      <c r="C377" s="28" t="s">
        <v>512</v>
      </c>
      <c r="D377" s="29">
        <v>45848</v>
      </c>
      <c r="E377" s="28">
        <v>256779421305</v>
      </c>
      <c r="F377" s="28" t="s">
        <v>11</v>
      </c>
      <c r="G377" s="30">
        <v>-183.35</v>
      </c>
      <c r="H377" s="28" t="s">
        <v>59</v>
      </c>
      <c r="I377" s="30">
        <v>-15768.22</v>
      </c>
      <c r="J377" s="28" t="s">
        <v>801</v>
      </c>
      <c r="K377" s="28" t="e" cm="1">
        <f t="array" ref="K377">VLOOKUP(E377,[1]A023951!D$1:H$1114,{3,5},0)</f>
        <v>#N/A</v>
      </c>
      <c r="L377" s="28"/>
      <c r="M377" s="28"/>
    </row>
    <row r="378" spans="1:13" x14ac:dyDescent="0.35">
      <c r="A378" s="28" t="s">
        <v>511</v>
      </c>
      <c r="B378" s="32">
        <v>2025</v>
      </c>
      <c r="C378" s="28" t="s">
        <v>512</v>
      </c>
      <c r="D378" s="29">
        <v>45848</v>
      </c>
      <c r="E378" s="28">
        <v>256779421306</v>
      </c>
      <c r="F378" s="28" t="s">
        <v>11</v>
      </c>
      <c r="G378" s="30">
        <v>-3.1</v>
      </c>
      <c r="H378" s="28" t="s">
        <v>59</v>
      </c>
      <c r="I378" s="30">
        <v>-266.60000000000002</v>
      </c>
      <c r="J378" s="28" t="s">
        <v>802</v>
      </c>
      <c r="K378" s="28" t="e" cm="1">
        <f t="array" ref="K378">VLOOKUP(E378,[1]A023951!D$1:H$1114,{3,5},0)</f>
        <v>#N/A</v>
      </c>
      <c r="L378" s="28"/>
      <c r="M378" s="28"/>
    </row>
    <row r="379" spans="1:13" x14ac:dyDescent="0.35">
      <c r="A379" s="28" t="s">
        <v>511</v>
      </c>
      <c r="B379" s="32">
        <v>2025</v>
      </c>
      <c r="C379" s="28" t="s">
        <v>512</v>
      </c>
      <c r="D379" s="29">
        <v>45848</v>
      </c>
      <c r="E379" s="28">
        <v>256779421307</v>
      </c>
      <c r="F379" s="28" t="s">
        <v>11</v>
      </c>
      <c r="G379" s="30">
        <v>-553.87</v>
      </c>
      <c r="H379" s="28" t="s">
        <v>59</v>
      </c>
      <c r="I379" s="30">
        <v>-47633.19</v>
      </c>
      <c r="J379" s="28" t="s">
        <v>803</v>
      </c>
      <c r="K379" s="28" t="e" cm="1">
        <f t="array" ref="K379">VLOOKUP(E379,[1]A023951!D$1:H$1114,{3,5},0)</f>
        <v>#N/A</v>
      </c>
      <c r="L379" s="28"/>
      <c r="M379" s="28"/>
    </row>
    <row r="380" spans="1:13" x14ac:dyDescent="0.35">
      <c r="A380" s="28" t="s">
        <v>511</v>
      </c>
      <c r="B380" s="32">
        <v>2025</v>
      </c>
      <c r="C380" s="28" t="s">
        <v>512</v>
      </c>
      <c r="D380" s="29">
        <v>45848</v>
      </c>
      <c r="E380" s="28">
        <v>256779421308</v>
      </c>
      <c r="F380" s="28" t="s">
        <v>11</v>
      </c>
      <c r="G380" s="30">
        <v>-424.8</v>
      </c>
      <c r="H380" s="28" t="s">
        <v>59</v>
      </c>
      <c r="I380" s="30">
        <v>-36533.08</v>
      </c>
      <c r="J380" s="28" t="s">
        <v>804</v>
      </c>
      <c r="K380" s="28" t="e" cm="1">
        <f t="array" ref="K380">VLOOKUP(E380,[1]A023951!D$1:H$1114,{3,5},0)</f>
        <v>#N/A</v>
      </c>
      <c r="L380" s="28"/>
      <c r="M380" s="28"/>
    </row>
    <row r="381" spans="1:13" x14ac:dyDescent="0.35">
      <c r="A381" s="28" t="s">
        <v>511</v>
      </c>
      <c r="B381" s="32">
        <v>2025</v>
      </c>
      <c r="C381" s="28" t="s">
        <v>512</v>
      </c>
      <c r="D381" s="29">
        <v>45848</v>
      </c>
      <c r="E381" s="28">
        <v>256779421309</v>
      </c>
      <c r="F381" s="28" t="s">
        <v>11</v>
      </c>
      <c r="G381" s="30">
        <v>-70.8</v>
      </c>
      <c r="H381" s="28" t="s">
        <v>59</v>
      </c>
      <c r="I381" s="30">
        <v>-6088.85</v>
      </c>
      <c r="J381" s="28" t="s">
        <v>805</v>
      </c>
      <c r="K381" s="28" t="e" cm="1">
        <f t="array" ref="K381">VLOOKUP(E381,[1]A023951!D$1:H$1114,{3,5},0)</f>
        <v>#N/A</v>
      </c>
      <c r="L381" s="28"/>
      <c r="M381" s="28"/>
    </row>
    <row r="382" spans="1:13" x14ac:dyDescent="0.35">
      <c r="A382" s="28" t="s">
        <v>511</v>
      </c>
      <c r="B382" s="32">
        <v>2025</v>
      </c>
      <c r="C382" s="28" t="s">
        <v>515</v>
      </c>
      <c r="D382" s="29">
        <v>45848</v>
      </c>
      <c r="E382" s="28">
        <v>256779415304</v>
      </c>
      <c r="F382" s="28" t="s">
        <v>11</v>
      </c>
      <c r="G382" s="30">
        <v>30</v>
      </c>
      <c r="H382" s="28" t="s">
        <v>59</v>
      </c>
      <c r="I382" s="30">
        <v>2580.02</v>
      </c>
      <c r="J382" s="28" t="s">
        <v>806</v>
      </c>
      <c r="K382" s="28" cm="1">
        <f t="array" ref="K382:L382">VLOOKUP(E382,[1]A023951!D$1:H$1114,{3,5},0)</f>
        <v>-30</v>
      </c>
      <c r="L382" s="28">
        <v>-2654.1</v>
      </c>
      <c r="M382" s="31">
        <f t="shared" ref="M382:M407" si="10">I382+L382</f>
        <v>-74.079999999999927</v>
      </c>
    </row>
    <row r="383" spans="1:13" x14ac:dyDescent="0.35">
      <c r="A383" s="28" t="s">
        <v>511</v>
      </c>
      <c r="B383" s="32">
        <v>2025</v>
      </c>
      <c r="C383" s="28" t="s">
        <v>515</v>
      </c>
      <c r="D383" s="29">
        <v>45848</v>
      </c>
      <c r="E383" s="28">
        <v>256779415305</v>
      </c>
      <c r="F383" s="28" t="s">
        <v>11</v>
      </c>
      <c r="G383" s="30">
        <v>30</v>
      </c>
      <c r="H383" s="28" t="s">
        <v>59</v>
      </c>
      <c r="I383" s="30">
        <v>2580.02</v>
      </c>
      <c r="J383" s="28" t="s">
        <v>806</v>
      </c>
      <c r="K383" s="28" cm="1">
        <f t="array" ref="K383:L383">VLOOKUP(E383,[1]A023951!D$1:H$1114,{3,5},0)</f>
        <v>-30</v>
      </c>
      <c r="L383" s="28">
        <v>-2654.1</v>
      </c>
      <c r="M383" s="31">
        <f t="shared" si="10"/>
        <v>-74.079999999999927</v>
      </c>
    </row>
    <row r="384" spans="1:13" x14ac:dyDescent="0.35">
      <c r="A384" s="28" t="s">
        <v>511</v>
      </c>
      <c r="B384" s="32">
        <v>2025</v>
      </c>
      <c r="C384" s="28" t="s">
        <v>515</v>
      </c>
      <c r="D384" s="29">
        <v>45848</v>
      </c>
      <c r="E384" s="28">
        <v>256779415306</v>
      </c>
      <c r="F384" s="28" t="s">
        <v>11</v>
      </c>
      <c r="G384" s="30">
        <v>30</v>
      </c>
      <c r="H384" s="28" t="s">
        <v>59</v>
      </c>
      <c r="I384" s="30">
        <v>2580.02</v>
      </c>
      <c r="J384" s="28" t="s">
        <v>806</v>
      </c>
      <c r="K384" s="28" cm="1">
        <f t="array" ref="K384:L384">VLOOKUP(E384,[1]A023951!D$1:H$1114,{3,5},0)</f>
        <v>-30</v>
      </c>
      <c r="L384" s="28">
        <v>-2654.1</v>
      </c>
      <c r="M384" s="31">
        <f t="shared" si="10"/>
        <v>-74.079999999999927</v>
      </c>
    </row>
    <row r="385" spans="1:13" x14ac:dyDescent="0.35">
      <c r="A385" s="28" t="s">
        <v>511</v>
      </c>
      <c r="B385" s="32">
        <v>2025</v>
      </c>
      <c r="C385" s="28" t="s">
        <v>515</v>
      </c>
      <c r="D385" s="29">
        <v>45848</v>
      </c>
      <c r="E385" s="28">
        <v>256779415307</v>
      </c>
      <c r="F385" s="28" t="s">
        <v>11</v>
      </c>
      <c r="G385" s="30">
        <v>30</v>
      </c>
      <c r="H385" s="28" t="s">
        <v>59</v>
      </c>
      <c r="I385" s="30">
        <v>2580.02</v>
      </c>
      <c r="J385" s="28" t="s">
        <v>806</v>
      </c>
      <c r="K385" s="28" cm="1">
        <f t="array" ref="K385:L385">VLOOKUP(E385,[1]A023951!D$1:H$1114,{3,5},0)</f>
        <v>-30</v>
      </c>
      <c r="L385" s="28">
        <v>-2654.1</v>
      </c>
      <c r="M385" s="31">
        <f t="shared" si="10"/>
        <v>-74.079999999999927</v>
      </c>
    </row>
    <row r="386" spans="1:13" x14ac:dyDescent="0.35">
      <c r="A386" s="28" t="s">
        <v>511</v>
      </c>
      <c r="B386" s="32">
        <v>2025</v>
      </c>
      <c r="C386" s="28" t="s">
        <v>515</v>
      </c>
      <c r="D386" s="29">
        <v>45848</v>
      </c>
      <c r="E386" s="28">
        <v>256779415308</v>
      </c>
      <c r="F386" s="28" t="s">
        <v>11</v>
      </c>
      <c r="G386" s="30">
        <v>30</v>
      </c>
      <c r="H386" s="28" t="s">
        <v>59</v>
      </c>
      <c r="I386" s="30">
        <v>2580.02</v>
      </c>
      <c r="J386" s="28" t="s">
        <v>806</v>
      </c>
      <c r="K386" s="28" cm="1">
        <f t="array" ref="K386:L386">VLOOKUP(E386,[1]A023951!D$1:H$1114,{3,5},0)</f>
        <v>-30</v>
      </c>
      <c r="L386" s="28">
        <v>-2654.1</v>
      </c>
      <c r="M386" s="31">
        <f t="shared" si="10"/>
        <v>-74.079999999999927</v>
      </c>
    </row>
    <row r="387" spans="1:13" x14ac:dyDescent="0.35">
      <c r="A387" s="28" t="s">
        <v>511</v>
      </c>
      <c r="B387" s="32">
        <v>2025</v>
      </c>
      <c r="C387" s="28" t="s">
        <v>515</v>
      </c>
      <c r="D387" s="29">
        <v>45848</v>
      </c>
      <c r="E387" s="28">
        <v>256779415321</v>
      </c>
      <c r="F387" s="28" t="s">
        <v>11</v>
      </c>
      <c r="G387" s="30">
        <v>212.5</v>
      </c>
      <c r="H387" s="28" t="s">
        <v>59</v>
      </c>
      <c r="I387" s="30">
        <v>18275.14</v>
      </c>
      <c r="J387" s="28" t="s">
        <v>586</v>
      </c>
      <c r="K387" s="28" cm="1">
        <f t="array" ref="K387:L387">VLOOKUP(E387,[1]A023951!D$1:H$1114,{3,5},0)</f>
        <v>-212.5</v>
      </c>
      <c r="L387" s="28">
        <v>-18799.88</v>
      </c>
      <c r="M387" s="31">
        <f t="shared" si="10"/>
        <v>-524.7400000000016</v>
      </c>
    </row>
    <row r="388" spans="1:13" x14ac:dyDescent="0.35">
      <c r="A388" s="28" t="s">
        <v>511</v>
      </c>
      <c r="B388" s="32">
        <v>2025</v>
      </c>
      <c r="C388" s="28" t="s">
        <v>515</v>
      </c>
      <c r="D388" s="29">
        <v>45848</v>
      </c>
      <c r="E388" s="28">
        <v>256779415339</v>
      </c>
      <c r="F388" s="28" t="s">
        <v>11</v>
      </c>
      <c r="G388" s="30">
        <v>27.39</v>
      </c>
      <c r="H388" s="28" t="s">
        <v>59</v>
      </c>
      <c r="I388" s="30">
        <v>2355.56</v>
      </c>
      <c r="J388" s="28" t="s">
        <v>807</v>
      </c>
      <c r="K388" s="28" cm="1">
        <f t="array" ref="K388:L388">VLOOKUP(E388,[1]A023951!D$1:H$1114,{3,5},0)</f>
        <v>-27.39</v>
      </c>
      <c r="L388" s="28">
        <v>-2423.19</v>
      </c>
      <c r="M388" s="31">
        <f t="shared" si="10"/>
        <v>-67.630000000000109</v>
      </c>
    </row>
    <row r="389" spans="1:13" x14ac:dyDescent="0.35">
      <c r="A389" s="28" t="s">
        <v>511</v>
      </c>
      <c r="B389" s="32">
        <v>2025</v>
      </c>
      <c r="C389" s="28" t="s">
        <v>515</v>
      </c>
      <c r="D389" s="29">
        <v>45848</v>
      </c>
      <c r="E389" s="28">
        <v>256779415377</v>
      </c>
      <c r="F389" s="28" t="s">
        <v>11</v>
      </c>
      <c r="G389" s="30">
        <v>50</v>
      </c>
      <c r="H389" s="28" t="s">
        <v>59</v>
      </c>
      <c r="I389" s="30">
        <v>4300.03</v>
      </c>
      <c r="J389" s="28" t="s">
        <v>808</v>
      </c>
      <c r="K389" s="28" cm="1">
        <f t="array" ref="K389:L389">VLOOKUP(E389,[1]A023951!D$1:H$1114,{3,5},0)</f>
        <v>-50</v>
      </c>
      <c r="L389" s="28">
        <v>-4423.5</v>
      </c>
      <c r="M389" s="31">
        <f t="shared" si="10"/>
        <v>-123.47000000000025</v>
      </c>
    </row>
    <row r="390" spans="1:13" x14ac:dyDescent="0.35">
      <c r="A390" s="28" t="s">
        <v>511</v>
      </c>
      <c r="B390" s="32">
        <v>2025</v>
      </c>
      <c r="C390" s="28" t="s">
        <v>515</v>
      </c>
      <c r="D390" s="29">
        <v>45848</v>
      </c>
      <c r="E390" s="28">
        <v>256779415378</v>
      </c>
      <c r="F390" s="28" t="s">
        <v>11</v>
      </c>
      <c r="G390" s="30">
        <v>120</v>
      </c>
      <c r="H390" s="28" t="s">
        <v>59</v>
      </c>
      <c r="I390" s="30">
        <v>10320.08</v>
      </c>
      <c r="J390" s="28" t="s">
        <v>809</v>
      </c>
      <c r="K390" s="28" cm="1">
        <f t="array" ref="K390:L390">VLOOKUP(E390,[1]A023951!D$1:H$1114,{3,5},0)</f>
        <v>-120</v>
      </c>
      <c r="L390" s="28">
        <v>-10616.4</v>
      </c>
      <c r="M390" s="31">
        <f t="shared" si="10"/>
        <v>-296.31999999999971</v>
      </c>
    </row>
    <row r="391" spans="1:13" x14ac:dyDescent="0.35">
      <c r="A391" s="28" t="s">
        <v>511</v>
      </c>
      <c r="B391" s="32">
        <v>2025</v>
      </c>
      <c r="C391" s="28" t="s">
        <v>515</v>
      </c>
      <c r="D391" s="29">
        <v>45848</v>
      </c>
      <c r="E391" s="28">
        <v>256779415379</v>
      </c>
      <c r="F391" s="28" t="s">
        <v>11</v>
      </c>
      <c r="G391" s="30">
        <v>233.11</v>
      </c>
      <c r="H391" s="28" t="s">
        <v>59</v>
      </c>
      <c r="I391" s="30">
        <v>20047.62</v>
      </c>
      <c r="J391" s="28" t="s">
        <v>810</v>
      </c>
      <c r="K391" s="28" cm="1">
        <f t="array" ref="K391:L391">VLOOKUP(E391,[1]A023951!D$1:H$1114,{3,5},0)</f>
        <v>-233.11</v>
      </c>
      <c r="L391" s="28">
        <v>-20623.240000000002</v>
      </c>
      <c r="M391" s="31">
        <f t="shared" si="10"/>
        <v>-575.62000000000262</v>
      </c>
    </row>
    <row r="392" spans="1:13" x14ac:dyDescent="0.35">
      <c r="A392" s="28" t="s">
        <v>511</v>
      </c>
      <c r="B392" s="32">
        <v>2025</v>
      </c>
      <c r="C392" s="28" t="s">
        <v>515</v>
      </c>
      <c r="D392" s="29">
        <v>45848</v>
      </c>
      <c r="E392" s="28">
        <v>256779415380</v>
      </c>
      <c r="F392" s="28" t="s">
        <v>11</v>
      </c>
      <c r="G392" s="30">
        <v>200</v>
      </c>
      <c r="H392" s="28" t="s">
        <v>59</v>
      </c>
      <c r="I392" s="30">
        <v>17200.13</v>
      </c>
      <c r="J392" s="28" t="s">
        <v>811</v>
      </c>
      <c r="K392" s="28" cm="1">
        <f t="array" ref="K392:L392">VLOOKUP(E392,[1]A023951!D$1:H$1114,{3,5},0)</f>
        <v>-200</v>
      </c>
      <c r="L392" s="28">
        <v>-17694</v>
      </c>
      <c r="M392" s="31">
        <f t="shared" si="10"/>
        <v>-493.86999999999898</v>
      </c>
    </row>
    <row r="393" spans="1:13" x14ac:dyDescent="0.35">
      <c r="A393" s="28" t="s">
        <v>511</v>
      </c>
      <c r="B393" s="32">
        <v>2025</v>
      </c>
      <c r="C393" s="28" t="s">
        <v>515</v>
      </c>
      <c r="D393" s="29">
        <v>45848</v>
      </c>
      <c r="E393" s="28">
        <v>256779415381</v>
      </c>
      <c r="F393" s="28" t="s">
        <v>11</v>
      </c>
      <c r="G393" s="30">
        <v>60</v>
      </c>
      <c r="H393" s="28" t="s">
        <v>59</v>
      </c>
      <c r="I393" s="30">
        <v>5160.04</v>
      </c>
      <c r="J393" s="28" t="s">
        <v>812</v>
      </c>
      <c r="K393" s="28" cm="1">
        <f t="array" ref="K393:L393">VLOOKUP(E393,[1]A023951!D$1:H$1114,{3,5},0)</f>
        <v>-60</v>
      </c>
      <c r="L393" s="28">
        <v>-5308.2</v>
      </c>
      <c r="M393" s="31">
        <f t="shared" si="10"/>
        <v>-148.15999999999985</v>
      </c>
    </row>
    <row r="394" spans="1:13" x14ac:dyDescent="0.35">
      <c r="A394" s="28" t="s">
        <v>511</v>
      </c>
      <c r="B394" s="32">
        <v>2025</v>
      </c>
      <c r="C394" s="28" t="s">
        <v>515</v>
      </c>
      <c r="D394" s="29">
        <v>45848</v>
      </c>
      <c r="E394" s="28">
        <v>256779415382</v>
      </c>
      <c r="F394" s="28" t="s">
        <v>11</v>
      </c>
      <c r="G394" s="30">
        <v>117.64</v>
      </c>
      <c r="H394" s="28" t="s">
        <v>59</v>
      </c>
      <c r="I394" s="30">
        <v>10117.120000000001</v>
      </c>
      <c r="J394" s="28" t="s">
        <v>813</v>
      </c>
      <c r="K394" s="28" cm="1">
        <f t="array" ref="K394:L394">VLOOKUP(E394,[1]A023951!D$1:H$1114,{3,5},0)</f>
        <v>-117.64</v>
      </c>
      <c r="L394" s="28">
        <v>-10407.61</v>
      </c>
      <c r="M394" s="31">
        <f t="shared" si="10"/>
        <v>-290.48999999999978</v>
      </c>
    </row>
    <row r="395" spans="1:13" x14ac:dyDescent="0.35">
      <c r="A395" s="28" t="s">
        <v>511</v>
      </c>
      <c r="B395" s="32">
        <v>2025</v>
      </c>
      <c r="C395" s="28" t="s">
        <v>515</v>
      </c>
      <c r="D395" s="29">
        <v>45848</v>
      </c>
      <c r="E395" s="28">
        <v>256779415383</v>
      </c>
      <c r="F395" s="28" t="s">
        <v>11</v>
      </c>
      <c r="G395" s="30">
        <v>155.80000000000001</v>
      </c>
      <c r="H395" s="28" t="s">
        <v>59</v>
      </c>
      <c r="I395" s="30">
        <v>13398.9</v>
      </c>
      <c r="J395" s="28" t="s">
        <v>814</v>
      </c>
      <c r="K395" s="28" cm="1">
        <f t="array" ref="K395:L395">VLOOKUP(E395,[1]A023951!D$1:H$1114,{3,5},0)</f>
        <v>-155.80000000000001</v>
      </c>
      <c r="L395" s="28">
        <v>-13783.63</v>
      </c>
      <c r="M395" s="31">
        <f t="shared" si="10"/>
        <v>-384.72999999999956</v>
      </c>
    </row>
    <row r="396" spans="1:13" x14ac:dyDescent="0.35">
      <c r="A396" s="28" t="s">
        <v>511</v>
      </c>
      <c r="B396" s="32">
        <v>2025</v>
      </c>
      <c r="C396" s="28" t="s">
        <v>515</v>
      </c>
      <c r="D396" s="29">
        <v>45848</v>
      </c>
      <c r="E396" s="28">
        <v>256779415384</v>
      </c>
      <c r="F396" s="28" t="s">
        <v>11</v>
      </c>
      <c r="G396" s="30">
        <v>350</v>
      </c>
      <c r="H396" s="28" t="s">
        <v>59</v>
      </c>
      <c r="I396" s="30">
        <v>30100.23</v>
      </c>
      <c r="J396" s="28" t="s">
        <v>815</v>
      </c>
      <c r="K396" s="28" cm="1">
        <f t="array" ref="K396:L396">VLOOKUP(E396,[1]A023951!D$1:H$1114,{3,5},0)</f>
        <v>-350</v>
      </c>
      <c r="L396" s="28">
        <v>-30964.5</v>
      </c>
      <c r="M396" s="31">
        <f t="shared" si="10"/>
        <v>-864.27000000000044</v>
      </c>
    </row>
    <row r="397" spans="1:13" x14ac:dyDescent="0.35">
      <c r="A397" s="28" t="s">
        <v>511</v>
      </c>
      <c r="B397" s="32">
        <v>2025</v>
      </c>
      <c r="C397" s="28" t="s">
        <v>515</v>
      </c>
      <c r="D397" s="29">
        <v>45848</v>
      </c>
      <c r="E397" s="28">
        <v>256779415385</v>
      </c>
      <c r="F397" s="28" t="s">
        <v>11</v>
      </c>
      <c r="G397" s="30">
        <v>24</v>
      </c>
      <c r="H397" s="28" t="s">
        <v>59</v>
      </c>
      <c r="I397" s="30">
        <v>2064.02</v>
      </c>
      <c r="J397" s="28" t="s">
        <v>816</v>
      </c>
      <c r="K397" s="28" cm="1">
        <f t="array" ref="K397:L397">VLOOKUP(E397,[1]A023951!D$1:H$1114,{3,5},0)</f>
        <v>-24</v>
      </c>
      <c r="L397" s="28">
        <v>-2123.2800000000002</v>
      </c>
      <c r="M397" s="31">
        <f t="shared" si="10"/>
        <v>-59.260000000000218</v>
      </c>
    </row>
    <row r="398" spans="1:13" x14ac:dyDescent="0.35">
      <c r="A398" s="28" t="s">
        <v>511</v>
      </c>
      <c r="B398" s="32">
        <v>2025</v>
      </c>
      <c r="C398" s="28" t="s">
        <v>515</v>
      </c>
      <c r="D398" s="29">
        <v>45848</v>
      </c>
      <c r="E398" s="28">
        <v>256779415386</v>
      </c>
      <c r="F398" s="28" t="s">
        <v>11</v>
      </c>
      <c r="G398" s="30">
        <v>7.5</v>
      </c>
      <c r="H398" s="28" t="s">
        <v>59</v>
      </c>
      <c r="I398" s="30">
        <v>645.01</v>
      </c>
      <c r="J398" s="28" t="s">
        <v>817</v>
      </c>
      <c r="K398" s="28" cm="1">
        <f t="array" ref="K398:L398">VLOOKUP(E398,[1]A023951!D$1:H$1114,{3,5},0)</f>
        <v>-7.5</v>
      </c>
      <c r="L398" s="28">
        <v>-663.53</v>
      </c>
      <c r="M398" s="31">
        <f t="shared" si="10"/>
        <v>-18.519999999999982</v>
      </c>
    </row>
    <row r="399" spans="1:13" x14ac:dyDescent="0.35">
      <c r="A399" s="28" t="s">
        <v>511</v>
      </c>
      <c r="B399" s="32">
        <v>2025</v>
      </c>
      <c r="C399" s="28" t="s">
        <v>515</v>
      </c>
      <c r="D399" s="29">
        <v>45848</v>
      </c>
      <c r="E399" s="28">
        <v>256779415387</v>
      </c>
      <c r="F399" s="28" t="s">
        <v>11</v>
      </c>
      <c r="G399" s="30">
        <v>70.900000000000006</v>
      </c>
      <c r="H399" s="28" t="s">
        <v>59</v>
      </c>
      <c r="I399" s="30">
        <v>6097.45</v>
      </c>
      <c r="J399" s="28" t="s">
        <v>818</v>
      </c>
      <c r="K399" s="28" cm="1">
        <f t="array" ref="K399:L399">VLOOKUP(E399,[1]A023951!D$1:H$1114,{3,5},0)</f>
        <v>-70.900000000000006</v>
      </c>
      <c r="L399" s="28">
        <v>-6096.66</v>
      </c>
      <c r="M399" s="31">
        <f t="shared" si="10"/>
        <v>0.78999999999996362</v>
      </c>
    </row>
    <row r="400" spans="1:13" x14ac:dyDescent="0.35">
      <c r="A400" s="28" t="s">
        <v>511</v>
      </c>
      <c r="B400" s="32">
        <v>2025</v>
      </c>
      <c r="C400" s="28" t="s">
        <v>515</v>
      </c>
      <c r="D400" s="29">
        <v>45848</v>
      </c>
      <c r="E400" s="28">
        <v>256779415388</v>
      </c>
      <c r="F400" s="28" t="s">
        <v>11</v>
      </c>
      <c r="G400" s="30">
        <v>2261.63</v>
      </c>
      <c r="H400" s="28" t="s">
        <v>59</v>
      </c>
      <c r="I400" s="30">
        <v>194501.7</v>
      </c>
      <c r="J400" s="28" t="s">
        <v>549</v>
      </c>
      <c r="K400" s="28" cm="1">
        <f t="array" ref="K400:L400">VLOOKUP(E400,[1]A023951!D$1:H$1114,{3,5},0)</f>
        <v>-2261.63</v>
      </c>
      <c r="L400" s="28">
        <v>-200086.41</v>
      </c>
      <c r="M400" s="31">
        <f t="shared" si="10"/>
        <v>-5584.7099999999919</v>
      </c>
    </row>
    <row r="401" spans="1:13" x14ac:dyDescent="0.35">
      <c r="A401" s="28" t="s">
        <v>511</v>
      </c>
      <c r="B401" s="32">
        <v>2025</v>
      </c>
      <c r="C401" s="28" t="s">
        <v>515</v>
      </c>
      <c r="D401" s="29">
        <v>45848</v>
      </c>
      <c r="E401" s="28">
        <v>256779415389</v>
      </c>
      <c r="F401" s="28" t="s">
        <v>11</v>
      </c>
      <c r="G401" s="30">
        <v>170.62</v>
      </c>
      <c r="H401" s="28" t="s">
        <v>59</v>
      </c>
      <c r="I401" s="30">
        <v>14673.43</v>
      </c>
      <c r="J401" s="28" t="s">
        <v>819</v>
      </c>
      <c r="K401" s="28" cm="1">
        <f t="array" ref="K401:L401">VLOOKUP(E401,[1]A023951!D$1:H$1114,{3,5},0)</f>
        <v>-170.62</v>
      </c>
      <c r="L401" s="28">
        <v>-15094.75</v>
      </c>
      <c r="M401" s="31">
        <f t="shared" si="10"/>
        <v>-421.31999999999971</v>
      </c>
    </row>
    <row r="402" spans="1:13" x14ac:dyDescent="0.35">
      <c r="A402" s="28" t="s">
        <v>511</v>
      </c>
      <c r="B402" s="32">
        <v>2025</v>
      </c>
      <c r="C402" s="28" t="s">
        <v>515</v>
      </c>
      <c r="D402" s="29">
        <v>45848</v>
      </c>
      <c r="E402" s="28">
        <v>256779415390</v>
      </c>
      <c r="F402" s="28" t="s">
        <v>11</v>
      </c>
      <c r="G402" s="30">
        <v>110.96</v>
      </c>
      <c r="H402" s="28" t="s">
        <v>59</v>
      </c>
      <c r="I402" s="30">
        <v>9542.6299999999992</v>
      </c>
      <c r="J402" s="28" t="s">
        <v>551</v>
      </c>
      <c r="K402" s="28" cm="1">
        <f t="array" ref="K402:L402">VLOOKUP(E402,[1]A023951!D$1:H$1114,{3,5},0)</f>
        <v>-110.96</v>
      </c>
      <c r="L402" s="28">
        <v>-9816.6299999999992</v>
      </c>
      <c r="M402" s="31">
        <f t="shared" si="10"/>
        <v>-274</v>
      </c>
    </row>
    <row r="403" spans="1:13" x14ac:dyDescent="0.35">
      <c r="A403" s="28" t="s">
        <v>511</v>
      </c>
      <c r="B403" s="32">
        <v>2025</v>
      </c>
      <c r="C403" s="28" t="s">
        <v>515</v>
      </c>
      <c r="D403" s="29">
        <v>45848</v>
      </c>
      <c r="E403" s="28">
        <v>256779415391</v>
      </c>
      <c r="F403" s="28" t="s">
        <v>11</v>
      </c>
      <c r="G403" s="30">
        <v>820.07</v>
      </c>
      <c r="H403" s="28" t="s">
        <v>59</v>
      </c>
      <c r="I403" s="30">
        <v>70526.570000000007</v>
      </c>
      <c r="J403" s="28" t="s">
        <v>552</v>
      </c>
      <c r="K403" s="28" cm="1">
        <f t="array" ref="K403:L403">VLOOKUP(E403,[1]A023951!D$1:H$1114,{3,5},0)</f>
        <v>-820.07</v>
      </c>
      <c r="L403" s="28">
        <v>-72551.59</v>
      </c>
      <c r="M403" s="31">
        <f t="shared" si="10"/>
        <v>-2025.0199999999895</v>
      </c>
    </row>
    <row r="404" spans="1:13" x14ac:dyDescent="0.35">
      <c r="A404" s="28" t="s">
        <v>511</v>
      </c>
      <c r="B404" s="32">
        <v>2025</v>
      </c>
      <c r="C404" s="28" t="s">
        <v>515</v>
      </c>
      <c r="D404" s="29">
        <v>45848</v>
      </c>
      <c r="E404" s="28">
        <v>256779415392</v>
      </c>
      <c r="F404" s="28" t="s">
        <v>11</v>
      </c>
      <c r="G404" s="30">
        <v>200</v>
      </c>
      <c r="H404" s="28" t="s">
        <v>59</v>
      </c>
      <c r="I404" s="30">
        <v>17200.13</v>
      </c>
      <c r="J404" s="28" t="s">
        <v>553</v>
      </c>
      <c r="K404" s="28" cm="1">
        <f t="array" ref="K404:L404">VLOOKUP(E404,[1]A023951!D$1:H$1114,{3,5},0)</f>
        <v>-200</v>
      </c>
      <c r="L404" s="28">
        <v>-17694</v>
      </c>
      <c r="M404" s="31">
        <f t="shared" si="10"/>
        <v>-493.86999999999898</v>
      </c>
    </row>
    <row r="405" spans="1:13" x14ac:dyDescent="0.35">
      <c r="A405" s="28" t="s">
        <v>511</v>
      </c>
      <c r="B405" s="32">
        <v>2025</v>
      </c>
      <c r="C405" s="28" t="s">
        <v>515</v>
      </c>
      <c r="D405" s="29">
        <v>45848</v>
      </c>
      <c r="E405" s="28">
        <v>256779415393</v>
      </c>
      <c r="F405" s="28" t="s">
        <v>11</v>
      </c>
      <c r="G405" s="30">
        <v>60</v>
      </c>
      <c r="H405" s="28" t="s">
        <v>59</v>
      </c>
      <c r="I405" s="30">
        <v>5160.04</v>
      </c>
      <c r="J405" s="28" t="s">
        <v>820</v>
      </c>
      <c r="K405" s="28" cm="1">
        <f t="array" ref="K405:L405">VLOOKUP(E405,[1]A023951!D$1:H$1114,{3,5},0)</f>
        <v>-60</v>
      </c>
      <c r="L405" s="28">
        <v>-5308.2</v>
      </c>
      <c r="M405" s="31">
        <f t="shared" si="10"/>
        <v>-148.15999999999985</v>
      </c>
    </row>
    <row r="406" spans="1:13" x14ac:dyDescent="0.35">
      <c r="A406" s="28" t="s">
        <v>511</v>
      </c>
      <c r="B406" s="32">
        <v>2025</v>
      </c>
      <c r="C406" s="28" t="s">
        <v>515</v>
      </c>
      <c r="D406" s="29">
        <v>45848</v>
      </c>
      <c r="E406" s="28">
        <v>256779415394</v>
      </c>
      <c r="F406" s="28" t="s">
        <v>11</v>
      </c>
      <c r="G406" s="30">
        <v>96</v>
      </c>
      <c r="H406" s="28" t="s">
        <v>59</v>
      </c>
      <c r="I406" s="30">
        <v>8256.06</v>
      </c>
      <c r="J406" s="28" t="s">
        <v>821</v>
      </c>
      <c r="K406" s="28" cm="1">
        <f t="array" ref="K406:L406">VLOOKUP(E406,[1]A023951!D$1:H$1114,{3,5},0)</f>
        <v>-96</v>
      </c>
      <c r="L406" s="28">
        <v>-8493.1200000000008</v>
      </c>
      <c r="M406" s="31">
        <f t="shared" si="10"/>
        <v>-237.06000000000131</v>
      </c>
    </row>
    <row r="407" spans="1:13" x14ac:dyDescent="0.35">
      <c r="A407" s="28" t="s">
        <v>511</v>
      </c>
      <c r="B407" s="32">
        <v>2025</v>
      </c>
      <c r="C407" s="28" t="s">
        <v>515</v>
      </c>
      <c r="D407" s="29">
        <v>45848</v>
      </c>
      <c r="E407" s="28">
        <v>256779415395</v>
      </c>
      <c r="F407" s="28" t="s">
        <v>11</v>
      </c>
      <c r="G407" s="30">
        <v>205.72</v>
      </c>
      <c r="H407" s="28" t="s">
        <v>59</v>
      </c>
      <c r="I407" s="30">
        <v>17692.060000000001</v>
      </c>
      <c r="J407" s="28" t="s">
        <v>822</v>
      </c>
      <c r="K407" s="28" cm="1">
        <f t="array" ref="K407:L407">VLOOKUP(E407,[1]A023951!D$1:H$1114,{3,5},0)</f>
        <v>-205.72</v>
      </c>
      <c r="L407" s="28">
        <v>-18200.05</v>
      </c>
      <c r="M407" s="31">
        <f t="shared" si="10"/>
        <v>-507.98999999999796</v>
      </c>
    </row>
    <row r="408" spans="1:13" x14ac:dyDescent="0.35">
      <c r="A408" s="28" t="s">
        <v>511</v>
      </c>
      <c r="B408" s="32">
        <v>2025</v>
      </c>
      <c r="C408" s="28" t="s">
        <v>512</v>
      </c>
      <c r="D408" s="29">
        <v>45848</v>
      </c>
      <c r="E408" s="28">
        <v>256779421310</v>
      </c>
      <c r="F408" s="28" t="s">
        <v>11</v>
      </c>
      <c r="G408" s="30">
        <v>-59</v>
      </c>
      <c r="H408" s="28" t="s">
        <v>59</v>
      </c>
      <c r="I408" s="30">
        <v>-5074.04</v>
      </c>
      <c r="J408" s="28" t="s">
        <v>823</v>
      </c>
      <c r="K408" s="28" t="e" cm="1">
        <f t="array" ref="K408">VLOOKUP(E408,[1]A023951!D$1:H$1114,{3,5},0)</f>
        <v>#N/A</v>
      </c>
      <c r="L408" s="28"/>
      <c r="M408" s="28"/>
    </row>
    <row r="409" spans="1:13" x14ac:dyDescent="0.35">
      <c r="A409" s="28" t="s">
        <v>511</v>
      </c>
      <c r="B409" s="32">
        <v>2025</v>
      </c>
      <c r="C409" s="28" t="s">
        <v>512</v>
      </c>
      <c r="D409" s="29">
        <v>45848</v>
      </c>
      <c r="E409" s="28">
        <v>256779421311</v>
      </c>
      <c r="F409" s="28" t="s">
        <v>11</v>
      </c>
      <c r="G409" s="30">
        <v>-141.6</v>
      </c>
      <c r="H409" s="28" t="s">
        <v>59</v>
      </c>
      <c r="I409" s="30">
        <v>-12177.69</v>
      </c>
      <c r="J409" s="28" t="s">
        <v>824</v>
      </c>
      <c r="K409" s="28" t="e" cm="1">
        <f t="array" ref="K409">VLOOKUP(E409,[1]A023951!D$1:H$1114,{3,5},0)</f>
        <v>#N/A</v>
      </c>
      <c r="L409" s="28"/>
      <c r="M409" s="28"/>
    </row>
    <row r="410" spans="1:13" x14ac:dyDescent="0.35">
      <c r="A410" s="28" t="s">
        <v>511</v>
      </c>
      <c r="B410" s="32">
        <v>2025</v>
      </c>
      <c r="C410" s="28" t="s">
        <v>512</v>
      </c>
      <c r="D410" s="29">
        <v>45848</v>
      </c>
      <c r="E410" s="28">
        <v>256779421312</v>
      </c>
      <c r="F410" s="28" t="s">
        <v>11</v>
      </c>
      <c r="G410" s="30">
        <v>-275.07</v>
      </c>
      <c r="H410" s="28" t="s">
        <v>59</v>
      </c>
      <c r="I410" s="30">
        <v>-23656.2</v>
      </c>
      <c r="J410" s="28" t="s">
        <v>824</v>
      </c>
      <c r="K410" s="28" t="e" cm="1">
        <f t="array" ref="K410">VLOOKUP(E410,[1]A023951!D$1:H$1114,{3,5},0)</f>
        <v>#N/A</v>
      </c>
      <c r="L410" s="28"/>
      <c r="M410" s="28"/>
    </row>
    <row r="411" spans="1:13" x14ac:dyDescent="0.35">
      <c r="A411" s="28" t="s">
        <v>511</v>
      </c>
      <c r="B411" s="32">
        <v>2025</v>
      </c>
      <c r="C411" s="28" t="s">
        <v>512</v>
      </c>
      <c r="D411" s="29">
        <v>45848</v>
      </c>
      <c r="E411" s="28">
        <v>256779421313</v>
      </c>
      <c r="F411" s="28" t="s">
        <v>11</v>
      </c>
      <c r="G411" s="30">
        <v>-236</v>
      </c>
      <c r="H411" s="28" t="s">
        <v>59</v>
      </c>
      <c r="I411" s="30">
        <v>-20296.16</v>
      </c>
      <c r="J411" s="28" t="s">
        <v>824</v>
      </c>
      <c r="K411" s="28" t="e" cm="1">
        <f t="array" ref="K411">VLOOKUP(E411,[1]A023951!D$1:H$1114,{3,5},0)</f>
        <v>#N/A</v>
      </c>
      <c r="L411" s="28"/>
      <c r="M411" s="28"/>
    </row>
    <row r="412" spans="1:13" x14ac:dyDescent="0.35">
      <c r="A412" s="28" t="s">
        <v>511</v>
      </c>
      <c r="B412" s="32">
        <v>2025</v>
      </c>
      <c r="C412" s="28" t="s">
        <v>512</v>
      </c>
      <c r="D412" s="29">
        <v>45848</v>
      </c>
      <c r="E412" s="28">
        <v>256779421314</v>
      </c>
      <c r="F412" s="28" t="s">
        <v>11</v>
      </c>
      <c r="G412" s="30">
        <v>-70.8</v>
      </c>
      <c r="H412" s="28" t="s">
        <v>59</v>
      </c>
      <c r="I412" s="30">
        <v>-6088.85</v>
      </c>
      <c r="J412" s="28" t="s">
        <v>824</v>
      </c>
      <c r="K412" s="28" t="e" cm="1">
        <f t="array" ref="K412">VLOOKUP(E412,[1]A023951!D$1:H$1114,{3,5},0)</f>
        <v>#N/A</v>
      </c>
      <c r="L412" s="28"/>
      <c r="M412" s="28"/>
    </row>
    <row r="413" spans="1:13" x14ac:dyDescent="0.35">
      <c r="A413" s="28" t="s">
        <v>511</v>
      </c>
      <c r="B413" s="32">
        <v>2025</v>
      </c>
      <c r="C413" s="28" t="s">
        <v>512</v>
      </c>
      <c r="D413" s="29">
        <v>45848</v>
      </c>
      <c r="E413" s="28">
        <v>256779421315</v>
      </c>
      <c r="F413" s="28" t="s">
        <v>11</v>
      </c>
      <c r="G413" s="30">
        <v>-138.82</v>
      </c>
      <c r="H413" s="28" t="s">
        <v>59</v>
      </c>
      <c r="I413" s="30">
        <v>-11938.61</v>
      </c>
      <c r="J413" s="28" t="s">
        <v>825</v>
      </c>
      <c r="K413" s="28" t="e" cm="1">
        <f t="array" ref="K413">VLOOKUP(E413,[1]A023951!D$1:H$1114,{3,5},0)</f>
        <v>#N/A</v>
      </c>
      <c r="L413" s="28"/>
      <c r="M413" s="28"/>
    </row>
    <row r="414" spans="1:13" x14ac:dyDescent="0.35">
      <c r="A414" s="28" t="s">
        <v>511</v>
      </c>
      <c r="B414" s="32">
        <v>2025</v>
      </c>
      <c r="C414" s="28" t="s">
        <v>512</v>
      </c>
      <c r="D414" s="29">
        <v>45848</v>
      </c>
      <c r="E414" s="28">
        <v>256779421316</v>
      </c>
      <c r="F414" s="28" t="s">
        <v>11</v>
      </c>
      <c r="G414" s="30">
        <v>-183.84</v>
      </c>
      <c r="H414" s="28" t="s">
        <v>59</v>
      </c>
      <c r="I414" s="30">
        <v>-15810.36</v>
      </c>
      <c r="J414" s="28" t="s">
        <v>826</v>
      </c>
      <c r="K414" s="28" t="e" cm="1">
        <f t="array" ref="K414">VLOOKUP(E414,[1]A023951!D$1:H$1114,{3,5},0)</f>
        <v>#N/A</v>
      </c>
      <c r="L414" s="28"/>
      <c r="M414" s="28"/>
    </row>
    <row r="415" spans="1:13" x14ac:dyDescent="0.35">
      <c r="A415" s="28" t="s">
        <v>511</v>
      </c>
      <c r="B415" s="32">
        <v>2025</v>
      </c>
      <c r="C415" s="28" t="s">
        <v>512</v>
      </c>
      <c r="D415" s="29">
        <v>45848</v>
      </c>
      <c r="E415" s="28">
        <v>256779421317</v>
      </c>
      <c r="F415" s="28" t="s">
        <v>11</v>
      </c>
      <c r="G415" s="30">
        <v>-413</v>
      </c>
      <c r="H415" s="28" t="s">
        <v>59</v>
      </c>
      <c r="I415" s="30">
        <v>-35518.28</v>
      </c>
      <c r="J415" s="28" t="s">
        <v>827</v>
      </c>
      <c r="K415" s="28" t="e" cm="1">
        <f t="array" ref="K415">VLOOKUP(E415,[1]A023951!D$1:H$1114,{3,5},0)</f>
        <v>#N/A</v>
      </c>
      <c r="L415" s="28"/>
      <c r="M415" s="28"/>
    </row>
    <row r="416" spans="1:13" x14ac:dyDescent="0.35">
      <c r="A416" s="28" t="s">
        <v>511</v>
      </c>
      <c r="B416" s="32">
        <v>2025</v>
      </c>
      <c r="C416" s="28" t="s">
        <v>512</v>
      </c>
      <c r="D416" s="29">
        <v>45848</v>
      </c>
      <c r="E416" s="28">
        <v>256779421318</v>
      </c>
      <c r="F416" s="28" t="s">
        <v>11</v>
      </c>
      <c r="G416" s="30">
        <v>-28.32</v>
      </c>
      <c r="H416" s="28" t="s">
        <v>59</v>
      </c>
      <c r="I416" s="30">
        <v>-2435.54</v>
      </c>
      <c r="J416" s="28" t="s">
        <v>828</v>
      </c>
      <c r="K416" s="28" t="e" cm="1">
        <f t="array" ref="K416">VLOOKUP(E416,[1]A023951!D$1:H$1114,{3,5},0)</f>
        <v>#N/A</v>
      </c>
      <c r="L416" s="28"/>
      <c r="M416" s="28"/>
    </row>
    <row r="417" spans="1:13" x14ac:dyDescent="0.35">
      <c r="A417" s="28" t="s">
        <v>511</v>
      </c>
      <c r="B417" s="32">
        <v>2025</v>
      </c>
      <c r="C417" s="28" t="s">
        <v>512</v>
      </c>
      <c r="D417" s="29">
        <v>45848</v>
      </c>
      <c r="E417" s="28">
        <v>256779421319</v>
      </c>
      <c r="F417" s="28" t="s">
        <v>11</v>
      </c>
      <c r="G417" s="30">
        <v>-8.85</v>
      </c>
      <c r="H417" s="28" t="s">
        <v>59</v>
      </c>
      <c r="I417" s="30">
        <v>-761.11</v>
      </c>
      <c r="J417" s="28" t="s">
        <v>828</v>
      </c>
      <c r="K417" s="28" t="e" cm="1">
        <f t="array" ref="K417">VLOOKUP(E417,[1]A023951!D$1:H$1114,{3,5},0)</f>
        <v>#N/A</v>
      </c>
      <c r="L417" s="28"/>
      <c r="M417" s="28"/>
    </row>
    <row r="418" spans="1:13" x14ac:dyDescent="0.35">
      <c r="A418" s="28" t="s">
        <v>511</v>
      </c>
      <c r="B418" s="32">
        <v>2025</v>
      </c>
      <c r="C418" s="28" t="s">
        <v>512</v>
      </c>
      <c r="D418" s="29">
        <v>45848</v>
      </c>
      <c r="E418" s="28">
        <v>256779421320</v>
      </c>
      <c r="F418" s="28" t="s">
        <v>11</v>
      </c>
      <c r="G418" s="30">
        <v>-83.66</v>
      </c>
      <c r="H418" s="28" t="s">
        <v>59</v>
      </c>
      <c r="I418" s="30">
        <v>-7194.82</v>
      </c>
      <c r="J418" s="28" t="s">
        <v>829</v>
      </c>
      <c r="K418" s="28" t="e" cm="1">
        <f t="array" ref="K418">VLOOKUP(E418,[1]A023951!D$1:H$1114,{3,5},0)</f>
        <v>#N/A</v>
      </c>
      <c r="L418" s="28"/>
      <c r="M418" s="28"/>
    </row>
    <row r="419" spans="1:13" x14ac:dyDescent="0.35">
      <c r="A419" s="28" t="s">
        <v>511</v>
      </c>
      <c r="B419" s="32">
        <v>2025</v>
      </c>
      <c r="C419" s="28" t="s">
        <v>512</v>
      </c>
      <c r="D419" s="29">
        <v>45848</v>
      </c>
      <c r="E419" s="28">
        <v>256779421321</v>
      </c>
      <c r="F419" s="28" t="s">
        <v>11</v>
      </c>
      <c r="G419" s="30">
        <v>-2668.72</v>
      </c>
      <c r="H419" s="28" t="s">
        <v>59</v>
      </c>
      <c r="I419" s="30">
        <v>-229511.71</v>
      </c>
      <c r="J419" s="28" t="s">
        <v>830</v>
      </c>
      <c r="K419" s="28" t="e" cm="1">
        <f t="array" ref="K419">VLOOKUP(E419,[1]A023951!D$1:H$1114,{3,5},0)</f>
        <v>#N/A</v>
      </c>
      <c r="L419" s="28"/>
      <c r="M419" s="28"/>
    </row>
    <row r="420" spans="1:13" x14ac:dyDescent="0.35">
      <c r="A420" s="28" t="s">
        <v>511</v>
      </c>
      <c r="B420" s="32">
        <v>2025</v>
      </c>
      <c r="C420" s="28" t="s">
        <v>512</v>
      </c>
      <c r="D420" s="29">
        <v>45848</v>
      </c>
      <c r="E420" s="28">
        <v>256779421322</v>
      </c>
      <c r="F420" s="28" t="s">
        <v>11</v>
      </c>
      <c r="G420" s="30">
        <v>-201.33</v>
      </c>
      <c r="H420" s="28" t="s">
        <v>59</v>
      </c>
      <c r="I420" s="30">
        <v>-17314.509999999998</v>
      </c>
      <c r="J420" s="28" t="s">
        <v>831</v>
      </c>
      <c r="K420" s="28" t="e" cm="1">
        <f t="array" ref="K420">VLOOKUP(E420,[1]A023951!D$1:H$1114,{3,5},0)</f>
        <v>#N/A</v>
      </c>
      <c r="L420" s="28"/>
      <c r="M420" s="28"/>
    </row>
    <row r="421" spans="1:13" x14ac:dyDescent="0.35">
      <c r="A421" s="28" t="s">
        <v>511</v>
      </c>
      <c r="B421" s="32">
        <v>2025</v>
      </c>
      <c r="C421" s="28" t="s">
        <v>512</v>
      </c>
      <c r="D421" s="29">
        <v>45848</v>
      </c>
      <c r="E421" s="28">
        <v>256779421323</v>
      </c>
      <c r="F421" s="28" t="s">
        <v>11</v>
      </c>
      <c r="G421" s="30">
        <v>-130.93</v>
      </c>
      <c r="H421" s="28" t="s">
        <v>59</v>
      </c>
      <c r="I421" s="30">
        <v>-11260.07</v>
      </c>
      <c r="J421" s="28" t="s">
        <v>832</v>
      </c>
      <c r="K421" s="28" t="e" cm="1">
        <f t="array" ref="K421">VLOOKUP(E421,[1]A023951!D$1:H$1114,{3,5},0)</f>
        <v>#N/A</v>
      </c>
      <c r="L421" s="28"/>
      <c r="M421" s="28"/>
    </row>
    <row r="422" spans="1:13" x14ac:dyDescent="0.35">
      <c r="A422" s="28" t="s">
        <v>511</v>
      </c>
      <c r="B422" s="32">
        <v>2025</v>
      </c>
      <c r="C422" s="28" t="s">
        <v>512</v>
      </c>
      <c r="D422" s="29">
        <v>45848</v>
      </c>
      <c r="E422" s="28">
        <v>256779421324</v>
      </c>
      <c r="F422" s="28" t="s">
        <v>11</v>
      </c>
      <c r="G422" s="30">
        <v>-967.68</v>
      </c>
      <c r="H422" s="28" t="s">
        <v>59</v>
      </c>
      <c r="I422" s="30">
        <v>-83221.13</v>
      </c>
      <c r="J422" s="28" t="s">
        <v>833</v>
      </c>
      <c r="K422" s="28" t="e" cm="1">
        <f t="array" ref="K422">VLOOKUP(E422,[1]A023951!D$1:H$1114,{3,5},0)</f>
        <v>#N/A</v>
      </c>
      <c r="L422" s="28"/>
      <c r="M422" s="28"/>
    </row>
    <row r="423" spans="1:13" x14ac:dyDescent="0.35">
      <c r="A423" s="28" t="s">
        <v>511</v>
      </c>
      <c r="B423" s="32">
        <v>2025</v>
      </c>
      <c r="C423" s="28" t="s">
        <v>512</v>
      </c>
      <c r="D423" s="29">
        <v>45848</v>
      </c>
      <c r="E423" s="28">
        <v>256779421325</v>
      </c>
      <c r="F423" s="28" t="s">
        <v>11</v>
      </c>
      <c r="G423" s="30">
        <v>-236</v>
      </c>
      <c r="H423" s="28" t="s">
        <v>59</v>
      </c>
      <c r="I423" s="30">
        <v>-20296.16</v>
      </c>
      <c r="J423" s="28" t="s">
        <v>514</v>
      </c>
      <c r="K423" s="28" t="e" cm="1">
        <f t="array" ref="K423">VLOOKUP(E423,[1]A023951!D$1:H$1114,{3,5},0)</f>
        <v>#N/A</v>
      </c>
      <c r="L423" s="28"/>
      <c r="M423" s="28"/>
    </row>
    <row r="424" spans="1:13" x14ac:dyDescent="0.35">
      <c r="A424" s="28" t="s">
        <v>511</v>
      </c>
      <c r="B424" s="32">
        <v>2025</v>
      </c>
      <c r="C424" s="28" t="s">
        <v>515</v>
      </c>
      <c r="D424" s="29">
        <v>45733</v>
      </c>
      <c r="E424" s="28">
        <v>246779411739</v>
      </c>
      <c r="F424" s="28" t="s">
        <v>11</v>
      </c>
      <c r="G424" s="30">
        <v>34.25</v>
      </c>
      <c r="H424" s="28" t="s">
        <v>59</v>
      </c>
      <c r="I424" s="30">
        <v>2969.18</v>
      </c>
      <c r="J424" s="28" t="s">
        <v>834</v>
      </c>
      <c r="K424" s="28" cm="1">
        <f t="array" ref="K424:L424">VLOOKUP(E424,[1]A023951!D$1:H$1114,{3,5},0)</f>
        <v>-34.25</v>
      </c>
      <c r="L424" s="28">
        <v>-2981.2</v>
      </c>
      <c r="M424" s="31">
        <f t="shared" ref="M424:M434" si="11">I424+L424</f>
        <v>-12.019999999999982</v>
      </c>
    </row>
    <row r="425" spans="1:13" x14ac:dyDescent="0.35">
      <c r="A425" s="28" t="s">
        <v>511</v>
      </c>
      <c r="B425" s="32">
        <v>2025</v>
      </c>
      <c r="C425" s="28" t="s">
        <v>515</v>
      </c>
      <c r="D425" s="29">
        <v>45733</v>
      </c>
      <c r="E425" s="28">
        <v>246779411740</v>
      </c>
      <c r="F425" s="28" t="s">
        <v>11</v>
      </c>
      <c r="G425" s="30">
        <v>22.83</v>
      </c>
      <c r="H425" s="28" t="s">
        <v>59</v>
      </c>
      <c r="I425" s="30">
        <v>1979.16</v>
      </c>
      <c r="J425" s="28" t="s">
        <v>834</v>
      </c>
      <c r="K425" s="28" cm="1">
        <f t="array" ref="K425:L425">VLOOKUP(E425,[1]A023951!D$1:H$1114,{3,5},0)</f>
        <v>-22.83</v>
      </c>
      <c r="L425" s="28">
        <v>-1987.18</v>
      </c>
      <c r="M425" s="31">
        <f t="shared" si="11"/>
        <v>-8.0199999999999818</v>
      </c>
    </row>
    <row r="426" spans="1:13" x14ac:dyDescent="0.35">
      <c r="A426" s="28" t="s">
        <v>511</v>
      </c>
      <c r="B426" s="32">
        <v>2025</v>
      </c>
      <c r="C426" s="28" t="s">
        <v>515</v>
      </c>
      <c r="D426" s="29">
        <v>45733</v>
      </c>
      <c r="E426" s="28">
        <v>246779411741</v>
      </c>
      <c r="F426" s="28" t="s">
        <v>11</v>
      </c>
      <c r="G426" s="30">
        <v>240</v>
      </c>
      <c r="H426" s="28" t="s">
        <v>59</v>
      </c>
      <c r="I426" s="30">
        <v>20805.900000000001</v>
      </c>
      <c r="J426" s="28" t="s">
        <v>834</v>
      </c>
      <c r="K426" s="28" cm="1">
        <f t="array" ref="K426:L426">VLOOKUP(E426,[1]A023951!D$1:H$1114,{3,5},0)</f>
        <v>-240</v>
      </c>
      <c r="L426" s="28">
        <v>-20890.18</v>
      </c>
      <c r="M426" s="31">
        <f t="shared" si="11"/>
        <v>-84.279999999998836</v>
      </c>
    </row>
    <row r="427" spans="1:13" x14ac:dyDescent="0.35">
      <c r="A427" s="28" t="s">
        <v>511</v>
      </c>
      <c r="B427" s="32">
        <v>2025</v>
      </c>
      <c r="C427" s="28" t="s">
        <v>515</v>
      </c>
      <c r="D427" s="29">
        <v>45733</v>
      </c>
      <c r="E427" s="28">
        <v>246779411742</v>
      </c>
      <c r="F427" s="28" t="s">
        <v>11</v>
      </c>
      <c r="G427" s="30">
        <v>23.27</v>
      </c>
      <c r="H427" s="28" t="s">
        <v>59</v>
      </c>
      <c r="I427" s="30">
        <v>2017.31</v>
      </c>
      <c r="J427" s="28" t="s">
        <v>834</v>
      </c>
      <c r="K427" s="28" cm="1">
        <f t="array" ref="K427:L427">VLOOKUP(E427,[1]A023951!D$1:H$1114,{3,5},0)</f>
        <v>-23.27</v>
      </c>
      <c r="L427" s="28">
        <v>-2025.48</v>
      </c>
      <c r="M427" s="31">
        <f t="shared" si="11"/>
        <v>-8.1700000000000728</v>
      </c>
    </row>
    <row r="428" spans="1:13" x14ac:dyDescent="0.35">
      <c r="A428" s="28" t="s">
        <v>511</v>
      </c>
      <c r="B428" s="32">
        <v>2025</v>
      </c>
      <c r="C428" s="28" t="s">
        <v>515</v>
      </c>
      <c r="D428" s="29">
        <v>45733</v>
      </c>
      <c r="E428" s="28">
        <v>246779411789</v>
      </c>
      <c r="F428" s="28" t="s">
        <v>11</v>
      </c>
      <c r="G428" s="30">
        <v>428.11</v>
      </c>
      <c r="H428" s="28" t="s">
        <v>59</v>
      </c>
      <c r="I428" s="30">
        <v>37113.4</v>
      </c>
      <c r="J428" s="28" t="s">
        <v>834</v>
      </c>
      <c r="K428" s="28" cm="1">
        <f t="array" ref="K428:L428">VLOOKUP(E428,[1]A023951!D$1:H$1114,{3,5},0)</f>
        <v>-428.11</v>
      </c>
      <c r="L428" s="28">
        <v>-37263.730000000003</v>
      </c>
      <c r="M428" s="31">
        <f t="shared" si="11"/>
        <v>-150.33000000000175</v>
      </c>
    </row>
    <row r="429" spans="1:13" x14ac:dyDescent="0.35">
      <c r="A429" s="28" t="s">
        <v>511</v>
      </c>
      <c r="B429" s="32">
        <v>2025</v>
      </c>
      <c r="C429" s="28" t="s">
        <v>515</v>
      </c>
      <c r="D429" s="29">
        <v>45733</v>
      </c>
      <c r="E429" s="28">
        <v>246779411895</v>
      </c>
      <c r="F429" s="28" t="s">
        <v>11</v>
      </c>
      <c r="G429" s="30">
        <v>4.26</v>
      </c>
      <c r="H429" s="28" t="s">
        <v>59</v>
      </c>
      <c r="I429" s="30">
        <v>369.3</v>
      </c>
      <c r="J429" s="28" t="s">
        <v>835</v>
      </c>
      <c r="K429" s="28" cm="1">
        <f t="array" ref="K429:L429">VLOOKUP(E429,[1]A023951!D$1:H$1114,{3,5},0)</f>
        <v>-4.26</v>
      </c>
      <c r="L429" s="28">
        <v>-370.8</v>
      </c>
      <c r="M429" s="31">
        <f t="shared" si="11"/>
        <v>-1.5</v>
      </c>
    </row>
    <row r="430" spans="1:13" x14ac:dyDescent="0.35">
      <c r="A430" s="28" t="s">
        <v>511</v>
      </c>
      <c r="B430" s="32">
        <v>2025</v>
      </c>
      <c r="C430" s="28" t="s">
        <v>515</v>
      </c>
      <c r="D430" s="29">
        <v>45733</v>
      </c>
      <c r="E430" s="28">
        <v>246779411896</v>
      </c>
      <c r="F430" s="28" t="s">
        <v>11</v>
      </c>
      <c r="G430" s="30">
        <v>39.770000000000003</v>
      </c>
      <c r="H430" s="28" t="s">
        <v>59</v>
      </c>
      <c r="I430" s="30">
        <v>3447.71</v>
      </c>
      <c r="J430" s="28" t="s">
        <v>835</v>
      </c>
      <c r="K430" s="28" cm="1">
        <f t="array" ref="K430:L430">VLOOKUP(E430,[1]A023951!D$1:H$1114,{3,5},0)</f>
        <v>-39.770000000000003</v>
      </c>
      <c r="L430" s="28">
        <v>-3461.68</v>
      </c>
      <c r="M430" s="31">
        <f t="shared" si="11"/>
        <v>-13.9699999999998</v>
      </c>
    </row>
    <row r="431" spans="1:13" x14ac:dyDescent="0.35">
      <c r="A431" s="28" t="s">
        <v>511</v>
      </c>
      <c r="B431" s="32">
        <v>2025</v>
      </c>
      <c r="C431" s="28" t="s">
        <v>515</v>
      </c>
      <c r="D431" s="29">
        <v>45733</v>
      </c>
      <c r="E431" s="28">
        <v>246779411915</v>
      </c>
      <c r="F431" s="28" t="s">
        <v>11</v>
      </c>
      <c r="G431" s="30">
        <v>23.17</v>
      </c>
      <c r="H431" s="28" t="s">
        <v>59</v>
      </c>
      <c r="I431" s="30">
        <v>2008.64</v>
      </c>
      <c r="J431" s="28" t="s">
        <v>835</v>
      </c>
      <c r="K431" s="28" cm="1">
        <f t="array" ref="K431:L431">VLOOKUP(E431,[1]A023951!D$1:H$1114,{3,5},0)</f>
        <v>-23.17</v>
      </c>
      <c r="L431" s="28">
        <v>-2016.77</v>
      </c>
      <c r="M431" s="31">
        <f t="shared" si="11"/>
        <v>-8.1299999999998818</v>
      </c>
    </row>
    <row r="432" spans="1:13" x14ac:dyDescent="0.35">
      <c r="A432" s="28" t="s">
        <v>511</v>
      </c>
      <c r="B432" s="32">
        <v>2025</v>
      </c>
      <c r="C432" s="28" t="s">
        <v>515</v>
      </c>
      <c r="D432" s="29">
        <v>45733</v>
      </c>
      <c r="E432" s="28">
        <v>246779411973</v>
      </c>
      <c r="F432" s="28" t="s">
        <v>11</v>
      </c>
      <c r="G432" s="30">
        <v>426.09</v>
      </c>
      <c r="H432" s="28" t="s">
        <v>59</v>
      </c>
      <c r="I432" s="30">
        <v>36938.28</v>
      </c>
      <c r="J432" s="28" t="s">
        <v>835</v>
      </c>
      <c r="K432" s="28" cm="1">
        <f t="array" ref="K432:L432">VLOOKUP(E432,[1]A023951!D$1:H$1114,{3,5},0)</f>
        <v>-426.09</v>
      </c>
      <c r="L432" s="28">
        <v>-37087.9</v>
      </c>
      <c r="M432" s="31">
        <f t="shared" si="11"/>
        <v>-149.62000000000262</v>
      </c>
    </row>
    <row r="433" spans="1:13" x14ac:dyDescent="0.35">
      <c r="A433" s="28" t="s">
        <v>511</v>
      </c>
      <c r="B433" s="32">
        <v>2025</v>
      </c>
      <c r="C433" s="28" t="s">
        <v>515</v>
      </c>
      <c r="D433" s="29">
        <v>45733</v>
      </c>
      <c r="E433" s="28">
        <v>246779412044</v>
      </c>
      <c r="F433" s="28" t="s">
        <v>11</v>
      </c>
      <c r="G433" s="30">
        <v>30.37</v>
      </c>
      <c r="H433" s="28" t="s">
        <v>59</v>
      </c>
      <c r="I433" s="30">
        <v>2632.81</v>
      </c>
      <c r="J433" s="28" t="s">
        <v>836</v>
      </c>
      <c r="K433" s="28" cm="1">
        <f t="array" ref="K433:L433">VLOOKUP(E433,[1]A023951!D$1:H$1114,{3,5},0)</f>
        <v>-30.37</v>
      </c>
      <c r="L433" s="28">
        <v>-2643.48</v>
      </c>
      <c r="M433" s="31">
        <f t="shared" si="11"/>
        <v>-10.670000000000073</v>
      </c>
    </row>
    <row r="434" spans="1:13" x14ac:dyDescent="0.35">
      <c r="A434" s="28" t="s">
        <v>511</v>
      </c>
      <c r="B434" s="32">
        <v>2025</v>
      </c>
      <c r="C434" s="28" t="s">
        <v>515</v>
      </c>
      <c r="D434" s="29">
        <v>45733</v>
      </c>
      <c r="E434" s="28">
        <v>246779412046</v>
      </c>
      <c r="F434" s="28" t="s">
        <v>11</v>
      </c>
      <c r="G434" s="30">
        <v>16.82</v>
      </c>
      <c r="H434" s="28" t="s">
        <v>59</v>
      </c>
      <c r="I434" s="30">
        <v>1458.15</v>
      </c>
      <c r="J434" s="28" t="s">
        <v>836</v>
      </c>
      <c r="K434" s="28" cm="1">
        <f t="array" ref="K434:L434">VLOOKUP(E434,[1]A023951!D$1:H$1114,{3,5},0)</f>
        <v>-16.82</v>
      </c>
      <c r="L434" s="28">
        <v>-1464.05</v>
      </c>
      <c r="M434" s="31">
        <f t="shared" si="11"/>
        <v>-5.8999999999998636</v>
      </c>
    </row>
    <row r="435" spans="1:13" x14ac:dyDescent="0.35">
      <c r="A435" s="28" t="s">
        <v>511</v>
      </c>
      <c r="B435" s="32">
        <v>2025</v>
      </c>
      <c r="C435" s="28" t="s">
        <v>515</v>
      </c>
      <c r="D435" s="29">
        <v>45762</v>
      </c>
      <c r="E435" s="28">
        <v>256779411091</v>
      </c>
      <c r="F435" s="28" t="s">
        <v>11</v>
      </c>
      <c r="G435" s="30">
        <v>54.87</v>
      </c>
      <c r="H435" s="28" t="s">
        <v>59</v>
      </c>
      <c r="I435" s="30">
        <v>4769.3999999999996</v>
      </c>
      <c r="J435" s="28" t="s">
        <v>837</v>
      </c>
      <c r="K435" s="28" t="e" cm="1">
        <f t="array" ref="K435">VLOOKUP(E435,[1]A023951!D$1:H$1114,{3,5},0)</f>
        <v>#N/A</v>
      </c>
      <c r="L435" s="28"/>
      <c r="M435" s="28"/>
    </row>
    <row r="436" spans="1:13" x14ac:dyDescent="0.35">
      <c r="A436" s="28" t="s">
        <v>511</v>
      </c>
      <c r="B436" s="32">
        <v>2025</v>
      </c>
      <c r="C436" s="28" t="s">
        <v>515</v>
      </c>
      <c r="D436" s="29">
        <v>45762</v>
      </c>
      <c r="E436" s="28">
        <v>256779411092</v>
      </c>
      <c r="F436" s="28" t="s">
        <v>11</v>
      </c>
      <c r="G436" s="30">
        <v>54.87</v>
      </c>
      <c r="H436" s="28" t="s">
        <v>59</v>
      </c>
      <c r="I436" s="30">
        <v>4769.3999999999996</v>
      </c>
      <c r="J436" s="28" t="s">
        <v>837</v>
      </c>
      <c r="K436" s="28" t="e" cm="1">
        <f t="array" ref="K436">VLOOKUP(E436,[1]A023951!D$1:H$1114,{3,5},0)</f>
        <v>#N/A</v>
      </c>
      <c r="L436" s="28"/>
      <c r="M436" s="28"/>
    </row>
    <row r="437" spans="1:13" x14ac:dyDescent="0.35">
      <c r="A437" s="28" t="s">
        <v>511</v>
      </c>
      <c r="B437" s="32">
        <v>2025</v>
      </c>
      <c r="C437" s="28" t="s">
        <v>515</v>
      </c>
      <c r="D437" s="29">
        <v>45762</v>
      </c>
      <c r="E437" s="28">
        <v>256779411093</v>
      </c>
      <c r="F437" s="28" t="s">
        <v>11</v>
      </c>
      <c r="G437" s="30">
        <v>57.82</v>
      </c>
      <c r="H437" s="28" t="s">
        <v>59</v>
      </c>
      <c r="I437" s="30">
        <v>5025.82</v>
      </c>
      <c r="J437" s="28" t="s">
        <v>837</v>
      </c>
      <c r="K437" s="28" t="e" cm="1">
        <f t="array" ref="K437">VLOOKUP(E437,[1]A023951!D$1:H$1114,{3,5},0)</f>
        <v>#N/A</v>
      </c>
      <c r="L437" s="28"/>
      <c r="M437" s="28"/>
    </row>
    <row r="438" spans="1:13" x14ac:dyDescent="0.35">
      <c r="A438" s="28" t="s">
        <v>511</v>
      </c>
      <c r="B438" s="32">
        <v>2025</v>
      </c>
      <c r="C438" s="28" t="s">
        <v>515</v>
      </c>
      <c r="D438" s="29">
        <v>45762</v>
      </c>
      <c r="E438" s="28">
        <v>256779411094</v>
      </c>
      <c r="F438" s="28" t="s">
        <v>11</v>
      </c>
      <c r="G438" s="30">
        <v>34.22</v>
      </c>
      <c r="H438" s="28" t="s">
        <v>59</v>
      </c>
      <c r="I438" s="30">
        <v>2974.46</v>
      </c>
      <c r="J438" s="28" t="s">
        <v>837</v>
      </c>
      <c r="K438" s="28" t="e" cm="1">
        <f t="array" ref="K438">VLOOKUP(E438,[1]A023951!D$1:H$1114,{3,5},0)</f>
        <v>#N/A</v>
      </c>
      <c r="L438" s="28"/>
      <c r="M438" s="28"/>
    </row>
    <row r="439" spans="1:13" x14ac:dyDescent="0.35">
      <c r="A439" s="28" t="s">
        <v>511</v>
      </c>
      <c r="B439" s="32">
        <v>2025</v>
      </c>
      <c r="C439" s="28" t="s">
        <v>515</v>
      </c>
      <c r="D439" s="29">
        <v>45762</v>
      </c>
      <c r="E439" s="28">
        <v>256779411095</v>
      </c>
      <c r="F439" s="28" t="s">
        <v>11</v>
      </c>
      <c r="G439" s="30">
        <v>48.97</v>
      </c>
      <c r="H439" s="28" t="s">
        <v>59</v>
      </c>
      <c r="I439" s="30">
        <v>4256.5600000000004</v>
      </c>
      <c r="J439" s="28" t="s">
        <v>837</v>
      </c>
      <c r="K439" s="28" t="e" cm="1">
        <f t="array" ref="K439">VLOOKUP(E439,[1]A023951!D$1:H$1114,{3,5},0)</f>
        <v>#N/A</v>
      </c>
      <c r="L439" s="28"/>
      <c r="M439" s="28"/>
    </row>
    <row r="440" spans="1:13" x14ac:dyDescent="0.35">
      <c r="A440" s="28" t="s">
        <v>511</v>
      </c>
      <c r="B440" s="32">
        <v>2025</v>
      </c>
      <c r="C440" s="28" t="s">
        <v>515</v>
      </c>
      <c r="D440" s="29">
        <v>45762</v>
      </c>
      <c r="E440" s="28">
        <v>256779411096</v>
      </c>
      <c r="F440" s="28" t="s">
        <v>11</v>
      </c>
      <c r="G440" s="30">
        <v>43.07</v>
      </c>
      <c r="H440" s="28" t="s">
        <v>59</v>
      </c>
      <c r="I440" s="30">
        <v>3743.72</v>
      </c>
      <c r="J440" s="28" t="s">
        <v>837</v>
      </c>
      <c r="K440" s="28" t="e" cm="1">
        <f t="array" ref="K440">VLOOKUP(E440,[1]A023951!D$1:H$1114,{3,5},0)</f>
        <v>#N/A</v>
      </c>
      <c r="L440" s="28"/>
      <c r="M440" s="28"/>
    </row>
    <row r="441" spans="1:13" x14ac:dyDescent="0.35">
      <c r="A441" s="28" t="s">
        <v>511</v>
      </c>
      <c r="B441" s="32">
        <v>2025</v>
      </c>
      <c r="C441" s="28" t="s">
        <v>515</v>
      </c>
      <c r="D441" s="29">
        <v>45762</v>
      </c>
      <c r="E441" s="28">
        <v>256779411098</v>
      </c>
      <c r="F441" s="28" t="s">
        <v>11</v>
      </c>
      <c r="G441" s="30">
        <v>60.64</v>
      </c>
      <c r="H441" s="28" t="s">
        <v>59</v>
      </c>
      <c r="I441" s="30">
        <v>5270.94</v>
      </c>
      <c r="J441" s="28" t="s">
        <v>837</v>
      </c>
      <c r="K441" s="28" t="e" cm="1">
        <f t="array" ref="K441">VLOOKUP(E441,[1]A023951!D$1:H$1114,{3,5},0)</f>
        <v>#N/A</v>
      </c>
      <c r="L441" s="28"/>
      <c r="M441" s="28"/>
    </row>
    <row r="442" spans="1:13" x14ac:dyDescent="0.35">
      <c r="A442" s="28" t="s">
        <v>511</v>
      </c>
      <c r="B442" s="32">
        <v>2025</v>
      </c>
      <c r="C442" s="28" t="s">
        <v>515</v>
      </c>
      <c r="D442" s="29">
        <v>45762</v>
      </c>
      <c r="E442" s="28">
        <v>256779411099</v>
      </c>
      <c r="F442" s="28" t="s">
        <v>11</v>
      </c>
      <c r="G442" s="30">
        <v>58.81</v>
      </c>
      <c r="H442" s="28" t="s">
        <v>59</v>
      </c>
      <c r="I442" s="30">
        <v>5111.87</v>
      </c>
      <c r="J442" s="28" t="s">
        <v>837</v>
      </c>
      <c r="K442" s="28" t="e" cm="1">
        <f t="array" ref="K442">VLOOKUP(E442,[1]A023951!D$1:H$1114,{3,5},0)</f>
        <v>#N/A</v>
      </c>
      <c r="L442" s="28"/>
      <c r="M442" s="28"/>
    </row>
    <row r="443" spans="1:13" x14ac:dyDescent="0.35">
      <c r="A443" s="28" t="s">
        <v>511</v>
      </c>
      <c r="B443" s="32">
        <v>2025</v>
      </c>
      <c r="C443" s="28" t="s">
        <v>515</v>
      </c>
      <c r="D443" s="29">
        <v>45762</v>
      </c>
      <c r="E443" s="28">
        <v>256779411100</v>
      </c>
      <c r="F443" s="28" t="s">
        <v>11</v>
      </c>
      <c r="G443" s="30">
        <v>46.02</v>
      </c>
      <c r="H443" s="28" t="s">
        <v>59</v>
      </c>
      <c r="I443" s="30">
        <v>4000.14</v>
      </c>
      <c r="J443" s="28" t="s">
        <v>837</v>
      </c>
      <c r="K443" s="28" t="e" cm="1">
        <f t="array" ref="K443">VLOOKUP(E443,[1]A023951!D$1:H$1114,{3,5},0)</f>
        <v>#N/A</v>
      </c>
      <c r="L443" s="28"/>
      <c r="M443" s="28"/>
    </row>
    <row r="444" spans="1:13" x14ac:dyDescent="0.35">
      <c r="A444" s="28" t="s">
        <v>511</v>
      </c>
      <c r="B444" s="32">
        <v>2025</v>
      </c>
      <c r="C444" s="28" t="s">
        <v>515</v>
      </c>
      <c r="D444" s="29">
        <v>45762</v>
      </c>
      <c r="E444" s="28">
        <v>256779411101</v>
      </c>
      <c r="F444" s="28" t="s">
        <v>11</v>
      </c>
      <c r="G444" s="30">
        <v>32.450000000000003</v>
      </c>
      <c r="H444" s="28" t="s">
        <v>59</v>
      </c>
      <c r="I444" s="30">
        <v>2820.61</v>
      </c>
      <c r="J444" s="28" t="s">
        <v>837</v>
      </c>
      <c r="K444" s="28" t="e" cm="1">
        <f t="array" ref="K444">VLOOKUP(E444,[1]A023951!D$1:H$1114,{3,5},0)</f>
        <v>#N/A</v>
      </c>
      <c r="L444" s="28"/>
      <c r="M444" s="28"/>
    </row>
    <row r="445" spans="1:13" x14ac:dyDescent="0.35">
      <c r="A445" s="28" t="s">
        <v>511</v>
      </c>
      <c r="B445" s="32">
        <v>2025</v>
      </c>
      <c r="C445" s="28" t="s">
        <v>515</v>
      </c>
      <c r="D445" s="29">
        <v>45762</v>
      </c>
      <c r="E445" s="28">
        <v>256779411458</v>
      </c>
      <c r="F445" s="28" t="s">
        <v>11</v>
      </c>
      <c r="G445" s="30">
        <v>35.4</v>
      </c>
      <c r="H445" s="28" t="s">
        <v>59</v>
      </c>
      <c r="I445" s="30">
        <v>3077.03</v>
      </c>
      <c r="J445" s="28" t="s">
        <v>806</v>
      </c>
      <c r="K445" s="28" t="e" cm="1">
        <f t="array" ref="K445">VLOOKUP(E445,[1]A023951!D$1:H$1114,{3,5},0)</f>
        <v>#N/A</v>
      </c>
      <c r="L445" s="28"/>
      <c r="M445" s="28"/>
    </row>
    <row r="446" spans="1:13" x14ac:dyDescent="0.35">
      <c r="A446" s="28" t="s">
        <v>511</v>
      </c>
      <c r="B446" s="32">
        <v>2025</v>
      </c>
      <c r="C446" s="28" t="s">
        <v>515</v>
      </c>
      <c r="D446" s="29">
        <v>45762</v>
      </c>
      <c r="E446" s="28">
        <v>256779411459</v>
      </c>
      <c r="F446" s="28" t="s">
        <v>11</v>
      </c>
      <c r="G446" s="30">
        <v>29.5</v>
      </c>
      <c r="H446" s="28" t="s">
        <v>59</v>
      </c>
      <c r="I446" s="30">
        <v>2564.19</v>
      </c>
      <c r="J446" s="28" t="s">
        <v>806</v>
      </c>
      <c r="K446" s="28" t="e" cm="1">
        <f t="array" ref="K446">VLOOKUP(E446,[1]A023951!D$1:H$1114,{3,5},0)</f>
        <v>#N/A</v>
      </c>
      <c r="L446" s="28"/>
      <c r="M446" s="28"/>
    </row>
    <row r="447" spans="1:13" x14ac:dyDescent="0.35">
      <c r="A447" s="28" t="s">
        <v>511</v>
      </c>
      <c r="B447" s="32">
        <v>2025</v>
      </c>
      <c r="C447" s="28" t="s">
        <v>515</v>
      </c>
      <c r="D447" s="29">
        <v>45762</v>
      </c>
      <c r="E447" s="28">
        <v>256779411460</v>
      </c>
      <c r="F447" s="28" t="s">
        <v>11</v>
      </c>
      <c r="G447" s="30">
        <v>29.5</v>
      </c>
      <c r="H447" s="28" t="s">
        <v>59</v>
      </c>
      <c r="I447" s="30">
        <v>2564.19</v>
      </c>
      <c r="J447" s="28" t="s">
        <v>806</v>
      </c>
      <c r="K447" s="28" t="e" cm="1">
        <f t="array" ref="K447">VLOOKUP(E447,[1]A023951!D$1:H$1114,{3,5},0)</f>
        <v>#N/A</v>
      </c>
      <c r="L447" s="28"/>
      <c r="M447" s="28"/>
    </row>
    <row r="448" spans="1:13" x14ac:dyDescent="0.35">
      <c r="A448" s="28" t="s">
        <v>511</v>
      </c>
      <c r="B448" s="32">
        <v>2025</v>
      </c>
      <c r="C448" s="28" t="s">
        <v>515</v>
      </c>
      <c r="D448" s="29">
        <v>45762</v>
      </c>
      <c r="E448" s="28">
        <v>256779411461</v>
      </c>
      <c r="F448" s="28" t="s">
        <v>11</v>
      </c>
      <c r="G448" s="30">
        <v>35.4</v>
      </c>
      <c r="H448" s="28" t="s">
        <v>59</v>
      </c>
      <c r="I448" s="30">
        <v>3077.03</v>
      </c>
      <c r="J448" s="28" t="s">
        <v>806</v>
      </c>
      <c r="K448" s="28" t="e" cm="1">
        <f t="array" ref="K448">VLOOKUP(E448,[1]A023951!D$1:H$1114,{3,5},0)</f>
        <v>#N/A</v>
      </c>
      <c r="L448" s="28"/>
      <c r="M448" s="28"/>
    </row>
    <row r="449" spans="1:13" x14ac:dyDescent="0.35">
      <c r="A449" s="28" t="s">
        <v>511</v>
      </c>
      <c r="B449" s="32">
        <v>2025</v>
      </c>
      <c r="C449" s="28" t="s">
        <v>515</v>
      </c>
      <c r="D449" s="29">
        <v>45762</v>
      </c>
      <c r="E449" s="28">
        <v>256779411462</v>
      </c>
      <c r="F449" s="28" t="s">
        <v>11</v>
      </c>
      <c r="G449" s="30">
        <v>20.65</v>
      </c>
      <c r="H449" s="28" t="s">
        <v>59</v>
      </c>
      <c r="I449" s="30">
        <v>1794.94</v>
      </c>
      <c r="J449" s="28" t="s">
        <v>806</v>
      </c>
      <c r="K449" s="28" t="e" cm="1">
        <f t="array" ref="K449">VLOOKUP(E449,[1]A023951!D$1:H$1114,{3,5},0)</f>
        <v>#N/A</v>
      </c>
      <c r="L449" s="28"/>
      <c r="M449" s="28"/>
    </row>
    <row r="450" spans="1:13" x14ac:dyDescent="0.35">
      <c r="A450" s="28" t="s">
        <v>511</v>
      </c>
      <c r="B450" s="32">
        <v>2025</v>
      </c>
      <c r="C450" s="28" t="s">
        <v>515</v>
      </c>
      <c r="D450" s="29">
        <v>45762</v>
      </c>
      <c r="E450" s="28">
        <v>256779411463</v>
      </c>
      <c r="F450" s="28" t="s">
        <v>11</v>
      </c>
      <c r="G450" s="30">
        <v>23.6</v>
      </c>
      <c r="H450" s="28" t="s">
        <v>59</v>
      </c>
      <c r="I450" s="30">
        <v>2051.35</v>
      </c>
      <c r="J450" s="28" t="s">
        <v>806</v>
      </c>
      <c r="K450" s="28" cm="1">
        <f t="array" ref="K450:L450">VLOOKUP(E450,[1]A023951!D$1:H$1114,{3,5},0)</f>
        <v>-23.6</v>
      </c>
      <c r="L450" s="28">
        <v>-2023.16</v>
      </c>
      <c r="M450" s="31">
        <f>I450+L450</f>
        <v>28.189999999999827</v>
      </c>
    </row>
    <row r="451" spans="1:13" x14ac:dyDescent="0.35">
      <c r="A451" s="28" t="s">
        <v>511</v>
      </c>
      <c r="B451" s="32">
        <v>2025</v>
      </c>
      <c r="C451" s="28" t="s">
        <v>515</v>
      </c>
      <c r="D451" s="29">
        <v>45762</v>
      </c>
      <c r="E451" s="28">
        <v>256779411464</v>
      </c>
      <c r="F451" s="28" t="s">
        <v>11</v>
      </c>
      <c r="G451" s="30">
        <v>8.85</v>
      </c>
      <c r="H451" s="28" t="s">
        <v>59</v>
      </c>
      <c r="I451" s="30">
        <v>769.26</v>
      </c>
      <c r="J451" s="28" t="s">
        <v>806</v>
      </c>
      <c r="K451" s="28" t="e" cm="1">
        <f t="array" ref="K451">VLOOKUP(E451,[1]A023951!D$1:H$1114,{3,5},0)</f>
        <v>#N/A</v>
      </c>
      <c r="L451" s="28"/>
      <c r="M451" s="28"/>
    </row>
    <row r="452" spans="1:13" x14ac:dyDescent="0.35">
      <c r="A452" s="28" t="s">
        <v>511</v>
      </c>
      <c r="B452" s="32">
        <v>2025</v>
      </c>
      <c r="C452" s="28" t="s">
        <v>515</v>
      </c>
      <c r="D452" s="29">
        <v>45762</v>
      </c>
      <c r="E452" s="28">
        <v>256779411465</v>
      </c>
      <c r="F452" s="28" t="s">
        <v>11</v>
      </c>
      <c r="G452" s="30">
        <v>32.450000000000003</v>
      </c>
      <c r="H452" s="28" t="s">
        <v>59</v>
      </c>
      <c r="I452" s="30">
        <v>2820.61</v>
      </c>
      <c r="J452" s="28" t="s">
        <v>806</v>
      </c>
      <c r="K452" s="28" cm="1">
        <f t="array" ref="K452:L452">VLOOKUP(E452,[1]A023951!D$1:H$1114,{3,5},0)</f>
        <v>-32.450000000000003</v>
      </c>
      <c r="L452" s="28">
        <v>-2781.84</v>
      </c>
      <c r="M452" s="31">
        <f>I452+L452</f>
        <v>38.769999999999982</v>
      </c>
    </row>
    <row r="453" spans="1:13" x14ac:dyDescent="0.35">
      <c r="A453" s="28" t="s">
        <v>511</v>
      </c>
      <c r="B453" s="32">
        <v>2025</v>
      </c>
      <c r="C453" s="28" t="s">
        <v>515</v>
      </c>
      <c r="D453" s="29">
        <v>45762</v>
      </c>
      <c r="E453" s="28">
        <v>256779411466</v>
      </c>
      <c r="F453" s="28" t="s">
        <v>11</v>
      </c>
      <c r="G453" s="30">
        <v>35.4</v>
      </c>
      <c r="H453" s="28" t="s">
        <v>59</v>
      </c>
      <c r="I453" s="30">
        <v>3077.03</v>
      </c>
      <c r="J453" s="28" t="s">
        <v>806</v>
      </c>
      <c r="K453" s="28" cm="1">
        <f t="array" ref="K453:L453">VLOOKUP(E453,[1]A023951!D$1:H$1114,{3,5},0)</f>
        <v>-35.4</v>
      </c>
      <c r="L453" s="28">
        <v>-3034.73</v>
      </c>
      <c r="M453" s="31">
        <f>I453+L453</f>
        <v>42.300000000000182</v>
      </c>
    </row>
    <row r="454" spans="1:13" x14ac:dyDescent="0.35">
      <c r="A454" s="28" t="s">
        <v>511</v>
      </c>
      <c r="B454" s="32">
        <v>2025</v>
      </c>
      <c r="C454" s="28" t="s">
        <v>515</v>
      </c>
      <c r="D454" s="29">
        <v>45762</v>
      </c>
      <c r="E454" s="28">
        <v>256779411467</v>
      </c>
      <c r="F454" s="28" t="s">
        <v>11</v>
      </c>
      <c r="G454" s="30">
        <v>35.4</v>
      </c>
      <c r="H454" s="28" t="s">
        <v>59</v>
      </c>
      <c r="I454" s="30">
        <v>3077.03</v>
      </c>
      <c r="J454" s="28" t="s">
        <v>806</v>
      </c>
      <c r="K454" s="28" cm="1">
        <f t="array" ref="K454:L454">VLOOKUP(E454,[1]A023951!D$1:H$1114,{3,5},0)</f>
        <v>-35.4</v>
      </c>
      <c r="L454" s="28">
        <v>-3034.73</v>
      </c>
      <c r="M454" s="31">
        <f>I454+L454</f>
        <v>42.300000000000182</v>
      </c>
    </row>
    <row r="455" spans="1:13" x14ac:dyDescent="0.35">
      <c r="A455" s="28" t="s">
        <v>511</v>
      </c>
      <c r="B455" s="32">
        <v>2025</v>
      </c>
      <c r="C455" s="28" t="s">
        <v>515</v>
      </c>
      <c r="D455" s="29">
        <v>45762</v>
      </c>
      <c r="E455" s="28">
        <v>256779411468</v>
      </c>
      <c r="F455" s="28" t="s">
        <v>11</v>
      </c>
      <c r="G455" s="30">
        <v>26.55</v>
      </c>
      <c r="H455" s="28" t="s">
        <v>59</v>
      </c>
      <c r="I455" s="30">
        <v>2307.77</v>
      </c>
      <c r="J455" s="28" t="s">
        <v>806</v>
      </c>
      <c r="K455" s="28" cm="1">
        <f t="array" ref="K455:L455">VLOOKUP(E455,[1]A023951!D$1:H$1114,{3,5},0)</f>
        <v>-26.55</v>
      </c>
      <c r="L455" s="28">
        <v>-2276.0500000000002</v>
      </c>
      <c r="M455" s="31">
        <f>I455+L455</f>
        <v>31.7199999999998</v>
      </c>
    </row>
    <row r="456" spans="1:13" x14ac:dyDescent="0.35">
      <c r="A456" s="28" t="s">
        <v>511</v>
      </c>
      <c r="B456" s="32">
        <v>2025</v>
      </c>
      <c r="C456" s="28" t="s">
        <v>515</v>
      </c>
      <c r="D456" s="29">
        <v>45762</v>
      </c>
      <c r="E456" s="28">
        <v>256779411469</v>
      </c>
      <c r="F456" s="28" t="s">
        <v>11</v>
      </c>
      <c r="G456" s="30">
        <v>35.4</v>
      </c>
      <c r="H456" s="28" t="s">
        <v>59</v>
      </c>
      <c r="I456" s="30">
        <v>3077.03</v>
      </c>
      <c r="J456" s="28" t="s">
        <v>806</v>
      </c>
      <c r="K456" s="28" t="e" cm="1">
        <f t="array" ref="K456">VLOOKUP(E456,[1]A023951!D$1:H$1114,{3,5},0)</f>
        <v>#N/A</v>
      </c>
      <c r="L456" s="28"/>
      <c r="M456" s="28"/>
    </row>
    <row r="457" spans="1:13" x14ac:dyDescent="0.35">
      <c r="A457" s="28" t="s">
        <v>511</v>
      </c>
      <c r="B457" s="32">
        <v>2025</v>
      </c>
      <c r="C457" s="28" t="s">
        <v>512</v>
      </c>
      <c r="D457" s="29">
        <v>45947</v>
      </c>
      <c r="E457" s="28">
        <v>256779422006</v>
      </c>
      <c r="F457" s="28" t="s">
        <v>11</v>
      </c>
      <c r="G457" s="30">
        <v>-94.81</v>
      </c>
      <c r="H457" s="28" t="s">
        <v>59</v>
      </c>
      <c r="I457" s="30">
        <v>-8361.3700000000008</v>
      </c>
      <c r="J457" s="28" t="s">
        <v>838</v>
      </c>
      <c r="K457" s="28" t="e" cm="1">
        <f t="array" ref="K457">VLOOKUP(E457,[1]A023951!D$1:H$1114,{3,5},0)</f>
        <v>#N/A</v>
      </c>
      <c r="L457" s="28"/>
      <c r="M457" s="28"/>
    </row>
    <row r="458" spans="1:13" x14ac:dyDescent="0.35">
      <c r="A458" s="28" t="s">
        <v>511</v>
      </c>
      <c r="B458" s="32">
        <v>2025</v>
      </c>
      <c r="C458" s="28" t="s">
        <v>515</v>
      </c>
      <c r="D458" s="29">
        <v>45763</v>
      </c>
      <c r="E458" s="28">
        <v>256779411969</v>
      </c>
      <c r="F458" s="28" t="s">
        <v>11</v>
      </c>
      <c r="G458" s="30">
        <v>79.08</v>
      </c>
      <c r="H458" s="28" t="s">
        <v>59</v>
      </c>
      <c r="I458" s="30">
        <v>6873.78</v>
      </c>
      <c r="J458" s="28" t="s">
        <v>839</v>
      </c>
      <c r="K458" s="28" cm="1">
        <f t="array" ref="K458:L458">VLOOKUP(E458,[1]A023951!D$1:H$1114,{3,5},0)</f>
        <v>-79.08</v>
      </c>
      <c r="L458" s="28">
        <v>-6779.29</v>
      </c>
      <c r="M458" s="31">
        <f t="shared" ref="M458:M464" si="12">I458+L458</f>
        <v>94.489999999999782</v>
      </c>
    </row>
    <row r="459" spans="1:13" x14ac:dyDescent="0.35">
      <c r="A459" s="28" t="s">
        <v>511</v>
      </c>
      <c r="B459" s="32">
        <v>2025</v>
      </c>
      <c r="C459" s="28" t="s">
        <v>515</v>
      </c>
      <c r="D459" s="29">
        <v>45763</v>
      </c>
      <c r="E459" s="28">
        <v>256779411970</v>
      </c>
      <c r="F459" s="28" t="s">
        <v>11</v>
      </c>
      <c r="G459" s="30">
        <v>8.66</v>
      </c>
      <c r="H459" s="28" t="s">
        <v>59</v>
      </c>
      <c r="I459" s="30">
        <v>752.74</v>
      </c>
      <c r="J459" s="28" t="s">
        <v>839</v>
      </c>
      <c r="K459" s="28" cm="1">
        <f t="array" ref="K459:L459">VLOOKUP(E459,[1]A023951!D$1:H$1114,{3,5},0)</f>
        <v>-8.66</v>
      </c>
      <c r="L459" s="28">
        <v>-742.4</v>
      </c>
      <c r="M459" s="31">
        <f t="shared" si="12"/>
        <v>10.340000000000032</v>
      </c>
    </row>
    <row r="460" spans="1:13" x14ac:dyDescent="0.35">
      <c r="A460" s="28" t="s">
        <v>511</v>
      </c>
      <c r="B460" s="32">
        <v>2025</v>
      </c>
      <c r="C460" s="28" t="s">
        <v>515</v>
      </c>
      <c r="D460" s="29">
        <v>45763</v>
      </c>
      <c r="E460" s="28">
        <v>256779412012</v>
      </c>
      <c r="F460" s="28" t="s">
        <v>11</v>
      </c>
      <c r="G460" s="30">
        <v>1051.22</v>
      </c>
      <c r="H460" s="28" t="s">
        <v>59</v>
      </c>
      <c r="I460" s="30">
        <v>91373.96</v>
      </c>
      <c r="J460" s="28" t="s">
        <v>840</v>
      </c>
      <c r="K460" s="28" cm="1">
        <f t="array" ref="K460:L460">VLOOKUP(E460,[1]A023951!D$1:H$1114,{3,5},0)</f>
        <v>0</v>
      </c>
      <c r="L460" s="28">
        <v>-1051.22</v>
      </c>
      <c r="M460" s="31">
        <f t="shared" si="12"/>
        <v>90322.74</v>
      </c>
    </row>
    <row r="461" spans="1:13" x14ac:dyDescent="0.35">
      <c r="A461" s="28" t="s">
        <v>511</v>
      </c>
      <c r="B461" s="32">
        <v>2025</v>
      </c>
      <c r="C461" s="28" t="s">
        <v>515</v>
      </c>
      <c r="D461" s="29">
        <v>45763</v>
      </c>
      <c r="E461" s="28">
        <v>256779412053</v>
      </c>
      <c r="F461" s="28" t="s">
        <v>11</v>
      </c>
      <c r="G461" s="30">
        <v>985.93</v>
      </c>
      <c r="H461" s="28" t="s">
        <v>59</v>
      </c>
      <c r="I461" s="30">
        <v>85698.83</v>
      </c>
      <c r="J461" s="28" t="s">
        <v>841</v>
      </c>
      <c r="K461" s="28" cm="1">
        <f t="array" ref="K461:L461">VLOOKUP(E461,[1]A023951!D$1:H$1114,{3,5},0)</f>
        <v>-985.93</v>
      </c>
      <c r="L461" s="28">
        <v>-84520.79</v>
      </c>
      <c r="M461" s="31">
        <f t="shared" si="12"/>
        <v>1178.0400000000081</v>
      </c>
    </row>
    <row r="462" spans="1:13" x14ac:dyDescent="0.35">
      <c r="A462" s="28" t="s">
        <v>511</v>
      </c>
      <c r="B462" s="32">
        <v>2025</v>
      </c>
      <c r="C462" s="28" t="s">
        <v>515</v>
      </c>
      <c r="D462" s="29">
        <v>45763</v>
      </c>
      <c r="E462" s="28">
        <v>256779412091</v>
      </c>
      <c r="F462" s="28" t="s">
        <v>11</v>
      </c>
      <c r="G462" s="30">
        <v>96.4</v>
      </c>
      <c r="H462" s="28" t="s">
        <v>59</v>
      </c>
      <c r="I462" s="30">
        <v>8379.26</v>
      </c>
      <c r="J462" s="28" t="s">
        <v>842</v>
      </c>
      <c r="K462" s="28" cm="1">
        <f t="array" ref="K462:L462">VLOOKUP(E462,[1]A023951!D$1:H$1114,{3,5},0)</f>
        <v>-96.4</v>
      </c>
      <c r="L462" s="28">
        <v>-8264.08</v>
      </c>
      <c r="M462" s="31">
        <f t="shared" si="12"/>
        <v>115.18000000000029</v>
      </c>
    </row>
    <row r="463" spans="1:13" x14ac:dyDescent="0.35">
      <c r="A463" s="28" t="s">
        <v>511</v>
      </c>
      <c r="B463" s="32">
        <v>2025</v>
      </c>
      <c r="C463" s="28" t="s">
        <v>515</v>
      </c>
      <c r="D463" s="29">
        <v>45763</v>
      </c>
      <c r="E463" s="28">
        <v>256779412092</v>
      </c>
      <c r="F463" s="28" t="s">
        <v>11</v>
      </c>
      <c r="G463" s="30">
        <v>289.17</v>
      </c>
      <c r="H463" s="28" t="s">
        <v>59</v>
      </c>
      <c r="I463" s="30">
        <v>25135.18</v>
      </c>
      <c r="J463" s="28" t="s">
        <v>842</v>
      </c>
      <c r="K463" s="28" cm="1">
        <f t="array" ref="K463:L463">VLOOKUP(E463,[1]A023951!D$1:H$1114,{3,5},0)</f>
        <v>-289.17</v>
      </c>
      <c r="L463" s="28">
        <v>-24789.67</v>
      </c>
      <c r="M463" s="31">
        <f t="shared" si="12"/>
        <v>345.51000000000204</v>
      </c>
    </row>
    <row r="464" spans="1:13" x14ac:dyDescent="0.35">
      <c r="A464" s="28" t="s">
        <v>511</v>
      </c>
      <c r="B464" s="32">
        <v>2025</v>
      </c>
      <c r="C464" s="28" t="s">
        <v>515</v>
      </c>
      <c r="D464" s="29">
        <v>45763</v>
      </c>
      <c r="E464" s="28">
        <v>256779412123</v>
      </c>
      <c r="F464" s="28" t="s">
        <v>11</v>
      </c>
      <c r="G464" s="30">
        <v>3318.21</v>
      </c>
      <c r="H464" s="28" t="s">
        <v>59</v>
      </c>
      <c r="I464" s="30">
        <v>288424.84999999998</v>
      </c>
      <c r="J464" s="28" t="s">
        <v>843</v>
      </c>
      <c r="K464" s="28" cm="1">
        <f t="array" ref="K464:L464">VLOOKUP(E464,[1]A023951!D$1:H$1114,{3,5},0)</f>
        <v>-3318.21</v>
      </c>
      <c r="L464" s="28">
        <v>-284460.08</v>
      </c>
      <c r="M464" s="31">
        <f t="shared" si="12"/>
        <v>3964.7699999999604</v>
      </c>
    </row>
    <row r="465" spans="1:13" x14ac:dyDescent="0.35">
      <c r="A465" s="28" t="s">
        <v>511</v>
      </c>
      <c r="B465" s="32">
        <v>2025</v>
      </c>
      <c r="C465" s="28" t="s">
        <v>515</v>
      </c>
      <c r="D465" s="29">
        <v>45763</v>
      </c>
      <c r="E465" s="28">
        <v>256779411722</v>
      </c>
      <c r="F465" s="28" t="s">
        <v>11</v>
      </c>
      <c r="G465" s="30">
        <v>236</v>
      </c>
      <c r="H465" s="28" t="s">
        <v>59</v>
      </c>
      <c r="I465" s="30">
        <v>20513.55</v>
      </c>
      <c r="J465" s="28" t="s">
        <v>728</v>
      </c>
      <c r="K465" s="28" t="e" cm="1">
        <f t="array" ref="K465">VLOOKUP(E465,[1]A023951!D$1:H$1114,{3,5},0)</f>
        <v>#N/A</v>
      </c>
      <c r="L465" s="28"/>
      <c r="M465" s="28"/>
    </row>
    <row r="466" spans="1:13" x14ac:dyDescent="0.35">
      <c r="A466" s="28" t="s">
        <v>511</v>
      </c>
      <c r="B466" s="32">
        <v>2025</v>
      </c>
      <c r="C466" s="28" t="s">
        <v>515</v>
      </c>
      <c r="D466" s="29">
        <v>45763</v>
      </c>
      <c r="E466" s="28">
        <v>256779411795</v>
      </c>
      <c r="F466" s="28" t="s">
        <v>11</v>
      </c>
      <c r="G466" s="30">
        <v>369.34</v>
      </c>
      <c r="H466" s="28" t="s">
        <v>59</v>
      </c>
      <c r="I466" s="30">
        <v>32103.7</v>
      </c>
      <c r="J466" s="28" t="s">
        <v>729</v>
      </c>
      <c r="K466" s="28" t="e" cm="1">
        <f t="array" ref="K466">VLOOKUP(E466,[1]A023951!D$1:H$1114,{3,5},0)</f>
        <v>#N/A</v>
      </c>
      <c r="L466" s="28"/>
      <c r="M466" s="28"/>
    </row>
    <row r="467" spans="1:13" x14ac:dyDescent="0.35">
      <c r="A467" s="28" t="s">
        <v>511</v>
      </c>
      <c r="B467" s="32">
        <v>2025</v>
      </c>
      <c r="C467" s="28" t="s">
        <v>515</v>
      </c>
      <c r="D467" s="29">
        <v>45763</v>
      </c>
      <c r="E467" s="28">
        <v>256779411796</v>
      </c>
      <c r="F467" s="28" t="s">
        <v>11</v>
      </c>
      <c r="G467" s="30">
        <v>226.56</v>
      </c>
      <c r="H467" s="28" t="s">
        <v>59</v>
      </c>
      <c r="I467" s="30">
        <v>19693.009999999998</v>
      </c>
      <c r="J467" s="28" t="s">
        <v>730</v>
      </c>
      <c r="K467" s="28" t="e" cm="1">
        <f t="array" ref="K467">VLOOKUP(E467,[1]A023951!D$1:H$1114,{3,5},0)</f>
        <v>#N/A</v>
      </c>
      <c r="L467" s="28"/>
      <c r="M467" s="28"/>
    </row>
    <row r="468" spans="1:13" x14ac:dyDescent="0.35">
      <c r="A468" s="28" t="s">
        <v>511</v>
      </c>
      <c r="B468" s="32">
        <v>2025</v>
      </c>
      <c r="C468" s="28" t="s">
        <v>515</v>
      </c>
      <c r="D468" s="29">
        <v>45763</v>
      </c>
      <c r="E468" s="28">
        <v>256779411797</v>
      </c>
      <c r="F468" s="28" t="s">
        <v>11</v>
      </c>
      <c r="G468" s="30">
        <v>35.4</v>
      </c>
      <c r="H468" s="28" t="s">
        <v>59</v>
      </c>
      <c r="I468" s="30">
        <v>3077.03</v>
      </c>
      <c r="J468" s="28" t="s">
        <v>844</v>
      </c>
      <c r="K468" s="28" t="e" cm="1">
        <f t="array" ref="K468">VLOOKUP(E468,[1]A023951!D$1:H$1114,{3,5},0)</f>
        <v>#N/A</v>
      </c>
      <c r="L468" s="28"/>
      <c r="M468" s="28"/>
    </row>
    <row r="469" spans="1:13" x14ac:dyDescent="0.35">
      <c r="A469" s="28" t="s">
        <v>511</v>
      </c>
      <c r="B469" s="32">
        <v>2025</v>
      </c>
      <c r="C469" s="28" t="s">
        <v>515</v>
      </c>
      <c r="D469" s="29">
        <v>45763</v>
      </c>
      <c r="E469" s="28">
        <v>256779411798</v>
      </c>
      <c r="F469" s="28" t="s">
        <v>11</v>
      </c>
      <c r="G469" s="30">
        <v>236</v>
      </c>
      <c r="H469" s="28" t="s">
        <v>59</v>
      </c>
      <c r="I469" s="30">
        <v>20513.55</v>
      </c>
      <c r="J469" s="28" t="s">
        <v>731</v>
      </c>
      <c r="K469" s="28" t="e" cm="1">
        <f t="array" ref="K469">VLOOKUP(E469,[1]A023951!D$1:H$1114,{3,5},0)</f>
        <v>#N/A</v>
      </c>
      <c r="L469" s="28"/>
      <c r="M469" s="28"/>
    </row>
    <row r="470" spans="1:13" x14ac:dyDescent="0.35">
      <c r="A470" s="28" t="s">
        <v>511</v>
      </c>
      <c r="B470" s="32">
        <v>2025</v>
      </c>
      <c r="C470" s="28" t="s">
        <v>515</v>
      </c>
      <c r="D470" s="29">
        <v>45763</v>
      </c>
      <c r="E470" s="28">
        <v>256779411799</v>
      </c>
      <c r="F470" s="28" t="s">
        <v>11</v>
      </c>
      <c r="G470" s="30">
        <v>70.8</v>
      </c>
      <c r="H470" s="28" t="s">
        <v>59</v>
      </c>
      <c r="I470" s="30">
        <v>6154.06</v>
      </c>
      <c r="J470" s="28" t="s">
        <v>732</v>
      </c>
      <c r="K470" s="28" t="e" cm="1">
        <f t="array" ref="K470">VLOOKUP(E470,[1]A023951!D$1:H$1114,{3,5},0)</f>
        <v>#N/A</v>
      </c>
      <c r="L470" s="28"/>
      <c r="M470" s="28"/>
    </row>
    <row r="471" spans="1:13" x14ac:dyDescent="0.35">
      <c r="A471" s="28" t="s">
        <v>511</v>
      </c>
      <c r="B471" s="32">
        <v>2025</v>
      </c>
      <c r="C471" s="28" t="s">
        <v>515</v>
      </c>
      <c r="D471" s="29">
        <v>45763</v>
      </c>
      <c r="E471" s="28">
        <v>256779411867</v>
      </c>
      <c r="F471" s="28" t="s">
        <v>11</v>
      </c>
      <c r="G471" s="30">
        <v>295</v>
      </c>
      <c r="H471" s="28" t="s">
        <v>59</v>
      </c>
      <c r="I471" s="30">
        <v>25641.94</v>
      </c>
      <c r="J471" s="28" t="s">
        <v>845</v>
      </c>
      <c r="K471" s="28" cm="1">
        <f t="array" ref="K471:L471">VLOOKUP(E471,[1]A023951!D$1:H$1114,{3,5},0)</f>
        <v>-295</v>
      </c>
      <c r="L471" s="28">
        <v>-25289.46</v>
      </c>
      <c r="M471" s="31">
        <f t="shared" ref="M471:M479" si="13">I471+L471</f>
        <v>352.47999999999956</v>
      </c>
    </row>
    <row r="472" spans="1:13" x14ac:dyDescent="0.35">
      <c r="A472" s="28" t="s">
        <v>511</v>
      </c>
      <c r="B472" s="32">
        <v>2025</v>
      </c>
      <c r="C472" s="28" t="s">
        <v>515</v>
      </c>
      <c r="D472" s="29">
        <v>45863</v>
      </c>
      <c r="E472" s="28">
        <v>256779415989</v>
      </c>
      <c r="F472" s="28" t="s">
        <v>11</v>
      </c>
      <c r="G472" s="30">
        <v>299.83999999999997</v>
      </c>
      <c r="H472" s="28" t="s">
        <v>59</v>
      </c>
      <c r="I472" s="30">
        <v>25786.44</v>
      </c>
      <c r="J472" s="28" t="s">
        <v>846</v>
      </c>
      <c r="K472" s="28" cm="1">
        <f t="array" ref="K472:L472">VLOOKUP(E472,[1]A023951!D$1:H$1114,{3,5},0)</f>
        <v>-299.83999999999997</v>
      </c>
      <c r="L472" s="28">
        <v>-25783.09</v>
      </c>
      <c r="M472" s="31">
        <f t="shared" si="13"/>
        <v>3.3499999999985448</v>
      </c>
    </row>
    <row r="473" spans="1:13" x14ac:dyDescent="0.35">
      <c r="A473" s="28" t="s">
        <v>511</v>
      </c>
      <c r="B473" s="32">
        <v>2025</v>
      </c>
      <c r="C473" s="28" t="s">
        <v>515</v>
      </c>
      <c r="D473" s="29">
        <v>45863</v>
      </c>
      <c r="E473" s="28">
        <v>256779416007</v>
      </c>
      <c r="F473" s="28" t="s">
        <v>11</v>
      </c>
      <c r="G473" s="30">
        <v>421.15</v>
      </c>
      <c r="H473" s="28" t="s">
        <v>59</v>
      </c>
      <c r="I473" s="30">
        <v>36219.18</v>
      </c>
      <c r="J473" s="28" t="s">
        <v>847</v>
      </c>
      <c r="K473" s="28" cm="1">
        <f t="array" ref="K473:L473">VLOOKUP(E473,[1]A023951!D$1:H$1114,{3,5},0)</f>
        <v>-421.15</v>
      </c>
      <c r="L473" s="28">
        <v>-36214.480000000003</v>
      </c>
      <c r="M473" s="31">
        <f t="shared" si="13"/>
        <v>4.6999999999970896</v>
      </c>
    </row>
    <row r="474" spans="1:13" x14ac:dyDescent="0.35">
      <c r="A474" s="28" t="s">
        <v>511</v>
      </c>
      <c r="B474" s="32">
        <v>2025</v>
      </c>
      <c r="C474" s="28" t="s">
        <v>515</v>
      </c>
      <c r="D474" s="29">
        <v>45730</v>
      </c>
      <c r="E474" s="28">
        <v>246779411407</v>
      </c>
      <c r="F474" s="28" t="s">
        <v>11</v>
      </c>
      <c r="G474" s="30">
        <v>57.23</v>
      </c>
      <c r="H474" s="28" t="s">
        <v>59</v>
      </c>
      <c r="I474" s="30">
        <v>4961.34</v>
      </c>
      <c r="J474" s="28" t="s">
        <v>848</v>
      </c>
      <c r="K474" s="28" cm="1">
        <f t="array" ref="K474:L474">VLOOKUP(E474,[1]A023951!D$1:H$1114,{3,5},0)</f>
        <v>-57.23</v>
      </c>
      <c r="L474" s="28">
        <v>-4981.4399999999996</v>
      </c>
      <c r="M474" s="31">
        <f t="shared" si="13"/>
        <v>-20.099999999999454</v>
      </c>
    </row>
    <row r="475" spans="1:13" x14ac:dyDescent="0.35">
      <c r="A475" s="28" t="s">
        <v>511</v>
      </c>
      <c r="B475" s="32">
        <v>2025</v>
      </c>
      <c r="C475" s="28" t="s">
        <v>515</v>
      </c>
      <c r="D475" s="29">
        <v>45730</v>
      </c>
      <c r="E475" s="28">
        <v>246779411411</v>
      </c>
      <c r="F475" s="28" t="s">
        <v>11</v>
      </c>
      <c r="G475" s="30">
        <v>45.79</v>
      </c>
      <c r="H475" s="28" t="s">
        <v>59</v>
      </c>
      <c r="I475" s="30">
        <v>3969.59</v>
      </c>
      <c r="J475" s="28" t="s">
        <v>848</v>
      </c>
      <c r="K475" s="28" cm="1">
        <f t="array" ref="K475:L475">VLOOKUP(E475,[1]A023951!D$1:H$1114,{3,5},0)</f>
        <v>-45.79</v>
      </c>
      <c r="L475" s="28">
        <v>-3985.67</v>
      </c>
      <c r="M475" s="31">
        <f t="shared" si="13"/>
        <v>-16.079999999999927</v>
      </c>
    </row>
    <row r="476" spans="1:13" x14ac:dyDescent="0.35">
      <c r="A476" s="28" t="s">
        <v>511</v>
      </c>
      <c r="B476" s="32">
        <v>2025</v>
      </c>
      <c r="C476" s="28" t="s">
        <v>515</v>
      </c>
      <c r="D476" s="29">
        <v>45730</v>
      </c>
      <c r="E476" s="28">
        <v>246779411412</v>
      </c>
      <c r="F476" s="28" t="s">
        <v>11</v>
      </c>
      <c r="G476" s="30">
        <v>20.03</v>
      </c>
      <c r="H476" s="28" t="s">
        <v>59</v>
      </c>
      <c r="I476" s="30">
        <v>1736.43</v>
      </c>
      <c r="J476" s="28" t="s">
        <v>848</v>
      </c>
      <c r="K476" s="28" cm="1">
        <f t="array" ref="K476:L476">VLOOKUP(E476,[1]A023951!D$1:H$1114,{3,5},0)</f>
        <v>-20.03</v>
      </c>
      <c r="L476" s="28">
        <v>-1743.46</v>
      </c>
      <c r="M476" s="31">
        <f t="shared" si="13"/>
        <v>-7.0299999999999727</v>
      </c>
    </row>
    <row r="477" spans="1:13" x14ac:dyDescent="0.35">
      <c r="A477" s="28" t="s">
        <v>511</v>
      </c>
      <c r="B477" s="32">
        <v>2025</v>
      </c>
      <c r="C477" s="28" t="s">
        <v>515</v>
      </c>
      <c r="D477" s="29">
        <v>45730</v>
      </c>
      <c r="E477" s="28">
        <v>246779411413</v>
      </c>
      <c r="F477" s="28" t="s">
        <v>11</v>
      </c>
      <c r="G477" s="30">
        <v>40.06</v>
      </c>
      <c r="H477" s="28" t="s">
        <v>59</v>
      </c>
      <c r="I477" s="30">
        <v>3472.85</v>
      </c>
      <c r="J477" s="28" t="s">
        <v>848</v>
      </c>
      <c r="K477" s="28" cm="1">
        <f t="array" ref="K477:L477">VLOOKUP(E477,[1]A023951!D$1:H$1114,{3,5},0)</f>
        <v>-40.06</v>
      </c>
      <c r="L477" s="28">
        <v>-3486.92</v>
      </c>
      <c r="M477" s="31">
        <f t="shared" si="13"/>
        <v>-14.070000000000164</v>
      </c>
    </row>
    <row r="478" spans="1:13" x14ac:dyDescent="0.35">
      <c r="A478" s="28" t="s">
        <v>511</v>
      </c>
      <c r="B478" s="32">
        <v>2025</v>
      </c>
      <c r="C478" s="28" t="s">
        <v>515</v>
      </c>
      <c r="D478" s="29">
        <v>45730</v>
      </c>
      <c r="E478" s="28">
        <v>246779411415</v>
      </c>
      <c r="F478" s="28" t="s">
        <v>11</v>
      </c>
      <c r="G478" s="30">
        <v>22.89</v>
      </c>
      <c r="H478" s="28" t="s">
        <v>59</v>
      </c>
      <c r="I478" s="30">
        <v>1984.36</v>
      </c>
      <c r="J478" s="28" t="s">
        <v>848</v>
      </c>
      <c r="K478" s="28" cm="1">
        <f t="array" ref="K478:L478">VLOOKUP(E478,[1]A023951!D$1:H$1114,{3,5},0)</f>
        <v>-22.89</v>
      </c>
      <c r="L478" s="28">
        <v>-1992.4</v>
      </c>
      <c r="M478" s="31">
        <f t="shared" si="13"/>
        <v>-8.040000000000191</v>
      </c>
    </row>
    <row r="479" spans="1:13" x14ac:dyDescent="0.35">
      <c r="A479" s="28" t="s">
        <v>511</v>
      </c>
      <c r="B479" s="32">
        <v>2025</v>
      </c>
      <c r="C479" s="28" t="s">
        <v>515</v>
      </c>
      <c r="D479" s="29">
        <v>45730</v>
      </c>
      <c r="E479" s="28">
        <v>246779411419</v>
      </c>
      <c r="F479" s="28" t="s">
        <v>11</v>
      </c>
      <c r="G479" s="30">
        <v>23.35</v>
      </c>
      <c r="H479" s="28" t="s">
        <v>59</v>
      </c>
      <c r="I479" s="30">
        <v>2024.24</v>
      </c>
      <c r="J479" s="28" t="s">
        <v>848</v>
      </c>
      <c r="K479" s="28" cm="1">
        <f t="array" ref="K479:L479">VLOOKUP(E479,[1]A023951!D$1:H$1114,{3,5},0)</f>
        <v>-23.35</v>
      </c>
      <c r="L479" s="28">
        <v>-2032.44</v>
      </c>
      <c r="M479" s="31">
        <f t="shared" si="13"/>
        <v>-8.2000000000000455</v>
      </c>
    </row>
    <row r="480" spans="1:13" x14ac:dyDescent="0.35">
      <c r="A480" s="28" t="s">
        <v>511</v>
      </c>
      <c r="B480" s="32">
        <v>2025</v>
      </c>
      <c r="C480" s="28" t="s">
        <v>515</v>
      </c>
      <c r="D480" s="29">
        <v>45730</v>
      </c>
      <c r="E480" s="28">
        <v>246779412207</v>
      </c>
      <c r="F480" s="28" t="s">
        <v>11</v>
      </c>
      <c r="G480" s="30">
        <v>312.5</v>
      </c>
      <c r="H480" s="28" t="s">
        <v>59</v>
      </c>
      <c r="I480" s="30">
        <v>27091.02</v>
      </c>
      <c r="J480" s="28" t="s">
        <v>848</v>
      </c>
      <c r="K480" s="28" t="e" cm="1">
        <f t="array" ref="K480">VLOOKUP(E480,[1]A023951!D$1:H$1114,{3,5},0)</f>
        <v>#N/A</v>
      </c>
      <c r="L480" s="28"/>
      <c r="M480" s="28"/>
    </row>
    <row r="481" spans="1:13" x14ac:dyDescent="0.35">
      <c r="A481" s="28" t="s">
        <v>511</v>
      </c>
      <c r="B481" s="32">
        <v>2025</v>
      </c>
      <c r="C481" s="28" t="s">
        <v>515</v>
      </c>
      <c r="D481" s="29">
        <v>45730</v>
      </c>
      <c r="E481" s="28">
        <v>246779412208</v>
      </c>
      <c r="F481" s="28" t="s">
        <v>11</v>
      </c>
      <c r="G481" s="30">
        <v>23.35</v>
      </c>
      <c r="H481" s="28" t="s">
        <v>59</v>
      </c>
      <c r="I481" s="30">
        <v>2024.24</v>
      </c>
      <c r="J481" s="28" t="s">
        <v>848</v>
      </c>
      <c r="K481" s="28" t="e" cm="1">
        <f t="array" ref="K481">VLOOKUP(E481,[1]A023951!D$1:H$1114,{3,5},0)</f>
        <v>#N/A</v>
      </c>
      <c r="L481" s="28"/>
      <c r="M481" s="28"/>
    </row>
    <row r="482" spans="1:13" x14ac:dyDescent="0.35">
      <c r="A482" s="28" t="s">
        <v>511</v>
      </c>
      <c r="B482" s="32">
        <v>2025</v>
      </c>
      <c r="C482" s="28" t="s">
        <v>515</v>
      </c>
      <c r="D482" s="29">
        <v>45730</v>
      </c>
      <c r="E482" s="28">
        <v>246779412197</v>
      </c>
      <c r="F482" s="28" t="s">
        <v>11</v>
      </c>
      <c r="G482" s="30">
        <v>40.06</v>
      </c>
      <c r="H482" s="28" t="s">
        <v>59</v>
      </c>
      <c r="I482" s="30">
        <v>3472.85</v>
      </c>
      <c r="J482" s="28" t="s">
        <v>848</v>
      </c>
      <c r="K482" s="28" t="e" cm="1">
        <f t="array" ref="K482">VLOOKUP(E482,[1]A023951!D$1:H$1114,{3,5},0)</f>
        <v>#N/A</v>
      </c>
      <c r="L482" s="28"/>
      <c r="M482" s="28"/>
    </row>
    <row r="483" spans="1:13" x14ac:dyDescent="0.35">
      <c r="A483" s="28" t="s">
        <v>511</v>
      </c>
      <c r="B483" s="32">
        <v>2025</v>
      </c>
      <c r="C483" s="28" t="s">
        <v>515</v>
      </c>
      <c r="D483" s="29">
        <v>45730</v>
      </c>
      <c r="E483" s="28">
        <v>246779412198</v>
      </c>
      <c r="F483" s="28" t="s">
        <v>11</v>
      </c>
      <c r="G483" s="30">
        <v>249.55</v>
      </c>
      <c r="H483" s="28" t="s">
        <v>59</v>
      </c>
      <c r="I483" s="30">
        <v>21633.8</v>
      </c>
      <c r="J483" s="28" t="s">
        <v>848</v>
      </c>
      <c r="K483" s="28" t="e" cm="1">
        <f t="array" ref="K483">VLOOKUP(E483,[1]A023951!D$1:H$1114,{3,5},0)</f>
        <v>#N/A</v>
      </c>
      <c r="L483" s="28"/>
      <c r="M483" s="28"/>
    </row>
    <row r="484" spans="1:13" x14ac:dyDescent="0.35">
      <c r="A484" s="28" t="s">
        <v>511</v>
      </c>
      <c r="B484" s="32">
        <v>2025</v>
      </c>
      <c r="C484" s="28" t="s">
        <v>515</v>
      </c>
      <c r="D484" s="29">
        <v>45730</v>
      </c>
      <c r="E484" s="28">
        <v>246779412199</v>
      </c>
      <c r="F484" s="28" t="s">
        <v>11</v>
      </c>
      <c r="G484" s="30">
        <v>40.06</v>
      </c>
      <c r="H484" s="28" t="s">
        <v>59</v>
      </c>
      <c r="I484" s="30">
        <v>3472.85</v>
      </c>
      <c r="J484" s="28" t="s">
        <v>848</v>
      </c>
      <c r="K484" s="28" t="e" cm="1">
        <f t="array" ref="K484">VLOOKUP(E484,[1]A023951!D$1:H$1114,{3,5},0)</f>
        <v>#N/A</v>
      </c>
      <c r="L484" s="28"/>
      <c r="M484" s="28"/>
    </row>
    <row r="485" spans="1:13" x14ac:dyDescent="0.35">
      <c r="A485" s="28" t="s">
        <v>511</v>
      </c>
      <c r="B485" s="32">
        <v>2025</v>
      </c>
      <c r="C485" s="28" t="s">
        <v>515</v>
      </c>
      <c r="D485" s="29">
        <v>45730</v>
      </c>
      <c r="E485" s="28">
        <v>246779412200</v>
      </c>
      <c r="F485" s="28" t="s">
        <v>11</v>
      </c>
      <c r="G485" s="30">
        <v>45.79</v>
      </c>
      <c r="H485" s="28" t="s">
        <v>59</v>
      </c>
      <c r="I485" s="30">
        <v>3969.59</v>
      </c>
      <c r="J485" s="28" t="s">
        <v>848</v>
      </c>
      <c r="K485" s="28" t="e" cm="1">
        <f t="array" ref="K485">VLOOKUP(E485,[1]A023951!D$1:H$1114,{3,5},0)</f>
        <v>#N/A</v>
      </c>
      <c r="L485" s="28"/>
      <c r="M485" s="28"/>
    </row>
    <row r="486" spans="1:13" x14ac:dyDescent="0.35">
      <c r="A486" s="28" t="s">
        <v>511</v>
      </c>
      <c r="B486" s="32">
        <v>2025</v>
      </c>
      <c r="C486" s="28" t="s">
        <v>515</v>
      </c>
      <c r="D486" s="29">
        <v>45730</v>
      </c>
      <c r="E486" s="28">
        <v>246779411408</v>
      </c>
      <c r="F486" s="28" t="s">
        <v>11</v>
      </c>
      <c r="G486" s="30">
        <v>40.06</v>
      </c>
      <c r="H486" s="28" t="s">
        <v>59</v>
      </c>
      <c r="I486" s="30">
        <v>3472.85</v>
      </c>
      <c r="J486" s="28" t="s">
        <v>848</v>
      </c>
      <c r="K486" s="28" cm="1">
        <f t="array" ref="K486:L486">VLOOKUP(E486,[1]A023951!D$1:H$1114,{3,5},0)</f>
        <v>-40.06</v>
      </c>
      <c r="L486" s="28">
        <v>-3486.92</v>
      </c>
      <c r="M486" s="31">
        <f t="shared" ref="M486:M492" si="14">I486+L486</f>
        <v>-14.070000000000164</v>
      </c>
    </row>
    <row r="487" spans="1:13" x14ac:dyDescent="0.35">
      <c r="A487" s="28" t="s">
        <v>511</v>
      </c>
      <c r="B487" s="32">
        <v>2025</v>
      </c>
      <c r="C487" s="28" t="s">
        <v>515</v>
      </c>
      <c r="D487" s="29">
        <v>45730</v>
      </c>
      <c r="E487" s="28">
        <v>246779411409</v>
      </c>
      <c r="F487" s="28" t="s">
        <v>11</v>
      </c>
      <c r="G487" s="30">
        <v>249.55</v>
      </c>
      <c r="H487" s="28" t="s">
        <v>59</v>
      </c>
      <c r="I487" s="30">
        <v>21633.8</v>
      </c>
      <c r="J487" s="28" t="s">
        <v>848</v>
      </c>
      <c r="K487" s="28" cm="1">
        <f t="array" ref="K487:L487">VLOOKUP(E487,[1]A023951!D$1:H$1114,{3,5},0)</f>
        <v>-249.55</v>
      </c>
      <c r="L487" s="28">
        <v>-21721.43</v>
      </c>
      <c r="M487" s="31">
        <f t="shared" si="14"/>
        <v>-87.630000000001019</v>
      </c>
    </row>
    <row r="488" spans="1:13" x14ac:dyDescent="0.35">
      <c r="A488" s="28" t="s">
        <v>511</v>
      </c>
      <c r="B488" s="32">
        <v>2025</v>
      </c>
      <c r="C488" s="28" t="s">
        <v>515</v>
      </c>
      <c r="D488" s="29">
        <v>45730</v>
      </c>
      <c r="E488" s="28">
        <v>246779411410</v>
      </c>
      <c r="F488" s="28" t="s">
        <v>11</v>
      </c>
      <c r="G488" s="30">
        <v>40.06</v>
      </c>
      <c r="H488" s="28" t="s">
        <v>59</v>
      </c>
      <c r="I488" s="30">
        <v>3472.85</v>
      </c>
      <c r="J488" s="28" t="s">
        <v>848</v>
      </c>
      <c r="K488" s="28" cm="1">
        <f t="array" ref="K488:L488">VLOOKUP(E488,[1]A023951!D$1:H$1114,{3,5},0)</f>
        <v>-40.06</v>
      </c>
      <c r="L488" s="28">
        <v>-3486.92</v>
      </c>
      <c r="M488" s="31">
        <f t="shared" si="14"/>
        <v>-14.070000000000164</v>
      </c>
    </row>
    <row r="489" spans="1:13" x14ac:dyDescent="0.35">
      <c r="A489" s="28" t="s">
        <v>511</v>
      </c>
      <c r="B489" s="32">
        <v>2025</v>
      </c>
      <c r="C489" s="28" t="s">
        <v>515</v>
      </c>
      <c r="D489" s="29">
        <v>45730</v>
      </c>
      <c r="E489" s="28">
        <v>246779411414</v>
      </c>
      <c r="F489" s="28" t="s">
        <v>11</v>
      </c>
      <c r="G489" s="30">
        <v>28.62</v>
      </c>
      <c r="H489" s="28" t="s">
        <v>59</v>
      </c>
      <c r="I489" s="30">
        <v>2481.1</v>
      </c>
      <c r="J489" s="28" t="s">
        <v>848</v>
      </c>
      <c r="K489" s="28" cm="1">
        <f t="array" ref="K489:L489">VLOOKUP(E489,[1]A023951!D$1:H$1114,{3,5},0)</f>
        <v>-28.62</v>
      </c>
      <c r="L489" s="28">
        <v>-2491.15</v>
      </c>
      <c r="M489" s="31">
        <f t="shared" si="14"/>
        <v>-10.050000000000182</v>
      </c>
    </row>
    <row r="490" spans="1:13" x14ac:dyDescent="0.35">
      <c r="A490" s="28" t="s">
        <v>511</v>
      </c>
      <c r="B490" s="32">
        <v>2025</v>
      </c>
      <c r="C490" s="28" t="s">
        <v>515</v>
      </c>
      <c r="D490" s="29">
        <v>45730</v>
      </c>
      <c r="E490" s="28">
        <v>246779411416</v>
      </c>
      <c r="F490" s="28" t="s">
        <v>11</v>
      </c>
      <c r="G490" s="30">
        <v>114.46</v>
      </c>
      <c r="H490" s="28" t="s">
        <v>59</v>
      </c>
      <c r="I490" s="30">
        <v>9922.68</v>
      </c>
      <c r="J490" s="28" t="s">
        <v>848</v>
      </c>
      <c r="K490" s="28" cm="1">
        <f t="array" ref="K490:L490">VLOOKUP(E490,[1]A023951!D$1:H$1114,{3,5},0)</f>
        <v>-114.46</v>
      </c>
      <c r="L490" s="28">
        <v>-9962.8700000000008</v>
      </c>
      <c r="M490" s="31">
        <f t="shared" si="14"/>
        <v>-40.190000000000509</v>
      </c>
    </row>
    <row r="491" spans="1:13" x14ac:dyDescent="0.35">
      <c r="A491" s="28" t="s">
        <v>511</v>
      </c>
      <c r="B491" s="32">
        <v>2025</v>
      </c>
      <c r="C491" s="28" t="s">
        <v>515</v>
      </c>
      <c r="D491" s="29">
        <v>45730</v>
      </c>
      <c r="E491" s="28">
        <v>246779411417</v>
      </c>
      <c r="F491" s="28" t="s">
        <v>11</v>
      </c>
      <c r="G491" s="30">
        <v>68.680000000000007</v>
      </c>
      <c r="H491" s="28" t="s">
        <v>59</v>
      </c>
      <c r="I491" s="30">
        <v>5953.96</v>
      </c>
      <c r="J491" s="28" t="s">
        <v>848</v>
      </c>
      <c r="K491" s="28" cm="1">
        <f t="array" ref="K491:L491">VLOOKUP(E491,[1]A023951!D$1:H$1114,{3,5},0)</f>
        <v>-68.680000000000007</v>
      </c>
      <c r="L491" s="28">
        <v>-5978.07</v>
      </c>
      <c r="M491" s="31">
        <f t="shared" si="14"/>
        <v>-24.109999999999673</v>
      </c>
    </row>
    <row r="492" spans="1:13" x14ac:dyDescent="0.35">
      <c r="A492" s="28" t="s">
        <v>511</v>
      </c>
      <c r="B492" s="32">
        <v>2025</v>
      </c>
      <c r="C492" s="28" t="s">
        <v>515</v>
      </c>
      <c r="D492" s="29">
        <v>45730</v>
      </c>
      <c r="E492" s="28">
        <v>246779411418</v>
      </c>
      <c r="F492" s="28" t="s">
        <v>11</v>
      </c>
      <c r="G492" s="30">
        <v>312.5</v>
      </c>
      <c r="H492" s="28" t="s">
        <v>59</v>
      </c>
      <c r="I492" s="30">
        <v>27091.02</v>
      </c>
      <c r="J492" s="28" t="s">
        <v>848</v>
      </c>
      <c r="K492" s="28" cm="1">
        <f t="array" ref="K492:L492">VLOOKUP(E492,[1]A023951!D$1:H$1114,{3,5},0)</f>
        <v>-312.5</v>
      </c>
      <c r="L492" s="28">
        <v>-27200.75</v>
      </c>
      <c r="M492" s="31">
        <f t="shared" si="14"/>
        <v>-109.72999999999956</v>
      </c>
    </row>
    <row r="493" spans="1:13" x14ac:dyDescent="0.35">
      <c r="A493" s="28" t="s">
        <v>511</v>
      </c>
      <c r="B493" s="32">
        <v>2025</v>
      </c>
      <c r="C493" s="28" t="s">
        <v>515</v>
      </c>
      <c r="D493" s="29">
        <v>45730</v>
      </c>
      <c r="E493" s="28">
        <v>246779412202</v>
      </c>
      <c r="F493" s="28" t="s">
        <v>11</v>
      </c>
      <c r="G493" s="30">
        <v>40.06</v>
      </c>
      <c r="H493" s="28" t="s">
        <v>59</v>
      </c>
      <c r="I493" s="30">
        <v>3472.85</v>
      </c>
      <c r="J493" s="28" t="s">
        <v>848</v>
      </c>
      <c r="K493" s="28" t="e" cm="1">
        <f t="array" ref="K493">VLOOKUP(E493,[1]A023951!D$1:H$1114,{3,5},0)</f>
        <v>#N/A</v>
      </c>
      <c r="L493" s="28"/>
      <c r="M493" s="28"/>
    </row>
    <row r="494" spans="1:13" x14ac:dyDescent="0.35">
      <c r="A494" s="28" t="s">
        <v>511</v>
      </c>
      <c r="B494" s="32">
        <v>2025</v>
      </c>
      <c r="C494" s="28" t="s">
        <v>515</v>
      </c>
      <c r="D494" s="29">
        <v>45730</v>
      </c>
      <c r="E494" s="28">
        <v>246779412203</v>
      </c>
      <c r="F494" s="28" t="s">
        <v>11</v>
      </c>
      <c r="G494" s="30">
        <v>28.62</v>
      </c>
      <c r="H494" s="28" t="s">
        <v>59</v>
      </c>
      <c r="I494" s="30">
        <v>2481.1</v>
      </c>
      <c r="J494" s="28" t="s">
        <v>848</v>
      </c>
      <c r="K494" s="28" t="e" cm="1">
        <f t="array" ref="K494">VLOOKUP(E494,[1]A023951!D$1:H$1114,{3,5},0)</f>
        <v>#N/A</v>
      </c>
      <c r="L494" s="28"/>
      <c r="M494" s="28"/>
    </row>
    <row r="495" spans="1:13" x14ac:dyDescent="0.35">
      <c r="A495" s="28" t="s">
        <v>511</v>
      </c>
      <c r="B495" s="32">
        <v>2025</v>
      </c>
      <c r="C495" s="28" t="s">
        <v>515</v>
      </c>
      <c r="D495" s="29">
        <v>45730</v>
      </c>
      <c r="E495" s="28">
        <v>246779412204</v>
      </c>
      <c r="F495" s="28" t="s">
        <v>11</v>
      </c>
      <c r="G495" s="30">
        <v>22.89</v>
      </c>
      <c r="H495" s="28" t="s">
        <v>59</v>
      </c>
      <c r="I495" s="30">
        <v>1984.36</v>
      </c>
      <c r="J495" s="28" t="s">
        <v>848</v>
      </c>
      <c r="K495" s="28" t="e" cm="1">
        <f t="array" ref="K495">VLOOKUP(E495,[1]A023951!D$1:H$1114,{3,5},0)</f>
        <v>#N/A</v>
      </c>
      <c r="L495" s="28"/>
      <c r="M495" s="28"/>
    </row>
    <row r="496" spans="1:13" x14ac:dyDescent="0.35">
      <c r="A496" s="28" t="s">
        <v>511</v>
      </c>
      <c r="B496" s="32">
        <v>2025</v>
      </c>
      <c r="C496" s="28" t="s">
        <v>515</v>
      </c>
      <c r="D496" s="29">
        <v>45730</v>
      </c>
      <c r="E496" s="28">
        <v>246779412205</v>
      </c>
      <c r="F496" s="28" t="s">
        <v>11</v>
      </c>
      <c r="G496" s="30">
        <v>114.46</v>
      </c>
      <c r="H496" s="28" t="s">
        <v>59</v>
      </c>
      <c r="I496" s="30">
        <v>9922.68</v>
      </c>
      <c r="J496" s="28" t="s">
        <v>848</v>
      </c>
      <c r="K496" s="28" t="e" cm="1">
        <f t="array" ref="K496">VLOOKUP(E496,[1]A023951!D$1:H$1114,{3,5},0)</f>
        <v>#N/A</v>
      </c>
      <c r="L496" s="28"/>
      <c r="M496" s="28"/>
    </row>
    <row r="497" spans="1:13" x14ac:dyDescent="0.35">
      <c r="A497" s="28" t="s">
        <v>511</v>
      </c>
      <c r="B497" s="32">
        <v>2025</v>
      </c>
      <c r="C497" s="28" t="s">
        <v>515</v>
      </c>
      <c r="D497" s="29">
        <v>45730</v>
      </c>
      <c r="E497" s="28">
        <v>246779412206</v>
      </c>
      <c r="F497" s="28" t="s">
        <v>11</v>
      </c>
      <c r="G497" s="30">
        <v>68.680000000000007</v>
      </c>
      <c r="H497" s="28" t="s">
        <v>59</v>
      </c>
      <c r="I497" s="30">
        <v>5953.96</v>
      </c>
      <c r="J497" s="28" t="s">
        <v>848</v>
      </c>
      <c r="K497" s="28" t="e" cm="1">
        <f t="array" ref="K497">VLOOKUP(E497,[1]A023951!D$1:H$1114,{3,5},0)</f>
        <v>#N/A</v>
      </c>
      <c r="L497" s="28"/>
      <c r="M497" s="28"/>
    </row>
    <row r="498" spans="1:13" x14ac:dyDescent="0.35">
      <c r="A498" s="28" t="s">
        <v>511</v>
      </c>
      <c r="B498" s="32">
        <v>2025</v>
      </c>
      <c r="C498" s="28" t="s">
        <v>515</v>
      </c>
      <c r="D498" s="29">
        <v>45730</v>
      </c>
      <c r="E498" s="28">
        <v>246779412196</v>
      </c>
      <c r="F498" s="28" t="s">
        <v>11</v>
      </c>
      <c r="G498" s="30">
        <v>57.23</v>
      </c>
      <c r="H498" s="28" t="s">
        <v>59</v>
      </c>
      <c r="I498" s="30">
        <v>4961.34</v>
      </c>
      <c r="J498" s="28" t="s">
        <v>848</v>
      </c>
      <c r="K498" s="28" t="e" cm="1">
        <f t="array" ref="K498">VLOOKUP(E498,[1]A023951!D$1:H$1114,{3,5},0)</f>
        <v>#N/A</v>
      </c>
      <c r="L498" s="28"/>
      <c r="M498" s="28"/>
    </row>
    <row r="499" spans="1:13" x14ac:dyDescent="0.35">
      <c r="A499" s="28" t="s">
        <v>511</v>
      </c>
      <c r="B499" s="32">
        <v>2025</v>
      </c>
      <c r="C499" s="28" t="s">
        <v>515</v>
      </c>
      <c r="D499" s="29">
        <v>45730</v>
      </c>
      <c r="E499" s="28">
        <v>246779412201</v>
      </c>
      <c r="F499" s="28" t="s">
        <v>11</v>
      </c>
      <c r="G499" s="30">
        <v>20.03</v>
      </c>
      <c r="H499" s="28" t="s">
        <v>59</v>
      </c>
      <c r="I499" s="30">
        <v>1736.43</v>
      </c>
      <c r="J499" s="28" t="s">
        <v>848</v>
      </c>
      <c r="K499" s="28" t="e" cm="1">
        <f t="array" ref="K499">VLOOKUP(E499,[1]A023951!D$1:H$1114,{3,5},0)</f>
        <v>#N/A</v>
      </c>
      <c r="L499" s="28"/>
      <c r="M499" s="28"/>
    </row>
    <row r="500" spans="1:13" x14ac:dyDescent="0.35">
      <c r="A500" s="28" t="s">
        <v>511</v>
      </c>
      <c r="B500" s="32">
        <v>2025</v>
      </c>
      <c r="C500" s="28" t="s">
        <v>515</v>
      </c>
      <c r="D500" s="29">
        <v>45848</v>
      </c>
      <c r="E500" s="28">
        <v>256779415289</v>
      </c>
      <c r="F500" s="28" t="s">
        <v>11</v>
      </c>
      <c r="G500" s="30">
        <v>250</v>
      </c>
      <c r="H500" s="28" t="s">
        <v>59</v>
      </c>
      <c r="I500" s="30">
        <v>21500.17</v>
      </c>
      <c r="J500" s="28" t="s">
        <v>845</v>
      </c>
      <c r="K500" s="28" cm="1">
        <f t="array" ref="K500:L500">VLOOKUP(E500,[1]A023951!D$1:H$1114,{3,5},0)</f>
        <v>-250</v>
      </c>
      <c r="L500" s="28">
        <v>-22117.5</v>
      </c>
      <c r="M500" s="31">
        <f t="shared" ref="M500:M506" si="15">I500+L500</f>
        <v>-617.33000000000175</v>
      </c>
    </row>
    <row r="501" spans="1:13" x14ac:dyDescent="0.35">
      <c r="A501" s="28" t="s">
        <v>511</v>
      </c>
      <c r="B501" s="32">
        <v>2025</v>
      </c>
      <c r="C501" s="28" t="s">
        <v>515</v>
      </c>
      <c r="D501" s="29">
        <v>45848</v>
      </c>
      <c r="E501" s="28">
        <v>256779415290</v>
      </c>
      <c r="F501" s="28" t="s">
        <v>11</v>
      </c>
      <c r="G501" s="30">
        <v>24</v>
      </c>
      <c r="H501" s="28" t="s">
        <v>59</v>
      </c>
      <c r="I501" s="30">
        <v>2064.02</v>
      </c>
      <c r="J501" s="28" t="s">
        <v>590</v>
      </c>
      <c r="K501" s="28" cm="1">
        <f t="array" ref="K501:L501">VLOOKUP(E501,[1]A023951!D$1:H$1114,{3,5},0)</f>
        <v>-24</v>
      </c>
      <c r="L501" s="28">
        <v>-2123.2800000000002</v>
      </c>
      <c r="M501" s="31">
        <f t="shared" si="15"/>
        <v>-59.260000000000218</v>
      </c>
    </row>
    <row r="502" spans="1:13" x14ac:dyDescent="0.35">
      <c r="A502" s="28" t="s">
        <v>511</v>
      </c>
      <c r="B502" s="32">
        <v>2025</v>
      </c>
      <c r="C502" s="28" t="s">
        <v>515</v>
      </c>
      <c r="D502" s="29">
        <v>45848</v>
      </c>
      <c r="E502" s="28">
        <v>256779415291</v>
      </c>
      <c r="F502" s="28" t="s">
        <v>11</v>
      </c>
      <c r="G502" s="30">
        <v>24</v>
      </c>
      <c r="H502" s="28" t="s">
        <v>59</v>
      </c>
      <c r="I502" s="30">
        <v>2064.02</v>
      </c>
      <c r="J502" s="28" t="s">
        <v>837</v>
      </c>
      <c r="K502" s="28" cm="1">
        <f t="array" ref="K502:L502">VLOOKUP(E502,[1]A023951!D$1:H$1114,{3,5},0)</f>
        <v>-24</v>
      </c>
      <c r="L502" s="28">
        <v>-2123.2800000000002</v>
      </c>
      <c r="M502" s="31">
        <f t="shared" si="15"/>
        <v>-59.260000000000218</v>
      </c>
    </row>
    <row r="503" spans="1:13" x14ac:dyDescent="0.35">
      <c r="A503" s="28" t="s">
        <v>511</v>
      </c>
      <c r="B503" s="32">
        <v>2025</v>
      </c>
      <c r="C503" s="28" t="s">
        <v>515</v>
      </c>
      <c r="D503" s="29">
        <v>45848</v>
      </c>
      <c r="E503" s="28">
        <v>256779415292</v>
      </c>
      <c r="F503" s="28" t="s">
        <v>11</v>
      </c>
      <c r="G503" s="30">
        <v>24</v>
      </c>
      <c r="H503" s="28" t="s">
        <v>59</v>
      </c>
      <c r="I503" s="30">
        <v>2064.02</v>
      </c>
      <c r="J503" s="28" t="s">
        <v>837</v>
      </c>
      <c r="K503" s="28" cm="1">
        <f t="array" ref="K503:L503">VLOOKUP(E503,[1]A023951!D$1:H$1114,{3,5},0)</f>
        <v>-24</v>
      </c>
      <c r="L503" s="28">
        <v>-2123.2800000000002</v>
      </c>
      <c r="M503" s="31">
        <f t="shared" si="15"/>
        <v>-59.260000000000218</v>
      </c>
    </row>
    <row r="504" spans="1:13" x14ac:dyDescent="0.35">
      <c r="A504" s="28" t="s">
        <v>511</v>
      </c>
      <c r="B504" s="32">
        <v>2025</v>
      </c>
      <c r="C504" s="28" t="s">
        <v>515</v>
      </c>
      <c r="D504" s="29">
        <v>45848</v>
      </c>
      <c r="E504" s="28">
        <v>256779415293</v>
      </c>
      <c r="F504" s="28" t="s">
        <v>11</v>
      </c>
      <c r="G504" s="30">
        <v>24</v>
      </c>
      <c r="H504" s="28" t="s">
        <v>59</v>
      </c>
      <c r="I504" s="30">
        <v>2064.02</v>
      </c>
      <c r="J504" s="28" t="s">
        <v>837</v>
      </c>
      <c r="K504" s="28" cm="1">
        <f t="array" ref="K504:L504">VLOOKUP(E504,[1]A023951!D$1:H$1114,{3,5},0)</f>
        <v>-24</v>
      </c>
      <c r="L504" s="28">
        <v>-2123.2800000000002</v>
      </c>
      <c r="M504" s="31">
        <f t="shared" si="15"/>
        <v>-59.260000000000218</v>
      </c>
    </row>
    <row r="505" spans="1:13" x14ac:dyDescent="0.35">
      <c r="A505" s="28" t="s">
        <v>511</v>
      </c>
      <c r="B505" s="32">
        <v>2025</v>
      </c>
      <c r="C505" s="28" t="s">
        <v>515</v>
      </c>
      <c r="D505" s="29">
        <v>45848</v>
      </c>
      <c r="E505" s="28">
        <v>256779415294</v>
      </c>
      <c r="F505" s="28" t="s">
        <v>11</v>
      </c>
      <c r="G505" s="30">
        <v>24</v>
      </c>
      <c r="H505" s="28" t="s">
        <v>59</v>
      </c>
      <c r="I505" s="30">
        <v>2064.02</v>
      </c>
      <c r="J505" s="28" t="s">
        <v>837</v>
      </c>
      <c r="K505" s="28" cm="1">
        <f t="array" ref="K505:L505">VLOOKUP(E505,[1]A023951!D$1:H$1114,{3,5},0)</f>
        <v>-24</v>
      </c>
      <c r="L505" s="28">
        <v>-2123.2800000000002</v>
      </c>
      <c r="M505" s="31">
        <f t="shared" si="15"/>
        <v>-59.260000000000218</v>
      </c>
    </row>
    <row r="506" spans="1:13" x14ac:dyDescent="0.35">
      <c r="A506" s="28" t="s">
        <v>511</v>
      </c>
      <c r="B506" s="32">
        <v>2025</v>
      </c>
      <c r="C506" s="28" t="s">
        <v>515</v>
      </c>
      <c r="D506" s="29">
        <v>45848</v>
      </c>
      <c r="E506" s="28">
        <v>256779415295</v>
      </c>
      <c r="F506" s="28" t="s">
        <v>11</v>
      </c>
      <c r="G506" s="30">
        <v>24</v>
      </c>
      <c r="H506" s="28" t="s">
        <v>59</v>
      </c>
      <c r="I506" s="30">
        <v>2064.02</v>
      </c>
      <c r="J506" s="28" t="s">
        <v>837</v>
      </c>
      <c r="K506" s="28" cm="1">
        <f t="array" ref="K506:L506">VLOOKUP(E506,[1]A023951!D$1:H$1114,{3,5},0)</f>
        <v>-24</v>
      </c>
      <c r="L506" s="28">
        <v>-2123.2800000000002</v>
      </c>
      <c r="M506" s="31">
        <f t="shared" si="15"/>
        <v>-59.260000000000218</v>
      </c>
    </row>
    <row r="507" spans="1:13" x14ac:dyDescent="0.35">
      <c r="A507" s="28" t="s">
        <v>511</v>
      </c>
      <c r="B507" s="32">
        <v>2025</v>
      </c>
      <c r="C507" s="28" t="s">
        <v>515</v>
      </c>
      <c r="D507" s="29">
        <v>45848</v>
      </c>
      <c r="E507" s="28">
        <v>256779415296</v>
      </c>
      <c r="F507" s="28" t="s">
        <v>11</v>
      </c>
      <c r="G507" s="30">
        <v>24</v>
      </c>
      <c r="H507" s="28" t="s">
        <v>59</v>
      </c>
      <c r="I507" s="30">
        <v>2064.02</v>
      </c>
      <c r="J507" s="28" t="s">
        <v>837</v>
      </c>
      <c r="K507" s="28" t="e" cm="1">
        <f t="array" ref="K507">VLOOKUP(E507,[1]A023951!D$1:H$1114,{3,5},0)</f>
        <v>#N/A</v>
      </c>
      <c r="L507" s="28"/>
      <c r="M507" s="28"/>
    </row>
    <row r="508" spans="1:13" x14ac:dyDescent="0.35">
      <c r="A508" s="28" t="s">
        <v>511</v>
      </c>
      <c r="B508" s="32">
        <v>2025</v>
      </c>
      <c r="C508" s="28" t="s">
        <v>515</v>
      </c>
      <c r="D508" s="29">
        <v>45848</v>
      </c>
      <c r="E508" s="28">
        <v>256779415297</v>
      </c>
      <c r="F508" s="28" t="s">
        <v>11</v>
      </c>
      <c r="G508" s="30">
        <v>24</v>
      </c>
      <c r="H508" s="28" t="s">
        <v>59</v>
      </c>
      <c r="I508" s="30">
        <v>2064.02</v>
      </c>
      <c r="J508" s="28" t="s">
        <v>837</v>
      </c>
      <c r="K508" s="28" cm="1">
        <f t="array" ref="K508:L508">VLOOKUP(E508,[1]A023951!D$1:H$1114,{3,5},0)</f>
        <v>-24</v>
      </c>
      <c r="L508" s="28">
        <v>-2123.2800000000002</v>
      </c>
      <c r="M508" s="31">
        <f t="shared" ref="M508:M539" si="16">I508+L508</f>
        <v>-59.260000000000218</v>
      </c>
    </row>
    <row r="509" spans="1:13" x14ac:dyDescent="0.35">
      <c r="A509" s="28" t="s">
        <v>511</v>
      </c>
      <c r="B509" s="32">
        <v>2025</v>
      </c>
      <c r="C509" s="28" t="s">
        <v>515</v>
      </c>
      <c r="D509" s="29">
        <v>45848</v>
      </c>
      <c r="E509" s="28">
        <v>256779415298</v>
      </c>
      <c r="F509" s="28" t="s">
        <v>11</v>
      </c>
      <c r="G509" s="30">
        <v>24</v>
      </c>
      <c r="H509" s="28" t="s">
        <v>59</v>
      </c>
      <c r="I509" s="30">
        <v>2064.02</v>
      </c>
      <c r="J509" s="28" t="s">
        <v>837</v>
      </c>
      <c r="K509" s="28" cm="1">
        <f t="array" ref="K509:L509">VLOOKUP(E509,[1]A023951!D$1:H$1114,{3,5},0)</f>
        <v>-24</v>
      </c>
      <c r="L509" s="28">
        <v>-2123.2800000000002</v>
      </c>
      <c r="M509" s="31">
        <f t="shared" si="16"/>
        <v>-59.260000000000218</v>
      </c>
    </row>
    <row r="510" spans="1:13" x14ac:dyDescent="0.35">
      <c r="A510" s="28" t="s">
        <v>511</v>
      </c>
      <c r="B510" s="32">
        <v>2025</v>
      </c>
      <c r="C510" s="28" t="s">
        <v>515</v>
      </c>
      <c r="D510" s="29">
        <v>45848</v>
      </c>
      <c r="E510" s="28">
        <v>256779415299</v>
      </c>
      <c r="F510" s="28" t="s">
        <v>11</v>
      </c>
      <c r="G510" s="30">
        <v>24</v>
      </c>
      <c r="H510" s="28" t="s">
        <v>59</v>
      </c>
      <c r="I510" s="30">
        <v>2064.02</v>
      </c>
      <c r="J510" s="28" t="s">
        <v>837</v>
      </c>
      <c r="K510" s="28" cm="1">
        <f t="array" ref="K510:L510">VLOOKUP(E510,[1]A023951!D$1:H$1114,{3,5},0)</f>
        <v>-24</v>
      </c>
      <c r="L510" s="28">
        <v>-2123.2800000000002</v>
      </c>
      <c r="M510" s="31">
        <f t="shared" si="16"/>
        <v>-59.260000000000218</v>
      </c>
    </row>
    <row r="511" spans="1:13" x14ac:dyDescent="0.35">
      <c r="A511" s="28" t="s">
        <v>511</v>
      </c>
      <c r="B511" s="32">
        <v>2025</v>
      </c>
      <c r="C511" s="28" t="s">
        <v>515</v>
      </c>
      <c r="D511" s="29">
        <v>45848</v>
      </c>
      <c r="E511" s="28">
        <v>256779415300</v>
      </c>
      <c r="F511" s="28" t="s">
        <v>11</v>
      </c>
      <c r="G511" s="30">
        <v>24</v>
      </c>
      <c r="H511" s="28" t="s">
        <v>59</v>
      </c>
      <c r="I511" s="30">
        <v>2064.02</v>
      </c>
      <c r="J511" s="28" t="s">
        <v>837</v>
      </c>
      <c r="K511" s="28" cm="1">
        <f t="array" ref="K511:L511">VLOOKUP(E511,[1]A023951!D$1:H$1114,{3,5},0)</f>
        <v>-24</v>
      </c>
      <c r="L511" s="28">
        <v>-2123.2800000000002</v>
      </c>
      <c r="M511" s="31">
        <f t="shared" si="16"/>
        <v>-59.260000000000218</v>
      </c>
    </row>
    <row r="512" spans="1:13" x14ac:dyDescent="0.35">
      <c r="A512" s="28" t="s">
        <v>511</v>
      </c>
      <c r="B512" s="32">
        <v>2025</v>
      </c>
      <c r="C512" s="28" t="s">
        <v>515</v>
      </c>
      <c r="D512" s="29">
        <v>45848</v>
      </c>
      <c r="E512" s="28">
        <v>256779415301</v>
      </c>
      <c r="F512" s="28" t="s">
        <v>11</v>
      </c>
      <c r="G512" s="30">
        <v>30</v>
      </c>
      <c r="H512" s="28" t="s">
        <v>59</v>
      </c>
      <c r="I512" s="30">
        <v>2580.02</v>
      </c>
      <c r="J512" s="28" t="s">
        <v>588</v>
      </c>
      <c r="K512" s="28" cm="1">
        <f t="array" ref="K512:L512">VLOOKUP(E512,[1]A023951!D$1:H$1114,{3,5},0)</f>
        <v>-30</v>
      </c>
      <c r="L512" s="28">
        <v>-2654.1</v>
      </c>
      <c r="M512" s="31">
        <f t="shared" si="16"/>
        <v>-74.079999999999927</v>
      </c>
    </row>
    <row r="513" spans="1:13" x14ac:dyDescent="0.35">
      <c r="A513" s="28" t="s">
        <v>511</v>
      </c>
      <c r="B513" s="32">
        <v>2025</v>
      </c>
      <c r="C513" s="28" t="s">
        <v>515</v>
      </c>
      <c r="D513" s="29">
        <v>45848</v>
      </c>
      <c r="E513" s="28">
        <v>256779415302</v>
      </c>
      <c r="F513" s="28" t="s">
        <v>11</v>
      </c>
      <c r="G513" s="30">
        <v>30</v>
      </c>
      <c r="H513" s="28" t="s">
        <v>59</v>
      </c>
      <c r="I513" s="30">
        <v>2580.02</v>
      </c>
      <c r="J513" s="28" t="s">
        <v>580</v>
      </c>
      <c r="K513" s="28" cm="1">
        <f t="array" ref="K513:L513">VLOOKUP(E513,[1]A023951!D$1:H$1114,{3,5},0)</f>
        <v>-30</v>
      </c>
      <c r="L513" s="28">
        <v>-2654.1</v>
      </c>
      <c r="M513" s="31">
        <f t="shared" si="16"/>
        <v>-74.079999999999927</v>
      </c>
    </row>
    <row r="514" spans="1:13" x14ac:dyDescent="0.35">
      <c r="A514" s="28" t="s">
        <v>511</v>
      </c>
      <c r="B514" s="32">
        <v>2025</v>
      </c>
      <c r="C514" s="28" t="s">
        <v>515</v>
      </c>
      <c r="D514" s="29">
        <v>45848</v>
      </c>
      <c r="E514" s="28">
        <v>256779415309</v>
      </c>
      <c r="F514" s="28" t="s">
        <v>11</v>
      </c>
      <c r="G514" s="30">
        <v>30</v>
      </c>
      <c r="H514" s="28" t="s">
        <v>59</v>
      </c>
      <c r="I514" s="30">
        <v>2580.02</v>
      </c>
      <c r="J514" s="28" t="s">
        <v>844</v>
      </c>
      <c r="K514" s="28" cm="1">
        <f t="array" ref="K514:L514">VLOOKUP(E514,[1]A023951!D$1:H$1114,{3,5},0)</f>
        <v>-30</v>
      </c>
      <c r="L514" s="28">
        <v>-2654.1</v>
      </c>
      <c r="M514" s="31">
        <f t="shared" si="16"/>
        <v>-74.079999999999927</v>
      </c>
    </row>
    <row r="515" spans="1:13" x14ac:dyDescent="0.35">
      <c r="A515" s="28" t="s">
        <v>511</v>
      </c>
      <c r="B515" s="32">
        <v>2025</v>
      </c>
      <c r="C515" s="28" t="s">
        <v>515</v>
      </c>
      <c r="D515" s="29">
        <v>45848</v>
      </c>
      <c r="E515" s="28">
        <v>256779415310</v>
      </c>
      <c r="F515" s="28" t="s">
        <v>11</v>
      </c>
      <c r="G515" s="30">
        <v>30</v>
      </c>
      <c r="H515" s="28" t="s">
        <v>59</v>
      </c>
      <c r="I515" s="30">
        <v>2580.02</v>
      </c>
      <c r="J515" s="28" t="s">
        <v>849</v>
      </c>
      <c r="K515" s="28" cm="1">
        <f t="array" ref="K515:L515">VLOOKUP(E515,[1]A023951!D$1:H$1114,{3,5},0)</f>
        <v>-30</v>
      </c>
      <c r="L515" s="28">
        <v>-2654.1</v>
      </c>
      <c r="M515" s="31">
        <f t="shared" si="16"/>
        <v>-74.079999999999927</v>
      </c>
    </row>
    <row r="516" spans="1:13" x14ac:dyDescent="0.35">
      <c r="A516" s="28" t="s">
        <v>511</v>
      </c>
      <c r="B516" s="32">
        <v>2025</v>
      </c>
      <c r="C516" s="28" t="s">
        <v>515</v>
      </c>
      <c r="D516" s="29">
        <v>45848</v>
      </c>
      <c r="E516" s="28">
        <v>256779415311</v>
      </c>
      <c r="F516" s="28" t="s">
        <v>11</v>
      </c>
      <c r="G516" s="30">
        <v>77.48</v>
      </c>
      <c r="H516" s="28" t="s">
        <v>59</v>
      </c>
      <c r="I516" s="30">
        <v>6663.33</v>
      </c>
      <c r="J516" s="28" t="s">
        <v>585</v>
      </c>
      <c r="K516" s="28" cm="1">
        <f t="array" ref="K516:L516">VLOOKUP(E516,[1]A023951!D$1:H$1114,{3,5},0)</f>
        <v>-77.48</v>
      </c>
      <c r="L516" s="28">
        <v>-6854.66</v>
      </c>
      <c r="M516" s="31">
        <f t="shared" si="16"/>
        <v>-191.32999999999993</v>
      </c>
    </row>
    <row r="517" spans="1:13" x14ac:dyDescent="0.35">
      <c r="A517" s="28" t="s">
        <v>511</v>
      </c>
      <c r="B517" s="32">
        <v>2025</v>
      </c>
      <c r="C517" s="28" t="s">
        <v>515</v>
      </c>
      <c r="D517" s="29">
        <v>45848</v>
      </c>
      <c r="E517" s="28">
        <v>256779415312</v>
      </c>
      <c r="F517" s="28" t="s">
        <v>11</v>
      </c>
      <c r="G517" s="30">
        <v>200</v>
      </c>
      <c r="H517" s="28" t="s">
        <v>59</v>
      </c>
      <c r="I517" s="30">
        <v>17200.13</v>
      </c>
      <c r="J517" s="28" t="s">
        <v>635</v>
      </c>
      <c r="K517" s="28" cm="1">
        <f t="array" ref="K517:L517">VLOOKUP(E517,[1]A023951!D$1:H$1114,{3,5},0)</f>
        <v>-200</v>
      </c>
      <c r="L517" s="28">
        <v>-17694</v>
      </c>
      <c r="M517" s="31">
        <f t="shared" si="16"/>
        <v>-493.86999999999898</v>
      </c>
    </row>
    <row r="518" spans="1:13" x14ac:dyDescent="0.35">
      <c r="A518" s="28" t="s">
        <v>511</v>
      </c>
      <c r="B518" s="32">
        <v>2025</v>
      </c>
      <c r="C518" s="28" t="s">
        <v>515</v>
      </c>
      <c r="D518" s="29">
        <v>45848</v>
      </c>
      <c r="E518" s="28">
        <v>256779415313</v>
      </c>
      <c r="F518" s="28" t="s">
        <v>11</v>
      </c>
      <c r="G518" s="30">
        <v>60</v>
      </c>
      <c r="H518" s="28" t="s">
        <v>59</v>
      </c>
      <c r="I518" s="30">
        <v>5160.04</v>
      </c>
      <c r="J518" s="28" t="s">
        <v>850</v>
      </c>
      <c r="K518" s="28" cm="1">
        <f t="array" ref="K518:L518">VLOOKUP(E518,[1]A023951!D$1:H$1114,{3,5},0)</f>
        <v>-60</v>
      </c>
      <c r="L518" s="28">
        <v>-5308.2</v>
      </c>
      <c r="M518" s="31">
        <f t="shared" si="16"/>
        <v>-148.15999999999985</v>
      </c>
    </row>
    <row r="519" spans="1:13" x14ac:dyDescent="0.35">
      <c r="A519" s="28" t="s">
        <v>511</v>
      </c>
      <c r="B519" s="32">
        <v>2025</v>
      </c>
      <c r="C519" s="28" t="s">
        <v>515</v>
      </c>
      <c r="D519" s="29">
        <v>45848</v>
      </c>
      <c r="E519" s="28">
        <v>256779415314</v>
      </c>
      <c r="F519" s="28" t="s">
        <v>11</v>
      </c>
      <c r="G519" s="30">
        <v>179.14</v>
      </c>
      <c r="H519" s="28" t="s">
        <v>59</v>
      </c>
      <c r="I519" s="30">
        <v>15406.16</v>
      </c>
      <c r="J519" s="28" t="s">
        <v>591</v>
      </c>
      <c r="K519" s="28" cm="1">
        <f t="array" ref="K519:L519">VLOOKUP(E519,[1]A023951!D$1:H$1114,{3,5},0)</f>
        <v>-179.14</v>
      </c>
      <c r="L519" s="28">
        <v>-15848.52</v>
      </c>
      <c r="M519" s="31">
        <f t="shared" si="16"/>
        <v>-442.36000000000058</v>
      </c>
    </row>
    <row r="520" spans="1:13" x14ac:dyDescent="0.35">
      <c r="A520" s="28" t="s">
        <v>511</v>
      </c>
      <c r="B520" s="32">
        <v>2025</v>
      </c>
      <c r="C520" s="28" t="s">
        <v>515</v>
      </c>
      <c r="D520" s="29">
        <v>45848</v>
      </c>
      <c r="E520" s="28">
        <v>256779415315</v>
      </c>
      <c r="F520" s="28" t="s">
        <v>11</v>
      </c>
      <c r="G520" s="30">
        <v>120</v>
      </c>
      <c r="H520" s="28" t="s">
        <v>59</v>
      </c>
      <c r="I520" s="30">
        <v>10320.08</v>
      </c>
      <c r="J520" s="28" t="s">
        <v>592</v>
      </c>
      <c r="K520" s="28" cm="1">
        <f t="array" ref="K520:L520">VLOOKUP(E520,[1]A023951!D$1:H$1114,{3,5},0)</f>
        <v>-120</v>
      </c>
      <c r="L520" s="28">
        <v>-10616.4</v>
      </c>
      <c r="M520" s="31">
        <f t="shared" si="16"/>
        <v>-296.31999999999971</v>
      </c>
    </row>
    <row r="521" spans="1:13" x14ac:dyDescent="0.35">
      <c r="A521" s="28" t="s">
        <v>511</v>
      </c>
      <c r="B521" s="32">
        <v>2025</v>
      </c>
      <c r="C521" s="28" t="s">
        <v>515</v>
      </c>
      <c r="D521" s="29">
        <v>45848</v>
      </c>
      <c r="E521" s="28">
        <v>256779415316</v>
      </c>
      <c r="F521" s="28" t="s">
        <v>11</v>
      </c>
      <c r="G521" s="30">
        <v>60</v>
      </c>
      <c r="H521" s="28" t="s">
        <v>59</v>
      </c>
      <c r="I521" s="30">
        <v>5160.04</v>
      </c>
      <c r="J521" s="28" t="s">
        <v>593</v>
      </c>
      <c r="K521" s="28" cm="1">
        <f t="array" ref="K521:L521">VLOOKUP(E521,[1]A023951!D$1:H$1114,{3,5},0)</f>
        <v>-60</v>
      </c>
      <c r="L521" s="28">
        <v>-5308.2</v>
      </c>
      <c r="M521" s="31">
        <f t="shared" si="16"/>
        <v>-148.15999999999985</v>
      </c>
    </row>
    <row r="522" spans="1:13" x14ac:dyDescent="0.35">
      <c r="A522" s="28" t="s">
        <v>511</v>
      </c>
      <c r="B522" s="32">
        <v>2025</v>
      </c>
      <c r="C522" s="28" t="s">
        <v>515</v>
      </c>
      <c r="D522" s="29">
        <v>45848</v>
      </c>
      <c r="E522" s="28">
        <v>256779415317</v>
      </c>
      <c r="F522" s="28" t="s">
        <v>11</v>
      </c>
      <c r="G522" s="30">
        <v>200</v>
      </c>
      <c r="H522" s="28" t="s">
        <v>59</v>
      </c>
      <c r="I522" s="30">
        <v>17200.13</v>
      </c>
      <c r="J522" s="28" t="s">
        <v>594</v>
      </c>
      <c r="K522" s="28" cm="1">
        <f t="array" ref="K522:L522">VLOOKUP(E522,[1]A023951!D$1:H$1114,{3,5},0)</f>
        <v>-200</v>
      </c>
      <c r="L522" s="28">
        <v>-17694</v>
      </c>
      <c r="M522" s="31">
        <f t="shared" si="16"/>
        <v>-493.86999999999898</v>
      </c>
    </row>
    <row r="523" spans="1:13" x14ac:dyDescent="0.35">
      <c r="A523" s="28" t="s">
        <v>511</v>
      </c>
      <c r="B523" s="32">
        <v>2025</v>
      </c>
      <c r="C523" s="28" t="s">
        <v>515</v>
      </c>
      <c r="D523" s="29">
        <v>45848</v>
      </c>
      <c r="E523" s="28">
        <v>256779415318</v>
      </c>
      <c r="F523" s="28" t="s">
        <v>11</v>
      </c>
      <c r="G523" s="30">
        <v>254.65</v>
      </c>
      <c r="H523" s="28" t="s">
        <v>59</v>
      </c>
      <c r="I523" s="30">
        <v>21900.07</v>
      </c>
      <c r="J523" s="28" t="s">
        <v>597</v>
      </c>
      <c r="K523" s="28" cm="1">
        <f t="array" ref="K523:L523">VLOOKUP(E523,[1]A023951!D$1:H$1114,{3,5},0)</f>
        <v>-254.65</v>
      </c>
      <c r="L523" s="28">
        <v>-22528.89</v>
      </c>
      <c r="M523" s="31">
        <f t="shared" si="16"/>
        <v>-628.81999999999971</v>
      </c>
    </row>
    <row r="524" spans="1:13" x14ac:dyDescent="0.35">
      <c r="A524" s="28" t="s">
        <v>511</v>
      </c>
      <c r="B524" s="32">
        <v>2025</v>
      </c>
      <c r="C524" s="28" t="s">
        <v>515</v>
      </c>
      <c r="D524" s="29">
        <v>45848</v>
      </c>
      <c r="E524" s="28">
        <v>256779415319</v>
      </c>
      <c r="F524" s="28" t="s">
        <v>11</v>
      </c>
      <c r="G524" s="30">
        <v>140.16999999999999</v>
      </c>
      <c r="H524" s="28" t="s">
        <v>59</v>
      </c>
      <c r="I524" s="30">
        <v>12054.71</v>
      </c>
      <c r="J524" s="28" t="s">
        <v>580</v>
      </c>
      <c r="K524" s="28" cm="1">
        <f t="array" ref="K524:L524">VLOOKUP(E524,[1]A023951!D$1:H$1114,{3,5},0)</f>
        <v>-140.16999999999999</v>
      </c>
      <c r="L524" s="28">
        <v>-12400.84</v>
      </c>
      <c r="M524" s="31">
        <f t="shared" si="16"/>
        <v>-346.13000000000102</v>
      </c>
    </row>
    <row r="525" spans="1:13" x14ac:dyDescent="0.35">
      <c r="A525" s="28" t="s">
        <v>511</v>
      </c>
      <c r="B525" s="32">
        <v>2025</v>
      </c>
      <c r="C525" s="28" t="s">
        <v>515</v>
      </c>
      <c r="D525" s="29">
        <v>45848</v>
      </c>
      <c r="E525" s="28">
        <v>256779415320</v>
      </c>
      <c r="F525" s="28" t="s">
        <v>11</v>
      </c>
      <c r="G525" s="30">
        <v>12.5</v>
      </c>
      <c r="H525" s="28" t="s">
        <v>59</v>
      </c>
      <c r="I525" s="30">
        <v>1075.01</v>
      </c>
      <c r="J525" s="28" t="s">
        <v>585</v>
      </c>
      <c r="K525" s="28" cm="1">
        <f t="array" ref="K525:L525">VLOOKUP(E525,[1]A023951!D$1:H$1114,{3,5},0)</f>
        <v>-12.5</v>
      </c>
      <c r="L525" s="28">
        <v>-1105.8800000000001</v>
      </c>
      <c r="M525" s="31">
        <f t="shared" si="16"/>
        <v>-30.870000000000118</v>
      </c>
    </row>
    <row r="526" spans="1:13" x14ac:dyDescent="0.35">
      <c r="A526" s="28" t="s">
        <v>511</v>
      </c>
      <c r="B526" s="32">
        <v>2025</v>
      </c>
      <c r="C526" s="28" t="s">
        <v>515</v>
      </c>
      <c r="D526" s="29">
        <v>45848</v>
      </c>
      <c r="E526" s="28">
        <v>256779415322</v>
      </c>
      <c r="F526" s="28" t="s">
        <v>11</v>
      </c>
      <c r="G526" s="30">
        <v>192</v>
      </c>
      <c r="H526" s="28" t="s">
        <v>59</v>
      </c>
      <c r="I526" s="30">
        <v>16512.13</v>
      </c>
      <c r="J526" s="28" t="s">
        <v>587</v>
      </c>
      <c r="K526" s="28" cm="1">
        <f t="array" ref="K526:L526">VLOOKUP(E526,[1]A023951!D$1:H$1114,{3,5},0)</f>
        <v>-192</v>
      </c>
      <c r="L526" s="28">
        <v>-16986.240000000002</v>
      </c>
      <c r="M526" s="31">
        <f t="shared" si="16"/>
        <v>-474.11000000000058</v>
      </c>
    </row>
    <row r="527" spans="1:13" x14ac:dyDescent="0.35">
      <c r="A527" s="28" t="s">
        <v>511</v>
      </c>
      <c r="B527" s="32">
        <v>2025</v>
      </c>
      <c r="C527" s="28" t="s">
        <v>515</v>
      </c>
      <c r="D527" s="29">
        <v>45848</v>
      </c>
      <c r="E527" s="28">
        <v>256779415323</v>
      </c>
      <c r="F527" s="28" t="s">
        <v>11</v>
      </c>
      <c r="G527" s="30">
        <v>211.75</v>
      </c>
      <c r="H527" s="28" t="s">
        <v>59</v>
      </c>
      <c r="I527" s="30">
        <v>18210.64</v>
      </c>
      <c r="J527" s="28" t="s">
        <v>589</v>
      </c>
      <c r="K527" s="28" cm="1">
        <f t="array" ref="K527:L527">VLOOKUP(E527,[1]A023951!D$1:H$1114,{3,5},0)</f>
        <v>-211.75</v>
      </c>
      <c r="L527" s="28">
        <v>-18733.52</v>
      </c>
      <c r="M527" s="31">
        <f t="shared" si="16"/>
        <v>-522.88000000000102</v>
      </c>
    </row>
    <row r="528" spans="1:13" x14ac:dyDescent="0.35">
      <c r="A528" s="28" t="s">
        <v>511</v>
      </c>
      <c r="B528" s="32">
        <v>2025</v>
      </c>
      <c r="C528" s="28" t="s">
        <v>515</v>
      </c>
      <c r="D528" s="29">
        <v>45848</v>
      </c>
      <c r="E528" s="28">
        <v>256779415324</v>
      </c>
      <c r="F528" s="28" t="s">
        <v>11</v>
      </c>
      <c r="G528" s="30">
        <v>146.65</v>
      </c>
      <c r="H528" s="28" t="s">
        <v>59</v>
      </c>
      <c r="I528" s="30">
        <v>12612</v>
      </c>
      <c r="J528" s="28" t="s">
        <v>585</v>
      </c>
      <c r="K528" s="28" cm="1">
        <f t="array" ref="K528:L528">VLOOKUP(E528,[1]A023951!D$1:H$1114,{3,5},0)</f>
        <v>-146.65</v>
      </c>
      <c r="L528" s="28">
        <v>-12974.13</v>
      </c>
      <c r="M528" s="31">
        <f t="shared" si="16"/>
        <v>-362.1299999999992</v>
      </c>
    </row>
    <row r="529" spans="1:13" x14ac:dyDescent="0.35">
      <c r="A529" s="28" t="s">
        <v>511</v>
      </c>
      <c r="B529" s="32">
        <v>2025</v>
      </c>
      <c r="C529" s="28" t="s">
        <v>515</v>
      </c>
      <c r="D529" s="29">
        <v>45848</v>
      </c>
      <c r="E529" s="28">
        <v>256779415325</v>
      </c>
      <c r="F529" s="28" t="s">
        <v>11</v>
      </c>
      <c r="G529" s="30">
        <v>192</v>
      </c>
      <c r="H529" s="28" t="s">
        <v>59</v>
      </c>
      <c r="I529" s="30">
        <v>16512.13</v>
      </c>
      <c r="J529" s="28" t="s">
        <v>590</v>
      </c>
      <c r="K529" s="28" cm="1">
        <f t="array" ref="K529:L529">VLOOKUP(E529,[1]A023951!D$1:H$1114,{3,5},0)</f>
        <v>-192</v>
      </c>
      <c r="L529" s="28">
        <v>-16986.240000000002</v>
      </c>
      <c r="M529" s="31">
        <f t="shared" si="16"/>
        <v>-474.11000000000058</v>
      </c>
    </row>
    <row r="530" spans="1:13" x14ac:dyDescent="0.35">
      <c r="A530" s="28" t="s">
        <v>511</v>
      </c>
      <c r="B530" s="32">
        <v>2025</v>
      </c>
      <c r="C530" s="28" t="s">
        <v>515</v>
      </c>
      <c r="D530" s="29">
        <v>45848</v>
      </c>
      <c r="E530" s="28">
        <v>256779415326</v>
      </c>
      <c r="F530" s="28" t="s">
        <v>11</v>
      </c>
      <c r="G530" s="30">
        <v>185.05</v>
      </c>
      <c r="H530" s="28" t="s">
        <v>59</v>
      </c>
      <c r="I530" s="30">
        <v>15914.42</v>
      </c>
      <c r="J530" s="28" t="s">
        <v>581</v>
      </c>
      <c r="K530" s="28" cm="1">
        <f t="array" ref="K530:L530">VLOOKUP(E530,[1]A023951!D$1:H$1114,{3,5},0)</f>
        <v>-185.05</v>
      </c>
      <c r="L530" s="28">
        <v>-16371.37</v>
      </c>
      <c r="M530" s="31">
        <f t="shared" si="16"/>
        <v>-456.95000000000073</v>
      </c>
    </row>
    <row r="531" spans="1:13" x14ac:dyDescent="0.35">
      <c r="A531" s="28" t="s">
        <v>511</v>
      </c>
      <c r="B531" s="32">
        <v>2025</v>
      </c>
      <c r="C531" s="28" t="s">
        <v>515</v>
      </c>
      <c r="D531" s="29">
        <v>45848</v>
      </c>
      <c r="E531" s="28">
        <v>256779415327</v>
      </c>
      <c r="F531" s="28" t="s">
        <v>11</v>
      </c>
      <c r="G531" s="30">
        <v>20</v>
      </c>
      <c r="H531" s="28" t="s">
        <v>59</v>
      </c>
      <c r="I531" s="30">
        <v>1720.01</v>
      </c>
      <c r="J531" s="28" t="s">
        <v>580</v>
      </c>
      <c r="K531" s="28" cm="1">
        <f t="array" ref="K531:L531">VLOOKUP(E531,[1]A023951!D$1:H$1114,{3,5},0)</f>
        <v>-20</v>
      </c>
      <c r="L531" s="28">
        <v>-1769.4</v>
      </c>
      <c r="M531" s="31">
        <f t="shared" si="16"/>
        <v>-49.3900000000001</v>
      </c>
    </row>
    <row r="532" spans="1:13" x14ac:dyDescent="0.35">
      <c r="A532" s="28" t="s">
        <v>511</v>
      </c>
      <c r="B532" s="32">
        <v>2025</v>
      </c>
      <c r="C532" s="28" t="s">
        <v>515</v>
      </c>
      <c r="D532" s="29">
        <v>45848</v>
      </c>
      <c r="E532" s="28">
        <v>256779415328</v>
      </c>
      <c r="F532" s="28" t="s">
        <v>11</v>
      </c>
      <c r="G532" s="30">
        <v>22.5</v>
      </c>
      <c r="H532" s="28" t="s">
        <v>59</v>
      </c>
      <c r="I532" s="30">
        <v>1935.02</v>
      </c>
      <c r="J532" s="28" t="s">
        <v>580</v>
      </c>
      <c r="K532" s="28" cm="1">
        <f t="array" ref="K532:L532">VLOOKUP(E532,[1]A023951!D$1:H$1114,{3,5},0)</f>
        <v>-22.5</v>
      </c>
      <c r="L532" s="28">
        <v>-1990.58</v>
      </c>
      <c r="M532" s="31">
        <f t="shared" si="16"/>
        <v>-55.559999999999945</v>
      </c>
    </row>
    <row r="533" spans="1:13" x14ac:dyDescent="0.35">
      <c r="A533" s="28" t="s">
        <v>511</v>
      </c>
      <c r="B533" s="32">
        <v>2025</v>
      </c>
      <c r="C533" s="28" t="s">
        <v>515</v>
      </c>
      <c r="D533" s="29">
        <v>45848</v>
      </c>
      <c r="E533" s="28">
        <v>256779415329</v>
      </c>
      <c r="F533" s="28" t="s">
        <v>11</v>
      </c>
      <c r="G533" s="30">
        <v>27.5</v>
      </c>
      <c r="H533" s="28" t="s">
        <v>59</v>
      </c>
      <c r="I533" s="30">
        <v>2365.02</v>
      </c>
      <c r="J533" s="28" t="s">
        <v>580</v>
      </c>
      <c r="K533" s="28" cm="1">
        <f t="array" ref="K533:L533">VLOOKUP(E533,[1]A023951!D$1:H$1114,{3,5},0)</f>
        <v>-27.5</v>
      </c>
      <c r="L533" s="28">
        <v>-2432.9299999999998</v>
      </c>
      <c r="M533" s="31">
        <f t="shared" si="16"/>
        <v>-67.909999999999854</v>
      </c>
    </row>
    <row r="534" spans="1:13" x14ac:dyDescent="0.35">
      <c r="A534" s="28" t="s">
        <v>511</v>
      </c>
      <c r="B534" s="32">
        <v>2025</v>
      </c>
      <c r="C534" s="28" t="s">
        <v>515</v>
      </c>
      <c r="D534" s="29">
        <v>45848</v>
      </c>
      <c r="E534" s="28">
        <v>256779415330</v>
      </c>
      <c r="F534" s="28" t="s">
        <v>11</v>
      </c>
      <c r="G534" s="30">
        <v>22.5</v>
      </c>
      <c r="H534" s="28" t="s">
        <v>59</v>
      </c>
      <c r="I534" s="30">
        <v>1935.02</v>
      </c>
      <c r="J534" s="28" t="s">
        <v>580</v>
      </c>
      <c r="K534" s="28" cm="1">
        <f t="array" ref="K534:L534">VLOOKUP(E534,[1]A023951!D$1:H$1114,{3,5},0)</f>
        <v>-22.5</v>
      </c>
      <c r="L534" s="28">
        <v>-1990.58</v>
      </c>
      <c r="M534" s="31">
        <f t="shared" si="16"/>
        <v>-55.559999999999945</v>
      </c>
    </row>
    <row r="535" spans="1:13" x14ac:dyDescent="0.35">
      <c r="A535" s="28" t="s">
        <v>511</v>
      </c>
      <c r="B535" s="32">
        <v>2025</v>
      </c>
      <c r="C535" s="28" t="s">
        <v>515</v>
      </c>
      <c r="D535" s="29">
        <v>45848</v>
      </c>
      <c r="E535" s="28">
        <v>256779415331</v>
      </c>
      <c r="F535" s="28" t="s">
        <v>11</v>
      </c>
      <c r="G535" s="30">
        <v>22.5</v>
      </c>
      <c r="H535" s="28" t="s">
        <v>59</v>
      </c>
      <c r="I535" s="30">
        <v>1935.02</v>
      </c>
      <c r="J535" s="28" t="s">
        <v>580</v>
      </c>
      <c r="K535" s="28" cm="1">
        <f t="array" ref="K535:L535">VLOOKUP(E535,[1]A023951!D$1:H$1114,{3,5},0)</f>
        <v>-22.5</v>
      </c>
      <c r="L535" s="28">
        <v>-1990.58</v>
      </c>
      <c r="M535" s="31">
        <f t="shared" si="16"/>
        <v>-55.559999999999945</v>
      </c>
    </row>
    <row r="536" spans="1:13" x14ac:dyDescent="0.35">
      <c r="A536" s="28" t="s">
        <v>511</v>
      </c>
      <c r="B536" s="32">
        <v>2025</v>
      </c>
      <c r="C536" s="28" t="s">
        <v>515</v>
      </c>
      <c r="D536" s="29">
        <v>45848</v>
      </c>
      <c r="E536" s="28">
        <v>256779415332</v>
      </c>
      <c r="F536" s="28" t="s">
        <v>11</v>
      </c>
      <c r="G536" s="30">
        <v>2.5</v>
      </c>
      <c r="H536" s="28" t="s">
        <v>59</v>
      </c>
      <c r="I536" s="30">
        <v>215</v>
      </c>
      <c r="J536" s="28" t="s">
        <v>580</v>
      </c>
      <c r="K536" s="28" cm="1">
        <f t="array" ref="K536:L536">VLOOKUP(E536,[1]A023951!D$1:H$1114,{3,5},0)</f>
        <v>-2.5</v>
      </c>
      <c r="L536" s="28">
        <v>-221.18</v>
      </c>
      <c r="M536" s="31">
        <f t="shared" si="16"/>
        <v>-6.1800000000000068</v>
      </c>
    </row>
    <row r="537" spans="1:13" x14ac:dyDescent="0.35">
      <c r="A537" s="28" t="s">
        <v>511</v>
      </c>
      <c r="B537" s="32">
        <v>2025</v>
      </c>
      <c r="C537" s="28" t="s">
        <v>515</v>
      </c>
      <c r="D537" s="29">
        <v>45848</v>
      </c>
      <c r="E537" s="28">
        <v>256779415333</v>
      </c>
      <c r="F537" s="28" t="s">
        <v>11</v>
      </c>
      <c r="G537" s="30">
        <v>22.5</v>
      </c>
      <c r="H537" s="28" t="s">
        <v>59</v>
      </c>
      <c r="I537" s="30">
        <v>1935.02</v>
      </c>
      <c r="J537" s="28" t="s">
        <v>807</v>
      </c>
      <c r="K537" s="28" cm="1">
        <f t="array" ref="K537:L537">VLOOKUP(E537,[1]A023951!D$1:H$1114,{3,5},0)</f>
        <v>-22.5</v>
      </c>
      <c r="L537" s="28">
        <v>-1990.58</v>
      </c>
      <c r="M537" s="31">
        <f t="shared" si="16"/>
        <v>-55.559999999999945</v>
      </c>
    </row>
    <row r="538" spans="1:13" x14ac:dyDescent="0.35">
      <c r="A538" s="28" t="s">
        <v>511</v>
      </c>
      <c r="B538" s="32">
        <v>2025</v>
      </c>
      <c r="C538" s="28" t="s">
        <v>515</v>
      </c>
      <c r="D538" s="29">
        <v>45848</v>
      </c>
      <c r="E538" s="28">
        <v>256779415334</v>
      </c>
      <c r="F538" s="28" t="s">
        <v>11</v>
      </c>
      <c r="G538" s="30">
        <v>22.5</v>
      </c>
      <c r="H538" s="28" t="s">
        <v>59</v>
      </c>
      <c r="I538" s="30">
        <v>1935.02</v>
      </c>
      <c r="J538" s="28" t="s">
        <v>807</v>
      </c>
      <c r="K538" s="28" cm="1">
        <f t="array" ref="K538:L538">VLOOKUP(E538,[1]A023951!D$1:H$1114,{3,5},0)</f>
        <v>-22.5</v>
      </c>
      <c r="L538" s="28">
        <v>-1990.58</v>
      </c>
      <c r="M538" s="31">
        <f t="shared" si="16"/>
        <v>-55.559999999999945</v>
      </c>
    </row>
    <row r="539" spans="1:13" x14ac:dyDescent="0.35">
      <c r="A539" s="28" t="s">
        <v>511</v>
      </c>
      <c r="B539" s="32">
        <v>2025</v>
      </c>
      <c r="C539" s="28" t="s">
        <v>515</v>
      </c>
      <c r="D539" s="29">
        <v>45848</v>
      </c>
      <c r="E539" s="28">
        <v>256779415335</v>
      </c>
      <c r="F539" s="28" t="s">
        <v>11</v>
      </c>
      <c r="G539" s="30">
        <v>25</v>
      </c>
      <c r="H539" s="28" t="s">
        <v>59</v>
      </c>
      <c r="I539" s="30">
        <v>2150.02</v>
      </c>
      <c r="J539" s="28" t="s">
        <v>807</v>
      </c>
      <c r="K539" s="28" cm="1">
        <f t="array" ref="K539:L539">VLOOKUP(E539,[1]A023951!D$1:H$1114,{3,5},0)</f>
        <v>-25</v>
      </c>
      <c r="L539" s="28">
        <v>-2211.75</v>
      </c>
      <c r="M539" s="31">
        <f t="shared" si="16"/>
        <v>-61.730000000000018</v>
      </c>
    </row>
    <row r="540" spans="1:13" x14ac:dyDescent="0.35">
      <c r="A540" s="28" t="s">
        <v>511</v>
      </c>
      <c r="B540" s="32">
        <v>2025</v>
      </c>
      <c r="C540" s="28" t="s">
        <v>515</v>
      </c>
      <c r="D540" s="29">
        <v>45848</v>
      </c>
      <c r="E540" s="28">
        <v>256779415337</v>
      </c>
      <c r="F540" s="28" t="s">
        <v>11</v>
      </c>
      <c r="G540" s="30">
        <v>17.5</v>
      </c>
      <c r="H540" s="28" t="s">
        <v>59</v>
      </c>
      <c r="I540" s="30">
        <v>1505.01</v>
      </c>
      <c r="J540" s="28" t="s">
        <v>807</v>
      </c>
      <c r="K540" s="28" cm="1">
        <f t="array" ref="K540:L540">VLOOKUP(E540,[1]A023951!D$1:H$1114,{3,5},0)</f>
        <v>-17.5</v>
      </c>
      <c r="L540" s="28">
        <v>-1548.23</v>
      </c>
      <c r="M540" s="31">
        <f t="shared" ref="M540:M564" si="17">I540+L540</f>
        <v>-43.220000000000027</v>
      </c>
    </row>
    <row r="541" spans="1:13" x14ac:dyDescent="0.35">
      <c r="A541" s="28" t="s">
        <v>511</v>
      </c>
      <c r="B541" s="32">
        <v>2025</v>
      </c>
      <c r="C541" s="28" t="s">
        <v>515</v>
      </c>
      <c r="D541" s="29">
        <v>45848</v>
      </c>
      <c r="E541" s="28">
        <v>256779415338</v>
      </c>
      <c r="F541" s="28" t="s">
        <v>11</v>
      </c>
      <c r="G541" s="30">
        <v>12.5</v>
      </c>
      <c r="H541" s="28" t="s">
        <v>59</v>
      </c>
      <c r="I541" s="30">
        <v>1075.01</v>
      </c>
      <c r="J541" s="28" t="s">
        <v>807</v>
      </c>
      <c r="K541" s="28" cm="1">
        <f t="array" ref="K541:L541">VLOOKUP(E541,[1]A023951!D$1:H$1114,{3,5},0)</f>
        <v>-12.5</v>
      </c>
      <c r="L541" s="28">
        <v>-1105.8800000000001</v>
      </c>
      <c r="M541" s="31">
        <f t="shared" si="17"/>
        <v>-30.870000000000118</v>
      </c>
    </row>
    <row r="542" spans="1:13" x14ac:dyDescent="0.35">
      <c r="A542" s="28" t="s">
        <v>511</v>
      </c>
      <c r="B542" s="32">
        <v>2025</v>
      </c>
      <c r="C542" s="28" t="s">
        <v>515</v>
      </c>
      <c r="D542" s="29">
        <v>45848</v>
      </c>
      <c r="E542" s="28">
        <v>256779415340</v>
      </c>
      <c r="F542" s="28" t="s">
        <v>11</v>
      </c>
      <c r="G542" s="30">
        <v>25.84</v>
      </c>
      <c r="H542" s="28" t="s">
        <v>59</v>
      </c>
      <c r="I542" s="30">
        <v>2222.2600000000002</v>
      </c>
      <c r="J542" s="28" t="s">
        <v>807</v>
      </c>
      <c r="K542" s="28" cm="1">
        <f t="array" ref="K542:L542">VLOOKUP(E542,[1]A023951!D$1:H$1114,{3,5},0)</f>
        <v>-25.84</v>
      </c>
      <c r="L542" s="28">
        <v>-2286.06</v>
      </c>
      <c r="M542" s="31">
        <f t="shared" si="17"/>
        <v>-63.799999999999727</v>
      </c>
    </row>
    <row r="543" spans="1:13" x14ac:dyDescent="0.35">
      <c r="A543" s="28" t="s">
        <v>511</v>
      </c>
      <c r="B543" s="32">
        <v>2025</v>
      </c>
      <c r="C543" s="28" t="s">
        <v>515</v>
      </c>
      <c r="D543" s="29">
        <v>45848</v>
      </c>
      <c r="E543" s="28">
        <v>256779415341</v>
      </c>
      <c r="F543" s="28" t="s">
        <v>11</v>
      </c>
      <c r="G543" s="30">
        <v>15</v>
      </c>
      <c r="H543" s="28" t="s">
        <v>59</v>
      </c>
      <c r="I543" s="30">
        <v>1290.01</v>
      </c>
      <c r="J543" s="28" t="s">
        <v>807</v>
      </c>
      <c r="K543" s="28" cm="1">
        <f t="array" ref="K543:L543">VLOOKUP(E543,[1]A023951!D$1:H$1114,{3,5},0)</f>
        <v>-15</v>
      </c>
      <c r="L543" s="28">
        <v>-1327.05</v>
      </c>
      <c r="M543" s="31">
        <f t="shared" si="17"/>
        <v>-37.039999999999964</v>
      </c>
    </row>
    <row r="544" spans="1:13" x14ac:dyDescent="0.35">
      <c r="A544" s="28" t="s">
        <v>511</v>
      </c>
      <c r="B544" s="32">
        <v>2025</v>
      </c>
      <c r="C544" s="28" t="s">
        <v>515</v>
      </c>
      <c r="D544" s="29">
        <v>45848</v>
      </c>
      <c r="E544" s="28">
        <v>256779415342</v>
      </c>
      <c r="F544" s="28" t="s">
        <v>11</v>
      </c>
      <c r="G544" s="30">
        <v>2.5</v>
      </c>
      <c r="H544" s="28" t="s">
        <v>59</v>
      </c>
      <c r="I544" s="30">
        <v>215</v>
      </c>
      <c r="J544" s="28" t="s">
        <v>807</v>
      </c>
      <c r="K544" s="28" cm="1">
        <f t="array" ref="K544:L544">VLOOKUP(E544,[1]A023951!D$1:H$1114,{3,5},0)</f>
        <v>-2.5</v>
      </c>
      <c r="L544" s="28">
        <v>-221.18</v>
      </c>
      <c r="M544" s="31">
        <f t="shared" si="17"/>
        <v>-6.1800000000000068</v>
      </c>
    </row>
    <row r="545" spans="1:13" x14ac:dyDescent="0.35">
      <c r="A545" s="28" t="s">
        <v>511</v>
      </c>
      <c r="B545" s="32">
        <v>2025</v>
      </c>
      <c r="C545" s="28" t="s">
        <v>515</v>
      </c>
      <c r="D545" s="29">
        <v>45848</v>
      </c>
      <c r="E545" s="28">
        <v>256779415343</v>
      </c>
      <c r="F545" s="28" t="s">
        <v>11</v>
      </c>
      <c r="G545" s="30">
        <v>1</v>
      </c>
      <c r="H545" s="28" t="s">
        <v>59</v>
      </c>
      <c r="I545" s="30">
        <v>86</v>
      </c>
      <c r="J545" s="28" t="s">
        <v>851</v>
      </c>
      <c r="K545" s="28" cm="1">
        <f t="array" ref="K545:L545">VLOOKUP(E545,[1]A023951!D$1:H$1114,{3,5},0)</f>
        <v>-1</v>
      </c>
      <c r="L545" s="28">
        <v>-88.47</v>
      </c>
      <c r="M545" s="31">
        <f t="shared" si="17"/>
        <v>-2.4699999999999989</v>
      </c>
    </row>
    <row r="546" spans="1:13" x14ac:dyDescent="0.35">
      <c r="A546" s="28" t="s">
        <v>511</v>
      </c>
      <c r="B546" s="32">
        <v>2025</v>
      </c>
      <c r="C546" s="28" t="s">
        <v>515</v>
      </c>
      <c r="D546" s="29">
        <v>45848</v>
      </c>
      <c r="E546" s="28">
        <v>256779415344</v>
      </c>
      <c r="F546" s="28" t="s">
        <v>11</v>
      </c>
      <c r="G546" s="30">
        <v>25</v>
      </c>
      <c r="H546" s="28" t="s">
        <v>59</v>
      </c>
      <c r="I546" s="30">
        <v>2150.02</v>
      </c>
      <c r="J546" s="28" t="s">
        <v>806</v>
      </c>
      <c r="K546" s="28" cm="1">
        <f t="array" ref="K546:L546">VLOOKUP(E546,[1]A023951!D$1:H$1114,{3,5},0)</f>
        <v>-25</v>
      </c>
      <c r="L546" s="28">
        <v>-2211.75</v>
      </c>
      <c r="M546" s="31">
        <f t="shared" si="17"/>
        <v>-61.730000000000018</v>
      </c>
    </row>
    <row r="547" spans="1:13" x14ac:dyDescent="0.35">
      <c r="A547" s="28" t="s">
        <v>511</v>
      </c>
      <c r="B547" s="32">
        <v>2025</v>
      </c>
      <c r="C547" s="28" t="s">
        <v>515</v>
      </c>
      <c r="D547" s="29">
        <v>45848</v>
      </c>
      <c r="E547" s="28">
        <v>256779415345</v>
      </c>
      <c r="F547" s="28" t="s">
        <v>11</v>
      </c>
      <c r="G547" s="30">
        <v>25</v>
      </c>
      <c r="H547" s="28" t="s">
        <v>59</v>
      </c>
      <c r="I547" s="30">
        <v>2150.02</v>
      </c>
      <c r="J547" s="28" t="s">
        <v>806</v>
      </c>
      <c r="K547" s="28" cm="1">
        <f t="array" ref="K547:L547">VLOOKUP(E547,[1]A023951!D$1:H$1114,{3,5},0)</f>
        <v>-25</v>
      </c>
      <c r="L547" s="28">
        <v>-2211.75</v>
      </c>
      <c r="M547" s="31">
        <f t="shared" si="17"/>
        <v>-61.730000000000018</v>
      </c>
    </row>
    <row r="548" spans="1:13" x14ac:dyDescent="0.35">
      <c r="A548" s="28" t="s">
        <v>511</v>
      </c>
      <c r="B548" s="32">
        <v>2025</v>
      </c>
      <c r="C548" s="28" t="s">
        <v>515</v>
      </c>
      <c r="D548" s="29">
        <v>45848</v>
      </c>
      <c r="E548" s="28">
        <v>256779415346</v>
      </c>
      <c r="F548" s="28" t="s">
        <v>11</v>
      </c>
      <c r="G548" s="30">
        <v>17.5</v>
      </c>
      <c r="H548" s="28" t="s">
        <v>59</v>
      </c>
      <c r="I548" s="30">
        <v>1505.01</v>
      </c>
      <c r="J548" s="28" t="s">
        <v>806</v>
      </c>
      <c r="K548" s="28" cm="1">
        <f t="array" ref="K548:L548">VLOOKUP(E548,[1]A023951!D$1:H$1114,{3,5},0)</f>
        <v>-17.5</v>
      </c>
      <c r="L548" s="28">
        <v>-1548.23</v>
      </c>
      <c r="M548" s="31">
        <f t="shared" si="17"/>
        <v>-43.220000000000027</v>
      </c>
    </row>
    <row r="549" spans="1:13" x14ac:dyDescent="0.35">
      <c r="A549" s="28" t="s">
        <v>511</v>
      </c>
      <c r="B549" s="32">
        <v>2025</v>
      </c>
      <c r="C549" s="28" t="s">
        <v>515</v>
      </c>
      <c r="D549" s="29">
        <v>45848</v>
      </c>
      <c r="E549" s="28">
        <v>256779415347</v>
      </c>
      <c r="F549" s="28" t="s">
        <v>11</v>
      </c>
      <c r="G549" s="30">
        <v>20</v>
      </c>
      <c r="H549" s="28" t="s">
        <v>59</v>
      </c>
      <c r="I549" s="30">
        <v>1720.01</v>
      </c>
      <c r="J549" s="28" t="s">
        <v>806</v>
      </c>
      <c r="K549" s="28" cm="1">
        <f t="array" ref="K549:L549">VLOOKUP(E549,[1]A023951!D$1:H$1114,{3,5},0)</f>
        <v>-20</v>
      </c>
      <c r="L549" s="28">
        <v>-1769.4</v>
      </c>
      <c r="M549" s="31">
        <f t="shared" si="17"/>
        <v>-49.3900000000001</v>
      </c>
    </row>
    <row r="550" spans="1:13" x14ac:dyDescent="0.35">
      <c r="A550" s="28" t="s">
        <v>511</v>
      </c>
      <c r="B550" s="32">
        <v>2025</v>
      </c>
      <c r="C550" s="28" t="s">
        <v>515</v>
      </c>
      <c r="D550" s="29">
        <v>45848</v>
      </c>
      <c r="E550" s="28">
        <v>256779415348</v>
      </c>
      <c r="F550" s="28" t="s">
        <v>11</v>
      </c>
      <c r="G550" s="30">
        <v>7.5</v>
      </c>
      <c r="H550" s="28" t="s">
        <v>59</v>
      </c>
      <c r="I550" s="30">
        <v>645.01</v>
      </c>
      <c r="J550" s="28" t="s">
        <v>806</v>
      </c>
      <c r="K550" s="28" cm="1">
        <f t="array" ref="K550:L550">VLOOKUP(E550,[1]A023951!D$1:H$1114,{3,5},0)</f>
        <v>-7.5</v>
      </c>
      <c r="L550" s="28">
        <v>-663.53</v>
      </c>
      <c r="M550" s="31">
        <f t="shared" si="17"/>
        <v>-18.519999999999982</v>
      </c>
    </row>
    <row r="551" spans="1:13" x14ac:dyDescent="0.35">
      <c r="A551" s="28" t="s">
        <v>511</v>
      </c>
      <c r="B551" s="32">
        <v>2025</v>
      </c>
      <c r="C551" s="28" t="s">
        <v>515</v>
      </c>
      <c r="D551" s="29">
        <v>45848</v>
      </c>
      <c r="E551" s="28">
        <v>256779415349</v>
      </c>
      <c r="F551" s="28" t="s">
        <v>11</v>
      </c>
      <c r="G551" s="30">
        <v>27.5</v>
      </c>
      <c r="H551" s="28" t="s">
        <v>59</v>
      </c>
      <c r="I551" s="30">
        <v>2365.02</v>
      </c>
      <c r="J551" s="28" t="s">
        <v>806</v>
      </c>
      <c r="K551" s="28" cm="1">
        <f t="array" ref="K551:L551">VLOOKUP(E551,[1]A023951!D$1:H$1114,{3,5},0)</f>
        <v>-27.5</v>
      </c>
      <c r="L551" s="28">
        <v>-2432.9299999999998</v>
      </c>
      <c r="M551" s="31">
        <f t="shared" si="17"/>
        <v>-67.909999999999854</v>
      </c>
    </row>
    <row r="552" spans="1:13" x14ac:dyDescent="0.35">
      <c r="A552" s="28" t="s">
        <v>511</v>
      </c>
      <c r="B552" s="32">
        <v>2025</v>
      </c>
      <c r="C552" s="28" t="s">
        <v>515</v>
      </c>
      <c r="D552" s="29">
        <v>45848</v>
      </c>
      <c r="E552" s="28">
        <v>256779415350</v>
      </c>
      <c r="F552" s="28" t="s">
        <v>11</v>
      </c>
      <c r="G552" s="30">
        <v>22.5</v>
      </c>
      <c r="H552" s="28" t="s">
        <v>59</v>
      </c>
      <c r="I552" s="30">
        <v>1935.02</v>
      </c>
      <c r="J552" s="28" t="s">
        <v>806</v>
      </c>
      <c r="K552" s="28" cm="1">
        <f t="array" ref="K552:L552">VLOOKUP(E552,[1]A023951!D$1:H$1114,{3,5},0)</f>
        <v>-22.5</v>
      </c>
      <c r="L552" s="28">
        <v>-1990.58</v>
      </c>
      <c r="M552" s="31">
        <f t="shared" si="17"/>
        <v>-55.559999999999945</v>
      </c>
    </row>
    <row r="553" spans="1:13" x14ac:dyDescent="0.35">
      <c r="A553" s="28" t="s">
        <v>511</v>
      </c>
      <c r="B553" s="32">
        <v>2025</v>
      </c>
      <c r="C553" s="28" t="s">
        <v>515</v>
      </c>
      <c r="D553" s="29">
        <v>45848</v>
      </c>
      <c r="E553" s="28">
        <v>256779415351</v>
      </c>
      <c r="F553" s="28" t="s">
        <v>11</v>
      </c>
      <c r="G553" s="30">
        <v>17.03</v>
      </c>
      <c r="H553" s="28" t="s">
        <v>59</v>
      </c>
      <c r="I553" s="30">
        <v>1464.59</v>
      </c>
      <c r="J553" s="28" t="s">
        <v>662</v>
      </c>
      <c r="K553" s="28" cm="1">
        <f t="array" ref="K553:L553">VLOOKUP(E553,[1]A023951!D$1:H$1114,{3,5},0)</f>
        <v>-17.03</v>
      </c>
      <c r="L553" s="28">
        <v>-1464.4</v>
      </c>
      <c r="M553" s="31">
        <f t="shared" si="17"/>
        <v>0.1899999999998272</v>
      </c>
    </row>
    <row r="554" spans="1:13" x14ac:dyDescent="0.35">
      <c r="A554" s="28" t="s">
        <v>511</v>
      </c>
      <c r="B554" s="32">
        <v>2025</v>
      </c>
      <c r="C554" s="28" t="s">
        <v>515</v>
      </c>
      <c r="D554" s="29">
        <v>45848</v>
      </c>
      <c r="E554" s="28">
        <v>256779415352</v>
      </c>
      <c r="F554" s="28" t="s">
        <v>11</v>
      </c>
      <c r="G554" s="30">
        <v>155.91999999999999</v>
      </c>
      <c r="H554" s="28" t="s">
        <v>59</v>
      </c>
      <c r="I554" s="30">
        <v>13409.22</v>
      </c>
      <c r="J554" s="28" t="s">
        <v>634</v>
      </c>
      <c r="K554" s="28" cm="1">
        <f t="array" ref="K554:L554">VLOOKUP(E554,[1]A023951!D$1:H$1114,{3,5},0)</f>
        <v>-155.91999999999999</v>
      </c>
      <c r="L554" s="28">
        <v>-13794.24</v>
      </c>
      <c r="M554" s="31">
        <f t="shared" si="17"/>
        <v>-385.02000000000044</v>
      </c>
    </row>
    <row r="555" spans="1:13" x14ac:dyDescent="0.35">
      <c r="A555" s="28" t="s">
        <v>511</v>
      </c>
      <c r="B555" s="32">
        <v>2025</v>
      </c>
      <c r="C555" s="28" t="s">
        <v>515</v>
      </c>
      <c r="D555" s="29">
        <v>45848</v>
      </c>
      <c r="E555" s="28">
        <v>256779415353</v>
      </c>
      <c r="F555" s="28" t="s">
        <v>11</v>
      </c>
      <c r="G555" s="30">
        <v>200</v>
      </c>
      <c r="H555" s="28" t="s">
        <v>59</v>
      </c>
      <c r="I555" s="30">
        <v>17200.13</v>
      </c>
      <c r="J555" s="28" t="s">
        <v>635</v>
      </c>
      <c r="K555" s="28" cm="1">
        <f t="array" ref="K555:L555">VLOOKUP(E555,[1]A023951!D$1:H$1114,{3,5},0)</f>
        <v>-200</v>
      </c>
      <c r="L555" s="28">
        <v>-17694</v>
      </c>
      <c r="M555" s="31">
        <f t="shared" si="17"/>
        <v>-493.86999999999898</v>
      </c>
    </row>
    <row r="556" spans="1:13" x14ac:dyDescent="0.35">
      <c r="A556" s="28" t="s">
        <v>511</v>
      </c>
      <c r="B556" s="32">
        <v>2025</v>
      </c>
      <c r="C556" s="28" t="s">
        <v>515</v>
      </c>
      <c r="D556" s="29">
        <v>45848</v>
      </c>
      <c r="E556" s="28">
        <v>256779415354</v>
      </c>
      <c r="F556" s="28" t="s">
        <v>11</v>
      </c>
      <c r="G556" s="30">
        <v>60</v>
      </c>
      <c r="H556" s="28" t="s">
        <v>59</v>
      </c>
      <c r="I556" s="30">
        <v>5160.04</v>
      </c>
      <c r="J556" s="28" t="s">
        <v>636</v>
      </c>
      <c r="K556" s="28" cm="1">
        <f t="array" ref="K556:L556">VLOOKUP(E556,[1]A023951!D$1:H$1114,{3,5},0)</f>
        <v>-60</v>
      </c>
      <c r="L556" s="28">
        <v>-5308.2</v>
      </c>
      <c r="M556" s="31">
        <f t="shared" si="17"/>
        <v>-148.15999999999985</v>
      </c>
    </row>
    <row r="557" spans="1:13" x14ac:dyDescent="0.35">
      <c r="A557" s="28" t="s">
        <v>511</v>
      </c>
      <c r="B557" s="32">
        <v>2025</v>
      </c>
      <c r="C557" s="28" t="s">
        <v>515</v>
      </c>
      <c r="D557" s="29">
        <v>45848</v>
      </c>
      <c r="E557" s="28">
        <v>256779415355</v>
      </c>
      <c r="F557" s="28" t="s">
        <v>11</v>
      </c>
      <c r="G557" s="30">
        <v>21.37</v>
      </c>
      <c r="H557" s="28" t="s">
        <v>59</v>
      </c>
      <c r="I557" s="30">
        <v>1837.83</v>
      </c>
      <c r="J557" s="28" t="s">
        <v>632</v>
      </c>
      <c r="K557" s="28" cm="1">
        <f t="array" ref="K557:L557">VLOOKUP(E557,[1]A023951!D$1:H$1114,{3,5},0)</f>
        <v>-21.37</v>
      </c>
      <c r="L557" s="28">
        <v>-1890.6</v>
      </c>
      <c r="M557" s="31">
        <f t="shared" si="17"/>
        <v>-52.769999999999982</v>
      </c>
    </row>
    <row r="558" spans="1:13" x14ac:dyDescent="0.35">
      <c r="A558" s="28" t="s">
        <v>511</v>
      </c>
      <c r="B558" s="32">
        <v>2025</v>
      </c>
      <c r="C558" s="28" t="s">
        <v>515</v>
      </c>
      <c r="D558" s="29">
        <v>45848</v>
      </c>
      <c r="E558" s="28">
        <v>256779415356</v>
      </c>
      <c r="F558" s="28" t="s">
        <v>11</v>
      </c>
      <c r="G558" s="30">
        <v>72</v>
      </c>
      <c r="H558" s="28" t="s">
        <v>59</v>
      </c>
      <c r="I558" s="30">
        <v>6192.05</v>
      </c>
      <c r="J558" s="28" t="s">
        <v>633</v>
      </c>
      <c r="K558" s="28" cm="1">
        <f t="array" ref="K558:L558">VLOOKUP(E558,[1]A023951!D$1:H$1114,{3,5},0)</f>
        <v>-72</v>
      </c>
      <c r="L558" s="28">
        <v>-6369.84</v>
      </c>
      <c r="M558" s="31">
        <f t="shared" si="17"/>
        <v>-177.78999999999996</v>
      </c>
    </row>
    <row r="559" spans="1:13" x14ac:dyDescent="0.35">
      <c r="A559" s="28" t="s">
        <v>511</v>
      </c>
      <c r="B559" s="32">
        <v>2025</v>
      </c>
      <c r="C559" s="28" t="s">
        <v>515</v>
      </c>
      <c r="D559" s="29">
        <v>45848</v>
      </c>
      <c r="E559" s="28">
        <v>256779415357</v>
      </c>
      <c r="F559" s="28" t="s">
        <v>11</v>
      </c>
      <c r="G559" s="30">
        <v>207.27</v>
      </c>
      <c r="H559" s="28" t="s">
        <v>59</v>
      </c>
      <c r="I559" s="30">
        <v>17825.36</v>
      </c>
      <c r="J559" s="28" t="s">
        <v>668</v>
      </c>
      <c r="K559" s="28" cm="1">
        <f t="array" ref="K559:L559">VLOOKUP(E559,[1]A023951!D$1:H$1114,{3,5},0)</f>
        <v>-207.27</v>
      </c>
      <c r="L559" s="28">
        <v>-18337.18</v>
      </c>
      <c r="M559" s="31">
        <f t="shared" si="17"/>
        <v>-511.81999999999971</v>
      </c>
    </row>
    <row r="560" spans="1:13" x14ac:dyDescent="0.35">
      <c r="A560" s="28" t="s">
        <v>511</v>
      </c>
      <c r="B560" s="32">
        <v>2025</v>
      </c>
      <c r="C560" s="28" t="s">
        <v>515</v>
      </c>
      <c r="D560" s="29">
        <v>45848</v>
      </c>
      <c r="E560" s="28">
        <v>256779415358</v>
      </c>
      <c r="F560" s="28" t="s">
        <v>11</v>
      </c>
      <c r="G560" s="30">
        <v>96</v>
      </c>
      <c r="H560" s="28" t="s">
        <v>59</v>
      </c>
      <c r="I560" s="30">
        <v>8256.06</v>
      </c>
      <c r="J560" s="28" t="s">
        <v>852</v>
      </c>
      <c r="K560" s="28" cm="1">
        <f t="array" ref="K560:L560">VLOOKUP(E560,[1]A023951!D$1:H$1114,{3,5},0)</f>
        <v>-96</v>
      </c>
      <c r="L560" s="28">
        <v>-8493.1200000000008</v>
      </c>
      <c r="M560" s="31">
        <f t="shared" si="17"/>
        <v>-237.06000000000131</v>
      </c>
    </row>
    <row r="561" spans="1:13" x14ac:dyDescent="0.35">
      <c r="A561" s="28" t="s">
        <v>511</v>
      </c>
      <c r="B561" s="32">
        <v>2025</v>
      </c>
      <c r="C561" s="28" t="s">
        <v>515</v>
      </c>
      <c r="D561" s="29">
        <v>45848</v>
      </c>
      <c r="E561" s="28">
        <v>256779415359</v>
      </c>
      <c r="F561" s="28" t="s">
        <v>11</v>
      </c>
      <c r="G561" s="30">
        <v>200</v>
      </c>
      <c r="H561" s="28" t="s">
        <v>59</v>
      </c>
      <c r="I561" s="30">
        <v>17200.13</v>
      </c>
      <c r="J561" s="28" t="s">
        <v>853</v>
      </c>
      <c r="K561" s="28" cm="1">
        <f t="array" ref="K561:L561">VLOOKUP(E561,[1]A023951!D$1:H$1114,{3,5},0)</f>
        <v>-200</v>
      </c>
      <c r="L561" s="28">
        <v>-17694</v>
      </c>
      <c r="M561" s="31">
        <f t="shared" si="17"/>
        <v>-493.86999999999898</v>
      </c>
    </row>
    <row r="562" spans="1:13" x14ac:dyDescent="0.35">
      <c r="A562" s="28" t="s">
        <v>511</v>
      </c>
      <c r="B562" s="32">
        <v>2025</v>
      </c>
      <c r="C562" s="28" t="s">
        <v>515</v>
      </c>
      <c r="D562" s="29">
        <v>45848</v>
      </c>
      <c r="E562" s="28">
        <v>256779415360</v>
      </c>
      <c r="F562" s="28" t="s">
        <v>11</v>
      </c>
      <c r="G562" s="30">
        <v>60</v>
      </c>
      <c r="H562" s="28" t="s">
        <v>59</v>
      </c>
      <c r="I562" s="30">
        <v>5160.04</v>
      </c>
      <c r="J562" s="28" t="s">
        <v>854</v>
      </c>
      <c r="K562" s="28" cm="1">
        <f t="array" ref="K562:L562">VLOOKUP(E562,[1]A023951!D$1:H$1114,{3,5},0)</f>
        <v>-60</v>
      </c>
      <c r="L562" s="28">
        <v>-5308.2</v>
      </c>
      <c r="M562" s="31">
        <f t="shared" si="17"/>
        <v>-148.15999999999985</v>
      </c>
    </row>
    <row r="563" spans="1:13" x14ac:dyDescent="0.35">
      <c r="A563" s="28" t="s">
        <v>511</v>
      </c>
      <c r="B563" s="32">
        <v>2025</v>
      </c>
      <c r="C563" s="28" t="s">
        <v>515</v>
      </c>
      <c r="D563" s="29">
        <v>45848</v>
      </c>
      <c r="E563" s="28">
        <v>256779415361</v>
      </c>
      <c r="F563" s="28" t="s">
        <v>11</v>
      </c>
      <c r="G563" s="30">
        <v>67.5</v>
      </c>
      <c r="H563" s="28" t="s">
        <v>59</v>
      </c>
      <c r="I563" s="30">
        <v>5805.05</v>
      </c>
      <c r="J563" s="28" t="s">
        <v>669</v>
      </c>
      <c r="K563" s="28" cm="1">
        <f t="array" ref="K563:L563">VLOOKUP(E563,[1]A023951!D$1:H$1114,{3,5},0)</f>
        <v>-67.5</v>
      </c>
      <c r="L563" s="28">
        <v>-5971.73</v>
      </c>
      <c r="M563" s="31">
        <f t="shared" si="17"/>
        <v>-166.67999999999938</v>
      </c>
    </row>
    <row r="564" spans="1:13" x14ac:dyDescent="0.35">
      <c r="A564" s="28" t="s">
        <v>511</v>
      </c>
      <c r="B564" s="32">
        <v>2025</v>
      </c>
      <c r="C564" s="28" t="s">
        <v>515</v>
      </c>
      <c r="D564" s="29">
        <v>45848</v>
      </c>
      <c r="E564" s="28">
        <v>256779415362</v>
      </c>
      <c r="F564" s="28" t="s">
        <v>11</v>
      </c>
      <c r="G564" s="30">
        <v>3</v>
      </c>
      <c r="H564" s="28" t="s">
        <v>59</v>
      </c>
      <c r="I564" s="30">
        <v>258</v>
      </c>
      <c r="J564" s="28" t="s">
        <v>855</v>
      </c>
      <c r="K564" s="28" cm="1">
        <f t="array" ref="K564:L564">VLOOKUP(E564,[1]A023951!D$1:H$1114,{3,5},0)</f>
        <v>-3</v>
      </c>
      <c r="L564" s="28">
        <v>-265.41000000000003</v>
      </c>
      <c r="M564" s="31">
        <f t="shared" si="17"/>
        <v>-7.410000000000025</v>
      </c>
    </row>
    <row r="565" spans="1:13" x14ac:dyDescent="0.35">
      <c r="A565" s="28" t="s">
        <v>511</v>
      </c>
      <c r="B565" s="32">
        <v>2025</v>
      </c>
      <c r="C565" s="28" t="s">
        <v>515</v>
      </c>
      <c r="D565" s="29">
        <v>45848</v>
      </c>
      <c r="E565" s="28">
        <v>256779415363</v>
      </c>
      <c r="F565" s="28" t="s">
        <v>11</v>
      </c>
      <c r="G565" s="30">
        <v>3</v>
      </c>
      <c r="H565" s="28" t="s">
        <v>59</v>
      </c>
      <c r="I565" s="30">
        <v>258</v>
      </c>
      <c r="J565" s="28" t="s">
        <v>855</v>
      </c>
      <c r="K565" s="28" t="e" cm="1">
        <f t="array" ref="K565">VLOOKUP(E565,[1]A023951!D$1:H$1114,{3,5},0)</f>
        <v>#N/A</v>
      </c>
      <c r="L565" s="28"/>
      <c r="M565" s="28"/>
    </row>
    <row r="566" spans="1:13" x14ac:dyDescent="0.35">
      <c r="A566" s="28" t="s">
        <v>511</v>
      </c>
      <c r="B566" s="32">
        <v>2025</v>
      </c>
      <c r="C566" s="28" t="s">
        <v>713</v>
      </c>
      <c r="D566" s="29">
        <v>45861</v>
      </c>
      <c r="E566" s="28" t="s">
        <v>513</v>
      </c>
      <c r="F566" s="28" t="s">
        <v>11</v>
      </c>
      <c r="G566" s="30">
        <v>0</v>
      </c>
      <c r="H566" s="28" t="s">
        <v>59</v>
      </c>
      <c r="I566" s="30">
        <v>0</v>
      </c>
      <c r="J566" s="28" t="s">
        <v>513</v>
      </c>
      <c r="K566" s="28" t="e" cm="1">
        <f t="array" ref="K566">VLOOKUP(E566,[1]A023951!D$1:H$1114,{3,5},0)</f>
        <v>#N/A</v>
      </c>
      <c r="L566" s="28"/>
      <c r="M566" s="28"/>
    </row>
    <row r="567" spans="1:13" x14ac:dyDescent="0.35">
      <c r="A567" s="28" t="s">
        <v>511</v>
      </c>
      <c r="B567" s="32">
        <v>2025</v>
      </c>
      <c r="C567" s="28" t="s">
        <v>713</v>
      </c>
      <c r="D567" s="29">
        <v>45861</v>
      </c>
      <c r="E567" s="28" t="s">
        <v>513</v>
      </c>
      <c r="F567" s="28" t="s">
        <v>11</v>
      </c>
      <c r="G567" s="30">
        <v>0</v>
      </c>
      <c r="H567" s="28" t="s">
        <v>59</v>
      </c>
      <c r="I567" s="30">
        <v>0</v>
      </c>
      <c r="J567" s="28" t="s">
        <v>513</v>
      </c>
      <c r="K567" s="28" t="e" cm="1">
        <f t="array" ref="K567">VLOOKUP(E567,[1]A023951!D$1:H$1114,{3,5},0)</f>
        <v>#N/A</v>
      </c>
      <c r="L567" s="28"/>
      <c r="M567" s="28"/>
    </row>
    <row r="568" spans="1:13" x14ac:dyDescent="0.35">
      <c r="A568" s="28" t="s">
        <v>511</v>
      </c>
      <c r="B568" s="32">
        <v>2025</v>
      </c>
      <c r="C568" s="28" t="s">
        <v>713</v>
      </c>
      <c r="D568" s="29">
        <v>45861</v>
      </c>
      <c r="E568" s="28" t="s">
        <v>513</v>
      </c>
      <c r="F568" s="28" t="s">
        <v>11</v>
      </c>
      <c r="G568" s="30">
        <v>0</v>
      </c>
      <c r="H568" s="28" t="s">
        <v>59</v>
      </c>
      <c r="I568" s="30">
        <v>0</v>
      </c>
      <c r="J568" s="28" t="s">
        <v>513</v>
      </c>
      <c r="K568" s="28" t="e" cm="1">
        <f t="array" ref="K568">VLOOKUP(E568,[1]A023951!D$1:H$1114,{3,5},0)</f>
        <v>#N/A</v>
      </c>
      <c r="L568" s="28"/>
      <c r="M568" s="28"/>
    </row>
    <row r="569" spans="1:13" x14ac:dyDescent="0.35">
      <c r="A569" s="28" t="s">
        <v>511</v>
      </c>
      <c r="B569" s="32">
        <v>2025</v>
      </c>
      <c r="C569" s="28" t="s">
        <v>713</v>
      </c>
      <c r="D569" s="29">
        <v>45861</v>
      </c>
      <c r="E569" s="28" t="s">
        <v>513</v>
      </c>
      <c r="F569" s="28" t="s">
        <v>11</v>
      </c>
      <c r="G569" s="30">
        <v>0</v>
      </c>
      <c r="H569" s="28" t="s">
        <v>59</v>
      </c>
      <c r="I569" s="30">
        <v>0</v>
      </c>
      <c r="J569" s="28" t="s">
        <v>513</v>
      </c>
      <c r="K569" s="28" t="e" cm="1">
        <f t="array" ref="K569">VLOOKUP(E569,[1]A023951!D$1:H$1114,{3,5},0)</f>
        <v>#N/A</v>
      </c>
      <c r="L569" s="28"/>
      <c r="M569" s="28"/>
    </row>
    <row r="570" spans="1:13" x14ac:dyDescent="0.35">
      <c r="A570" s="28" t="s">
        <v>511</v>
      </c>
      <c r="B570" s="32">
        <v>2025</v>
      </c>
      <c r="C570" s="28" t="s">
        <v>713</v>
      </c>
      <c r="D570" s="29">
        <v>45861</v>
      </c>
      <c r="E570" s="28" t="s">
        <v>513</v>
      </c>
      <c r="F570" s="28" t="s">
        <v>11</v>
      </c>
      <c r="G570" s="30">
        <v>0</v>
      </c>
      <c r="H570" s="28" t="s">
        <v>59</v>
      </c>
      <c r="I570" s="30">
        <v>0</v>
      </c>
      <c r="J570" s="28" t="s">
        <v>513</v>
      </c>
      <c r="K570" s="28" t="e" cm="1">
        <f t="array" ref="K570">VLOOKUP(E570,[1]A023951!D$1:H$1114,{3,5},0)</f>
        <v>#N/A</v>
      </c>
      <c r="L570" s="28"/>
      <c r="M570" s="28"/>
    </row>
    <row r="571" spans="1:13" x14ac:dyDescent="0.35">
      <c r="A571" s="28" t="s">
        <v>511</v>
      </c>
      <c r="B571" s="32">
        <v>2025</v>
      </c>
      <c r="C571" s="28" t="s">
        <v>713</v>
      </c>
      <c r="D571" s="29">
        <v>45861</v>
      </c>
      <c r="E571" s="28" t="s">
        <v>513</v>
      </c>
      <c r="F571" s="28" t="s">
        <v>11</v>
      </c>
      <c r="G571" s="30">
        <v>0</v>
      </c>
      <c r="H571" s="28" t="s">
        <v>59</v>
      </c>
      <c r="I571" s="30">
        <v>0</v>
      </c>
      <c r="J571" s="28" t="s">
        <v>513</v>
      </c>
      <c r="K571" s="28" t="e" cm="1">
        <f t="array" ref="K571">VLOOKUP(E571,[1]A023951!D$1:H$1114,{3,5},0)</f>
        <v>#N/A</v>
      </c>
      <c r="L571" s="28"/>
      <c r="M571" s="28"/>
    </row>
    <row r="572" spans="1:13" x14ac:dyDescent="0.35">
      <c r="A572" s="28" t="s">
        <v>511</v>
      </c>
      <c r="B572" s="32">
        <v>2025</v>
      </c>
      <c r="C572" s="28" t="s">
        <v>713</v>
      </c>
      <c r="D572" s="29">
        <v>45861</v>
      </c>
      <c r="E572" s="28" t="s">
        <v>513</v>
      </c>
      <c r="F572" s="28" t="s">
        <v>11</v>
      </c>
      <c r="G572" s="30">
        <v>0</v>
      </c>
      <c r="H572" s="28" t="s">
        <v>59</v>
      </c>
      <c r="I572" s="30">
        <v>0</v>
      </c>
      <c r="J572" s="28" t="s">
        <v>513</v>
      </c>
      <c r="K572" s="28" t="e" cm="1">
        <f t="array" ref="K572">VLOOKUP(E572,[1]A023951!D$1:H$1114,{3,5},0)</f>
        <v>#N/A</v>
      </c>
      <c r="L572" s="28"/>
      <c r="M572" s="28"/>
    </row>
    <row r="573" spans="1:13" x14ac:dyDescent="0.35">
      <c r="A573" s="28" t="s">
        <v>511</v>
      </c>
      <c r="B573" s="32">
        <v>2025</v>
      </c>
      <c r="C573" s="28" t="s">
        <v>856</v>
      </c>
      <c r="D573" s="29">
        <v>45758</v>
      </c>
      <c r="E573" s="28" t="s">
        <v>513</v>
      </c>
      <c r="F573" s="28" t="s">
        <v>59</v>
      </c>
      <c r="G573" s="30">
        <v>1</v>
      </c>
      <c r="H573" s="28" t="s">
        <v>59</v>
      </c>
      <c r="I573" s="30">
        <v>1</v>
      </c>
      <c r="J573" s="28" t="s">
        <v>857</v>
      </c>
      <c r="K573" s="28" t="e" cm="1">
        <f t="array" ref="K573">VLOOKUP(E573,[1]A023951!D$1:H$1114,{3,5},0)</f>
        <v>#N/A</v>
      </c>
      <c r="L573" s="28"/>
      <c r="M573" s="28"/>
    </row>
    <row r="574" spans="1:13" x14ac:dyDescent="0.35">
      <c r="A574" s="28" t="s">
        <v>511</v>
      </c>
      <c r="B574" s="32">
        <v>2025</v>
      </c>
      <c r="C574" s="28" t="s">
        <v>856</v>
      </c>
      <c r="D574" s="29">
        <v>45758</v>
      </c>
      <c r="E574" s="28" t="s">
        <v>513</v>
      </c>
      <c r="F574" s="28" t="s">
        <v>59</v>
      </c>
      <c r="G574" s="30">
        <v>-1</v>
      </c>
      <c r="H574" s="28" t="s">
        <v>59</v>
      </c>
      <c r="I574" s="30">
        <v>-1</v>
      </c>
      <c r="J574" s="28" t="s">
        <v>857</v>
      </c>
      <c r="K574" s="28" t="e" cm="1">
        <f t="array" ref="K574">VLOOKUP(E574,[1]A023951!D$1:H$1114,{3,5},0)</f>
        <v>#N/A</v>
      </c>
      <c r="L574" s="28"/>
      <c r="M574" s="28"/>
    </row>
    <row r="575" spans="1:13" x14ac:dyDescent="0.35">
      <c r="A575" s="28" t="s">
        <v>511</v>
      </c>
      <c r="B575" s="32">
        <v>2025</v>
      </c>
      <c r="C575" s="28" t="s">
        <v>858</v>
      </c>
      <c r="D575" s="29">
        <v>45902</v>
      </c>
      <c r="E575" s="28" t="s">
        <v>513</v>
      </c>
      <c r="F575" s="28" t="s">
        <v>59</v>
      </c>
      <c r="G575" s="30">
        <v>212521.54</v>
      </c>
      <c r="H575" s="28" t="s">
        <v>59</v>
      </c>
      <c r="I575" s="30">
        <v>208845.74</v>
      </c>
      <c r="J575" s="28" t="s">
        <v>513</v>
      </c>
      <c r="K575" s="28" t="e" cm="1">
        <f t="array" ref="K575">VLOOKUP(E575,[1]A023951!D$1:H$1114,{3,5},0)</f>
        <v>#N/A</v>
      </c>
      <c r="L575" s="28"/>
      <c r="M575" s="28"/>
    </row>
    <row r="576" spans="1:13" x14ac:dyDescent="0.35">
      <c r="A576" s="28" t="s">
        <v>511</v>
      </c>
      <c r="B576" s="32">
        <v>2025</v>
      </c>
      <c r="C576" s="28" t="s">
        <v>858</v>
      </c>
      <c r="D576" s="29">
        <v>45902</v>
      </c>
      <c r="E576" s="28" t="s">
        <v>513</v>
      </c>
      <c r="F576" s="28" t="s">
        <v>59</v>
      </c>
      <c r="G576" s="30">
        <v>-212521.54</v>
      </c>
      <c r="H576" s="28" t="s">
        <v>59</v>
      </c>
      <c r="I576" s="30">
        <v>-207607.52</v>
      </c>
      <c r="J576" s="28" t="s">
        <v>513</v>
      </c>
      <c r="K576" s="28" t="e" cm="1">
        <f t="array" ref="K576">VLOOKUP(E576,[1]A023951!D$1:H$1114,{3,5},0)</f>
        <v>#N/A</v>
      </c>
      <c r="L576" s="28"/>
      <c r="M576" s="28"/>
    </row>
    <row r="577" spans="1:13" x14ac:dyDescent="0.35">
      <c r="A577" s="28" t="s">
        <v>511</v>
      </c>
      <c r="B577" s="32">
        <v>2025</v>
      </c>
      <c r="C577" s="28" t="s">
        <v>713</v>
      </c>
      <c r="D577" s="29">
        <v>45974</v>
      </c>
      <c r="E577" s="28" t="s">
        <v>513</v>
      </c>
      <c r="F577" s="28" t="s">
        <v>11</v>
      </c>
      <c r="G577" s="30">
        <v>4603.4799999999996</v>
      </c>
      <c r="H577" s="28" t="s">
        <v>59</v>
      </c>
      <c r="I577" s="30">
        <v>396450.85</v>
      </c>
      <c r="J577" s="28" t="s">
        <v>513</v>
      </c>
      <c r="K577" s="28" t="e" cm="1">
        <f t="array" ref="K577">VLOOKUP(E577,[1]A023951!D$1:H$1114,{3,5},0)</f>
        <v>#N/A</v>
      </c>
      <c r="L577" s="28"/>
      <c r="M577" s="28"/>
    </row>
    <row r="578" spans="1:13" x14ac:dyDescent="0.35">
      <c r="A578" s="28" t="s">
        <v>511</v>
      </c>
      <c r="B578" s="32">
        <v>2025</v>
      </c>
      <c r="C578" s="28" t="s">
        <v>713</v>
      </c>
      <c r="D578" s="29">
        <v>45974</v>
      </c>
      <c r="E578" s="28" t="s">
        <v>513</v>
      </c>
      <c r="F578" s="28" t="s">
        <v>11</v>
      </c>
      <c r="G578" s="30">
        <v>2.98</v>
      </c>
      <c r="H578" s="28" t="s">
        <v>59</v>
      </c>
      <c r="I578" s="30">
        <v>262.20999999999998</v>
      </c>
      <c r="J578" s="28" t="s">
        <v>513</v>
      </c>
      <c r="K578" s="28" t="e" cm="1">
        <f t="array" ref="K578">VLOOKUP(E578,[1]A023951!D$1:H$1114,{3,5},0)</f>
        <v>#N/A</v>
      </c>
      <c r="L578" s="28"/>
      <c r="M578" s="28"/>
    </row>
    <row r="579" spans="1:13" x14ac:dyDescent="0.35">
      <c r="A579" s="28" t="s">
        <v>511</v>
      </c>
      <c r="B579" s="32">
        <v>2025</v>
      </c>
      <c r="C579" s="28" t="s">
        <v>713</v>
      </c>
      <c r="D579" s="29">
        <v>45974</v>
      </c>
      <c r="E579" s="28" t="s">
        <v>513</v>
      </c>
      <c r="F579" s="28" t="s">
        <v>11</v>
      </c>
      <c r="G579" s="30">
        <v>-2.98</v>
      </c>
      <c r="H579" s="28" t="s">
        <v>59</v>
      </c>
      <c r="I579" s="30">
        <v>-262.20999999999998</v>
      </c>
      <c r="J579" s="28" t="s">
        <v>513</v>
      </c>
      <c r="K579" s="28" t="e" cm="1">
        <f t="array" ref="K579">VLOOKUP(E579,[1]A023951!D$1:H$1114,{3,5},0)</f>
        <v>#N/A</v>
      </c>
      <c r="L579" s="28"/>
      <c r="M579" s="28"/>
    </row>
    <row r="580" spans="1:13" x14ac:dyDescent="0.35">
      <c r="A580" s="28" t="s">
        <v>511</v>
      </c>
      <c r="B580" s="32">
        <v>2025</v>
      </c>
      <c r="C580" s="28" t="s">
        <v>713</v>
      </c>
      <c r="D580" s="29">
        <v>45974</v>
      </c>
      <c r="E580" s="28" t="s">
        <v>513</v>
      </c>
      <c r="F580" s="28" t="s">
        <v>11</v>
      </c>
      <c r="G580" s="30">
        <v>5558.96</v>
      </c>
      <c r="H580" s="28" t="s">
        <v>59</v>
      </c>
      <c r="I580" s="30">
        <v>478086.37</v>
      </c>
      <c r="J580" s="28" t="s">
        <v>513</v>
      </c>
      <c r="K580" s="28" t="e" cm="1">
        <f t="array" ref="K580">VLOOKUP(E580,[1]A023951!D$1:H$1114,{3,5},0)</f>
        <v>#N/A</v>
      </c>
      <c r="L580" s="28"/>
      <c r="M580" s="28"/>
    </row>
    <row r="581" spans="1:13" x14ac:dyDescent="0.35">
      <c r="A581" s="28" t="s">
        <v>511</v>
      </c>
      <c r="B581" s="32">
        <v>2025</v>
      </c>
      <c r="C581" s="28" t="s">
        <v>713</v>
      </c>
      <c r="D581" s="29">
        <v>45974</v>
      </c>
      <c r="E581" s="28" t="s">
        <v>513</v>
      </c>
      <c r="F581" s="28" t="s">
        <v>11</v>
      </c>
      <c r="G581" s="30">
        <v>-3891.99</v>
      </c>
      <c r="H581" s="28" t="s">
        <v>59</v>
      </c>
      <c r="I581" s="30">
        <v>-338298.81</v>
      </c>
      <c r="J581" s="28" t="s">
        <v>513</v>
      </c>
      <c r="K581" s="28" t="e" cm="1">
        <f t="array" ref="K581">VLOOKUP(E581,[1]A023951!D$1:H$1114,{3,5},0)</f>
        <v>#N/A</v>
      </c>
      <c r="L581" s="28"/>
      <c r="M581" s="28"/>
    </row>
    <row r="582" spans="1:13" x14ac:dyDescent="0.35">
      <c r="A582" s="28" t="s">
        <v>511</v>
      </c>
      <c r="B582" s="32">
        <v>2025</v>
      </c>
      <c r="C582" s="28" t="s">
        <v>713</v>
      </c>
      <c r="D582" s="29">
        <v>45974</v>
      </c>
      <c r="E582" s="28" t="s">
        <v>513</v>
      </c>
      <c r="F582" s="28" t="s">
        <v>11</v>
      </c>
      <c r="G582" s="30">
        <v>-6270.45</v>
      </c>
      <c r="H582" s="28" t="s">
        <v>59</v>
      </c>
      <c r="I582" s="30">
        <v>-536832.30000000005</v>
      </c>
      <c r="J582" s="28" t="s">
        <v>513</v>
      </c>
      <c r="K582" s="28" t="e" cm="1">
        <f t="array" ref="K582">VLOOKUP(E582,[1]A023951!D$1:H$1114,{3,5},0)</f>
        <v>#N/A</v>
      </c>
      <c r="L582" s="28"/>
      <c r="M582" s="28"/>
    </row>
    <row r="583" spans="1:13" x14ac:dyDescent="0.35">
      <c r="A583" s="28" t="s">
        <v>511</v>
      </c>
      <c r="B583" s="32">
        <v>2025</v>
      </c>
      <c r="C583" s="28" t="s">
        <v>713</v>
      </c>
      <c r="D583" s="29">
        <v>45974</v>
      </c>
      <c r="E583" s="28" t="s">
        <v>513</v>
      </c>
      <c r="F583" s="28" t="s">
        <v>59</v>
      </c>
      <c r="G583" s="30">
        <v>77508.990000000005</v>
      </c>
      <c r="H583" s="28" t="s">
        <v>59</v>
      </c>
      <c r="I583" s="30">
        <v>75771.03</v>
      </c>
      <c r="J583" s="28" t="s">
        <v>513</v>
      </c>
      <c r="K583" s="28" t="e" cm="1">
        <f t="array" ref="K583">VLOOKUP(E583,[1]A023951!D$1:H$1114,{3,5},0)</f>
        <v>#N/A</v>
      </c>
      <c r="L583" s="28"/>
      <c r="M583" s="28"/>
    </row>
    <row r="584" spans="1:13" x14ac:dyDescent="0.35">
      <c r="A584" s="28" t="s">
        <v>511</v>
      </c>
      <c r="B584" s="32">
        <v>2025</v>
      </c>
      <c r="C584" s="28" t="s">
        <v>713</v>
      </c>
      <c r="D584" s="29">
        <v>45974</v>
      </c>
      <c r="E584" s="28" t="s">
        <v>513</v>
      </c>
      <c r="F584" s="28" t="s">
        <v>59</v>
      </c>
      <c r="G584" s="30">
        <v>-20130.78</v>
      </c>
      <c r="H584" s="28" t="s">
        <v>59</v>
      </c>
      <c r="I584" s="30">
        <v>-20130.78</v>
      </c>
      <c r="J584" s="28" t="s">
        <v>513</v>
      </c>
      <c r="K584" s="28" t="e" cm="1">
        <f t="array" ref="K584">VLOOKUP(E584,[1]A023951!D$1:H$1114,{3,5},0)</f>
        <v>#N/A</v>
      </c>
      <c r="L584" s="28"/>
      <c r="M584" s="28"/>
    </row>
    <row r="585" spans="1:13" x14ac:dyDescent="0.35">
      <c r="A585" s="28" t="s">
        <v>511</v>
      </c>
      <c r="B585" s="32">
        <v>2025</v>
      </c>
      <c r="C585" s="28" t="s">
        <v>713</v>
      </c>
      <c r="D585" s="29">
        <v>45974</v>
      </c>
      <c r="E585" s="28" t="s">
        <v>513</v>
      </c>
      <c r="F585" s="28" t="s">
        <v>59</v>
      </c>
      <c r="G585" s="30">
        <v>-746.27</v>
      </c>
      <c r="H585" s="28" t="s">
        <v>59</v>
      </c>
      <c r="I585" s="30">
        <v>-746.27</v>
      </c>
      <c r="J585" s="28" t="s">
        <v>513</v>
      </c>
      <c r="K585" s="28" t="e" cm="1">
        <f t="array" ref="K585">VLOOKUP(E585,[1]A023951!D$1:H$1114,{3,5},0)</f>
        <v>#N/A</v>
      </c>
      <c r="L585" s="28"/>
      <c r="M585" s="28"/>
    </row>
    <row r="586" spans="1:13" x14ac:dyDescent="0.35">
      <c r="A586" s="28" t="s">
        <v>511</v>
      </c>
      <c r="B586" s="32">
        <v>2025</v>
      </c>
      <c r="C586" s="28" t="s">
        <v>713</v>
      </c>
      <c r="D586" s="29">
        <v>45974</v>
      </c>
      <c r="E586" s="28" t="s">
        <v>513</v>
      </c>
      <c r="F586" s="28" t="s">
        <v>59</v>
      </c>
      <c r="G586" s="30">
        <v>-24772.95</v>
      </c>
      <c r="H586" s="28" t="s">
        <v>59</v>
      </c>
      <c r="I586" s="30">
        <v>-24772.95</v>
      </c>
      <c r="J586" s="28" t="s">
        <v>513</v>
      </c>
      <c r="K586" s="28" t="e" cm="1">
        <f t="array" ref="K586">VLOOKUP(E586,[1]A023951!D$1:H$1114,{3,5},0)</f>
        <v>#N/A</v>
      </c>
      <c r="L586" s="28"/>
      <c r="M586" s="28"/>
    </row>
    <row r="587" spans="1:13" x14ac:dyDescent="0.35">
      <c r="A587" s="28" t="s">
        <v>511</v>
      </c>
      <c r="B587" s="32">
        <v>2025</v>
      </c>
      <c r="C587" s="28" t="s">
        <v>713</v>
      </c>
      <c r="D587" s="29">
        <v>45974</v>
      </c>
      <c r="E587" s="28" t="s">
        <v>513</v>
      </c>
      <c r="F587" s="28" t="s">
        <v>59</v>
      </c>
      <c r="G587" s="30">
        <v>-31858.99</v>
      </c>
      <c r="H587" s="28" t="s">
        <v>59</v>
      </c>
      <c r="I587" s="30">
        <v>-31858.99</v>
      </c>
      <c r="J587" s="28" t="s">
        <v>513</v>
      </c>
      <c r="K587" s="28" t="e" cm="1">
        <f t="array" ref="K587">VLOOKUP(E587,[1]A023951!D$1:H$1114,{3,5},0)</f>
        <v>#N/A</v>
      </c>
      <c r="L587" s="28"/>
      <c r="M587" s="28"/>
    </row>
    <row r="588" spans="1:13" x14ac:dyDescent="0.35">
      <c r="A588" s="28" t="s">
        <v>511</v>
      </c>
      <c r="B588" s="32">
        <v>2025</v>
      </c>
      <c r="C588" s="28" t="s">
        <v>713</v>
      </c>
      <c r="D588" s="29">
        <v>45940</v>
      </c>
      <c r="E588" s="28" t="s">
        <v>513</v>
      </c>
      <c r="F588" s="28" t="s">
        <v>59</v>
      </c>
      <c r="G588" s="30">
        <v>-1746430.23</v>
      </c>
      <c r="H588" s="28" t="s">
        <v>59</v>
      </c>
      <c r="I588" s="30">
        <v>-1746430.23</v>
      </c>
      <c r="J588" s="28" t="s">
        <v>513</v>
      </c>
      <c r="K588" s="28" t="e" cm="1">
        <f t="array" ref="K588">VLOOKUP(E588,[1]A023951!D$1:H$1114,{3,5},0)</f>
        <v>#N/A</v>
      </c>
      <c r="L588" s="28"/>
      <c r="M588" s="28"/>
    </row>
    <row r="589" spans="1:13" x14ac:dyDescent="0.35">
      <c r="A589" s="28" t="s">
        <v>511</v>
      </c>
      <c r="B589" s="32">
        <v>2025</v>
      </c>
      <c r="C589" s="28" t="s">
        <v>713</v>
      </c>
      <c r="D589" s="29">
        <v>45940</v>
      </c>
      <c r="E589" s="28" t="s">
        <v>513</v>
      </c>
      <c r="F589" s="28" t="s">
        <v>59</v>
      </c>
      <c r="G589" s="30">
        <v>-2385233.9500000002</v>
      </c>
      <c r="H589" s="28" t="s">
        <v>59</v>
      </c>
      <c r="I589" s="30">
        <v>-2385233.9500000002</v>
      </c>
      <c r="J589" s="28" t="s">
        <v>513</v>
      </c>
      <c r="K589" s="28" t="e" cm="1">
        <f t="array" ref="K589">VLOOKUP(E589,[1]A023951!D$1:H$1114,{3,5},0)</f>
        <v>#N/A</v>
      </c>
      <c r="L589" s="28"/>
      <c r="M589" s="28"/>
    </row>
    <row r="590" spans="1:13" x14ac:dyDescent="0.35">
      <c r="A590" s="28" t="s">
        <v>511</v>
      </c>
      <c r="B590" s="32">
        <v>2025</v>
      </c>
      <c r="C590" s="28" t="s">
        <v>713</v>
      </c>
      <c r="D590" s="29">
        <v>45958</v>
      </c>
      <c r="E590" s="28" t="s">
        <v>513</v>
      </c>
      <c r="F590" s="28" t="s">
        <v>59</v>
      </c>
      <c r="G590" s="30">
        <v>-1719090.91</v>
      </c>
      <c r="H590" s="28" t="s">
        <v>59</v>
      </c>
      <c r="I590" s="30">
        <v>-1719090.91</v>
      </c>
      <c r="J590" s="28" t="s">
        <v>513</v>
      </c>
      <c r="K590" s="28" t="e" cm="1">
        <f t="array" ref="K590">VLOOKUP(E590,[1]A023951!D$1:H$1114,{3,5},0)</f>
        <v>#N/A</v>
      </c>
      <c r="L590" s="28"/>
      <c r="M590" s="28"/>
    </row>
    <row r="591" spans="1:13" x14ac:dyDescent="0.35">
      <c r="A591" s="28" t="s">
        <v>511</v>
      </c>
      <c r="B591" s="32">
        <v>2025</v>
      </c>
      <c r="C591" s="28" t="s">
        <v>713</v>
      </c>
      <c r="D591" s="29">
        <v>45987</v>
      </c>
      <c r="E591" s="28" t="s">
        <v>513</v>
      </c>
      <c r="F591" s="28" t="s">
        <v>59</v>
      </c>
      <c r="G591" s="30">
        <v>-1917961.25</v>
      </c>
      <c r="H591" s="28" t="s">
        <v>59</v>
      </c>
      <c r="I591" s="30">
        <v>-1917961.25</v>
      </c>
      <c r="J591" s="28" t="s">
        <v>513</v>
      </c>
      <c r="K591" s="28" t="e" cm="1">
        <f t="array" ref="K591">VLOOKUP(E591,[1]A023951!D$1:H$1114,{3,5},0)</f>
        <v>#N/A</v>
      </c>
      <c r="L591" s="28"/>
      <c r="M591" s="28"/>
    </row>
    <row r="592" spans="1:13" x14ac:dyDescent="0.35">
      <c r="A592" s="28" t="s">
        <v>511</v>
      </c>
      <c r="B592" s="32">
        <v>2025</v>
      </c>
      <c r="C592" s="28" t="s">
        <v>859</v>
      </c>
      <c r="D592" s="29">
        <v>45701</v>
      </c>
      <c r="E592" s="28" t="s">
        <v>860</v>
      </c>
      <c r="F592" s="28" t="s">
        <v>59</v>
      </c>
      <c r="G592" s="30">
        <v>1</v>
      </c>
      <c r="H592" s="28" t="s">
        <v>59</v>
      </c>
      <c r="I592" s="30">
        <v>1</v>
      </c>
      <c r="J592" s="28" t="s">
        <v>857</v>
      </c>
      <c r="K592" s="28" t="e" cm="1">
        <f t="array" ref="K592">VLOOKUP(E592,[1]A023951!D$1:H$1114,{3,5},0)</f>
        <v>#N/A</v>
      </c>
      <c r="L592" s="28"/>
      <c r="M592" s="28"/>
    </row>
    <row r="593" spans="1:13" x14ac:dyDescent="0.35">
      <c r="A593" s="28" t="s">
        <v>511</v>
      </c>
      <c r="B593" s="32">
        <v>2025</v>
      </c>
      <c r="C593" s="28" t="s">
        <v>859</v>
      </c>
      <c r="D593" s="29">
        <v>45701</v>
      </c>
      <c r="E593" s="28" t="s">
        <v>861</v>
      </c>
      <c r="F593" s="28" t="s">
        <v>59</v>
      </c>
      <c r="G593" s="30">
        <v>-1</v>
      </c>
      <c r="H593" s="28" t="s">
        <v>59</v>
      </c>
      <c r="I593" s="30">
        <v>-1</v>
      </c>
      <c r="J593" s="28" t="s">
        <v>857</v>
      </c>
      <c r="K593" s="28" t="e" cm="1">
        <f t="array" ref="K593">VLOOKUP(E593,[1]A023951!D$1:H$1114,{3,5},0)</f>
        <v>#N/A</v>
      </c>
      <c r="L593" s="28"/>
      <c r="M593" s="28"/>
    </row>
    <row r="594" spans="1:13" x14ac:dyDescent="0.35">
      <c r="A594" s="28" t="s">
        <v>511</v>
      </c>
      <c r="B594" s="32">
        <v>2025</v>
      </c>
      <c r="C594" s="28" t="s">
        <v>515</v>
      </c>
      <c r="D594" s="29">
        <v>45764</v>
      </c>
      <c r="E594" s="28">
        <v>256779412140</v>
      </c>
      <c r="F594" s="28" t="s">
        <v>59</v>
      </c>
      <c r="G594" s="30">
        <v>262.20999999999998</v>
      </c>
      <c r="H594" s="28" t="s">
        <v>59</v>
      </c>
      <c r="I594" s="30">
        <v>262.20999999999998</v>
      </c>
      <c r="J594" s="28" t="s">
        <v>639</v>
      </c>
      <c r="K594" s="28" t="e" cm="1">
        <f t="array" ref="K594">VLOOKUP(E594,[1]A023951!D$1:H$1114,{3,5},0)</f>
        <v>#N/A</v>
      </c>
      <c r="L594" s="28"/>
      <c r="M594" s="28"/>
    </row>
    <row r="595" spans="1:13" x14ac:dyDescent="0.35">
      <c r="A595" s="28" t="s">
        <v>511</v>
      </c>
      <c r="B595" s="32">
        <v>2025</v>
      </c>
      <c r="C595" s="28" t="s">
        <v>515</v>
      </c>
      <c r="D595" s="29">
        <v>45735</v>
      </c>
      <c r="E595" s="28">
        <v>246779413076</v>
      </c>
      <c r="F595" s="28" t="s">
        <v>11</v>
      </c>
      <c r="G595" s="30">
        <v>466.37</v>
      </c>
      <c r="H595" s="28" t="s">
        <v>59</v>
      </c>
      <c r="I595" s="30">
        <v>40430.199999999997</v>
      </c>
      <c r="J595" s="28" t="s">
        <v>862</v>
      </c>
      <c r="K595" s="28" t="e" cm="1">
        <f t="array" ref="K595">VLOOKUP(E595,[1]A023951!D$1:H$1114,{3,5},0)</f>
        <v>#N/A</v>
      </c>
      <c r="L595" s="28"/>
      <c r="M595" s="28"/>
    </row>
    <row r="596" spans="1:13" x14ac:dyDescent="0.35">
      <c r="A596" s="28" t="s">
        <v>511</v>
      </c>
      <c r="B596" s="32">
        <v>2025</v>
      </c>
      <c r="C596" s="28" t="s">
        <v>515</v>
      </c>
      <c r="D596" s="29">
        <v>45787</v>
      </c>
      <c r="E596" s="28">
        <v>256779413147</v>
      </c>
      <c r="F596" s="28" t="s">
        <v>59</v>
      </c>
      <c r="G596" s="30">
        <v>8000</v>
      </c>
      <c r="H596" s="28" t="s">
        <v>59</v>
      </c>
      <c r="I596" s="30">
        <v>8000</v>
      </c>
      <c r="J596" s="28" t="s">
        <v>863</v>
      </c>
      <c r="K596" s="28" cm="1">
        <f t="array" ref="K596:L596">VLOOKUP(E596,[1]A023951!D$1:H$1114,{3,5},0)</f>
        <v>0</v>
      </c>
      <c r="L596" s="28">
        <v>-8000</v>
      </c>
      <c r="M596" s="31">
        <f t="shared" ref="M596:M620" si="18">I596+L596</f>
        <v>0</v>
      </c>
    </row>
    <row r="597" spans="1:13" x14ac:dyDescent="0.35">
      <c r="A597" s="28" t="s">
        <v>511</v>
      </c>
      <c r="B597" s="32">
        <v>2025</v>
      </c>
      <c r="C597" s="28" t="s">
        <v>515</v>
      </c>
      <c r="D597" s="29">
        <v>45818</v>
      </c>
      <c r="E597" s="28">
        <v>256779414359</v>
      </c>
      <c r="F597" s="28" t="s">
        <v>59</v>
      </c>
      <c r="G597" s="30">
        <v>8000</v>
      </c>
      <c r="H597" s="28" t="s">
        <v>59</v>
      </c>
      <c r="I597" s="30">
        <v>8000</v>
      </c>
      <c r="J597" s="28" t="s">
        <v>864</v>
      </c>
      <c r="K597" s="28" cm="1">
        <f t="array" ref="K597:L597">VLOOKUP(E597,[1]A023951!D$1:H$1114,{3,5},0)</f>
        <v>-93.58</v>
      </c>
      <c r="L597" s="28">
        <v>-7960.3</v>
      </c>
      <c r="M597" s="31">
        <f t="shared" si="18"/>
        <v>39.699999999999818</v>
      </c>
    </row>
    <row r="598" spans="1:13" x14ac:dyDescent="0.35">
      <c r="A598" s="28" t="s">
        <v>511</v>
      </c>
      <c r="B598" s="32">
        <v>2025</v>
      </c>
      <c r="C598" s="28" t="s">
        <v>515</v>
      </c>
      <c r="D598" s="29">
        <v>45842</v>
      </c>
      <c r="E598" s="28">
        <v>256779414917</v>
      </c>
      <c r="F598" s="28" t="s">
        <v>59</v>
      </c>
      <c r="G598" s="30">
        <v>8000</v>
      </c>
      <c r="H598" s="28" t="s">
        <v>59</v>
      </c>
      <c r="I598" s="30">
        <v>8000</v>
      </c>
      <c r="J598" s="28" t="s">
        <v>865</v>
      </c>
      <c r="K598" s="28" cm="1">
        <f t="array" ref="K598:L598">VLOOKUP(E598,[1]A023951!D$1:H$1114,{3,5},0)</f>
        <v>-93.02</v>
      </c>
      <c r="L598" s="28">
        <v>-7998.74</v>
      </c>
      <c r="M598" s="31">
        <f t="shared" si="18"/>
        <v>1.2600000000002183</v>
      </c>
    </row>
    <row r="599" spans="1:13" x14ac:dyDescent="0.35">
      <c r="A599" s="28" t="s">
        <v>511</v>
      </c>
      <c r="B599" s="32">
        <v>2025</v>
      </c>
      <c r="C599" s="28" t="s">
        <v>515</v>
      </c>
      <c r="D599" s="29">
        <v>45870</v>
      </c>
      <c r="E599" s="28">
        <v>256779416029</v>
      </c>
      <c r="F599" s="28" t="s">
        <v>59</v>
      </c>
      <c r="G599" s="30">
        <v>8000</v>
      </c>
      <c r="H599" s="28" t="s">
        <v>59</v>
      </c>
      <c r="I599" s="30">
        <v>8000</v>
      </c>
      <c r="J599" s="28" t="s">
        <v>866</v>
      </c>
      <c r="K599" s="28" cm="1">
        <f t="array" ref="K599:L599">VLOOKUP(E599,[1]A023951!D$1:H$1114,{3,5},0)</f>
        <v>-92.99</v>
      </c>
      <c r="L599" s="28">
        <v>-8055.81</v>
      </c>
      <c r="M599" s="31">
        <f t="shared" si="18"/>
        <v>-55.8100000000004</v>
      </c>
    </row>
    <row r="600" spans="1:13" x14ac:dyDescent="0.35">
      <c r="A600" s="28" t="s">
        <v>511</v>
      </c>
      <c r="B600" s="32">
        <v>2025</v>
      </c>
      <c r="C600" s="28" t="s">
        <v>515</v>
      </c>
      <c r="D600" s="29">
        <v>45904</v>
      </c>
      <c r="E600" s="28">
        <v>256779417349</v>
      </c>
      <c r="F600" s="28" t="s">
        <v>59</v>
      </c>
      <c r="G600" s="30">
        <v>8000</v>
      </c>
      <c r="H600" s="28" t="s">
        <v>59</v>
      </c>
      <c r="I600" s="30">
        <v>8000</v>
      </c>
      <c r="J600" s="28" t="s">
        <v>867</v>
      </c>
      <c r="K600" s="28" cm="1">
        <f t="array" ref="K600:L600">VLOOKUP(E600,[1]A023951!D$1:H$1114,{3,5},0)</f>
        <v>-91.41</v>
      </c>
      <c r="L600" s="28">
        <v>-8012.26</v>
      </c>
      <c r="M600" s="31">
        <f t="shared" si="18"/>
        <v>-12.260000000000218</v>
      </c>
    </row>
    <row r="601" spans="1:13" x14ac:dyDescent="0.35">
      <c r="A601" s="28" t="s">
        <v>511</v>
      </c>
      <c r="B601" s="32">
        <v>2025</v>
      </c>
      <c r="C601" s="28" t="s">
        <v>515</v>
      </c>
      <c r="D601" s="29">
        <v>45935</v>
      </c>
      <c r="E601" s="28">
        <v>256779417876</v>
      </c>
      <c r="F601" s="28" t="s">
        <v>59</v>
      </c>
      <c r="G601" s="30">
        <v>8000</v>
      </c>
      <c r="H601" s="28" t="s">
        <v>59</v>
      </c>
      <c r="I601" s="30">
        <v>8000</v>
      </c>
      <c r="J601" s="28" t="s">
        <v>868</v>
      </c>
      <c r="K601" s="28" cm="1">
        <f t="array" ref="K601:L601">VLOOKUP(E601,[1]A023951!D$1:H$1114,{3,5},0)</f>
        <v>-90.71</v>
      </c>
      <c r="L601" s="28">
        <v>-8042.3</v>
      </c>
      <c r="M601" s="31">
        <f t="shared" si="18"/>
        <v>-42.300000000000182</v>
      </c>
    </row>
    <row r="602" spans="1:13" x14ac:dyDescent="0.35">
      <c r="A602" s="28" t="s">
        <v>511</v>
      </c>
      <c r="B602" s="32">
        <v>2025</v>
      </c>
      <c r="C602" s="28" t="s">
        <v>515</v>
      </c>
      <c r="D602" s="29">
        <v>45966</v>
      </c>
      <c r="E602" s="28">
        <v>256779418778</v>
      </c>
      <c r="F602" s="28" t="s">
        <v>59</v>
      </c>
      <c r="G602" s="30">
        <v>8000</v>
      </c>
      <c r="H602" s="28" t="s">
        <v>59</v>
      </c>
      <c r="I602" s="30">
        <v>8000</v>
      </c>
      <c r="J602" s="28" t="s">
        <v>869</v>
      </c>
      <c r="K602" s="28" cm="1">
        <f t="array" ref="K602:L602">VLOOKUP(E602,[1]A023951!D$1:H$1114,{3,5},0)</f>
        <v>-90.91</v>
      </c>
      <c r="L602" s="28">
        <v>-8023.04</v>
      </c>
      <c r="M602" s="31">
        <f t="shared" si="18"/>
        <v>-23.039999999999964</v>
      </c>
    </row>
    <row r="603" spans="1:13" x14ac:dyDescent="0.35">
      <c r="A603" s="28" t="s">
        <v>511</v>
      </c>
      <c r="B603" s="32">
        <v>2025</v>
      </c>
      <c r="C603" s="28" t="s">
        <v>515</v>
      </c>
      <c r="D603" s="29">
        <v>45995</v>
      </c>
      <c r="E603" s="28">
        <v>256779419971</v>
      </c>
      <c r="F603" s="28" t="s">
        <v>59</v>
      </c>
      <c r="G603" s="30">
        <v>8000</v>
      </c>
      <c r="H603" s="28" t="s">
        <v>59</v>
      </c>
      <c r="I603" s="30">
        <v>8000</v>
      </c>
      <c r="J603" s="28" t="s">
        <v>870</v>
      </c>
      <c r="K603" s="28" cm="1">
        <f t="array" ref="K603:L603">VLOOKUP(E603,[1]A023951!D$1:H$1114,{3,5},0)</f>
        <v>-90.19</v>
      </c>
      <c r="L603" s="28">
        <v>-8040.87</v>
      </c>
      <c r="M603" s="31">
        <f t="shared" si="18"/>
        <v>-40.869999999999891</v>
      </c>
    </row>
    <row r="604" spans="1:13" x14ac:dyDescent="0.35">
      <c r="A604" s="28" t="s">
        <v>511</v>
      </c>
      <c r="B604" s="32">
        <v>2025</v>
      </c>
      <c r="C604" s="28" t="s">
        <v>515</v>
      </c>
      <c r="D604" s="29">
        <v>45787</v>
      </c>
      <c r="E604" s="28">
        <v>256779413148</v>
      </c>
      <c r="F604" s="28" t="s">
        <v>59</v>
      </c>
      <c r="G604" s="30">
        <v>4400</v>
      </c>
      <c r="H604" s="28" t="s">
        <v>59</v>
      </c>
      <c r="I604" s="30">
        <v>4400</v>
      </c>
      <c r="J604" s="28" t="s">
        <v>863</v>
      </c>
      <c r="K604" s="28" cm="1">
        <f t="array" ref="K604:L604">VLOOKUP(E604,[1]A023951!D$1:H$1114,{3,5},0)</f>
        <v>0</v>
      </c>
      <c r="L604" s="28">
        <v>-4400</v>
      </c>
      <c r="M604" s="31">
        <f t="shared" si="18"/>
        <v>0</v>
      </c>
    </row>
    <row r="605" spans="1:13" x14ac:dyDescent="0.35">
      <c r="A605" s="28" t="s">
        <v>511</v>
      </c>
      <c r="B605" s="32">
        <v>2025</v>
      </c>
      <c r="C605" s="28" t="s">
        <v>515</v>
      </c>
      <c r="D605" s="29">
        <v>45818</v>
      </c>
      <c r="E605" s="28">
        <v>256779414360</v>
      </c>
      <c r="F605" s="28" t="s">
        <v>59</v>
      </c>
      <c r="G605" s="30">
        <v>4400</v>
      </c>
      <c r="H605" s="28" t="s">
        <v>59</v>
      </c>
      <c r="I605" s="30">
        <v>4400</v>
      </c>
      <c r="J605" s="28" t="s">
        <v>864</v>
      </c>
      <c r="K605" s="28" cm="1">
        <f t="array" ref="K605:L605">VLOOKUP(E605,[1]A023951!D$1:H$1114,{3,5},0)</f>
        <v>-51.47</v>
      </c>
      <c r="L605" s="28">
        <v>-4378.25</v>
      </c>
      <c r="M605" s="31">
        <f t="shared" si="18"/>
        <v>21.75</v>
      </c>
    </row>
    <row r="606" spans="1:13" x14ac:dyDescent="0.35">
      <c r="A606" s="28" t="s">
        <v>511</v>
      </c>
      <c r="B606" s="32">
        <v>2025</v>
      </c>
      <c r="C606" s="28" t="s">
        <v>515</v>
      </c>
      <c r="D606" s="29">
        <v>45842</v>
      </c>
      <c r="E606" s="28">
        <v>256779414918</v>
      </c>
      <c r="F606" s="28" t="s">
        <v>59</v>
      </c>
      <c r="G606" s="30">
        <v>4400</v>
      </c>
      <c r="H606" s="28" t="s">
        <v>59</v>
      </c>
      <c r="I606" s="30">
        <v>4400</v>
      </c>
      <c r="J606" s="28" t="s">
        <v>865</v>
      </c>
      <c r="K606" s="28" cm="1">
        <f t="array" ref="K606:L606">VLOOKUP(E606,[1]A023951!D$1:H$1114,{3,5},0)</f>
        <v>-51.16</v>
      </c>
      <c r="L606" s="28">
        <v>-4399.22</v>
      </c>
      <c r="M606" s="31">
        <f t="shared" si="18"/>
        <v>0.77999999999974534</v>
      </c>
    </row>
    <row r="607" spans="1:13" x14ac:dyDescent="0.35">
      <c r="A607" s="28" t="s">
        <v>511</v>
      </c>
      <c r="B607" s="32">
        <v>2025</v>
      </c>
      <c r="C607" s="28" t="s">
        <v>515</v>
      </c>
      <c r="D607" s="29">
        <v>45870</v>
      </c>
      <c r="E607" s="28">
        <v>256779416030</v>
      </c>
      <c r="F607" s="28" t="s">
        <v>59</v>
      </c>
      <c r="G607" s="30">
        <v>4400</v>
      </c>
      <c r="H607" s="28" t="s">
        <v>59</v>
      </c>
      <c r="I607" s="30">
        <v>4400</v>
      </c>
      <c r="J607" s="28" t="s">
        <v>866</v>
      </c>
      <c r="K607" s="28" cm="1">
        <f t="array" ref="K607:L607">VLOOKUP(E607,[1]A023951!D$1:H$1114,{3,5},0)</f>
        <v>-51.14</v>
      </c>
      <c r="L607" s="28">
        <v>-4430.3</v>
      </c>
      <c r="M607" s="31">
        <f t="shared" si="18"/>
        <v>-30.300000000000182</v>
      </c>
    </row>
    <row r="608" spans="1:13" x14ac:dyDescent="0.35">
      <c r="A608" s="28" t="s">
        <v>511</v>
      </c>
      <c r="B608" s="32">
        <v>2025</v>
      </c>
      <c r="C608" s="28" t="s">
        <v>515</v>
      </c>
      <c r="D608" s="29">
        <v>45904</v>
      </c>
      <c r="E608" s="28">
        <v>256779417350</v>
      </c>
      <c r="F608" s="28" t="s">
        <v>59</v>
      </c>
      <c r="G608" s="30">
        <v>4400</v>
      </c>
      <c r="H608" s="28" t="s">
        <v>59</v>
      </c>
      <c r="I608" s="30">
        <v>4400</v>
      </c>
      <c r="J608" s="28" t="s">
        <v>867</v>
      </c>
      <c r="K608" s="28" cm="1">
        <f t="array" ref="K608:L608">VLOOKUP(E608,[1]A023951!D$1:H$1114,{3,5},0)</f>
        <v>-50</v>
      </c>
      <c r="L608" s="28">
        <v>-4382.6000000000004</v>
      </c>
      <c r="M608" s="31">
        <f t="shared" si="18"/>
        <v>17.399999999999636</v>
      </c>
    </row>
    <row r="609" spans="1:13" x14ac:dyDescent="0.35">
      <c r="A609" s="28" t="s">
        <v>511</v>
      </c>
      <c r="B609" s="32">
        <v>2025</v>
      </c>
      <c r="C609" s="28" t="s">
        <v>515</v>
      </c>
      <c r="D609" s="29">
        <v>45935</v>
      </c>
      <c r="E609" s="28">
        <v>256779417877</v>
      </c>
      <c r="F609" s="28" t="s">
        <v>59</v>
      </c>
      <c r="G609" s="30">
        <v>4400</v>
      </c>
      <c r="H609" s="28" t="s">
        <v>59</v>
      </c>
      <c r="I609" s="30">
        <v>4400</v>
      </c>
      <c r="J609" s="28" t="s">
        <v>868</v>
      </c>
      <c r="K609" s="28" cm="1">
        <f t="array" ref="K609:L609">VLOOKUP(E609,[1]A023951!D$1:H$1114,{3,5},0)</f>
        <v>-49.89</v>
      </c>
      <c r="L609" s="28">
        <v>-4423.22</v>
      </c>
      <c r="M609" s="31">
        <f t="shared" si="18"/>
        <v>-23.220000000000255</v>
      </c>
    </row>
    <row r="610" spans="1:13" x14ac:dyDescent="0.35">
      <c r="A610" s="28" t="s">
        <v>511</v>
      </c>
      <c r="B610" s="32">
        <v>2025</v>
      </c>
      <c r="C610" s="28" t="s">
        <v>515</v>
      </c>
      <c r="D610" s="29">
        <v>45966</v>
      </c>
      <c r="E610" s="28">
        <v>256779418779</v>
      </c>
      <c r="F610" s="28" t="s">
        <v>59</v>
      </c>
      <c r="G610" s="30">
        <v>4400</v>
      </c>
      <c r="H610" s="28" t="s">
        <v>59</v>
      </c>
      <c r="I610" s="30">
        <v>4400</v>
      </c>
      <c r="J610" s="28" t="s">
        <v>869</v>
      </c>
      <c r="K610" s="28" cm="1">
        <f t="array" ref="K610:L610">VLOOKUP(E610,[1]A023951!D$1:H$1114,{3,5},0)</f>
        <v>-50</v>
      </c>
      <c r="L610" s="28">
        <v>-4412.63</v>
      </c>
      <c r="M610" s="31">
        <f t="shared" si="18"/>
        <v>-12.630000000000109</v>
      </c>
    </row>
    <row r="611" spans="1:13" x14ac:dyDescent="0.35">
      <c r="A611" s="28" t="s">
        <v>511</v>
      </c>
      <c r="B611" s="32">
        <v>2025</v>
      </c>
      <c r="C611" s="28" t="s">
        <v>515</v>
      </c>
      <c r="D611" s="29">
        <v>45995</v>
      </c>
      <c r="E611" s="28">
        <v>256779419972</v>
      </c>
      <c r="F611" s="28" t="s">
        <v>59</v>
      </c>
      <c r="G611" s="30">
        <v>4400</v>
      </c>
      <c r="H611" s="28" t="s">
        <v>59</v>
      </c>
      <c r="I611" s="30">
        <v>4400</v>
      </c>
      <c r="J611" s="28" t="s">
        <v>870</v>
      </c>
      <c r="K611" s="28" cm="1">
        <f t="array" ref="K611:L611">VLOOKUP(E611,[1]A023951!D$1:H$1114,{3,5},0)</f>
        <v>-49.61</v>
      </c>
      <c r="L611" s="28">
        <v>-4422.97</v>
      </c>
      <c r="M611" s="31">
        <f t="shared" si="18"/>
        <v>-22.970000000000255</v>
      </c>
    </row>
    <row r="612" spans="1:13" x14ac:dyDescent="0.35">
      <c r="A612" s="28" t="s">
        <v>511</v>
      </c>
      <c r="B612" s="32">
        <v>2025</v>
      </c>
      <c r="C612" s="28" t="s">
        <v>515</v>
      </c>
      <c r="D612" s="29">
        <v>45787</v>
      </c>
      <c r="E612" s="28">
        <v>256779413146</v>
      </c>
      <c r="F612" s="28" t="s">
        <v>59</v>
      </c>
      <c r="G612" s="30">
        <v>200000</v>
      </c>
      <c r="H612" s="28" t="s">
        <v>59</v>
      </c>
      <c r="I612" s="30">
        <v>200000</v>
      </c>
      <c r="J612" s="28" t="s">
        <v>863</v>
      </c>
      <c r="K612" s="28" cm="1">
        <f t="array" ref="K612:L612">VLOOKUP(E612,[1]A023951!D$1:H$1114,{3,5},0)</f>
        <v>0</v>
      </c>
      <c r="L612" s="28">
        <v>-200000</v>
      </c>
      <c r="M612" s="31">
        <f t="shared" si="18"/>
        <v>0</v>
      </c>
    </row>
    <row r="613" spans="1:13" x14ac:dyDescent="0.35">
      <c r="A613" s="28" t="s">
        <v>511</v>
      </c>
      <c r="B613" s="32">
        <v>2025</v>
      </c>
      <c r="C613" s="28" t="s">
        <v>515</v>
      </c>
      <c r="D613" s="29">
        <v>45818</v>
      </c>
      <c r="E613" s="28">
        <v>256779414358</v>
      </c>
      <c r="F613" s="28" t="s">
        <v>59</v>
      </c>
      <c r="G613" s="30">
        <v>200000</v>
      </c>
      <c r="H613" s="28" t="s">
        <v>59</v>
      </c>
      <c r="I613" s="30">
        <v>200000</v>
      </c>
      <c r="J613" s="28" t="s">
        <v>864</v>
      </c>
      <c r="K613" s="28" cm="1">
        <f t="array" ref="K613:L613">VLOOKUP(E613,[1]A023951!D$1:H$1114,{3,5},0)</f>
        <v>-2339.4299999999998</v>
      </c>
      <c r="L613" s="28">
        <v>-199001.51</v>
      </c>
      <c r="M613" s="31">
        <f t="shared" si="18"/>
        <v>998.48999999999069</v>
      </c>
    </row>
    <row r="614" spans="1:13" x14ac:dyDescent="0.35">
      <c r="A614" s="28" t="s">
        <v>511</v>
      </c>
      <c r="B614" s="32">
        <v>2025</v>
      </c>
      <c r="C614" s="28" t="s">
        <v>515</v>
      </c>
      <c r="D614" s="29">
        <v>45842</v>
      </c>
      <c r="E614" s="28">
        <v>256779414916</v>
      </c>
      <c r="F614" s="28" t="s">
        <v>59</v>
      </c>
      <c r="G614" s="30">
        <v>200000</v>
      </c>
      <c r="H614" s="28" t="s">
        <v>59</v>
      </c>
      <c r="I614" s="30">
        <v>200000</v>
      </c>
      <c r="J614" s="28" t="s">
        <v>865</v>
      </c>
      <c r="K614" s="28" cm="1">
        <f t="array" ref="K614:L614">VLOOKUP(E614,[1]A023951!D$1:H$1114,{3,5},0)</f>
        <v>-2325.56</v>
      </c>
      <c r="L614" s="28">
        <v>-199973.77</v>
      </c>
      <c r="M614" s="31">
        <f t="shared" si="18"/>
        <v>26.230000000010477</v>
      </c>
    </row>
    <row r="615" spans="1:13" x14ac:dyDescent="0.35">
      <c r="A615" s="28" t="s">
        <v>511</v>
      </c>
      <c r="B615" s="32">
        <v>2025</v>
      </c>
      <c r="C615" s="28" t="s">
        <v>515</v>
      </c>
      <c r="D615" s="29">
        <v>45870</v>
      </c>
      <c r="E615" s="28">
        <v>256779416028</v>
      </c>
      <c r="F615" s="28" t="s">
        <v>59</v>
      </c>
      <c r="G615" s="30">
        <v>200000</v>
      </c>
      <c r="H615" s="28" t="s">
        <v>59</v>
      </c>
      <c r="I615" s="30">
        <v>200000</v>
      </c>
      <c r="J615" s="28" t="s">
        <v>866</v>
      </c>
      <c r="K615" s="28" cm="1">
        <f t="array" ref="K615:L615">VLOOKUP(E615,[1]A023951!D$1:H$1114,{3,5},0)</f>
        <v>-2324.77</v>
      </c>
      <c r="L615" s="28">
        <v>-201396.93</v>
      </c>
      <c r="M615" s="31">
        <f t="shared" si="18"/>
        <v>-1396.929999999993</v>
      </c>
    </row>
    <row r="616" spans="1:13" x14ac:dyDescent="0.35">
      <c r="A616" s="28" t="s">
        <v>511</v>
      </c>
      <c r="B616" s="32">
        <v>2025</v>
      </c>
      <c r="C616" s="28" t="s">
        <v>515</v>
      </c>
      <c r="D616" s="29">
        <v>45904</v>
      </c>
      <c r="E616" s="28">
        <v>256779417348</v>
      </c>
      <c r="F616" s="28" t="s">
        <v>59</v>
      </c>
      <c r="G616" s="30">
        <v>200000</v>
      </c>
      <c r="H616" s="28" t="s">
        <v>59</v>
      </c>
      <c r="I616" s="30">
        <v>200000</v>
      </c>
      <c r="J616" s="28" t="s">
        <v>867</v>
      </c>
      <c r="K616" s="28" cm="1">
        <f t="array" ref="K616:L616">VLOOKUP(E616,[1]A023951!D$1:H$1114,{3,5},0)</f>
        <v>-2285.34</v>
      </c>
      <c r="L616" s="28">
        <v>-200314.44</v>
      </c>
      <c r="M616" s="31">
        <f t="shared" si="18"/>
        <v>-314.44000000000233</v>
      </c>
    </row>
    <row r="617" spans="1:13" x14ac:dyDescent="0.35">
      <c r="A617" s="28" t="s">
        <v>511</v>
      </c>
      <c r="B617" s="32">
        <v>2025</v>
      </c>
      <c r="C617" s="28" t="s">
        <v>515</v>
      </c>
      <c r="D617" s="29">
        <v>45935</v>
      </c>
      <c r="E617" s="28">
        <v>256779417875</v>
      </c>
      <c r="F617" s="28" t="s">
        <v>59</v>
      </c>
      <c r="G617" s="30">
        <v>200000</v>
      </c>
      <c r="H617" s="28" t="s">
        <v>59</v>
      </c>
      <c r="I617" s="30">
        <v>200000</v>
      </c>
      <c r="J617" s="28" t="s">
        <v>868</v>
      </c>
      <c r="K617" s="28" cm="1">
        <f t="array" ref="K617:L617">VLOOKUP(E617,[1]A023951!D$1:H$1114,{3,5},0)</f>
        <v>-2267.81</v>
      </c>
      <c r="L617" s="28">
        <v>-201062.89</v>
      </c>
      <c r="M617" s="31">
        <f t="shared" si="18"/>
        <v>-1062.890000000014</v>
      </c>
    </row>
    <row r="618" spans="1:13" x14ac:dyDescent="0.35">
      <c r="A618" s="28" t="s">
        <v>511</v>
      </c>
      <c r="B618" s="32">
        <v>2025</v>
      </c>
      <c r="C618" s="28" t="s">
        <v>515</v>
      </c>
      <c r="D618" s="29">
        <v>45966</v>
      </c>
      <c r="E618" s="28">
        <v>256779418777</v>
      </c>
      <c r="F618" s="28" t="s">
        <v>59</v>
      </c>
      <c r="G618" s="30">
        <v>200000</v>
      </c>
      <c r="H618" s="28" t="s">
        <v>59</v>
      </c>
      <c r="I618" s="30">
        <v>200000</v>
      </c>
      <c r="J618" s="28" t="s">
        <v>869</v>
      </c>
      <c r="K618" s="28" cm="1">
        <f t="array" ref="K618:L618">VLOOKUP(E618,[1]A023951!D$1:H$1114,{3,5},0)</f>
        <v>-2272.64</v>
      </c>
      <c r="L618" s="28">
        <v>-200566.32</v>
      </c>
      <c r="M618" s="31">
        <f t="shared" si="18"/>
        <v>-566.32000000000698</v>
      </c>
    </row>
    <row r="619" spans="1:13" x14ac:dyDescent="0.35">
      <c r="A619" s="28" t="s">
        <v>511</v>
      </c>
      <c r="B619" s="32">
        <v>2025</v>
      </c>
      <c r="C619" s="28" t="s">
        <v>515</v>
      </c>
      <c r="D619" s="29">
        <v>45995</v>
      </c>
      <c r="E619" s="28">
        <v>256779419970</v>
      </c>
      <c r="F619" s="28" t="s">
        <v>59</v>
      </c>
      <c r="G619" s="30">
        <v>200000</v>
      </c>
      <c r="H619" s="28" t="s">
        <v>59</v>
      </c>
      <c r="I619" s="30">
        <v>200000</v>
      </c>
      <c r="J619" s="28" t="s">
        <v>870</v>
      </c>
      <c r="K619" s="28" cm="1">
        <f t="array" ref="K619:L619">VLOOKUP(E619,[1]A023951!D$1:H$1114,{3,5},0)</f>
        <v>-2254.79</v>
      </c>
      <c r="L619" s="28">
        <v>-201025.31</v>
      </c>
      <c r="M619" s="31">
        <f t="shared" si="18"/>
        <v>-1025.3099999999977</v>
      </c>
    </row>
    <row r="620" spans="1:13" x14ac:dyDescent="0.35">
      <c r="A620" s="28" t="s">
        <v>511</v>
      </c>
      <c r="B620" s="32">
        <v>2025</v>
      </c>
      <c r="C620" s="28" t="s">
        <v>515</v>
      </c>
      <c r="D620" s="29">
        <v>45848</v>
      </c>
      <c r="E620" s="28">
        <v>256779415336</v>
      </c>
      <c r="F620" s="28" t="s">
        <v>11</v>
      </c>
      <c r="G620" s="30">
        <v>5</v>
      </c>
      <c r="H620" s="28" t="s">
        <v>59</v>
      </c>
      <c r="I620" s="30">
        <v>430</v>
      </c>
      <c r="J620" s="28" t="s">
        <v>807</v>
      </c>
      <c r="K620" s="28" cm="1">
        <f t="array" ref="K620:L620">VLOOKUP(E620,[1]A023951!D$1:H$1114,{3,5},0)</f>
        <v>-5</v>
      </c>
      <c r="L620" s="28">
        <v>-442.35</v>
      </c>
      <c r="M620" s="31">
        <f t="shared" si="18"/>
        <v>-12.350000000000023</v>
      </c>
    </row>
    <row r="621" spans="1:13" x14ac:dyDescent="0.35">
      <c r="A621" s="28" t="s">
        <v>511</v>
      </c>
      <c r="B621" s="32">
        <v>2025</v>
      </c>
      <c r="C621" s="28" t="s">
        <v>512</v>
      </c>
      <c r="D621" s="29">
        <v>45848</v>
      </c>
      <c r="E621" s="28">
        <v>256779421236</v>
      </c>
      <c r="F621" s="28" t="s">
        <v>11</v>
      </c>
      <c r="G621" s="30">
        <v>-118</v>
      </c>
      <c r="H621" s="28" t="s">
        <v>59</v>
      </c>
      <c r="I621" s="30">
        <v>-10148.08</v>
      </c>
      <c r="J621" s="28" t="s">
        <v>871</v>
      </c>
      <c r="K621" s="28" t="e" cm="1">
        <f t="array" ref="K621">VLOOKUP(E621,[1]A023951!D$1:H$1114,{3,5},0)</f>
        <v>#N/A</v>
      </c>
      <c r="L621" s="28"/>
      <c r="M621" s="28"/>
    </row>
    <row r="622" spans="1:13" x14ac:dyDescent="0.35">
      <c r="A622" s="28" t="s">
        <v>511</v>
      </c>
      <c r="B622" s="32">
        <v>2025</v>
      </c>
      <c r="C622" s="28" t="s">
        <v>512</v>
      </c>
      <c r="D622" s="29">
        <v>45890</v>
      </c>
      <c r="E622" s="28">
        <v>256779421697</v>
      </c>
      <c r="F622" s="28" t="s">
        <v>11</v>
      </c>
      <c r="G622" s="30">
        <v>-100</v>
      </c>
      <c r="H622" s="28" t="s">
        <v>59</v>
      </c>
      <c r="I622" s="30">
        <v>-8603.01</v>
      </c>
      <c r="J622" s="28" t="s">
        <v>872</v>
      </c>
      <c r="K622" s="28" t="e" cm="1">
        <f t="array" ref="K622">VLOOKUP(E622,[1]A023951!D$1:H$1114,{3,5},0)</f>
        <v>#N/A</v>
      </c>
      <c r="L622" s="28"/>
      <c r="M622" s="28"/>
    </row>
    <row r="623" spans="1:13" x14ac:dyDescent="0.35">
      <c r="A623" s="28" t="s">
        <v>511</v>
      </c>
      <c r="B623" s="32">
        <v>2025</v>
      </c>
      <c r="C623" s="28" t="s">
        <v>515</v>
      </c>
      <c r="D623" s="29">
        <v>45762</v>
      </c>
      <c r="E623" s="28">
        <v>256779411097</v>
      </c>
      <c r="F623" s="28" t="s">
        <v>11</v>
      </c>
      <c r="G623" s="30">
        <v>118</v>
      </c>
      <c r="H623" s="28" t="s">
        <v>59</v>
      </c>
      <c r="I623" s="30">
        <v>10256.77</v>
      </c>
      <c r="J623" s="28" t="s">
        <v>807</v>
      </c>
      <c r="K623" s="28" t="e" cm="1">
        <f t="array" ref="K623">VLOOKUP(E623,[1]A023951!D$1:H$1114,{3,5},0)</f>
        <v>#N/A</v>
      </c>
      <c r="L623" s="28"/>
      <c r="M623" s="28"/>
    </row>
    <row r="624" spans="1:13" x14ac:dyDescent="0.35">
      <c r="A624" s="28" t="s">
        <v>511</v>
      </c>
      <c r="B624" s="32">
        <v>2025</v>
      </c>
      <c r="C624" s="28" t="s">
        <v>515</v>
      </c>
      <c r="D624" s="29">
        <v>45848</v>
      </c>
      <c r="E624" s="28">
        <v>256779415303</v>
      </c>
      <c r="F624" s="28" t="s">
        <v>11</v>
      </c>
      <c r="G624" s="30">
        <v>100</v>
      </c>
      <c r="H624" s="28" t="s">
        <v>59</v>
      </c>
      <c r="I624" s="30">
        <v>8600.07</v>
      </c>
      <c r="J624" s="28" t="s">
        <v>807</v>
      </c>
      <c r="K624" s="28" cm="1">
        <f t="array" ref="K624:L624">VLOOKUP(E624,[1]A023951!D$1:H$1114,{3,5},0)</f>
        <v>-100</v>
      </c>
      <c r="L624" s="28">
        <v>-8847</v>
      </c>
      <c r="M624" s="31">
        <f>I624+L624</f>
        <v>-246.93000000000029</v>
      </c>
    </row>
    <row r="625" spans="1:13" x14ac:dyDescent="0.35">
      <c r="A625" s="28" t="s">
        <v>511</v>
      </c>
      <c r="B625" s="32">
        <v>2025</v>
      </c>
      <c r="C625" s="28" t="s">
        <v>512</v>
      </c>
      <c r="D625" s="29">
        <v>45890</v>
      </c>
      <c r="E625" s="28">
        <v>256779421704</v>
      </c>
      <c r="F625" s="28" t="s">
        <v>11</v>
      </c>
      <c r="G625" s="30">
        <v>-8.48</v>
      </c>
      <c r="H625" s="28" t="s">
        <v>59</v>
      </c>
      <c r="I625" s="30">
        <v>-729.54</v>
      </c>
      <c r="J625" s="28" t="s">
        <v>873</v>
      </c>
      <c r="K625" s="28" t="e" cm="1">
        <f t="array" ref="K625">VLOOKUP(E625,[1]A023951!D$1:H$1114,{3,5},0)</f>
        <v>#N/A</v>
      </c>
      <c r="L625" s="28"/>
      <c r="M625" s="28"/>
    </row>
    <row r="626" spans="1:13" x14ac:dyDescent="0.35">
      <c r="A626" s="28" t="s">
        <v>511</v>
      </c>
      <c r="B626" s="32">
        <v>2025</v>
      </c>
      <c r="C626" s="28" t="s">
        <v>515</v>
      </c>
      <c r="D626" s="29">
        <v>45720</v>
      </c>
      <c r="E626" s="28">
        <v>246779410743</v>
      </c>
      <c r="F626" s="28" t="s">
        <v>11</v>
      </c>
      <c r="G626" s="30">
        <v>3</v>
      </c>
      <c r="H626" s="28" t="s">
        <v>59</v>
      </c>
      <c r="I626" s="30">
        <v>260.07</v>
      </c>
      <c r="J626" s="28" t="s">
        <v>874</v>
      </c>
      <c r="K626" s="28" cm="1">
        <f t="array" ref="K626:L626">VLOOKUP(E626,[1]A023951!D$1:H$1114,{3,5},0)</f>
        <v>-3</v>
      </c>
      <c r="L626" s="28">
        <v>-261.13</v>
      </c>
      <c r="M626" s="31">
        <f>I626+L626</f>
        <v>-1.0600000000000023</v>
      </c>
    </row>
    <row r="627" spans="1:13" x14ac:dyDescent="0.35">
      <c r="A627" s="28" t="s">
        <v>511</v>
      </c>
      <c r="B627" s="32">
        <v>2025</v>
      </c>
      <c r="C627" s="28" t="s">
        <v>515</v>
      </c>
      <c r="D627" s="29">
        <v>45720</v>
      </c>
      <c r="E627" s="28">
        <v>246779410826</v>
      </c>
      <c r="F627" s="28" t="s">
        <v>11</v>
      </c>
      <c r="G627" s="30">
        <v>3</v>
      </c>
      <c r="H627" s="28" t="s">
        <v>59</v>
      </c>
      <c r="I627" s="30">
        <v>260.07</v>
      </c>
      <c r="J627" s="28" t="s">
        <v>875</v>
      </c>
      <c r="K627" s="28" cm="1">
        <f t="array" ref="K627:L627">VLOOKUP(E627,[1]A023951!D$1:H$1114,{3,5},0)</f>
        <v>-3</v>
      </c>
      <c r="L627" s="28">
        <v>-261.13</v>
      </c>
      <c r="M627" s="31">
        <f>I627+L627</f>
        <v>-1.0600000000000023</v>
      </c>
    </row>
    <row r="628" spans="1:13" x14ac:dyDescent="0.35">
      <c r="A628" s="28" t="s">
        <v>511</v>
      </c>
      <c r="B628" s="32">
        <v>2025</v>
      </c>
      <c r="C628" s="28" t="s">
        <v>515</v>
      </c>
      <c r="D628" s="29">
        <v>45720</v>
      </c>
      <c r="E628" s="28">
        <v>246779410665</v>
      </c>
      <c r="F628" s="28" t="s">
        <v>11</v>
      </c>
      <c r="G628" s="30">
        <v>3.54</v>
      </c>
      <c r="H628" s="28" t="s">
        <v>59</v>
      </c>
      <c r="I628" s="30">
        <v>306.89</v>
      </c>
      <c r="J628" s="28" t="s">
        <v>733</v>
      </c>
      <c r="K628" s="28" cm="1">
        <f t="array" ref="K628:L628">VLOOKUP(E628,[1]A023951!D$1:H$1114,{3,5},0)</f>
        <v>-3.54</v>
      </c>
      <c r="L628" s="28">
        <v>-308.13</v>
      </c>
      <c r="M628" s="31">
        <f>I628+L628</f>
        <v>-1.2400000000000091</v>
      </c>
    </row>
    <row r="629" spans="1:13" x14ac:dyDescent="0.35">
      <c r="A629" s="28" t="s">
        <v>511</v>
      </c>
      <c r="B629" s="32">
        <v>2025</v>
      </c>
      <c r="C629" s="28" t="s">
        <v>515</v>
      </c>
      <c r="D629" s="29">
        <v>45751</v>
      </c>
      <c r="E629" s="28">
        <v>256779410801</v>
      </c>
      <c r="F629" s="28" t="s">
        <v>11</v>
      </c>
      <c r="G629" s="30">
        <v>2829.48</v>
      </c>
      <c r="H629" s="28" t="s">
        <v>59</v>
      </c>
      <c r="I629" s="30">
        <v>245943.55</v>
      </c>
      <c r="J629" s="28" t="s">
        <v>876</v>
      </c>
      <c r="K629" s="28" cm="1">
        <f t="array" ref="K629:L629">VLOOKUP(E629,[1]A023951!D$1:H$1114,{3,5},0)</f>
        <v>-2829.48</v>
      </c>
      <c r="L629" s="28">
        <v>-242562.74</v>
      </c>
      <c r="M629" s="31">
        <f>I629+L629</f>
        <v>3380.8099999999977</v>
      </c>
    </row>
    <row r="630" spans="1:13" x14ac:dyDescent="0.35">
      <c r="A630" s="28" t="s">
        <v>511</v>
      </c>
      <c r="B630" s="32">
        <v>2025</v>
      </c>
      <c r="C630" s="28" t="s">
        <v>515</v>
      </c>
      <c r="D630" s="29">
        <v>45751</v>
      </c>
      <c r="E630" s="28">
        <v>256779410819</v>
      </c>
      <c r="F630" s="28" t="s">
        <v>11</v>
      </c>
      <c r="G630" s="30">
        <v>1913.97</v>
      </c>
      <c r="H630" s="28" t="s">
        <v>59</v>
      </c>
      <c r="I630" s="30">
        <v>166365.76000000001</v>
      </c>
      <c r="J630" s="28" t="s">
        <v>877</v>
      </c>
      <c r="K630" s="28" t="e" cm="1">
        <f t="array" ref="K630">VLOOKUP(E630,[1]A023951!D$1:H$1114,{3,5},0)</f>
        <v>#N/A</v>
      </c>
      <c r="L630" s="28"/>
      <c r="M630" s="28"/>
    </row>
    <row r="631" spans="1:13" x14ac:dyDescent="0.35">
      <c r="A631" s="28" t="s">
        <v>511</v>
      </c>
      <c r="B631" s="32">
        <v>2025</v>
      </c>
      <c r="C631" s="28" t="s">
        <v>515</v>
      </c>
      <c r="D631" s="29">
        <v>45722</v>
      </c>
      <c r="E631" s="28">
        <v>246779410882</v>
      </c>
      <c r="F631" s="28" t="s">
        <v>11</v>
      </c>
      <c r="G631" s="30">
        <v>2232.73</v>
      </c>
      <c r="H631" s="28" t="s">
        <v>59</v>
      </c>
      <c r="I631" s="30">
        <v>193558.18</v>
      </c>
      <c r="J631" s="28" t="s">
        <v>878</v>
      </c>
      <c r="K631" s="28" cm="1">
        <f t="array" ref="K631:L631">VLOOKUP(E631,[1]A023951!D$1:H$1114,{3,5},0)</f>
        <v>-2232.73</v>
      </c>
      <c r="L631" s="28">
        <v>-194342.21</v>
      </c>
      <c r="M631" s="31">
        <f>I631+L631</f>
        <v>-784.02999999999884</v>
      </c>
    </row>
    <row r="632" spans="1:13" x14ac:dyDescent="0.35">
      <c r="A632" s="28" t="s">
        <v>511</v>
      </c>
      <c r="B632" s="32">
        <v>2025</v>
      </c>
      <c r="C632" s="28" t="s">
        <v>515</v>
      </c>
      <c r="D632" s="29">
        <v>45722</v>
      </c>
      <c r="E632" s="28">
        <v>246779410904</v>
      </c>
      <c r="F632" s="28" t="s">
        <v>11</v>
      </c>
      <c r="G632" s="30">
        <v>1665.82</v>
      </c>
      <c r="H632" s="28" t="s">
        <v>59</v>
      </c>
      <c r="I632" s="30">
        <v>144412.03</v>
      </c>
      <c r="J632" s="28" t="s">
        <v>879</v>
      </c>
      <c r="K632" s="28" cm="1">
        <f t="array" ref="K632:L632">VLOOKUP(E632,[1]A023951!D$1:H$1114,{3,5},0)</f>
        <v>-1665.82</v>
      </c>
      <c r="L632" s="28">
        <v>-144997</v>
      </c>
      <c r="M632" s="31">
        <f>I632+L632</f>
        <v>-584.97000000000116</v>
      </c>
    </row>
    <row r="633" spans="1:13" x14ac:dyDescent="0.35">
      <c r="A633" s="28" t="s">
        <v>511</v>
      </c>
      <c r="B633" s="32">
        <v>2025</v>
      </c>
      <c r="C633" s="28" t="s">
        <v>515</v>
      </c>
      <c r="D633" s="29">
        <v>45719</v>
      </c>
      <c r="E633" s="28">
        <v>246779410436</v>
      </c>
      <c r="F633" s="28" t="s">
        <v>11</v>
      </c>
      <c r="G633" s="30">
        <v>1332.41</v>
      </c>
      <c r="H633" s="28" t="s">
        <v>59</v>
      </c>
      <c r="I633" s="30">
        <v>115508.3</v>
      </c>
      <c r="J633" s="28" t="s">
        <v>880</v>
      </c>
      <c r="K633" s="28" cm="1">
        <f t="array" ref="K633:L633">VLOOKUP(E633,[1]A023951!D$1:H$1114,{3,5},0)</f>
        <v>-1332.41</v>
      </c>
      <c r="L633" s="28">
        <v>-115976.18</v>
      </c>
      <c r="M633" s="31">
        <f>I633+L633</f>
        <v>-467.8799999999901</v>
      </c>
    </row>
    <row r="634" spans="1:13" x14ac:dyDescent="0.35">
      <c r="A634" s="28" t="s">
        <v>511</v>
      </c>
      <c r="B634" s="32">
        <v>2025</v>
      </c>
      <c r="C634" s="28" t="s">
        <v>515</v>
      </c>
      <c r="D634" s="29">
        <v>45719</v>
      </c>
      <c r="E634" s="28">
        <v>246779410389</v>
      </c>
      <c r="F634" s="28" t="s">
        <v>11</v>
      </c>
      <c r="G634" s="30">
        <v>542.08000000000004</v>
      </c>
      <c r="H634" s="28" t="s">
        <v>59</v>
      </c>
      <c r="I634" s="30">
        <v>46993.599999999999</v>
      </c>
      <c r="J634" s="28" t="s">
        <v>881</v>
      </c>
      <c r="K634" s="28" cm="1">
        <f t="array" ref="K634:L634">VLOOKUP(E634,[1]A023951!D$1:H$1114,{3,5},0)</f>
        <v>-542.08000000000004</v>
      </c>
      <c r="L634" s="28">
        <v>-47183.95</v>
      </c>
      <c r="M634" s="31">
        <f>I634+L634</f>
        <v>-190.34999999999854</v>
      </c>
    </row>
    <row r="635" spans="1:13" x14ac:dyDescent="0.35">
      <c r="A635" s="28" t="s">
        <v>511</v>
      </c>
      <c r="B635" s="32">
        <v>2025</v>
      </c>
      <c r="C635" s="28" t="s">
        <v>515</v>
      </c>
      <c r="D635" s="29">
        <v>45719</v>
      </c>
      <c r="E635" s="28">
        <v>246779410413</v>
      </c>
      <c r="F635" s="28" t="s">
        <v>11</v>
      </c>
      <c r="G635" s="30">
        <v>694.12</v>
      </c>
      <c r="H635" s="28" t="s">
        <v>59</v>
      </c>
      <c r="I635" s="30">
        <v>60174.14</v>
      </c>
      <c r="J635" s="28" t="s">
        <v>882</v>
      </c>
      <c r="K635" s="28" cm="1">
        <f t="array" ref="K635:L635">VLOOKUP(E635,[1]A023951!D$1:H$1114,{3,5},0)</f>
        <v>-694.12</v>
      </c>
      <c r="L635" s="28">
        <v>-60417.88</v>
      </c>
      <c r="M635" s="31">
        <f>I635+L635</f>
        <v>-243.73999999999796</v>
      </c>
    </row>
    <row r="636" spans="1:13" x14ac:dyDescent="0.35">
      <c r="A636" s="28" t="s">
        <v>511</v>
      </c>
      <c r="B636" s="32">
        <v>2025</v>
      </c>
      <c r="C636" s="28" t="s">
        <v>515</v>
      </c>
      <c r="D636" s="29">
        <v>45719</v>
      </c>
      <c r="E636" s="28">
        <v>246779410482</v>
      </c>
      <c r="F636" s="28" t="s">
        <v>11</v>
      </c>
      <c r="G636" s="30">
        <v>3.54</v>
      </c>
      <c r="H636" s="28" t="s">
        <v>59</v>
      </c>
      <c r="I636" s="30">
        <v>306.89</v>
      </c>
      <c r="J636" s="28" t="s">
        <v>855</v>
      </c>
      <c r="K636" s="28" t="e" cm="1">
        <f t="array" ref="K636">VLOOKUP(E636,[1]A023951!D$1:H$1114,{3,5},0)</f>
        <v>#N/A</v>
      </c>
      <c r="L636" s="28"/>
      <c r="M636" s="28"/>
    </row>
    <row r="637" spans="1:13" x14ac:dyDescent="0.35">
      <c r="A637" s="28" t="s">
        <v>511</v>
      </c>
      <c r="B637" s="32">
        <v>2025</v>
      </c>
      <c r="C637" s="28" t="s">
        <v>515</v>
      </c>
      <c r="D637" s="29">
        <v>45719</v>
      </c>
      <c r="E637" s="28">
        <v>246779410483</v>
      </c>
      <c r="F637" s="28" t="s">
        <v>11</v>
      </c>
      <c r="G637" s="30">
        <v>3.54</v>
      </c>
      <c r="H637" s="28" t="s">
        <v>59</v>
      </c>
      <c r="I637" s="30">
        <v>306.89</v>
      </c>
      <c r="J637" s="28" t="s">
        <v>855</v>
      </c>
      <c r="K637" s="28" t="e" cm="1">
        <f t="array" ref="K637">VLOOKUP(E637,[1]A023951!D$1:H$1114,{3,5},0)</f>
        <v>#N/A</v>
      </c>
      <c r="L637" s="28"/>
      <c r="M637" s="28"/>
    </row>
    <row r="638" spans="1:13" x14ac:dyDescent="0.35">
      <c r="A638" s="28" t="s">
        <v>511</v>
      </c>
      <c r="B638" s="32">
        <v>2025</v>
      </c>
      <c r="C638" s="28" t="s">
        <v>515</v>
      </c>
      <c r="D638" s="29">
        <v>45733</v>
      </c>
      <c r="E638" s="28">
        <v>246779411593</v>
      </c>
      <c r="F638" s="28" t="s">
        <v>11</v>
      </c>
      <c r="G638" s="30">
        <v>40.1</v>
      </c>
      <c r="H638" s="28" t="s">
        <v>59</v>
      </c>
      <c r="I638" s="30">
        <v>3476.32</v>
      </c>
      <c r="J638" s="28" t="s">
        <v>883</v>
      </c>
      <c r="K638" s="28" cm="1">
        <f t="array" ref="K638:L638">VLOOKUP(E638,[1]A023951!D$1:H$1114,{3,5},0)</f>
        <v>-40.1</v>
      </c>
      <c r="L638" s="28">
        <v>-3490.4</v>
      </c>
      <c r="M638" s="31">
        <f t="shared" ref="M638:M669" si="19">I638+L638</f>
        <v>-14.079999999999927</v>
      </c>
    </row>
    <row r="639" spans="1:13" x14ac:dyDescent="0.35">
      <c r="A639" s="28" t="s">
        <v>511</v>
      </c>
      <c r="B639" s="32">
        <v>2025</v>
      </c>
      <c r="C639" s="28" t="s">
        <v>515</v>
      </c>
      <c r="D639" s="29">
        <v>45733</v>
      </c>
      <c r="E639" s="28">
        <v>246779411594</v>
      </c>
      <c r="F639" s="28" t="s">
        <v>11</v>
      </c>
      <c r="G639" s="30">
        <v>17.190000000000001</v>
      </c>
      <c r="H639" s="28" t="s">
        <v>59</v>
      </c>
      <c r="I639" s="30">
        <v>1490.22</v>
      </c>
      <c r="J639" s="28" t="s">
        <v>883</v>
      </c>
      <c r="K639" s="28" cm="1">
        <f t="array" ref="K639:L639">VLOOKUP(E639,[1]A023951!D$1:H$1114,{3,5},0)</f>
        <v>-17.190000000000001</v>
      </c>
      <c r="L639" s="28">
        <v>-1496.26</v>
      </c>
      <c r="M639" s="31">
        <f t="shared" si="19"/>
        <v>-6.0399999999999636</v>
      </c>
    </row>
    <row r="640" spans="1:13" x14ac:dyDescent="0.35">
      <c r="A640" s="28" t="s">
        <v>511</v>
      </c>
      <c r="B640" s="32">
        <v>2025</v>
      </c>
      <c r="C640" s="28" t="s">
        <v>515</v>
      </c>
      <c r="D640" s="29">
        <v>45733</v>
      </c>
      <c r="E640" s="28">
        <v>246779411595</v>
      </c>
      <c r="F640" s="28" t="s">
        <v>11</v>
      </c>
      <c r="G640" s="30">
        <v>51.56</v>
      </c>
      <c r="H640" s="28" t="s">
        <v>59</v>
      </c>
      <c r="I640" s="30">
        <v>4469.8</v>
      </c>
      <c r="J640" s="28" t="s">
        <v>883</v>
      </c>
      <c r="K640" s="28" cm="1">
        <f t="array" ref="K640:L640">VLOOKUP(E640,[1]A023951!D$1:H$1114,{3,5},0)</f>
        <v>-51.56</v>
      </c>
      <c r="L640" s="28">
        <v>-4487.91</v>
      </c>
      <c r="M640" s="31">
        <f t="shared" si="19"/>
        <v>-18.109999999999673</v>
      </c>
    </row>
    <row r="641" spans="1:13" x14ac:dyDescent="0.35">
      <c r="A641" s="28" t="s">
        <v>511</v>
      </c>
      <c r="B641" s="32">
        <v>2025</v>
      </c>
      <c r="C641" s="28" t="s">
        <v>515</v>
      </c>
      <c r="D641" s="29">
        <v>45733</v>
      </c>
      <c r="E641" s="28">
        <v>246779411596</v>
      </c>
      <c r="F641" s="28" t="s">
        <v>11</v>
      </c>
      <c r="G641" s="30">
        <v>74.47</v>
      </c>
      <c r="H641" s="28" t="s">
        <v>59</v>
      </c>
      <c r="I641" s="30">
        <v>6455.9</v>
      </c>
      <c r="J641" s="28" t="s">
        <v>883</v>
      </c>
      <c r="K641" s="28" cm="1">
        <f t="array" ref="K641:L641">VLOOKUP(E641,[1]A023951!D$1:H$1114,{3,5},0)</f>
        <v>-74.47</v>
      </c>
      <c r="L641" s="28">
        <v>-6482.05</v>
      </c>
      <c r="M641" s="31">
        <f t="shared" si="19"/>
        <v>-26.150000000000546</v>
      </c>
    </row>
    <row r="642" spans="1:13" x14ac:dyDescent="0.35">
      <c r="A642" s="28" t="s">
        <v>511</v>
      </c>
      <c r="B642" s="32">
        <v>2025</v>
      </c>
      <c r="C642" s="28" t="s">
        <v>515</v>
      </c>
      <c r="D642" s="29">
        <v>45733</v>
      </c>
      <c r="E642" s="28">
        <v>246779411597</v>
      </c>
      <c r="F642" s="28" t="s">
        <v>11</v>
      </c>
      <c r="G642" s="30">
        <v>57.29</v>
      </c>
      <c r="H642" s="28" t="s">
        <v>59</v>
      </c>
      <c r="I642" s="30">
        <v>4966.54</v>
      </c>
      <c r="J642" s="28" t="s">
        <v>883</v>
      </c>
      <c r="K642" s="28" cm="1">
        <f t="array" ref="K642:L642">VLOOKUP(E642,[1]A023951!D$1:H$1114,{3,5},0)</f>
        <v>-57.29</v>
      </c>
      <c r="L642" s="28">
        <v>-4986.66</v>
      </c>
      <c r="M642" s="31">
        <f t="shared" si="19"/>
        <v>-20.119999999999891</v>
      </c>
    </row>
    <row r="643" spans="1:13" x14ac:dyDescent="0.35">
      <c r="A643" s="28" t="s">
        <v>511</v>
      </c>
      <c r="B643" s="32">
        <v>2025</v>
      </c>
      <c r="C643" s="28" t="s">
        <v>515</v>
      </c>
      <c r="D643" s="29">
        <v>45733</v>
      </c>
      <c r="E643" s="28">
        <v>246779411598</v>
      </c>
      <c r="F643" s="28" t="s">
        <v>11</v>
      </c>
      <c r="G643" s="30">
        <v>91.66</v>
      </c>
      <c r="H643" s="28" t="s">
        <v>59</v>
      </c>
      <c r="I643" s="30">
        <v>7946.12</v>
      </c>
      <c r="J643" s="28" t="s">
        <v>883</v>
      </c>
      <c r="K643" s="28" cm="1">
        <f t="array" ref="K643:L643">VLOOKUP(E643,[1]A023951!D$1:H$1114,{3,5},0)</f>
        <v>-91.66</v>
      </c>
      <c r="L643" s="28">
        <v>-7978.31</v>
      </c>
      <c r="M643" s="31">
        <f t="shared" si="19"/>
        <v>-32.190000000000509</v>
      </c>
    </row>
    <row r="644" spans="1:13" x14ac:dyDescent="0.35">
      <c r="A644" s="28" t="s">
        <v>511</v>
      </c>
      <c r="B644" s="32">
        <v>2025</v>
      </c>
      <c r="C644" s="28" t="s">
        <v>515</v>
      </c>
      <c r="D644" s="29">
        <v>45733</v>
      </c>
      <c r="E644" s="28">
        <v>246779411599</v>
      </c>
      <c r="F644" s="28" t="s">
        <v>11</v>
      </c>
      <c r="G644" s="30">
        <v>37.950000000000003</v>
      </c>
      <c r="H644" s="28" t="s">
        <v>59</v>
      </c>
      <c r="I644" s="30">
        <v>3289.93</v>
      </c>
      <c r="J644" s="28" t="s">
        <v>883</v>
      </c>
      <c r="K644" s="28" cm="1">
        <f t="array" ref="K644:L644">VLOOKUP(E644,[1]A023951!D$1:H$1114,{3,5},0)</f>
        <v>-37.950000000000003</v>
      </c>
      <c r="L644" s="28">
        <v>-3303.26</v>
      </c>
      <c r="M644" s="31">
        <f t="shared" si="19"/>
        <v>-13.330000000000382</v>
      </c>
    </row>
    <row r="645" spans="1:13" x14ac:dyDescent="0.35">
      <c r="A645" s="28" t="s">
        <v>511</v>
      </c>
      <c r="B645" s="32">
        <v>2025</v>
      </c>
      <c r="C645" s="28" t="s">
        <v>515</v>
      </c>
      <c r="D645" s="29">
        <v>45733</v>
      </c>
      <c r="E645" s="28">
        <v>246779411600</v>
      </c>
      <c r="F645" s="28" t="s">
        <v>11</v>
      </c>
      <c r="G645" s="30">
        <v>2.6</v>
      </c>
      <c r="H645" s="28" t="s">
        <v>59</v>
      </c>
      <c r="I645" s="30">
        <v>225.4</v>
      </c>
      <c r="J645" s="28" t="s">
        <v>883</v>
      </c>
      <c r="K645" s="28" cm="1">
        <f t="array" ref="K645:L645">VLOOKUP(E645,[1]A023951!D$1:H$1114,{3,5},0)</f>
        <v>-2.6</v>
      </c>
      <c r="L645" s="28">
        <v>-226.31</v>
      </c>
      <c r="M645" s="31">
        <f t="shared" si="19"/>
        <v>-0.90999999999999659</v>
      </c>
    </row>
    <row r="646" spans="1:13" x14ac:dyDescent="0.35">
      <c r="A646" s="28" t="s">
        <v>511</v>
      </c>
      <c r="B646" s="32">
        <v>2025</v>
      </c>
      <c r="C646" s="28" t="s">
        <v>515</v>
      </c>
      <c r="D646" s="29">
        <v>45733</v>
      </c>
      <c r="E646" s="28">
        <v>246779411601</v>
      </c>
      <c r="F646" s="28" t="s">
        <v>11</v>
      </c>
      <c r="G646" s="30">
        <v>23.39</v>
      </c>
      <c r="H646" s="28" t="s">
        <v>59</v>
      </c>
      <c r="I646" s="30">
        <v>2027.71</v>
      </c>
      <c r="J646" s="28" t="s">
        <v>883</v>
      </c>
      <c r="K646" s="28" cm="1">
        <f t="array" ref="K646:L646">VLOOKUP(E646,[1]A023951!D$1:H$1114,{3,5},0)</f>
        <v>-23.39</v>
      </c>
      <c r="L646" s="28">
        <v>-2035.92</v>
      </c>
      <c r="M646" s="31">
        <f t="shared" si="19"/>
        <v>-8.2100000000000364</v>
      </c>
    </row>
    <row r="647" spans="1:13" x14ac:dyDescent="0.35">
      <c r="A647" s="28" t="s">
        <v>511</v>
      </c>
      <c r="B647" s="32">
        <v>2025</v>
      </c>
      <c r="C647" s="28" t="s">
        <v>515</v>
      </c>
      <c r="D647" s="29">
        <v>45733</v>
      </c>
      <c r="E647" s="28">
        <v>246779411637</v>
      </c>
      <c r="F647" s="28" t="s">
        <v>11</v>
      </c>
      <c r="G647" s="30">
        <v>429.65</v>
      </c>
      <c r="H647" s="28" t="s">
        <v>59</v>
      </c>
      <c r="I647" s="30">
        <v>37246.9</v>
      </c>
      <c r="J647" s="28" t="s">
        <v>883</v>
      </c>
      <c r="K647" s="28" cm="1">
        <f t="array" ref="K647:L647">VLOOKUP(E647,[1]A023951!D$1:H$1114,{3,5},0)</f>
        <v>-429.65</v>
      </c>
      <c r="L647" s="28">
        <v>-37397.769999999997</v>
      </c>
      <c r="M647" s="31">
        <f t="shared" si="19"/>
        <v>-150.86999999999534</v>
      </c>
    </row>
    <row r="648" spans="1:13" x14ac:dyDescent="0.35">
      <c r="A648" s="28" t="s">
        <v>511</v>
      </c>
      <c r="B648" s="32">
        <v>2025</v>
      </c>
      <c r="C648" s="28" t="s">
        <v>515</v>
      </c>
      <c r="D648" s="29">
        <v>45733</v>
      </c>
      <c r="E648" s="28">
        <v>246779411717</v>
      </c>
      <c r="F648" s="28" t="s">
        <v>11</v>
      </c>
      <c r="G648" s="30">
        <v>45.67</v>
      </c>
      <c r="H648" s="28" t="s">
        <v>59</v>
      </c>
      <c r="I648" s="30">
        <v>3959.19</v>
      </c>
      <c r="J648" s="28" t="s">
        <v>834</v>
      </c>
      <c r="K648" s="28" cm="1">
        <f t="array" ref="K648:L648">VLOOKUP(E648,[1]A023951!D$1:H$1114,{3,5},0)</f>
        <v>-45.67</v>
      </c>
      <c r="L648" s="28">
        <v>-3975.23</v>
      </c>
      <c r="M648" s="31">
        <f t="shared" si="19"/>
        <v>-16.039999999999964</v>
      </c>
    </row>
    <row r="649" spans="1:13" x14ac:dyDescent="0.35">
      <c r="A649" s="28" t="s">
        <v>511</v>
      </c>
      <c r="B649" s="32">
        <v>2025</v>
      </c>
      <c r="C649" s="28" t="s">
        <v>515</v>
      </c>
      <c r="D649" s="29">
        <v>45733</v>
      </c>
      <c r="E649" s="28">
        <v>246779411723</v>
      </c>
      <c r="F649" s="28" t="s">
        <v>11</v>
      </c>
      <c r="G649" s="30">
        <v>45.67</v>
      </c>
      <c r="H649" s="28" t="s">
        <v>59</v>
      </c>
      <c r="I649" s="30">
        <v>3959.19</v>
      </c>
      <c r="J649" s="28" t="s">
        <v>834</v>
      </c>
      <c r="K649" s="28" cm="1">
        <f t="array" ref="K649:L649">VLOOKUP(E649,[1]A023951!D$1:H$1114,{3,5},0)</f>
        <v>-45.67</v>
      </c>
      <c r="L649" s="28">
        <v>-3975.23</v>
      </c>
      <c r="M649" s="31">
        <f t="shared" si="19"/>
        <v>-16.039999999999964</v>
      </c>
    </row>
    <row r="650" spans="1:13" x14ac:dyDescent="0.35">
      <c r="A650" s="28" t="s">
        <v>511</v>
      </c>
      <c r="B650" s="32">
        <v>2025</v>
      </c>
      <c r="C650" s="28" t="s">
        <v>515</v>
      </c>
      <c r="D650" s="29">
        <v>45733</v>
      </c>
      <c r="E650" s="28">
        <v>246779411724</v>
      </c>
      <c r="F650" s="28" t="s">
        <v>11</v>
      </c>
      <c r="G650" s="30">
        <v>68.5</v>
      </c>
      <c r="H650" s="28" t="s">
        <v>59</v>
      </c>
      <c r="I650" s="30">
        <v>5938.35</v>
      </c>
      <c r="J650" s="28" t="s">
        <v>834</v>
      </c>
      <c r="K650" s="28" cm="1">
        <f t="array" ref="K650:L650">VLOOKUP(E650,[1]A023951!D$1:H$1114,{3,5},0)</f>
        <v>-68.5</v>
      </c>
      <c r="L650" s="28">
        <v>-5962.41</v>
      </c>
      <c r="M650" s="31">
        <f t="shared" si="19"/>
        <v>-24.059999999999491</v>
      </c>
    </row>
    <row r="651" spans="1:13" x14ac:dyDescent="0.35">
      <c r="A651" s="28" t="s">
        <v>511</v>
      </c>
      <c r="B651" s="32">
        <v>2025</v>
      </c>
      <c r="C651" s="28" t="s">
        <v>515</v>
      </c>
      <c r="D651" s="29">
        <v>45733</v>
      </c>
      <c r="E651" s="28">
        <v>246779411725</v>
      </c>
      <c r="F651" s="28" t="s">
        <v>11</v>
      </c>
      <c r="G651" s="30">
        <v>22.83</v>
      </c>
      <c r="H651" s="28" t="s">
        <v>59</v>
      </c>
      <c r="I651" s="30">
        <v>1979.16</v>
      </c>
      <c r="J651" s="28" t="s">
        <v>834</v>
      </c>
      <c r="K651" s="28" cm="1">
        <f t="array" ref="K651:L651">VLOOKUP(E651,[1]A023951!D$1:H$1114,{3,5},0)</f>
        <v>-22.83</v>
      </c>
      <c r="L651" s="28">
        <v>-1987.18</v>
      </c>
      <c r="M651" s="31">
        <f t="shared" si="19"/>
        <v>-8.0199999999999818</v>
      </c>
    </row>
    <row r="652" spans="1:13" x14ac:dyDescent="0.35">
      <c r="A652" s="28" t="s">
        <v>511</v>
      </c>
      <c r="B652" s="32">
        <v>2025</v>
      </c>
      <c r="C652" s="28" t="s">
        <v>515</v>
      </c>
      <c r="D652" s="29">
        <v>45733</v>
      </c>
      <c r="E652" s="28">
        <v>246779411726</v>
      </c>
      <c r="F652" s="28" t="s">
        <v>11</v>
      </c>
      <c r="G652" s="30">
        <v>28.54</v>
      </c>
      <c r="H652" s="28" t="s">
        <v>59</v>
      </c>
      <c r="I652" s="30">
        <v>2474.17</v>
      </c>
      <c r="J652" s="28" t="s">
        <v>834</v>
      </c>
      <c r="K652" s="28" cm="1">
        <f t="array" ref="K652:L652">VLOOKUP(E652,[1]A023951!D$1:H$1114,{3,5},0)</f>
        <v>-28.54</v>
      </c>
      <c r="L652" s="28">
        <v>-2484.19</v>
      </c>
      <c r="M652" s="31">
        <f t="shared" si="19"/>
        <v>-10.019999999999982</v>
      </c>
    </row>
    <row r="653" spans="1:13" x14ac:dyDescent="0.35">
      <c r="A653" s="28" t="s">
        <v>511</v>
      </c>
      <c r="B653" s="32">
        <v>2025</v>
      </c>
      <c r="C653" s="28" t="s">
        <v>515</v>
      </c>
      <c r="D653" s="29">
        <v>45733</v>
      </c>
      <c r="E653" s="28">
        <v>246779411727</v>
      </c>
      <c r="F653" s="28" t="s">
        <v>11</v>
      </c>
      <c r="G653" s="30">
        <v>17.12</v>
      </c>
      <c r="H653" s="28" t="s">
        <v>59</v>
      </c>
      <c r="I653" s="30">
        <v>1484.15</v>
      </c>
      <c r="J653" s="28" t="s">
        <v>834</v>
      </c>
      <c r="K653" s="28" cm="1">
        <f t="array" ref="K653:L653">VLOOKUP(E653,[1]A023951!D$1:H$1114,{3,5},0)</f>
        <v>-17.12</v>
      </c>
      <c r="L653" s="28">
        <v>-1490.17</v>
      </c>
      <c r="M653" s="31">
        <f t="shared" si="19"/>
        <v>-6.0199999999999818</v>
      </c>
    </row>
    <row r="654" spans="1:13" x14ac:dyDescent="0.35">
      <c r="A654" s="28" t="s">
        <v>511</v>
      </c>
      <c r="B654" s="32">
        <v>2025</v>
      </c>
      <c r="C654" s="28" t="s">
        <v>515</v>
      </c>
      <c r="D654" s="29">
        <v>45733</v>
      </c>
      <c r="E654" s="28">
        <v>246779411728</v>
      </c>
      <c r="F654" s="28" t="s">
        <v>11</v>
      </c>
      <c r="G654" s="30">
        <v>11.42</v>
      </c>
      <c r="H654" s="28" t="s">
        <v>59</v>
      </c>
      <c r="I654" s="30">
        <v>990.01</v>
      </c>
      <c r="J654" s="28" t="s">
        <v>834</v>
      </c>
      <c r="K654" s="28" cm="1">
        <f t="array" ref="K654:L654">VLOOKUP(E654,[1]A023951!D$1:H$1114,{3,5},0)</f>
        <v>-11.42</v>
      </c>
      <c r="L654" s="28">
        <v>-994.02</v>
      </c>
      <c r="M654" s="31">
        <f t="shared" si="19"/>
        <v>-4.0099999999999909</v>
      </c>
    </row>
    <row r="655" spans="1:13" x14ac:dyDescent="0.35">
      <c r="A655" s="28" t="s">
        <v>511</v>
      </c>
      <c r="B655" s="32">
        <v>2025</v>
      </c>
      <c r="C655" s="28" t="s">
        <v>515</v>
      </c>
      <c r="D655" s="29">
        <v>45733</v>
      </c>
      <c r="E655" s="28">
        <v>246779411729</v>
      </c>
      <c r="F655" s="28" t="s">
        <v>11</v>
      </c>
      <c r="G655" s="30">
        <v>34.25</v>
      </c>
      <c r="H655" s="28" t="s">
        <v>59</v>
      </c>
      <c r="I655" s="30">
        <v>2969.18</v>
      </c>
      <c r="J655" s="28" t="s">
        <v>834</v>
      </c>
      <c r="K655" s="28" cm="1">
        <f t="array" ref="K655:L655">VLOOKUP(E655,[1]A023951!D$1:H$1114,{3,5},0)</f>
        <v>-34.25</v>
      </c>
      <c r="L655" s="28">
        <v>-2981.2</v>
      </c>
      <c r="M655" s="31">
        <f t="shared" si="19"/>
        <v>-12.019999999999982</v>
      </c>
    </row>
    <row r="656" spans="1:13" x14ac:dyDescent="0.35">
      <c r="A656" s="28" t="s">
        <v>511</v>
      </c>
      <c r="B656" s="32">
        <v>2025</v>
      </c>
      <c r="C656" s="28" t="s">
        <v>515</v>
      </c>
      <c r="D656" s="29">
        <v>45733</v>
      </c>
      <c r="E656" s="28">
        <v>246779411730</v>
      </c>
      <c r="F656" s="28" t="s">
        <v>11</v>
      </c>
      <c r="G656" s="30">
        <v>11.42</v>
      </c>
      <c r="H656" s="28" t="s">
        <v>59</v>
      </c>
      <c r="I656" s="30">
        <v>990.01</v>
      </c>
      <c r="J656" s="28" t="s">
        <v>834</v>
      </c>
      <c r="K656" s="28" cm="1">
        <f t="array" ref="K656:L656">VLOOKUP(E656,[1]A023951!D$1:H$1114,{3,5},0)</f>
        <v>-11.42</v>
      </c>
      <c r="L656" s="28">
        <v>-994.02</v>
      </c>
      <c r="M656" s="31">
        <f t="shared" si="19"/>
        <v>-4.0099999999999909</v>
      </c>
    </row>
    <row r="657" spans="1:13" x14ac:dyDescent="0.35">
      <c r="A657" s="28" t="s">
        <v>511</v>
      </c>
      <c r="B657" s="32">
        <v>2025</v>
      </c>
      <c r="C657" s="28" t="s">
        <v>515</v>
      </c>
      <c r="D657" s="29">
        <v>45733</v>
      </c>
      <c r="E657" s="28">
        <v>246779411731</v>
      </c>
      <c r="F657" s="28" t="s">
        <v>11</v>
      </c>
      <c r="G657" s="30">
        <v>22.83</v>
      </c>
      <c r="H657" s="28" t="s">
        <v>59</v>
      </c>
      <c r="I657" s="30">
        <v>1979.16</v>
      </c>
      <c r="J657" s="28" t="s">
        <v>834</v>
      </c>
      <c r="K657" s="28" cm="1">
        <f t="array" ref="K657:L657">VLOOKUP(E657,[1]A023951!D$1:H$1114,{3,5},0)</f>
        <v>-22.83</v>
      </c>
      <c r="L657" s="28">
        <v>-1987.18</v>
      </c>
      <c r="M657" s="31">
        <f t="shared" si="19"/>
        <v>-8.0199999999999818</v>
      </c>
    </row>
    <row r="658" spans="1:13" x14ac:dyDescent="0.35">
      <c r="A658" s="28" t="s">
        <v>511</v>
      </c>
      <c r="B658" s="32">
        <v>2025</v>
      </c>
      <c r="C658" s="28" t="s">
        <v>515</v>
      </c>
      <c r="D658" s="29">
        <v>45733</v>
      </c>
      <c r="E658" s="28">
        <v>246779411732</v>
      </c>
      <c r="F658" s="28" t="s">
        <v>11</v>
      </c>
      <c r="G658" s="30">
        <v>28.54</v>
      </c>
      <c r="H658" s="28" t="s">
        <v>59</v>
      </c>
      <c r="I658" s="30">
        <v>2474.17</v>
      </c>
      <c r="J658" s="28" t="s">
        <v>834</v>
      </c>
      <c r="K658" s="28" cm="1">
        <f t="array" ref="K658:L658">VLOOKUP(E658,[1]A023951!D$1:H$1114,{3,5},0)</f>
        <v>-28.54</v>
      </c>
      <c r="L658" s="28">
        <v>-2484.19</v>
      </c>
      <c r="M658" s="31">
        <f t="shared" si="19"/>
        <v>-10.019999999999982</v>
      </c>
    </row>
    <row r="659" spans="1:13" x14ac:dyDescent="0.35">
      <c r="A659" s="28" t="s">
        <v>511</v>
      </c>
      <c r="B659" s="32">
        <v>2025</v>
      </c>
      <c r="C659" s="28" t="s">
        <v>515</v>
      </c>
      <c r="D659" s="29">
        <v>45733</v>
      </c>
      <c r="E659" s="28">
        <v>246779411897</v>
      </c>
      <c r="F659" s="28" t="s">
        <v>11</v>
      </c>
      <c r="G659" s="30">
        <v>22.72</v>
      </c>
      <c r="H659" s="28" t="s">
        <v>59</v>
      </c>
      <c r="I659" s="30">
        <v>1969.63</v>
      </c>
      <c r="J659" s="28" t="s">
        <v>835</v>
      </c>
      <c r="K659" s="28" cm="1">
        <f t="array" ref="K659:L659">VLOOKUP(E659,[1]A023951!D$1:H$1114,{3,5},0)</f>
        <v>-22.72</v>
      </c>
      <c r="L659" s="28">
        <v>-1977.6</v>
      </c>
      <c r="M659" s="31">
        <f t="shared" si="19"/>
        <v>-7.9699999999997999</v>
      </c>
    </row>
    <row r="660" spans="1:13" x14ac:dyDescent="0.35">
      <c r="A660" s="28" t="s">
        <v>511</v>
      </c>
      <c r="B660" s="32">
        <v>2025</v>
      </c>
      <c r="C660" s="28" t="s">
        <v>515</v>
      </c>
      <c r="D660" s="29">
        <v>45733</v>
      </c>
      <c r="E660" s="28">
        <v>246779411898</v>
      </c>
      <c r="F660" s="28" t="s">
        <v>11</v>
      </c>
      <c r="G660" s="30">
        <v>7.1</v>
      </c>
      <c r="H660" s="28" t="s">
        <v>59</v>
      </c>
      <c r="I660" s="30">
        <v>615.51</v>
      </c>
      <c r="J660" s="28" t="s">
        <v>835</v>
      </c>
      <c r="K660" s="28" cm="1">
        <f t="array" ref="K660:L660">VLOOKUP(E660,[1]A023951!D$1:H$1114,{3,5},0)</f>
        <v>-7.1</v>
      </c>
      <c r="L660" s="28">
        <v>-618</v>
      </c>
      <c r="M660" s="31">
        <f t="shared" si="19"/>
        <v>-2.4900000000000091</v>
      </c>
    </row>
    <row r="661" spans="1:13" x14ac:dyDescent="0.35">
      <c r="A661" s="28" t="s">
        <v>511</v>
      </c>
      <c r="B661" s="32">
        <v>2025</v>
      </c>
      <c r="C661" s="28" t="s">
        <v>515</v>
      </c>
      <c r="D661" s="29">
        <v>45733</v>
      </c>
      <c r="E661" s="28">
        <v>246779411899</v>
      </c>
      <c r="F661" s="28" t="s">
        <v>11</v>
      </c>
      <c r="G661" s="30">
        <v>62.49</v>
      </c>
      <c r="H661" s="28" t="s">
        <v>59</v>
      </c>
      <c r="I661" s="30">
        <v>5417.34</v>
      </c>
      <c r="J661" s="28" t="s">
        <v>835</v>
      </c>
      <c r="K661" s="28" cm="1">
        <f t="array" ref="K661:L661">VLOOKUP(E661,[1]A023951!D$1:H$1114,{3,5},0)</f>
        <v>-62.49</v>
      </c>
      <c r="L661" s="28">
        <v>-5439.28</v>
      </c>
      <c r="M661" s="31">
        <f t="shared" si="19"/>
        <v>-21.9399999999996</v>
      </c>
    </row>
    <row r="662" spans="1:13" x14ac:dyDescent="0.35">
      <c r="A662" s="28" t="s">
        <v>511</v>
      </c>
      <c r="B662" s="32">
        <v>2025</v>
      </c>
      <c r="C662" s="28" t="s">
        <v>515</v>
      </c>
      <c r="D662" s="29">
        <v>45733</v>
      </c>
      <c r="E662" s="28">
        <v>246779411900</v>
      </c>
      <c r="F662" s="28" t="s">
        <v>11</v>
      </c>
      <c r="G662" s="30">
        <v>73.849999999999994</v>
      </c>
      <c r="H662" s="28" t="s">
        <v>59</v>
      </c>
      <c r="I662" s="30">
        <v>6402.15</v>
      </c>
      <c r="J662" s="28" t="s">
        <v>835</v>
      </c>
      <c r="K662" s="28" cm="1">
        <f t="array" ref="K662:L662">VLOOKUP(E662,[1]A023951!D$1:H$1114,{3,5},0)</f>
        <v>-73.849999999999994</v>
      </c>
      <c r="L662" s="28">
        <v>-6428.08</v>
      </c>
      <c r="M662" s="31">
        <f t="shared" si="19"/>
        <v>-25.930000000000291</v>
      </c>
    </row>
    <row r="663" spans="1:13" x14ac:dyDescent="0.35">
      <c r="A663" s="28" t="s">
        <v>511</v>
      </c>
      <c r="B663" s="32">
        <v>2025</v>
      </c>
      <c r="C663" s="28" t="s">
        <v>515</v>
      </c>
      <c r="D663" s="29">
        <v>45733</v>
      </c>
      <c r="E663" s="28">
        <v>246779411901</v>
      </c>
      <c r="F663" s="28" t="s">
        <v>11</v>
      </c>
      <c r="G663" s="30">
        <v>12.78</v>
      </c>
      <c r="H663" s="28" t="s">
        <v>59</v>
      </c>
      <c r="I663" s="30">
        <v>1107.9100000000001</v>
      </c>
      <c r="J663" s="28" t="s">
        <v>835</v>
      </c>
      <c r="K663" s="28" cm="1">
        <f t="array" ref="K663:L663">VLOOKUP(E663,[1]A023951!D$1:H$1114,{3,5},0)</f>
        <v>-12.78</v>
      </c>
      <c r="L663" s="28">
        <v>-1112.4000000000001</v>
      </c>
      <c r="M663" s="31">
        <f t="shared" si="19"/>
        <v>-4.4900000000000091</v>
      </c>
    </row>
    <row r="664" spans="1:13" x14ac:dyDescent="0.35">
      <c r="A664" s="28" t="s">
        <v>511</v>
      </c>
      <c r="B664" s="32">
        <v>2025</v>
      </c>
      <c r="C664" s="28" t="s">
        <v>515</v>
      </c>
      <c r="D664" s="29">
        <v>45733</v>
      </c>
      <c r="E664" s="28">
        <v>246779411902</v>
      </c>
      <c r="F664" s="28" t="s">
        <v>11</v>
      </c>
      <c r="G664" s="30">
        <v>2.13</v>
      </c>
      <c r="H664" s="28" t="s">
        <v>59</v>
      </c>
      <c r="I664" s="30">
        <v>184.65</v>
      </c>
      <c r="J664" s="28" t="s">
        <v>835</v>
      </c>
      <c r="K664" s="28" cm="1">
        <f t="array" ref="K664:L664">VLOOKUP(E664,[1]A023951!D$1:H$1114,{3,5},0)</f>
        <v>-2.13</v>
      </c>
      <c r="L664" s="28">
        <v>-185.4</v>
      </c>
      <c r="M664" s="31">
        <f t="shared" si="19"/>
        <v>-0.75</v>
      </c>
    </row>
    <row r="665" spans="1:13" x14ac:dyDescent="0.35">
      <c r="A665" s="28" t="s">
        <v>511</v>
      </c>
      <c r="B665" s="32">
        <v>2025</v>
      </c>
      <c r="C665" s="28" t="s">
        <v>515</v>
      </c>
      <c r="D665" s="29">
        <v>45733</v>
      </c>
      <c r="E665" s="28">
        <v>246779411903</v>
      </c>
      <c r="F665" s="28" t="s">
        <v>11</v>
      </c>
      <c r="G665" s="30">
        <v>3.55</v>
      </c>
      <c r="H665" s="28" t="s">
        <v>59</v>
      </c>
      <c r="I665" s="30">
        <v>307.75</v>
      </c>
      <c r="J665" s="28" t="s">
        <v>835</v>
      </c>
      <c r="K665" s="28" cm="1">
        <f t="array" ref="K665:L665">VLOOKUP(E665,[1]A023951!D$1:H$1114,{3,5},0)</f>
        <v>-3.55</v>
      </c>
      <c r="L665" s="28">
        <v>-309</v>
      </c>
      <c r="M665" s="31">
        <f t="shared" si="19"/>
        <v>-1.25</v>
      </c>
    </row>
    <row r="666" spans="1:13" x14ac:dyDescent="0.35">
      <c r="A666" s="28" t="s">
        <v>511</v>
      </c>
      <c r="B666" s="32">
        <v>2025</v>
      </c>
      <c r="C666" s="28" t="s">
        <v>515</v>
      </c>
      <c r="D666" s="29">
        <v>45733</v>
      </c>
      <c r="E666" s="28">
        <v>246779411904</v>
      </c>
      <c r="F666" s="28" t="s">
        <v>11</v>
      </c>
      <c r="G666" s="30">
        <v>58.94</v>
      </c>
      <c r="H666" s="28" t="s">
        <v>59</v>
      </c>
      <c r="I666" s="30">
        <v>5109.58</v>
      </c>
      <c r="J666" s="28" t="s">
        <v>835</v>
      </c>
      <c r="K666" s="28" cm="1">
        <f t="array" ref="K666:L666">VLOOKUP(E666,[1]A023951!D$1:H$1114,{3,5},0)</f>
        <v>-58.94</v>
      </c>
      <c r="L666" s="28">
        <v>-5130.28</v>
      </c>
      <c r="M666" s="31">
        <f t="shared" si="19"/>
        <v>-20.699999999999818</v>
      </c>
    </row>
    <row r="667" spans="1:13" x14ac:dyDescent="0.35">
      <c r="A667" s="28" t="s">
        <v>511</v>
      </c>
      <c r="B667" s="32">
        <v>2025</v>
      </c>
      <c r="C667" s="28" t="s">
        <v>515</v>
      </c>
      <c r="D667" s="29">
        <v>45733</v>
      </c>
      <c r="E667" s="28">
        <v>246779411905</v>
      </c>
      <c r="F667" s="28" t="s">
        <v>11</v>
      </c>
      <c r="G667" s="30">
        <v>7.1</v>
      </c>
      <c r="H667" s="28" t="s">
        <v>59</v>
      </c>
      <c r="I667" s="30">
        <v>615.51</v>
      </c>
      <c r="J667" s="28" t="s">
        <v>835</v>
      </c>
      <c r="K667" s="28" cm="1">
        <f t="array" ref="K667:L667">VLOOKUP(E667,[1]A023951!D$1:H$1114,{3,5},0)</f>
        <v>-7.1</v>
      </c>
      <c r="L667" s="28">
        <v>-618</v>
      </c>
      <c r="M667" s="31">
        <f t="shared" si="19"/>
        <v>-2.4900000000000091</v>
      </c>
    </row>
    <row r="668" spans="1:13" x14ac:dyDescent="0.35">
      <c r="A668" s="28" t="s">
        <v>511</v>
      </c>
      <c r="B668" s="32">
        <v>2025</v>
      </c>
      <c r="C668" s="28" t="s">
        <v>515</v>
      </c>
      <c r="D668" s="29">
        <v>45733</v>
      </c>
      <c r="E668" s="28">
        <v>246779411906</v>
      </c>
      <c r="F668" s="28" t="s">
        <v>11</v>
      </c>
      <c r="G668" s="30">
        <v>34.090000000000003</v>
      </c>
      <c r="H668" s="28" t="s">
        <v>59</v>
      </c>
      <c r="I668" s="30">
        <v>2955.31</v>
      </c>
      <c r="J668" s="28" t="s">
        <v>835</v>
      </c>
      <c r="K668" s="28" cm="1">
        <f t="array" ref="K668:L668">VLOOKUP(E668,[1]A023951!D$1:H$1114,{3,5},0)</f>
        <v>-34.090000000000003</v>
      </c>
      <c r="L668" s="28">
        <v>-2967.28</v>
      </c>
      <c r="M668" s="31">
        <f t="shared" si="19"/>
        <v>-11.970000000000255</v>
      </c>
    </row>
    <row r="669" spans="1:13" x14ac:dyDescent="0.35">
      <c r="A669" s="28" t="s">
        <v>511</v>
      </c>
      <c r="B669" s="32">
        <v>2025</v>
      </c>
      <c r="C669" s="28" t="s">
        <v>515</v>
      </c>
      <c r="D669" s="29">
        <v>45733</v>
      </c>
      <c r="E669" s="28">
        <v>246779411907</v>
      </c>
      <c r="F669" s="28" t="s">
        <v>11</v>
      </c>
      <c r="G669" s="30">
        <v>17.04</v>
      </c>
      <c r="H669" s="28" t="s">
        <v>59</v>
      </c>
      <c r="I669" s="30">
        <v>1477.22</v>
      </c>
      <c r="J669" s="28" t="s">
        <v>835</v>
      </c>
      <c r="K669" s="28" cm="1">
        <f t="array" ref="K669:L669">VLOOKUP(E669,[1]A023951!D$1:H$1114,{3,5},0)</f>
        <v>-17.04</v>
      </c>
      <c r="L669" s="28">
        <v>-1483.2</v>
      </c>
      <c r="M669" s="31">
        <f t="shared" si="19"/>
        <v>-5.9800000000000182</v>
      </c>
    </row>
    <row r="670" spans="1:13" x14ac:dyDescent="0.35">
      <c r="A670" s="28" t="s">
        <v>511</v>
      </c>
      <c r="B670" s="32">
        <v>2025</v>
      </c>
      <c r="C670" s="28" t="s">
        <v>515</v>
      </c>
      <c r="D670" s="29">
        <v>45733</v>
      </c>
      <c r="E670" s="28">
        <v>246779411908</v>
      </c>
      <c r="F670" s="28" t="s">
        <v>11</v>
      </c>
      <c r="G670" s="30">
        <v>28.41</v>
      </c>
      <c r="H670" s="28" t="s">
        <v>59</v>
      </c>
      <c r="I670" s="30">
        <v>2462.9</v>
      </c>
      <c r="J670" s="28" t="s">
        <v>835</v>
      </c>
      <c r="K670" s="28" cm="1">
        <f t="array" ref="K670:L670">VLOOKUP(E670,[1]A023951!D$1:H$1114,{3,5},0)</f>
        <v>-28.41</v>
      </c>
      <c r="L670" s="28">
        <v>-2472.88</v>
      </c>
      <c r="M670" s="31">
        <f t="shared" ref="M670:M701" si="20">I670+L670</f>
        <v>-9.9800000000000182</v>
      </c>
    </row>
    <row r="671" spans="1:13" x14ac:dyDescent="0.35">
      <c r="A671" s="28" t="s">
        <v>511</v>
      </c>
      <c r="B671" s="32">
        <v>2025</v>
      </c>
      <c r="C671" s="28" t="s">
        <v>515</v>
      </c>
      <c r="D671" s="29">
        <v>45733</v>
      </c>
      <c r="E671" s="28">
        <v>246779411909</v>
      </c>
      <c r="F671" s="28" t="s">
        <v>11</v>
      </c>
      <c r="G671" s="30">
        <v>28.41</v>
      </c>
      <c r="H671" s="28" t="s">
        <v>59</v>
      </c>
      <c r="I671" s="30">
        <v>2462.9</v>
      </c>
      <c r="J671" s="28" t="s">
        <v>835</v>
      </c>
      <c r="K671" s="28" cm="1">
        <f t="array" ref="K671:L671">VLOOKUP(E671,[1]A023951!D$1:H$1114,{3,5},0)</f>
        <v>-28.41</v>
      </c>
      <c r="L671" s="28">
        <v>-2472.88</v>
      </c>
      <c r="M671" s="31">
        <f t="shared" si="20"/>
        <v>-9.9800000000000182</v>
      </c>
    </row>
    <row r="672" spans="1:13" x14ac:dyDescent="0.35">
      <c r="A672" s="28" t="s">
        <v>511</v>
      </c>
      <c r="B672" s="32">
        <v>2025</v>
      </c>
      <c r="C672" s="28" t="s">
        <v>515</v>
      </c>
      <c r="D672" s="29">
        <v>45733</v>
      </c>
      <c r="E672" s="28">
        <v>246779411910</v>
      </c>
      <c r="F672" s="28" t="s">
        <v>11</v>
      </c>
      <c r="G672" s="30">
        <v>28.41</v>
      </c>
      <c r="H672" s="28" t="s">
        <v>59</v>
      </c>
      <c r="I672" s="30">
        <v>2462.9</v>
      </c>
      <c r="J672" s="28" t="s">
        <v>835</v>
      </c>
      <c r="K672" s="28" cm="1">
        <f t="array" ref="K672:L672">VLOOKUP(E672,[1]A023951!D$1:H$1114,{3,5},0)</f>
        <v>-28.41</v>
      </c>
      <c r="L672" s="28">
        <v>-2472.88</v>
      </c>
      <c r="M672" s="31">
        <f t="shared" si="20"/>
        <v>-9.9800000000000182</v>
      </c>
    </row>
    <row r="673" spans="1:13" x14ac:dyDescent="0.35">
      <c r="A673" s="28" t="s">
        <v>511</v>
      </c>
      <c r="B673" s="32">
        <v>2025</v>
      </c>
      <c r="C673" s="28" t="s">
        <v>515</v>
      </c>
      <c r="D673" s="29">
        <v>45733</v>
      </c>
      <c r="E673" s="28">
        <v>246779411911</v>
      </c>
      <c r="F673" s="28" t="s">
        <v>11</v>
      </c>
      <c r="G673" s="30">
        <v>29.83</v>
      </c>
      <c r="H673" s="28" t="s">
        <v>59</v>
      </c>
      <c r="I673" s="30">
        <v>2586</v>
      </c>
      <c r="J673" s="28" t="s">
        <v>835</v>
      </c>
      <c r="K673" s="28" cm="1">
        <f t="array" ref="K673:L673">VLOOKUP(E673,[1]A023951!D$1:H$1114,{3,5},0)</f>
        <v>-29.83</v>
      </c>
      <c r="L673" s="28">
        <v>-2596.48</v>
      </c>
      <c r="M673" s="31">
        <f t="shared" si="20"/>
        <v>-10.480000000000018</v>
      </c>
    </row>
    <row r="674" spans="1:13" x14ac:dyDescent="0.35">
      <c r="A674" s="28" t="s">
        <v>511</v>
      </c>
      <c r="B674" s="32">
        <v>2025</v>
      </c>
      <c r="C674" s="28" t="s">
        <v>515</v>
      </c>
      <c r="D674" s="29">
        <v>45733</v>
      </c>
      <c r="E674" s="28">
        <v>246779411912</v>
      </c>
      <c r="F674" s="28" t="s">
        <v>11</v>
      </c>
      <c r="G674" s="30">
        <v>11.36</v>
      </c>
      <c r="H674" s="28" t="s">
        <v>59</v>
      </c>
      <c r="I674" s="30">
        <v>984.81</v>
      </c>
      <c r="J674" s="28" t="s">
        <v>835</v>
      </c>
      <c r="K674" s="28" cm="1">
        <f t="array" ref="K674:L674">VLOOKUP(E674,[1]A023951!D$1:H$1114,{3,5},0)</f>
        <v>-11.36</v>
      </c>
      <c r="L674" s="28">
        <v>-988.8</v>
      </c>
      <c r="M674" s="31">
        <f t="shared" si="20"/>
        <v>-3.9900000000000091</v>
      </c>
    </row>
    <row r="675" spans="1:13" x14ac:dyDescent="0.35">
      <c r="A675" s="28" t="s">
        <v>511</v>
      </c>
      <c r="B675" s="32">
        <v>2025</v>
      </c>
      <c r="C675" s="28" t="s">
        <v>515</v>
      </c>
      <c r="D675" s="29">
        <v>45733</v>
      </c>
      <c r="E675" s="28">
        <v>246779411913</v>
      </c>
      <c r="F675" s="28" t="s">
        <v>11</v>
      </c>
      <c r="G675" s="30">
        <v>28.41</v>
      </c>
      <c r="H675" s="28" t="s">
        <v>59</v>
      </c>
      <c r="I675" s="30">
        <v>2462.9</v>
      </c>
      <c r="J675" s="28" t="s">
        <v>835</v>
      </c>
      <c r="K675" s="28" cm="1">
        <f t="array" ref="K675:L675">VLOOKUP(E675,[1]A023951!D$1:H$1114,{3,5},0)</f>
        <v>-28.41</v>
      </c>
      <c r="L675" s="28">
        <v>-2472.88</v>
      </c>
      <c r="M675" s="31">
        <f t="shared" si="20"/>
        <v>-9.9800000000000182</v>
      </c>
    </row>
    <row r="676" spans="1:13" x14ac:dyDescent="0.35">
      <c r="A676" s="28" t="s">
        <v>511</v>
      </c>
      <c r="B676" s="32">
        <v>2025</v>
      </c>
      <c r="C676" s="28" t="s">
        <v>515</v>
      </c>
      <c r="D676" s="29">
        <v>45733</v>
      </c>
      <c r="E676" s="28">
        <v>246779411914</v>
      </c>
      <c r="F676" s="28" t="s">
        <v>11</v>
      </c>
      <c r="G676" s="30">
        <v>260</v>
      </c>
      <c r="H676" s="28" t="s">
        <v>59</v>
      </c>
      <c r="I676" s="30">
        <v>22539.73</v>
      </c>
      <c r="J676" s="28" t="s">
        <v>835</v>
      </c>
      <c r="K676" s="28" cm="1">
        <f t="array" ref="K676:L676">VLOOKUP(E676,[1]A023951!D$1:H$1114,{3,5},0)</f>
        <v>-260</v>
      </c>
      <c r="L676" s="28">
        <v>-22631.03</v>
      </c>
      <c r="M676" s="31">
        <f t="shared" si="20"/>
        <v>-91.299999999999272</v>
      </c>
    </row>
    <row r="677" spans="1:13" x14ac:dyDescent="0.35">
      <c r="A677" s="28" t="s">
        <v>511</v>
      </c>
      <c r="B677" s="32">
        <v>2025</v>
      </c>
      <c r="C677" s="28" t="s">
        <v>515</v>
      </c>
      <c r="D677" s="29">
        <v>45733</v>
      </c>
      <c r="E677" s="28">
        <v>246779412028</v>
      </c>
      <c r="F677" s="28" t="s">
        <v>11</v>
      </c>
      <c r="G677" s="30">
        <v>28.03</v>
      </c>
      <c r="H677" s="28" t="s">
        <v>59</v>
      </c>
      <c r="I677" s="30">
        <v>2429.96</v>
      </c>
      <c r="J677" s="28" t="s">
        <v>836</v>
      </c>
      <c r="K677" s="28" cm="1">
        <f t="array" ref="K677:L677">VLOOKUP(E677,[1]A023951!D$1:H$1114,{3,5},0)</f>
        <v>-28.03</v>
      </c>
      <c r="L677" s="28">
        <v>-2439.8000000000002</v>
      </c>
      <c r="M677" s="31">
        <f t="shared" si="20"/>
        <v>-9.8400000000001455</v>
      </c>
    </row>
    <row r="678" spans="1:13" x14ac:dyDescent="0.35">
      <c r="A678" s="28" t="s">
        <v>511</v>
      </c>
      <c r="B678" s="32">
        <v>2025</v>
      </c>
      <c r="C678" s="28" t="s">
        <v>515</v>
      </c>
      <c r="D678" s="29">
        <v>45733</v>
      </c>
      <c r="E678" s="28">
        <v>246779412029</v>
      </c>
      <c r="F678" s="28" t="s">
        <v>11</v>
      </c>
      <c r="G678" s="30">
        <v>22.42</v>
      </c>
      <c r="H678" s="28" t="s">
        <v>59</v>
      </c>
      <c r="I678" s="30">
        <v>1943.62</v>
      </c>
      <c r="J678" s="28" t="s">
        <v>836</v>
      </c>
      <c r="K678" s="28" cm="1">
        <f t="array" ref="K678:L678">VLOOKUP(E678,[1]A023951!D$1:H$1114,{3,5},0)</f>
        <v>-22.42</v>
      </c>
      <c r="L678" s="28">
        <v>-1951.49</v>
      </c>
      <c r="M678" s="31">
        <f t="shared" si="20"/>
        <v>-7.8700000000001182</v>
      </c>
    </row>
    <row r="679" spans="1:13" x14ac:dyDescent="0.35">
      <c r="A679" s="28" t="s">
        <v>511</v>
      </c>
      <c r="B679" s="32">
        <v>2025</v>
      </c>
      <c r="C679" s="28" t="s">
        <v>515</v>
      </c>
      <c r="D679" s="29">
        <v>45733</v>
      </c>
      <c r="E679" s="28">
        <v>246779412030</v>
      </c>
      <c r="F679" s="28" t="s">
        <v>11</v>
      </c>
      <c r="G679" s="30">
        <v>16.82</v>
      </c>
      <c r="H679" s="28" t="s">
        <v>59</v>
      </c>
      <c r="I679" s="30">
        <v>1458.15</v>
      </c>
      <c r="J679" s="28" t="s">
        <v>836</v>
      </c>
      <c r="K679" s="28" cm="1">
        <f t="array" ref="K679:L679">VLOOKUP(E679,[1]A023951!D$1:H$1114,{3,5},0)</f>
        <v>-16.82</v>
      </c>
      <c r="L679" s="28">
        <v>-1464.05</v>
      </c>
      <c r="M679" s="31">
        <f t="shared" si="20"/>
        <v>-5.8999999999998636</v>
      </c>
    </row>
    <row r="680" spans="1:13" x14ac:dyDescent="0.35">
      <c r="A680" s="28" t="s">
        <v>511</v>
      </c>
      <c r="B680" s="32">
        <v>2025</v>
      </c>
      <c r="C680" s="28" t="s">
        <v>515</v>
      </c>
      <c r="D680" s="29">
        <v>45733</v>
      </c>
      <c r="E680" s="28">
        <v>246779412031</v>
      </c>
      <c r="F680" s="28" t="s">
        <v>11</v>
      </c>
      <c r="G680" s="30">
        <v>28.03</v>
      </c>
      <c r="H680" s="28" t="s">
        <v>59</v>
      </c>
      <c r="I680" s="30">
        <v>2429.96</v>
      </c>
      <c r="J680" s="28" t="s">
        <v>836</v>
      </c>
      <c r="K680" s="28" cm="1">
        <f t="array" ref="K680:L680">VLOOKUP(E680,[1]A023951!D$1:H$1114,{3,5},0)</f>
        <v>-28.03</v>
      </c>
      <c r="L680" s="28">
        <v>-2439.8000000000002</v>
      </c>
      <c r="M680" s="31">
        <f t="shared" si="20"/>
        <v>-9.8400000000001455</v>
      </c>
    </row>
    <row r="681" spans="1:13" x14ac:dyDescent="0.35">
      <c r="A681" s="28" t="s">
        <v>511</v>
      </c>
      <c r="B681" s="32">
        <v>2025</v>
      </c>
      <c r="C681" s="28" t="s">
        <v>515</v>
      </c>
      <c r="D681" s="29">
        <v>45733</v>
      </c>
      <c r="E681" s="28">
        <v>246779412032</v>
      </c>
      <c r="F681" s="28" t="s">
        <v>11</v>
      </c>
      <c r="G681" s="30">
        <v>33.64</v>
      </c>
      <c r="H681" s="28" t="s">
        <v>59</v>
      </c>
      <c r="I681" s="30">
        <v>2916.29</v>
      </c>
      <c r="J681" s="28" t="s">
        <v>836</v>
      </c>
      <c r="K681" s="28" cm="1">
        <f t="array" ref="K681:L681">VLOOKUP(E681,[1]A023951!D$1:H$1114,{3,5},0)</f>
        <v>-33.64</v>
      </c>
      <c r="L681" s="28">
        <v>-2928.11</v>
      </c>
      <c r="M681" s="31">
        <f t="shared" si="20"/>
        <v>-11.820000000000164</v>
      </c>
    </row>
    <row r="682" spans="1:13" x14ac:dyDescent="0.35">
      <c r="A682" s="28" t="s">
        <v>511</v>
      </c>
      <c r="B682" s="32">
        <v>2025</v>
      </c>
      <c r="C682" s="28" t="s">
        <v>515</v>
      </c>
      <c r="D682" s="29">
        <v>45733</v>
      </c>
      <c r="E682" s="28">
        <v>246779412033</v>
      </c>
      <c r="F682" s="28" t="s">
        <v>11</v>
      </c>
      <c r="G682" s="30">
        <v>22.42</v>
      </c>
      <c r="H682" s="28" t="s">
        <v>59</v>
      </c>
      <c r="I682" s="30">
        <v>1943.62</v>
      </c>
      <c r="J682" s="28" t="s">
        <v>836</v>
      </c>
      <c r="K682" s="28" cm="1">
        <f t="array" ref="K682:L682">VLOOKUP(E682,[1]A023951!D$1:H$1114,{3,5},0)</f>
        <v>-22.42</v>
      </c>
      <c r="L682" s="28">
        <v>-1951.49</v>
      </c>
      <c r="M682" s="31">
        <f t="shared" si="20"/>
        <v>-7.8700000000001182</v>
      </c>
    </row>
    <row r="683" spans="1:13" x14ac:dyDescent="0.35">
      <c r="A683" s="28" t="s">
        <v>511</v>
      </c>
      <c r="B683" s="32">
        <v>2025</v>
      </c>
      <c r="C683" s="28" t="s">
        <v>515</v>
      </c>
      <c r="D683" s="29">
        <v>45733</v>
      </c>
      <c r="E683" s="28">
        <v>246779412034</v>
      </c>
      <c r="F683" s="28" t="s">
        <v>11</v>
      </c>
      <c r="G683" s="30">
        <v>33.64</v>
      </c>
      <c r="H683" s="28" t="s">
        <v>59</v>
      </c>
      <c r="I683" s="30">
        <v>2916.29</v>
      </c>
      <c r="J683" s="28" t="s">
        <v>836</v>
      </c>
      <c r="K683" s="28" cm="1">
        <f t="array" ref="K683:L683">VLOOKUP(E683,[1]A023951!D$1:H$1114,{3,5},0)</f>
        <v>-33.64</v>
      </c>
      <c r="L683" s="28">
        <v>-2928.11</v>
      </c>
      <c r="M683" s="31">
        <f t="shared" si="20"/>
        <v>-11.820000000000164</v>
      </c>
    </row>
    <row r="684" spans="1:13" x14ac:dyDescent="0.35">
      <c r="A684" s="28" t="s">
        <v>511</v>
      </c>
      <c r="B684" s="32">
        <v>2025</v>
      </c>
      <c r="C684" s="28" t="s">
        <v>515</v>
      </c>
      <c r="D684" s="29">
        <v>45733</v>
      </c>
      <c r="E684" s="28">
        <v>246779412035</v>
      </c>
      <c r="F684" s="28" t="s">
        <v>11</v>
      </c>
      <c r="G684" s="30">
        <v>72.88</v>
      </c>
      <c r="H684" s="28" t="s">
        <v>59</v>
      </c>
      <c r="I684" s="30">
        <v>6318.06</v>
      </c>
      <c r="J684" s="28" t="s">
        <v>836</v>
      </c>
      <c r="K684" s="28" cm="1">
        <f t="array" ref="K684:L684">VLOOKUP(E684,[1]A023951!D$1:H$1114,{3,5},0)</f>
        <v>-72.88</v>
      </c>
      <c r="L684" s="28">
        <v>-6343.65</v>
      </c>
      <c r="M684" s="31">
        <f t="shared" si="20"/>
        <v>-25.589999999999236</v>
      </c>
    </row>
    <row r="685" spans="1:13" x14ac:dyDescent="0.35">
      <c r="A685" s="28" t="s">
        <v>511</v>
      </c>
      <c r="B685" s="32">
        <v>2025</v>
      </c>
      <c r="C685" s="28" t="s">
        <v>515</v>
      </c>
      <c r="D685" s="29">
        <v>45733</v>
      </c>
      <c r="E685" s="28">
        <v>246779412036</v>
      </c>
      <c r="F685" s="28" t="s">
        <v>11</v>
      </c>
      <c r="G685" s="30">
        <v>28.03</v>
      </c>
      <c r="H685" s="28" t="s">
        <v>59</v>
      </c>
      <c r="I685" s="30">
        <v>2429.96</v>
      </c>
      <c r="J685" s="28" t="s">
        <v>836</v>
      </c>
      <c r="K685" s="28" cm="1">
        <f t="array" ref="K685:L685">VLOOKUP(E685,[1]A023951!D$1:H$1114,{3,5},0)</f>
        <v>-28.03</v>
      </c>
      <c r="L685" s="28">
        <v>-2439.8000000000002</v>
      </c>
      <c r="M685" s="31">
        <f t="shared" si="20"/>
        <v>-9.8400000000001455</v>
      </c>
    </row>
    <row r="686" spans="1:13" x14ac:dyDescent="0.35">
      <c r="A686" s="28" t="s">
        <v>511</v>
      </c>
      <c r="B686" s="32">
        <v>2025</v>
      </c>
      <c r="C686" s="28" t="s">
        <v>515</v>
      </c>
      <c r="D686" s="29">
        <v>45733</v>
      </c>
      <c r="E686" s="28">
        <v>246779412037</v>
      </c>
      <c r="F686" s="28" t="s">
        <v>11</v>
      </c>
      <c r="G686" s="30">
        <v>44.85</v>
      </c>
      <c r="H686" s="28" t="s">
        <v>59</v>
      </c>
      <c r="I686" s="30">
        <v>3888.1</v>
      </c>
      <c r="J686" s="28" t="s">
        <v>836</v>
      </c>
      <c r="K686" s="28" cm="1">
        <f t="array" ref="K686:L686">VLOOKUP(E686,[1]A023951!D$1:H$1114,{3,5},0)</f>
        <v>-44.85</v>
      </c>
      <c r="L686" s="28">
        <v>-3903.85</v>
      </c>
      <c r="M686" s="31">
        <f t="shared" si="20"/>
        <v>-15.75</v>
      </c>
    </row>
    <row r="687" spans="1:13" x14ac:dyDescent="0.35">
      <c r="A687" s="28" t="s">
        <v>511</v>
      </c>
      <c r="B687" s="32">
        <v>2025</v>
      </c>
      <c r="C687" s="28" t="s">
        <v>515</v>
      </c>
      <c r="D687" s="29">
        <v>45733</v>
      </c>
      <c r="E687" s="28">
        <v>246779412038</v>
      </c>
      <c r="F687" s="28" t="s">
        <v>11</v>
      </c>
      <c r="G687" s="30">
        <v>33.64</v>
      </c>
      <c r="H687" s="28" t="s">
        <v>59</v>
      </c>
      <c r="I687" s="30">
        <v>2916.29</v>
      </c>
      <c r="J687" s="28" t="s">
        <v>836</v>
      </c>
      <c r="K687" s="28" cm="1">
        <f t="array" ref="K687:L687">VLOOKUP(E687,[1]A023951!D$1:H$1114,{3,5},0)</f>
        <v>-33.64</v>
      </c>
      <c r="L687" s="28">
        <v>-2928.11</v>
      </c>
      <c r="M687" s="31">
        <f t="shared" si="20"/>
        <v>-11.820000000000164</v>
      </c>
    </row>
    <row r="688" spans="1:13" x14ac:dyDescent="0.35">
      <c r="A688" s="28" t="s">
        <v>511</v>
      </c>
      <c r="B688" s="32">
        <v>2025</v>
      </c>
      <c r="C688" s="28" t="s">
        <v>515</v>
      </c>
      <c r="D688" s="29">
        <v>45733</v>
      </c>
      <c r="E688" s="28">
        <v>246779412039</v>
      </c>
      <c r="F688" s="28" t="s">
        <v>11</v>
      </c>
      <c r="G688" s="30">
        <v>56.06</v>
      </c>
      <c r="H688" s="28" t="s">
        <v>59</v>
      </c>
      <c r="I688" s="30">
        <v>4859.91</v>
      </c>
      <c r="J688" s="28" t="s">
        <v>836</v>
      </c>
      <c r="K688" s="28" cm="1">
        <f t="array" ref="K688:L688">VLOOKUP(E688,[1]A023951!D$1:H$1114,{3,5},0)</f>
        <v>-56.06</v>
      </c>
      <c r="L688" s="28">
        <v>-4879.6000000000004</v>
      </c>
      <c r="M688" s="31">
        <f t="shared" si="20"/>
        <v>-19.690000000000509</v>
      </c>
    </row>
    <row r="689" spans="1:13" x14ac:dyDescent="0.35">
      <c r="A689" s="28" t="s">
        <v>511</v>
      </c>
      <c r="B689" s="32">
        <v>2025</v>
      </c>
      <c r="C689" s="28" t="s">
        <v>515</v>
      </c>
      <c r="D689" s="29">
        <v>45733</v>
      </c>
      <c r="E689" s="28">
        <v>246779412040</v>
      </c>
      <c r="F689" s="28" t="s">
        <v>11</v>
      </c>
      <c r="G689" s="30">
        <v>16.82</v>
      </c>
      <c r="H689" s="28" t="s">
        <v>59</v>
      </c>
      <c r="I689" s="30">
        <v>1458.15</v>
      </c>
      <c r="J689" s="28" t="s">
        <v>836</v>
      </c>
      <c r="K689" s="28" cm="1">
        <f t="array" ref="K689:L689">VLOOKUP(E689,[1]A023951!D$1:H$1114,{3,5},0)</f>
        <v>-16.82</v>
      </c>
      <c r="L689" s="28">
        <v>-1464.05</v>
      </c>
      <c r="M689" s="31">
        <f t="shared" si="20"/>
        <v>-5.8999999999998636</v>
      </c>
    </row>
    <row r="690" spans="1:13" x14ac:dyDescent="0.35">
      <c r="A690" s="28" t="s">
        <v>511</v>
      </c>
      <c r="B690" s="32">
        <v>2025</v>
      </c>
      <c r="C690" s="28" t="s">
        <v>515</v>
      </c>
      <c r="D690" s="29">
        <v>45733</v>
      </c>
      <c r="E690" s="28">
        <v>246779412041</v>
      </c>
      <c r="F690" s="28" t="s">
        <v>11</v>
      </c>
      <c r="G690" s="30">
        <v>33.64</v>
      </c>
      <c r="H690" s="28" t="s">
        <v>59</v>
      </c>
      <c r="I690" s="30">
        <v>2916.29</v>
      </c>
      <c r="J690" s="28" t="s">
        <v>836</v>
      </c>
      <c r="K690" s="28" cm="1">
        <f t="array" ref="K690:L690">VLOOKUP(E690,[1]A023951!D$1:H$1114,{3,5},0)</f>
        <v>-33.64</v>
      </c>
      <c r="L690" s="28">
        <v>-2928.11</v>
      </c>
      <c r="M690" s="31">
        <f t="shared" si="20"/>
        <v>-11.820000000000164</v>
      </c>
    </row>
    <row r="691" spans="1:13" x14ac:dyDescent="0.35">
      <c r="A691" s="28" t="s">
        <v>511</v>
      </c>
      <c r="B691" s="32">
        <v>2025</v>
      </c>
      <c r="C691" s="28" t="s">
        <v>515</v>
      </c>
      <c r="D691" s="29">
        <v>45733</v>
      </c>
      <c r="E691" s="28">
        <v>246779412042</v>
      </c>
      <c r="F691" s="28" t="s">
        <v>11</v>
      </c>
      <c r="G691" s="30">
        <v>16.82</v>
      </c>
      <c r="H691" s="28" t="s">
        <v>59</v>
      </c>
      <c r="I691" s="30">
        <v>1458.15</v>
      </c>
      <c r="J691" s="28" t="s">
        <v>836</v>
      </c>
      <c r="K691" s="28" cm="1">
        <f t="array" ref="K691:L691">VLOOKUP(E691,[1]A023951!D$1:H$1114,{3,5},0)</f>
        <v>-16.82</v>
      </c>
      <c r="L691" s="28">
        <v>-1464.05</v>
      </c>
      <c r="M691" s="31">
        <f t="shared" si="20"/>
        <v>-5.8999999999998636</v>
      </c>
    </row>
    <row r="692" spans="1:13" x14ac:dyDescent="0.35">
      <c r="A692" s="28" t="s">
        <v>511</v>
      </c>
      <c r="B692" s="32">
        <v>2025</v>
      </c>
      <c r="C692" s="28" t="s">
        <v>515</v>
      </c>
      <c r="D692" s="29">
        <v>45733</v>
      </c>
      <c r="E692" s="28">
        <v>246779412043</v>
      </c>
      <c r="F692" s="28" t="s">
        <v>11</v>
      </c>
      <c r="G692" s="30">
        <v>16.82</v>
      </c>
      <c r="H692" s="28" t="s">
        <v>59</v>
      </c>
      <c r="I692" s="30">
        <v>1458.15</v>
      </c>
      <c r="J692" s="28" t="s">
        <v>836</v>
      </c>
      <c r="K692" s="28" cm="1">
        <f t="array" ref="K692:L692">VLOOKUP(E692,[1]A023951!D$1:H$1114,{3,5},0)</f>
        <v>-16.82</v>
      </c>
      <c r="L692" s="28">
        <v>-1464.05</v>
      </c>
      <c r="M692" s="31">
        <f t="shared" si="20"/>
        <v>-5.8999999999998636</v>
      </c>
    </row>
    <row r="693" spans="1:13" x14ac:dyDescent="0.35">
      <c r="A693" s="28" t="s">
        <v>511</v>
      </c>
      <c r="B693" s="32">
        <v>2025</v>
      </c>
      <c r="C693" s="28" t="s">
        <v>515</v>
      </c>
      <c r="D693" s="29">
        <v>45733</v>
      </c>
      <c r="E693" s="28">
        <v>246779412045</v>
      </c>
      <c r="F693" s="28" t="s">
        <v>11</v>
      </c>
      <c r="G693" s="30">
        <v>230</v>
      </c>
      <c r="H693" s="28" t="s">
        <v>59</v>
      </c>
      <c r="I693" s="30">
        <v>19938.990000000002</v>
      </c>
      <c r="J693" s="28" t="s">
        <v>836</v>
      </c>
      <c r="K693" s="28" cm="1">
        <f t="array" ref="K693:L693">VLOOKUP(E693,[1]A023951!D$1:H$1114,{3,5},0)</f>
        <v>-230</v>
      </c>
      <c r="L693" s="28">
        <v>-20019.759999999998</v>
      </c>
      <c r="M693" s="31">
        <f t="shared" si="20"/>
        <v>-80.769999999996799</v>
      </c>
    </row>
    <row r="694" spans="1:13" x14ac:dyDescent="0.35">
      <c r="A694" s="28" t="s">
        <v>511</v>
      </c>
      <c r="B694" s="32">
        <v>2025</v>
      </c>
      <c r="C694" s="28" t="s">
        <v>515</v>
      </c>
      <c r="D694" s="29">
        <v>45733</v>
      </c>
      <c r="E694" s="28">
        <v>246779412047</v>
      </c>
      <c r="F694" s="28" t="s">
        <v>11</v>
      </c>
      <c r="G694" s="30">
        <v>28.03</v>
      </c>
      <c r="H694" s="28" t="s">
        <v>59</v>
      </c>
      <c r="I694" s="30">
        <v>2429.96</v>
      </c>
      <c r="J694" s="28" t="s">
        <v>836</v>
      </c>
      <c r="K694" s="28" cm="1">
        <f t="array" ref="K694:L694">VLOOKUP(E694,[1]A023951!D$1:H$1114,{3,5},0)</f>
        <v>-28.03</v>
      </c>
      <c r="L694" s="28">
        <v>-2439.8000000000002</v>
      </c>
      <c r="M694" s="31">
        <f t="shared" si="20"/>
        <v>-9.8400000000001455</v>
      </c>
    </row>
    <row r="695" spans="1:13" x14ac:dyDescent="0.35">
      <c r="A695" s="28" t="s">
        <v>511</v>
      </c>
      <c r="B695" s="32">
        <v>2025</v>
      </c>
      <c r="C695" s="28" t="s">
        <v>515</v>
      </c>
      <c r="D695" s="29">
        <v>45733</v>
      </c>
      <c r="E695" s="28">
        <v>246779412048</v>
      </c>
      <c r="F695" s="28" t="s">
        <v>11</v>
      </c>
      <c r="G695" s="30">
        <v>22.78</v>
      </c>
      <c r="H695" s="28" t="s">
        <v>59</v>
      </c>
      <c r="I695" s="30">
        <v>1974.83</v>
      </c>
      <c r="J695" s="28" t="s">
        <v>836</v>
      </c>
      <c r="K695" s="28" cm="1">
        <f t="array" ref="K695:L695">VLOOKUP(E695,[1]A023951!D$1:H$1114,{3,5},0)</f>
        <v>-22.78</v>
      </c>
      <c r="L695" s="28">
        <v>-1982.83</v>
      </c>
      <c r="M695" s="31">
        <f t="shared" si="20"/>
        <v>-8</v>
      </c>
    </row>
    <row r="696" spans="1:13" x14ac:dyDescent="0.35">
      <c r="A696" s="28" t="s">
        <v>511</v>
      </c>
      <c r="B696" s="32">
        <v>2025</v>
      </c>
      <c r="C696" s="28" t="s">
        <v>515</v>
      </c>
      <c r="D696" s="29">
        <v>45733</v>
      </c>
      <c r="E696" s="28">
        <v>246779412111</v>
      </c>
      <c r="F696" s="28" t="s">
        <v>11</v>
      </c>
      <c r="G696" s="30">
        <v>420.46</v>
      </c>
      <c r="H696" s="28" t="s">
        <v>59</v>
      </c>
      <c r="I696" s="30">
        <v>36450.21</v>
      </c>
      <c r="J696" s="28" t="s">
        <v>836</v>
      </c>
      <c r="K696" s="28" cm="1">
        <f t="array" ref="K696:L696">VLOOKUP(E696,[1]A023951!D$1:H$1114,{3,5},0)</f>
        <v>-420.46</v>
      </c>
      <c r="L696" s="28">
        <v>-36597.85</v>
      </c>
      <c r="M696" s="31">
        <f t="shared" si="20"/>
        <v>-147.63999999999942</v>
      </c>
    </row>
    <row r="697" spans="1:13" x14ac:dyDescent="0.35">
      <c r="A697" s="28" t="s">
        <v>511</v>
      </c>
      <c r="B697" s="32">
        <v>2025</v>
      </c>
      <c r="C697" s="28" t="s">
        <v>515</v>
      </c>
      <c r="D697" s="29">
        <v>45733</v>
      </c>
      <c r="E697" s="28">
        <v>246779411718</v>
      </c>
      <c r="F697" s="28" t="s">
        <v>11</v>
      </c>
      <c r="G697" s="30">
        <v>22.95</v>
      </c>
      <c r="H697" s="28" t="s">
        <v>59</v>
      </c>
      <c r="I697" s="30">
        <v>1989.56</v>
      </c>
      <c r="J697" s="28" t="s">
        <v>834</v>
      </c>
      <c r="K697" s="28" cm="1">
        <f t="array" ref="K697:L697">VLOOKUP(E697,[1]A023951!D$1:H$1114,{3,5},0)</f>
        <v>-22.95</v>
      </c>
      <c r="L697" s="28">
        <v>-1997.62</v>
      </c>
      <c r="M697" s="31">
        <f t="shared" si="20"/>
        <v>-8.0599999999999454</v>
      </c>
    </row>
    <row r="698" spans="1:13" x14ac:dyDescent="0.35">
      <c r="A698" s="28" t="s">
        <v>511</v>
      </c>
      <c r="B698" s="32">
        <v>2025</v>
      </c>
      <c r="C698" s="28" t="s">
        <v>515</v>
      </c>
      <c r="D698" s="29">
        <v>45733</v>
      </c>
      <c r="E698" s="28">
        <v>246779411719</v>
      </c>
      <c r="F698" s="28" t="s">
        <v>11</v>
      </c>
      <c r="G698" s="30">
        <v>28.54</v>
      </c>
      <c r="H698" s="28" t="s">
        <v>59</v>
      </c>
      <c r="I698" s="30">
        <v>2474.17</v>
      </c>
      <c r="J698" s="28" t="s">
        <v>834</v>
      </c>
      <c r="K698" s="28" cm="1">
        <f t="array" ref="K698:L698">VLOOKUP(E698,[1]A023951!D$1:H$1114,{3,5},0)</f>
        <v>-28.54</v>
      </c>
      <c r="L698" s="28">
        <v>-2484.19</v>
      </c>
      <c r="M698" s="31">
        <f t="shared" si="20"/>
        <v>-10.019999999999982</v>
      </c>
    </row>
    <row r="699" spans="1:13" x14ac:dyDescent="0.35">
      <c r="A699" s="28" t="s">
        <v>511</v>
      </c>
      <c r="B699" s="32">
        <v>2025</v>
      </c>
      <c r="C699" s="28" t="s">
        <v>515</v>
      </c>
      <c r="D699" s="29">
        <v>45733</v>
      </c>
      <c r="E699" s="28">
        <v>246779411720</v>
      </c>
      <c r="F699" s="28" t="s">
        <v>11</v>
      </c>
      <c r="G699" s="30">
        <v>17.12</v>
      </c>
      <c r="H699" s="28" t="s">
        <v>59</v>
      </c>
      <c r="I699" s="30">
        <v>1484.15</v>
      </c>
      <c r="J699" s="28" t="s">
        <v>834</v>
      </c>
      <c r="K699" s="28" cm="1">
        <f t="array" ref="K699:L699">VLOOKUP(E699,[1]A023951!D$1:H$1114,{3,5},0)</f>
        <v>-17.12</v>
      </c>
      <c r="L699" s="28">
        <v>-1490.17</v>
      </c>
      <c r="M699" s="31">
        <f t="shared" si="20"/>
        <v>-6.0199999999999818</v>
      </c>
    </row>
    <row r="700" spans="1:13" x14ac:dyDescent="0.35">
      <c r="A700" s="28" t="s">
        <v>511</v>
      </c>
      <c r="B700" s="32">
        <v>2025</v>
      </c>
      <c r="C700" s="28" t="s">
        <v>515</v>
      </c>
      <c r="D700" s="29">
        <v>45733</v>
      </c>
      <c r="E700" s="28">
        <v>246779411721</v>
      </c>
      <c r="F700" s="28" t="s">
        <v>11</v>
      </c>
      <c r="G700" s="30">
        <v>525.63</v>
      </c>
      <c r="H700" s="28" t="s">
        <v>59</v>
      </c>
      <c r="I700" s="30">
        <v>45567.53</v>
      </c>
      <c r="J700" s="28" t="s">
        <v>834</v>
      </c>
      <c r="K700" s="28" cm="1">
        <f t="array" ref="K700:L700">VLOOKUP(E700,[1]A023951!D$1:H$1114,{3,5},0)</f>
        <v>-525.63</v>
      </c>
      <c r="L700" s="28">
        <v>-45752.1</v>
      </c>
      <c r="M700" s="31">
        <f t="shared" si="20"/>
        <v>-184.56999999999971</v>
      </c>
    </row>
    <row r="701" spans="1:13" x14ac:dyDescent="0.35">
      <c r="A701" s="28" t="s">
        <v>511</v>
      </c>
      <c r="B701" s="32">
        <v>2025</v>
      </c>
      <c r="C701" s="28" t="s">
        <v>515</v>
      </c>
      <c r="D701" s="29">
        <v>45733</v>
      </c>
      <c r="E701" s="28">
        <v>246779411722</v>
      </c>
      <c r="F701" s="28" t="s">
        <v>11</v>
      </c>
      <c r="G701" s="30">
        <v>39.96</v>
      </c>
      <c r="H701" s="28" t="s">
        <v>59</v>
      </c>
      <c r="I701" s="30">
        <v>3464.18</v>
      </c>
      <c r="J701" s="28" t="s">
        <v>834</v>
      </c>
      <c r="K701" s="28" cm="1">
        <f t="array" ref="K701:L701">VLOOKUP(E701,[1]A023951!D$1:H$1114,{3,5},0)</f>
        <v>-39.96</v>
      </c>
      <c r="L701" s="28">
        <v>-3478.21</v>
      </c>
      <c r="M701" s="31">
        <f t="shared" si="20"/>
        <v>-14.0300000000002</v>
      </c>
    </row>
    <row r="702" spans="1:13" x14ac:dyDescent="0.35">
      <c r="A702" s="28" t="s">
        <v>511</v>
      </c>
      <c r="B702" s="32">
        <v>2025</v>
      </c>
      <c r="C702" s="28" t="s">
        <v>515</v>
      </c>
      <c r="D702" s="29">
        <v>45733</v>
      </c>
      <c r="E702" s="28">
        <v>246779411733</v>
      </c>
      <c r="F702" s="28" t="s">
        <v>11</v>
      </c>
      <c r="G702" s="30">
        <v>17.12</v>
      </c>
      <c r="H702" s="28" t="s">
        <v>59</v>
      </c>
      <c r="I702" s="30">
        <v>1484.15</v>
      </c>
      <c r="J702" s="28" t="s">
        <v>834</v>
      </c>
      <c r="K702" s="28" cm="1">
        <f t="array" ref="K702:L702">VLOOKUP(E702,[1]A023951!D$1:H$1114,{3,5},0)</f>
        <v>-17.12</v>
      </c>
      <c r="L702" s="28">
        <v>-1490.17</v>
      </c>
      <c r="M702" s="31">
        <f t="shared" ref="M702:M707" si="21">I702+L702</f>
        <v>-6.0199999999999818</v>
      </c>
    </row>
    <row r="703" spans="1:13" x14ac:dyDescent="0.35">
      <c r="A703" s="28" t="s">
        <v>511</v>
      </c>
      <c r="B703" s="32">
        <v>2025</v>
      </c>
      <c r="C703" s="28" t="s">
        <v>515</v>
      </c>
      <c r="D703" s="29">
        <v>45733</v>
      </c>
      <c r="E703" s="28">
        <v>246779411734</v>
      </c>
      <c r="F703" s="28" t="s">
        <v>11</v>
      </c>
      <c r="G703" s="30">
        <v>22.83</v>
      </c>
      <c r="H703" s="28" t="s">
        <v>59</v>
      </c>
      <c r="I703" s="30">
        <v>1979.16</v>
      </c>
      <c r="J703" s="28" t="s">
        <v>834</v>
      </c>
      <c r="K703" s="28" cm="1">
        <f t="array" ref="K703:L703">VLOOKUP(E703,[1]A023951!D$1:H$1114,{3,5},0)</f>
        <v>-22.83</v>
      </c>
      <c r="L703" s="28">
        <v>-1987.18</v>
      </c>
      <c r="M703" s="31">
        <f t="shared" si="21"/>
        <v>-8.0199999999999818</v>
      </c>
    </row>
    <row r="704" spans="1:13" x14ac:dyDescent="0.35">
      <c r="A704" s="28" t="s">
        <v>511</v>
      </c>
      <c r="B704" s="32">
        <v>2025</v>
      </c>
      <c r="C704" s="28" t="s">
        <v>515</v>
      </c>
      <c r="D704" s="29">
        <v>45733</v>
      </c>
      <c r="E704" s="28">
        <v>246779411735</v>
      </c>
      <c r="F704" s="28" t="s">
        <v>11</v>
      </c>
      <c r="G704" s="30">
        <v>479.25</v>
      </c>
      <c r="H704" s="28" t="s">
        <v>59</v>
      </c>
      <c r="I704" s="30">
        <v>41546.79</v>
      </c>
      <c r="J704" s="28" t="s">
        <v>834</v>
      </c>
      <c r="K704" s="28" cm="1">
        <f t="array" ref="K704:L704">VLOOKUP(E704,[1]A023951!D$1:H$1114,{3,5},0)</f>
        <v>-479.25</v>
      </c>
      <c r="L704" s="28">
        <v>-41715.08</v>
      </c>
      <c r="M704" s="31">
        <f t="shared" si="21"/>
        <v>-168.29000000000087</v>
      </c>
    </row>
    <row r="705" spans="1:13" x14ac:dyDescent="0.35">
      <c r="A705" s="28" t="s">
        <v>511</v>
      </c>
      <c r="B705" s="32">
        <v>2025</v>
      </c>
      <c r="C705" s="28" t="s">
        <v>515</v>
      </c>
      <c r="D705" s="29">
        <v>45733</v>
      </c>
      <c r="E705" s="28">
        <v>246779411736</v>
      </c>
      <c r="F705" s="28" t="s">
        <v>11</v>
      </c>
      <c r="G705" s="30">
        <v>22.83</v>
      </c>
      <c r="H705" s="28" t="s">
        <v>59</v>
      </c>
      <c r="I705" s="30">
        <v>1979.16</v>
      </c>
      <c r="J705" s="28" t="s">
        <v>834</v>
      </c>
      <c r="K705" s="28" cm="1">
        <f t="array" ref="K705:L705">VLOOKUP(E705,[1]A023951!D$1:H$1114,{3,5},0)</f>
        <v>-22.83</v>
      </c>
      <c r="L705" s="28">
        <v>-1987.18</v>
      </c>
      <c r="M705" s="31">
        <f t="shared" si="21"/>
        <v>-8.0199999999999818</v>
      </c>
    </row>
    <row r="706" spans="1:13" x14ac:dyDescent="0.35">
      <c r="A706" s="28" t="s">
        <v>511</v>
      </c>
      <c r="B706" s="32">
        <v>2025</v>
      </c>
      <c r="C706" s="28" t="s">
        <v>515</v>
      </c>
      <c r="D706" s="29">
        <v>45733</v>
      </c>
      <c r="E706" s="28">
        <v>246779411737</v>
      </c>
      <c r="F706" s="28" t="s">
        <v>11</v>
      </c>
      <c r="G706" s="30">
        <v>28.54</v>
      </c>
      <c r="H706" s="28" t="s">
        <v>59</v>
      </c>
      <c r="I706" s="30">
        <v>2474.17</v>
      </c>
      <c r="J706" s="28" t="s">
        <v>834</v>
      </c>
      <c r="K706" s="28" cm="1">
        <f t="array" ref="K706:L706">VLOOKUP(E706,[1]A023951!D$1:H$1114,{3,5},0)</f>
        <v>-28.54</v>
      </c>
      <c r="L706" s="28">
        <v>-2484.19</v>
      </c>
      <c r="M706" s="31">
        <f t="shared" si="21"/>
        <v>-10.019999999999982</v>
      </c>
    </row>
    <row r="707" spans="1:13" x14ac:dyDescent="0.35">
      <c r="A707" s="28" t="s">
        <v>511</v>
      </c>
      <c r="B707" s="32">
        <v>2025</v>
      </c>
      <c r="C707" s="28" t="s">
        <v>515</v>
      </c>
      <c r="D707" s="29">
        <v>45733</v>
      </c>
      <c r="E707" s="28">
        <v>246779411738</v>
      </c>
      <c r="F707" s="28" t="s">
        <v>11</v>
      </c>
      <c r="G707" s="30">
        <v>28.54</v>
      </c>
      <c r="H707" s="28" t="s">
        <v>59</v>
      </c>
      <c r="I707" s="30">
        <v>2474.17</v>
      </c>
      <c r="J707" s="28" t="s">
        <v>834</v>
      </c>
      <c r="K707" s="28" cm="1">
        <f t="array" ref="K707:L707">VLOOKUP(E707,[1]A023951!D$1:H$1114,{3,5},0)</f>
        <v>-28.54</v>
      </c>
      <c r="L707" s="28">
        <v>-2484.19</v>
      </c>
      <c r="M707" s="31">
        <f t="shared" si="21"/>
        <v>-10.019999999999982</v>
      </c>
    </row>
    <row r="708" spans="1:13" x14ac:dyDescent="0.35">
      <c r="M708" s="33">
        <f>SUM(M2:M707)</f>
        <v>51209.629999999983</v>
      </c>
    </row>
  </sheetData>
  <autoFilter ref="A1:M708" xr:uid="{936B361C-3ADC-40DB-89BE-A9B218892CB0}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2C30D-0FFA-4281-9471-47E025B2C17A}">
  <dimension ref="A1:K141"/>
  <sheetViews>
    <sheetView workbookViewId="0">
      <selection activeCell="H141" sqref="H2:H141"/>
    </sheetView>
  </sheetViews>
  <sheetFormatPr defaultRowHeight="14.5" x14ac:dyDescent="0.35"/>
  <cols>
    <col min="1" max="1" width="23.81640625" bestFit="1" customWidth="1"/>
    <col min="2" max="2" width="9.453125" bestFit="1" customWidth="1"/>
    <col min="3" max="3" width="7.81640625" bestFit="1" customWidth="1"/>
    <col min="4" max="4" width="13.90625" bestFit="1" customWidth="1"/>
    <col min="5" max="5" width="10.08984375" bestFit="1" customWidth="1"/>
    <col min="6" max="6" width="11.81640625" bestFit="1" customWidth="1"/>
    <col min="7" max="7" width="8.1796875" bestFit="1" customWidth="1"/>
    <col min="8" max="8" width="10.1796875" bestFit="1" customWidth="1"/>
    <col min="10" max="10" width="10.1796875" bestFit="1" customWidth="1"/>
    <col min="11" max="11" width="45.81640625" bestFit="1" customWidth="1"/>
  </cols>
  <sheetData>
    <row r="1" spans="1:11" ht="58" x14ac:dyDescent="0.35">
      <c r="A1" s="25" t="s">
        <v>499</v>
      </c>
      <c r="B1" s="25" t="s">
        <v>500</v>
      </c>
      <c r="C1" s="26" t="s">
        <v>502</v>
      </c>
      <c r="D1" s="25" t="s">
        <v>503</v>
      </c>
      <c r="E1" s="25" t="s">
        <v>504</v>
      </c>
      <c r="F1" s="25" t="s">
        <v>505</v>
      </c>
      <c r="G1" s="26" t="s">
        <v>506</v>
      </c>
      <c r="H1" s="26" t="s">
        <v>507</v>
      </c>
      <c r="I1" s="26" t="s">
        <v>508</v>
      </c>
      <c r="J1" s="26" t="s">
        <v>509</v>
      </c>
      <c r="K1" s="25" t="s">
        <v>510</v>
      </c>
    </row>
    <row r="2" spans="1:11" x14ac:dyDescent="0.35">
      <c r="A2" s="12" t="s">
        <v>511</v>
      </c>
      <c r="B2" s="12" t="s">
        <v>487</v>
      </c>
      <c r="C2" s="12" t="s">
        <v>515</v>
      </c>
      <c r="D2" s="13">
        <v>45904</v>
      </c>
      <c r="E2" s="13">
        <v>45909</v>
      </c>
      <c r="F2" s="12">
        <v>256779417250</v>
      </c>
      <c r="G2" s="12" t="s">
        <v>11</v>
      </c>
      <c r="H2" s="14">
        <v>50</v>
      </c>
      <c r="I2" s="12" t="s">
        <v>59</v>
      </c>
      <c r="J2" s="14">
        <v>4375.72</v>
      </c>
      <c r="K2" s="12" t="s">
        <v>522</v>
      </c>
    </row>
    <row r="3" spans="1:11" x14ac:dyDescent="0.35">
      <c r="A3" s="12" t="s">
        <v>511</v>
      </c>
      <c r="B3" s="12" t="s">
        <v>487</v>
      </c>
      <c r="C3" s="12" t="s">
        <v>515</v>
      </c>
      <c r="D3" s="13">
        <v>45966</v>
      </c>
      <c r="E3" s="13">
        <v>45967</v>
      </c>
      <c r="F3" s="12">
        <v>256779418816</v>
      </c>
      <c r="G3" s="12" t="s">
        <v>11</v>
      </c>
      <c r="H3" s="14">
        <v>891</v>
      </c>
      <c r="I3" s="12" t="s">
        <v>59</v>
      </c>
      <c r="J3" s="14">
        <v>78411.02</v>
      </c>
      <c r="K3" s="12" t="s">
        <v>531</v>
      </c>
    </row>
    <row r="4" spans="1:11" x14ac:dyDescent="0.35">
      <c r="A4" s="12" t="s">
        <v>511</v>
      </c>
      <c r="B4" s="12" t="s">
        <v>487</v>
      </c>
      <c r="C4" s="12" t="s">
        <v>515</v>
      </c>
      <c r="D4" s="13">
        <v>45966</v>
      </c>
      <c r="E4" s="13">
        <v>45967</v>
      </c>
      <c r="F4" s="12">
        <v>256779418872</v>
      </c>
      <c r="G4" s="12" t="s">
        <v>11</v>
      </c>
      <c r="H4" s="14">
        <v>5939.04</v>
      </c>
      <c r="I4" s="12" t="s">
        <v>59</v>
      </c>
      <c r="J4" s="14">
        <v>522655.65</v>
      </c>
      <c r="K4" s="12" t="s">
        <v>532</v>
      </c>
    </row>
    <row r="5" spans="1:11" x14ac:dyDescent="0.35">
      <c r="A5" s="12" t="s">
        <v>511</v>
      </c>
      <c r="B5" s="12" t="s">
        <v>487</v>
      </c>
      <c r="C5" s="12" t="s">
        <v>515</v>
      </c>
      <c r="D5" s="13">
        <v>45966</v>
      </c>
      <c r="E5" s="13">
        <v>45968</v>
      </c>
      <c r="F5" s="12">
        <v>256779419222</v>
      </c>
      <c r="G5" s="12" t="s">
        <v>11</v>
      </c>
      <c r="H5" s="14">
        <v>3537</v>
      </c>
      <c r="I5" s="12" t="s">
        <v>59</v>
      </c>
      <c r="J5" s="14">
        <v>311267.99</v>
      </c>
      <c r="K5" s="12" t="s">
        <v>538</v>
      </c>
    </row>
    <row r="6" spans="1:11" x14ac:dyDescent="0.35">
      <c r="A6" s="12" t="s">
        <v>511</v>
      </c>
      <c r="B6" s="12" t="s">
        <v>487</v>
      </c>
      <c r="C6" s="12" t="s">
        <v>515</v>
      </c>
      <c r="D6" s="13">
        <v>45812</v>
      </c>
      <c r="E6" s="13">
        <v>45817</v>
      </c>
      <c r="F6" s="12">
        <v>256779414156</v>
      </c>
      <c r="G6" s="12" t="s">
        <v>11</v>
      </c>
      <c r="H6" s="14">
        <v>83.66</v>
      </c>
      <c r="I6" s="12" t="s">
        <v>59</v>
      </c>
      <c r="J6" s="14">
        <v>7152.16</v>
      </c>
      <c r="K6" s="12" t="s">
        <v>548</v>
      </c>
    </row>
    <row r="7" spans="1:11" x14ac:dyDescent="0.35">
      <c r="A7" s="12" t="s">
        <v>511</v>
      </c>
      <c r="B7" s="12" t="s">
        <v>487</v>
      </c>
      <c r="C7" s="12" t="s">
        <v>515</v>
      </c>
      <c r="D7" s="13">
        <v>45812</v>
      </c>
      <c r="E7" s="13">
        <v>45817</v>
      </c>
      <c r="F7" s="12">
        <v>256779414173</v>
      </c>
      <c r="G7" s="12" t="s">
        <v>11</v>
      </c>
      <c r="H7" s="14">
        <v>2668.72</v>
      </c>
      <c r="I7" s="12" t="s">
        <v>59</v>
      </c>
      <c r="J7" s="14">
        <v>228150.95</v>
      </c>
      <c r="K7" s="12" t="s">
        <v>549</v>
      </c>
    </row>
    <row r="8" spans="1:11" x14ac:dyDescent="0.35">
      <c r="A8" s="12" t="s">
        <v>511</v>
      </c>
      <c r="B8" s="12" t="s">
        <v>487</v>
      </c>
      <c r="C8" s="12" t="s">
        <v>515</v>
      </c>
      <c r="D8" s="13">
        <v>45812</v>
      </c>
      <c r="E8" s="13">
        <v>45817</v>
      </c>
      <c r="F8" s="12">
        <v>256779414206</v>
      </c>
      <c r="G8" s="12" t="s">
        <v>11</v>
      </c>
      <c r="H8" s="14">
        <v>201.33</v>
      </c>
      <c r="I8" s="12" t="s">
        <v>59</v>
      </c>
      <c r="J8" s="14">
        <v>17211.86</v>
      </c>
      <c r="K8" s="12" t="s">
        <v>550</v>
      </c>
    </row>
    <row r="9" spans="1:11" x14ac:dyDescent="0.35">
      <c r="A9" s="12" t="s">
        <v>511</v>
      </c>
      <c r="B9" s="12" t="s">
        <v>487</v>
      </c>
      <c r="C9" s="12" t="s">
        <v>515</v>
      </c>
      <c r="D9" s="13">
        <v>45812</v>
      </c>
      <c r="E9" s="13">
        <v>45817</v>
      </c>
      <c r="F9" s="12">
        <v>256779414260</v>
      </c>
      <c r="G9" s="12" t="s">
        <v>11</v>
      </c>
      <c r="H9" s="14">
        <v>130.93</v>
      </c>
      <c r="I9" s="12" t="s">
        <v>59</v>
      </c>
      <c r="J9" s="14">
        <v>11193.31</v>
      </c>
      <c r="K9" s="12" t="s">
        <v>551</v>
      </c>
    </row>
    <row r="10" spans="1:11" x14ac:dyDescent="0.35">
      <c r="A10" s="12" t="s">
        <v>511</v>
      </c>
      <c r="B10" s="12" t="s">
        <v>487</v>
      </c>
      <c r="C10" s="12" t="s">
        <v>515</v>
      </c>
      <c r="D10" s="13">
        <v>45812</v>
      </c>
      <c r="E10" s="13">
        <v>45817</v>
      </c>
      <c r="F10" s="12">
        <v>256779414271</v>
      </c>
      <c r="G10" s="12" t="s">
        <v>11</v>
      </c>
      <c r="H10" s="14">
        <v>967.68</v>
      </c>
      <c r="I10" s="12" t="s">
        <v>59</v>
      </c>
      <c r="J10" s="14">
        <v>82727.72</v>
      </c>
      <c r="K10" s="12" t="s">
        <v>552</v>
      </c>
    </row>
    <row r="11" spans="1:11" x14ac:dyDescent="0.35">
      <c r="A11" s="12" t="s">
        <v>511</v>
      </c>
      <c r="B11" s="12" t="s">
        <v>487</v>
      </c>
      <c r="C11" s="12" t="s">
        <v>515</v>
      </c>
      <c r="D11" s="13">
        <v>45812</v>
      </c>
      <c r="E11" s="13">
        <v>45817</v>
      </c>
      <c r="F11" s="12">
        <v>256779414309</v>
      </c>
      <c r="G11" s="12" t="s">
        <v>11</v>
      </c>
      <c r="H11" s="14">
        <v>662.83</v>
      </c>
      <c r="I11" s="12" t="s">
        <v>59</v>
      </c>
      <c r="J11" s="14">
        <v>56665.85</v>
      </c>
      <c r="K11" s="12" t="s">
        <v>553</v>
      </c>
    </row>
    <row r="12" spans="1:11" x14ac:dyDescent="0.35">
      <c r="A12" s="12" t="s">
        <v>511</v>
      </c>
      <c r="B12" s="12" t="s">
        <v>487</v>
      </c>
      <c r="C12" s="12" t="s">
        <v>515</v>
      </c>
      <c r="D12" s="13">
        <v>45793</v>
      </c>
      <c r="E12" s="13">
        <v>45800</v>
      </c>
      <c r="F12" s="12">
        <v>256779413280</v>
      </c>
      <c r="G12" s="12" t="s">
        <v>11</v>
      </c>
      <c r="H12" s="14">
        <v>59</v>
      </c>
      <c r="I12" s="12" t="s">
        <v>59</v>
      </c>
      <c r="J12" s="14">
        <v>5073.04</v>
      </c>
      <c r="K12" s="12" t="s">
        <v>569</v>
      </c>
    </row>
    <row r="13" spans="1:11" x14ac:dyDescent="0.35">
      <c r="A13" s="12" t="s">
        <v>511</v>
      </c>
      <c r="B13" s="12" t="s">
        <v>487</v>
      </c>
      <c r="C13" s="12" t="s">
        <v>515</v>
      </c>
      <c r="D13" s="13">
        <v>45793</v>
      </c>
      <c r="E13" s="13">
        <v>45800</v>
      </c>
      <c r="F13" s="12">
        <v>256779413308</v>
      </c>
      <c r="G13" s="12" t="s">
        <v>11</v>
      </c>
      <c r="H13" s="14">
        <v>723.47</v>
      </c>
      <c r="I13" s="12" t="s">
        <v>59</v>
      </c>
      <c r="J13" s="14">
        <v>62206.63</v>
      </c>
      <c r="K13" s="12" t="s">
        <v>570</v>
      </c>
    </row>
    <row r="14" spans="1:11" x14ac:dyDescent="0.35">
      <c r="A14" s="12" t="s">
        <v>511</v>
      </c>
      <c r="B14" s="12" t="s">
        <v>487</v>
      </c>
      <c r="C14" s="12" t="s">
        <v>515</v>
      </c>
      <c r="D14" s="13">
        <v>45793</v>
      </c>
      <c r="E14" s="13">
        <v>45800</v>
      </c>
      <c r="F14" s="12">
        <v>256779413348</v>
      </c>
      <c r="G14" s="12" t="s">
        <v>11</v>
      </c>
      <c r="H14" s="14">
        <v>138.82</v>
      </c>
      <c r="I14" s="12" t="s">
        <v>59</v>
      </c>
      <c r="J14" s="14">
        <v>11936.26</v>
      </c>
      <c r="K14" s="12" t="s">
        <v>571</v>
      </c>
    </row>
    <row r="15" spans="1:11" x14ac:dyDescent="0.35">
      <c r="A15" s="12" t="s">
        <v>511</v>
      </c>
      <c r="B15" s="12" t="s">
        <v>487</v>
      </c>
      <c r="C15" s="12" t="s">
        <v>515</v>
      </c>
      <c r="D15" s="13">
        <v>45856</v>
      </c>
      <c r="E15" s="13">
        <v>45859</v>
      </c>
      <c r="F15" s="12">
        <v>256779415792</v>
      </c>
      <c r="G15" s="12" t="s">
        <v>11</v>
      </c>
      <c r="H15" s="14">
        <v>608.41</v>
      </c>
      <c r="I15" s="12" t="s">
        <v>59</v>
      </c>
      <c r="J15" s="14">
        <v>52323.67</v>
      </c>
      <c r="K15" s="12" t="s">
        <v>577</v>
      </c>
    </row>
    <row r="16" spans="1:11" x14ac:dyDescent="0.35">
      <c r="A16" s="12" t="s">
        <v>511</v>
      </c>
      <c r="B16" s="12" t="s">
        <v>487</v>
      </c>
      <c r="C16" s="12" t="s">
        <v>515</v>
      </c>
      <c r="D16" s="13">
        <v>45736</v>
      </c>
      <c r="E16" s="13">
        <v>45737</v>
      </c>
      <c r="F16" s="12">
        <v>246779414057</v>
      </c>
      <c r="G16" s="12" t="s">
        <v>11</v>
      </c>
      <c r="H16" s="14">
        <v>43.07</v>
      </c>
      <c r="I16" s="12" t="s">
        <v>59</v>
      </c>
      <c r="J16" s="14">
        <v>3733.79</v>
      </c>
      <c r="K16" s="12" t="s">
        <v>585</v>
      </c>
    </row>
    <row r="17" spans="1:11" x14ac:dyDescent="0.35">
      <c r="A17" s="12" t="s">
        <v>511</v>
      </c>
      <c r="B17" s="12" t="s">
        <v>487</v>
      </c>
      <c r="C17" s="12" t="s">
        <v>515</v>
      </c>
      <c r="D17" s="13">
        <v>45736</v>
      </c>
      <c r="E17" s="13">
        <v>45737</v>
      </c>
      <c r="F17" s="12">
        <v>246779414058</v>
      </c>
      <c r="G17" s="12" t="s">
        <v>11</v>
      </c>
      <c r="H17" s="14">
        <v>398.23</v>
      </c>
      <c r="I17" s="12" t="s">
        <v>59</v>
      </c>
      <c r="J17" s="14">
        <v>34523.06</v>
      </c>
      <c r="K17" s="12" t="s">
        <v>585</v>
      </c>
    </row>
    <row r="18" spans="1:11" x14ac:dyDescent="0.35">
      <c r="A18" s="12" t="s">
        <v>511</v>
      </c>
      <c r="B18" s="12" t="s">
        <v>487</v>
      </c>
      <c r="C18" s="12" t="s">
        <v>515</v>
      </c>
      <c r="D18" s="13">
        <v>45736</v>
      </c>
      <c r="E18" s="13">
        <v>45737</v>
      </c>
      <c r="F18" s="12">
        <v>246779414120</v>
      </c>
      <c r="G18" s="12" t="s">
        <v>11</v>
      </c>
      <c r="H18" s="14">
        <v>250.75</v>
      </c>
      <c r="I18" s="12" t="s">
        <v>59</v>
      </c>
      <c r="J18" s="14">
        <v>21737.83</v>
      </c>
      <c r="K18" s="12" t="s">
        <v>586</v>
      </c>
    </row>
    <row r="19" spans="1:11" x14ac:dyDescent="0.35">
      <c r="A19" s="12" t="s">
        <v>511</v>
      </c>
      <c r="B19" s="12" t="s">
        <v>487</v>
      </c>
      <c r="C19" s="12" t="s">
        <v>515</v>
      </c>
      <c r="D19" s="13">
        <v>45736</v>
      </c>
      <c r="E19" s="13">
        <v>45737</v>
      </c>
      <c r="F19" s="12">
        <v>246779414121</v>
      </c>
      <c r="G19" s="12" t="s">
        <v>11</v>
      </c>
      <c r="H19" s="14">
        <v>226.56</v>
      </c>
      <c r="I19" s="12" t="s">
        <v>59</v>
      </c>
      <c r="J19" s="14">
        <v>19640.77</v>
      </c>
      <c r="K19" s="12" t="s">
        <v>587</v>
      </c>
    </row>
    <row r="20" spans="1:11" x14ac:dyDescent="0.35">
      <c r="A20" s="12" t="s">
        <v>511</v>
      </c>
      <c r="B20" s="12" t="s">
        <v>487</v>
      </c>
      <c r="C20" s="12" t="s">
        <v>515</v>
      </c>
      <c r="D20" s="13">
        <v>45736</v>
      </c>
      <c r="E20" s="13">
        <v>45737</v>
      </c>
      <c r="F20" s="12">
        <v>246779414122</v>
      </c>
      <c r="G20" s="12" t="s">
        <v>11</v>
      </c>
      <c r="H20" s="14">
        <v>35.4</v>
      </c>
      <c r="I20" s="12" t="s">
        <v>59</v>
      </c>
      <c r="J20" s="14">
        <v>3068.87</v>
      </c>
      <c r="K20" s="12" t="s">
        <v>588</v>
      </c>
    </row>
    <row r="21" spans="1:11" x14ac:dyDescent="0.35">
      <c r="A21" s="12" t="s">
        <v>511</v>
      </c>
      <c r="B21" s="12" t="s">
        <v>487</v>
      </c>
      <c r="C21" s="12" t="s">
        <v>515</v>
      </c>
      <c r="D21" s="13">
        <v>45736</v>
      </c>
      <c r="E21" s="13">
        <v>45737</v>
      </c>
      <c r="F21" s="12">
        <v>246779414204</v>
      </c>
      <c r="G21" s="12" t="s">
        <v>11</v>
      </c>
      <c r="H21" s="14">
        <v>249.87</v>
      </c>
      <c r="I21" s="12" t="s">
        <v>59</v>
      </c>
      <c r="J21" s="14">
        <v>21661.55</v>
      </c>
      <c r="K21" s="12" t="s">
        <v>589</v>
      </c>
    </row>
    <row r="22" spans="1:11" x14ac:dyDescent="0.35">
      <c r="A22" s="12" t="s">
        <v>511</v>
      </c>
      <c r="B22" s="12" t="s">
        <v>487</v>
      </c>
      <c r="C22" s="12" t="s">
        <v>515</v>
      </c>
      <c r="D22" s="13">
        <v>45736</v>
      </c>
      <c r="E22" s="13">
        <v>45737</v>
      </c>
      <c r="F22" s="12">
        <v>246779414460</v>
      </c>
      <c r="G22" s="12" t="s">
        <v>11</v>
      </c>
      <c r="H22" s="14">
        <v>173.05</v>
      </c>
      <c r="I22" s="12" t="s">
        <v>59</v>
      </c>
      <c r="J22" s="14">
        <v>15001.92</v>
      </c>
      <c r="K22" s="12" t="s">
        <v>585</v>
      </c>
    </row>
    <row r="23" spans="1:11" x14ac:dyDescent="0.35">
      <c r="A23" s="12" t="s">
        <v>511</v>
      </c>
      <c r="B23" s="12" t="s">
        <v>487</v>
      </c>
      <c r="C23" s="12" t="s">
        <v>515</v>
      </c>
      <c r="D23" s="13">
        <v>45736</v>
      </c>
      <c r="E23" s="13">
        <v>45737</v>
      </c>
      <c r="F23" s="12">
        <v>246779414461</v>
      </c>
      <c r="G23" s="12" t="s">
        <v>11</v>
      </c>
      <c r="H23" s="14">
        <v>226.56</v>
      </c>
      <c r="I23" s="12" t="s">
        <v>59</v>
      </c>
      <c r="J23" s="14">
        <v>19640.77</v>
      </c>
      <c r="K23" s="12" t="s">
        <v>590</v>
      </c>
    </row>
    <row r="24" spans="1:11" x14ac:dyDescent="0.35">
      <c r="A24" s="12" t="s">
        <v>511</v>
      </c>
      <c r="B24" s="12" t="s">
        <v>487</v>
      </c>
      <c r="C24" s="12" t="s">
        <v>515</v>
      </c>
      <c r="D24" s="13">
        <v>45736</v>
      </c>
      <c r="E24" s="13">
        <v>45737</v>
      </c>
      <c r="F24" s="12">
        <v>246779414525</v>
      </c>
      <c r="G24" s="12" t="s">
        <v>11</v>
      </c>
      <c r="H24" s="14">
        <v>211.39</v>
      </c>
      <c r="I24" s="12" t="s">
        <v>59</v>
      </c>
      <c r="J24" s="14">
        <v>18325.669999999998</v>
      </c>
      <c r="K24" s="12" t="s">
        <v>591</v>
      </c>
    </row>
    <row r="25" spans="1:11" x14ac:dyDescent="0.35">
      <c r="A25" s="12" t="s">
        <v>511</v>
      </c>
      <c r="B25" s="12" t="s">
        <v>487</v>
      </c>
      <c r="C25" s="12" t="s">
        <v>515</v>
      </c>
      <c r="D25" s="13">
        <v>45736</v>
      </c>
      <c r="E25" s="13">
        <v>45737</v>
      </c>
      <c r="F25" s="12">
        <v>246779414526</v>
      </c>
      <c r="G25" s="12" t="s">
        <v>11</v>
      </c>
      <c r="H25" s="14">
        <v>141.6</v>
      </c>
      <c r="I25" s="12" t="s">
        <v>59</v>
      </c>
      <c r="J25" s="14">
        <v>12275.48</v>
      </c>
      <c r="K25" s="12" t="s">
        <v>592</v>
      </c>
    </row>
    <row r="26" spans="1:11" x14ac:dyDescent="0.35">
      <c r="A26" s="12" t="s">
        <v>511</v>
      </c>
      <c r="B26" s="12" t="s">
        <v>487</v>
      </c>
      <c r="C26" s="12" t="s">
        <v>515</v>
      </c>
      <c r="D26" s="13">
        <v>45736</v>
      </c>
      <c r="E26" s="13">
        <v>45737</v>
      </c>
      <c r="F26" s="12">
        <v>246779414527</v>
      </c>
      <c r="G26" s="12" t="s">
        <v>11</v>
      </c>
      <c r="H26" s="14">
        <v>70.8</v>
      </c>
      <c r="I26" s="12" t="s">
        <v>59</v>
      </c>
      <c r="J26" s="14">
        <v>6137.74</v>
      </c>
      <c r="K26" s="12" t="s">
        <v>593</v>
      </c>
    </row>
    <row r="27" spans="1:11" x14ac:dyDescent="0.35">
      <c r="A27" s="12" t="s">
        <v>511</v>
      </c>
      <c r="B27" s="12" t="s">
        <v>487</v>
      </c>
      <c r="C27" s="12" t="s">
        <v>515</v>
      </c>
      <c r="D27" s="13">
        <v>45736</v>
      </c>
      <c r="E27" s="13">
        <v>45737</v>
      </c>
      <c r="F27" s="12">
        <v>246779414528</v>
      </c>
      <c r="G27" s="12" t="s">
        <v>11</v>
      </c>
      <c r="H27" s="14">
        <v>236</v>
      </c>
      <c r="I27" s="12" t="s">
        <v>59</v>
      </c>
      <c r="J27" s="14">
        <v>20459.14</v>
      </c>
      <c r="K27" s="12" t="s">
        <v>594</v>
      </c>
    </row>
    <row r="28" spans="1:11" x14ac:dyDescent="0.35">
      <c r="A28" s="12" t="s">
        <v>511</v>
      </c>
      <c r="B28" s="12" t="s">
        <v>487</v>
      </c>
      <c r="C28" s="12" t="s">
        <v>515</v>
      </c>
      <c r="D28" s="13">
        <v>45736</v>
      </c>
      <c r="E28" s="13">
        <v>45737</v>
      </c>
      <c r="F28" s="12">
        <v>246779414781</v>
      </c>
      <c r="G28" s="12" t="s">
        <v>11</v>
      </c>
      <c r="H28" s="14">
        <v>218.36</v>
      </c>
      <c r="I28" s="12" t="s">
        <v>59</v>
      </c>
      <c r="J28" s="14">
        <v>18929.900000000001</v>
      </c>
      <c r="K28" s="12" t="s">
        <v>581</v>
      </c>
    </row>
    <row r="29" spans="1:11" x14ac:dyDescent="0.35">
      <c r="A29" s="12" t="s">
        <v>511</v>
      </c>
      <c r="B29" s="12" t="s">
        <v>487</v>
      </c>
      <c r="C29" s="12" t="s">
        <v>515</v>
      </c>
      <c r="D29" s="13">
        <v>45736</v>
      </c>
      <c r="E29" s="13">
        <v>45737</v>
      </c>
      <c r="F29" s="12">
        <v>246779414863</v>
      </c>
      <c r="G29" s="12" t="s">
        <v>11</v>
      </c>
      <c r="H29" s="14">
        <v>23.6</v>
      </c>
      <c r="I29" s="12" t="s">
        <v>59</v>
      </c>
      <c r="J29" s="14">
        <v>2045.91</v>
      </c>
      <c r="K29" s="12" t="s">
        <v>580</v>
      </c>
    </row>
    <row r="30" spans="1:11" x14ac:dyDescent="0.35">
      <c r="A30" s="12" t="s">
        <v>511</v>
      </c>
      <c r="B30" s="12" t="s">
        <v>487</v>
      </c>
      <c r="C30" s="12" t="s">
        <v>515</v>
      </c>
      <c r="D30" s="13">
        <v>45736</v>
      </c>
      <c r="E30" s="13">
        <v>45737</v>
      </c>
      <c r="F30" s="12">
        <v>246779414864</v>
      </c>
      <c r="G30" s="12" t="s">
        <v>11</v>
      </c>
      <c r="H30" s="14">
        <v>26.55</v>
      </c>
      <c r="I30" s="12" t="s">
        <v>59</v>
      </c>
      <c r="J30" s="14">
        <v>2301.65</v>
      </c>
      <c r="K30" s="12" t="s">
        <v>580</v>
      </c>
    </row>
    <row r="31" spans="1:11" x14ac:dyDescent="0.35">
      <c r="A31" s="12" t="s">
        <v>511</v>
      </c>
      <c r="B31" s="12" t="s">
        <v>487</v>
      </c>
      <c r="C31" s="12" t="s">
        <v>515</v>
      </c>
      <c r="D31" s="13">
        <v>45736</v>
      </c>
      <c r="E31" s="13">
        <v>45737</v>
      </c>
      <c r="F31" s="12">
        <v>246779414865</v>
      </c>
      <c r="G31" s="12" t="s">
        <v>11</v>
      </c>
      <c r="H31" s="14">
        <v>32.450000000000003</v>
      </c>
      <c r="I31" s="12" t="s">
        <v>59</v>
      </c>
      <c r="J31" s="14">
        <v>2813.13</v>
      </c>
      <c r="K31" s="12" t="s">
        <v>580</v>
      </c>
    </row>
    <row r="32" spans="1:11" x14ac:dyDescent="0.35">
      <c r="A32" s="12" t="s">
        <v>511</v>
      </c>
      <c r="B32" s="12" t="s">
        <v>487</v>
      </c>
      <c r="C32" s="12" t="s">
        <v>515</v>
      </c>
      <c r="D32" s="13">
        <v>45736</v>
      </c>
      <c r="E32" s="13">
        <v>45737</v>
      </c>
      <c r="F32" s="12">
        <v>246779414866</v>
      </c>
      <c r="G32" s="12" t="s">
        <v>11</v>
      </c>
      <c r="H32" s="14">
        <v>26.55</v>
      </c>
      <c r="I32" s="12" t="s">
        <v>59</v>
      </c>
      <c r="J32" s="14">
        <v>2301.65</v>
      </c>
      <c r="K32" s="12" t="s">
        <v>580</v>
      </c>
    </row>
    <row r="33" spans="1:11" x14ac:dyDescent="0.35">
      <c r="A33" s="12" t="s">
        <v>511</v>
      </c>
      <c r="B33" s="12" t="s">
        <v>487</v>
      </c>
      <c r="C33" s="12" t="s">
        <v>515</v>
      </c>
      <c r="D33" s="13">
        <v>45736</v>
      </c>
      <c r="E33" s="13">
        <v>45737</v>
      </c>
      <c r="F33" s="12">
        <v>246779414867</v>
      </c>
      <c r="G33" s="12" t="s">
        <v>11</v>
      </c>
      <c r="H33" s="14">
        <v>26.55</v>
      </c>
      <c r="I33" s="12" t="s">
        <v>59</v>
      </c>
      <c r="J33" s="14">
        <v>2301.65</v>
      </c>
      <c r="K33" s="12" t="s">
        <v>580</v>
      </c>
    </row>
    <row r="34" spans="1:11" x14ac:dyDescent="0.35">
      <c r="A34" s="12" t="s">
        <v>511</v>
      </c>
      <c r="B34" s="12" t="s">
        <v>487</v>
      </c>
      <c r="C34" s="12" t="s">
        <v>515</v>
      </c>
      <c r="D34" s="13">
        <v>45736</v>
      </c>
      <c r="E34" s="13">
        <v>45737</v>
      </c>
      <c r="F34" s="12">
        <v>246779414868</v>
      </c>
      <c r="G34" s="12" t="s">
        <v>11</v>
      </c>
      <c r="H34" s="14">
        <v>2.95</v>
      </c>
      <c r="I34" s="12" t="s">
        <v>59</v>
      </c>
      <c r="J34" s="14">
        <v>255.74</v>
      </c>
      <c r="K34" s="12" t="s">
        <v>580</v>
      </c>
    </row>
    <row r="35" spans="1:11" x14ac:dyDescent="0.35">
      <c r="A35" s="12" t="s">
        <v>511</v>
      </c>
      <c r="B35" s="12" t="s">
        <v>487</v>
      </c>
      <c r="C35" s="12" t="s">
        <v>515</v>
      </c>
      <c r="D35" s="13">
        <v>45736</v>
      </c>
      <c r="E35" s="13">
        <v>45737</v>
      </c>
      <c r="F35" s="12">
        <v>246779414869</v>
      </c>
      <c r="G35" s="12" t="s">
        <v>11</v>
      </c>
      <c r="H35" s="14">
        <v>35.4</v>
      </c>
      <c r="I35" s="12" t="s">
        <v>59</v>
      </c>
      <c r="J35" s="14">
        <v>3068.87</v>
      </c>
      <c r="K35" s="12" t="s">
        <v>580</v>
      </c>
    </row>
    <row r="36" spans="1:11" x14ac:dyDescent="0.35">
      <c r="A36" s="12" t="s">
        <v>511</v>
      </c>
      <c r="B36" s="12" t="s">
        <v>487</v>
      </c>
      <c r="C36" s="12" t="s">
        <v>515</v>
      </c>
      <c r="D36" s="13">
        <v>45736</v>
      </c>
      <c r="E36" s="13">
        <v>45737</v>
      </c>
      <c r="F36" s="12">
        <v>246779414590</v>
      </c>
      <c r="G36" s="12" t="s">
        <v>11</v>
      </c>
      <c r="H36" s="14">
        <v>300.49</v>
      </c>
      <c r="I36" s="12" t="s">
        <v>59</v>
      </c>
      <c r="J36" s="14">
        <v>26049.86</v>
      </c>
      <c r="K36" s="12" t="s">
        <v>597</v>
      </c>
    </row>
    <row r="37" spans="1:11" x14ac:dyDescent="0.35">
      <c r="A37" s="12" t="s">
        <v>511</v>
      </c>
      <c r="B37" s="12" t="s">
        <v>487</v>
      </c>
      <c r="C37" s="12" t="s">
        <v>515</v>
      </c>
      <c r="D37" s="13">
        <v>45736</v>
      </c>
      <c r="E37" s="13">
        <v>45737</v>
      </c>
      <c r="F37" s="12">
        <v>246779414726</v>
      </c>
      <c r="G37" s="12" t="s">
        <v>11</v>
      </c>
      <c r="H37" s="14">
        <v>165.4</v>
      </c>
      <c r="I37" s="12" t="s">
        <v>59</v>
      </c>
      <c r="J37" s="14">
        <v>14338.73</v>
      </c>
      <c r="K37" s="12" t="s">
        <v>580</v>
      </c>
    </row>
    <row r="38" spans="1:11" x14ac:dyDescent="0.35">
      <c r="A38" s="12" t="s">
        <v>511</v>
      </c>
      <c r="B38" s="12" t="s">
        <v>487</v>
      </c>
      <c r="C38" s="12" t="s">
        <v>515</v>
      </c>
      <c r="D38" s="13">
        <v>45889</v>
      </c>
      <c r="E38" s="13">
        <v>45890</v>
      </c>
      <c r="F38" s="12">
        <v>256779416593</v>
      </c>
      <c r="G38" s="12" t="s">
        <v>11</v>
      </c>
      <c r="H38" s="14">
        <v>810</v>
      </c>
      <c r="I38" s="12" t="s">
        <v>59</v>
      </c>
      <c r="J38" s="14">
        <v>69684.399999999994</v>
      </c>
      <c r="K38" s="12" t="s">
        <v>618</v>
      </c>
    </row>
    <row r="39" spans="1:11" x14ac:dyDescent="0.35">
      <c r="A39" s="12" t="s">
        <v>511</v>
      </c>
      <c r="B39" s="12" t="s">
        <v>487</v>
      </c>
      <c r="C39" s="12" t="s">
        <v>515</v>
      </c>
      <c r="D39" s="13">
        <v>45889</v>
      </c>
      <c r="E39" s="13">
        <v>45891</v>
      </c>
      <c r="F39" s="12">
        <v>256779416600</v>
      </c>
      <c r="G39" s="12" t="s">
        <v>11</v>
      </c>
      <c r="H39" s="14">
        <v>737.41</v>
      </c>
      <c r="I39" s="12" t="s">
        <v>59</v>
      </c>
      <c r="J39" s="14">
        <v>63439.47</v>
      </c>
      <c r="K39" s="12" t="s">
        <v>619</v>
      </c>
    </row>
    <row r="40" spans="1:11" x14ac:dyDescent="0.35">
      <c r="A40" s="12" t="s">
        <v>511</v>
      </c>
      <c r="B40" s="12" t="s">
        <v>487</v>
      </c>
      <c r="C40" s="12" t="s">
        <v>515</v>
      </c>
      <c r="D40" s="13">
        <v>45889</v>
      </c>
      <c r="E40" s="13">
        <v>45891</v>
      </c>
      <c r="F40" s="12">
        <v>256779416801</v>
      </c>
      <c r="G40" s="12" t="s">
        <v>11</v>
      </c>
      <c r="H40" s="14">
        <v>110</v>
      </c>
      <c r="I40" s="12" t="s">
        <v>59</v>
      </c>
      <c r="J40" s="14">
        <v>9463.31</v>
      </c>
      <c r="K40" s="12" t="s">
        <v>620</v>
      </c>
    </row>
    <row r="41" spans="1:11" x14ac:dyDescent="0.35">
      <c r="A41" s="12" t="s">
        <v>511</v>
      </c>
      <c r="B41" s="12" t="s">
        <v>487</v>
      </c>
      <c r="C41" s="12" t="s">
        <v>515</v>
      </c>
      <c r="D41" s="13">
        <v>45889</v>
      </c>
      <c r="E41" s="13">
        <v>45891</v>
      </c>
      <c r="F41" s="12">
        <v>256779416807</v>
      </c>
      <c r="G41" s="12" t="s">
        <v>11</v>
      </c>
      <c r="H41" s="14">
        <v>248.96</v>
      </c>
      <c r="I41" s="12" t="s">
        <v>59</v>
      </c>
      <c r="J41" s="14">
        <v>21418.06</v>
      </c>
      <c r="K41" s="12" t="s">
        <v>621</v>
      </c>
    </row>
    <row r="42" spans="1:11" x14ac:dyDescent="0.35">
      <c r="A42" s="12" t="s">
        <v>511</v>
      </c>
      <c r="B42" s="12" t="s">
        <v>487</v>
      </c>
      <c r="C42" s="12" t="s">
        <v>515</v>
      </c>
      <c r="D42" s="13">
        <v>45889</v>
      </c>
      <c r="E42" s="13">
        <v>45891</v>
      </c>
      <c r="F42" s="12">
        <v>256779416814</v>
      </c>
      <c r="G42" s="12" t="s">
        <v>11</v>
      </c>
      <c r="H42" s="14">
        <v>230</v>
      </c>
      <c r="I42" s="12" t="s">
        <v>59</v>
      </c>
      <c r="J42" s="14">
        <v>19786.93</v>
      </c>
      <c r="K42" s="12" t="s">
        <v>622</v>
      </c>
    </row>
    <row r="43" spans="1:11" x14ac:dyDescent="0.35">
      <c r="A43" s="12" t="s">
        <v>511</v>
      </c>
      <c r="B43" s="12" t="s">
        <v>487</v>
      </c>
      <c r="C43" s="12" t="s">
        <v>515</v>
      </c>
      <c r="D43" s="13">
        <v>45797</v>
      </c>
      <c r="E43" s="13">
        <v>45805</v>
      </c>
      <c r="F43" s="12">
        <v>256779413835</v>
      </c>
      <c r="G43" s="12" t="s">
        <v>11</v>
      </c>
      <c r="H43" s="14">
        <v>206.02</v>
      </c>
      <c r="I43" s="12" t="s">
        <v>59</v>
      </c>
      <c r="J43" s="14">
        <v>17714.36</v>
      </c>
      <c r="K43" s="12" t="s">
        <v>627</v>
      </c>
    </row>
    <row r="44" spans="1:11" x14ac:dyDescent="0.35">
      <c r="A44" s="12" t="s">
        <v>511</v>
      </c>
      <c r="B44" s="12" t="s">
        <v>487</v>
      </c>
      <c r="C44" s="12" t="s">
        <v>515</v>
      </c>
      <c r="D44" s="13">
        <v>45797</v>
      </c>
      <c r="E44" s="13">
        <v>45805</v>
      </c>
      <c r="F44" s="12">
        <v>256779413480</v>
      </c>
      <c r="G44" s="12" t="s">
        <v>11</v>
      </c>
      <c r="H44" s="14">
        <v>183.84</v>
      </c>
      <c r="I44" s="12" t="s">
        <v>59</v>
      </c>
      <c r="J44" s="14">
        <v>15807.24</v>
      </c>
      <c r="K44" s="12" t="s">
        <v>628</v>
      </c>
    </row>
    <row r="45" spans="1:11" x14ac:dyDescent="0.35">
      <c r="A45" s="12" t="s">
        <v>511</v>
      </c>
      <c r="B45" s="12" t="s">
        <v>487</v>
      </c>
      <c r="C45" s="12" t="s">
        <v>515</v>
      </c>
      <c r="D45" s="13">
        <v>45797</v>
      </c>
      <c r="E45" s="13">
        <v>45805</v>
      </c>
      <c r="F45" s="12">
        <v>256779413879</v>
      </c>
      <c r="G45" s="12" t="s">
        <v>11</v>
      </c>
      <c r="H45" s="14">
        <v>37.17</v>
      </c>
      <c r="I45" s="12" t="s">
        <v>59</v>
      </c>
      <c r="J45" s="14">
        <v>3196.01</v>
      </c>
      <c r="K45" s="12" t="s">
        <v>629</v>
      </c>
    </row>
    <row r="46" spans="1:11" x14ac:dyDescent="0.35">
      <c r="A46" s="12" t="s">
        <v>511</v>
      </c>
      <c r="B46" s="12" t="s">
        <v>487</v>
      </c>
      <c r="C46" s="12" t="s">
        <v>515</v>
      </c>
      <c r="D46" s="13">
        <v>45750</v>
      </c>
      <c r="E46" s="13">
        <v>45752</v>
      </c>
      <c r="F46" s="12">
        <v>256779410272</v>
      </c>
      <c r="G46" s="12" t="s">
        <v>11</v>
      </c>
      <c r="H46" s="14">
        <v>2286.2399999999998</v>
      </c>
      <c r="I46" s="12" t="s">
        <v>59</v>
      </c>
      <c r="J46" s="14">
        <v>198724.14</v>
      </c>
      <c r="K46" s="12" t="s">
        <v>617</v>
      </c>
    </row>
    <row r="47" spans="1:11" x14ac:dyDescent="0.35">
      <c r="A47" s="12" t="s">
        <v>511</v>
      </c>
      <c r="B47" s="12" t="s">
        <v>487</v>
      </c>
      <c r="C47" s="12" t="s">
        <v>515</v>
      </c>
      <c r="D47" s="13">
        <v>45750</v>
      </c>
      <c r="E47" s="13">
        <v>45752</v>
      </c>
      <c r="F47" s="12">
        <v>256779410076</v>
      </c>
      <c r="G47" s="12" t="s">
        <v>11</v>
      </c>
      <c r="H47" s="14">
        <v>25.22</v>
      </c>
      <c r="I47" s="12" t="s">
        <v>59</v>
      </c>
      <c r="J47" s="14">
        <v>2192.17</v>
      </c>
      <c r="K47" s="12" t="s">
        <v>632</v>
      </c>
    </row>
    <row r="48" spans="1:11" x14ac:dyDescent="0.35">
      <c r="A48" s="12" t="s">
        <v>511</v>
      </c>
      <c r="B48" s="12" t="s">
        <v>487</v>
      </c>
      <c r="C48" s="12" t="s">
        <v>515</v>
      </c>
      <c r="D48" s="13">
        <v>45750</v>
      </c>
      <c r="E48" s="13">
        <v>45752</v>
      </c>
      <c r="F48" s="12">
        <v>256779410077</v>
      </c>
      <c r="G48" s="12" t="s">
        <v>11</v>
      </c>
      <c r="H48" s="14">
        <v>84.96</v>
      </c>
      <c r="I48" s="12" t="s">
        <v>59</v>
      </c>
      <c r="J48" s="14">
        <v>7384.88</v>
      </c>
      <c r="K48" s="12" t="s">
        <v>633</v>
      </c>
    </row>
    <row r="49" spans="1:11" x14ac:dyDescent="0.35">
      <c r="A49" s="12" t="s">
        <v>511</v>
      </c>
      <c r="B49" s="12" t="s">
        <v>487</v>
      </c>
      <c r="C49" s="12" t="s">
        <v>515</v>
      </c>
      <c r="D49" s="13">
        <v>45750</v>
      </c>
      <c r="E49" s="13">
        <v>45752</v>
      </c>
      <c r="F49" s="12">
        <v>256779410127</v>
      </c>
      <c r="G49" s="12" t="s">
        <v>11</v>
      </c>
      <c r="H49" s="14">
        <v>183.99</v>
      </c>
      <c r="I49" s="12" t="s">
        <v>59</v>
      </c>
      <c r="J49" s="14">
        <v>15992.75</v>
      </c>
      <c r="K49" s="12" t="s">
        <v>634</v>
      </c>
    </row>
    <row r="50" spans="1:11" x14ac:dyDescent="0.35">
      <c r="A50" s="12" t="s">
        <v>511</v>
      </c>
      <c r="B50" s="12" t="s">
        <v>487</v>
      </c>
      <c r="C50" s="12" t="s">
        <v>515</v>
      </c>
      <c r="D50" s="13">
        <v>45750</v>
      </c>
      <c r="E50" s="13">
        <v>45752</v>
      </c>
      <c r="F50" s="12">
        <v>256779410213</v>
      </c>
      <c r="G50" s="12" t="s">
        <v>11</v>
      </c>
      <c r="H50" s="14">
        <v>236</v>
      </c>
      <c r="I50" s="12" t="s">
        <v>59</v>
      </c>
      <c r="J50" s="14">
        <v>20513.55</v>
      </c>
      <c r="K50" s="12" t="s">
        <v>635</v>
      </c>
    </row>
    <row r="51" spans="1:11" x14ac:dyDescent="0.35">
      <c r="A51" s="12" t="s">
        <v>511</v>
      </c>
      <c r="B51" s="12" t="s">
        <v>487</v>
      </c>
      <c r="C51" s="12" t="s">
        <v>515</v>
      </c>
      <c r="D51" s="13">
        <v>45750</v>
      </c>
      <c r="E51" s="13">
        <v>45752</v>
      </c>
      <c r="F51" s="12">
        <v>256779410214</v>
      </c>
      <c r="G51" s="12" t="s">
        <v>11</v>
      </c>
      <c r="H51" s="14">
        <v>70.8</v>
      </c>
      <c r="I51" s="12" t="s">
        <v>59</v>
      </c>
      <c r="J51" s="14">
        <v>6154.06</v>
      </c>
      <c r="K51" s="12" t="s">
        <v>636</v>
      </c>
    </row>
    <row r="52" spans="1:11" x14ac:dyDescent="0.35">
      <c r="A52" s="12" t="s">
        <v>511</v>
      </c>
      <c r="B52" s="12" t="s">
        <v>487</v>
      </c>
      <c r="C52" s="12" t="s">
        <v>515</v>
      </c>
      <c r="D52" s="13">
        <v>45750</v>
      </c>
      <c r="E52" s="13">
        <v>45752</v>
      </c>
      <c r="F52" s="12">
        <v>256779410231</v>
      </c>
      <c r="G52" s="12" t="s">
        <v>11</v>
      </c>
      <c r="H52" s="14">
        <v>2333.1799999999998</v>
      </c>
      <c r="I52" s="12" t="s">
        <v>59</v>
      </c>
      <c r="J52" s="14">
        <v>202804.25</v>
      </c>
      <c r="K52" s="12" t="s">
        <v>609</v>
      </c>
    </row>
    <row r="53" spans="1:11" x14ac:dyDescent="0.35">
      <c r="A53" s="12" t="s">
        <v>511</v>
      </c>
      <c r="B53" s="12" t="s">
        <v>487</v>
      </c>
      <c r="C53" s="12" t="s">
        <v>515</v>
      </c>
      <c r="D53" s="13">
        <v>45950</v>
      </c>
      <c r="E53" s="13">
        <v>45951</v>
      </c>
      <c r="F53" s="12">
        <v>256779418692</v>
      </c>
      <c r="G53" s="12" t="s">
        <v>11</v>
      </c>
      <c r="H53" s="14">
        <v>531.26</v>
      </c>
      <c r="I53" s="12" t="s">
        <v>59</v>
      </c>
      <c r="J53" s="14">
        <v>46852.23</v>
      </c>
      <c r="K53" s="12" t="s">
        <v>638</v>
      </c>
    </row>
    <row r="54" spans="1:11" x14ac:dyDescent="0.35">
      <c r="A54" s="12" t="s">
        <v>511</v>
      </c>
      <c r="B54" s="12" t="s">
        <v>487</v>
      </c>
      <c r="C54" s="12" t="s">
        <v>515</v>
      </c>
      <c r="D54" s="13">
        <v>45826</v>
      </c>
      <c r="E54" s="13">
        <v>45827</v>
      </c>
      <c r="F54" s="12">
        <v>256779414430</v>
      </c>
      <c r="G54" s="12" t="s">
        <v>11</v>
      </c>
      <c r="H54" s="14">
        <v>95.24</v>
      </c>
      <c r="I54" s="12" t="s">
        <v>59</v>
      </c>
      <c r="J54" s="14">
        <v>8142.14</v>
      </c>
      <c r="K54" s="12" t="s">
        <v>604</v>
      </c>
    </row>
    <row r="55" spans="1:11" x14ac:dyDescent="0.35">
      <c r="A55" s="12" t="s">
        <v>511</v>
      </c>
      <c r="B55" s="12" t="s">
        <v>487</v>
      </c>
      <c r="C55" s="12" t="s">
        <v>515</v>
      </c>
      <c r="D55" s="13">
        <v>45826</v>
      </c>
      <c r="E55" s="13">
        <v>45827</v>
      </c>
      <c r="F55" s="12">
        <v>256779414445</v>
      </c>
      <c r="G55" s="12" t="s">
        <v>11</v>
      </c>
      <c r="H55" s="14">
        <v>2333.1799999999998</v>
      </c>
      <c r="I55" s="12" t="s">
        <v>59</v>
      </c>
      <c r="J55" s="14">
        <v>199465.38</v>
      </c>
      <c r="K55" s="12" t="s">
        <v>609</v>
      </c>
    </row>
    <row r="56" spans="1:11" x14ac:dyDescent="0.35">
      <c r="A56" s="12" t="s">
        <v>511</v>
      </c>
      <c r="B56" s="12" t="s">
        <v>487</v>
      </c>
      <c r="C56" s="12" t="s">
        <v>515</v>
      </c>
      <c r="D56" s="13">
        <v>45951</v>
      </c>
      <c r="E56" s="13">
        <v>45951</v>
      </c>
      <c r="F56" s="12">
        <v>256779418489</v>
      </c>
      <c r="G56" s="12" t="s">
        <v>11</v>
      </c>
      <c r="H56" s="14">
        <v>562.38</v>
      </c>
      <c r="I56" s="12" t="s">
        <v>59</v>
      </c>
      <c r="J56" s="14">
        <v>49596.73</v>
      </c>
      <c r="K56" s="12" t="s">
        <v>658</v>
      </c>
    </row>
    <row r="57" spans="1:11" x14ac:dyDescent="0.35">
      <c r="A57" s="12" t="s">
        <v>511</v>
      </c>
      <c r="B57" s="12" t="s">
        <v>487</v>
      </c>
      <c r="C57" s="12" t="s">
        <v>515</v>
      </c>
      <c r="D57" s="13">
        <v>45951</v>
      </c>
      <c r="E57" s="13">
        <v>45951</v>
      </c>
      <c r="F57" s="12">
        <v>256779418495</v>
      </c>
      <c r="G57" s="12" t="s">
        <v>11</v>
      </c>
      <c r="H57" s="14">
        <v>13.59</v>
      </c>
      <c r="I57" s="12" t="s">
        <v>59</v>
      </c>
      <c r="J57" s="14">
        <v>1198.51</v>
      </c>
      <c r="K57" s="12" t="s">
        <v>659</v>
      </c>
    </row>
    <row r="58" spans="1:11" x14ac:dyDescent="0.35">
      <c r="A58" s="12" t="s">
        <v>511</v>
      </c>
      <c r="B58" s="12" t="s">
        <v>487</v>
      </c>
      <c r="C58" s="12" t="s">
        <v>515</v>
      </c>
      <c r="D58" s="13">
        <v>45735</v>
      </c>
      <c r="E58" s="13">
        <v>45736</v>
      </c>
      <c r="F58" s="12">
        <v>246779413317</v>
      </c>
      <c r="G58" s="12" t="s">
        <v>11</v>
      </c>
      <c r="H58" s="14">
        <v>20.100000000000001</v>
      </c>
      <c r="I58" s="12" t="s">
        <v>59</v>
      </c>
      <c r="J58" s="14">
        <v>1742.49</v>
      </c>
      <c r="K58" s="12" t="s">
        <v>662</v>
      </c>
    </row>
    <row r="59" spans="1:11" x14ac:dyDescent="0.35">
      <c r="A59" s="12" t="s">
        <v>511</v>
      </c>
      <c r="B59" s="12" t="s">
        <v>487</v>
      </c>
      <c r="C59" s="12" t="s">
        <v>515</v>
      </c>
      <c r="D59" s="13">
        <v>45981</v>
      </c>
      <c r="E59" s="13">
        <v>45985</v>
      </c>
      <c r="F59" s="12">
        <v>256779419581</v>
      </c>
      <c r="G59" s="12" t="s">
        <v>11</v>
      </c>
      <c r="H59" s="14">
        <v>156.19999999999999</v>
      </c>
      <c r="I59" s="12" t="s">
        <v>59</v>
      </c>
      <c r="J59" s="14">
        <v>13746.13</v>
      </c>
      <c r="K59" s="12" t="s">
        <v>667</v>
      </c>
    </row>
    <row r="60" spans="1:11" x14ac:dyDescent="0.35">
      <c r="A60" s="12" t="s">
        <v>511</v>
      </c>
      <c r="B60" s="12" t="s">
        <v>487</v>
      </c>
      <c r="C60" s="12" t="s">
        <v>515</v>
      </c>
      <c r="D60" s="13">
        <v>45769</v>
      </c>
      <c r="E60" s="13">
        <v>45770</v>
      </c>
      <c r="F60" s="12">
        <v>256779412609</v>
      </c>
      <c r="G60" s="12" t="s">
        <v>11</v>
      </c>
      <c r="H60" s="14">
        <v>700.06</v>
      </c>
      <c r="I60" s="12" t="s">
        <v>59</v>
      </c>
      <c r="J60" s="14">
        <v>60850.49</v>
      </c>
      <c r="K60" s="12" t="s">
        <v>668</v>
      </c>
    </row>
    <row r="61" spans="1:11" x14ac:dyDescent="0.35">
      <c r="A61" s="12" t="s">
        <v>511</v>
      </c>
      <c r="B61" s="12" t="s">
        <v>487</v>
      </c>
      <c r="C61" s="12" t="s">
        <v>515</v>
      </c>
      <c r="D61" s="13">
        <v>45769</v>
      </c>
      <c r="E61" s="13">
        <v>45770</v>
      </c>
      <c r="F61" s="12">
        <v>256779412649</v>
      </c>
      <c r="G61" s="12" t="s">
        <v>11</v>
      </c>
      <c r="H61" s="14">
        <v>79.650000000000006</v>
      </c>
      <c r="I61" s="12" t="s">
        <v>59</v>
      </c>
      <c r="J61" s="14">
        <v>6923.32</v>
      </c>
      <c r="K61" s="12" t="s">
        <v>669</v>
      </c>
    </row>
    <row r="62" spans="1:11" x14ac:dyDescent="0.35">
      <c r="A62" s="12" t="s">
        <v>511</v>
      </c>
      <c r="B62" s="12" t="s">
        <v>487</v>
      </c>
      <c r="C62" s="12" t="s">
        <v>515</v>
      </c>
      <c r="D62" s="13">
        <v>45770</v>
      </c>
      <c r="E62" s="13">
        <v>45776</v>
      </c>
      <c r="F62" s="12">
        <v>256779412884</v>
      </c>
      <c r="G62" s="12" t="s">
        <v>11</v>
      </c>
      <c r="H62" s="14">
        <v>136.08000000000001</v>
      </c>
      <c r="I62" s="12" t="s">
        <v>59</v>
      </c>
      <c r="J62" s="14">
        <v>11828.32</v>
      </c>
      <c r="K62" s="12" t="s">
        <v>680</v>
      </c>
    </row>
    <row r="63" spans="1:11" x14ac:dyDescent="0.35">
      <c r="A63" s="12" t="s">
        <v>511</v>
      </c>
      <c r="B63" s="12" t="s">
        <v>487</v>
      </c>
      <c r="C63" s="12" t="s">
        <v>515</v>
      </c>
      <c r="D63" s="13">
        <v>45770</v>
      </c>
      <c r="E63" s="13">
        <v>45776</v>
      </c>
      <c r="F63" s="12">
        <v>256779412918</v>
      </c>
      <c r="G63" s="12" t="s">
        <v>11</v>
      </c>
      <c r="H63" s="14">
        <v>183.35</v>
      </c>
      <c r="I63" s="12" t="s">
        <v>59</v>
      </c>
      <c r="J63" s="14">
        <v>15937.12</v>
      </c>
      <c r="K63" s="12" t="s">
        <v>681</v>
      </c>
    </row>
    <row r="64" spans="1:11" x14ac:dyDescent="0.35">
      <c r="A64" s="12" t="s">
        <v>511</v>
      </c>
      <c r="B64" s="12" t="s">
        <v>487</v>
      </c>
      <c r="C64" s="12" t="s">
        <v>515</v>
      </c>
      <c r="D64" s="13">
        <v>45770</v>
      </c>
      <c r="E64" s="13">
        <v>45776</v>
      </c>
      <c r="F64" s="12">
        <v>256779412948</v>
      </c>
      <c r="G64" s="12" t="s">
        <v>11</v>
      </c>
      <c r="H64" s="14">
        <v>3.1</v>
      </c>
      <c r="I64" s="12" t="s">
        <v>59</v>
      </c>
      <c r="J64" s="14">
        <v>269.45999999999998</v>
      </c>
      <c r="K64" s="12" t="s">
        <v>681</v>
      </c>
    </row>
    <row r="65" spans="1:11" x14ac:dyDescent="0.35">
      <c r="A65" s="12" t="s">
        <v>511</v>
      </c>
      <c r="B65" s="12" t="s">
        <v>487</v>
      </c>
      <c r="C65" s="12" t="s">
        <v>515</v>
      </c>
      <c r="D65" s="13">
        <v>45737</v>
      </c>
      <c r="E65" s="13">
        <v>45737</v>
      </c>
      <c r="F65" s="12">
        <v>246779414296</v>
      </c>
      <c r="G65" s="12" t="s">
        <v>11</v>
      </c>
      <c r="H65" s="14">
        <v>553.87</v>
      </c>
      <c r="I65" s="12" t="s">
        <v>59</v>
      </c>
      <c r="J65" s="14">
        <v>48015.69</v>
      </c>
      <c r="K65" s="12" t="s">
        <v>682</v>
      </c>
    </row>
    <row r="66" spans="1:11" x14ac:dyDescent="0.35">
      <c r="A66" s="12" t="s">
        <v>511</v>
      </c>
      <c r="B66" s="12" t="s">
        <v>487</v>
      </c>
      <c r="C66" s="12" t="s">
        <v>515</v>
      </c>
      <c r="D66" s="13">
        <v>45737</v>
      </c>
      <c r="E66" s="13">
        <v>45737</v>
      </c>
      <c r="F66" s="12">
        <v>246779414297</v>
      </c>
      <c r="G66" s="12" t="s">
        <v>11</v>
      </c>
      <c r="H66" s="14">
        <v>424.8</v>
      </c>
      <c r="I66" s="12" t="s">
        <v>59</v>
      </c>
      <c r="J66" s="14">
        <v>36826.449999999997</v>
      </c>
      <c r="K66" s="12" t="s">
        <v>683</v>
      </c>
    </row>
    <row r="67" spans="1:11" x14ac:dyDescent="0.35">
      <c r="A67" s="12" t="s">
        <v>511</v>
      </c>
      <c r="B67" s="12" t="s">
        <v>487</v>
      </c>
      <c r="C67" s="12" t="s">
        <v>515</v>
      </c>
      <c r="D67" s="13">
        <v>45737</v>
      </c>
      <c r="E67" s="13">
        <v>45737</v>
      </c>
      <c r="F67" s="12">
        <v>246779414298</v>
      </c>
      <c r="G67" s="12" t="s">
        <v>11</v>
      </c>
      <c r="H67" s="14">
        <v>70.8</v>
      </c>
      <c r="I67" s="12" t="s">
        <v>59</v>
      </c>
      <c r="J67" s="14">
        <v>6137.74</v>
      </c>
      <c r="K67" s="12" t="s">
        <v>684</v>
      </c>
    </row>
    <row r="68" spans="1:11" x14ac:dyDescent="0.35">
      <c r="A68" s="12" t="s">
        <v>511</v>
      </c>
      <c r="B68" s="12" t="s">
        <v>487</v>
      </c>
      <c r="C68" s="12" t="s">
        <v>515</v>
      </c>
      <c r="D68" s="13">
        <v>45937</v>
      </c>
      <c r="E68" s="13">
        <v>45939</v>
      </c>
      <c r="F68" s="12">
        <v>256779418185</v>
      </c>
      <c r="G68" s="12" t="s">
        <v>11</v>
      </c>
      <c r="H68" s="14">
        <v>405.44</v>
      </c>
      <c r="I68" s="12" t="s">
        <v>59</v>
      </c>
      <c r="J68" s="14">
        <v>35756.07</v>
      </c>
      <c r="K68" s="12" t="s">
        <v>688</v>
      </c>
    </row>
    <row r="69" spans="1:11" x14ac:dyDescent="0.35">
      <c r="A69" s="12" t="s">
        <v>511</v>
      </c>
      <c r="B69" s="12" t="s">
        <v>487</v>
      </c>
      <c r="C69" s="12" t="s">
        <v>515</v>
      </c>
      <c r="D69" s="13">
        <v>45787</v>
      </c>
      <c r="E69" s="13">
        <v>45792</v>
      </c>
      <c r="F69" s="12">
        <v>256779413161</v>
      </c>
      <c r="G69" s="12" t="s">
        <v>11</v>
      </c>
      <c r="H69" s="14">
        <v>707.71</v>
      </c>
      <c r="I69" s="12" t="s">
        <v>59</v>
      </c>
      <c r="J69" s="14">
        <v>60851.519999999997</v>
      </c>
      <c r="K69" s="12" t="s">
        <v>692</v>
      </c>
    </row>
    <row r="70" spans="1:11" x14ac:dyDescent="0.35">
      <c r="A70" s="12" t="s">
        <v>511</v>
      </c>
      <c r="B70" s="12" t="s">
        <v>487</v>
      </c>
      <c r="C70" s="12" t="s">
        <v>515</v>
      </c>
      <c r="D70" s="13">
        <v>45787</v>
      </c>
      <c r="E70" s="13">
        <v>45792</v>
      </c>
      <c r="F70" s="12">
        <v>256779413169</v>
      </c>
      <c r="G70" s="12" t="s">
        <v>11</v>
      </c>
      <c r="H70" s="14">
        <v>3.78</v>
      </c>
      <c r="I70" s="12" t="s">
        <v>59</v>
      </c>
      <c r="J70" s="14">
        <v>325.02</v>
      </c>
      <c r="K70" s="12" t="s">
        <v>693</v>
      </c>
    </row>
    <row r="71" spans="1:11" x14ac:dyDescent="0.35">
      <c r="A71" s="12" t="s">
        <v>511</v>
      </c>
      <c r="B71" s="12" t="s">
        <v>487</v>
      </c>
      <c r="C71" s="12" t="s">
        <v>515</v>
      </c>
      <c r="D71" s="13">
        <v>45815</v>
      </c>
      <c r="E71" s="13">
        <v>45817</v>
      </c>
      <c r="F71" s="12">
        <v>256779414253</v>
      </c>
      <c r="G71" s="12" t="s">
        <v>11</v>
      </c>
      <c r="H71" s="14">
        <v>9947.26</v>
      </c>
      <c r="I71" s="12" t="s">
        <v>59</v>
      </c>
      <c r="J71" s="14">
        <v>850399.02</v>
      </c>
      <c r="K71" s="12" t="s">
        <v>697</v>
      </c>
    </row>
    <row r="72" spans="1:11" x14ac:dyDescent="0.35">
      <c r="A72" s="12" t="s">
        <v>511</v>
      </c>
      <c r="B72" s="12" t="s">
        <v>487</v>
      </c>
      <c r="C72" s="12" t="s">
        <v>515</v>
      </c>
      <c r="D72" s="13">
        <v>45935</v>
      </c>
      <c r="E72" s="13">
        <v>45940</v>
      </c>
      <c r="F72" s="12">
        <v>256779418357</v>
      </c>
      <c r="G72" s="12" t="s">
        <v>11</v>
      </c>
      <c r="H72" s="14">
        <v>394.19</v>
      </c>
      <c r="I72" s="12" t="s">
        <v>59</v>
      </c>
      <c r="J72" s="14">
        <v>34763.919999999998</v>
      </c>
      <c r="K72" s="12" t="s">
        <v>702</v>
      </c>
    </row>
    <row r="73" spans="1:11" x14ac:dyDescent="0.35">
      <c r="A73" s="12" t="s">
        <v>511</v>
      </c>
      <c r="B73" s="12" t="s">
        <v>487</v>
      </c>
      <c r="C73" s="12" t="s">
        <v>515</v>
      </c>
      <c r="D73" s="13">
        <v>45935</v>
      </c>
      <c r="E73" s="13">
        <v>45937</v>
      </c>
      <c r="F73" s="12">
        <v>256779418068</v>
      </c>
      <c r="G73" s="12" t="s">
        <v>11</v>
      </c>
      <c r="H73" s="14">
        <v>94.81</v>
      </c>
      <c r="I73" s="12" t="s">
        <v>59</v>
      </c>
      <c r="J73" s="14">
        <v>8361.3700000000008</v>
      </c>
      <c r="K73" s="12" t="s">
        <v>701</v>
      </c>
    </row>
    <row r="74" spans="1:11" x14ac:dyDescent="0.35">
      <c r="A74" s="12" t="s">
        <v>511</v>
      </c>
      <c r="B74" s="12" t="s">
        <v>487</v>
      </c>
      <c r="C74" s="12" t="s">
        <v>515</v>
      </c>
      <c r="D74" s="13">
        <v>45906</v>
      </c>
      <c r="E74" s="13">
        <v>45909</v>
      </c>
      <c r="F74" s="12">
        <v>256779417093</v>
      </c>
      <c r="G74" s="12" t="s">
        <v>11</v>
      </c>
      <c r="H74" s="14">
        <v>4608.8</v>
      </c>
      <c r="I74" s="12" t="s">
        <v>59</v>
      </c>
      <c r="J74" s="14">
        <v>403336.04</v>
      </c>
      <c r="K74" s="12" t="s">
        <v>704</v>
      </c>
    </row>
    <row r="75" spans="1:11" x14ac:dyDescent="0.35">
      <c r="A75" s="12" t="s">
        <v>511</v>
      </c>
      <c r="B75" s="12" t="s">
        <v>487</v>
      </c>
      <c r="C75" s="12" t="s">
        <v>515</v>
      </c>
      <c r="D75" s="13">
        <v>45795</v>
      </c>
      <c r="E75" s="13">
        <v>45805</v>
      </c>
      <c r="F75" s="12">
        <v>256779413859</v>
      </c>
      <c r="G75" s="12" t="s">
        <v>11</v>
      </c>
      <c r="H75" s="14">
        <v>413</v>
      </c>
      <c r="I75" s="12" t="s">
        <v>59</v>
      </c>
      <c r="J75" s="14">
        <v>35511.269999999997</v>
      </c>
      <c r="K75" s="12" t="s">
        <v>705</v>
      </c>
    </row>
    <row r="76" spans="1:11" x14ac:dyDescent="0.35">
      <c r="A76" s="12" t="s">
        <v>511</v>
      </c>
      <c r="B76" s="12" t="s">
        <v>493</v>
      </c>
      <c r="C76" s="12" t="s">
        <v>515</v>
      </c>
      <c r="D76" s="13">
        <v>46024</v>
      </c>
      <c r="E76" s="13">
        <v>46024</v>
      </c>
      <c r="F76" s="12">
        <v>256779440007</v>
      </c>
      <c r="G76" s="12" t="s">
        <v>11</v>
      </c>
      <c r="H76" s="14">
        <v>1332.49</v>
      </c>
      <c r="I76" s="12" t="s">
        <v>59</v>
      </c>
      <c r="J76" s="14">
        <v>120914.33</v>
      </c>
      <c r="K76" s="12" t="s">
        <v>706</v>
      </c>
    </row>
    <row r="77" spans="1:11" x14ac:dyDescent="0.35">
      <c r="A77" s="12" t="s">
        <v>511</v>
      </c>
      <c r="B77" s="12" t="s">
        <v>493</v>
      </c>
      <c r="C77" s="12" t="s">
        <v>515</v>
      </c>
      <c r="D77" s="13">
        <v>46027</v>
      </c>
      <c r="E77" s="13">
        <v>46027</v>
      </c>
      <c r="F77" s="12">
        <v>256779440060</v>
      </c>
      <c r="G77" s="12" t="s">
        <v>11</v>
      </c>
      <c r="H77" s="14">
        <v>198.57</v>
      </c>
      <c r="I77" s="12" t="s">
        <v>59</v>
      </c>
      <c r="J77" s="14">
        <v>18018.87</v>
      </c>
      <c r="K77" s="12" t="s">
        <v>709</v>
      </c>
    </row>
    <row r="78" spans="1:11" x14ac:dyDescent="0.35">
      <c r="A78" s="12" t="s">
        <v>511</v>
      </c>
      <c r="B78" s="12" t="s">
        <v>493</v>
      </c>
      <c r="C78" s="12" t="s">
        <v>515</v>
      </c>
      <c r="D78" s="13">
        <v>46027</v>
      </c>
      <c r="E78" s="13">
        <v>46027</v>
      </c>
      <c r="F78" s="12">
        <v>256779440067</v>
      </c>
      <c r="G78" s="12" t="s">
        <v>11</v>
      </c>
      <c r="H78" s="14">
        <v>100.07</v>
      </c>
      <c r="I78" s="12" t="s">
        <v>59</v>
      </c>
      <c r="J78" s="14">
        <v>9080.67</v>
      </c>
      <c r="K78" s="12" t="s">
        <v>710</v>
      </c>
    </row>
    <row r="79" spans="1:11" x14ac:dyDescent="0.35">
      <c r="A79" s="12" t="s">
        <v>511</v>
      </c>
      <c r="B79" s="12" t="s">
        <v>493</v>
      </c>
      <c r="C79" s="12" t="s">
        <v>515</v>
      </c>
      <c r="D79" s="13">
        <v>46027</v>
      </c>
      <c r="E79" s="13">
        <v>46027</v>
      </c>
      <c r="F79" s="12">
        <v>256779440078</v>
      </c>
      <c r="G79" s="12" t="s">
        <v>11</v>
      </c>
      <c r="H79" s="14">
        <v>78.75</v>
      </c>
      <c r="I79" s="12" t="s">
        <v>59</v>
      </c>
      <c r="J79" s="14">
        <v>7146.02</v>
      </c>
      <c r="K79" s="12" t="s">
        <v>711</v>
      </c>
    </row>
    <row r="80" spans="1:11" x14ac:dyDescent="0.35">
      <c r="A80" s="12" t="s">
        <v>511</v>
      </c>
      <c r="B80" s="12" t="s">
        <v>493</v>
      </c>
      <c r="C80" s="12" t="s">
        <v>515</v>
      </c>
      <c r="D80" s="13">
        <v>46027</v>
      </c>
      <c r="E80" s="13">
        <v>46027</v>
      </c>
      <c r="F80" s="12">
        <v>256779440116</v>
      </c>
      <c r="G80" s="12" t="s">
        <v>11</v>
      </c>
      <c r="H80" s="14">
        <v>498.28</v>
      </c>
      <c r="I80" s="12" t="s">
        <v>59</v>
      </c>
      <c r="J80" s="14">
        <v>45215.49</v>
      </c>
      <c r="K80" s="12" t="s">
        <v>712</v>
      </c>
    </row>
    <row r="81" spans="1:11" x14ac:dyDescent="0.35">
      <c r="A81" s="12" t="s">
        <v>511</v>
      </c>
      <c r="B81" s="12" t="s">
        <v>493</v>
      </c>
      <c r="C81" s="12" t="s">
        <v>515</v>
      </c>
      <c r="D81" s="13">
        <v>46031</v>
      </c>
      <c r="E81" s="13">
        <v>46031</v>
      </c>
      <c r="F81" s="12">
        <v>256779440126</v>
      </c>
      <c r="G81" s="12" t="s">
        <v>11</v>
      </c>
      <c r="H81" s="14">
        <v>122.48</v>
      </c>
      <c r="I81" s="12" t="s">
        <v>59</v>
      </c>
      <c r="J81" s="14">
        <v>11114.22</v>
      </c>
      <c r="K81" s="12" t="s">
        <v>666</v>
      </c>
    </row>
    <row r="82" spans="1:11" x14ac:dyDescent="0.35">
      <c r="A82" s="12" t="s">
        <v>511</v>
      </c>
      <c r="B82" s="12" t="s">
        <v>493</v>
      </c>
      <c r="C82" s="12" t="s">
        <v>515</v>
      </c>
      <c r="D82" s="13">
        <v>46031</v>
      </c>
      <c r="E82" s="13">
        <v>46031</v>
      </c>
      <c r="F82" s="12">
        <v>256779440136</v>
      </c>
      <c r="G82" s="12" t="s">
        <v>11</v>
      </c>
      <c r="H82" s="14">
        <v>27.81</v>
      </c>
      <c r="I82" s="12" t="s">
        <v>59</v>
      </c>
      <c r="J82" s="14">
        <v>2523.5700000000002</v>
      </c>
      <c r="K82" s="12" t="s">
        <v>714</v>
      </c>
    </row>
    <row r="83" spans="1:11" x14ac:dyDescent="0.35">
      <c r="A83" s="12" t="s">
        <v>511</v>
      </c>
      <c r="B83" s="12" t="s">
        <v>493</v>
      </c>
      <c r="C83" s="12" t="s">
        <v>515</v>
      </c>
      <c r="D83" s="13">
        <v>46028</v>
      </c>
      <c r="E83" s="13">
        <v>46031</v>
      </c>
      <c r="F83" s="12">
        <v>256779440150</v>
      </c>
      <c r="G83" s="12" t="s">
        <v>11</v>
      </c>
      <c r="H83" s="14">
        <v>112.85</v>
      </c>
      <c r="I83" s="12" t="s">
        <v>59</v>
      </c>
      <c r="J83" s="14">
        <v>10240.36</v>
      </c>
      <c r="K83" s="12" t="s">
        <v>715</v>
      </c>
    </row>
    <row r="84" spans="1:11" x14ac:dyDescent="0.35">
      <c r="A84" s="12" t="s">
        <v>511</v>
      </c>
      <c r="B84" s="12" t="s">
        <v>493</v>
      </c>
      <c r="C84" s="12" t="s">
        <v>515</v>
      </c>
      <c r="D84" s="13">
        <v>46028</v>
      </c>
      <c r="E84" s="13">
        <v>46031</v>
      </c>
      <c r="F84" s="12">
        <v>256779440159</v>
      </c>
      <c r="G84" s="12" t="s">
        <v>11</v>
      </c>
      <c r="H84" s="14">
        <v>160.22</v>
      </c>
      <c r="I84" s="12" t="s">
        <v>59</v>
      </c>
      <c r="J84" s="14">
        <v>14538.87</v>
      </c>
      <c r="K84" s="12" t="s">
        <v>716</v>
      </c>
    </row>
    <row r="85" spans="1:11" x14ac:dyDescent="0.35">
      <c r="A85" s="12" t="s">
        <v>511</v>
      </c>
      <c r="B85" s="12" t="s">
        <v>493</v>
      </c>
      <c r="C85" s="12" t="s">
        <v>515</v>
      </c>
      <c r="D85" s="13">
        <v>46028</v>
      </c>
      <c r="E85" s="13">
        <v>46034</v>
      </c>
      <c r="F85" s="12">
        <v>256779440208</v>
      </c>
      <c r="G85" s="12" t="s">
        <v>11</v>
      </c>
      <c r="H85" s="14">
        <v>650.12</v>
      </c>
      <c r="I85" s="12" t="s">
        <v>59</v>
      </c>
      <c r="J85" s="14">
        <v>58993.93</v>
      </c>
      <c r="K85" s="12" t="s">
        <v>717</v>
      </c>
    </row>
    <row r="86" spans="1:11" x14ac:dyDescent="0.35">
      <c r="A86" s="12" t="s">
        <v>511</v>
      </c>
      <c r="B86" s="12" t="s">
        <v>493</v>
      </c>
      <c r="C86" s="12" t="s">
        <v>515</v>
      </c>
      <c r="D86" s="13">
        <v>46034</v>
      </c>
      <c r="E86" s="13">
        <v>46034</v>
      </c>
      <c r="F86" s="12">
        <v>256779440227</v>
      </c>
      <c r="G86" s="12" t="s">
        <v>11</v>
      </c>
      <c r="H86" s="14">
        <v>304.07</v>
      </c>
      <c r="I86" s="12" t="s">
        <v>59</v>
      </c>
      <c r="J86" s="14">
        <v>27592.27</v>
      </c>
      <c r="K86" s="12" t="s">
        <v>718</v>
      </c>
    </row>
    <row r="87" spans="1:11" x14ac:dyDescent="0.35">
      <c r="A87" s="12" t="s">
        <v>511</v>
      </c>
      <c r="B87" s="12" t="s">
        <v>493</v>
      </c>
      <c r="C87" s="12" t="s">
        <v>515</v>
      </c>
      <c r="D87" s="13">
        <v>46028</v>
      </c>
      <c r="E87" s="13">
        <v>46034</v>
      </c>
      <c r="F87" s="12">
        <v>256779440238</v>
      </c>
      <c r="G87" s="12" t="s">
        <v>11</v>
      </c>
      <c r="H87" s="14">
        <v>1083.58</v>
      </c>
      <c r="I87" s="12" t="s">
        <v>59</v>
      </c>
      <c r="J87" s="14">
        <v>98327.45</v>
      </c>
      <c r="K87" s="12" t="s">
        <v>719</v>
      </c>
    </row>
    <row r="88" spans="1:11" x14ac:dyDescent="0.35">
      <c r="A88" s="12" t="s">
        <v>511</v>
      </c>
      <c r="B88" s="12" t="s">
        <v>493</v>
      </c>
      <c r="C88" s="12" t="s">
        <v>515</v>
      </c>
      <c r="D88" s="13">
        <v>46034</v>
      </c>
      <c r="E88" s="13">
        <v>46035</v>
      </c>
      <c r="F88" s="12">
        <v>256779440285</v>
      </c>
      <c r="G88" s="12" t="s">
        <v>11</v>
      </c>
      <c r="H88" s="14">
        <v>535.29</v>
      </c>
      <c r="I88" s="12" t="s">
        <v>59</v>
      </c>
      <c r="J88" s="14">
        <v>48573.9</v>
      </c>
      <c r="K88" s="12" t="s">
        <v>720</v>
      </c>
    </row>
    <row r="89" spans="1:11" x14ac:dyDescent="0.35">
      <c r="A89" s="12" t="s">
        <v>511</v>
      </c>
      <c r="B89" s="12" t="s">
        <v>493</v>
      </c>
      <c r="C89" s="12" t="s">
        <v>515</v>
      </c>
      <c r="D89" s="13">
        <v>46028</v>
      </c>
      <c r="E89" s="13">
        <v>46035</v>
      </c>
      <c r="F89" s="12">
        <v>256779440309</v>
      </c>
      <c r="G89" s="12" t="s">
        <v>59</v>
      </c>
      <c r="H89" s="14">
        <v>200000</v>
      </c>
      <c r="I89" s="12" t="s">
        <v>59</v>
      </c>
      <c r="J89" s="14">
        <v>200000</v>
      </c>
      <c r="K89" s="12" t="s">
        <v>721</v>
      </c>
    </row>
    <row r="90" spans="1:11" x14ac:dyDescent="0.35">
      <c r="A90" s="12" t="s">
        <v>511</v>
      </c>
      <c r="B90" s="12" t="s">
        <v>493</v>
      </c>
      <c r="C90" s="12" t="s">
        <v>515</v>
      </c>
      <c r="D90" s="13">
        <v>46028</v>
      </c>
      <c r="E90" s="13">
        <v>46035</v>
      </c>
      <c r="F90" s="12">
        <v>256779440310</v>
      </c>
      <c r="G90" s="12" t="s">
        <v>59</v>
      </c>
      <c r="H90" s="14">
        <v>8000</v>
      </c>
      <c r="I90" s="12" t="s">
        <v>59</v>
      </c>
      <c r="J90" s="14">
        <v>8000</v>
      </c>
      <c r="K90" s="12" t="s">
        <v>721</v>
      </c>
    </row>
    <row r="91" spans="1:11" x14ac:dyDescent="0.35">
      <c r="A91" s="12" t="s">
        <v>511</v>
      </c>
      <c r="B91" s="12" t="s">
        <v>493</v>
      </c>
      <c r="C91" s="12" t="s">
        <v>515</v>
      </c>
      <c r="D91" s="13">
        <v>46028</v>
      </c>
      <c r="E91" s="13">
        <v>46035</v>
      </c>
      <c r="F91" s="12">
        <v>256779440311</v>
      </c>
      <c r="G91" s="12" t="s">
        <v>59</v>
      </c>
      <c r="H91" s="14">
        <v>4400</v>
      </c>
      <c r="I91" s="12" t="s">
        <v>59</v>
      </c>
      <c r="J91" s="14">
        <v>4400</v>
      </c>
      <c r="K91" s="12" t="s">
        <v>721</v>
      </c>
    </row>
    <row r="92" spans="1:11" x14ac:dyDescent="0.35">
      <c r="A92" s="12" t="s">
        <v>511</v>
      </c>
      <c r="B92" s="12" t="s">
        <v>493</v>
      </c>
      <c r="C92" s="12" t="s">
        <v>515</v>
      </c>
      <c r="D92" s="13">
        <v>46035</v>
      </c>
      <c r="E92" s="13">
        <v>46035</v>
      </c>
      <c r="F92" s="12">
        <v>256779440363</v>
      </c>
      <c r="G92" s="12" t="s">
        <v>11</v>
      </c>
      <c r="H92" s="14">
        <v>937.45</v>
      </c>
      <c r="I92" s="12" t="s">
        <v>59</v>
      </c>
      <c r="J92" s="14">
        <v>85067.16</v>
      </c>
      <c r="K92" s="12" t="s">
        <v>722</v>
      </c>
    </row>
    <row r="93" spans="1:11" x14ac:dyDescent="0.35">
      <c r="A93" s="12" t="s">
        <v>511</v>
      </c>
      <c r="B93" s="12" t="s">
        <v>493</v>
      </c>
      <c r="C93" s="12" t="s">
        <v>515</v>
      </c>
      <c r="D93" s="13">
        <v>46043</v>
      </c>
      <c r="E93" s="13">
        <v>46045</v>
      </c>
      <c r="F93" s="12">
        <v>256779440381</v>
      </c>
      <c r="G93" s="12" t="s">
        <v>11</v>
      </c>
      <c r="H93" s="14">
        <v>6.79</v>
      </c>
      <c r="I93" s="12" t="s">
        <v>59</v>
      </c>
      <c r="J93" s="14">
        <v>616.15</v>
      </c>
      <c r="K93" s="12" t="s">
        <v>723</v>
      </c>
    </row>
    <row r="94" spans="1:11" x14ac:dyDescent="0.35">
      <c r="A94" s="12" t="s">
        <v>511</v>
      </c>
      <c r="B94" s="12" t="s">
        <v>493</v>
      </c>
      <c r="C94" s="12" t="s">
        <v>515</v>
      </c>
      <c r="D94" s="13">
        <v>46043</v>
      </c>
      <c r="E94" s="13">
        <v>46045</v>
      </c>
      <c r="F94" s="12">
        <v>256779440388</v>
      </c>
      <c r="G94" s="12" t="s">
        <v>11</v>
      </c>
      <c r="H94" s="14">
        <v>57.29</v>
      </c>
      <c r="I94" s="12" t="s">
        <v>59</v>
      </c>
      <c r="J94" s="14">
        <v>5198.67</v>
      </c>
      <c r="K94" s="12" t="s">
        <v>724</v>
      </c>
    </row>
    <row r="95" spans="1:11" x14ac:dyDescent="0.35">
      <c r="A95" s="12" t="s">
        <v>511</v>
      </c>
      <c r="B95" s="12" t="s">
        <v>493</v>
      </c>
      <c r="C95" s="12" t="s">
        <v>515</v>
      </c>
      <c r="D95" s="13">
        <v>46045</v>
      </c>
      <c r="E95" s="13">
        <v>46049</v>
      </c>
      <c r="F95" s="12">
        <v>256779440411</v>
      </c>
      <c r="G95" s="12" t="s">
        <v>11</v>
      </c>
      <c r="H95" s="14">
        <v>554.49</v>
      </c>
      <c r="I95" s="12" t="s">
        <v>59</v>
      </c>
      <c r="J95" s="14">
        <v>50316.160000000003</v>
      </c>
      <c r="K95" s="12" t="s">
        <v>725</v>
      </c>
    </row>
    <row r="96" spans="1:11" x14ac:dyDescent="0.35">
      <c r="A96" s="12" t="s">
        <v>511</v>
      </c>
      <c r="B96" s="12" t="s">
        <v>493</v>
      </c>
      <c r="C96" s="12" t="s">
        <v>515</v>
      </c>
      <c r="D96" s="13">
        <v>46045</v>
      </c>
      <c r="E96" s="13">
        <v>46049</v>
      </c>
      <c r="F96" s="12">
        <v>256779440427</v>
      </c>
      <c r="G96" s="12" t="s">
        <v>11</v>
      </c>
      <c r="H96" s="14">
        <v>44.06</v>
      </c>
      <c r="I96" s="12" t="s">
        <v>59</v>
      </c>
      <c r="J96" s="14">
        <v>3998.14</v>
      </c>
      <c r="K96" s="12" t="s">
        <v>726</v>
      </c>
    </row>
    <row r="97" spans="1:11" x14ac:dyDescent="0.35">
      <c r="A97" s="12" t="s">
        <v>511</v>
      </c>
      <c r="B97" s="12" t="s">
        <v>493</v>
      </c>
      <c r="C97" s="12" t="s">
        <v>515</v>
      </c>
      <c r="D97" s="13">
        <v>46049</v>
      </c>
      <c r="E97" s="13">
        <v>46049</v>
      </c>
      <c r="F97" s="12">
        <v>256779440443</v>
      </c>
      <c r="G97" s="12" t="s">
        <v>11</v>
      </c>
      <c r="H97" s="14">
        <v>18.41</v>
      </c>
      <c r="I97" s="12" t="s">
        <v>59</v>
      </c>
      <c r="J97" s="14">
        <v>1670.58</v>
      </c>
      <c r="K97" s="12" t="s">
        <v>727</v>
      </c>
    </row>
    <row r="98" spans="1:11" x14ac:dyDescent="0.35">
      <c r="A98" s="12" t="s">
        <v>511</v>
      </c>
      <c r="B98" s="12" t="s">
        <v>487</v>
      </c>
      <c r="C98" s="12" t="s">
        <v>515</v>
      </c>
      <c r="D98" s="13">
        <v>45762</v>
      </c>
      <c r="E98" s="13">
        <v>45763</v>
      </c>
      <c r="F98" s="12">
        <v>256779411091</v>
      </c>
      <c r="G98" s="12" t="s">
        <v>11</v>
      </c>
      <c r="H98" s="14">
        <v>54.87</v>
      </c>
      <c r="I98" s="12" t="s">
        <v>59</v>
      </c>
      <c r="J98" s="14">
        <v>4769.3999999999996</v>
      </c>
      <c r="K98" s="12" t="s">
        <v>837</v>
      </c>
    </row>
    <row r="99" spans="1:11" x14ac:dyDescent="0.35">
      <c r="A99" s="12" t="s">
        <v>511</v>
      </c>
      <c r="B99" s="12" t="s">
        <v>487</v>
      </c>
      <c r="C99" s="12" t="s">
        <v>515</v>
      </c>
      <c r="D99" s="13">
        <v>45762</v>
      </c>
      <c r="E99" s="13">
        <v>45763</v>
      </c>
      <c r="F99" s="12">
        <v>256779411092</v>
      </c>
      <c r="G99" s="12" t="s">
        <v>11</v>
      </c>
      <c r="H99" s="14">
        <v>54.87</v>
      </c>
      <c r="I99" s="12" t="s">
        <v>59</v>
      </c>
      <c r="J99" s="14">
        <v>4769.3999999999996</v>
      </c>
      <c r="K99" s="12" t="s">
        <v>837</v>
      </c>
    </row>
    <row r="100" spans="1:11" x14ac:dyDescent="0.35">
      <c r="A100" s="12" t="s">
        <v>511</v>
      </c>
      <c r="B100" s="12" t="s">
        <v>487</v>
      </c>
      <c r="C100" s="12" t="s">
        <v>515</v>
      </c>
      <c r="D100" s="13">
        <v>45762</v>
      </c>
      <c r="E100" s="13">
        <v>45763</v>
      </c>
      <c r="F100" s="12">
        <v>256779411093</v>
      </c>
      <c r="G100" s="12" t="s">
        <v>11</v>
      </c>
      <c r="H100" s="14">
        <v>57.82</v>
      </c>
      <c r="I100" s="12" t="s">
        <v>59</v>
      </c>
      <c r="J100" s="14">
        <v>5025.82</v>
      </c>
      <c r="K100" s="12" t="s">
        <v>837</v>
      </c>
    </row>
    <row r="101" spans="1:11" x14ac:dyDescent="0.35">
      <c r="A101" s="12" t="s">
        <v>511</v>
      </c>
      <c r="B101" s="12" t="s">
        <v>487</v>
      </c>
      <c r="C101" s="12" t="s">
        <v>515</v>
      </c>
      <c r="D101" s="13">
        <v>45762</v>
      </c>
      <c r="E101" s="13">
        <v>45763</v>
      </c>
      <c r="F101" s="12">
        <v>256779411094</v>
      </c>
      <c r="G101" s="12" t="s">
        <v>11</v>
      </c>
      <c r="H101" s="14">
        <v>34.22</v>
      </c>
      <c r="I101" s="12" t="s">
        <v>59</v>
      </c>
      <c r="J101" s="14">
        <v>2974.46</v>
      </c>
      <c r="K101" s="12" t="s">
        <v>837</v>
      </c>
    </row>
    <row r="102" spans="1:11" x14ac:dyDescent="0.35">
      <c r="A102" s="12" t="s">
        <v>511</v>
      </c>
      <c r="B102" s="12" t="s">
        <v>487</v>
      </c>
      <c r="C102" s="12" t="s">
        <v>515</v>
      </c>
      <c r="D102" s="13">
        <v>45762</v>
      </c>
      <c r="E102" s="13">
        <v>45763</v>
      </c>
      <c r="F102" s="12">
        <v>256779411095</v>
      </c>
      <c r="G102" s="12" t="s">
        <v>11</v>
      </c>
      <c r="H102" s="14">
        <v>48.97</v>
      </c>
      <c r="I102" s="12" t="s">
        <v>59</v>
      </c>
      <c r="J102" s="14">
        <v>4256.5600000000004</v>
      </c>
      <c r="K102" s="12" t="s">
        <v>837</v>
      </c>
    </row>
    <row r="103" spans="1:11" x14ac:dyDescent="0.35">
      <c r="A103" s="12" t="s">
        <v>511</v>
      </c>
      <c r="B103" s="12" t="s">
        <v>487</v>
      </c>
      <c r="C103" s="12" t="s">
        <v>515</v>
      </c>
      <c r="D103" s="13">
        <v>45762</v>
      </c>
      <c r="E103" s="13">
        <v>45763</v>
      </c>
      <c r="F103" s="12">
        <v>256779411096</v>
      </c>
      <c r="G103" s="12" t="s">
        <v>11</v>
      </c>
      <c r="H103" s="14">
        <v>43.07</v>
      </c>
      <c r="I103" s="12" t="s">
        <v>59</v>
      </c>
      <c r="J103" s="14">
        <v>3743.72</v>
      </c>
      <c r="K103" s="12" t="s">
        <v>837</v>
      </c>
    </row>
    <row r="104" spans="1:11" x14ac:dyDescent="0.35">
      <c r="A104" s="12" t="s">
        <v>511</v>
      </c>
      <c r="B104" s="12" t="s">
        <v>487</v>
      </c>
      <c r="C104" s="12" t="s">
        <v>515</v>
      </c>
      <c r="D104" s="13">
        <v>45762</v>
      </c>
      <c r="E104" s="13">
        <v>45763</v>
      </c>
      <c r="F104" s="12">
        <v>256779411098</v>
      </c>
      <c r="G104" s="12" t="s">
        <v>11</v>
      </c>
      <c r="H104" s="14">
        <v>60.64</v>
      </c>
      <c r="I104" s="12" t="s">
        <v>59</v>
      </c>
      <c r="J104" s="14">
        <v>5270.94</v>
      </c>
      <c r="K104" s="12" t="s">
        <v>837</v>
      </c>
    </row>
    <row r="105" spans="1:11" x14ac:dyDescent="0.35">
      <c r="A105" s="12" t="s">
        <v>511</v>
      </c>
      <c r="B105" s="12" t="s">
        <v>487</v>
      </c>
      <c r="C105" s="12" t="s">
        <v>515</v>
      </c>
      <c r="D105" s="13">
        <v>45762</v>
      </c>
      <c r="E105" s="13">
        <v>45763</v>
      </c>
      <c r="F105" s="12">
        <v>256779411099</v>
      </c>
      <c r="G105" s="12" t="s">
        <v>11</v>
      </c>
      <c r="H105" s="14">
        <v>58.81</v>
      </c>
      <c r="I105" s="12" t="s">
        <v>59</v>
      </c>
      <c r="J105" s="14">
        <v>5111.87</v>
      </c>
      <c r="K105" s="12" t="s">
        <v>837</v>
      </c>
    </row>
    <row r="106" spans="1:11" x14ac:dyDescent="0.35">
      <c r="A106" s="12" t="s">
        <v>511</v>
      </c>
      <c r="B106" s="12" t="s">
        <v>487</v>
      </c>
      <c r="C106" s="12" t="s">
        <v>515</v>
      </c>
      <c r="D106" s="13">
        <v>45762</v>
      </c>
      <c r="E106" s="13">
        <v>45763</v>
      </c>
      <c r="F106" s="12">
        <v>256779411100</v>
      </c>
      <c r="G106" s="12" t="s">
        <v>11</v>
      </c>
      <c r="H106" s="14">
        <v>46.02</v>
      </c>
      <c r="I106" s="12" t="s">
        <v>59</v>
      </c>
      <c r="J106" s="14">
        <v>4000.14</v>
      </c>
      <c r="K106" s="12" t="s">
        <v>837</v>
      </c>
    </row>
    <row r="107" spans="1:11" x14ac:dyDescent="0.35">
      <c r="A107" s="12" t="s">
        <v>511</v>
      </c>
      <c r="B107" s="12" t="s">
        <v>487</v>
      </c>
      <c r="C107" s="12" t="s">
        <v>515</v>
      </c>
      <c r="D107" s="13">
        <v>45762</v>
      </c>
      <c r="E107" s="13">
        <v>45763</v>
      </c>
      <c r="F107" s="12">
        <v>256779411101</v>
      </c>
      <c r="G107" s="12" t="s">
        <v>11</v>
      </c>
      <c r="H107" s="14">
        <v>32.450000000000003</v>
      </c>
      <c r="I107" s="12" t="s">
        <v>59</v>
      </c>
      <c r="J107" s="14">
        <v>2820.61</v>
      </c>
      <c r="K107" s="12" t="s">
        <v>837</v>
      </c>
    </row>
    <row r="108" spans="1:11" x14ac:dyDescent="0.35">
      <c r="A108" s="12" t="s">
        <v>511</v>
      </c>
      <c r="B108" s="12" t="s">
        <v>487</v>
      </c>
      <c r="C108" s="12" t="s">
        <v>515</v>
      </c>
      <c r="D108" s="13">
        <v>45762</v>
      </c>
      <c r="E108" s="13">
        <v>45763</v>
      </c>
      <c r="F108" s="12">
        <v>256779411458</v>
      </c>
      <c r="G108" s="12" t="s">
        <v>11</v>
      </c>
      <c r="H108" s="14">
        <v>35.4</v>
      </c>
      <c r="I108" s="12" t="s">
        <v>59</v>
      </c>
      <c r="J108" s="14">
        <v>3077.03</v>
      </c>
      <c r="K108" s="12" t="s">
        <v>806</v>
      </c>
    </row>
    <row r="109" spans="1:11" x14ac:dyDescent="0.35">
      <c r="A109" s="12" t="s">
        <v>511</v>
      </c>
      <c r="B109" s="12" t="s">
        <v>487</v>
      </c>
      <c r="C109" s="12" t="s">
        <v>515</v>
      </c>
      <c r="D109" s="13">
        <v>45762</v>
      </c>
      <c r="E109" s="13">
        <v>45763</v>
      </c>
      <c r="F109" s="12">
        <v>256779411459</v>
      </c>
      <c r="G109" s="12" t="s">
        <v>11</v>
      </c>
      <c r="H109" s="14">
        <v>29.5</v>
      </c>
      <c r="I109" s="12" t="s">
        <v>59</v>
      </c>
      <c r="J109" s="14">
        <v>2564.19</v>
      </c>
      <c r="K109" s="12" t="s">
        <v>806</v>
      </c>
    </row>
    <row r="110" spans="1:11" x14ac:dyDescent="0.35">
      <c r="A110" s="12" t="s">
        <v>511</v>
      </c>
      <c r="B110" s="12" t="s">
        <v>487</v>
      </c>
      <c r="C110" s="12" t="s">
        <v>515</v>
      </c>
      <c r="D110" s="13">
        <v>45762</v>
      </c>
      <c r="E110" s="13">
        <v>45763</v>
      </c>
      <c r="F110" s="12">
        <v>256779411460</v>
      </c>
      <c r="G110" s="12" t="s">
        <v>11</v>
      </c>
      <c r="H110" s="14">
        <v>29.5</v>
      </c>
      <c r="I110" s="12" t="s">
        <v>59</v>
      </c>
      <c r="J110" s="14">
        <v>2564.19</v>
      </c>
      <c r="K110" s="12" t="s">
        <v>806</v>
      </c>
    </row>
    <row r="111" spans="1:11" x14ac:dyDescent="0.35">
      <c r="A111" s="12" t="s">
        <v>511</v>
      </c>
      <c r="B111" s="12" t="s">
        <v>487</v>
      </c>
      <c r="C111" s="12" t="s">
        <v>515</v>
      </c>
      <c r="D111" s="13">
        <v>45762</v>
      </c>
      <c r="E111" s="13">
        <v>45763</v>
      </c>
      <c r="F111" s="12">
        <v>256779411461</v>
      </c>
      <c r="G111" s="12" t="s">
        <v>11</v>
      </c>
      <c r="H111" s="14">
        <v>35.4</v>
      </c>
      <c r="I111" s="12" t="s">
        <v>59</v>
      </c>
      <c r="J111" s="14">
        <v>3077.03</v>
      </c>
      <c r="K111" s="12" t="s">
        <v>806</v>
      </c>
    </row>
    <row r="112" spans="1:11" x14ac:dyDescent="0.35">
      <c r="A112" s="12" t="s">
        <v>511</v>
      </c>
      <c r="B112" s="12" t="s">
        <v>487</v>
      </c>
      <c r="C112" s="12" t="s">
        <v>515</v>
      </c>
      <c r="D112" s="13">
        <v>45762</v>
      </c>
      <c r="E112" s="13">
        <v>45763</v>
      </c>
      <c r="F112" s="12">
        <v>256779411462</v>
      </c>
      <c r="G112" s="12" t="s">
        <v>11</v>
      </c>
      <c r="H112" s="14">
        <v>20.65</v>
      </c>
      <c r="I112" s="12" t="s">
        <v>59</v>
      </c>
      <c r="J112" s="14">
        <v>1794.94</v>
      </c>
      <c r="K112" s="12" t="s">
        <v>806</v>
      </c>
    </row>
    <row r="113" spans="1:11" x14ac:dyDescent="0.35">
      <c r="A113" s="12" t="s">
        <v>511</v>
      </c>
      <c r="B113" s="12" t="s">
        <v>487</v>
      </c>
      <c r="C113" s="12" t="s">
        <v>515</v>
      </c>
      <c r="D113" s="13">
        <v>45762</v>
      </c>
      <c r="E113" s="13">
        <v>45763</v>
      </c>
      <c r="F113" s="12">
        <v>256779411464</v>
      </c>
      <c r="G113" s="12" t="s">
        <v>11</v>
      </c>
      <c r="H113" s="14">
        <v>8.85</v>
      </c>
      <c r="I113" s="12" t="s">
        <v>59</v>
      </c>
      <c r="J113" s="14">
        <v>769.26</v>
      </c>
      <c r="K113" s="12" t="s">
        <v>806</v>
      </c>
    </row>
    <row r="114" spans="1:11" x14ac:dyDescent="0.35">
      <c r="A114" s="12" t="s">
        <v>511</v>
      </c>
      <c r="B114" s="12" t="s">
        <v>487</v>
      </c>
      <c r="C114" s="12" t="s">
        <v>515</v>
      </c>
      <c r="D114" s="13">
        <v>45762</v>
      </c>
      <c r="E114" s="13">
        <v>45763</v>
      </c>
      <c r="F114" s="12">
        <v>256779411469</v>
      </c>
      <c r="G114" s="12" t="s">
        <v>11</v>
      </c>
      <c r="H114" s="14">
        <v>35.4</v>
      </c>
      <c r="I114" s="12" t="s">
        <v>59</v>
      </c>
      <c r="J114" s="14">
        <v>3077.03</v>
      </c>
      <c r="K114" s="12" t="s">
        <v>806</v>
      </c>
    </row>
    <row r="115" spans="1:11" x14ac:dyDescent="0.35">
      <c r="A115" s="12" t="s">
        <v>511</v>
      </c>
      <c r="B115" s="12" t="s">
        <v>487</v>
      </c>
      <c r="C115" s="12" t="s">
        <v>515</v>
      </c>
      <c r="D115" s="13">
        <v>45763</v>
      </c>
      <c r="E115" s="13">
        <v>45764</v>
      </c>
      <c r="F115" s="12">
        <v>256779411722</v>
      </c>
      <c r="G115" s="12" t="s">
        <v>11</v>
      </c>
      <c r="H115" s="14">
        <v>236</v>
      </c>
      <c r="I115" s="12" t="s">
        <v>59</v>
      </c>
      <c r="J115" s="14">
        <v>20513.55</v>
      </c>
      <c r="K115" s="12" t="s">
        <v>728</v>
      </c>
    </row>
    <row r="116" spans="1:11" x14ac:dyDescent="0.35">
      <c r="A116" s="12" t="s">
        <v>511</v>
      </c>
      <c r="B116" s="12" t="s">
        <v>487</v>
      </c>
      <c r="C116" s="12" t="s">
        <v>515</v>
      </c>
      <c r="D116" s="13">
        <v>45763</v>
      </c>
      <c r="E116" s="13">
        <v>45764</v>
      </c>
      <c r="F116" s="12">
        <v>256779411795</v>
      </c>
      <c r="G116" s="12" t="s">
        <v>11</v>
      </c>
      <c r="H116" s="14">
        <v>369.34</v>
      </c>
      <c r="I116" s="12" t="s">
        <v>59</v>
      </c>
      <c r="J116" s="14">
        <v>32103.7</v>
      </c>
      <c r="K116" s="12" t="s">
        <v>729</v>
      </c>
    </row>
    <row r="117" spans="1:11" x14ac:dyDescent="0.35">
      <c r="A117" s="12" t="s">
        <v>511</v>
      </c>
      <c r="B117" s="12" t="s">
        <v>487</v>
      </c>
      <c r="C117" s="12" t="s">
        <v>515</v>
      </c>
      <c r="D117" s="13">
        <v>45763</v>
      </c>
      <c r="E117" s="13">
        <v>45764</v>
      </c>
      <c r="F117" s="12">
        <v>256779411796</v>
      </c>
      <c r="G117" s="12" t="s">
        <v>11</v>
      </c>
      <c r="H117" s="14">
        <v>226.56</v>
      </c>
      <c r="I117" s="12" t="s">
        <v>59</v>
      </c>
      <c r="J117" s="14">
        <v>19693.009999999998</v>
      </c>
      <c r="K117" s="12" t="s">
        <v>730</v>
      </c>
    </row>
    <row r="118" spans="1:11" x14ac:dyDescent="0.35">
      <c r="A118" s="12" t="s">
        <v>511</v>
      </c>
      <c r="B118" s="12" t="s">
        <v>487</v>
      </c>
      <c r="C118" s="12" t="s">
        <v>515</v>
      </c>
      <c r="D118" s="13">
        <v>45763</v>
      </c>
      <c r="E118" s="13">
        <v>45764</v>
      </c>
      <c r="F118" s="12">
        <v>256779411797</v>
      </c>
      <c r="G118" s="12" t="s">
        <v>11</v>
      </c>
      <c r="H118" s="14">
        <v>35.4</v>
      </c>
      <c r="I118" s="12" t="s">
        <v>59</v>
      </c>
      <c r="J118" s="14">
        <v>3077.03</v>
      </c>
      <c r="K118" s="12" t="s">
        <v>844</v>
      </c>
    </row>
    <row r="119" spans="1:11" x14ac:dyDescent="0.35">
      <c r="A119" s="12" t="s">
        <v>511</v>
      </c>
      <c r="B119" s="12" t="s">
        <v>487</v>
      </c>
      <c r="C119" s="12" t="s">
        <v>515</v>
      </c>
      <c r="D119" s="13">
        <v>45763</v>
      </c>
      <c r="E119" s="13">
        <v>45764</v>
      </c>
      <c r="F119" s="12">
        <v>256779411798</v>
      </c>
      <c r="G119" s="12" t="s">
        <v>11</v>
      </c>
      <c r="H119" s="14">
        <v>236</v>
      </c>
      <c r="I119" s="12" t="s">
        <v>59</v>
      </c>
      <c r="J119" s="14">
        <v>20513.55</v>
      </c>
      <c r="K119" s="12" t="s">
        <v>731</v>
      </c>
    </row>
    <row r="120" spans="1:11" x14ac:dyDescent="0.35">
      <c r="A120" s="12" t="s">
        <v>511</v>
      </c>
      <c r="B120" s="12" t="s">
        <v>487</v>
      </c>
      <c r="C120" s="12" t="s">
        <v>515</v>
      </c>
      <c r="D120" s="13">
        <v>45763</v>
      </c>
      <c r="E120" s="13">
        <v>45764</v>
      </c>
      <c r="F120" s="12">
        <v>256779411799</v>
      </c>
      <c r="G120" s="12" t="s">
        <v>11</v>
      </c>
      <c r="H120" s="14">
        <v>70.8</v>
      </c>
      <c r="I120" s="12" t="s">
        <v>59</v>
      </c>
      <c r="J120" s="14">
        <v>6154.06</v>
      </c>
      <c r="K120" s="12" t="s">
        <v>732</v>
      </c>
    </row>
    <row r="121" spans="1:11" x14ac:dyDescent="0.35">
      <c r="A121" s="12" t="s">
        <v>511</v>
      </c>
      <c r="B121" s="12" t="s">
        <v>487</v>
      </c>
      <c r="C121" s="12" t="s">
        <v>515</v>
      </c>
      <c r="D121" s="13">
        <v>45730</v>
      </c>
      <c r="E121" s="13">
        <v>45735</v>
      </c>
      <c r="F121" s="12">
        <v>246779412207</v>
      </c>
      <c r="G121" s="12" t="s">
        <v>11</v>
      </c>
      <c r="H121" s="14">
        <v>312.5</v>
      </c>
      <c r="I121" s="12" t="s">
        <v>59</v>
      </c>
      <c r="J121" s="14">
        <v>27091.02</v>
      </c>
      <c r="K121" s="12" t="s">
        <v>848</v>
      </c>
    </row>
    <row r="122" spans="1:11" x14ac:dyDescent="0.35">
      <c r="A122" s="12" t="s">
        <v>511</v>
      </c>
      <c r="B122" s="12" t="s">
        <v>487</v>
      </c>
      <c r="C122" s="12" t="s">
        <v>515</v>
      </c>
      <c r="D122" s="13">
        <v>45730</v>
      </c>
      <c r="E122" s="13">
        <v>45735</v>
      </c>
      <c r="F122" s="12">
        <v>246779412208</v>
      </c>
      <c r="G122" s="12" t="s">
        <v>11</v>
      </c>
      <c r="H122" s="14">
        <v>23.35</v>
      </c>
      <c r="I122" s="12" t="s">
        <v>59</v>
      </c>
      <c r="J122" s="14">
        <v>2024.24</v>
      </c>
      <c r="K122" s="12" t="s">
        <v>848</v>
      </c>
    </row>
    <row r="123" spans="1:11" x14ac:dyDescent="0.35">
      <c r="A123" s="12" t="s">
        <v>511</v>
      </c>
      <c r="B123" s="12" t="s">
        <v>487</v>
      </c>
      <c r="C123" s="12" t="s">
        <v>515</v>
      </c>
      <c r="D123" s="13">
        <v>45730</v>
      </c>
      <c r="E123" s="13">
        <v>45735</v>
      </c>
      <c r="F123" s="12">
        <v>246779412197</v>
      </c>
      <c r="G123" s="12" t="s">
        <v>11</v>
      </c>
      <c r="H123" s="14">
        <v>40.06</v>
      </c>
      <c r="I123" s="12" t="s">
        <v>59</v>
      </c>
      <c r="J123" s="14">
        <v>3472.85</v>
      </c>
      <c r="K123" s="12" t="s">
        <v>848</v>
      </c>
    </row>
    <row r="124" spans="1:11" x14ac:dyDescent="0.35">
      <c r="A124" s="12" t="s">
        <v>511</v>
      </c>
      <c r="B124" s="12" t="s">
        <v>487</v>
      </c>
      <c r="C124" s="12" t="s">
        <v>515</v>
      </c>
      <c r="D124" s="13">
        <v>45730</v>
      </c>
      <c r="E124" s="13">
        <v>45735</v>
      </c>
      <c r="F124" s="12">
        <v>246779412198</v>
      </c>
      <c r="G124" s="12" t="s">
        <v>11</v>
      </c>
      <c r="H124" s="14">
        <v>249.55</v>
      </c>
      <c r="I124" s="12" t="s">
        <v>59</v>
      </c>
      <c r="J124" s="14">
        <v>21633.8</v>
      </c>
      <c r="K124" s="12" t="s">
        <v>848</v>
      </c>
    </row>
    <row r="125" spans="1:11" x14ac:dyDescent="0.35">
      <c r="A125" s="12" t="s">
        <v>511</v>
      </c>
      <c r="B125" s="12" t="s">
        <v>487</v>
      </c>
      <c r="C125" s="12" t="s">
        <v>515</v>
      </c>
      <c r="D125" s="13">
        <v>45730</v>
      </c>
      <c r="E125" s="13">
        <v>45735</v>
      </c>
      <c r="F125" s="12">
        <v>246779412199</v>
      </c>
      <c r="G125" s="12" t="s">
        <v>11</v>
      </c>
      <c r="H125" s="14">
        <v>40.06</v>
      </c>
      <c r="I125" s="12" t="s">
        <v>59</v>
      </c>
      <c r="J125" s="14">
        <v>3472.85</v>
      </c>
      <c r="K125" s="12" t="s">
        <v>848</v>
      </c>
    </row>
    <row r="126" spans="1:11" x14ac:dyDescent="0.35">
      <c r="A126" s="12" t="s">
        <v>511</v>
      </c>
      <c r="B126" s="12" t="s">
        <v>487</v>
      </c>
      <c r="C126" s="12" t="s">
        <v>515</v>
      </c>
      <c r="D126" s="13">
        <v>45730</v>
      </c>
      <c r="E126" s="13">
        <v>45735</v>
      </c>
      <c r="F126" s="12">
        <v>246779412200</v>
      </c>
      <c r="G126" s="12" t="s">
        <v>11</v>
      </c>
      <c r="H126" s="14">
        <v>45.79</v>
      </c>
      <c r="I126" s="12" t="s">
        <v>59</v>
      </c>
      <c r="J126" s="14">
        <v>3969.59</v>
      </c>
      <c r="K126" s="12" t="s">
        <v>848</v>
      </c>
    </row>
    <row r="127" spans="1:11" x14ac:dyDescent="0.35">
      <c r="A127" s="12" t="s">
        <v>511</v>
      </c>
      <c r="B127" s="12" t="s">
        <v>487</v>
      </c>
      <c r="C127" s="12" t="s">
        <v>515</v>
      </c>
      <c r="D127" s="13">
        <v>45730</v>
      </c>
      <c r="E127" s="13">
        <v>45735</v>
      </c>
      <c r="F127" s="12">
        <v>246779412202</v>
      </c>
      <c r="G127" s="12" t="s">
        <v>11</v>
      </c>
      <c r="H127" s="14">
        <v>40.06</v>
      </c>
      <c r="I127" s="12" t="s">
        <v>59</v>
      </c>
      <c r="J127" s="14">
        <v>3472.85</v>
      </c>
      <c r="K127" s="12" t="s">
        <v>848</v>
      </c>
    </row>
    <row r="128" spans="1:11" x14ac:dyDescent="0.35">
      <c r="A128" s="12" t="s">
        <v>511</v>
      </c>
      <c r="B128" s="12" t="s">
        <v>487</v>
      </c>
      <c r="C128" s="12" t="s">
        <v>515</v>
      </c>
      <c r="D128" s="13">
        <v>45730</v>
      </c>
      <c r="E128" s="13">
        <v>45735</v>
      </c>
      <c r="F128" s="12">
        <v>246779412203</v>
      </c>
      <c r="G128" s="12" t="s">
        <v>11</v>
      </c>
      <c r="H128" s="14">
        <v>28.62</v>
      </c>
      <c r="I128" s="12" t="s">
        <v>59</v>
      </c>
      <c r="J128" s="14">
        <v>2481.1</v>
      </c>
      <c r="K128" s="12" t="s">
        <v>848</v>
      </c>
    </row>
    <row r="129" spans="1:11" x14ac:dyDescent="0.35">
      <c r="A129" s="12" t="s">
        <v>511</v>
      </c>
      <c r="B129" s="12" t="s">
        <v>487</v>
      </c>
      <c r="C129" s="12" t="s">
        <v>515</v>
      </c>
      <c r="D129" s="13">
        <v>45730</v>
      </c>
      <c r="E129" s="13">
        <v>45735</v>
      </c>
      <c r="F129" s="12">
        <v>246779412204</v>
      </c>
      <c r="G129" s="12" t="s">
        <v>11</v>
      </c>
      <c r="H129" s="14">
        <v>22.89</v>
      </c>
      <c r="I129" s="12" t="s">
        <v>59</v>
      </c>
      <c r="J129" s="14">
        <v>1984.36</v>
      </c>
      <c r="K129" s="12" t="s">
        <v>848</v>
      </c>
    </row>
    <row r="130" spans="1:11" x14ac:dyDescent="0.35">
      <c r="A130" s="12" t="s">
        <v>511</v>
      </c>
      <c r="B130" s="12" t="s">
        <v>487</v>
      </c>
      <c r="C130" s="12" t="s">
        <v>515</v>
      </c>
      <c r="D130" s="13">
        <v>45730</v>
      </c>
      <c r="E130" s="13">
        <v>45735</v>
      </c>
      <c r="F130" s="12">
        <v>246779412205</v>
      </c>
      <c r="G130" s="12" t="s">
        <v>11</v>
      </c>
      <c r="H130" s="14">
        <v>114.46</v>
      </c>
      <c r="I130" s="12" t="s">
        <v>59</v>
      </c>
      <c r="J130" s="14">
        <v>9922.68</v>
      </c>
      <c r="K130" s="12" t="s">
        <v>848</v>
      </c>
    </row>
    <row r="131" spans="1:11" x14ac:dyDescent="0.35">
      <c r="A131" s="12" t="s">
        <v>511</v>
      </c>
      <c r="B131" s="12" t="s">
        <v>487</v>
      </c>
      <c r="C131" s="12" t="s">
        <v>515</v>
      </c>
      <c r="D131" s="13">
        <v>45730</v>
      </c>
      <c r="E131" s="13">
        <v>45735</v>
      </c>
      <c r="F131" s="12">
        <v>246779412206</v>
      </c>
      <c r="G131" s="12" t="s">
        <v>11</v>
      </c>
      <c r="H131" s="14">
        <v>68.680000000000007</v>
      </c>
      <c r="I131" s="12" t="s">
        <v>59</v>
      </c>
      <c r="J131" s="14">
        <v>5953.96</v>
      </c>
      <c r="K131" s="12" t="s">
        <v>848</v>
      </c>
    </row>
    <row r="132" spans="1:11" x14ac:dyDescent="0.35">
      <c r="A132" s="12" t="s">
        <v>511</v>
      </c>
      <c r="B132" s="12" t="s">
        <v>487</v>
      </c>
      <c r="C132" s="12" t="s">
        <v>515</v>
      </c>
      <c r="D132" s="13">
        <v>45730</v>
      </c>
      <c r="E132" s="13">
        <v>45735</v>
      </c>
      <c r="F132" s="12">
        <v>246779412196</v>
      </c>
      <c r="G132" s="12" t="s">
        <v>11</v>
      </c>
      <c r="H132" s="14">
        <v>57.23</v>
      </c>
      <c r="I132" s="12" t="s">
        <v>59</v>
      </c>
      <c r="J132" s="14">
        <v>4961.34</v>
      </c>
      <c r="K132" s="12" t="s">
        <v>848</v>
      </c>
    </row>
    <row r="133" spans="1:11" x14ac:dyDescent="0.35">
      <c r="A133" s="12" t="s">
        <v>511</v>
      </c>
      <c r="B133" s="12" t="s">
        <v>487</v>
      </c>
      <c r="C133" s="12" t="s">
        <v>515</v>
      </c>
      <c r="D133" s="13">
        <v>45730</v>
      </c>
      <c r="E133" s="13">
        <v>45735</v>
      </c>
      <c r="F133" s="12">
        <v>246779412201</v>
      </c>
      <c r="G133" s="12" t="s">
        <v>11</v>
      </c>
      <c r="H133" s="14">
        <v>20.03</v>
      </c>
      <c r="I133" s="12" t="s">
        <v>59</v>
      </c>
      <c r="J133" s="14">
        <v>1736.43</v>
      </c>
      <c r="K133" s="12" t="s">
        <v>848</v>
      </c>
    </row>
    <row r="134" spans="1:11" x14ac:dyDescent="0.35">
      <c r="A134" s="12" t="s">
        <v>511</v>
      </c>
      <c r="B134" s="12" t="s">
        <v>487</v>
      </c>
      <c r="C134" s="12" t="s">
        <v>515</v>
      </c>
      <c r="D134" s="13">
        <v>45848</v>
      </c>
      <c r="E134" s="13">
        <v>45854</v>
      </c>
      <c r="F134" s="12">
        <v>256779415296</v>
      </c>
      <c r="G134" s="12" t="s">
        <v>11</v>
      </c>
      <c r="H134" s="14">
        <v>24</v>
      </c>
      <c r="I134" s="12" t="s">
        <v>59</v>
      </c>
      <c r="J134" s="14">
        <v>2064.02</v>
      </c>
      <c r="K134" s="12" t="s">
        <v>837</v>
      </c>
    </row>
    <row r="135" spans="1:11" x14ac:dyDescent="0.35">
      <c r="A135" s="12" t="s">
        <v>511</v>
      </c>
      <c r="B135" s="12" t="s">
        <v>487</v>
      </c>
      <c r="C135" s="12" t="s">
        <v>515</v>
      </c>
      <c r="D135" s="13">
        <v>45848</v>
      </c>
      <c r="E135" s="13">
        <v>45854</v>
      </c>
      <c r="F135" s="12">
        <v>256779415363</v>
      </c>
      <c r="G135" s="12" t="s">
        <v>11</v>
      </c>
      <c r="H135" s="14">
        <v>3</v>
      </c>
      <c r="I135" s="12" t="s">
        <v>59</v>
      </c>
      <c r="J135" s="14">
        <v>258</v>
      </c>
      <c r="K135" s="12" t="s">
        <v>855</v>
      </c>
    </row>
    <row r="136" spans="1:11" x14ac:dyDescent="0.35">
      <c r="A136" s="12" t="s">
        <v>511</v>
      </c>
      <c r="B136" s="12" t="s">
        <v>487</v>
      </c>
      <c r="C136" s="12" t="s">
        <v>515</v>
      </c>
      <c r="D136" s="13">
        <v>45764</v>
      </c>
      <c r="E136" s="13">
        <v>45769</v>
      </c>
      <c r="F136" s="12">
        <v>256779412140</v>
      </c>
      <c r="G136" s="12" t="s">
        <v>59</v>
      </c>
      <c r="H136" s="14">
        <v>262.20999999999998</v>
      </c>
      <c r="I136" s="12" t="s">
        <v>59</v>
      </c>
      <c r="J136" s="14">
        <v>262.20999999999998</v>
      </c>
      <c r="K136" s="12" t="s">
        <v>639</v>
      </c>
    </row>
    <row r="137" spans="1:11" x14ac:dyDescent="0.35">
      <c r="A137" s="12" t="s">
        <v>511</v>
      </c>
      <c r="B137" s="12" t="s">
        <v>487</v>
      </c>
      <c r="C137" s="12" t="s">
        <v>515</v>
      </c>
      <c r="D137" s="13">
        <v>45735</v>
      </c>
      <c r="E137" s="13">
        <v>45736</v>
      </c>
      <c r="F137" s="12">
        <v>246779413076</v>
      </c>
      <c r="G137" s="12" t="s">
        <v>11</v>
      </c>
      <c r="H137" s="14">
        <v>466.37</v>
      </c>
      <c r="I137" s="12" t="s">
        <v>59</v>
      </c>
      <c r="J137" s="14">
        <v>40430.199999999997</v>
      </c>
      <c r="K137" s="12" t="s">
        <v>862</v>
      </c>
    </row>
    <row r="138" spans="1:11" x14ac:dyDescent="0.35">
      <c r="A138" s="12" t="s">
        <v>511</v>
      </c>
      <c r="B138" s="12" t="s">
        <v>487</v>
      </c>
      <c r="C138" s="12" t="s">
        <v>515</v>
      </c>
      <c r="D138" s="13">
        <v>45762</v>
      </c>
      <c r="E138" s="13">
        <v>45763</v>
      </c>
      <c r="F138" s="12">
        <v>256779411097</v>
      </c>
      <c r="G138" s="12" t="s">
        <v>11</v>
      </c>
      <c r="H138" s="14">
        <v>118</v>
      </c>
      <c r="I138" s="12" t="s">
        <v>59</v>
      </c>
      <c r="J138" s="14">
        <v>10256.77</v>
      </c>
      <c r="K138" s="12" t="s">
        <v>807</v>
      </c>
    </row>
    <row r="139" spans="1:11" x14ac:dyDescent="0.35">
      <c r="A139" s="12" t="s">
        <v>511</v>
      </c>
      <c r="B139" s="12" t="s">
        <v>487</v>
      </c>
      <c r="C139" s="12" t="s">
        <v>515</v>
      </c>
      <c r="D139" s="13">
        <v>45751</v>
      </c>
      <c r="E139" s="13">
        <v>45752</v>
      </c>
      <c r="F139" s="12">
        <v>256779410819</v>
      </c>
      <c r="G139" s="12" t="s">
        <v>11</v>
      </c>
      <c r="H139" s="14">
        <v>1913.97</v>
      </c>
      <c r="I139" s="12" t="s">
        <v>59</v>
      </c>
      <c r="J139" s="14">
        <v>166365.76000000001</v>
      </c>
      <c r="K139" s="12" t="s">
        <v>877</v>
      </c>
    </row>
    <row r="140" spans="1:11" x14ac:dyDescent="0.35">
      <c r="A140" s="12" t="s">
        <v>511</v>
      </c>
      <c r="B140" s="12" t="s">
        <v>487</v>
      </c>
      <c r="C140" s="12" t="s">
        <v>515</v>
      </c>
      <c r="D140" s="13">
        <v>45719</v>
      </c>
      <c r="E140" s="13">
        <v>45719</v>
      </c>
      <c r="F140" s="12">
        <v>246779410482</v>
      </c>
      <c r="G140" s="12" t="s">
        <v>11</v>
      </c>
      <c r="H140" s="14">
        <v>3.54</v>
      </c>
      <c r="I140" s="12" t="s">
        <v>59</v>
      </c>
      <c r="J140" s="14">
        <v>306.89</v>
      </c>
      <c r="K140" s="12" t="s">
        <v>855</v>
      </c>
    </row>
    <row r="141" spans="1:11" x14ac:dyDescent="0.35">
      <c r="A141" s="12" t="s">
        <v>511</v>
      </c>
      <c r="B141" s="12" t="s">
        <v>487</v>
      </c>
      <c r="C141" s="12" t="s">
        <v>515</v>
      </c>
      <c r="D141" s="13">
        <v>45719</v>
      </c>
      <c r="E141" s="13">
        <v>45719</v>
      </c>
      <c r="F141" s="12">
        <v>246779410483</v>
      </c>
      <c r="G141" s="12" t="s">
        <v>11</v>
      </c>
      <c r="H141" s="14">
        <v>3.54</v>
      </c>
      <c r="I141" s="12" t="s">
        <v>59</v>
      </c>
      <c r="J141" s="14">
        <v>306.89</v>
      </c>
      <c r="K141" s="12" t="s">
        <v>855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CB09E6-6653-4332-BC4C-7F9D30FCB456}">
  <dimension ref="A1"/>
  <sheetViews>
    <sheetView workbookViewId="0"/>
  </sheetViews>
  <sheetFormatPr defaultRowHeight="14.5" x14ac:dyDescent="0.35"/>
  <cols>
    <col min="1" max="1" width="2" bestFit="1" customWidth="1"/>
    <col min="2" max="2" width="10.08984375" bestFit="1" customWidth="1"/>
    <col min="3" max="3" width="13.90625" bestFit="1" customWidth="1"/>
  </cols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0E807-D5CF-496B-86FC-2901B897318D}">
  <sheetPr filterMode="1"/>
  <dimension ref="A1:S733"/>
  <sheetViews>
    <sheetView workbookViewId="0">
      <selection activeCell="J2" sqref="J2"/>
    </sheetView>
  </sheetViews>
  <sheetFormatPr defaultRowHeight="14.5" x14ac:dyDescent="0.35"/>
  <cols>
    <col min="1" max="1" width="5" bestFit="1" customWidth="1"/>
    <col min="2" max="2" width="15.1796875" bestFit="1" customWidth="1"/>
    <col min="3" max="3" width="11.1796875" bestFit="1" customWidth="1"/>
    <col min="4" max="4" width="13.1796875" bestFit="1" customWidth="1"/>
    <col min="5" max="5" width="14.36328125" bestFit="1" customWidth="1"/>
    <col min="6" max="6" width="48.81640625" bestFit="1" customWidth="1"/>
    <col min="7" max="7" width="10.81640625" bestFit="1" customWidth="1"/>
    <col min="8" max="8" width="6.1796875" bestFit="1" customWidth="1"/>
    <col min="9" max="9" width="11.08984375" bestFit="1" customWidth="1"/>
    <col min="10" max="10" width="8.81640625" bestFit="1" customWidth="1"/>
    <col min="11" max="11" width="10.453125" bestFit="1" customWidth="1"/>
    <col min="12" max="12" width="10" bestFit="1" customWidth="1"/>
    <col min="13" max="13" width="15.81640625" bestFit="1" customWidth="1"/>
    <col min="14" max="14" width="15.81640625" customWidth="1"/>
    <col min="16" max="16" width="9.453125" bestFit="1" customWidth="1"/>
  </cols>
  <sheetData>
    <row r="1" spans="1:19" x14ac:dyDescent="0.35">
      <c r="E1" s="7">
        <f>SUBTOTAL(9,E3:E732)</f>
        <v>-11983945.230000017</v>
      </c>
      <c r="O1">
        <f>SUBTOTAL(9,O3:O732)</f>
        <v>233116.04000000021</v>
      </c>
      <c r="P1">
        <f>SUBTOTAL(9,P3:P732)</f>
        <v>-11750829.18999999</v>
      </c>
      <c r="R1" t="e">
        <f>SUBTOTAL(9,R3:R732)</f>
        <v>#N/A</v>
      </c>
    </row>
    <row r="2" spans="1:19" x14ac:dyDescent="0.35">
      <c r="A2" t="s">
        <v>450</v>
      </c>
      <c r="B2" t="s">
        <v>451</v>
      </c>
      <c r="C2" t="s">
        <v>452</v>
      </c>
      <c r="D2" s="1" t="s">
        <v>453</v>
      </c>
      <c r="E2" s="1" t="s">
        <v>0</v>
      </c>
      <c r="F2" t="s">
        <v>1</v>
      </c>
      <c r="G2" t="s">
        <v>2</v>
      </c>
      <c r="H2" t="s">
        <v>3</v>
      </c>
      <c r="I2" t="s">
        <v>4</v>
      </c>
      <c r="J2" t="s">
        <v>5</v>
      </c>
      <c r="K2" t="s">
        <v>6</v>
      </c>
      <c r="L2" t="s">
        <v>7</v>
      </c>
      <c r="M2" t="s">
        <v>8</v>
      </c>
      <c r="O2" t="s">
        <v>910</v>
      </c>
      <c r="P2" t="s">
        <v>911</v>
      </c>
      <c r="Q2" t="s">
        <v>913</v>
      </c>
      <c r="S2" t="s">
        <v>912</v>
      </c>
    </row>
    <row r="3" spans="1:19" x14ac:dyDescent="0.35">
      <c r="A3" t="s">
        <v>454</v>
      </c>
      <c r="B3" s="4">
        <v>256779413908</v>
      </c>
      <c r="C3" s="3">
        <v>45805</v>
      </c>
      <c r="D3" s="1">
        <v>-3200.83</v>
      </c>
      <c r="E3" s="1">
        <v>-273269.15999999997</v>
      </c>
      <c r="G3" t="s">
        <v>9</v>
      </c>
      <c r="H3" t="s">
        <v>11</v>
      </c>
      <c r="I3" s="2">
        <v>45962</v>
      </c>
      <c r="J3">
        <v>1</v>
      </c>
      <c r="K3" s="3">
        <v>45991</v>
      </c>
      <c r="L3">
        <v>210</v>
      </c>
      <c r="M3" t="s">
        <v>13</v>
      </c>
      <c r="N3" s="79">
        <f>O3/E3</f>
        <v>-2.0001049514698256E-2</v>
      </c>
      <c r="O3">
        <f>VLOOKUP(B3,'Customer TDS'!A:D,4,0)</f>
        <v>5465.67</v>
      </c>
      <c r="P3" s="38">
        <f>E3+O3</f>
        <v>-267803.49</v>
      </c>
      <c r="Q3">
        <f>VLOOKUP(B3,Ascendus!E:I,5,0)</f>
        <v>275219.21000000002</v>
      </c>
      <c r="R3" s="38">
        <f>E3+Q3</f>
        <v>1950.0500000000466</v>
      </c>
      <c r="S3" t="s">
        <v>915</v>
      </c>
    </row>
    <row r="4" spans="1:19" x14ac:dyDescent="0.35">
      <c r="A4" t="s">
        <v>454</v>
      </c>
      <c r="B4" s="4">
        <v>256779413908</v>
      </c>
      <c r="C4" s="3">
        <v>45805</v>
      </c>
      <c r="D4" s="1">
        <v>0</v>
      </c>
      <c r="E4" s="1">
        <v>-11858.12</v>
      </c>
      <c r="F4" t="s">
        <v>15</v>
      </c>
      <c r="G4" t="s">
        <v>9</v>
      </c>
      <c r="H4" t="s">
        <v>11</v>
      </c>
      <c r="I4" s="2">
        <v>45962</v>
      </c>
      <c r="J4">
        <v>66</v>
      </c>
      <c r="K4" s="3">
        <v>45991</v>
      </c>
      <c r="L4">
        <v>271</v>
      </c>
      <c r="M4" t="s">
        <v>13</v>
      </c>
      <c r="O4" s="80"/>
      <c r="P4" s="38">
        <f t="shared" ref="P4:P67" si="0">E4+O4</f>
        <v>-11858.12</v>
      </c>
      <c r="S4" t="s">
        <v>918</v>
      </c>
    </row>
    <row r="5" spans="1:19" x14ac:dyDescent="0.35">
      <c r="A5" t="s">
        <v>454</v>
      </c>
      <c r="B5" s="4">
        <v>256779415989</v>
      </c>
      <c r="C5" s="3">
        <v>45863</v>
      </c>
      <c r="D5" s="1">
        <v>-299.83999999999997</v>
      </c>
      <c r="E5" s="1">
        <v>-25783.09</v>
      </c>
      <c r="G5" t="s">
        <v>16</v>
      </c>
      <c r="H5" t="s">
        <v>11</v>
      </c>
      <c r="I5" s="2">
        <v>45931</v>
      </c>
      <c r="J5">
        <v>1</v>
      </c>
      <c r="K5" s="3">
        <v>45959</v>
      </c>
      <c r="L5">
        <v>210</v>
      </c>
      <c r="M5" t="s">
        <v>13</v>
      </c>
      <c r="N5" s="79">
        <f>O5/E5</f>
        <v>-2.0010790017798489E-2</v>
      </c>
      <c r="O5">
        <f>VLOOKUP(B5,'Customer TDS'!A:D,4,0)</f>
        <v>515.94000000000005</v>
      </c>
      <c r="P5" s="38">
        <f t="shared" si="0"/>
        <v>-25267.15</v>
      </c>
      <c r="Q5">
        <f>VLOOKUP(B5,Ascendus!E:I,5,0)</f>
        <v>25786.44</v>
      </c>
      <c r="R5" s="38">
        <f t="shared" ref="R5:R6" si="1">E5+Q5</f>
        <v>3.3499999999985448</v>
      </c>
      <c r="S5" t="s">
        <v>915</v>
      </c>
    </row>
    <row r="6" spans="1:19" x14ac:dyDescent="0.35">
      <c r="A6" t="s">
        <v>454</v>
      </c>
      <c r="B6" s="4">
        <v>256779416007</v>
      </c>
      <c r="C6" s="3">
        <v>45863</v>
      </c>
      <c r="D6" s="1">
        <v>-421.15</v>
      </c>
      <c r="E6" s="1">
        <v>-36214.480000000003</v>
      </c>
      <c r="G6" t="s">
        <v>16</v>
      </c>
      <c r="H6" t="s">
        <v>11</v>
      </c>
      <c r="I6" s="2">
        <v>45931</v>
      </c>
      <c r="J6">
        <v>1</v>
      </c>
      <c r="K6" s="3">
        <v>45959</v>
      </c>
      <c r="L6">
        <v>210</v>
      </c>
      <c r="M6" t="s">
        <v>13</v>
      </c>
      <c r="N6" s="79">
        <f>O6/E6</f>
        <v>-1.9992831596643109E-2</v>
      </c>
      <c r="O6">
        <f>VLOOKUP(B6,'Customer TDS'!A:D,4,0)</f>
        <v>724.03</v>
      </c>
      <c r="P6" s="38">
        <f t="shared" si="0"/>
        <v>-35490.450000000004</v>
      </c>
      <c r="Q6">
        <f>VLOOKUP(B6,Ascendus!E:I,5,0)</f>
        <v>36219.18</v>
      </c>
      <c r="R6" s="38">
        <f t="shared" si="1"/>
        <v>4.6999999999970896</v>
      </c>
      <c r="S6" t="s">
        <v>915</v>
      </c>
    </row>
    <row r="7" spans="1:19" x14ac:dyDescent="0.35">
      <c r="A7" t="s">
        <v>454</v>
      </c>
      <c r="B7" s="4">
        <v>256779415989</v>
      </c>
      <c r="C7" s="3">
        <v>45863</v>
      </c>
      <c r="D7" s="1">
        <v>0</v>
      </c>
      <c r="E7" s="1">
        <v>-664.99</v>
      </c>
      <c r="F7" t="s">
        <v>15</v>
      </c>
      <c r="G7" t="s">
        <v>16</v>
      </c>
      <c r="H7" t="s">
        <v>11</v>
      </c>
      <c r="I7" s="2">
        <v>45931</v>
      </c>
      <c r="J7">
        <v>82</v>
      </c>
      <c r="K7" s="3">
        <v>45961</v>
      </c>
      <c r="L7">
        <v>271</v>
      </c>
      <c r="M7" t="s">
        <v>13</v>
      </c>
      <c r="P7" s="38">
        <f t="shared" si="0"/>
        <v>-664.99</v>
      </c>
      <c r="S7" t="s">
        <v>918</v>
      </c>
    </row>
    <row r="8" spans="1:19" x14ac:dyDescent="0.35">
      <c r="A8" t="s">
        <v>454</v>
      </c>
      <c r="B8" s="4">
        <v>256779416007</v>
      </c>
      <c r="C8" s="3">
        <v>45863</v>
      </c>
      <c r="D8" s="1">
        <v>0</v>
      </c>
      <c r="E8" s="1">
        <v>-934.03</v>
      </c>
      <c r="F8" t="s">
        <v>15</v>
      </c>
      <c r="G8" t="s">
        <v>16</v>
      </c>
      <c r="H8" t="s">
        <v>11</v>
      </c>
      <c r="I8" s="2">
        <v>45931</v>
      </c>
      <c r="J8">
        <v>84</v>
      </c>
      <c r="K8" s="3">
        <v>45961</v>
      </c>
      <c r="L8">
        <v>271</v>
      </c>
      <c r="M8" t="s">
        <v>13</v>
      </c>
      <c r="P8" s="38">
        <f t="shared" si="0"/>
        <v>-934.03</v>
      </c>
      <c r="S8" t="s">
        <v>918</v>
      </c>
    </row>
    <row r="9" spans="1:19" x14ac:dyDescent="0.35">
      <c r="A9" t="s">
        <v>454</v>
      </c>
      <c r="B9" s="4">
        <v>256779412776</v>
      </c>
      <c r="C9" s="3">
        <v>45771</v>
      </c>
      <c r="D9" s="1">
        <v>-632.46</v>
      </c>
      <c r="E9" s="1">
        <v>-54218.879999999997</v>
      </c>
      <c r="G9" t="s">
        <v>21</v>
      </c>
      <c r="H9" t="s">
        <v>11</v>
      </c>
      <c r="I9" s="2">
        <v>45962</v>
      </c>
      <c r="J9">
        <v>1</v>
      </c>
      <c r="K9" s="3">
        <v>45991</v>
      </c>
      <c r="L9">
        <v>210</v>
      </c>
      <c r="M9" t="s">
        <v>13</v>
      </c>
      <c r="N9" s="79">
        <f>O9/E9</f>
        <v>-2.0001335328210395E-2</v>
      </c>
      <c r="O9">
        <f>VLOOKUP(B9,'Customer TDS'!A:D,4,0)</f>
        <v>1084.45</v>
      </c>
      <c r="P9" s="38">
        <f t="shared" si="0"/>
        <v>-53134.43</v>
      </c>
      <c r="Q9">
        <f>VLOOKUP(B9,Ascendus!E:I,5,0)</f>
        <v>54974.57</v>
      </c>
      <c r="R9" s="38">
        <f>E9+Q9</f>
        <v>755.69000000000233</v>
      </c>
      <c r="S9" t="s">
        <v>915</v>
      </c>
    </row>
    <row r="10" spans="1:19" x14ac:dyDescent="0.35">
      <c r="A10" t="s">
        <v>454</v>
      </c>
      <c r="B10" s="4">
        <v>256779412776</v>
      </c>
      <c r="C10" s="3">
        <v>45771</v>
      </c>
      <c r="D10" s="1">
        <v>0</v>
      </c>
      <c r="E10" s="1">
        <v>-2124.59</v>
      </c>
      <c r="F10" t="s">
        <v>15</v>
      </c>
      <c r="G10" t="s">
        <v>21</v>
      </c>
      <c r="H10" t="s">
        <v>11</v>
      </c>
      <c r="I10" s="2">
        <v>45962</v>
      </c>
      <c r="J10">
        <v>58</v>
      </c>
      <c r="K10" s="3">
        <v>45991</v>
      </c>
      <c r="L10">
        <v>271</v>
      </c>
      <c r="M10" t="s">
        <v>13</v>
      </c>
      <c r="O10" s="80"/>
      <c r="P10" s="38">
        <f t="shared" si="0"/>
        <v>-2124.59</v>
      </c>
      <c r="S10" t="s">
        <v>918</v>
      </c>
    </row>
    <row r="11" spans="1:19" x14ac:dyDescent="0.35">
      <c r="A11" t="s">
        <v>454</v>
      </c>
      <c r="B11" s="4">
        <v>256779417801</v>
      </c>
      <c r="C11" s="3">
        <v>45922</v>
      </c>
      <c r="D11" s="1">
        <v>-4755.47</v>
      </c>
      <c r="E11" s="1">
        <v>-416826.08</v>
      </c>
      <c r="G11" t="s">
        <v>23</v>
      </c>
      <c r="H11" t="s">
        <v>11</v>
      </c>
      <c r="I11" s="2">
        <v>45931</v>
      </c>
      <c r="J11">
        <v>1</v>
      </c>
      <c r="K11" s="3">
        <v>45959</v>
      </c>
      <c r="L11">
        <v>210</v>
      </c>
      <c r="M11" t="s">
        <v>13</v>
      </c>
      <c r="N11" s="79">
        <f>O11/E11</f>
        <v>-2.0000116115575107E-2</v>
      </c>
      <c r="O11">
        <f>VLOOKUP(B11,'Customer TDS'!A:D,4,0)</f>
        <v>8336.57</v>
      </c>
      <c r="P11" s="38">
        <f t="shared" si="0"/>
        <v>-408489.51</v>
      </c>
      <c r="Q11">
        <f>VLOOKUP(B11,Ascendus!E:I,5,0)</f>
        <v>416171.77</v>
      </c>
      <c r="R11" s="38">
        <f>E11+Q11</f>
        <v>-654.30999999999767</v>
      </c>
      <c r="S11" t="s">
        <v>915</v>
      </c>
    </row>
    <row r="12" spans="1:19" x14ac:dyDescent="0.35">
      <c r="A12" t="s">
        <v>454</v>
      </c>
      <c r="B12" s="4">
        <v>256779417801</v>
      </c>
      <c r="C12" s="3">
        <v>45922</v>
      </c>
      <c r="D12" s="1">
        <v>0</v>
      </c>
      <c r="E12" s="1">
        <v>-2799.24</v>
      </c>
      <c r="F12" t="s">
        <v>15</v>
      </c>
      <c r="G12" t="s">
        <v>23</v>
      </c>
      <c r="H12" t="s">
        <v>11</v>
      </c>
      <c r="I12" s="2">
        <v>45931</v>
      </c>
      <c r="J12">
        <v>64</v>
      </c>
      <c r="K12" s="3">
        <v>45961</v>
      </c>
      <c r="L12">
        <v>271</v>
      </c>
      <c r="M12" t="s">
        <v>13</v>
      </c>
      <c r="P12" s="38">
        <f t="shared" si="0"/>
        <v>-2799.24</v>
      </c>
      <c r="S12" t="s">
        <v>918</v>
      </c>
    </row>
    <row r="13" spans="1:19" x14ac:dyDescent="0.35">
      <c r="A13" t="s">
        <v>454</v>
      </c>
      <c r="B13" s="4">
        <v>256779417744</v>
      </c>
      <c r="C13" s="3">
        <v>45922</v>
      </c>
      <c r="D13" s="1">
        <v>-870</v>
      </c>
      <c r="E13" s="1">
        <v>-76257.17</v>
      </c>
      <c r="G13" t="s">
        <v>23</v>
      </c>
      <c r="H13" t="s">
        <v>11</v>
      </c>
      <c r="I13" s="2">
        <v>45962</v>
      </c>
      <c r="J13">
        <v>1</v>
      </c>
      <c r="K13" s="3">
        <v>45972</v>
      </c>
      <c r="L13">
        <v>210</v>
      </c>
      <c r="M13" t="s">
        <v>13</v>
      </c>
      <c r="N13" s="79">
        <f t="shared" ref="N13:N28" si="2">O13/E13</f>
        <v>-1.999995541402861E-2</v>
      </c>
      <c r="O13">
        <f>VLOOKUP(B13,'Customer TDS'!A:D,4,0)</f>
        <v>1525.14</v>
      </c>
      <c r="P13" s="38">
        <f t="shared" si="0"/>
        <v>-74732.03</v>
      </c>
      <c r="Q13">
        <f>VLOOKUP(B13,Ascendus!E:I,5,0)</f>
        <v>76137.47</v>
      </c>
      <c r="R13" s="38">
        <f t="shared" ref="R13:R29" si="3">E13+Q13</f>
        <v>-119.69999999999709</v>
      </c>
      <c r="S13" t="s">
        <v>915</v>
      </c>
    </row>
    <row r="14" spans="1:19" x14ac:dyDescent="0.35">
      <c r="A14" t="s">
        <v>454</v>
      </c>
      <c r="B14" s="4">
        <v>256779412524</v>
      </c>
      <c r="C14" s="3">
        <v>45769</v>
      </c>
      <c r="D14" s="1">
        <v>-36.5</v>
      </c>
      <c r="E14" s="1">
        <v>-3129.03</v>
      </c>
      <c r="G14" t="s">
        <v>26</v>
      </c>
      <c r="H14" t="s">
        <v>11</v>
      </c>
      <c r="I14" s="2">
        <v>45809</v>
      </c>
      <c r="J14">
        <v>1</v>
      </c>
      <c r="K14" s="3">
        <v>45838</v>
      </c>
      <c r="L14">
        <v>210</v>
      </c>
      <c r="M14" t="s">
        <v>13</v>
      </c>
      <c r="N14" s="79">
        <f t="shared" si="2"/>
        <v>-1.9999808247284302E-2</v>
      </c>
      <c r="O14">
        <f>VLOOKUP(B14,'Customer TDS'!A:D,4,0)</f>
        <v>62.58</v>
      </c>
      <c r="P14" s="38">
        <f t="shared" si="0"/>
        <v>-3066.4500000000003</v>
      </c>
      <c r="Q14">
        <f>VLOOKUP(B14,Ascendus!E:I,5,0)</f>
        <v>3172.65</v>
      </c>
      <c r="R14" s="38">
        <f t="shared" si="3"/>
        <v>43.619999999999891</v>
      </c>
      <c r="S14" t="s">
        <v>915</v>
      </c>
    </row>
    <row r="15" spans="1:19" x14ac:dyDescent="0.35">
      <c r="A15" t="s">
        <v>454</v>
      </c>
      <c r="B15" s="4">
        <v>256779412529</v>
      </c>
      <c r="C15" s="3">
        <v>45769</v>
      </c>
      <c r="D15" s="1">
        <v>-29.57</v>
      </c>
      <c r="E15" s="1">
        <v>-2534.9499999999998</v>
      </c>
      <c r="G15" t="s">
        <v>26</v>
      </c>
      <c r="H15" t="s">
        <v>11</v>
      </c>
      <c r="I15" s="2">
        <v>45809</v>
      </c>
      <c r="J15">
        <v>1</v>
      </c>
      <c r="K15" s="3">
        <v>45838</v>
      </c>
      <c r="L15">
        <v>210</v>
      </c>
      <c r="M15" t="s">
        <v>13</v>
      </c>
      <c r="N15" s="79">
        <f t="shared" si="2"/>
        <v>-1.9953056273299276E-2</v>
      </c>
      <c r="O15">
        <f>VLOOKUP(B15,'Customer TDS'!A:D,4,0)</f>
        <v>50.58</v>
      </c>
      <c r="P15" s="38">
        <f t="shared" si="0"/>
        <v>-2484.37</v>
      </c>
      <c r="Q15">
        <f>VLOOKUP(B15,Ascendus!E:I,5,0)</f>
        <v>2570.2800000000002</v>
      </c>
      <c r="R15" s="38">
        <f t="shared" si="3"/>
        <v>35.330000000000382</v>
      </c>
      <c r="S15" t="s">
        <v>915</v>
      </c>
    </row>
    <row r="16" spans="1:19" x14ac:dyDescent="0.35">
      <c r="A16" t="s">
        <v>454</v>
      </c>
      <c r="B16" s="4">
        <v>256779412536</v>
      </c>
      <c r="C16" s="3">
        <v>45769</v>
      </c>
      <c r="D16" s="1">
        <v>-37.020000000000003</v>
      </c>
      <c r="E16" s="1">
        <v>-3173.61</v>
      </c>
      <c r="G16" t="s">
        <v>26</v>
      </c>
      <c r="H16" t="s">
        <v>11</v>
      </c>
      <c r="I16" s="2">
        <v>45809</v>
      </c>
      <c r="J16">
        <v>1</v>
      </c>
      <c r="K16" s="3">
        <v>45838</v>
      </c>
      <c r="L16">
        <v>210</v>
      </c>
      <c r="M16" t="s">
        <v>13</v>
      </c>
      <c r="N16" s="79">
        <f t="shared" si="2"/>
        <v>-1.9989853825769389E-2</v>
      </c>
      <c r="O16">
        <f>VLOOKUP(B16,'Customer TDS'!A:D,4,0)</f>
        <v>63.44</v>
      </c>
      <c r="P16" s="38">
        <f t="shared" si="0"/>
        <v>-3110.17</v>
      </c>
      <c r="Q16">
        <f>VLOOKUP(B16,Ascendus!E:I,5,0)</f>
        <v>3217.85</v>
      </c>
      <c r="R16" s="38">
        <f t="shared" si="3"/>
        <v>44.239999999999782</v>
      </c>
      <c r="S16" t="s">
        <v>915</v>
      </c>
    </row>
    <row r="17" spans="1:19" x14ac:dyDescent="0.35">
      <c r="A17" t="s">
        <v>454</v>
      </c>
      <c r="B17" s="4">
        <v>256779412537</v>
      </c>
      <c r="C17" s="3">
        <v>45769</v>
      </c>
      <c r="D17" s="1">
        <v>-407.58</v>
      </c>
      <c r="E17" s="1">
        <v>-34940.6</v>
      </c>
      <c r="G17" t="s">
        <v>26</v>
      </c>
      <c r="H17" t="s">
        <v>11</v>
      </c>
      <c r="I17" s="2">
        <v>45809</v>
      </c>
      <c r="J17">
        <v>1</v>
      </c>
      <c r="K17" s="3">
        <v>45838</v>
      </c>
      <c r="L17">
        <v>210</v>
      </c>
      <c r="M17" t="s">
        <v>13</v>
      </c>
      <c r="N17" s="79">
        <f t="shared" si="2"/>
        <v>-1.9995935959886208E-2</v>
      </c>
      <c r="O17">
        <f>VLOOKUP(B17,'Customer TDS'!A:D,4,0)</f>
        <v>698.67</v>
      </c>
      <c r="P17" s="38">
        <f t="shared" si="0"/>
        <v>-34241.93</v>
      </c>
      <c r="Q17">
        <f>VLOOKUP(B17,Ascendus!E:I,5,0)</f>
        <v>35427.599999999999</v>
      </c>
      <c r="R17" s="38">
        <f t="shared" si="3"/>
        <v>487</v>
      </c>
      <c r="S17" t="s">
        <v>915</v>
      </c>
    </row>
    <row r="18" spans="1:19" x14ac:dyDescent="0.35">
      <c r="A18" t="s">
        <v>454</v>
      </c>
      <c r="B18" s="4">
        <v>256779412579</v>
      </c>
      <c r="C18" s="3">
        <v>45769</v>
      </c>
      <c r="D18" s="1">
        <v>-57.6</v>
      </c>
      <c r="E18" s="1">
        <v>-4937.87</v>
      </c>
      <c r="G18" t="s">
        <v>26</v>
      </c>
      <c r="H18" t="s">
        <v>11</v>
      </c>
      <c r="I18" s="2">
        <v>45809</v>
      </c>
      <c r="J18">
        <v>1</v>
      </c>
      <c r="K18" s="3">
        <v>45838</v>
      </c>
      <c r="L18">
        <v>210</v>
      </c>
      <c r="M18" t="s">
        <v>13</v>
      </c>
      <c r="N18" s="79">
        <f t="shared" si="2"/>
        <v>-1.9966098742980273E-2</v>
      </c>
      <c r="O18">
        <f>VLOOKUP(B18,'Customer TDS'!A:D,4,0)</f>
        <v>98.59</v>
      </c>
      <c r="P18" s="38">
        <f t="shared" si="0"/>
        <v>-4839.28</v>
      </c>
      <c r="Q18">
        <f>VLOOKUP(B18,Ascendus!E:I,5,0)</f>
        <v>5006.7</v>
      </c>
      <c r="R18" s="38">
        <f t="shared" si="3"/>
        <v>68.829999999999927</v>
      </c>
      <c r="S18" t="s">
        <v>915</v>
      </c>
    </row>
    <row r="19" spans="1:19" x14ac:dyDescent="0.35">
      <c r="A19" t="s">
        <v>454</v>
      </c>
      <c r="B19" s="4">
        <v>256779412586</v>
      </c>
      <c r="C19" s="3">
        <v>45769</v>
      </c>
      <c r="D19" s="1">
        <v>-51.5</v>
      </c>
      <c r="E19" s="1">
        <v>-4414.9399999999996</v>
      </c>
      <c r="G19" t="s">
        <v>26</v>
      </c>
      <c r="H19" t="s">
        <v>11</v>
      </c>
      <c r="I19" s="2">
        <v>45809</v>
      </c>
      <c r="J19">
        <v>1</v>
      </c>
      <c r="K19" s="3">
        <v>45838</v>
      </c>
      <c r="L19">
        <v>210</v>
      </c>
      <c r="M19" t="s">
        <v>13</v>
      </c>
      <c r="N19" s="79">
        <f t="shared" si="2"/>
        <v>-2.0000271804373332E-2</v>
      </c>
      <c r="O19">
        <f>VLOOKUP(B19,'Customer TDS'!A:D,4,0)</f>
        <v>88.3</v>
      </c>
      <c r="P19" s="38">
        <f t="shared" si="0"/>
        <v>-4326.6399999999994</v>
      </c>
      <c r="Q19">
        <f>VLOOKUP(B19,Ascendus!E:I,5,0)</f>
        <v>4476.47</v>
      </c>
      <c r="R19" s="38">
        <f t="shared" si="3"/>
        <v>61.530000000000655</v>
      </c>
      <c r="S19" t="s">
        <v>915</v>
      </c>
    </row>
    <row r="20" spans="1:19" x14ac:dyDescent="0.35">
      <c r="A20" t="s">
        <v>454</v>
      </c>
      <c r="B20" s="4">
        <v>256779412563</v>
      </c>
      <c r="C20" s="3">
        <v>45769</v>
      </c>
      <c r="D20" s="1">
        <v>-27</v>
      </c>
      <c r="E20" s="1">
        <v>-2314.63</v>
      </c>
      <c r="G20" t="s">
        <v>26</v>
      </c>
      <c r="H20" t="s">
        <v>11</v>
      </c>
      <c r="I20" s="2">
        <v>45809</v>
      </c>
      <c r="J20">
        <v>1</v>
      </c>
      <c r="K20" s="3">
        <v>45838</v>
      </c>
      <c r="L20">
        <v>210</v>
      </c>
      <c r="M20" t="s">
        <v>13</v>
      </c>
      <c r="N20" s="79">
        <f t="shared" si="2"/>
        <v>-1.9998876710316551E-2</v>
      </c>
      <c r="O20">
        <f>VLOOKUP(B20,'Customer TDS'!A:D,4,0)</f>
        <v>46.29</v>
      </c>
      <c r="P20" s="38">
        <f t="shared" si="0"/>
        <v>-2268.34</v>
      </c>
      <c r="Q20">
        <f>VLOOKUP(B20,Ascendus!E:I,5,0)</f>
        <v>2346.89</v>
      </c>
      <c r="R20" s="38">
        <f t="shared" si="3"/>
        <v>32.259999999999764</v>
      </c>
      <c r="S20" t="s">
        <v>915</v>
      </c>
    </row>
    <row r="21" spans="1:19" x14ac:dyDescent="0.35">
      <c r="A21" t="s">
        <v>454</v>
      </c>
      <c r="B21" s="4">
        <v>256779412576</v>
      </c>
      <c r="C21" s="3">
        <v>45769</v>
      </c>
      <c r="D21" s="1">
        <v>-46</v>
      </c>
      <c r="E21" s="1">
        <v>-3943.44</v>
      </c>
      <c r="G21" t="s">
        <v>26</v>
      </c>
      <c r="H21" t="s">
        <v>11</v>
      </c>
      <c r="I21" s="2">
        <v>45809</v>
      </c>
      <c r="J21">
        <v>1</v>
      </c>
      <c r="K21" s="3">
        <v>45838</v>
      </c>
      <c r="L21">
        <v>210</v>
      </c>
      <c r="M21" t="s">
        <v>13</v>
      </c>
      <c r="N21" s="79">
        <f t="shared" si="2"/>
        <v>-2.0000304302842189E-2</v>
      </c>
      <c r="O21">
        <f>VLOOKUP(B21,'Customer TDS'!A:D,4,0)</f>
        <v>78.87</v>
      </c>
      <c r="P21" s="38">
        <f t="shared" si="0"/>
        <v>-3864.57</v>
      </c>
      <c r="Q21">
        <f>VLOOKUP(B21,Ascendus!E:I,5,0)</f>
        <v>3998.4</v>
      </c>
      <c r="R21" s="38">
        <f t="shared" si="3"/>
        <v>54.960000000000036</v>
      </c>
      <c r="S21" t="s">
        <v>915</v>
      </c>
    </row>
    <row r="22" spans="1:19" x14ac:dyDescent="0.35">
      <c r="A22" t="s">
        <v>454</v>
      </c>
      <c r="B22" s="4">
        <v>256779412577</v>
      </c>
      <c r="C22" s="3">
        <v>45769</v>
      </c>
      <c r="D22" s="1">
        <v>-46</v>
      </c>
      <c r="E22" s="1">
        <v>-3943.44</v>
      </c>
      <c r="G22" t="s">
        <v>26</v>
      </c>
      <c r="H22" t="s">
        <v>11</v>
      </c>
      <c r="I22" s="2">
        <v>45809</v>
      </c>
      <c r="J22">
        <v>1</v>
      </c>
      <c r="K22" s="3">
        <v>45838</v>
      </c>
      <c r="L22">
        <v>210</v>
      </c>
      <c r="M22" t="s">
        <v>13</v>
      </c>
      <c r="N22" s="79">
        <f t="shared" si="2"/>
        <v>-2.0000304302842189E-2</v>
      </c>
      <c r="O22">
        <f>VLOOKUP(B22,'Customer TDS'!A:D,4,0)</f>
        <v>78.87</v>
      </c>
      <c r="P22" s="38">
        <f t="shared" si="0"/>
        <v>-3864.57</v>
      </c>
      <c r="Q22">
        <f>VLOOKUP(B22,Ascendus!E:I,5,0)</f>
        <v>3998.4</v>
      </c>
      <c r="R22" s="38">
        <f t="shared" si="3"/>
        <v>54.960000000000036</v>
      </c>
      <c r="S22" t="s">
        <v>915</v>
      </c>
    </row>
    <row r="23" spans="1:19" x14ac:dyDescent="0.35">
      <c r="A23" t="s">
        <v>454</v>
      </c>
      <c r="B23" s="4">
        <v>256779412580</v>
      </c>
      <c r="C23" s="3">
        <v>45769</v>
      </c>
      <c r="D23" s="1">
        <v>-40.5</v>
      </c>
      <c r="E23" s="1">
        <v>-3471.94</v>
      </c>
      <c r="G23" t="s">
        <v>26</v>
      </c>
      <c r="H23" t="s">
        <v>11</v>
      </c>
      <c r="I23" s="2">
        <v>45809</v>
      </c>
      <c r="J23">
        <v>1</v>
      </c>
      <c r="K23" s="3">
        <v>45838</v>
      </c>
      <c r="L23">
        <v>210</v>
      </c>
      <c r="M23" t="s">
        <v>13</v>
      </c>
      <c r="N23" s="79">
        <f t="shared" si="2"/>
        <v>-2.000034562809265E-2</v>
      </c>
      <c r="O23">
        <f>VLOOKUP(B23,'Customer TDS'!A:D,4,0)</f>
        <v>69.44</v>
      </c>
      <c r="P23" s="38">
        <f t="shared" si="0"/>
        <v>-3402.5</v>
      </c>
      <c r="Q23">
        <f>VLOOKUP(B23,Ascendus!E:I,5,0)</f>
        <v>3520.33</v>
      </c>
      <c r="R23" s="38">
        <f t="shared" si="3"/>
        <v>48.389999999999873</v>
      </c>
      <c r="S23" t="s">
        <v>915</v>
      </c>
    </row>
    <row r="24" spans="1:19" x14ac:dyDescent="0.35">
      <c r="A24" t="s">
        <v>454</v>
      </c>
      <c r="B24" s="4">
        <v>256779412562</v>
      </c>
      <c r="C24" s="3">
        <v>45769</v>
      </c>
      <c r="D24" s="1">
        <v>-54.65</v>
      </c>
      <c r="E24" s="1">
        <v>-4684.9799999999996</v>
      </c>
      <c r="G24" t="s">
        <v>26</v>
      </c>
      <c r="H24" t="s">
        <v>11</v>
      </c>
      <c r="I24" s="2">
        <v>45809</v>
      </c>
      <c r="J24">
        <v>1</v>
      </c>
      <c r="K24" s="3">
        <v>45838</v>
      </c>
      <c r="L24">
        <v>210</v>
      </c>
      <c r="M24" t="s">
        <v>13</v>
      </c>
      <c r="N24" s="79">
        <f t="shared" si="2"/>
        <v>-1.9944588877647291E-2</v>
      </c>
      <c r="O24">
        <f>VLOOKUP(B24,'Customer TDS'!A:D,4,0)</f>
        <v>93.44</v>
      </c>
      <c r="P24" s="38">
        <f t="shared" si="0"/>
        <v>-4591.54</v>
      </c>
      <c r="Q24">
        <f>VLOOKUP(B24,Ascendus!E:I,5,0)</f>
        <v>4750.28</v>
      </c>
      <c r="R24" s="38">
        <f t="shared" si="3"/>
        <v>65.300000000000182</v>
      </c>
      <c r="S24" t="s">
        <v>915</v>
      </c>
    </row>
    <row r="25" spans="1:19" x14ac:dyDescent="0.35">
      <c r="A25" t="s">
        <v>454</v>
      </c>
      <c r="B25" s="4">
        <v>256779412564</v>
      </c>
      <c r="C25" s="3">
        <v>45769</v>
      </c>
      <c r="D25" s="1">
        <v>-55.2</v>
      </c>
      <c r="E25" s="1">
        <v>-4732.13</v>
      </c>
      <c r="G25" t="s">
        <v>26</v>
      </c>
      <c r="H25" t="s">
        <v>11</v>
      </c>
      <c r="I25" s="2">
        <v>45809</v>
      </c>
      <c r="J25">
        <v>1</v>
      </c>
      <c r="K25" s="3">
        <v>45838</v>
      </c>
      <c r="L25">
        <v>210</v>
      </c>
      <c r="M25" t="s">
        <v>13</v>
      </c>
      <c r="N25" s="79">
        <f t="shared" si="2"/>
        <v>-1.9927601312728093E-2</v>
      </c>
      <c r="O25">
        <f>VLOOKUP(B25,'Customer TDS'!A:D,4,0)</f>
        <v>94.3</v>
      </c>
      <c r="P25" s="38">
        <f t="shared" si="0"/>
        <v>-4637.83</v>
      </c>
      <c r="Q25">
        <f>VLOOKUP(B25,Ascendus!E:I,5,0)</f>
        <v>4798.08</v>
      </c>
      <c r="R25" s="38">
        <f t="shared" si="3"/>
        <v>65.949999999999818</v>
      </c>
      <c r="S25" t="s">
        <v>915</v>
      </c>
    </row>
    <row r="26" spans="1:19" x14ac:dyDescent="0.35">
      <c r="A26" t="s">
        <v>454</v>
      </c>
      <c r="B26" s="4">
        <v>256779412570</v>
      </c>
      <c r="C26" s="3">
        <v>45769</v>
      </c>
      <c r="D26" s="1">
        <v>-43.38</v>
      </c>
      <c r="E26" s="1">
        <v>-3718.84</v>
      </c>
      <c r="G26" t="s">
        <v>26</v>
      </c>
      <c r="H26" t="s">
        <v>11</v>
      </c>
      <c r="I26" s="2">
        <v>45809</v>
      </c>
      <c r="J26">
        <v>1</v>
      </c>
      <c r="K26" s="3">
        <v>45838</v>
      </c>
      <c r="L26">
        <v>210</v>
      </c>
      <c r="M26" t="s">
        <v>13</v>
      </c>
      <c r="N26" s="79">
        <f t="shared" si="2"/>
        <v>-2.0054640694410084E-2</v>
      </c>
      <c r="O26">
        <f>VLOOKUP(B26,'Customer TDS'!A:D,4,0)</f>
        <v>74.58</v>
      </c>
      <c r="P26" s="38">
        <f t="shared" si="0"/>
        <v>-3644.26</v>
      </c>
      <c r="Q26">
        <f>VLOOKUP(B26,Ascendus!E:I,5,0)</f>
        <v>3770.67</v>
      </c>
      <c r="R26" s="38">
        <f t="shared" si="3"/>
        <v>51.829999999999927</v>
      </c>
      <c r="S26" t="s">
        <v>915</v>
      </c>
    </row>
    <row r="27" spans="1:19" x14ac:dyDescent="0.35">
      <c r="A27" t="s">
        <v>454</v>
      </c>
      <c r="B27" s="4">
        <v>256779412581</v>
      </c>
      <c r="C27" s="3">
        <v>45769</v>
      </c>
      <c r="D27" s="1">
        <v>-51.5</v>
      </c>
      <c r="E27" s="1">
        <v>-4414.9399999999996</v>
      </c>
      <c r="G27" t="s">
        <v>26</v>
      </c>
      <c r="H27" t="s">
        <v>11</v>
      </c>
      <c r="I27" s="2">
        <v>45809</v>
      </c>
      <c r="J27">
        <v>1</v>
      </c>
      <c r="K27" s="3">
        <v>45838</v>
      </c>
      <c r="L27">
        <v>210</v>
      </c>
      <c r="M27" t="s">
        <v>13</v>
      </c>
      <c r="N27" s="79">
        <f t="shared" si="2"/>
        <v>-2.0000271804373332E-2</v>
      </c>
      <c r="O27">
        <f>VLOOKUP(B27,'Customer TDS'!A:D,4,0)</f>
        <v>88.3</v>
      </c>
      <c r="P27" s="38">
        <f t="shared" si="0"/>
        <v>-4326.6399999999994</v>
      </c>
      <c r="Q27">
        <f>VLOOKUP(B27,Ascendus!E:I,5,0)</f>
        <v>4476.47</v>
      </c>
      <c r="R27" s="38">
        <f t="shared" si="3"/>
        <v>61.530000000000655</v>
      </c>
      <c r="S27" t="s">
        <v>915</v>
      </c>
    </row>
    <row r="28" spans="1:19" x14ac:dyDescent="0.35">
      <c r="A28" t="s">
        <v>454</v>
      </c>
      <c r="B28" s="4">
        <v>256779412585</v>
      </c>
      <c r="C28" s="3">
        <v>45769</v>
      </c>
      <c r="D28" s="1">
        <v>-48.75</v>
      </c>
      <c r="E28" s="1">
        <v>-4179.1899999999996</v>
      </c>
      <c r="G28" t="s">
        <v>26</v>
      </c>
      <c r="H28" t="s">
        <v>11</v>
      </c>
      <c r="I28" s="2">
        <v>45809</v>
      </c>
      <c r="J28">
        <v>1</v>
      </c>
      <c r="K28" s="3">
        <v>45838</v>
      </c>
      <c r="L28">
        <v>210</v>
      </c>
      <c r="M28" t="s">
        <v>13</v>
      </c>
      <c r="N28" s="79">
        <f t="shared" si="2"/>
        <v>-2.0101981484450339E-2</v>
      </c>
      <c r="O28">
        <f>VLOOKUP(B28,'Customer TDS'!A:D,4,0)</f>
        <v>84.01</v>
      </c>
      <c r="P28" s="38">
        <f t="shared" si="0"/>
        <v>-4095.1799999999994</v>
      </c>
      <c r="Q28">
        <f>VLOOKUP(B28,Ascendus!E:I,5,0)</f>
        <v>4237.4399999999996</v>
      </c>
      <c r="R28" s="38">
        <f t="shared" si="3"/>
        <v>58.25</v>
      </c>
      <c r="S28" t="s">
        <v>915</v>
      </c>
    </row>
    <row r="29" spans="1:19" x14ac:dyDescent="0.35">
      <c r="A29" t="s">
        <v>454</v>
      </c>
      <c r="B29" s="4">
        <v>256779412583</v>
      </c>
      <c r="C29" s="3">
        <v>45769</v>
      </c>
      <c r="D29" s="1">
        <v>-51.75</v>
      </c>
      <c r="E29" s="1">
        <v>-4436.37</v>
      </c>
      <c r="G29" t="s">
        <v>26</v>
      </c>
      <c r="H29" t="s">
        <v>11</v>
      </c>
      <c r="I29" s="2">
        <v>45809</v>
      </c>
      <c r="J29">
        <v>1</v>
      </c>
      <c r="K29" s="3">
        <v>45838</v>
      </c>
      <c r="L29">
        <v>210</v>
      </c>
      <c r="M29" t="s">
        <v>13</v>
      </c>
      <c r="P29" s="38">
        <f t="shared" si="0"/>
        <v>-4436.37</v>
      </c>
      <c r="Q29">
        <f>VLOOKUP(B29,Ascendus!E:I,5,0)</f>
        <v>4498.2</v>
      </c>
      <c r="R29" s="38">
        <f t="shared" si="3"/>
        <v>61.829999999999927</v>
      </c>
      <c r="S29" t="s">
        <v>915</v>
      </c>
    </row>
    <row r="30" spans="1:19" x14ac:dyDescent="0.35">
      <c r="A30" t="s">
        <v>454</v>
      </c>
      <c r="B30" s="4">
        <v>256779412524</v>
      </c>
      <c r="C30" s="3">
        <v>45769</v>
      </c>
      <c r="D30" s="1">
        <v>0</v>
      </c>
      <c r="E30" s="1">
        <v>-9.39</v>
      </c>
      <c r="F30" t="s">
        <v>15</v>
      </c>
      <c r="G30" t="s">
        <v>26</v>
      </c>
      <c r="H30" t="s">
        <v>11</v>
      </c>
      <c r="I30" s="2">
        <v>45809</v>
      </c>
      <c r="J30">
        <v>14</v>
      </c>
      <c r="K30" s="3">
        <v>45838</v>
      </c>
      <c r="L30">
        <v>271</v>
      </c>
      <c r="M30" t="s">
        <v>13</v>
      </c>
      <c r="P30" s="38">
        <f t="shared" si="0"/>
        <v>-9.39</v>
      </c>
      <c r="S30" t="s">
        <v>918</v>
      </c>
    </row>
    <row r="31" spans="1:19" x14ac:dyDescent="0.35">
      <c r="A31" t="s">
        <v>454</v>
      </c>
      <c r="B31" s="4">
        <v>256779412529</v>
      </c>
      <c r="C31" s="3">
        <v>45769</v>
      </c>
      <c r="D31" s="1">
        <v>0</v>
      </c>
      <c r="E31" s="1">
        <v>-7.61</v>
      </c>
      <c r="F31" t="s">
        <v>15</v>
      </c>
      <c r="G31" t="s">
        <v>26</v>
      </c>
      <c r="H31" t="s">
        <v>11</v>
      </c>
      <c r="I31" s="2">
        <v>45809</v>
      </c>
      <c r="J31">
        <v>16</v>
      </c>
      <c r="K31" s="3">
        <v>45838</v>
      </c>
      <c r="L31">
        <v>271</v>
      </c>
      <c r="M31" t="s">
        <v>13</v>
      </c>
      <c r="P31" s="38">
        <f t="shared" si="0"/>
        <v>-7.61</v>
      </c>
      <c r="S31" t="s">
        <v>918</v>
      </c>
    </row>
    <row r="32" spans="1:19" x14ac:dyDescent="0.35">
      <c r="A32" t="s">
        <v>454</v>
      </c>
      <c r="B32" s="4">
        <v>256779412536</v>
      </c>
      <c r="C32" s="3">
        <v>45769</v>
      </c>
      <c r="D32" s="1">
        <v>0</v>
      </c>
      <c r="E32" s="1">
        <v>-9.5299999999999994</v>
      </c>
      <c r="F32" t="s">
        <v>15</v>
      </c>
      <c r="G32" t="s">
        <v>26</v>
      </c>
      <c r="H32" t="s">
        <v>11</v>
      </c>
      <c r="I32" s="2">
        <v>45809</v>
      </c>
      <c r="J32">
        <v>18</v>
      </c>
      <c r="K32" s="3">
        <v>45838</v>
      </c>
      <c r="L32">
        <v>271</v>
      </c>
      <c r="M32" t="s">
        <v>13</v>
      </c>
      <c r="P32" s="38">
        <f t="shared" si="0"/>
        <v>-9.5299999999999994</v>
      </c>
      <c r="S32" t="s">
        <v>918</v>
      </c>
    </row>
    <row r="33" spans="1:19" x14ac:dyDescent="0.35">
      <c r="A33" t="s">
        <v>454</v>
      </c>
      <c r="B33" s="4">
        <v>256779412537</v>
      </c>
      <c r="C33" s="3">
        <v>45769</v>
      </c>
      <c r="D33" s="1">
        <v>0</v>
      </c>
      <c r="E33" s="1">
        <v>-104.86</v>
      </c>
      <c r="F33" t="s">
        <v>15</v>
      </c>
      <c r="G33" t="s">
        <v>26</v>
      </c>
      <c r="H33" t="s">
        <v>11</v>
      </c>
      <c r="I33" s="2">
        <v>45809</v>
      </c>
      <c r="J33">
        <v>20</v>
      </c>
      <c r="K33" s="3">
        <v>45838</v>
      </c>
      <c r="L33">
        <v>271</v>
      </c>
      <c r="M33" t="s">
        <v>13</v>
      </c>
      <c r="P33" s="38">
        <f t="shared" si="0"/>
        <v>-104.86</v>
      </c>
      <c r="S33" t="s">
        <v>918</v>
      </c>
    </row>
    <row r="34" spans="1:19" x14ac:dyDescent="0.35">
      <c r="A34" t="s">
        <v>454</v>
      </c>
      <c r="B34" s="4">
        <v>256779412579</v>
      </c>
      <c r="C34" s="3">
        <v>45769</v>
      </c>
      <c r="D34" s="1">
        <v>0</v>
      </c>
      <c r="E34" s="1">
        <v>-14.83</v>
      </c>
      <c r="F34" t="s">
        <v>15</v>
      </c>
      <c r="G34" t="s">
        <v>26</v>
      </c>
      <c r="H34" t="s">
        <v>11</v>
      </c>
      <c r="I34" s="2">
        <v>45809</v>
      </c>
      <c r="J34">
        <v>22</v>
      </c>
      <c r="K34" s="3">
        <v>45838</v>
      </c>
      <c r="L34">
        <v>271</v>
      </c>
      <c r="M34" t="s">
        <v>13</v>
      </c>
      <c r="P34" s="38">
        <f t="shared" si="0"/>
        <v>-14.83</v>
      </c>
      <c r="S34" t="s">
        <v>918</v>
      </c>
    </row>
    <row r="35" spans="1:19" x14ac:dyDescent="0.35">
      <c r="A35" t="s">
        <v>454</v>
      </c>
      <c r="B35" s="4">
        <v>256779412586</v>
      </c>
      <c r="C35" s="3">
        <v>45769</v>
      </c>
      <c r="D35" s="1">
        <v>0</v>
      </c>
      <c r="E35" s="1">
        <v>-13.25</v>
      </c>
      <c r="F35" t="s">
        <v>15</v>
      </c>
      <c r="G35" t="s">
        <v>26</v>
      </c>
      <c r="H35" t="s">
        <v>11</v>
      </c>
      <c r="I35" s="2">
        <v>45809</v>
      </c>
      <c r="J35">
        <v>24</v>
      </c>
      <c r="K35" s="3">
        <v>45838</v>
      </c>
      <c r="L35">
        <v>271</v>
      </c>
      <c r="M35" t="s">
        <v>13</v>
      </c>
      <c r="P35" s="38">
        <f t="shared" si="0"/>
        <v>-13.25</v>
      </c>
      <c r="S35" t="s">
        <v>918</v>
      </c>
    </row>
    <row r="36" spans="1:19" x14ac:dyDescent="0.35">
      <c r="A36" t="s">
        <v>454</v>
      </c>
      <c r="B36" s="4">
        <v>256779412563</v>
      </c>
      <c r="C36" s="3">
        <v>45769</v>
      </c>
      <c r="D36" s="1">
        <v>0</v>
      </c>
      <c r="E36" s="1">
        <v>-6.94</v>
      </c>
      <c r="F36" t="s">
        <v>15</v>
      </c>
      <c r="G36" t="s">
        <v>26</v>
      </c>
      <c r="H36" t="s">
        <v>11</v>
      </c>
      <c r="I36" s="2">
        <v>45809</v>
      </c>
      <c r="J36">
        <v>48</v>
      </c>
      <c r="K36" s="3">
        <v>45838</v>
      </c>
      <c r="L36">
        <v>271</v>
      </c>
      <c r="M36" t="s">
        <v>13</v>
      </c>
      <c r="P36" s="38">
        <f t="shared" si="0"/>
        <v>-6.94</v>
      </c>
      <c r="S36" t="s">
        <v>918</v>
      </c>
    </row>
    <row r="37" spans="1:19" x14ac:dyDescent="0.35">
      <c r="A37" t="s">
        <v>454</v>
      </c>
      <c r="B37" s="4">
        <v>256779412576</v>
      </c>
      <c r="C37" s="3">
        <v>45769</v>
      </c>
      <c r="D37" s="1">
        <v>0</v>
      </c>
      <c r="E37" s="1">
        <v>-11.84</v>
      </c>
      <c r="F37" t="s">
        <v>15</v>
      </c>
      <c r="G37" t="s">
        <v>26</v>
      </c>
      <c r="H37" t="s">
        <v>11</v>
      </c>
      <c r="I37" s="2">
        <v>45809</v>
      </c>
      <c r="J37">
        <v>52</v>
      </c>
      <c r="K37" s="3">
        <v>45838</v>
      </c>
      <c r="L37">
        <v>271</v>
      </c>
      <c r="M37" t="s">
        <v>13</v>
      </c>
      <c r="P37" s="38">
        <f t="shared" si="0"/>
        <v>-11.84</v>
      </c>
      <c r="S37" t="s">
        <v>918</v>
      </c>
    </row>
    <row r="38" spans="1:19" x14ac:dyDescent="0.35">
      <c r="A38" t="s">
        <v>454</v>
      </c>
      <c r="B38" s="4">
        <v>256779412577</v>
      </c>
      <c r="C38" s="3">
        <v>45769</v>
      </c>
      <c r="D38" s="1">
        <v>0</v>
      </c>
      <c r="E38" s="1">
        <v>-11.84</v>
      </c>
      <c r="F38" t="s">
        <v>15</v>
      </c>
      <c r="G38" t="s">
        <v>26</v>
      </c>
      <c r="H38" t="s">
        <v>11</v>
      </c>
      <c r="I38" s="2">
        <v>45809</v>
      </c>
      <c r="J38">
        <v>54</v>
      </c>
      <c r="K38" s="3">
        <v>45838</v>
      </c>
      <c r="L38">
        <v>271</v>
      </c>
      <c r="M38" t="s">
        <v>13</v>
      </c>
      <c r="P38" s="38">
        <f t="shared" si="0"/>
        <v>-11.84</v>
      </c>
      <c r="S38" t="s">
        <v>918</v>
      </c>
    </row>
    <row r="39" spans="1:19" x14ac:dyDescent="0.35">
      <c r="A39" t="s">
        <v>454</v>
      </c>
      <c r="B39" s="4">
        <v>256779412580</v>
      </c>
      <c r="C39" s="3">
        <v>45769</v>
      </c>
      <c r="D39" s="1">
        <v>0</v>
      </c>
      <c r="E39" s="1">
        <v>-10.42</v>
      </c>
      <c r="F39" t="s">
        <v>15</v>
      </c>
      <c r="G39" t="s">
        <v>26</v>
      </c>
      <c r="H39" t="s">
        <v>11</v>
      </c>
      <c r="I39" s="2">
        <v>45809</v>
      </c>
      <c r="J39">
        <v>56</v>
      </c>
      <c r="K39" s="3">
        <v>45838</v>
      </c>
      <c r="L39">
        <v>271</v>
      </c>
      <c r="M39" t="s">
        <v>13</v>
      </c>
      <c r="P39" s="38">
        <f t="shared" si="0"/>
        <v>-10.42</v>
      </c>
      <c r="S39" t="s">
        <v>918</v>
      </c>
    </row>
    <row r="40" spans="1:19" x14ac:dyDescent="0.35">
      <c r="A40" t="s">
        <v>454</v>
      </c>
      <c r="B40" s="4">
        <v>256779412562</v>
      </c>
      <c r="C40" s="3">
        <v>45769</v>
      </c>
      <c r="D40" s="1">
        <v>0</v>
      </c>
      <c r="E40" s="1">
        <v>-14.06</v>
      </c>
      <c r="F40" t="s">
        <v>15</v>
      </c>
      <c r="G40" t="s">
        <v>26</v>
      </c>
      <c r="H40" t="s">
        <v>11</v>
      </c>
      <c r="I40" s="2">
        <v>45809</v>
      </c>
      <c r="J40">
        <v>66</v>
      </c>
      <c r="K40" s="3">
        <v>45838</v>
      </c>
      <c r="L40">
        <v>271</v>
      </c>
      <c r="M40" t="s">
        <v>13</v>
      </c>
      <c r="P40" s="38">
        <f t="shared" si="0"/>
        <v>-14.06</v>
      </c>
      <c r="S40" t="s">
        <v>918</v>
      </c>
    </row>
    <row r="41" spans="1:19" x14ac:dyDescent="0.35">
      <c r="A41" t="s">
        <v>454</v>
      </c>
      <c r="B41" s="4">
        <v>256779412564</v>
      </c>
      <c r="C41" s="3">
        <v>45769</v>
      </c>
      <c r="D41" s="1">
        <v>0</v>
      </c>
      <c r="E41" s="1">
        <v>-14.2</v>
      </c>
      <c r="F41" t="s">
        <v>15</v>
      </c>
      <c r="G41" t="s">
        <v>26</v>
      </c>
      <c r="H41" t="s">
        <v>11</v>
      </c>
      <c r="I41" s="2">
        <v>45809</v>
      </c>
      <c r="J41">
        <v>70</v>
      </c>
      <c r="K41" s="3">
        <v>45838</v>
      </c>
      <c r="L41">
        <v>271</v>
      </c>
      <c r="M41" t="s">
        <v>13</v>
      </c>
      <c r="P41" s="38">
        <f t="shared" si="0"/>
        <v>-14.2</v>
      </c>
      <c r="S41" t="s">
        <v>918</v>
      </c>
    </row>
    <row r="42" spans="1:19" x14ac:dyDescent="0.35">
      <c r="A42" t="s">
        <v>454</v>
      </c>
      <c r="B42" s="4">
        <v>256779412570</v>
      </c>
      <c r="C42" s="3">
        <v>45769</v>
      </c>
      <c r="D42" s="1">
        <v>0</v>
      </c>
      <c r="E42" s="1">
        <v>-11.15</v>
      </c>
      <c r="F42" t="s">
        <v>15</v>
      </c>
      <c r="G42" t="s">
        <v>26</v>
      </c>
      <c r="H42" t="s">
        <v>11</v>
      </c>
      <c r="I42" s="2">
        <v>45809</v>
      </c>
      <c r="J42">
        <v>72</v>
      </c>
      <c r="K42" s="3">
        <v>45838</v>
      </c>
      <c r="L42">
        <v>271</v>
      </c>
      <c r="M42" t="s">
        <v>13</v>
      </c>
      <c r="P42" s="38">
        <f t="shared" si="0"/>
        <v>-11.15</v>
      </c>
      <c r="S42" t="s">
        <v>918</v>
      </c>
    </row>
    <row r="43" spans="1:19" x14ac:dyDescent="0.35">
      <c r="A43" t="s">
        <v>454</v>
      </c>
      <c r="B43" s="4">
        <v>256779412581</v>
      </c>
      <c r="C43" s="3">
        <v>45769</v>
      </c>
      <c r="D43" s="1">
        <v>0</v>
      </c>
      <c r="E43" s="1">
        <v>-13.25</v>
      </c>
      <c r="F43" t="s">
        <v>15</v>
      </c>
      <c r="G43" t="s">
        <v>26</v>
      </c>
      <c r="H43" t="s">
        <v>11</v>
      </c>
      <c r="I43" s="2">
        <v>45809</v>
      </c>
      <c r="J43">
        <v>74</v>
      </c>
      <c r="K43" s="3">
        <v>45838</v>
      </c>
      <c r="L43">
        <v>271</v>
      </c>
      <c r="M43" t="s">
        <v>13</v>
      </c>
      <c r="P43" s="38">
        <f t="shared" si="0"/>
        <v>-13.25</v>
      </c>
      <c r="S43" t="s">
        <v>918</v>
      </c>
    </row>
    <row r="44" spans="1:19" x14ac:dyDescent="0.35">
      <c r="A44" t="s">
        <v>454</v>
      </c>
      <c r="B44" s="4">
        <v>256779412585</v>
      </c>
      <c r="C44" s="3">
        <v>45769</v>
      </c>
      <c r="D44" s="1">
        <v>0</v>
      </c>
      <c r="E44" s="1">
        <v>-12.54</v>
      </c>
      <c r="F44" t="s">
        <v>15</v>
      </c>
      <c r="G44" t="s">
        <v>26</v>
      </c>
      <c r="H44" t="s">
        <v>11</v>
      </c>
      <c r="I44" s="2">
        <v>45809</v>
      </c>
      <c r="J44">
        <v>78</v>
      </c>
      <c r="K44" s="3">
        <v>45838</v>
      </c>
      <c r="L44">
        <v>271</v>
      </c>
      <c r="M44" t="s">
        <v>13</v>
      </c>
      <c r="P44" s="38">
        <f t="shared" si="0"/>
        <v>-12.54</v>
      </c>
      <c r="S44" t="s">
        <v>918</v>
      </c>
    </row>
    <row r="45" spans="1:19" x14ac:dyDescent="0.35">
      <c r="A45" t="s">
        <v>454</v>
      </c>
      <c r="B45" s="4">
        <v>256779412583</v>
      </c>
      <c r="C45" s="3">
        <v>45769</v>
      </c>
      <c r="D45" s="1">
        <v>0</v>
      </c>
      <c r="E45" s="1">
        <v>-13.59</v>
      </c>
      <c r="F45" t="s">
        <v>15</v>
      </c>
      <c r="G45" t="s">
        <v>26</v>
      </c>
      <c r="H45" t="s">
        <v>11</v>
      </c>
      <c r="I45" s="2">
        <v>45809</v>
      </c>
      <c r="J45">
        <v>104</v>
      </c>
      <c r="K45" s="3">
        <v>45838</v>
      </c>
      <c r="L45">
        <v>271</v>
      </c>
      <c r="M45" t="s">
        <v>13</v>
      </c>
      <c r="P45" s="38">
        <f t="shared" si="0"/>
        <v>-13.59</v>
      </c>
      <c r="S45" t="s">
        <v>918</v>
      </c>
    </row>
    <row r="46" spans="1:19" x14ac:dyDescent="0.35">
      <c r="A46" t="s">
        <v>454</v>
      </c>
      <c r="B46" s="4">
        <v>256779418480</v>
      </c>
      <c r="C46" s="3">
        <v>45951</v>
      </c>
      <c r="D46" s="1">
        <v>-13.59</v>
      </c>
      <c r="E46" s="1">
        <v>-1204.8800000000001</v>
      </c>
      <c r="F46" t="s">
        <v>43</v>
      </c>
      <c r="G46" t="s">
        <v>44</v>
      </c>
      <c r="H46" t="s">
        <v>11</v>
      </c>
      <c r="I46" s="2">
        <v>45992</v>
      </c>
      <c r="J46">
        <v>1</v>
      </c>
      <c r="K46" s="3">
        <v>46006</v>
      </c>
      <c r="L46">
        <v>210</v>
      </c>
      <c r="M46" t="s">
        <v>13</v>
      </c>
      <c r="N46" s="79">
        <f>O46/E46</f>
        <v>-1.9869198592390943E-2</v>
      </c>
      <c r="O46">
        <f>VLOOKUP(B46,'Customer TDS'!A:D,4,0)</f>
        <v>23.94</v>
      </c>
      <c r="P46" s="38">
        <f t="shared" si="0"/>
        <v>-1180.94</v>
      </c>
      <c r="Q46">
        <f>VLOOKUP(B46,Ascendus!E:I,5,0)</f>
        <v>1198.51</v>
      </c>
      <c r="R46" s="38">
        <f t="shared" ref="R46:R47" si="4">E46+Q46</f>
        <v>-6.3700000000001182</v>
      </c>
      <c r="S46" t="s">
        <v>915</v>
      </c>
    </row>
    <row r="47" spans="1:19" x14ac:dyDescent="0.35">
      <c r="A47" t="s">
        <v>454</v>
      </c>
      <c r="B47" s="4">
        <v>256779418474</v>
      </c>
      <c r="C47" s="3">
        <v>45951</v>
      </c>
      <c r="D47" s="1">
        <v>-562.38</v>
      </c>
      <c r="E47" s="1">
        <v>-49860.33</v>
      </c>
      <c r="F47" t="s">
        <v>43</v>
      </c>
      <c r="G47" t="s">
        <v>44</v>
      </c>
      <c r="H47" t="s">
        <v>11</v>
      </c>
      <c r="I47" s="2">
        <v>46023</v>
      </c>
      <c r="J47">
        <v>1</v>
      </c>
      <c r="K47" s="3">
        <v>46050</v>
      </c>
      <c r="L47">
        <v>210</v>
      </c>
      <c r="M47" t="s">
        <v>13</v>
      </c>
      <c r="N47" s="79">
        <f>O47/E47</f>
        <v>-2.0004279955628049E-2</v>
      </c>
      <c r="O47">
        <f>VLOOKUP(B47,'Customer TDS'!A:D,4,0)</f>
        <v>997.42</v>
      </c>
      <c r="P47" s="38">
        <f t="shared" si="0"/>
        <v>-48862.91</v>
      </c>
      <c r="Q47">
        <f>VLOOKUP(B47,Ascendus!E:I,5,0)</f>
        <v>49596.73</v>
      </c>
      <c r="R47" s="38">
        <f t="shared" si="4"/>
        <v>-263.59999999999854</v>
      </c>
      <c r="S47" t="s">
        <v>915</v>
      </c>
    </row>
    <row r="48" spans="1:19" x14ac:dyDescent="0.35">
      <c r="A48" t="s">
        <v>454</v>
      </c>
      <c r="B48" s="4">
        <v>256779418474</v>
      </c>
      <c r="C48" s="3">
        <v>45951</v>
      </c>
      <c r="D48" s="1">
        <v>0</v>
      </c>
      <c r="E48" s="1">
        <v>-1591.62</v>
      </c>
      <c r="F48" t="s">
        <v>15</v>
      </c>
      <c r="G48" t="s">
        <v>44</v>
      </c>
      <c r="H48" t="s">
        <v>11</v>
      </c>
      <c r="I48" s="2">
        <v>46023</v>
      </c>
      <c r="J48">
        <v>78</v>
      </c>
      <c r="K48" s="3">
        <v>46053</v>
      </c>
      <c r="L48">
        <v>271</v>
      </c>
      <c r="M48" t="s">
        <v>13</v>
      </c>
      <c r="P48" s="38">
        <f t="shared" si="0"/>
        <v>-1591.62</v>
      </c>
      <c r="S48" t="s">
        <v>918</v>
      </c>
    </row>
    <row r="49" spans="1:19" x14ac:dyDescent="0.35">
      <c r="A49" t="s">
        <v>454</v>
      </c>
      <c r="B49" s="4">
        <v>256779418474</v>
      </c>
      <c r="C49" s="3">
        <v>45951</v>
      </c>
      <c r="D49" s="1">
        <v>0</v>
      </c>
      <c r="E49" s="1">
        <v>-14.27</v>
      </c>
      <c r="F49" t="s">
        <v>15</v>
      </c>
      <c r="G49" t="s">
        <v>44</v>
      </c>
      <c r="H49" t="s">
        <v>11</v>
      </c>
      <c r="I49" s="2">
        <v>46023</v>
      </c>
      <c r="J49">
        <v>80</v>
      </c>
      <c r="K49" s="3">
        <v>46053</v>
      </c>
      <c r="L49">
        <v>271</v>
      </c>
      <c r="M49" t="s">
        <v>13</v>
      </c>
      <c r="P49" s="38">
        <f t="shared" si="0"/>
        <v>-14.27</v>
      </c>
      <c r="S49" t="s">
        <v>918</v>
      </c>
    </row>
    <row r="50" spans="1:19" x14ac:dyDescent="0.35">
      <c r="A50" t="s">
        <v>454</v>
      </c>
      <c r="B50" s="4">
        <v>256779418474</v>
      </c>
      <c r="C50" s="3">
        <v>45951</v>
      </c>
      <c r="D50" s="1">
        <v>0</v>
      </c>
      <c r="E50" s="1">
        <v>-31.65</v>
      </c>
      <c r="F50" t="s">
        <v>15</v>
      </c>
      <c r="G50" t="s">
        <v>44</v>
      </c>
      <c r="H50" t="s">
        <v>11</v>
      </c>
      <c r="I50" s="2">
        <v>46023</v>
      </c>
      <c r="J50">
        <v>82</v>
      </c>
      <c r="K50" s="3">
        <v>46053</v>
      </c>
      <c r="L50">
        <v>271</v>
      </c>
      <c r="M50" t="s">
        <v>13</v>
      </c>
      <c r="P50" s="38">
        <f t="shared" si="0"/>
        <v>-31.65</v>
      </c>
      <c r="S50" t="s">
        <v>918</v>
      </c>
    </row>
    <row r="51" spans="1:19" x14ac:dyDescent="0.35">
      <c r="A51" t="s">
        <v>454</v>
      </c>
      <c r="B51" s="4">
        <v>256779413393</v>
      </c>
      <c r="C51" s="3">
        <v>45798</v>
      </c>
      <c r="D51" s="1">
        <v>-229.87</v>
      </c>
      <c r="E51" s="1">
        <v>-19625.03</v>
      </c>
      <c r="G51" t="s">
        <v>50</v>
      </c>
      <c r="H51" t="s">
        <v>11</v>
      </c>
      <c r="I51" s="2">
        <v>45839</v>
      </c>
      <c r="J51">
        <v>1</v>
      </c>
      <c r="K51" s="3">
        <v>45968</v>
      </c>
      <c r="L51">
        <v>210</v>
      </c>
      <c r="M51" t="s">
        <v>13</v>
      </c>
      <c r="P51" s="38">
        <f t="shared" si="0"/>
        <v>-19625.03</v>
      </c>
      <c r="Q51">
        <f>VLOOKUP(B51,Ascendus!E:I,5,0)</f>
        <v>19765.07</v>
      </c>
      <c r="R51" s="38">
        <f t="shared" ref="R51:R63" si="5">E51+Q51</f>
        <v>140.04000000000087</v>
      </c>
      <c r="S51" t="s">
        <v>915</v>
      </c>
    </row>
    <row r="52" spans="1:19" x14ac:dyDescent="0.35">
      <c r="A52" t="s">
        <v>454</v>
      </c>
      <c r="B52" s="4">
        <v>256779413394</v>
      </c>
      <c r="C52" s="3">
        <v>45798</v>
      </c>
      <c r="D52" s="1">
        <v>-218.17</v>
      </c>
      <c r="E52" s="1">
        <v>-18626.150000000001</v>
      </c>
      <c r="G52" t="s">
        <v>50</v>
      </c>
      <c r="H52" t="s">
        <v>11</v>
      </c>
      <c r="I52" s="2">
        <v>45839</v>
      </c>
      <c r="J52">
        <v>1</v>
      </c>
      <c r="K52" s="3">
        <v>45968</v>
      </c>
      <c r="L52">
        <v>210</v>
      </c>
      <c r="M52" t="s">
        <v>13</v>
      </c>
      <c r="P52" s="38">
        <f t="shared" si="0"/>
        <v>-18626.150000000001</v>
      </c>
      <c r="Q52">
        <f>VLOOKUP(B52,Ascendus!E:I,5,0)</f>
        <v>18759.060000000001</v>
      </c>
      <c r="R52" s="38">
        <f t="shared" si="5"/>
        <v>132.90999999999985</v>
      </c>
      <c r="S52" t="s">
        <v>915</v>
      </c>
    </row>
    <row r="53" spans="1:19" x14ac:dyDescent="0.35">
      <c r="A53" t="s">
        <v>454</v>
      </c>
      <c r="B53" s="4">
        <v>256779413403</v>
      </c>
      <c r="C53" s="3">
        <v>45798</v>
      </c>
      <c r="D53" s="1">
        <v>-402.88</v>
      </c>
      <c r="E53" s="1">
        <v>-34395.67</v>
      </c>
      <c r="G53" t="s">
        <v>50</v>
      </c>
      <c r="H53" t="s">
        <v>11</v>
      </c>
      <c r="I53" s="2">
        <v>45839</v>
      </c>
      <c r="J53">
        <v>1</v>
      </c>
      <c r="K53" s="3">
        <v>45968</v>
      </c>
      <c r="L53">
        <v>210</v>
      </c>
      <c r="M53" t="s">
        <v>13</v>
      </c>
      <c r="P53" s="38">
        <f t="shared" si="0"/>
        <v>-34395.67</v>
      </c>
      <c r="Q53">
        <f>VLOOKUP(B53,Ascendus!E:I,5,0)</f>
        <v>34641.11</v>
      </c>
      <c r="R53" s="38">
        <f t="shared" si="5"/>
        <v>245.44000000000233</v>
      </c>
      <c r="S53" t="s">
        <v>915</v>
      </c>
    </row>
    <row r="54" spans="1:19" x14ac:dyDescent="0.35">
      <c r="A54" t="s">
        <v>454</v>
      </c>
      <c r="B54" s="4">
        <v>256779413397</v>
      </c>
      <c r="C54" s="3">
        <v>45798</v>
      </c>
      <c r="D54" s="1">
        <v>-229.87</v>
      </c>
      <c r="E54" s="1">
        <v>-19625.03</v>
      </c>
      <c r="G54" t="s">
        <v>50</v>
      </c>
      <c r="H54" t="s">
        <v>11</v>
      </c>
      <c r="I54" s="2">
        <v>45839</v>
      </c>
      <c r="J54">
        <v>1</v>
      </c>
      <c r="K54" s="3">
        <v>45968</v>
      </c>
      <c r="L54">
        <v>210</v>
      </c>
      <c r="M54" t="s">
        <v>13</v>
      </c>
      <c r="P54" s="38">
        <f t="shared" si="0"/>
        <v>-19625.03</v>
      </c>
      <c r="Q54">
        <f>VLOOKUP(B54,Ascendus!E:I,5,0)</f>
        <v>19765.07</v>
      </c>
      <c r="R54" s="38">
        <f t="shared" si="5"/>
        <v>140.04000000000087</v>
      </c>
      <c r="S54" t="s">
        <v>915</v>
      </c>
    </row>
    <row r="55" spans="1:19" x14ac:dyDescent="0.35">
      <c r="A55" t="s">
        <v>454</v>
      </c>
      <c r="B55" s="4">
        <v>256779413398</v>
      </c>
      <c r="C55" s="3">
        <v>45798</v>
      </c>
      <c r="D55" s="1">
        <v>-218.17</v>
      </c>
      <c r="E55" s="1">
        <v>-18626.150000000001</v>
      </c>
      <c r="G55" t="s">
        <v>50</v>
      </c>
      <c r="H55" t="s">
        <v>11</v>
      </c>
      <c r="I55" s="2">
        <v>45839</v>
      </c>
      <c r="J55">
        <v>1</v>
      </c>
      <c r="K55" s="3">
        <v>45968</v>
      </c>
      <c r="L55">
        <v>210</v>
      </c>
      <c r="M55" t="s">
        <v>13</v>
      </c>
      <c r="P55" s="38">
        <f t="shared" si="0"/>
        <v>-18626.150000000001</v>
      </c>
      <c r="Q55">
        <f>VLOOKUP(B55,Ascendus!E:I,5,0)</f>
        <v>18759.060000000001</v>
      </c>
      <c r="R55" s="38">
        <f t="shared" si="5"/>
        <v>132.90999999999985</v>
      </c>
      <c r="S55" t="s">
        <v>915</v>
      </c>
    </row>
    <row r="56" spans="1:19" x14ac:dyDescent="0.35">
      <c r="A56" t="s">
        <v>454</v>
      </c>
      <c r="B56" s="4">
        <v>256779413400</v>
      </c>
      <c r="C56" s="3">
        <v>45798</v>
      </c>
      <c r="D56" s="1">
        <v>-218.17</v>
      </c>
      <c r="E56" s="1">
        <v>-18626.150000000001</v>
      </c>
      <c r="F56" t="s">
        <v>43</v>
      </c>
      <c r="G56" t="s">
        <v>50</v>
      </c>
      <c r="H56" t="s">
        <v>11</v>
      </c>
      <c r="I56" s="2">
        <v>45839</v>
      </c>
      <c r="J56">
        <v>1</v>
      </c>
      <c r="K56" s="3">
        <v>45968</v>
      </c>
      <c r="L56">
        <v>210</v>
      </c>
      <c r="M56" t="s">
        <v>13</v>
      </c>
      <c r="P56" s="38">
        <f t="shared" si="0"/>
        <v>-18626.150000000001</v>
      </c>
      <c r="Q56">
        <f>VLOOKUP(B56,Ascendus!E:I,5,0)</f>
        <v>18759.060000000001</v>
      </c>
      <c r="R56" s="38">
        <f t="shared" si="5"/>
        <v>132.90999999999985</v>
      </c>
      <c r="S56" t="s">
        <v>915</v>
      </c>
    </row>
    <row r="57" spans="1:19" x14ac:dyDescent="0.35">
      <c r="A57" t="s">
        <v>454</v>
      </c>
      <c r="B57" s="4">
        <v>256779413402</v>
      </c>
      <c r="C57" s="3">
        <v>45798</v>
      </c>
      <c r="D57" s="1">
        <v>-229.87</v>
      </c>
      <c r="E57" s="1">
        <v>-19625.03</v>
      </c>
      <c r="G57" t="s">
        <v>50</v>
      </c>
      <c r="H57" t="s">
        <v>11</v>
      </c>
      <c r="I57" s="2">
        <v>45839</v>
      </c>
      <c r="J57">
        <v>1</v>
      </c>
      <c r="K57" s="3">
        <v>45968</v>
      </c>
      <c r="L57">
        <v>210</v>
      </c>
      <c r="M57" t="s">
        <v>13</v>
      </c>
      <c r="P57" s="38">
        <f t="shared" si="0"/>
        <v>-19625.03</v>
      </c>
      <c r="Q57">
        <f>VLOOKUP(B57,Ascendus!E:I,5,0)</f>
        <v>19765.07</v>
      </c>
      <c r="R57" s="38">
        <f t="shared" si="5"/>
        <v>140.04000000000087</v>
      </c>
      <c r="S57" t="s">
        <v>915</v>
      </c>
    </row>
    <row r="58" spans="1:19" x14ac:dyDescent="0.35">
      <c r="A58" t="s">
        <v>454</v>
      </c>
      <c r="B58" s="4">
        <v>256779413396</v>
      </c>
      <c r="C58" s="3">
        <v>45798</v>
      </c>
      <c r="D58" s="1">
        <v>-218.17</v>
      </c>
      <c r="E58" s="1">
        <v>-18626.150000000001</v>
      </c>
      <c r="G58" t="s">
        <v>50</v>
      </c>
      <c r="H58" t="s">
        <v>11</v>
      </c>
      <c r="I58" s="2">
        <v>45839</v>
      </c>
      <c r="J58">
        <v>1</v>
      </c>
      <c r="K58" s="3">
        <v>45968</v>
      </c>
      <c r="L58">
        <v>210</v>
      </c>
      <c r="M58" t="s">
        <v>13</v>
      </c>
      <c r="N58" s="79">
        <f t="shared" ref="N58:N63" si="6">O58/E58</f>
        <v>-1.9984269427659501E-2</v>
      </c>
      <c r="O58">
        <f>VLOOKUP(B58,'Customer TDS'!A:D,4,0)</f>
        <v>372.23</v>
      </c>
      <c r="P58" s="38">
        <f t="shared" si="0"/>
        <v>-18253.920000000002</v>
      </c>
      <c r="Q58">
        <f>VLOOKUP(B58,Ascendus!E:I,5,0)</f>
        <v>18759.060000000001</v>
      </c>
      <c r="R58" s="38">
        <f t="shared" si="5"/>
        <v>132.90999999999985</v>
      </c>
      <c r="S58" t="s">
        <v>915</v>
      </c>
    </row>
    <row r="59" spans="1:19" x14ac:dyDescent="0.35">
      <c r="A59" t="s">
        <v>454</v>
      </c>
      <c r="B59" s="4">
        <v>256779413401</v>
      </c>
      <c r="C59" s="3">
        <v>45798</v>
      </c>
      <c r="D59" s="1">
        <v>-229.87</v>
      </c>
      <c r="E59" s="1">
        <v>-19625.03</v>
      </c>
      <c r="G59" t="s">
        <v>50</v>
      </c>
      <c r="H59" t="s">
        <v>11</v>
      </c>
      <c r="I59" s="2">
        <v>45839</v>
      </c>
      <c r="J59">
        <v>1</v>
      </c>
      <c r="K59" s="3">
        <v>45968</v>
      </c>
      <c r="L59">
        <v>210</v>
      </c>
      <c r="M59" t="s">
        <v>13</v>
      </c>
      <c r="N59" s="79">
        <f t="shared" si="6"/>
        <v>-2.0011179600744562E-2</v>
      </c>
      <c r="O59">
        <f>VLOOKUP(B59,'Customer TDS'!A:D,4,0)</f>
        <v>392.72</v>
      </c>
      <c r="P59" s="38">
        <f t="shared" si="0"/>
        <v>-19232.309999999998</v>
      </c>
      <c r="Q59">
        <f>VLOOKUP(B59,Ascendus!E:I,5,0)</f>
        <v>19765.07</v>
      </c>
      <c r="R59" s="38">
        <f t="shared" si="5"/>
        <v>140.04000000000087</v>
      </c>
      <c r="S59" t="s">
        <v>915</v>
      </c>
    </row>
    <row r="60" spans="1:19" x14ac:dyDescent="0.35">
      <c r="A60" t="s">
        <v>454</v>
      </c>
      <c r="B60" s="4">
        <v>256779413395</v>
      </c>
      <c r="C60" s="3">
        <v>45798</v>
      </c>
      <c r="D60" s="1">
        <v>-264.98</v>
      </c>
      <c r="E60" s="1">
        <v>-22622.53</v>
      </c>
      <c r="G60" t="s">
        <v>50</v>
      </c>
      <c r="H60" t="s">
        <v>11</v>
      </c>
      <c r="I60" s="2">
        <v>45839</v>
      </c>
      <c r="J60">
        <v>1</v>
      </c>
      <c r="K60" s="3">
        <v>45968</v>
      </c>
      <c r="L60">
        <v>210</v>
      </c>
      <c r="M60" t="s">
        <v>13</v>
      </c>
      <c r="N60" s="79">
        <f t="shared" si="6"/>
        <v>-2.000129958939164E-2</v>
      </c>
      <c r="O60">
        <f>VLOOKUP(B60,'Customer TDS'!A:D,4,0)</f>
        <v>452.48</v>
      </c>
      <c r="P60" s="38">
        <f t="shared" si="0"/>
        <v>-22170.05</v>
      </c>
      <c r="Q60">
        <f>VLOOKUP(B60,Ascendus!E:I,5,0)</f>
        <v>22783.96</v>
      </c>
      <c r="R60" s="38">
        <f t="shared" si="5"/>
        <v>161.43000000000029</v>
      </c>
      <c r="S60" t="s">
        <v>915</v>
      </c>
    </row>
    <row r="61" spans="1:19" x14ac:dyDescent="0.35">
      <c r="A61" t="s">
        <v>454</v>
      </c>
      <c r="B61" s="4">
        <v>256779413399</v>
      </c>
      <c r="C61" s="3">
        <v>45798</v>
      </c>
      <c r="D61" s="1">
        <v>-229.87</v>
      </c>
      <c r="E61" s="1">
        <v>-19625.03</v>
      </c>
      <c r="G61" t="s">
        <v>50</v>
      </c>
      <c r="H61" t="s">
        <v>11</v>
      </c>
      <c r="I61" s="2">
        <v>45839</v>
      </c>
      <c r="J61">
        <v>1</v>
      </c>
      <c r="K61" s="3">
        <v>45968</v>
      </c>
      <c r="L61">
        <v>210</v>
      </c>
      <c r="M61" t="s">
        <v>13</v>
      </c>
      <c r="N61" s="79">
        <f t="shared" si="6"/>
        <v>-2.0011179600744562E-2</v>
      </c>
      <c r="O61">
        <f>VLOOKUP(B61,'Customer TDS'!A:D,4,0)</f>
        <v>392.72</v>
      </c>
      <c r="P61" s="38">
        <f t="shared" si="0"/>
        <v>-19232.309999999998</v>
      </c>
      <c r="Q61">
        <f>VLOOKUP(B61,Ascendus!E:I,5,0)</f>
        <v>19765.07</v>
      </c>
      <c r="R61" s="38">
        <f t="shared" si="5"/>
        <v>140.04000000000087</v>
      </c>
      <c r="S61" t="s">
        <v>915</v>
      </c>
    </row>
    <row r="62" spans="1:19" x14ac:dyDescent="0.35">
      <c r="A62" t="s">
        <v>454</v>
      </c>
      <c r="B62" s="4">
        <v>256779413391</v>
      </c>
      <c r="C62" s="3">
        <v>45798</v>
      </c>
      <c r="D62" s="1">
        <v>-253.29</v>
      </c>
      <c r="E62" s="1">
        <v>-21624.5</v>
      </c>
      <c r="G62" t="s">
        <v>50</v>
      </c>
      <c r="H62" t="s">
        <v>11</v>
      </c>
      <c r="I62" s="2">
        <v>45901</v>
      </c>
      <c r="J62">
        <v>1</v>
      </c>
      <c r="K62" s="3">
        <v>45930</v>
      </c>
      <c r="L62">
        <v>210</v>
      </c>
      <c r="M62" t="s">
        <v>13</v>
      </c>
      <c r="N62" s="79">
        <f t="shared" si="6"/>
        <v>-2.0016647783763789E-2</v>
      </c>
      <c r="O62">
        <f>VLOOKUP(B62,'Customer TDS'!A:D,4,0)</f>
        <v>432.85</v>
      </c>
      <c r="P62" s="38">
        <f t="shared" si="0"/>
        <v>-21191.65</v>
      </c>
      <c r="Q62">
        <f>VLOOKUP(B62,Ascendus!E:I,5,0)</f>
        <v>21778.81</v>
      </c>
      <c r="R62" s="38">
        <f t="shared" si="5"/>
        <v>154.31000000000131</v>
      </c>
      <c r="S62" t="s">
        <v>915</v>
      </c>
    </row>
    <row r="63" spans="1:19" x14ac:dyDescent="0.35">
      <c r="A63" t="s">
        <v>454</v>
      </c>
      <c r="B63" s="4">
        <v>256779413392</v>
      </c>
      <c r="C63" s="3">
        <v>45798</v>
      </c>
      <c r="D63" s="1">
        <v>-218.17</v>
      </c>
      <c r="E63" s="1">
        <v>-18626.150000000001</v>
      </c>
      <c r="G63" t="s">
        <v>50</v>
      </c>
      <c r="H63" t="s">
        <v>11</v>
      </c>
      <c r="I63" s="2">
        <v>45901</v>
      </c>
      <c r="J63">
        <v>1</v>
      </c>
      <c r="K63" s="3">
        <v>45930</v>
      </c>
      <c r="L63">
        <v>210</v>
      </c>
      <c r="M63" t="s">
        <v>13</v>
      </c>
      <c r="N63" s="79">
        <f t="shared" si="6"/>
        <v>-1.9984269427659501E-2</v>
      </c>
      <c r="O63">
        <f>VLOOKUP(B63,'Customer TDS'!A:D,4,0)</f>
        <v>372.23</v>
      </c>
      <c r="P63" s="38">
        <f t="shared" si="0"/>
        <v>-18253.920000000002</v>
      </c>
      <c r="Q63">
        <f>VLOOKUP(B63,Ascendus!E:I,5,0)</f>
        <v>18759.060000000001</v>
      </c>
      <c r="R63" s="38">
        <f t="shared" si="5"/>
        <v>132.90999999999985</v>
      </c>
      <c r="S63" t="s">
        <v>915</v>
      </c>
    </row>
    <row r="64" spans="1:19" x14ac:dyDescent="0.35">
      <c r="A64" t="s">
        <v>454</v>
      </c>
      <c r="B64" s="4">
        <v>256779413391</v>
      </c>
      <c r="C64" s="3">
        <v>45798</v>
      </c>
      <c r="D64" s="1">
        <v>0</v>
      </c>
      <c r="E64" s="1">
        <v>-815.41</v>
      </c>
      <c r="F64" t="s">
        <v>15</v>
      </c>
      <c r="G64" t="s">
        <v>50</v>
      </c>
      <c r="H64" t="s">
        <v>11</v>
      </c>
      <c r="I64" s="2">
        <v>45901</v>
      </c>
      <c r="J64">
        <v>64</v>
      </c>
      <c r="K64" s="3">
        <v>45930</v>
      </c>
      <c r="L64">
        <v>271</v>
      </c>
      <c r="M64" t="s">
        <v>13</v>
      </c>
      <c r="P64" s="38">
        <f t="shared" si="0"/>
        <v>-815.41</v>
      </c>
      <c r="S64" t="s">
        <v>918</v>
      </c>
    </row>
    <row r="65" spans="1:19" x14ac:dyDescent="0.35">
      <c r="A65" t="s">
        <v>454</v>
      </c>
      <c r="B65" s="4">
        <v>256779413392</v>
      </c>
      <c r="C65" s="3">
        <v>45798</v>
      </c>
      <c r="D65" s="1">
        <v>0</v>
      </c>
      <c r="E65" s="1">
        <v>-702.37</v>
      </c>
      <c r="F65" t="s">
        <v>15</v>
      </c>
      <c r="G65" t="s">
        <v>50</v>
      </c>
      <c r="H65" t="s">
        <v>11</v>
      </c>
      <c r="I65" s="2">
        <v>45901</v>
      </c>
      <c r="J65">
        <v>70</v>
      </c>
      <c r="K65" s="3">
        <v>45930</v>
      </c>
      <c r="L65">
        <v>271</v>
      </c>
      <c r="M65" t="s">
        <v>13</v>
      </c>
      <c r="P65" s="38">
        <f t="shared" si="0"/>
        <v>-702.37</v>
      </c>
      <c r="S65" t="s">
        <v>918</v>
      </c>
    </row>
    <row r="66" spans="1:19" x14ac:dyDescent="0.35">
      <c r="A66" t="s">
        <v>454</v>
      </c>
      <c r="B66" s="4">
        <v>256779412184</v>
      </c>
      <c r="C66" s="3">
        <v>45768</v>
      </c>
      <c r="D66" s="1">
        <v>-93.23</v>
      </c>
      <c r="E66" s="1">
        <v>-7992.33</v>
      </c>
      <c r="G66" t="s">
        <v>58</v>
      </c>
      <c r="H66" t="s">
        <v>11</v>
      </c>
      <c r="I66" s="2">
        <v>45809</v>
      </c>
      <c r="J66">
        <v>1</v>
      </c>
      <c r="K66" s="3">
        <v>45838</v>
      </c>
      <c r="L66">
        <v>210</v>
      </c>
      <c r="M66" t="s">
        <v>13</v>
      </c>
      <c r="N66" s="79">
        <f>O66/E66</f>
        <v>-1.9950377424355601E-2</v>
      </c>
      <c r="O66">
        <f>VLOOKUP(B66,'Customer TDS'!A:D,4,0)</f>
        <v>159.44999999999999</v>
      </c>
      <c r="P66" s="38">
        <f t="shared" si="0"/>
        <v>-7832.88</v>
      </c>
      <c r="Q66">
        <f>VLOOKUP(B66,Ascendus!E:I,5,0)</f>
        <v>8000.07</v>
      </c>
      <c r="R66" s="38">
        <f t="shared" ref="R66:R69" si="7">E66+Q66</f>
        <v>7.7399999999997817</v>
      </c>
      <c r="S66" t="s">
        <v>915</v>
      </c>
    </row>
    <row r="67" spans="1:19" x14ac:dyDescent="0.35">
      <c r="A67" t="s">
        <v>454</v>
      </c>
      <c r="B67" s="4">
        <v>256779412185</v>
      </c>
      <c r="C67" s="3">
        <v>45768</v>
      </c>
      <c r="D67" s="1">
        <v>-51.28</v>
      </c>
      <c r="E67" s="1">
        <v>-4396.08</v>
      </c>
      <c r="G67" t="s">
        <v>58</v>
      </c>
      <c r="H67" t="s">
        <v>11</v>
      </c>
      <c r="I67" s="2">
        <v>45809</v>
      </c>
      <c r="J67">
        <v>1</v>
      </c>
      <c r="K67" s="3">
        <v>45838</v>
      </c>
      <c r="L67">
        <v>210</v>
      </c>
      <c r="M67" t="s">
        <v>13</v>
      </c>
      <c r="N67" s="79">
        <f>O67/E67</f>
        <v>-2.0086076686502519E-2</v>
      </c>
      <c r="O67">
        <f>VLOOKUP(B67,'Customer TDS'!A:D,4,0)</f>
        <v>88.3</v>
      </c>
      <c r="P67" s="38">
        <f t="shared" si="0"/>
        <v>-4307.78</v>
      </c>
      <c r="Q67">
        <f>VLOOKUP(B67,Ascendus!E:I,5,0)</f>
        <v>4400.34</v>
      </c>
      <c r="R67" s="38">
        <f t="shared" si="7"/>
        <v>4.2600000000002183</v>
      </c>
      <c r="S67" t="s">
        <v>915</v>
      </c>
    </row>
    <row r="68" spans="1:19" x14ac:dyDescent="0.35">
      <c r="A68" t="s">
        <v>454</v>
      </c>
      <c r="B68" s="4">
        <v>256779412189</v>
      </c>
      <c r="C68" s="3">
        <v>45768</v>
      </c>
      <c r="D68" s="1">
        <v>0</v>
      </c>
      <c r="E68" s="1">
        <v>-262.20999999999998</v>
      </c>
      <c r="G68" t="s">
        <v>58</v>
      </c>
      <c r="H68" t="s">
        <v>59</v>
      </c>
      <c r="I68" s="2">
        <v>45809</v>
      </c>
      <c r="J68">
        <v>1</v>
      </c>
      <c r="K68" s="3">
        <v>45838</v>
      </c>
      <c r="L68">
        <v>210</v>
      </c>
      <c r="M68" t="s">
        <v>13</v>
      </c>
      <c r="N68" s="79">
        <f>O68/E68</f>
        <v>-2.2882422485793832E-2</v>
      </c>
      <c r="O68">
        <f>VLOOKUP(B68,'Customer TDS'!A:D,4,0)</f>
        <v>6</v>
      </c>
      <c r="P68" s="38">
        <f t="shared" ref="P68:P131" si="8">E68+O68</f>
        <v>-256.20999999999998</v>
      </c>
      <c r="Q68">
        <f>VLOOKUP(B68,Ascendus!E:I,5,0)</f>
        <v>262.20999999999998</v>
      </c>
      <c r="R68" s="38">
        <f t="shared" si="7"/>
        <v>0</v>
      </c>
      <c r="S68" t="s">
        <v>915</v>
      </c>
    </row>
    <row r="69" spans="1:19" x14ac:dyDescent="0.35">
      <c r="A69" t="s">
        <v>454</v>
      </c>
      <c r="B69" s="4">
        <v>256779412155</v>
      </c>
      <c r="C69" s="3">
        <v>45768</v>
      </c>
      <c r="D69" s="1">
        <v>-2330.73</v>
      </c>
      <c r="E69" s="1">
        <v>-199806.42</v>
      </c>
      <c r="G69" t="s">
        <v>58</v>
      </c>
      <c r="H69" t="s">
        <v>11</v>
      </c>
      <c r="I69" s="2">
        <v>45809</v>
      </c>
      <c r="J69">
        <v>1</v>
      </c>
      <c r="K69" s="3">
        <v>45838</v>
      </c>
      <c r="L69">
        <v>210</v>
      </c>
      <c r="M69" t="s">
        <v>13</v>
      </c>
      <c r="N69" s="79">
        <f>O69/E69</f>
        <v>-1.9998006070075226E-2</v>
      </c>
      <c r="O69">
        <f>VLOOKUP(B69,'Customer TDS'!A:D,4,0)</f>
        <v>3995.73</v>
      </c>
      <c r="P69" s="38">
        <f t="shared" si="8"/>
        <v>-195810.69</v>
      </c>
      <c r="Q69">
        <f>VLOOKUP(B69,Ascendus!E:I,5,0)</f>
        <v>199999.94</v>
      </c>
      <c r="R69" s="38">
        <f t="shared" si="7"/>
        <v>193.51999999998952</v>
      </c>
      <c r="S69" t="s">
        <v>915</v>
      </c>
    </row>
    <row r="70" spans="1:19" x14ac:dyDescent="0.35">
      <c r="A70" t="s">
        <v>454</v>
      </c>
      <c r="B70" s="4">
        <v>256779412184</v>
      </c>
      <c r="C70" s="3">
        <v>45768</v>
      </c>
      <c r="D70" s="1">
        <v>0</v>
      </c>
      <c r="E70" s="1">
        <v>-23.98</v>
      </c>
      <c r="F70" t="s">
        <v>15</v>
      </c>
      <c r="G70" t="s">
        <v>58</v>
      </c>
      <c r="H70" t="s">
        <v>11</v>
      </c>
      <c r="I70" s="2">
        <v>45809</v>
      </c>
      <c r="J70">
        <v>42</v>
      </c>
      <c r="K70" s="3">
        <v>45838</v>
      </c>
      <c r="L70">
        <v>271</v>
      </c>
      <c r="M70" t="s">
        <v>13</v>
      </c>
      <c r="P70" s="38">
        <f t="shared" si="8"/>
        <v>-23.98</v>
      </c>
      <c r="S70" t="s">
        <v>918</v>
      </c>
    </row>
    <row r="71" spans="1:19" x14ac:dyDescent="0.35">
      <c r="A71" t="s">
        <v>454</v>
      </c>
      <c r="B71" s="4">
        <v>256779412185</v>
      </c>
      <c r="C71" s="3">
        <v>45768</v>
      </c>
      <c r="D71" s="1">
        <v>0</v>
      </c>
      <c r="E71" s="1">
        <v>-13.19</v>
      </c>
      <c r="F71" t="s">
        <v>15</v>
      </c>
      <c r="G71" t="s">
        <v>58</v>
      </c>
      <c r="H71" t="s">
        <v>11</v>
      </c>
      <c r="I71" s="2">
        <v>45809</v>
      </c>
      <c r="J71">
        <v>46</v>
      </c>
      <c r="K71" s="3">
        <v>45838</v>
      </c>
      <c r="L71">
        <v>271</v>
      </c>
      <c r="M71" t="s">
        <v>13</v>
      </c>
      <c r="P71" s="38">
        <f t="shared" si="8"/>
        <v>-13.19</v>
      </c>
      <c r="S71" t="s">
        <v>918</v>
      </c>
    </row>
    <row r="72" spans="1:19" x14ac:dyDescent="0.35">
      <c r="A72" t="s">
        <v>454</v>
      </c>
      <c r="B72" s="4">
        <v>256779412155</v>
      </c>
      <c r="C72" s="3">
        <v>45768</v>
      </c>
      <c r="D72" s="1">
        <v>0</v>
      </c>
      <c r="E72" s="1">
        <v>-599.66999999999996</v>
      </c>
      <c r="F72" t="s">
        <v>15</v>
      </c>
      <c r="G72" t="s">
        <v>58</v>
      </c>
      <c r="H72" t="s">
        <v>11</v>
      </c>
      <c r="I72" s="2">
        <v>45809</v>
      </c>
      <c r="J72">
        <v>84</v>
      </c>
      <c r="K72" s="3">
        <v>45838</v>
      </c>
      <c r="L72">
        <v>271</v>
      </c>
      <c r="M72" t="s">
        <v>13</v>
      </c>
      <c r="P72" s="38">
        <f t="shared" si="8"/>
        <v>-599.66999999999996</v>
      </c>
      <c r="S72" t="s">
        <v>918</v>
      </c>
    </row>
    <row r="73" spans="1:19" x14ac:dyDescent="0.35">
      <c r="A73" t="s">
        <v>454</v>
      </c>
      <c r="B73" s="4">
        <v>256779419542</v>
      </c>
      <c r="C73" s="3">
        <v>45981</v>
      </c>
      <c r="D73" s="1">
        <v>-409.4</v>
      </c>
      <c r="E73" s="1">
        <v>-36130.6</v>
      </c>
      <c r="F73" t="s">
        <v>64</v>
      </c>
      <c r="G73" t="s">
        <v>65</v>
      </c>
      <c r="H73" t="s">
        <v>11</v>
      </c>
      <c r="I73" s="2">
        <v>45992</v>
      </c>
      <c r="J73">
        <v>1</v>
      </c>
      <c r="K73" s="3">
        <v>46006</v>
      </c>
      <c r="L73">
        <v>210</v>
      </c>
      <c r="M73" t="s">
        <v>13</v>
      </c>
      <c r="N73" s="79">
        <f>O73/E73</f>
        <v>-2.0004926571936255E-2</v>
      </c>
      <c r="O73">
        <f>VLOOKUP(B73,'Customer TDS'!A:D,4,0)</f>
        <v>722.79</v>
      </c>
      <c r="P73" s="38">
        <f t="shared" si="8"/>
        <v>-35407.81</v>
      </c>
      <c r="Q73">
        <f>VLOOKUP(B73,Ascendus!E:I,5,0)</f>
        <v>36028.589999999997</v>
      </c>
      <c r="R73" s="38">
        <f t="shared" ref="R73:R76" si="9">E73+Q73</f>
        <v>-102.01000000000204</v>
      </c>
      <c r="S73" t="s">
        <v>915</v>
      </c>
    </row>
    <row r="74" spans="1:19" x14ac:dyDescent="0.35">
      <c r="A74" t="s">
        <v>454</v>
      </c>
      <c r="B74" s="4">
        <v>256779419531</v>
      </c>
      <c r="C74" s="3">
        <v>45981</v>
      </c>
      <c r="D74" s="1">
        <v>-417.77</v>
      </c>
      <c r="E74" s="1">
        <v>-36869.279999999999</v>
      </c>
      <c r="F74" t="s">
        <v>43</v>
      </c>
      <c r="G74" t="s">
        <v>65</v>
      </c>
      <c r="H74" t="s">
        <v>11</v>
      </c>
      <c r="I74" s="2">
        <v>46023</v>
      </c>
      <c r="J74">
        <v>1</v>
      </c>
      <c r="K74" s="3">
        <v>46049</v>
      </c>
      <c r="L74">
        <v>210</v>
      </c>
      <c r="M74" t="s">
        <v>13</v>
      </c>
      <c r="N74" s="79">
        <f>O74/E74</f>
        <v>-2.0010968481076929E-2</v>
      </c>
      <c r="O74">
        <f>VLOOKUP(B74,'Customer TDS'!A:D,4,0)</f>
        <v>737.79</v>
      </c>
      <c r="P74" s="38">
        <f t="shared" si="8"/>
        <v>-36131.49</v>
      </c>
      <c r="Q74">
        <f>VLOOKUP(B74,Ascendus!E:I,5,0)</f>
        <v>36765.18</v>
      </c>
      <c r="R74" s="38">
        <f t="shared" si="9"/>
        <v>-104.09999999999854</v>
      </c>
      <c r="S74" t="s">
        <v>915</v>
      </c>
    </row>
    <row r="75" spans="1:19" x14ac:dyDescent="0.35">
      <c r="A75" t="s">
        <v>454</v>
      </c>
      <c r="B75" s="4">
        <v>256779419620</v>
      </c>
      <c r="C75" s="3">
        <v>45981</v>
      </c>
      <c r="D75" s="1">
        <v>-102.39</v>
      </c>
      <c r="E75" s="1">
        <v>-9036.18</v>
      </c>
      <c r="F75" t="s">
        <v>43</v>
      </c>
      <c r="G75" t="s">
        <v>65</v>
      </c>
      <c r="H75" t="s">
        <v>11</v>
      </c>
      <c r="I75" s="2">
        <v>46023</v>
      </c>
      <c r="J75">
        <v>1</v>
      </c>
      <c r="K75" s="3">
        <v>46049</v>
      </c>
      <c r="L75">
        <v>210</v>
      </c>
      <c r="M75" t="s">
        <v>13</v>
      </c>
      <c r="N75" s="79">
        <f>O75/E75</f>
        <v>-2.0021734848132727E-2</v>
      </c>
      <c r="O75">
        <f>VLOOKUP(B75,'Customer TDS'!A:D,4,0)</f>
        <v>180.92</v>
      </c>
      <c r="P75" s="38">
        <f t="shared" si="8"/>
        <v>-8855.26</v>
      </c>
      <c r="Q75">
        <f>VLOOKUP(B75,Ascendus!E:I,5,0)</f>
        <v>9010.67</v>
      </c>
      <c r="R75" s="38">
        <f t="shared" si="9"/>
        <v>-25.510000000000218</v>
      </c>
      <c r="S75" t="s">
        <v>915</v>
      </c>
    </row>
    <row r="76" spans="1:19" x14ac:dyDescent="0.35">
      <c r="A76" t="s">
        <v>454</v>
      </c>
      <c r="B76" s="4">
        <v>256779418653</v>
      </c>
      <c r="C76" s="3">
        <v>45950</v>
      </c>
      <c r="D76" s="1">
        <v>-170.68</v>
      </c>
      <c r="E76" s="1">
        <v>-15132.4</v>
      </c>
      <c r="F76" t="s">
        <v>43</v>
      </c>
      <c r="G76" t="s">
        <v>70</v>
      </c>
      <c r="H76" t="s">
        <v>11</v>
      </c>
      <c r="I76" s="2">
        <v>46023</v>
      </c>
      <c r="J76">
        <v>1</v>
      </c>
      <c r="K76" s="3">
        <v>46050</v>
      </c>
      <c r="L76">
        <v>210</v>
      </c>
      <c r="M76" t="s">
        <v>13</v>
      </c>
      <c r="N76" s="79">
        <f>O76/E76</f>
        <v>-1.9978985488091777E-2</v>
      </c>
      <c r="O76">
        <f>VLOOKUP(B76,'Customer TDS'!A:D,4,0)</f>
        <v>302.33</v>
      </c>
      <c r="P76" s="38">
        <f t="shared" si="8"/>
        <v>-14830.07</v>
      </c>
      <c r="Q76">
        <f>VLOOKUP(B76,Ascendus!E:I,5,0)</f>
        <v>15052.4</v>
      </c>
      <c r="R76" s="38">
        <f t="shared" si="9"/>
        <v>-80</v>
      </c>
      <c r="S76" t="s">
        <v>915</v>
      </c>
    </row>
    <row r="77" spans="1:19" x14ac:dyDescent="0.35">
      <c r="A77" t="s">
        <v>454</v>
      </c>
      <c r="B77" s="4">
        <v>256779418653</v>
      </c>
      <c r="C77" s="3">
        <v>45950</v>
      </c>
      <c r="D77" s="1">
        <v>0</v>
      </c>
      <c r="E77" s="1">
        <v>-166.44</v>
      </c>
      <c r="F77" t="s">
        <v>15</v>
      </c>
      <c r="G77" t="s">
        <v>70</v>
      </c>
      <c r="H77" t="s">
        <v>11</v>
      </c>
      <c r="I77" s="2">
        <v>46023</v>
      </c>
      <c r="J77">
        <v>90</v>
      </c>
      <c r="K77" s="3">
        <v>46053</v>
      </c>
      <c r="L77">
        <v>271</v>
      </c>
      <c r="M77" t="s">
        <v>13</v>
      </c>
      <c r="P77" s="38">
        <f t="shared" si="8"/>
        <v>-166.44</v>
      </c>
      <c r="S77" t="s">
        <v>918</v>
      </c>
    </row>
    <row r="78" spans="1:19" x14ac:dyDescent="0.35">
      <c r="A78" t="s">
        <v>454</v>
      </c>
      <c r="B78" s="4">
        <v>256779418653</v>
      </c>
      <c r="C78" s="3">
        <v>45950</v>
      </c>
      <c r="D78" s="1">
        <v>0</v>
      </c>
      <c r="E78" s="1">
        <v>-330.56</v>
      </c>
      <c r="F78" t="s">
        <v>15</v>
      </c>
      <c r="G78" t="s">
        <v>70</v>
      </c>
      <c r="H78" t="s">
        <v>11</v>
      </c>
      <c r="I78" s="2">
        <v>46023</v>
      </c>
      <c r="J78">
        <v>92</v>
      </c>
      <c r="K78" s="3">
        <v>46053</v>
      </c>
      <c r="L78">
        <v>271</v>
      </c>
      <c r="M78" t="s">
        <v>13</v>
      </c>
      <c r="P78" s="38">
        <f t="shared" si="8"/>
        <v>-330.56</v>
      </c>
      <c r="S78" t="s">
        <v>918</v>
      </c>
    </row>
    <row r="79" spans="1:19" x14ac:dyDescent="0.35">
      <c r="A79" t="s">
        <v>454</v>
      </c>
      <c r="B79" s="4">
        <v>256779416869</v>
      </c>
      <c r="C79" s="3">
        <v>45889</v>
      </c>
      <c r="D79" s="1">
        <v>-115.98</v>
      </c>
      <c r="E79" s="1">
        <v>-10047.450000000001</v>
      </c>
      <c r="F79" t="s">
        <v>43</v>
      </c>
      <c r="G79" t="s">
        <v>72</v>
      </c>
      <c r="H79" t="s">
        <v>11</v>
      </c>
      <c r="I79" s="2">
        <v>46023</v>
      </c>
      <c r="J79">
        <v>1</v>
      </c>
      <c r="K79" s="3">
        <v>46050</v>
      </c>
      <c r="L79">
        <v>210</v>
      </c>
      <c r="M79" t="s">
        <v>13</v>
      </c>
      <c r="N79" s="79">
        <f>O79/E79</f>
        <v>-2.0003085359966956E-2</v>
      </c>
      <c r="O79">
        <f>VLOOKUP(B79,'Customer TDS'!A:D,4,0)</f>
        <v>200.98</v>
      </c>
      <c r="P79" s="38">
        <f t="shared" si="8"/>
        <v>-9846.4700000000012</v>
      </c>
      <c r="Q79">
        <f>VLOOKUP(B79,Ascendus!E:I,5,0)</f>
        <v>9977.77</v>
      </c>
      <c r="R79" s="38">
        <f t="shared" ref="R79:R80" si="10">E79+Q79</f>
        <v>-69.680000000000291</v>
      </c>
      <c r="S79" t="s">
        <v>915</v>
      </c>
    </row>
    <row r="80" spans="1:19" x14ac:dyDescent="0.35">
      <c r="A80" t="s">
        <v>454</v>
      </c>
      <c r="B80" s="4">
        <v>256779416838</v>
      </c>
      <c r="C80" s="3">
        <v>45889</v>
      </c>
      <c r="D80" s="1">
        <v>-685.03</v>
      </c>
      <c r="E80" s="1">
        <v>-59344.77</v>
      </c>
      <c r="F80" t="s">
        <v>43</v>
      </c>
      <c r="G80" t="s">
        <v>72</v>
      </c>
      <c r="H80" t="s">
        <v>11</v>
      </c>
      <c r="I80" s="2">
        <v>46023</v>
      </c>
      <c r="J80">
        <v>1</v>
      </c>
      <c r="K80" s="3">
        <v>46050</v>
      </c>
      <c r="L80">
        <v>210</v>
      </c>
      <c r="M80" t="s">
        <v>13</v>
      </c>
      <c r="N80" s="79">
        <f>O80/E80</f>
        <v>-1.9999066472074962E-2</v>
      </c>
      <c r="O80">
        <f>VLOOKUP(B80,'Customer TDS'!A:D,4,0)</f>
        <v>1186.8399999999999</v>
      </c>
      <c r="P80" s="38">
        <f t="shared" si="8"/>
        <v>-58157.93</v>
      </c>
      <c r="Q80">
        <f>VLOOKUP(B80,Ascendus!E:I,5,0)</f>
        <v>58933.21</v>
      </c>
      <c r="R80" s="38">
        <f t="shared" si="10"/>
        <v>-411.55999999999767</v>
      </c>
      <c r="S80" t="s">
        <v>915</v>
      </c>
    </row>
    <row r="81" spans="1:19" x14ac:dyDescent="0.35">
      <c r="A81" t="s">
        <v>454</v>
      </c>
      <c r="B81" s="4">
        <v>256779416869</v>
      </c>
      <c r="C81" s="3">
        <v>45889</v>
      </c>
      <c r="D81" s="1">
        <v>0</v>
      </c>
      <c r="E81" s="1">
        <v>-568.28</v>
      </c>
      <c r="F81" t="s">
        <v>15</v>
      </c>
      <c r="G81" t="s">
        <v>72</v>
      </c>
      <c r="H81" t="s">
        <v>11</v>
      </c>
      <c r="I81" s="2">
        <v>46023</v>
      </c>
      <c r="J81">
        <v>84</v>
      </c>
      <c r="K81" s="3">
        <v>46053</v>
      </c>
      <c r="L81">
        <v>271</v>
      </c>
      <c r="M81" t="s">
        <v>13</v>
      </c>
      <c r="P81" s="38">
        <f t="shared" si="8"/>
        <v>-568.28</v>
      </c>
      <c r="S81" t="s">
        <v>918</v>
      </c>
    </row>
    <row r="82" spans="1:19" x14ac:dyDescent="0.35">
      <c r="A82" t="s">
        <v>454</v>
      </c>
      <c r="B82" s="4">
        <v>256779416838</v>
      </c>
      <c r="C82" s="3">
        <v>45889</v>
      </c>
      <c r="D82" s="1">
        <v>0</v>
      </c>
      <c r="E82" s="1">
        <v>-3356.53</v>
      </c>
      <c r="F82" t="s">
        <v>15</v>
      </c>
      <c r="G82" t="s">
        <v>72</v>
      </c>
      <c r="H82" t="s">
        <v>11</v>
      </c>
      <c r="I82" s="2">
        <v>46023</v>
      </c>
      <c r="J82">
        <v>88</v>
      </c>
      <c r="K82" s="3">
        <v>46053</v>
      </c>
      <c r="L82">
        <v>271</v>
      </c>
      <c r="M82" t="s">
        <v>13</v>
      </c>
      <c r="P82" s="38">
        <f t="shared" si="8"/>
        <v>-3356.53</v>
      </c>
      <c r="S82" t="s">
        <v>918</v>
      </c>
    </row>
    <row r="83" spans="1:19" x14ac:dyDescent="0.35">
      <c r="A83" t="s">
        <v>454</v>
      </c>
      <c r="B83" s="4">
        <v>246779414663</v>
      </c>
      <c r="C83" s="3">
        <v>45736</v>
      </c>
      <c r="D83" s="1">
        <v>-45</v>
      </c>
      <c r="E83" s="1">
        <v>-3916.91</v>
      </c>
      <c r="G83" t="s">
        <v>75</v>
      </c>
      <c r="H83" t="s">
        <v>11</v>
      </c>
      <c r="I83" s="2">
        <v>45809</v>
      </c>
      <c r="J83">
        <v>1</v>
      </c>
      <c r="K83" s="3">
        <v>45997</v>
      </c>
      <c r="L83">
        <v>210</v>
      </c>
      <c r="M83" t="s">
        <v>13</v>
      </c>
      <c r="N83" s="79">
        <f t="shared" ref="N83:N92" si="11">O83/E83</f>
        <v>-2.0000459545917573E-2</v>
      </c>
      <c r="O83">
        <f>VLOOKUP(B83,'Customer TDS'!A:D,4,0)</f>
        <v>78.34</v>
      </c>
      <c r="P83" s="38">
        <f t="shared" si="8"/>
        <v>-3838.5699999999997</v>
      </c>
      <c r="Q83">
        <f>VLOOKUP(B83,Ascendus!E:I,5,0)</f>
        <v>3901.11</v>
      </c>
      <c r="R83" s="38">
        <f t="shared" ref="R83:R92" si="12">E83+Q83</f>
        <v>-15.799999999999727</v>
      </c>
      <c r="S83" t="s">
        <v>915</v>
      </c>
    </row>
    <row r="84" spans="1:19" x14ac:dyDescent="0.35">
      <c r="A84" t="s">
        <v>454</v>
      </c>
      <c r="B84" s="4">
        <v>246779414662</v>
      </c>
      <c r="C84" s="3">
        <v>45736</v>
      </c>
      <c r="D84" s="1">
        <v>-275</v>
      </c>
      <c r="E84" s="1">
        <v>-23936.66</v>
      </c>
      <c r="G84" t="s">
        <v>75</v>
      </c>
      <c r="H84" t="s">
        <v>11</v>
      </c>
      <c r="I84" s="2">
        <v>45809</v>
      </c>
      <c r="J84">
        <v>1</v>
      </c>
      <c r="K84" s="3">
        <v>45997</v>
      </c>
      <c r="L84">
        <v>210</v>
      </c>
      <c r="M84" t="s">
        <v>13</v>
      </c>
      <c r="N84" s="79">
        <f t="shared" si="11"/>
        <v>-1.9999866313846627E-2</v>
      </c>
      <c r="O84">
        <f>VLOOKUP(B84,'Customer TDS'!A:D,4,0)</f>
        <v>478.73</v>
      </c>
      <c r="P84" s="38">
        <f t="shared" si="8"/>
        <v>-23457.93</v>
      </c>
      <c r="Q84">
        <f>VLOOKUP(B84,Ascendus!E:I,5,0)</f>
        <v>23840.1</v>
      </c>
      <c r="R84" s="38">
        <f t="shared" si="12"/>
        <v>-96.56000000000131</v>
      </c>
      <c r="S84" t="s">
        <v>915</v>
      </c>
    </row>
    <row r="85" spans="1:19" x14ac:dyDescent="0.35">
      <c r="A85" t="s">
        <v>454</v>
      </c>
      <c r="B85" s="4">
        <v>246779414385</v>
      </c>
      <c r="C85" s="3">
        <v>45736</v>
      </c>
      <c r="D85" s="1">
        <v>-240</v>
      </c>
      <c r="E85" s="1">
        <v>-20890.18</v>
      </c>
      <c r="G85" t="s">
        <v>75</v>
      </c>
      <c r="H85" t="s">
        <v>11</v>
      </c>
      <c r="I85" s="2">
        <v>45809</v>
      </c>
      <c r="J85">
        <v>1</v>
      </c>
      <c r="K85" s="3">
        <v>45997</v>
      </c>
      <c r="L85">
        <v>210</v>
      </c>
      <c r="M85" t="s">
        <v>13</v>
      </c>
      <c r="N85" s="79">
        <f t="shared" si="11"/>
        <v>-1.9999827670225914E-2</v>
      </c>
      <c r="O85">
        <f>VLOOKUP(B85,'Customer TDS'!A:D,4,0)</f>
        <v>417.8</v>
      </c>
      <c r="P85" s="38">
        <f t="shared" si="8"/>
        <v>-20472.38</v>
      </c>
      <c r="Q85">
        <f>VLOOKUP(B85,Ascendus!E:I,5,0)</f>
        <v>20805.900000000001</v>
      </c>
      <c r="R85" s="38">
        <f t="shared" si="12"/>
        <v>-84.279999999998836</v>
      </c>
      <c r="S85" t="s">
        <v>915</v>
      </c>
    </row>
    <row r="86" spans="1:19" x14ac:dyDescent="0.35">
      <c r="A86" t="s">
        <v>454</v>
      </c>
      <c r="B86" s="4">
        <v>246779413730</v>
      </c>
      <c r="C86" s="3">
        <v>45736</v>
      </c>
      <c r="D86" s="1">
        <v>-3.2</v>
      </c>
      <c r="E86" s="1">
        <v>-278.54000000000002</v>
      </c>
      <c r="G86" t="s">
        <v>75</v>
      </c>
      <c r="H86" t="s">
        <v>11</v>
      </c>
      <c r="I86" s="2">
        <v>45809</v>
      </c>
      <c r="J86">
        <v>1</v>
      </c>
      <c r="K86" s="3">
        <v>45997</v>
      </c>
      <c r="L86">
        <v>210</v>
      </c>
      <c r="M86" t="s">
        <v>13</v>
      </c>
      <c r="N86" s="79">
        <f t="shared" si="11"/>
        <v>-1.8740575859840593E-2</v>
      </c>
      <c r="O86">
        <f>VLOOKUP(B86,'Customer TDS'!A:D,4,0)</f>
        <v>5.22</v>
      </c>
      <c r="P86" s="38">
        <f t="shared" si="8"/>
        <v>-273.32</v>
      </c>
      <c r="Q86">
        <f>VLOOKUP(B86,Ascendus!E:I,5,0)</f>
        <v>277.41000000000003</v>
      </c>
      <c r="R86" s="38">
        <f t="shared" si="12"/>
        <v>-1.1299999999999955</v>
      </c>
      <c r="S86" t="s">
        <v>915</v>
      </c>
    </row>
    <row r="87" spans="1:19" x14ac:dyDescent="0.35">
      <c r="A87" t="s">
        <v>454</v>
      </c>
      <c r="B87" s="4">
        <v>246779413936</v>
      </c>
      <c r="C87" s="3">
        <v>45736</v>
      </c>
      <c r="D87" s="1">
        <v>-27.5</v>
      </c>
      <c r="E87" s="1">
        <v>-2393.67</v>
      </c>
      <c r="G87" t="s">
        <v>75</v>
      </c>
      <c r="H87" t="s">
        <v>11</v>
      </c>
      <c r="I87" s="2">
        <v>45809</v>
      </c>
      <c r="J87">
        <v>1</v>
      </c>
      <c r="K87" s="3">
        <v>45838</v>
      </c>
      <c r="L87">
        <v>210</v>
      </c>
      <c r="M87" t="s">
        <v>13</v>
      </c>
      <c r="N87" s="79">
        <f t="shared" si="11"/>
        <v>-1.9998579586994029E-2</v>
      </c>
      <c r="O87">
        <f>VLOOKUP(B87,'Customer TDS'!A:D,4,0)</f>
        <v>47.87</v>
      </c>
      <c r="P87" s="38">
        <f t="shared" si="8"/>
        <v>-2345.8000000000002</v>
      </c>
      <c r="Q87">
        <f>VLOOKUP(B87,Ascendus!E:I,5,0)</f>
        <v>2384.0100000000002</v>
      </c>
      <c r="R87" s="38">
        <f t="shared" si="12"/>
        <v>-9.6599999999998545</v>
      </c>
      <c r="S87" t="s">
        <v>915</v>
      </c>
    </row>
    <row r="88" spans="1:19" x14ac:dyDescent="0.35">
      <c r="A88" t="s">
        <v>454</v>
      </c>
      <c r="B88" s="4">
        <v>246779413889</v>
      </c>
      <c r="C88" s="3">
        <v>45736</v>
      </c>
      <c r="D88" s="1">
        <v>-42.5</v>
      </c>
      <c r="E88" s="1">
        <v>-3699.3</v>
      </c>
      <c r="G88" t="s">
        <v>75</v>
      </c>
      <c r="H88" t="s">
        <v>11</v>
      </c>
      <c r="I88" s="2">
        <v>45809</v>
      </c>
      <c r="J88">
        <v>1</v>
      </c>
      <c r="K88" s="3">
        <v>45838</v>
      </c>
      <c r="L88">
        <v>210</v>
      </c>
      <c r="M88" t="s">
        <v>13</v>
      </c>
      <c r="N88" s="79">
        <f t="shared" si="11"/>
        <v>-2.0001081285648634E-2</v>
      </c>
      <c r="O88">
        <f>VLOOKUP(B88,'Customer TDS'!A:D,4,0)</f>
        <v>73.989999999999995</v>
      </c>
      <c r="P88" s="38">
        <f t="shared" si="8"/>
        <v>-3625.3100000000004</v>
      </c>
      <c r="Q88">
        <f>VLOOKUP(B88,Ascendus!E:I,5,0)</f>
        <v>3684.38</v>
      </c>
      <c r="R88" s="38">
        <f t="shared" si="12"/>
        <v>-14.920000000000073</v>
      </c>
      <c r="S88" t="s">
        <v>915</v>
      </c>
    </row>
    <row r="89" spans="1:19" x14ac:dyDescent="0.35">
      <c r="A89" t="s">
        <v>454</v>
      </c>
      <c r="B89" s="4">
        <v>246779413920</v>
      </c>
      <c r="C89" s="3">
        <v>45736</v>
      </c>
      <c r="D89" s="1">
        <v>-22.5</v>
      </c>
      <c r="E89" s="1">
        <v>-1958.45</v>
      </c>
      <c r="G89" t="s">
        <v>75</v>
      </c>
      <c r="H89" t="s">
        <v>11</v>
      </c>
      <c r="I89" s="2">
        <v>45809</v>
      </c>
      <c r="J89">
        <v>1</v>
      </c>
      <c r="K89" s="3">
        <v>45838</v>
      </c>
      <c r="L89">
        <v>210</v>
      </c>
      <c r="M89" t="s">
        <v>13</v>
      </c>
      <c r="N89" s="79">
        <f t="shared" si="11"/>
        <v>-2.0000510607878681E-2</v>
      </c>
      <c r="O89">
        <f>VLOOKUP(B89,'Customer TDS'!A:D,4,0)</f>
        <v>39.17</v>
      </c>
      <c r="P89" s="38">
        <f t="shared" si="8"/>
        <v>-1919.28</v>
      </c>
      <c r="Q89">
        <f>VLOOKUP(B89,Ascendus!E:I,5,0)</f>
        <v>1950.55</v>
      </c>
      <c r="R89" s="38">
        <f t="shared" si="12"/>
        <v>-7.9000000000000909</v>
      </c>
      <c r="S89" t="s">
        <v>915</v>
      </c>
    </row>
    <row r="90" spans="1:19" x14ac:dyDescent="0.35">
      <c r="A90" t="s">
        <v>454</v>
      </c>
      <c r="B90" s="4">
        <v>246779413941</v>
      </c>
      <c r="C90" s="3">
        <v>45736</v>
      </c>
      <c r="D90" s="1">
        <v>-30</v>
      </c>
      <c r="E90" s="1">
        <v>-2611.27</v>
      </c>
      <c r="G90" t="s">
        <v>75</v>
      </c>
      <c r="H90" t="s">
        <v>11</v>
      </c>
      <c r="I90" s="2">
        <v>45809</v>
      </c>
      <c r="J90">
        <v>1</v>
      </c>
      <c r="K90" s="3">
        <v>45838</v>
      </c>
      <c r="L90">
        <v>210</v>
      </c>
      <c r="M90" t="s">
        <v>13</v>
      </c>
      <c r="N90" s="79">
        <f t="shared" si="11"/>
        <v>-2.0001761594932731E-2</v>
      </c>
      <c r="O90">
        <f>VLOOKUP(B90,'Customer TDS'!A:D,4,0)</f>
        <v>52.23</v>
      </c>
      <c r="P90" s="38">
        <f t="shared" si="8"/>
        <v>-2559.04</v>
      </c>
      <c r="Q90">
        <f>VLOOKUP(B90,Ascendus!E:I,5,0)</f>
        <v>2600.7399999999998</v>
      </c>
      <c r="R90" s="38">
        <f t="shared" si="12"/>
        <v>-10.5300000000002</v>
      </c>
      <c r="S90" t="s">
        <v>915</v>
      </c>
    </row>
    <row r="91" spans="1:19" x14ac:dyDescent="0.35">
      <c r="A91" t="s">
        <v>454</v>
      </c>
      <c r="B91" s="4">
        <v>246779413815</v>
      </c>
      <c r="C91" s="3">
        <v>45736</v>
      </c>
      <c r="D91" s="1">
        <v>-50</v>
      </c>
      <c r="E91" s="1">
        <v>-4352.12</v>
      </c>
      <c r="G91" t="s">
        <v>75</v>
      </c>
      <c r="H91" t="s">
        <v>11</v>
      </c>
      <c r="I91" s="2">
        <v>45809</v>
      </c>
      <c r="J91">
        <v>1</v>
      </c>
      <c r="K91" s="3">
        <v>45838</v>
      </c>
      <c r="L91">
        <v>210</v>
      </c>
      <c r="M91" t="s">
        <v>13</v>
      </c>
      <c r="N91" s="79">
        <f t="shared" si="11"/>
        <v>-1.9999448544617337E-2</v>
      </c>
      <c r="O91">
        <f>VLOOKUP(B91,'Customer TDS'!A:D,4,0)</f>
        <v>87.04</v>
      </c>
      <c r="P91" s="38">
        <f t="shared" si="8"/>
        <v>-4265.08</v>
      </c>
      <c r="Q91">
        <f>VLOOKUP(B91,Ascendus!E:I,5,0)</f>
        <v>4334.5600000000004</v>
      </c>
      <c r="R91" s="38">
        <f t="shared" si="12"/>
        <v>-17.559999999999491</v>
      </c>
      <c r="S91" t="s">
        <v>915</v>
      </c>
    </row>
    <row r="92" spans="1:19" x14ac:dyDescent="0.35">
      <c r="A92" t="s">
        <v>454</v>
      </c>
      <c r="B92" s="4">
        <v>246779414384</v>
      </c>
      <c r="C92" s="3">
        <v>45736</v>
      </c>
      <c r="D92" s="1">
        <v>-182.5</v>
      </c>
      <c r="E92" s="1">
        <v>-15885.24</v>
      </c>
      <c r="G92" t="s">
        <v>75</v>
      </c>
      <c r="H92" t="s">
        <v>11</v>
      </c>
      <c r="I92" s="2">
        <v>45809</v>
      </c>
      <c r="J92">
        <v>1</v>
      </c>
      <c r="K92" s="3">
        <v>45838</v>
      </c>
      <c r="L92">
        <v>210</v>
      </c>
      <c r="M92" t="s">
        <v>13</v>
      </c>
      <c r="N92" s="79">
        <f t="shared" si="11"/>
        <v>-1.9999697832705075E-2</v>
      </c>
      <c r="O92">
        <f>VLOOKUP(B92,'Customer TDS'!A:D,4,0)</f>
        <v>317.7</v>
      </c>
      <c r="P92" s="38">
        <f t="shared" si="8"/>
        <v>-15567.539999999999</v>
      </c>
      <c r="Q92">
        <f>VLOOKUP(B92,Ascendus!E:I,5,0)</f>
        <v>15821.15</v>
      </c>
      <c r="R92" s="38">
        <f t="shared" si="12"/>
        <v>-64.090000000000146</v>
      </c>
      <c r="S92" t="s">
        <v>915</v>
      </c>
    </row>
    <row r="93" spans="1:19" x14ac:dyDescent="0.35">
      <c r="A93" t="s">
        <v>454</v>
      </c>
      <c r="B93" s="4">
        <v>246779413936</v>
      </c>
      <c r="C93" s="3">
        <v>45736</v>
      </c>
      <c r="D93" s="1">
        <v>0</v>
      </c>
      <c r="E93" s="1">
        <v>28.38</v>
      </c>
      <c r="F93" t="s">
        <v>15</v>
      </c>
      <c r="G93" t="s">
        <v>75</v>
      </c>
      <c r="H93" t="s">
        <v>11</v>
      </c>
      <c r="I93" s="2">
        <v>45809</v>
      </c>
      <c r="J93">
        <v>10</v>
      </c>
      <c r="K93" s="3">
        <v>45838</v>
      </c>
      <c r="L93">
        <v>271</v>
      </c>
      <c r="M93" t="s">
        <v>13</v>
      </c>
      <c r="P93" s="38">
        <f t="shared" si="8"/>
        <v>28.38</v>
      </c>
      <c r="S93" t="s">
        <v>918</v>
      </c>
    </row>
    <row r="94" spans="1:19" x14ac:dyDescent="0.35">
      <c r="A94" t="s">
        <v>454</v>
      </c>
      <c r="B94" s="4">
        <v>246779413889</v>
      </c>
      <c r="C94" s="3">
        <v>45736</v>
      </c>
      <c r="D94" s="1">
        <v>0</v>
      </c>
      <c r="E94" s="1">
        <v>43.85</v>
      </c>
      <c r="F94" t="s">
        <v>15</v>
      </c>
      <c r="G94" t="s">
        <v>75</v>
      </c>
      <c r="H94" t="s">
        <v>11</v>
      </c>
      <c r="I94" s="2">
        <v>45809</v>
      </c>
      <c r="J94">
        <v>28</v>
      </c>
      <c r="K94" s="3">
        <v>45838</v>
      </c>
      <c r="L94">
        <v>271</v>
      </c>
      <c r="M94" t="s">
        <v>13</v>
      </c>
      <c r="P94" s="38">
        <f t="shared" si="8"/>
        <v>43.85</v>
      </c>
      <c r="S94" t="s">
        <v>918</v>
      </c>
    </row>
    <row r="95" spans="1:19" x14ac:dyDescent="0.35">
      <c r="A95" t="s">
        <v>454</v>
      </c>
      <c r="B95" s="4">
        <v>246779413920</v>
      </c>
      <c r="C95" s="3">
        <v>45736</v>
      </c>
      <c r="D95" s="1">
        <v>0</v>
      </c>
      <c r="E95" s="1">
        <v>23.21</v>
      </c>
      <c r="F95" t="s">
        <v>15</v>
      </c>
      <c r="G95" t="s">
        <v>75</v>
      </c>
      <c r="H95" t="s">
        <v>11</v>
      </c>
      <c r="I95" s="2">
        <v>45809</v>
      </c>
      <c r="J95">
        <v>32</v>
      </c>
      <c r="K95" s="3">
        <v>45838</v>
      </c>
      <c r="L95">
        <v>271</v>
      </c>
      <c r="M95" t="s">
        <v>13</v>
      </c>
      <c r="P95" s="38">
        <f t="shared" si="8"/>
        <v>23.21</v>
      </c>
      <c r="S95" t="s">
        <v>918</v>
      </c>
    </row>
    <row r="96" spans="1:19" x14ac:dyDescent="0.35">
      <c r="A96" t="s">
        <v>454</v>
      </c>
      <c r="B96" s="4">
        <v>246779413941</v>
      </c>
      <c r="C96" s="3">
        <v>45736</v>
      </c>
      <c r="D96" s="1">
        <v>0</v>
      </c>
      <c r="E96" s="1">
        <v>30.95</v>
      </c>
      <c r="F96" t="s">
        <v>15</v>
      </c>
      <c r="G96" t="s">
        <v>75</v>
      </c>
      <c r="H96" t="s">
        <v>11</v>
      </c>
      <c r="I96" s="2">
        <v>45809</v>
      </c>
      <c r="J96">
        <v>36</v>
      </c>
      <c r="K96" s="3">
        <v>45838</v>
      </c>
      <c r="L96">
        <v>271</v>
      </c>
      <c r="M96" t="s">
        <v>13</v>
      </c>
      <c r="P96" s="38">
        <f t="shared" si="8"/>
        <v>30.95</v>
      </c>
      <c r="S96" t="s">
        <v>918</v>
      </c>
    </row>
    <row r="97" spans="1:19" x14ac:dyDescent="0.35">
      <c r="A97" t="s">
        <v>454</v>
      </c>
      <c r="B97" s="4">
        <v>246779413815</v>
      </c>
      <c r="C97" s="3">
        <v>45736</v>
      </c>
      <c r="D97" s="1">
        <v>0</v>
      </c>
      <c r="E97" s="1">
        <v>51.59</v>
      </c>
      <c r="F97" t="s">
        <v>15</v>
      </c>
      <c r="G97" t="s">
        <v>75</v>
      </c>
      <c r="H97" t="s">
        <v>11</v>
      </c>
      <c r="I97" s="2">
        <v>45809</v>
      </c>
      <c r="J97">
        <v>58</v>
      </c>
      <c r="K97" s="3">
        <v>45838</v>
      </c>
      <c r="L97">
        <v>271</v>
      </c>
      <c r="M97" t="s">
        <v>13</v>
      </c>
      <c r="P97" s="38">
        <f t="shared" si="8"/>
        <v>51.59</v>
      </c>
      <c r="S97" t="s">
        <v>918</v>
      </c>
    </row>
    <row r="98" spans="1:19" x14ac:dyDescent="0.35">
      <c r="A98" t="s">
        <v>454</v>
      </c>
      <c r="B98" s="4">
        <v>246779414384</v>
      </c>
      <c r="C98" s="3">
        <v>45736</v>
      </c>
      <c r="D98" s="1">
        <v>0</v>
      </c>
      <c r="E98" s="1">
        <v>188.32</v>
      </c>
      <c r="F98" t="s">
        <v>15</v>
      </c>
      <c r="G98" t="s">
        <v>75</v>
      </c>
      <c r="H98" t="s">
        <v>11</v>
      </c>
      <c r="I98" s="2">
        <v>45809</v>
      </c>
      <c r="J98">
        <v>88</v>
      </c>
      <c r="K98" s="3">
        <v>45838</v>
      </c>
      <c r="L98">
        <v>271</v>
      </c>
      <c r="M98" t="s">
        <v>13</v>
      </c>
      <c r="P98" s="38">
        <f t="shared" si="8"/>
        <v>188.32</v>
      </c>
      <c r="S98" t="s">
        <v>918</v>
      </c>
    </row>
    <row r="99" spans="1:19" x14ac:dyDescent="0.35">
      <c r="A99" t="s">
        <v>454</v>
      </c>
      <c r="B99" s="4">
        <v>246779413747</v>
      </c>
      <c r="C99" s="3">
        <v>45736</v>
      </c>
      <c r="D99" s="1">
        <v>-2.74</v>
      </c>
      <c r="E99" s="1">
        <v>-238.5</v>
      </c>
      <c r="G99" t="s">
        <v>75</v>
      </c>
      <c r="H99" t="s">
        <v>11</v>
      </c>
      <c r="I99" s="2">
        <v>45901</v>
      </c>
      <c r="J99">
        <v>1</v>
      </c>
      <c r="K99" s="3">
        <v>45930</v>
      </c>
      <c r="L99">
        <v>210</v>
      </c>
      <c r="M99" t="s">
        <v>13</v>
      </c>
      <c r="N99" s="79">
        <f>O99/E99</f>
        <v>-1.8238993710691823E-2</v>
      </c>
      <c r="O99">
        <f>VLOOKUP(B99,'Customer TDS'!A:D,4,0)</f>
        <v>4.3499999999999996</v>
      </c>
      <c r="P99" s="38">
        <f t="shared" si="8"/>
        <v>-234.15</v>
      </c>
      <c r="Q99">
        <f>VLOOKUP(B99,Ascendus!E:I,5,0)</f>
        <v>237.53</v>
      </c>
      <c r="R99" s="38">
        <f>E99+Q99</f>
        <v>-0.96999999999999886</v>
      </c>
      <c r="S99" t="s">
        <v>915</v>
      </c>
    </row>
    <row r="100" spans="1:19" x14ac:dyDescent="0.35">
      <c r="A100" t="s">
        <v>454</v>
      </c>
      <c r="B100" s="4">
        <v>246779413747</v>
      </c>
      <c r="C100" s="3">
        <v>45736</v>
      </c>
      <c r="D100" s="1">
        <v>0</v>
      </c>
      <c r="E100" s="1">
        <v>-4.34</v>
      </c>
      <c r="F100" t="s">
        <v>15</v>
      </c>
      <c r="G100" t="s">
        <v>75</v>
      </c>
      <c r="H100" t="s">
        <v>11</v>
      </c>
      <c r="I100" s="2">
        <v>45901</v>
      </c>
      <c r="J100">
        <v>58</v>
      </c>
      <c r="K100" s="3">
        <v>45930</v>
      </c>
      <c r="L100">
        <v>271</v>
      </c>
      <c r="M100" t="s">
        <v>13</v>
      </c>
      <c r="P100" s="38">
        <f t="shared" si="8"/>
        <v>-4.34</v>
      </c>
      <c r="S100" t="s">
        <v>918</v>
      </c>
    </row>
    <row r="101" spans="1:19" x14ac:dyDescent="0.35">
      <c r="A101" t="s">
        <v>454</v>
      </c>
      <c r="B101" s="4">
        <v>246779410315</v>
      </c>
      <c r="C101" s="3">
        <v>45708</v>
      </c>
      <c r="D101" s="1">
        <v>-2380.9499999999998</v>
      </c>
      <c r="E101" s="1">
        <v>-207243.64</v>
      </c>
      <c r="G101" t="s">
        <v>87</v>
      </c>
      <c r="H101" t="s">
        <v>11</v>
      </c>
      <c r="I101" s="2">
        <v>45809</v>
      </c>
      <c r="J101">
        <v>1</v>
      </c>
      <c r="K101" s="3">
        <v>45997</v>
      </c>
      <c r="L101">
        <v>210</v>
      </c>
      <c r="M101" t="s">
        <v>13</v>
      </c>
      <c r="N101" s="79">
        <f t="shared" ref="N101:N119" si="13">O101/E101</f>
        <v>-2.0000420760801149E-2</v>
      </c>
      <c r="O101">
        <f>VLOOKUP(B101,'Customer TDS'!A:D,4,0)</f>
        <v>4144.96</v>
      </c>
      <c r="P101" s="38">
        <f t="shared" si="8"/>
        <v>-203098.68000000002</v>
      </c>
      <c r="Q101">
        <f>VLOOKUP(B101,Ascendus!E:I,5,0)</f>
        <v>205484.7</v>
      </c>
      <c r="R101" s="38">
        <f t="shared" ref="R101:R119" si="14">E101+Q101</f>
        <v>-1758.9400000000023</v>
      </c>
      <c r="S101" t="s">
        <v>915</v>
      </c>
    </row>
    <row r="102" spans="1:19" x14ac:dyDescent="0.35">
      <c r="A102" t="s">
        <v>454</v>
      </c>
      <c r="B102" s="4">
        <v>246779410098</v>
      </c>
      <c r="C102" s="3">
        <v>45708</v>
      </c>
      <c r="D102" s="1">
        <v>-2380.9499999999998</v>
      </c>
      <c r="E102" s="1">
        <v>-206046.42</v>
      </c>
      <c r="G102" t="s">
        <v>87</v>
      </c>
      <c r="H102" t="s">
        <v>11</v>
      </c>
      <c r="I102" s="2">
        <v>45809</v>
      </c>
      <c r="J102">
        <v>1</v>
      </c>
      <c r="K102" s="3">
        <v>45997</v>
      </c>
      <c r="L102">
        <v>210</v>
      </c>
      <c r="M102" t="s">
        <v>13</v>
      </c>
      <c r="N102" s="79">
        <f t="shared" si="13"/>
        <v>-2.0000396027264146E-2</v>
      </c>
      <c r="O102">
        <f>VLOOKUP(B102,'Customer TDS'!A:D,4,0)</f>
        <v>4121.01</v>
      </c>
      <c r="P102" s="38">
        <f t="shared" si="8"/>
        <v>-201925.41</v>
      </c>
      <c r="Q102">
        <f>VLOOKUP(B102,Ascendus!E:I,5,0)</f>
        <v>205484.7</v>
      </c>
      <c r="R102" s="38">
        <f t="shared" si="14"/>
        <v>-561.72000000000116</v>
      </c>
      <c r="S102" t="s">
        <v>915</v>
      </c>
    </row>
    <row r="103" spans="1:19" x14ac:dyDescent="0.35">
      <c r="A103" t="s">
        <v>454</v>
      </c>
      <c r="B103" s="4">
        <v>246779410132</v>
      </c>
      <c r="C103" s="3">
        <v>45708</v>
      </c>
      <c r="D103" s="1">
        <v>-52.38</v>
      </c>
      <c r="E103" s="1">
        <v>-4532.9399999999996</v>
      </c>
      <c r="G103" t="s">
        <v>87</v>
      </c>
      <c r="H103" t="s">
        <v>11</v>
      </c>
      <c r="I103" s="2">
        <v>45809</v>
      </c>
      <c r="J103">
        <v>1</v>
      </c>
      <c r="K103" s="3">
        <v>45997</v>
      </c>
      <c r="L103">
        <v>210</v>
      </c>
      <c r="M103" t="s">
        <v>13</v>
      </c>
      <c r="N103" s="79">
        <f t="shared" si="13"/>
        <v>-2.0046592277859404E-2</v>
      </c>
      <c r="O103">
        <f>VLOOKUP(B103,'Customer TDS'!A:D,4,0)</f>
        <v>90.87</v>
      </c>
      <c r="P103" s="38">
        <f t="shared" si="8"/>
        <v>-4442.07</v>
      </c>
      <c r="Q103">
        <f>VLOOKUP(B103,Ascendus!E:I,5,0)</f>
        <v>4520.59</v>
      </c>
      <c r="R103" s="38">
        <f t="shared" si="14"/>
        <v>-12.349999999999454</v>
      </c>
      <c r="S103" t="s">
        <v>915</v>
      </c>
    </row>
    <row r="104" spans="1:19" x14ac:dyDescent="0.35">
      <c r="A104" t="s">
        <v>454</v>
      </c>
      <c r="B104" s="4">
        <v>246779410131</v>
      </c>
      <c r="C104" s="3">
        <v>45708</v>
      </c>
      <c r="D104" s="1">
        <v>-95.24</v>
      </c>
      <c r="E104" s="1">
        <v>-8242.0300000000007</v>
      </c>
      <c r="G104" t="s">
        <v>87</v>
      </c>
      <c r="H104" t="s">
        <v>11</v>
      </c>
      <c r="I104" s="2">
        <v>45809</v>
      </c>
      <c r="J104">
        <v>1</v>
      </c>
      <c r="K104" s="3">
        <v>45997</v>
      </c>
      <c r="L104">
        <v>210</v>
      </c>
      <c r="M104" t="s">
        <v>13</v>
      </c>
      <c r="N104" s="79">
        <f t="shared" si="13"/>
        <v>-1.995018217599305E-2</v>
      </c>
      <c r="O104">
        <f>VLOOKUP(B104,'Customer TDS'!A:D,4,0)</f>
        <v>164.43</v>
      </c>
      <c r="P104" s="38">
        <f t="shared" si="8"/>
        <v>-8077.6</v>
      </c>
      <c r="Q104">
        <f>VLOOKUP(B104,Ascendus!E:I,5,0)</f>
        <v>8219.56</v>
      </c>
      <c r="R104" s="38">
        <f t="shared" si="14"/>
        <v>-22.470000000001164</v>
      </c>
      <c r="S104" t="s">
        <v>915</v>
      </c>
    </row>
    <row r="105" spans="1:19" x14ac:dyDescent="0.35">
      <c r="A105" t="s">
        <v>454</v>
      </c>
      <c r="B105" s="4">
        <v>246779410312</v>
      </c>
      <c r="C105" s="3">
        <v>45708</v>
      </c>
      <c r="D105" s="1">
        <v>-52.38</v>
      </c>
      <c r="E105" s="1">
        <v>-4559.28</v>
      </c>
      <c r="G105" t="s">
        <v>87</v>
      </c>
      <c r="H105" t="s">
        <v>11</v>
      </c>
      <c r="I105" s="2">
        <v>45809</v>
      </c>
      <c r="J105">
        <v>1</v>
      </c>
      <c r="K105" s="3">
        <v>45997</v>
      </c>
      <c r="L105">
        <v>210</v>
      </c>
      <c r="M105" t="s">
        <v>13</v>
      </c>
      <c r="N105" s="79">
        <f t="shared" si="13"/>
        <v>-2.0044831640083523E-2</v>
      </c>
      <c r="O105">
        <f>VLOOKUP(B105,'Customer TDS'!A:D,4,0)</f>
        <v>91.39</v>
      </c>
      <c r="P105" s="38">
        <f t="shared" si="8"/>
        <v>-4467.8899999999994</v>
      </c>
      <c r="Q105">
        <f>VLOOKUP(B105,Ascendus!E:I,5,0)</f>
        <v>4520.59</v>
      </c>
      <c r="R105" s="38">
        <f t="shared" si="14"/>
        <v>-38.6899999999996</v>
      </c>
      <c r="S105" t="s">
        <v>915</v>
      </c>
    </row>
    <row r="106" spans="1:19" x14ac:dyDescent="0.35">
      <c r="A106" t="s">
        <v>454</v>
      </c>
      <c r="B106" s="4">
        <v>246779410175</v>
      </c>
      <c r="C106" s="3">
        <v>45708</v>
      </c>
      <c r="D106" s="1">
        <v>-52.38</v>
      </c>
      <c r="E106" s="1">
        <v>-4532.9399999999996</v>
      </c>
      <c r="G106" t="s">
        <v>87</v>
      </c>
      <c r="H106" t="s">
        <v>11</v>
      </c>
      <c r="I106" s="2">
        <v>45809</v>
      </c>
      <c r="J106">
        <v>1</v>
      </c>
      <c r="K106" s="3">
        <v>45997</v>
      </c>
      <c r="L106">
        <v>210</v>
      </c>
      <c r="M106" t="s">
        <v>13</v>
      </c>
      <c r="N106" s="79">
        <f t="shared" si="13"/>
        <v>-2.0046592277859404E-2</v>
      </c>
      <c r="O106">
        <f>VLOOKUP(B106,'Customer TDS'!A:D,4,0)</f>
        <v>90.87</v>
      </c>
      <c r="P106" s="38">
        <f t="shared" si="8"/>
        <v>-4442.07</v>
      </c>
      <c r="Q106">
        <f>VLOOKUP(B106,Ascendus!E:I,5,0)</f>
        <v>4520.59</v>
      </c>
      <c r="R106" s="38">
        <f t="shared" si="14"/>
        <v>-12.349999999999454</v>
      </c>
      <c r="S106" t="s">
        <v>915</v>
      </c>
    </row>
    <row r="107" spans="1:19" x14ac:dyDescent="0.35">
      <c r="A107" t="s">
        <v>454</v>
      </c>
      <c r="B107" s="4">
        <v>246779410141</v>
      </c>
      <c r="C107" s="3">
        <v>45708</v>
      </c>
      <c r="D107" s="1">
        <v>-2380.9499999999998</v>
      </c>
      <c r="E107" s="1">
        <v>-206046.42</v>
      </c>
      <c r="G107" t="s">
        <v>87</v>
      </c>
      <c r="H107" t="s">
        <v>11</v>
      </c>
      <c r="I107" s="2">
        <v>45809</v>
      </c>
      <c r="J107">
        <v>1</v>
      </c>
      <c r="K107" s="3">
        <v>45997</v>
      </c>
      <c r="L107">
        <v>210</v>
      </c>
      <c r="M107" t="s">
        <v>13</v>
      </c>
      <c r="N107" s="79">
        <f t="shared" si="13"/>
        <v>-2.0000396027264146E-2</v>
      </c>
      <c r="O107">
        <f>VLOOKUP(B107,'Customer TDS'!A:D,4,0)</f>
        <v>4121.01</v>
      </c>
      <c r="P107" s="38">
        <f t="shared" si="8"/>
        <v>-201925.41</v>
      </c>
      <c r="Q107">
        <f>VLOOKUP(B107,Ascendus!E:I,5,0)</f>
        <v>205484.7</v>
      </c>
      <c r="R107" s="38">
        <f t="shared" si="14"/>
        <v>-561.72000000000116</v>
      </c>
      <c r="S107" t="s">
        <v>915</v>
      </c>
    </row>
    <row r="108" spans="1:19" x14ac:dyDescent="0.35">
      <c r="A108" t="s">
        <v>454</v>
      </c>
      <c r="B108" s="4">
        <v>246779410217</v>
      </c>
      <c r="C108" s="3">
        <v>45708</v>
      </c>
      <c r="D108" s="1">
        <v>-93.33</v>
      </c>
      <c r="E108" s="1">
        <v>-8076.74</v>
      </c>
      <c r="F108" t="s">
        <v>93</v>
      </c>
      <c r="G108" t="s">
        <v>87</v>
      </c>
      <c r="H108" t="s">
        <v>11</v>
      </c>
      <c r="I108" s="2">
        <v>45809</v>
      </c>
      <c r="J108">
        <v>1</v>
      </c>
      <c r="K108" s="3">
        <v>45997</v>
      </c>
      <c r="L108">
        <v>210</v>
      </c>
      <c r="M108" t="s">
        <v>13</v>
      </c>
      <c r="N108" s="79">
        <f t="shared" si="13"/>
        <v>-2.0036549399881639E-2</v>
      </c>
      <c r="O108">
        <f>VLOOKUP(B108,'Customer TDS'!A:D,4,0)</f>
        <v>161.83000000000001</v>
      </c>
      <c r="P108" s="38">
        <f t="shared" si="8"/>
        <v>-7914.91</v>
      </c>
      <c r="Q108">
        <f>VLOOKUP(B108,Ascendus!E:I,5,0)</f>
        <v>8054.72</v>
      </c>
      <c r="R108" s="38">
        <f t="shared" si="14"/>
        <v>-22.019999999999527</v>
      </c>
      <c r="S108" t="s">
        <v>915</v>
      </c>
    </row>
    <row r="109" spans="1:19" x14ac:dyDescent="0.35">
      <c r="A109" t="s">
        <v>454</v>
      </c>
      <c r="B109" s="4">
        <v>246779410218</v>
      </c>
      <c r="C109" s="3">
        <v>45708</v>
      </c>
      <c r="D109" s="1">
        <v>-51.33</v>
      </c>
      <c r="E109" s="1">
        <v>-4442.08</v>
      </c>
      <c r="G109" t="s">
        <v>87</v>
      </c>
      <c r="H109" t="s">
        <v>11</v>
      </c>
      <c r="I109" s="2">
        <v>45809</v>
      </c>
      <c r="J109">
        <v>1</v>
      </c>
      <c r="K109" s="3">
        <v>45997</v>
      </c>
      <c r="L109">
        <v>210</v>
      </c>
      <c r="M109" t="s">
        <v>13</v>
      </c>
      <c r="N109" s="79">
        <f t="shared" si="13"/>
        <v>-2.0067175737492348E-2</v>
      </c>
      <c r="O109">
        <f>VLOOKUP(B109,'Customer TDS'!A:D,4,0)</f>
        <v>89.14</v>
      </c>
      <c r="P109" s="38">
        <f t="shared" si="8"/>
        <v>-4352.9399999999996</v>
      </c>
      <c r="Q109">
        <f>VLOOKUP(B109,Ascendus!E:I,5,0)</f>
        <v>4429.97</v>
      </c>
      <c r="R109" s="38">
        <f t="shared" si="14"/>
        <v>-12.109999999999673</v>
      </c>
      <c r="S109" t="s">
        <v>915</v>
      </c>
    </row>
    <row r="110" spans="1:19" x14ac:dyDescent="0.35">
      <c r="A110" t="s">
        <v>454</v>
      </c>
      <c r="B110" s="4">
        <v>246779410174</v>
      </c>
      <c r="C110" s="3">
        <v>45708</v>
      </c>
      <c r="D110" s="1">
        <v>-95.24</v>
      </c>
      <c r="E110" s="1">
        <v>-8242.0300000000007</v>
      </c>
      <c r="G110" t="s">
        <v>87</v>
      </c>
      <c r="H110" t="s">
        <v>11</v>
      </c>
      <c r="I110" s="2">
        <v>45809</v>
      </c>
      <c r="J110">
        <v>1</v>
      </c>
      <c r="K110" s="3">
        <v>45997</v>
      </c>
      <c r="L110">
        <v>210</v>
      </c>
      <c r="M110" t="s">
        <v>13</v>
      </c>
      <c r="N110" s="79">
        <f t="shared" si="13"/>
        <v>-1.995018217599305E-2</v>
      </c>
      <c r="O110">
        <f>VLOOKUP(B110,'Customer TDS'!A:D,4,0)</f>
        <v>164.43</v>
      </c>
      <c r="P110" s="38">
        <f t="shared" si="8"/>
        <v>-8077.6</v>
      </c>
      <c r="Q110">
        <f>VLOOKUP(B110,Ascendus!E:I,5,0)</f>
        <v>8219.56</v>
      </c>
      <c r="R110" s="38">
        <f t="shared" si="14"/>
        <v>-22.470000000001164</v>
      </c>
      <c r="S110" t="s">
        <v>915</v>
      </c>
    </row>
    <row r="111" spans="1:19" x14ac:dyDescent="0.35">
      <c r="A111" t="s">
        <v>454</v>
      </c>
      <c r="B111" s="4">
        <v>246779410184</v>
      </c>
      <c r="C111" s="3">
        <v>45708</v>
      </c>
      <c r="D111" s="1">
        <v>-2333.1799999999998</v>
      </c>
      <c r="E111" s="1">
        <v>-201912.42</v>
      </c>
      <c r="F111" t="s">
        <v>93</v>
      </c>
      <c r="G111" t="s">
        <v>87</v>
      </c>
      <c r="H111" t="s">
        <v>11</v>
      </c>
      <c r="I111" s="2">
        <v>45809</v>
      </c>
      <c r="J111">
        <v>1</v>
      </c>
      <c r="K111" s="3">
        <v>45997</v>
      </c>
      <c r="L111">
        <v>210</v>
      </c>
      <c r="M111" t="s">
        <v>13</v>
      </c>
      <c r="N111" s="79">
        <f t="shared" si="13"/>
        <v>-1.9998472605102745E-2</v>
      </c>
      <c r="O111">
        <f>VLOOKUP(B111,'Customer TDS'!A:D,4,0)</f>
        <v>4037.94</v>
      </c>
      <c r="P111" s="38">
        <f t="shared" si="8"/>
        <v>-197874.48</v>
      </c>
      <c r="Q111">
        <f>VLOOKUP(B111,Ascendus!E:I,5,0)</f>
        <v>201361.97</v>
      </c>
      <c r="R111" s="38">
        <f t="shared" si="14"/>
        <v>-550.45000000001164</v>
      </c>
      <c r="S111" t="s">
        <v>915</v>
      </c>
    </row>
    <row r="112" spans="1:19" x14ac:dyDescent="0.35">
      <c r="A112" t="s">
        <v>454</v>
      </c>
      <c r="B112" s="4">
        <v>246779410227</v>
      </c>
      <c r="C112" s="3">
        <v>45708</v>
      </c>
      <c r="D112" s="1">
        <v>-2286.2399999999998</v>
      </c>
      <c r="E112" s="1">
        <v>-197850.25</v>
      </c>
      <c r="G112" t="s">
        <v>87</v>
      </c>
      <c r="H112" t="s">
        <v>11</v>
      </c>
      <c r="I112" s="2">
        <v>45809</v>
      </c>
      <c r="J112">
        <v>1</v>
      </c>
      <c r="K112" s="3">
        <v>45834</v>
      </c>
      <c r="L112">
        <v>210</v>
      </c>
      <c r="M112" t="s">
        <v>13</v>
      </c>
      <c r="N112" s="79">
        <f t="shared" si="13"/>
        <v>-1.9997902454002459E-2</v>
      </c>
      <c r="O112">
        <f>VLOOKUP(B112,'Customer TDS'!A:D,4,0)</f>
        <v>3956.59</v>
      </c>
      <c r="P112" s="38">
        <f t="shared" si="8"/>
        <v>-193893.66</v>
      </c>
      <c r="Q112">
        <f>VLOOKUP(B112,Ascendus!E:I,5,0)</f>
        <v>197310.88</v>
      </c>
      <c r="R112" s="38">
        <f t="shared" si="14"/>
        <v>-539.36999999999534</v>
      </c>
      <c r="S112" t="s">
        <v>915</v>
      </c>
    </row>
    <row r="113" spans="1:19" x14ac:dyDescent="0.35">
      <c r="A113" t="s">
        <v>454</v>
      </c>
      <c r="B113" s="4">
        <v>246779410260</v>
      </c>
      <c r="C113" s="3">
        <v>45708</v>
      </c>
      <c r="D113" s="1">
        <v>-91.45</v>
      </c>
      <c r="E113" s="1">
        <v>-7914.04</v>
      </c>
      <c r="G113" t="s">
        <v>87</v>
      </c>
      <c r="H113" t="s">
        <v>11</v>
      </c>
      <c r="I113" s="2">
        <v>45809</v>
      </c>
      <c r="J113">
        <v>1</v>
      </c>
      <c r="K113" s="3">
        <v>45838</v>
      </c>
      <c r="L113">
        <v>210</v>
      </c>
      <c r="M113" t="s">
        <v>13</v>
      </c>
      <c r="N113" s="79">
        <f t="shared" si="13"/>
        <v>-2.0011271108056065E-2</v>
      </c>
      <c r="O113">
        <f>VLOOKUP(B113,'Customer TDS'!A:D,4,0)</f>
        <v>158.37</v>
      </c>
      <c r="P113" s="38">
        <f t="shared" si="8"/>
        <v>-7755.67</v>
      </c>
      <c r="Q113">
        <f>VLOOKUP(B113,Ascendus!E:I,5,0)</f>
        <v>7892.47</v>
      </c>
      <c r="R113" s="38">
        <f t="shared" si="14"/>
        <v>-21.569999999999709</v>
      </c>
      <c r="S113" t="s">
        <v>915</v>
      </c>
    </row>
    <row r="114" spans="1:19" x14ac:dyDescent="0.35">
      <c r="A114" t="s">
        <v>454</v>
      </c>
      <c r="B114" s="4">
        <v>246779410080</v>
      </c>
      <c r="C114" s="3">
        <v>45708</v>
      </c>
      <c r="D114" s="1">
        <v>-95.24</v>
      </c>
      <c r="E114" s="1">
        <v>-8242.0300000000007</v>
      </c>
      <c r="G114" t="s">
        <v>87</v>
      </c>
      <c r="H114" t="s">
        <v>11</v>
      </c>
      <c r="I114" s="2">
        <v>45809</v>
      </c>
      <c r="J114">
        <v>1</v>
      </c>
      <c r="K114" s="3">
        <v>45838</v>
      </c>
      <c r="L114">
        <v>210</v>
      </c>
      <c r="M114" t="s">
        <v>13</v>
      </c>
      <c r="N114" s="79">
        <f t="shared" si="13"/>
        <v>-1.995018217599305E-2</v>
      </c>
      <c r="O114">
        <f>VLOOKUP(B114,'Customer TDS'!A:D,4,0)</f>
        <v>164.43</v>
      </c>
      <c r="P114" s="38">
        <f t="shared" si="8"/>
        <v>-8077.6</v>
      </c>
      <c r="Q114">
        <f>VLOOKUP(B114,Ascendus!E:I,5,0)</f>
        <v>8219.56</v>
      </c>
      <c r="R114" s="38">
        <f t="shared" si="14"/>
        <v>-22.470000000001164</v>
      </c>
      <c r="S114" t="s">
        <v>915</v>
      </c>
    </row>
    <row r="115" spans="1:19" x14ac:dyDescent="0.35">
      <c r="A115" t="s">
        <v>454</v>
      </c>
      <c r="B115" s="4">
        <v>246779410064</v>
      </c>
      <c r="C115" s="3">
        <v>45708</v>
      </c>
      <c r="D115" s="1">
        <v>-52.38</v>
      </c>
      <c r="E115" s="1">
        <v>-4532.9399999999996</v>
      </c>
      <c r="G115" t="s">
        <v>87</v>
      </c>
      <c r="H115" t="s">
        <v>11</v>
      </c>
      <c r="I115" s="2">
        <v>45809</v>
      </c>
      <c r="J115">
        <v>1</v>
      </c>
      <c r="K115" s="3">
        <v>45838</v>
      </c>
      <c r="L115">
        <v>210</v>
      </c>
      <c r="M115" t="s">
        <v>13</v>
      </c>
      <c r="N115" s="79">
        <f t="shared" si="13"/>
        <v>-2.0046592277859404E-2</v>
      </c>
      <c r="O115">
        <f>VLOOKUP(B115,'Customer TDS'!A:D,4,0)</f>
        <v>90.87</v>
      </c>
      <c r="P115" s="38">
        <f t="shared" si="8"/>
        <v>-4442.07</v>
      </c>
      <c r="Q115">
        <f>VLOOKUP(B115,Ascendus!E:I,5,0)</f>
        <v>4520.59</v>
      </c>
      <c r="R115" s="38">
        <f t="shared" si="14"/>
        <v>-12.349999999999454</v>
      </c>
      <c r="S115" t="s">
        <v>915</v>
      </c>
    </row>
    <row r="116" spans="1:19" x14ac:dyDescent="0.35">
      <c r="A116" t="s">
        <v>454</v>
      </c>
      <c r="B116" s="4">
        <v>246779410010</v>
      </c>
      <c r="C116" s="3">
        <v>45708</v>
      </c>
      <c r="D116" s="1">
        <v>-2380.9499999999998</v>
      </c>
      <c r="E116" s="1">
        <v>-206046.42</v>
      </c>
      <c r="G116" t="s">
        <v>87</v>
      </c>
      <c r="H116" t="s">
        <v>11</v>
      </c>
      <c r="I116" s="2">
        <v>45809</v>
      </c>
      <c r="J116">
        <v>1</v>
      </c>
      <c r="K116" s="3">
        <v>45838</v>
      </c>
      <c r="L116">
        <v>210</v>
      </c>
      <c r="M116" t="s">
        <v>13</v>
      </c>
      <c r="N116" s="79">
        <f t="shared" si="13"/>
        <v>-2.0000396027264146E-2</v>
      </c>
      <c r="O116">
        <f>VLOOKUP(B116,'Customer TDS'!A:D,4,0)</f>
        <v>4121.01</v>
      </c>
      <c r="P116" s="38">
        <f t="shared" si="8"/>
        <v>-201925.41</v>
      </c>
      <c r="Q116">
        <f>VLOOKUP(B116,Ascendus!E:I,5,0)</f>
        <v>205484.7</v>
      </c>
      <c r="R116" s="38">
        <f t="shared" si="14"/>
        <v>-561.72000000000116</v>
      </c>
      <c r="S116" t="s">
        <v>915</v>
      </c>
    </row>
    <row r="117" spans="1:19" x14ac:dyDescent="0.35">
      <c r="A117" t="s">
        <v>454</v>
      </c>
      <c r="B117" s="4">
        <v>246779410063</v>
      </c>
      <c r="C117" s="3">
        <v>45708</v>
      </c>
      <c r="D117" s="1">
        <v>-95.24</v>
      </c>
      <c r="E117" s="1">
        <v>-8242.0300000000007</v>
      </c>
      <c r="G117" t="s">
        <v>87</v>
      </c>
      <c r="H117" t="s">
        <v>11</v>
      </c>
      <c r="I117" s="2">
        <v>45809</v>
      </c>
      <c r="J117">
        <v>1</v>
      </c>
      <c r="K117" s="3">
        <v>45838</v>
      </c>
      <c r="L117">
        <v>210</v>
      </c>
      <c r="M117" t="s">
        <v>13</v>
      </c>
      <c r="N117" s="79">
        <f t="shared" si="13"/>
        <v>-1.995018217599305E-2</v>
      </c>
      <c r="O117">
        <f>VLOOKUP(B117,'Customer TDS'!A:D,4,0)</f>
        <v>164.43</v>
      </c>
      <c r="P117" s="38">
        <f t="shared" si="8"/>
        <v>-8077.6</v>
      </c>
      <c r="Q117">
        <f>VLOOKUP(B117,Ascendus!E:I,5,0)</f>
        <v>8219.56</v>
      </c>
      <c r="R117" s="38">
        <f t="shared" si="14"/>
        <v>-22.470000000001164</v>
      </c>
      <c r="S117" t="s">
        <v>915</v>
      </c>
    </row>
    <row r="118" spans="1:19" x14ac:dyDescent="0.35">
      <c r="A118" t="s">
        <v>454</v>
      </c>
      <c r="B118" s="4">
        <v>246779410030</v>
      </c>
      <c r="C118" s="3">
        <v>45708</v>
      </c>
      <c r="D118" s="1">
        <v>-2380.9499999999998</v>
      </c>
      <c r="E118" s="1">
        <v>-206046.42</v>
      </c>
      <c r="G118" t="s">
        <v>87</v>
      </c>
      <c r="H118" t="s">
        <v>11</v>
      </c>
      <c r="I118" s="2">
        <v>45809</v>
      </c>
      <c r="J118">
        <v>1</v>
      </c>
      <c r="K118" s="3">
        <v>45838</v>
      </c>
      <c r="L118">
        <v>210</v>
      </c>
      <c r="M118" t="s">
        <v>13</v>
      </c>
      <c r="N118" s="79">
        <f t="shared" si="13"/>
        <v>-2.0000396027264146E-2</v>
      </c>
      <c r="O118">
        <f>VLOOKUP(B118,'Customer TDS'!A:D,4,0)</f>
        <v>4121.01</v>
      </c>
      <c r="P118" s="38">
        <f t="shared" si="8"/>
        <v>-201925.41</v>
      </c>
      <c r="Q118">
        <f>VLOOKUP(B118,Ascendus!E:I,5,0)</f>
        <v>205484.7</v>
      </c>
      <c r="R118" s="38">
        <f t="shared" si="14"/>
        <v>-561.72000000000116</v>
      </c>
      <c r="S118" t="s">
        <v>915</v>
      </c>
    </row>
    <row r="119" spans="1:19" x14ac:dyDescent="0.35">
      <c r="A119" t="s">
        <v>454</v>
      </c>
      <c r="B119" s="4">
        <v>246779410261</v>
      </c>
      <c r="C119" s="3">
        <v>45708</v>
      </c>
      <c r="D119" s="1">
        <v>-50.3</v>
      </c>
      <c r="E119" s="1">
        <v>-4352.9399999999996</v>
      </c>
      <c r="G119" t="s">
        <v>87</v>
      </c>
      <c r="H119" t="s">
        <v>11</v>
      </c>
      <c r="I119" s="2">
        <v>45809</v>
      </c>
      <c r="J119">
        <v>1</v>
      </c>
      <c r="K119" s="3">
        <v>45838</v>
      </c>
      <c r="L119">
        <v>210</v>
      </c>
      <c r="M119" t="s">
        <v>13</v>
      </c>
      <c r="N119" s="79">
        <f t="shared" si="13"/>
        <v>-2.00783838049686E-2</v>
      </c>
      <c r="O119">
        <f>VLOOKUP(B119,'Customer TDS'!A:D,4,0)</f>
        <v>87.4</v>
      </c>
      <c r="P119" s="38">
        <f t="shared" si="8"/>
        <v>-4265.54</v>
      </c>
      <c r="Q119">
        <f>VLOOKUP(B119,Ascendus!E:I,5,0)</f>
        <v>4341.07</v>
      </c>
      <c r="R119" s="38">
        <f t="shared" si="14"/>
        <v>-11.869999999999891</v>
      </c>
      <c r="S119" t="s">
        <v>915</v>
      </c>
    </row>
    <row r="120" spans="1:19" x14ac:dyDescent="0.35">
      <c r="A120" t="s">
        <v>454</v>
      </c>
      <c r="B120" s="4">
        <v>246779410227</v>
      </c>
      <c r="C120" s="3">
        <v>45708</v>
      </c>
      <c r="D120" s="1">
        <v>0</v>
      </c>
      <c r="E120" s="1">
        <v>1232.44</v>
      </c>
      <c r="F120" t="s">
        <v>15</v>
      </c>
      <c r="G120" t="s">
        <v>87</v>
      </c>
      <c r="H120" t="s">
        <v>11</v>
      </c>
      <c r="I120" s="2">
        <v>45809</v>
      </c>
      <c r="J120">
        <v>2</v>
      </c>
      <c r="K120" s="3">
        <v>45838</v>
      </c>
      <c r="L120">
        <v>271</v>
      </c>
      <c r="M120" t="s">
        <v>13</v>
      </c>
      <c r="P120" s="38">
        <f t="shared" si="8"/>
        <v>1232.44</v>
      </c>
      <c r="S120" t="s">
        <v>918</v>
      </c>
    </row>
    <row r="121" spans="1:19" x14ac:dyDescent="0.35">
      <c r="A121" t="s">
        <v>454</v>
      </c>
      <c r="B121" s="4">
        <v>246779410260</v>
      </c>
      <c r="C121" s="3">
        <v>45708</v>
      </c>
      <c r="D121" s="1">
        <v>0</v>
      </c>
      <c r="E121" s="1">
        <v>49.29</v>
      </c>
      <c r="F121" t="s">
        <v>15</v>
      </c>
      <c r="G121" t="s">
        <v>87</v>
      </c>
      <c r="H121" t="s">
        <v>11</v>
      </c>
      <c r="I121" s="2">
        <v>45809</v>
      </c>
      <c r="J121">
        <v>8</v>
      </c>
      <c r="K121" s="3">
        <v>45838</v>
      </c>
      <c r="L121">
        <v>271</v>
      </c>
      <c r="M121" t="s">
        <v>13</v>
      </c>
      <c r="P121" s="38">
        <f t="shared" si="8"/>
        <v>49.29</v>
      </c>
      <c r="S121" t="s">
        <v>918</v>
      </c>
    </row>
    <row r="122" spans="1:19" x14ac:dyDescent="0.35">
      <c r="A122" t="s">
        <v>454</v>
      </c>
      <c r="B122" s="4">
        <v>246779410080</v>
      </c>
      <c r="C122" s="3">
        <v>45708</v>
      </c>
      <c r="D122" s="1">
        <v>0</v>
      </c>
      <c r="E122" s="1">
        <v>51.34</v>
      </c>
      <c r="F122" t="s">
        <v>15</v>
      </c>
      <c r="G122" t="s">
        <v>87</v>
      </c>
      <c r="H122" t="s">
        <v>11</v>
      </c>
      <c r="I122" s="2">
        <v>45809</v>
      </c>
      <c r="J122">
        <v>76</v>
      </c>
      <c r="K122" s="3">
        <v>45838</v>
      </c>
      <c r="L122">
        <v>271</v>
      </c>
      <c r="M122" t="s">
        <v>13</v>
      </c>
      <c r="P122" s="38">
        <f t="shared" si="8"/>
        <v>51.34</v>
      </c>
      <c r="S122" t="s">
        <v>918</v>
      </c>
    </row>
    <row r="123" spans="1:19" x14ac:dyDescent="0.35">
      <c r="A123" t="s">
        <v>454</v>
      </c>
      <c r="B123" s="4">
        <v>246779410064</v>
      </c>
      <c r="C123" s="3">
        <v>45708</v>
      </c>
      <c r="D123" s="1">
        <v>0</v>
      </c>
      <c r="E123" s="1">
        <v>28.23</v>
      </c>
      <c r="F123" t="s">
        <v>15</v>
      </c>
      <c r="G123" t="s">
        <v>87</v>
      </c>
      <c r="H123" t="s">
        <v>11</v>
      </c>
      <c r="I123" s="2">
        <v>45809</v>
      </c>
      <c r="J123">
        <v>80</v>
      </c>
      <c r="K123" s="3">
        <v>45838</v>
      </c>
      <c r="L123">
        <v>271</v>
      </c>
      <c r="M123" t="s">
        <v>13</v>
      </c>
      <c r="P123" s="38">
        <f t="shared" si="8"/>
        <v>28.23</v>
      </c>
      <c r="S123" t="s">
        <v>918</v>
      </c>
    </row>
    <row r="124" spans="1:19" x14ac:dyDescent="0.35">
      <c r="A124" t="s">
        <v>454</v>
      </c>
      <c r="B124" s="4">
        <v>246779410010</v>
      </c>
      <c r="C124" s="3">
        <v>45708</v>
      </c>
      <c r="D124" s="1">
        <v>0</v>
      </c>
      <c r="E124" s="1">
        <v>1283.51</v>
      </c>
      <c r="F124" t="s">
        <v>15</v>
      </c>
      <c r="G124" t="s">
        <v>87</v>
      </c>
      <c r="H124" t="s">
        <v>11</v>
      </c>
      <c r="I124" s="2">
        <v>45809</v>
      </c>
      <c r="J124">
        <v>92</v>
      </c>
      <c r="K124" s="3">
        <v>45838</v>
      </c>
      <c r="L124">
        <v>271</v>
      </c>
      <c r="M124" t="s">
        <v>13</v>
      </c>
      <c r="P124" s="38">
        <f t="shared" si="8"/>
        <v>1283.51</v>
      </c>
      <c r="S124" t="s">
        <v>918</v>
      </c>
    </row>
    <row r="125" spans="1:19" x14ac:dyDescent="0.35">
      <c r="A125" t="s">
        <v>454</v>
      </c>
      <c r="B125" s="4">
        <v>246779410063</v>
      </c>
      <c r="C125" s="3">
        <v>45708</v>
      </c>
      <c r="D125" s="1">
        <v>0</v>
      </c>
      <c r="E125" s="1">
        <v>51.34</v>
      </c>
      <c r="F125" t="s">
        <v>15</v>
      </c>
      <c r="G125" t="s">
        <v>87</v>
      </c>
      <c r="H125" t="s">
        <v>11</v>
      </c>
      <c r="I125" s="2">
        <v>45809</v>
      </c>
      <c r="J125">
        <v>98</v>
      </c>
      <c r="K125" s="3">
        <v>45838</v>
      </c>
      <c r="L125">
        <v>271</v>
      </c>
      <c r="M125" t="s">
        <v>13</v>
      </c>
      <c r="P125" s="38">
        <f t="shared" si="8"/>
        <v>51.34</v>
      </c>
      <c r="S125" t="s">
        <v>918</v>
      </c>
    </row>
    <row r="126" spans="1:19" x14ac:dyDescent="0.35">
      <c r="A126" t="s">
        <v>454</v>
      </c>
      <c r="B126" s="4">
        <v>246779410030</v>
      </c>
      <c r="C126" s="3">
        <v>45708</v>
      </c>
      <c r="D126" s="1">
        <v>0</v>
      </c>
      <c r="E126" s="1">
        <v>1283.51</v>
      </c>
      <c r="F126" t="s">
        <v>15</v>
      </c>
      <c r="G126" t="s">
        <v>87</v>
      </c>
      <c r="H126" t="s">
        <v>11</v>
      </c>
      <c r="I126" s="2">
        <v>45809</v>
      </c>
      <c r="J126">
        <v>100</v>
      </c>
      <c r="K126" s="3">
        <v>45838</v>
      </c>
      <c r="L126">
        <v>271</v>
      </c>
      <c r="M126" t="s">
        <v>13</v>
      </c>
      <c r="P126" s="38">
        <f t="shared" si="8"/>
        <v>1283.51</v>
      </c>
      <c r="S126" t="s">
        <v>918</v>
      </c>
    </row>
    <row r="127" spans="1:19" x14ac:dyDescent="0.35">
      <c r="A127" t="s">
        <v>454</v>
      </c>
      <c r="B127" s="4">
        <v>246779410261</v>
      </c>
      <c r="C127" s="3">
        <v>45708</v>
      </c>
      <c r="D127" s="1">
        <v>0</v>
      </c>
      <c r="E127" s="1">
        <v>27.12</v>
      </c>
      <c r="F127" t="s">
        <v>15</v>
      </c>
      <c r="G127" t="s">
        <v>87</v>
      </c>
      <c r="H127" t="s">
        <v>11</v>
      </c>
      <c r="I127" s="2">
        <v>45809</v>
      </c>
      <c r="J127">
        <v>102</v>
      </c>
      <c r="K127" s="3">
        <v>45838</v>
      </c>
      <c r="L127">
        <v>271</v>
      </c>
      <c r="M127" t="s">
        <v>13</v>
      </c>
      <c r="P127" s="38">
        <f t="shared" si="8"/>
        <v>27.12</v>
      </c>
      <c r="S127" t="s">
        <v>918</v>
      </c>
    </row>
    <row r="128" spans="1:19" x14ac:dyDescent="0.35">
      <c r="A128" t="s">
        <v>454</v>
      </c>
      <c r="B128" s="4">
        <v>246779410311</v>
      </c>
      <c r="C128" s="3">
        <v>45708</v>
      </c>
      <c r="D128" s="1">
        <v>-95.24</v>
      </c>
      <c r="E128" s="1">
        <v>-8242.0300000000007</v>
      </c>
      <c r="G128" t="s">
        <v>87</v>
      </c>
      <c r="H128" t="s">
        <v>11</v>
      </c>
      <c r="I128" s="2">
        <v>45901</v>
      </c>
      <c r="J128">
        <v>1</v>
      </c>
      <c r="K128" s="3">
        <v>45930</v>
      </c>
      <c r="L128">
        <v>210</v>
      </c>
      <c r="M128" t="s">
        <v>13</v>
      </c>
      <c r="N128" s="79">
        <f>O128/E128</f>
        <v>-1.995018217599305E-2</v>
      </c>
      <c r="O128">
        <f>VLOOKUP(B128,'Customer TDS'!A:D,4,0)</f>
        <v>164.43</v>
      </c>
      <c r="P128" s="38">
        <f t="shared" si="8"/>
        <v>-8077.6</v>
      </c>
      <c r="Q128">
        <f>VLOOKUP(B128,Ascendus!E:I,5,0)</f>
        <v>8219.56</v>
      </c>
      <c r="R128" s="38">
        <f>E128+Q128</f>
        <v>-22.470000000001164</v>
      </c>
      <c r="S128" t="s">
        <v>915</v>
      </c>
    </row>
    <row r="129" spans="1:19" x14ac:dyDescent="0.35">
      <c r="A129" t="s">
        <v>454</v>
      </c>
      <c r="B129" s="4">
        <v>246779410311</v>
      </c>
      <c r="C129" s="3">
        <v>45708</v>
      </c>
      <c r="D129" s="1">
        <v>0</v>
      </c>
      <c r="E129" s="1">
        <v>-197.88</v>
      </c>
      <c r="F129" t="s">
        <v>15</v>
      </c>
      <c r="G129" t="s">
        <v>87</v>
      </c>
      <c r="H129" t="s">
        <v>11</v>
      </c>
      <c r="I129" s="2">
        <v>45901</v>
      </c>
      <c r="J129">
        <v>2</v>
      </c>
      <c r="K129" s="3">
        <v>45930</v>
      </c>
      <c r="L129">
        <v>271</v>
      </c>
      <c r="M129" t="s">
        <v>13</v>
      </c>
      <c r="P129" s="38">
        <f t="shared" si="8"/>
        <v>-197.88</v>
      </c>
      <c r="S129" t="s">
        <v>918</v>
      </c>
    </row>
    <row r="130" spans="1:19" x14ac:dyDescent="0.35">
      <c r="A130" t="s">
        <v>454</v>
      </c>
      <c r="B130" s="4">
        <v>256779415769</v>
      </c>
      <c r="C130" s="3">
        <v>45857</v>
      </c>
      <c r="D130" s="1">
        <v>-234.91</v>
      </c>
      <c r="E130" s="1">
        <v>-20199.8</v>
      </c>
      <c r="F130" t="s">
        <v>43</v>
      </c>
      <c r="G130" t="s">
        <v>110</v>
      </c>
      <c r="H130" t="s">
        <v>11</v>
      </c>
      <c r="I130" s="2">
        <v>46023</v>
      </c>
      <c r="J130">
        <v>1</v>
      </c>
      <c r="K130" s="3">
        <v>46045</v>
      </c>
      <c r="L130">
        <v>210</v>
      </c>
      <c r="M130" t="s">
        <v>13</v>
      </c>
      <c r="N130" s="79">
        <f>O130/E130</f>
        <v>-2.000762383785978E-2</v>
      </c>
      <c r="O130">
        <f>VLOOKUP(B130,'Customer TDS'!A:D,4,0)</f>
        <v>404.15</v>
      </c>
      <c r="P130" s="38">
        <f t="shared" si="8"/>
        <v>-19795.649999999998</v>
      </c>
      <c r="Q130">
        <f>VLOOKUP(B130,Ascendus!E:I,5,0)</f>
        <v>20202.419999999998</v>
      </c>
      <c r="R130" s="38">
        <f t="shared" ref="R130:R131" si="15">E130+Q130</f>
        <v>2.6199999999989814</v>
      </c>
      <c r="S130" t="s">
        <v>915</v>
      </c>
    </row>
    <row r="131" spans="1:19" x14ac:dyDescent="0.35">
      <c r="A131" t="s">
        <v>454</v>
      </c>
      <c r="B131" s="4">
        <v>256779414741</v>
      </c>
      <c r="C131" s="3">
        <v>45827</v>
      </c>
      <c r="D131" s="1">
        <v>-579.79</v>
      </c>
      <c r="E131" s="1">
        <v>-49319.31</v>
      </c>
      <c r="F131" t="s">
        <v>113</v>
      </c>
      <c r="G131" t="s">
        <v>114</v>
      </c>
      <c r="H131" t="s">
        <v>11</v>
      </c>
      <c r="I131" s="2">
        <v>45992</v>
      </c>
      <c r="J131">
        <v>1</v>
      </c>
      <c r="K131" s="3">
        <v>46022</v>
      </c>
      <c r="L131">
        <v>210</v>
      </c>
      <c r="M131" t="s">
        <v>13</v>
      </c>
      <c r="N131" s="79">
        <f>O131/E131</f>
        <v>-2.0007173660783171E-2</v>
      </c>
      <c r="O131">
        <f>VLOOKUP(B131,'Customer TDS'!A:D,4,0)</f>
        <v>986.74</v>
      </c>
      <c r="P131" s="38">
        <f t="shared" si="8"/>
        <v>-48332.57</v>
      </c>
      <c r="Q131">
        <f>VLOOKUP(B131,Ascendus!E:I,5,0)</f>
        <v>49566.7</v>
      </c>
      <c r="R131" s="38">
        <f t="shared" si="15"/>
        <v>247.38999999999942</v>
      </c>
      <c r="S131" t="s">
        <v>915</v>
      </c>
    </row>
    <row r="132" spans="1:19" x14ac:dyDescent="0.35">
      <c r="A132" t="s">
        <v>454</v>
      </c>
      <c r="B132" s="4">
        <v>256779414741</v>
      </c>
      <c r="C132" s="3">
        <v>45827</v>
      </c>
      <c r="D132" s="1">
        <v>0</v>
      </c>
      <c r="E132" s="1">
        <v>-2742.45</v>
      </c>
      <c r="F132" t="s">
        <v>15</v>
      </c>
      <c r="G132" t="s">
        <v>114</v>
      </c>
      <c r="H132" t="s">
        <v>11</v>
      </c>
      <c r="I132" s="2">
        <v>45992</v>
      </c>
      <c r="J132">
        <v>86</v>
      </c>
      <c r="K132" s="3">
        <v>46022</v>
      </c>
      <c r="L132">
        <v>271</v>
      </c>
      <c r="M132" t="s">
        <v>13</v>
      </c>
      <c r="P132" s="38">
        <f t="shared" ref="P132:P195" si="16">E132+O132</f>
        <v>-2742.45</v>
      </c>
      <c r="S132" t="s">
        <v>918</v>
      </c>
    </row>
    <row r="133" spans="1:19" x14ac:dyDescent="0.35">
      <c r="A133" t="s">
        <v>454</v>
      </c>
      <c r="B133" s="4">
        <v>246779413202</v>
      </c>
      <c r="C133" s="3">
        <v>45735</v>
      </c>
      <c r="D133" s="1">
        <v>-39.06</v>
      </c>
      <c r="E133" s="1">
        <v>-3380.24</v>
      </c>
      <c r="G133" t="s">
        <v>116</v>
      </c>
      <c r="H133" t="s">
        <v>11</v>
      </c>
      <c r="I133" s="2">
        <v>45809</v>
      </c>
      <c r="J133">
        <v>1</v>
      </c>
      <c r="K133" s="3">
        <v>45997</v>
      </c>
      <c r="L133">
        <v>210</v>
      </c>
      <c r="M133" t="s">
        <v>13</v>
      </c>
      <c r="N133" s="79">
        <f>O133/E133</f>
        <v>-1.9968996284287506E-2</v>
      </c>
      <c r="O133">
        <f>VLOOKUP(B133,'Customer TDS'!A:D,4,0)</f>
        <v>67.5</v>
      </c>
      <c r="P133" s="38">
        <f t="shared" si="16"/>
        <v>-3312.74</v>
      </c>
      <c r="Q133">
        <f>VLOOKUP(B133,Ascendus!E:I,5,0)</f>
        <v>3386.16</v>
      </c>
      <c r="R133" s="38">
        <f t="shared" ref="R133:R136" si="17">E133+Q133</f>
        <v>5.9200000000000728</v>
      </c>
      <c r="S133" t="s">
        <v>915</v>
      </c>
    </row>
    <row r="134" spans="1:19" x14ac:dyDescent="0.35">
      <c r="A134" t="s">
        <v>454</v>
      </c>
      <c r="B134" s="4">
        <v>246779412994</v>
      </c>
      <c r="C134" s="3">
        <v>45735</v>
      </c>
      <c r="D134" s="1">
        <v>-2297.27</v>
      </c>
      <c r="E134" s="1">
        <v>-199959.93</v>
      </c>
      <c r="G134" t="s">
        <v>116</v>
      </c>
      <c r="H134" t="s">
        <v>11</v>
      </c>
      <c r="I134" s="2">
        <v>45809</v>
      </c>
      <c r="J134">
        <v>1</v>
      </c>
      <c r="K134" s="3">
        <v>45838</v>
      </c>
      <c r="L134">
        <v>210</v>
      </c>
      <c r="M134" t="s">
        <v>13</v>
      </c>
      <c r="N134" s="79">
        <f>O134/E134</f>
        <v>-2.0002007402183029E-2</v>
      </c>
      <c r="O134">
        <f>VLOOKUP(B134,'Customer TDS'!A:D,4,0)</f>
        <v>3999.6</v>
      </c>
      <c r="P134" s="38">
        <f t="shared" si="16"/>
        <v>-195960.33</v>
      </c>
      <c r="Q134">
        <f>VLOOKUP(B134,Ascendus!E:I,5,0)</f>
        <v>199153.23</v>
      </c>
      <c r="R134" s="38">
        <f t="shared" si="17"/>
        <v>-806.69999999998254</v>
      </c>
      <c r="S134" t="s">
        <v>915</v>
      </c>
    </row>
    <row r="135" spans="1:19" x14ac:dyDescent="0.35">
      <c r="A135" t="s">
        <v>454</v>
      </c>
      <c r="B135" s="4">
        <v>246779413023</v>
      </c>
      <c r="C135" s="3">
        <v>45735</v>
      </c>
      <c r="D135" s="1">
        <v>-91.89</v>
      </c>
      <c r="E135" s="1">
        <v>-7998.33</v>
      </c>
      <c r="G135" t="s">
        <v>116</v>
      </c>
      <c r="H135" t="s">
        <v>11</v>
      </c>
      <c r="I135" s="2">
        <v>45809</v>
      </c>
      <c r="J135">
        <v>1</v>
      </c>
      <c r="K135" s="3">
        <v>45838</v>
      </c>
      <c r="L135">
        <v>210</v>
      </c>
      <c r="M135" t="s">
        <v>13</v>
      </c>
      <c r="N135" s="79">
        <f>O135/E135</f>
        <v>-2.0024180047584932E-2</v>
      </c>
      <c r="O135">
        <f>VLOOKUP(B135,'Customer TDS'!A:D,4,0)</f>
        <v>160.16</v>
      </c>
      <c r="P135" s="38">
        <f t="shared" si="16"/>
        <v>-7838.17</v>
      </c>
      <c r="Q135">
        <f>VLOOKUP(B135,Ascendus!E:I,5,0)</f>
        <v>7966.06</v>
      </c>
      <c r="R135" s="38">
        <f t="shared" si="17"/>
        <v>-32.269999999999527</v>
      </c>
      <c r="S135" t="s">
        <v>915</v>
      </c>
    </row>
    <row r="136" spans="1:19" x14ac:dyDescent="0.35">
      <c r="A136" t="s">
        <v>454</v>
      </c>
      <c r="B136" s="4">
        <v>246779413024</v>
      </c>
      <c r="C136" s="3">
        <v>45735</v>
      </c>
      <c r="D136" s="1">
        <v>-50.54</v>
      </c>
      <c r="E136" s="1">
        <v>-4399.12</v>
      </c>
      <c r="G136" t="s">
        <v>116</v>
      </c>
      <c r="H136" t="s">
        <v>11</v>
      </c>
      <c r="I136" s="2">
        <v>45809</v>
      </c>
      <c r="J136">
        <v>1</v>
      </c>
      <c r="K136" s="3">
        <v>45838</v>
      </c>
      <c r="L136">
        <v>210</v>
      </c>
      <c r="M136" t="s">
        <v>13</v>
      </c>
      <c r="N136" s="79">
        <f>O136/E136</f>
        <v>-1.9983542162978051E-2</v>
      </c>
      <c r="O136">
        <f>VLOOKUP(B136,'Customer TDS'!A:D,4,0)</f>
        <v>87.91</v>
      </c>
      <c r="P136" s="38">
        <f t="shared" si="16"/>
        <v>-4311.21</v>
      </c>
      <c r="Q136">
        <f>VLOOKUP(B136,Ascendus!E:I,5,0)</f>
        <v>4381.38</v>
      </c>
      <c r="R136" s="38">
        <f t="shared" si="17"/>
        <v>-17.739999999999782</v>
      </c>
      <c r="S136" t="s">
        <v>915</v>
      </c>
    </row>
    <row r="137" spans="1:19" x14ac:dyDescent="0.35">
      <c r="A137" t="s">
        <v>454</v>
      </c>
      <c r="B137" s="4">
        <v>246779412994</v>
      </c>
      <c r="C137" s="3">
        <v>45735</v>
      </c>
      <c r="D137" s="1">
        <v>0</v>
      </c>
      <c r="E137" s="1">
        <v>2370.4299999999998</v>
      </c>
      <c r="F137" t="s">
        <v>15</v>
      </c>
      <c r="G137" t="s">
        <v>116</v>
      </c>
      <c r="H137" t="s">
        <v>11</v>
      </c>
      <c r="I137" s="2">
        <v>45809</v>
      </c>
      <c r="J137">
        <v>26</v>
      </c>
      <c r="K137" s="3">
        <v>45838</v>
      </c>
      <c r="L137">
        <v>271</v>
      </c>
      <c r="M137" t="s">
        <v>13</v>
      </c>
      <c r="P137" s="38">
        <f t="shared" si="16"/>
        <v>2370.4299999999998</v>
      </c>
      <c r="S137" t="s">
        <v>918</v>
      </c>
    </row>
    <row r="138" spans="1:19" x14ac:dyDescent="0.35">
      <c r="A138" t="s">
        <v>454</v>
      </c>
      <c r="B138" s="4">
        <v>246779413023</v>
      </c>
      <c r="C138" s="3">
        <v>45735</v>
      </c>
      <c r="D138" s="1">
        <v>0</v>
      </c>
      <c r="E138" s="1">
        <v>94.81</v>
      </c>
      <c r="F138" t="s">
        <v>15</v>
      </c>
      <c r="G138" t="s">
        <v>116</v>
      </c>
      <c r="H138" t="s">
        <v>11</v>
      </c>
      <c r="I138" s="2">
        <v>45809</v>
      </c>
      <c r="J138">
        <v>30</v>
      </c>
      <c r="K138" s="3">
        <v>45838</v>
      </c>
      <c r="L138">
        <v>271</v>
      </c>
      <c r="M138" t="s">
        <v>13</v>
      </c>
      <c r="P138" s="38">
        <f t="shared" si="16"/>
        <v>94.81</v>
      </c>
      <c r="S138" t="s">
        <v>918</v>
      </c>
    </row>
    <row r="139" spans="1:19" x14ac:dyDescent="0.35">
      <c r="A139" t="s">
        <v>454</v>
      </c>
      <c r="B139" s="4">
        <v>246779413024</v>
      </c>
      <c r="C139" s="3">
        <v>45735</v>
      </c>
      <c r="D139" s="1">
        <v>0</v>
      </c>
      <c r="E139" s="1">
        <v>52.15</v>
      </c>
      <c r="F139" t="s">
        <v>15</v>
      </c>
      <c r="G139" t="s">
        <v>116</v>
      </c>
      <c r="H139" t="s">
        <v>11</v>
      </c>
      <c r="I139" s="2">
        <v>45809</v>
      </c>
      <c r="J139">
        <v>62</v>
      </c>
      <c r="K139" s="3">
        <v>45838</v>
      </c>
      <c r="L139">
        <v>271</v>
      </c>
      <c r="M139" t="s">
        <v>13</v>
      </c>
      <c r="P139" s="38">
        <f t="shared" si="16"/>
        <v>52.15</v>
      </c>
      <c r="S139" t="s">
        <v>918</v>
      </c>
    </row>
    <row r="140" spans="1:19" x14ac:dyDescent="0.35">
      <c r="A140" t="s">
        <v>454</v>
      </c>
      <c r="B140" s="4">
        <v>246779410081</v>
      </c>
      <c r="C140" s="3">
        <v>45707</v>
      </c>
      <c r="D140" s="1">
        <v>-52.38</v>
      </c>
      <c r="E140" s="1">
        <v>-4532.9399999999996</v>
      </c>
      <c r="G140" t="s">
        <v>121</v>
      </c>
      <c r="H140" t="s">
        <v>11</v>
      </c>
      <c r="I140" s="2">
        <v>45809</v>
      </c>
      <c r="J140">
        <v>1</v>
      </c>
      <c r="K140" s="3">
        <v>45838</v>
      </c>
      <c r="L140">
        <v>210</v>
      </c>
      <c r="M140" t="s">
        <v>13</v>
      </c>
      <c r="N140" s="79">
        <f>O140/E140</f>
        <v>-2.0046592277859404E-2</v>
      </c>
      <c r="O140">
        <f>VLOOKUP(B140,'Customer TDS'!A:D,4,0)</f>
        <v>90.87</v>
      </c>
      <c r="P140" s="38">
        <f t="shared" si="16"/>
        <v>-4442.07</v>
      </c>
      <c r="Q140">
        <f>VLOOKUP(B140,Ascendus!E:I,5,0)</f>
        <v>4520.59</v>
      </c>
      <c r="R140" s="38">
        <f>E140+Q140</f>
        <v>-12.349999999999454</v>
      </c>
      <c r="S140" t="s">
        <v>915</v>
      </c>
    </row>
    <row r="141" spans="1:19" x14ac:dyDescent="0.35">
      <c r="A141" t="s">
        <v>454</v>
      </c>
      <c r="B141" s="4">
        <v>246779410081</v>
      </c>
      <c r="C141" s="3">
        <v>45707</v>
      </c>
      <c r="D141" s="1">
        <v>0</v>
      </c>
      <c r="E141" s="1">
        <v>28.23</v>
      </c>
      <c r="F141" t="s">
        <v>15</v>
      </c>
      <c r="G141" t="s">
        <v>121</v>
      </c>
      <c r="H141" t="s">
        <v>11</v>
      </c>
      <c r="I141" s="2">
        <v>45809</v>
      </c>
      <c r="J141">
        <v>96</v>
      </c>
      <c r="K141" s="3">
        <v>45838</v>
      </c>
      <c r="L141">
        <v>271</v>
      </c>
      <c r="M141" t="s">
        <v>13</v>
      </c>
      <c r="P141" s="38">
        <f t="shared" si="16"/>
        <v>28.23</v>
      </c>
      <c r="S141" t="s">
        <v>918</v>
      </c>
    </row>
    <row r="142" spans="1:19" x14ac:dyDescent="0.35">
      <c r="A142" t="s">
        <v>454</v>
      </c>
      <c r="B142" s="4">
        <v>256779418424</v>
      </c>
      <c r="C142" s="3">
        <v>45948</v>
      </c>
      <c r="D142" s="1">
        <v>-1334.62</v>
      </c>
      <c r="E142" s="1">
        <v>-118326.74</v>
      </c>
      <c r="F142" t="s">
        <v>43</v>
      </c>
      <c r="G142" t="s">
        <v>123</v>
      </c>
      <c r="H142" t="s">
        <v>11</v>
      </c>
      <c r="I142" s="2">
        <v>45992</v>
      </c>
      <c r="J142">
        <v>1</v>
      </c>
      <c r="K142" s="3">
        <v>46006</v>
      </c>
      <c r="L142">
        <v>210</v>
      </c>
      <c r="M142" t="s">
        <v>13</v>
      </c>
      <c r="N142" s="79">
        <f>O142/E142</f>
        <v>-1.9998184687586254E-2</v>
      </c>
      <c r="O142">
        <f>VLOOKUP(B142,'Customer TDS'!A:D,4,0)</f>
        <v>2366.3200000000002</v>
      </c>
      <c r="P142" s="38">
        <f t="shared" si="16"/>
        <v>-115960.42</v>
      </c>
      <c r="Q142">
        <f>VLOOKUP(B142,Ascendus!E:I,5,0)</f>
        <v>117701.17</v>
      </c>
      <c r="R142" s="38">
        <f t="shared" ref="R142:R144" si="18">E142+Q142</f>
        <v>-625.57000000000698</v>
      </c>
      <c r="S142" t="s">
        <v>915</v>
      </c>
    </row>
    <row r="143" spans="1:19" x14ac:dyDescent="0.35">
      <c r="A143" t="s">
        <v>454</v>
      </c>
      <c r="B143" s="4">
        <v>256779418433</v>
      </c>
      <c r="C143" s="3">
        <v>45948</v>
      </c>
      <c r="D143" s="1">
        <v>-351.43</v>
      </c>
      <c r="E143" s="1">
        <v>-31157.61</v>
      </c>
      <c r="F143" t="s">
        <v>43</v>
      </c>
      <c r="G143" t="s">
        <v>123</v>
      </c>
      <c r="H143" t="s">
        <v>11</v>
      </c>
      <c r="I143" s="2">
        <v>45992</v>
      </c>
      <c r="J143">
        <v>1</v>
      </c>
      <c r="K143" s="3">
        <v>46006</v>
      </c>
      <c r="L143">
        <v>210</v>
      </c>
      <c r="M143" t="s">
        <v>13</v>
      </c>
      <c r="N143" s="79">
        <f>O143/E143</f>
        <v>-2.0004101726672871E-2</v>
      </c>
      <c r="O143">
        <f>VLOOKUP(B143,'Customer TDS'!A:D,4,0)</f>
        <v>623.28</v>
      </c>
      <c r="P143" s="38">
        <f t="shared" si="16"/>
        <v>-30534.33</v>
      </c>
      <c r="Q143">
        <f>VLOOKUP(B143,Ascendus!E:I,5,0)</f>
        <v>30992.880000000001</v>
      </c>
      <c r="R143" s="38">
        <f t="shared" si="18"/>
        <v>-164.72999999999956</v>
      </c>
      <c r="S143" t="s">
        <v>915</v>
      </c>
    </row>
    <row r="144" spans="1:19" x14ac:dyDescent="0.35">
      <c r="A144" t="s">
        <v>454</v>
      </c>
      <c r="B144" s="4">
        <v>256779417597</v>
      </c>
      <c r="C144" s="3">
        <v>45918</v>
      </c>
      <c r="D144" s="1">
        <v>-1055.04</v>
      </c>
      <c r="E144" s="1">
        <v>-92476.28</v>
      </c>
      <c r="G144" t="s">
        <v>126</v>
      </c>
      <c r="H144" t="s">
        <v>11</v>
      </c>
      <c r="I144" s="2">
        <v>45931</v>
      </c>
      <c r="J144">
        <v>1</v>
      </c>
      <c r="K144" s="3">
        <v>45959</v>
      </c>
      <c r="L144">
        <v>210</v>
      </c>
      <c r="M144" t="s">
        <v>13</v>
      </c>
      <c r="N144" s="79">
        <f>O144/E144</f>
        <v>-1.9999290628905056E-2</v>
      </c>
      <c r="O144">
        <f>VLOOKUP(B144,'Customer TDS'!A:D,4,0)</f>
        <v>1849.46</v>
      </c>
      <c r="P144" s="38">
        <f t="shared" si="16"/>
        <v>-90626.819999999992</v>
      </c>
      <c r="Q144">
        <f>VLOOKUP(B144,Ascendus!E:I,5,0)</f>
        <v>92331.12</v>
      </c>
      <c r="R144" s="38">
        <f t="shared" si="18"/>
        <v>-145.16000000000349</v>
      </c>
      <c r="S144" t="s">
        <v>915</v>
      </c>
    </row>
    <row r="145" spans="1:19" x14ac:dyDescent="0.35">
      <c r="A145" t="s">
        <v>454</v>
      </c>
      <c r="B145" s="4">
        <v>256779417597</v>
      </c>
      <c r="C145" s="3">
        <v>45918</v>
      </c>
      <c r="D145" s="1">
        <v>0</v>
      </c>
      <c r="E145" s="1">
        <v>-621.04</v>
      </c>
      <c r="F145" t="s">
        <v>15</v>
      </c>
      <c r="G145" t="s">
        <v>126</v>
      </c>
      <c r="H145" t="s">
        <v>11</v>
      </c>
      <c r="I145" s="2">
        <v>45931</v>
      </c>
      <c r="J145">
        <v>68</v>
      </c>
      <c r="K145" s="3">
        <v>45961</v>
      </c>
      <c r="L145">
        <v>271</v>
      </c>
      <c r="M145" t="s">
        <v>13</v>
      </c>
      <c r="P145" s="38">
        <f t="shared" si="16"/>
        <v>-621.04</v>
      </c>
      <c r="S145" t="s">
        <v>918</v>
      </c>
    </row>
    <row r="146" spans="1:19" x14ac:dyDescent="0.35">
      <c r="A146" t="s">
        <v>454</v>
      </c>
      <c r="B146" s="4">
        <v>256779417580</v>
      </c>
      <c r="C146" s="3">
        <v>45918</v>
      </c>
      <c r="D146" s="1">
        <v>-184.38</v>
      </c>
      <c r="E146" s="1">
        <v>-184.38</v>
      </c>
      <c r="G146" t="s">
        <v>126</v>
      </c>
      <c r="H146" t="s">
        <v>11</v>
      </c>
      <c r="I146" s="2">
        <v>45962</v>
      </c>
      <c r="J146">
        <v>1</v>
      </c>
      <c r="K146" s="3">
        <v>45972</v>
      </c>
      <c r="L146">
        <v>210</v>
      </c>
      <c r="M146" t="s">
        <v>13</v>
      </c>
      <c r="N146" s="79">
        <f>O146/E146</f>
        <v>-2.0013016596160105E-2</v>
      </c>
      <c r="O146">
        <f>VLOOKUP(B146,'Customer TDS'!A:D,4,0)</f>
        <v>3.69</v>
      </c>
      <c r="P146" s="38">
        <f t="shared" si="16"/>
        <v>-180.69</v>
      </c>
      <c r="Q146">
        <f>VLOOKUP(B146,Ascendus!E:I,5,0)</f>
        <v>16135.89</v>
      </c>
      <c r="R146" s="38">
        <f t="shared" ref="R146:R149" si="19">E146+Q146</f>
        <v>15951.51</v>
      </c>
      <c r="S146" t="s">
        <v>915</v>
      </c>
    </row>
    <row r="147" spans="1:19" x14ac:dyDescent="0.35">
      <c r="A147" t="s">
        <v>454</v>
      </c>
      <c r="B147" s="4">
        <v>256779417557</v>
      </c>
      <c r="C147" s="3">
        <v>45918</v>
      </c>
      <c r="D147" s="1">
        <v>-725.96</v>
      </c>
      <c r="E147" s="1">
        <v>-63631.79</v>
      </c>
      <c r="G147" t="s">
        <v>126</v>
      </c>
      <c r="H147" t="s">
        <v>11</v>
      </c>
      <c r="I147" s="2">
        <v>45962</v>
      </c>
      <c r="J147">
        <v>1</v>
      </c>
      <c r="K147" s="3">
        <v>45972</v>
      </c>
      <c r="L147">
        <v>210</v>
      </c>
      <c r="M147" t="s">
        <v>13</v>
      </c>
      <c r="N147" s="79">
        <f>O147/E147</f>
        <v>-2.0001166083808111E-2</v>
      </c>
      <c r="O147">
        <f>VLOOKUP(B147,'Customer TDS'!A:D,4,0)</f>
        <v>1272.71</v>
      </c>
      <c r="P147" s="38">
        <f t="shared" si="16"/>
        <v>-62359.08</v>
      </c>
      <c r="Q147">
        <f>VLOOKUP(B147,Ascendus!E:I,5,0)</f>
        <v>63531.9</v>
      </c>
      <c r="R147" s="38">
        <f t="shared" si="19"/>
        <v>-99.889999999999418</v>
      </c>
      <c r="S147" t="s">
        <v>915</v>
      </c>
    </row>
    <row r="148" spans="1:19" x14ac:dyDescent="0.35">
      <c r="A148" t="s">
        <v>454</v>
      </c>
      <c r="B148" s="4">
        <v>256779417517</v>
      </c>
      <c r="C148" s="3">
        <v>45918</v>
      </c>
      <c r="D148" s="1">
        <v>-4.68</v>
      </c>
      <c r="E148" s="1">
        <v>-410.21</v>
      </c>
      <c r="G148" t="s">
        <v>126</v>
      </c>
      <c r="H148" t="s">
        <v>11</v>
      </c>
      <c r="I148" s="2">
        <v>45962</v>
      </c>
      <c r="J148">
        <v>1</v>
      </c>
      <c r="K148" s="3">
        <v>45972</v>
      </c>
      <c r="L148">
        <v>210</v>
      </c>
      <c r="M148" t="s">
        <v>13</v>
      </c>
      <c r="N148" s="79">
        <f>O148/E148</f>
        <v>-1.9234050852002634E-2</v>
      </c>
      <c r="O148">
        <f>VLOOKUP(B148,'Customer TDS'!A:D,4,0)</f>
        <v>7.89</v>
      </c>
      <c r="P148" s="38">
        <f t="shared" si="16"/>
        <v>-402.32</v>
      </c>
      <c r="Q148">
        <f>VLOOKUP(B148,Ascendus!E:I,5,0)</f>
        <v>409.57</v>
      </c>
      <c r="R148" s="38">
        <f t="shared" si="19"/>
        <v>-0.63999999999998636</v>
      </c>
      <c r="S148" t="s">
        <v>915</v>
      </c>
    </row>
    <row r="149" spans="1:19" x14ac:dyDescent="0.35">
      <c r="A149" t="s">
        <v>454</v>
      </c>
      <c r="B149" s="4" t="s">
        <v>455</v>
      </c>
      <c r="C149" s="3">
        <v>45918</v>
      </c>
      <c r="D149" s="1">
        <v>-184.38</v>
      </c>
      <c r="E149" s="1">
        <v>-16161.26</v>
      </c>
      <c r="F149" t="s">
        <v>131</v>
      </c>
      <c r="G149" t="s">
        <v>126</v>
      </c>
      <c r="H149" t="s">
        <v>11</v>
      </c>
      <c r="I149" s="2">
        <v>46023</v>
      </c>
      <c r="J149">
        <v>1</v>
      </c>
      <c r="K149" s="3">
        <v>46053</v>
      </c>
      <c r="L149">
        <v>210</v>
      </c>
      <c r="M149" t="s">
        <v>13</v>
      </c>
      <c r="N149" s="79">
        <f>O149/E149</f>
        <v>-2.0013291042901359E-2</v>
      </c>
      <c r="O149">
        <f>VLOOKUP(B149,'Customer TDS'!A:D,4,0)</f>
        <v>323.44</v>
      </c>
      <c r="P149" s="38">
        <f t="shared" si="16"/>
        <v>-15837.82</v>
      </c>
      <c r="Q149" t="e">
        <f>VLOOKUP(B149,Ascendus!E:I,5,0)</f>
        <v>#N/A</v>
      </c>
      <c r="R149" s="38" t="e">
        <f t="shared" si="19"/>
        <v>#N/A</v>
      </c>
      <c r="S149" t="s">
        <v>914</v>
      </c>
    </row>
    <row r="150" spans="1:19" x14ac:dyDescent="0.35">
      <c r="A150" t="s">
        <v>454</v>
      </c>
      <c r="B150" s="4" t="s">
        <v>455</v>
      </c>
      <c r="C150" s="3">
        <v>45918</v>
      </c>
      <c r="D150" s="1">
        <v>0</v>
      </c>
      <c r="E150" s="1">
        <v>-718.94</v>
      </c>
      <c r="F150" t="s">
        <v>15</v>
      </c>
      <c r="G150" t="s">
        <v>126</v>
      </c>
      <c r="H150" t="s">
        <v>11</v>
      </c>
      <c r="I150" s="2">
        <v>46023</v>
      </c>
      <c r="J150">
        <v>104</v>
      </c>
      <c r="K150" s="3">
        <v>46053</v>
      </c>
      <c r="L150">
        <v>271</v>
      </c>
      <c r="M150" t="s">
        <v>13</v>
      </c>
      <c r="P150" s="38">
        <f t="shared" si="16"/>
        <v>-718.94</v>
      </c>
      <c r="S150" t="s">
        <v>918</v>
      </c>
    </row>
    <row r="151" spans="1:19" x14ac:dyDescent="0.35">
      <c r="A151" t="s">
        <v>454</v>
      </c>
      <c r="B151" s="4">
        <v>256779415442</v>
      </c>
      <c r="C151" s="3">
        <v>45856</v>
      </c>
      <c r="D151" s="1">
        <v>-1.59</v>
      </c>
      <c r="E151" s="1">
        <v>-136.72</v>
      </c>
      <c r="G151" t="s">
        <v>133</v>
      </c>
      <c r="H151" t="s">
        <v>11</v>
      </c>
      <c r="I151" s="2">
        <v>45931</v>
      </c>
      <c r="J151">
        <v>1</v>
      </c>
      <c r="K151" s="3">
        <v>45959</v>
      </c>
      <c r="L151">
        <v>210</v>
      </c>
      <c r="M151" t="s">
        <v>13</v>
      </c>
      <c r="N151" s="79">
        <f>O151/E151</f>
        <v>-1.8870684610883558E-2</v>
      </c>
      <c r="O151">
        <f>VLOOKUP(B151,'Customer TDS'!A:D,4,0)</f>
        <v>2.58</v>
      </c>
      <c r="P151" s="38">
        <f t="shared" si="16"/>
        <v>-134.13999999999999</v>
      </c>
      <c r="Q151">
        <f>VLOOKUP(B151,Ascendus!E:I,5,0)</f>
        <v>136.74</v>
      </c>
      <c r="R151" s="38">
        <f t="shared" ref="R151:R155" si="20">E151+Q151</f>
        <v>2.0000000000010232E-2</v>
      </c>
      <c r="S151" t="s">
        <v>915</v>
      </c>
    </row>
    <row r="152" spans="1:19" x14ac:dyDescent="0.35">
      <c r="A152" t="s">
        <v>454</v>
      </c>
      <c r="B152" s="4">
        <v>256779415426</v>
      </c>
      <c r="C152" s="3">
        <v>45856</v>
      </c>
      <c r="D152" s="1">
        <v>-464.73</v>
      </c>
      <c r="E152" s="1">
        <v>-39961.910000000003</v>
      </c>
      <c r="G152" t="s">
        <v>133</v>
      </c>
      <c r="H152" t="s">
        <v>11</v>
      </c>
      <c r="I152" s="2">
        <v>45931</v>
      </c>
      <c r="J152">
        <v>1</v>
      </c>
      <c r="K152" s="3">
        <v>45959</v>
      </c>
      <c r="L152">
        <v>210</v>
      </c>
      <c r="M152" t="s">
        <v>13</v>
      </c>
      <c r="N152" s="79">
        <f>O152/E152</f>
        <v>-1.9990035511315649E-2</v>
      </c>
      <c r="O152">
        <f>VLOOKUP(B152,'Customer TDS'!A:D,4,0)</f>
        <v>798.84</v>
      </c>
      <c r="P152" s="38">
        <f t="shared" si="16"/>
        <v>-39163.070000000007</v>
      </c>
      <c r="Q152">
        <f>VLOOKUP(B152,Ascendus!E:I,5,0)</f>
        <v>39967.089999999997</v>
      </c>
      <c r="R152" s="38">
        <f t="shared" si="20"/>
        <v>5.1799999999930151</v>
      </c>
      <c r="S152" t="s">
        <v>915</v>
      </c>
    </row>
    <row r="153" spans="1:19" x14ac:dyDescent="0.35">
      <c r="A153" t="s">
        <v>454</v>
      </c>
      <c r="B153" s="4">
        <v>256779415517</v>
      </c>
      <c r="C153" s="3">
        <v>45856</v>
      </c>
      <c r="D153" s="1">
        <v>-116.74</v>
      </c>
      <c r="E153" s="1">
        <v>-10038.42</v>
      </c>
      <c r="G153" t="s">
        <v>133</v>
      </c>
      <c r="H153" t="s">
        <v>11</v>
      </c>
      <c r="I153" s="2">
        <v>45931</v>
      </c>
      <c r="J153">
        <v>1</v>
      </c>
      <c r="K153" s="3">
        <v>45959</v>
      </c>
      <c r="L153">
        <v>210</v>
      </c>
      <c r="M153" t="s">
        <v>13</v>
      </c>
      <c r="N153" s="79">
        <f>O153/E153</f>
        <v>-1.9959316306749471E-2</v>
      </c>
      <c r="O153">
        <f>VLOOKUP(B153,'Customer TDS'!A:D,4,0)</f>
        <v>200.36</v>
      </c>
      <c r="P153" s="38">
        <f t="shared" si="16"/>
        <v>-9838.06</v>
      </c>
      <c r="Q153">
        <f>VLOOKUP(B153,Ascendus!E:I,5,0)</f>
        <v>10039.719999999999</v>
      </c>
      <c r="R153" s="38">
        <f t="shared" si="20"/>
        <v>1.2999999999992724</v>
      </c>
      <c r="S153" t="s">
        <v>915</v>
      </c>
    </row>
    <row r="154" spans="1:19" x14ac:dyDescent="0.35">
      <c r="A154" t="s">
        <v>454</v>
      </c>
      <c r="B154" s="4">
        <v>256779415453</v>
      </c>
      <c r="C154" s="3">
        <v>45856</v>
      </c>
      <c r="D154" s="1">
        <v>-293.45999999999998</v>
      </c>
      <c r="E154" s="1">
        <v>-25234.48</v>
      </c>
      <c r="G154" t="s">
        <v>133</v>
      </c>
      <c r="H154" t="s">
        <v>11</v>
      </c>
      <c r="I154" s="2">
        <v>45931</v>
      </c>
      <c r="J154">
        <v>1</v>
      </c>
      <c r="K154" s="3">
        <v>45959</v>
      </c>
      <c r="L154">
        <v>210</v>
      </c>
      <c r="M154" t="s">
        <v>13</v>
      </c>
      <c r="N154" s="79">
        <f>O154/E154</f>
        <v>-2.0002789833592768E-2</v>
      </c>
      <c r="O154">
        <f>VLOOKUP(B154,'Customer TDS'!A:D,4,0)</f>
        <v>504.76</v>
      </c>
      <c r="P154" s="38">
        <f t="shared" si="16"/>
        <v>-24729.72</v>
      </c>
      <c r="Q154">
        <f>VLOOKUP(B154,Ascendus!E:I,5,0)</f>
        <v>25237.759999999998</v>
      </c>
      <c r="R154" s="38">
        <f t="shared" si="20"/>
        <v>3.2799999999988358</v>
      </c>
      <c r="S154" t="s">
        <v>915</v>
      </c>
    </row>
    <row r="155" spans="1:19" x14ac:dyDescent="0.35">
      <c r="A155" t="s">
        <v>454</v>
      </c>
      <c r="B155" s="4">
        <v>256779415474</v>
      </c>
      <c r="C155" s="3">
        <v>45856</v>
      </c>
      <c r="D155" s="1">
        <v>-608.41</v>
      </c>
      <c r="E155" s="1">
        <v>-52316.88</v>
      </c>
      <c r="G155" t="s">
        <v>133</v>
      </c>
      <c r="H155" t="s">
        <v>11</v>
      </c>
      <c r="I155" s="2">
        <v>45931</v>
      </c>
      <c r="J155">
        <v>1</v>
      </c>
      <c r="K155" s="3">
        <v>45959</v>
      </c>
      <c r="L155">
        <v>210</v>
      </c>
      <c r="M155" t="s">
        <v>13</v>
      </c>
      <c r="N155" s="79">
        <f>O155/E155</f>
        <v>-2.0002913017748765E-2</v>
      </c>
      <c r="O155">
        <f>VLOOKUP(B155,'Customer TDS'!A:D,4,0)</f>
        <v>1046.49</v>
      </c>
      <c r="P155" s="38">
        <f t="shared" si="16"/>
        <v>-51270.39</v>
      </c>
      <c r="Q155">
        <f>VLOOKUP(B155,Ascendus!E:I,5,0)</f>
        <v>52323.67</v>
      </c>
      <c r="R155" s="38">
        <f t="shared" si="20"/>
        <v>6.7900000000008731</v>
      </c>
      <c r="S155" t="s">
        <v>915</v>
      </c>
    </row>
    <row r="156" spans="1:19" x14ac:dyDescent="0.35">
      <c r="A156" t="s">
        <v>454</v>
      </c>
      <c r="B156" s="4">
        <v>256779415442</v>
      </c>
      <c r="C156" s="3">
        <v>45856</v>
      </c>
      <c r="D156" s="1">
        <v>0</v>
      </c>
      <c r="E156" s="1">
        <v>-3.53</v>
      </c>
      <c r="F156" t="s">
        <v>15</v>
      </c>
      <c r="G156" t="s">
        <v>133</v>
      </c>
      <c r="H156" t="s">
        <v>11</v>
      </c>
      <c r="I156" s="2">
        <v>45931</v>
      </c>
      <c r="J156">
        <v>66</v>
      </c>
      <c r="K156" s="3">
        <v>45961</v>
      </c>
      <c r="L156">
        <v>271</v>
      </c>
      <c r="M156" t="s">
        <v>13</v>
      </c>
      <c r="P156" s="38">
        <f t="shared" si="16"/>
        <v>-3.53</v>
      </c>
      <c r="S156" t="s">
        <v>918</v>
      </c>
    </row>
    <row r="157" spans="1:19" x14ac:dyDescent="0.35">
      <c r="A157" t="s">
        <v>454</v>
      </c>
      <c r="B157" s="4">
        <v>256779415426</v>
      </c>
      <c r="C157" s="3">
        <v>45856</v>
      </c>
      <c r="D157" s="1">
        <v>0</v>
      </c>
      <c r="E157" s="1">
        <v>-1030.68</v>
      </c>
      <c r="F157" t="s">
        <v>15</v>
      </c>
      <c r="G157" t="s">
        <v>133</v>
      </c>
      <c r="H157" t="s">
        <v>11</v>
      </c>
      <c r="I157" s="2">
        <v>45931</v>
      </c>
      <c r="J157">
        <v>70</v>
      </c>
      <c r="K157" s="3">
        <v>45961</v>
      </c>
      <c r="L157">
        <v>271</v>
      </c>
      <c r="M157" t="s">
        <v>13</v>
      </c>
      <c r="P157" s="38">
        <f t="shared" si="16"/>
        <v>-1030.68</v>
      </c>
      <c r="S157" t="s">
        <v>918</v>
      </c>
    </row>
    <row r="158" spans="1:19" x14ac:dyDescent="0.35">
      <c r="A158" t="s">
        <v>454</v>
      </c>
      <c r="B158" s="4">
        <v>256779415517</v>
      </c>
      <c r="C158" s="3">
        <v>45856</v>
      </c>
      <c r="D158" s="1">
        <v>0</v>
      </c>
      <c r="E158" s="1">
        <v>-258.92</v>
      </c>
      <c r="F158" t="s">
        <v>15</v>
      </c>
      <c r="G158" t="s">
        <v>133</v>
      </c>
      <c r="H158" t="s">
        <v>11</v>
      </c>
      <c r="I158" s="2">
        <v>45931</v>
      </c>
      <c r="J158">
        <v>72</v>
      </c>
      <c r="K158" s="3">
        <v>45961</v>
      </c>
      <c r="L158">
        <v>271</v>
      </c>
      <c r="M158" t="s">
        <v>13</v>
      </c>
      <c r="P158" s="38">
        <f t="shared" si="16"/>
        <v>-258.92</v>
      </c>
      <c r="S158" t="s">
        <v>918</v>
      </c>
    </row>
    <row r="159" spans="1:19" x14ac:dyDescent="0.35">
      <c r="A159" t="s">
        <v>454</v>
      </c>
      <c r="B159" s="4">
        <v>256779415453</v>
      </c>
      <c r="C159" s="3">
        <v>45856</v>
      </c>
      <c r="D159" s="1">
        <v>0</v>
      </c>
      <c r="E159" s="1">
        <v>-650.84</v>
      </c>
      <c r="F159" t="s">
        <v>15</v>
      </c>
      <c r="G159" t="s">
        <v>133</v>
      </c>
      <c r="H159" t="s">
        <v>11</v>
      </c>
      <c r="I159" s="2">
        <v>45931</v>
      </c>
      <c r="J159">
        <v>74</v>
      </c>
      <c r="K159" s="3">
        <v>45961</v>
      </c>
      <c r="L159">
        <v>271</v>
      </c>
      <c r="M159" t="s">
        <v>13</v>
      </c>
      <c r="P159" s="38">
        <f t="shared" si="16"/>
        <v>-650.84</v>
      </c>
      <c r="S159" t="s">
        <v>918</v>
      </c>
    </row>
    <row r="160" spans="1:19" x14ac:dyDescent="0.35">
      <c r="A160" t="s">
        <v>454</v>
      </c>
      <c r="B160" s="4">
        <v>256779415474</v>
      </c>
      <c r="C160" s="3">
        <v>45856</v>
      </c>
      <c r="D160" s="1">
        <v>0</v>
      </c>
      <c r="E160" s="1">
        <v>-1349.32</v>
      </c>
      <c r="F160" t="s">
        <v>15</v>
      </c>
      <c r="G160" t="s">
        <v>133</v>
      </c>
      <c r="H160" t="s">
        <v>11</v>
      </c>
      <c r="I160" s="2">
        <v>45931</v>
      </c>
      <c r="J160">
        <v>76</v>
      </c>
      <c r="K160" s="3">
        <v>45961</v>
      </c>
      <c r="L160">
        <v>271</v>
      </c>
      <c r="M160" t="s">
        <v>13</v>
      </c>
      <c r="P160" s="38">
        <f t="shared" si="16"/>
        <v>-1349.32</v>
      </c>
      <c r="S160" t="s">
        <v>918</v>
      </c>
    </row>
    <row r="161" spans="1:19" x14ac:dyDescent="0.35">
      <c r="A161" t="s">
        <v>454</v>
      </c>
      <c r="B161" s="4">
        <v>256779414431</v>
      </c>
      <c r="C161" s="3">
        <v>45826</v>
      </c>
      <c r="D161" s="1">
        <v>-52.38</v>
      </c>
      <c r="E161" s="1">
        <v>-4455.66</v>
      </c>
      <c r="G161" t="s">
        <v>139</v>
      </c>
      <c r="H161" t="s">
        <v>11</v>
      </c>
      <c r="I161" s="2">
        <v>45962</v>
      </c>
      <c r="J161">
        <v>1</v>
      </c>
      <c r="K161" s="3">
        <v>45991</v>
      </c>
      <c r="L161">
        <v>210</v>
      </c>
      <c r="M161" t="s">
        <v>13</v>
      </c>
      <c r="N161" s="79">
        <f>O161/E161</f>
        <v>-2.0046412877104625E-2</v>
      </c>
      <c r="O161">
        <f>VLOOKUP(B161,'Customer TDS'!A:D,4,0)</f>
        <v>89.32</v>
      </c>
      <c r="P161" s="38">
        <f t="shared" si="16"/>
        <v>-4366.34</v>
      </c>
      <c r="Q161">
        <f>VLOOKUP(B161,Ascendus!E:I,5,0)</f>
        <v>4478.01</v>
      </c>
      <c r="R161" s="38">
        <f>E161+Q161</f>
        <v>22.350000000000364</v>
      </c>
      <c r="S161" t="s">
        <v>915</v>
      </c>
    </row>
    <row r="162" spans="1:19" x14ac:dyDescent="0.35">
      <c r="A162" t="s">
        <v>454</v>
      </c>
      <c r="B162" s="4">
        <v>256779414431</v>
      </c>
      <c r="C162" s="3">
        <v>45826</v>
      </c>
      <c r="D162" s="1">
        <v>0</v>
      </c>
      <c r="E162" s="1">
        <v>-209.97</v>
      </c>
      <c r="F162" t="s">
        <v>15</v>
      </c>
      <c r="G162" t="s">
        <v>139</v>
      </c>
      <c r="H162" t="s">
        <v>11</v>
      </c>
      <c r="I162" s="2">
        <v>45962</v>
      </c>
      <c r="J162">
        <v>60</v>
      </c>
      <c r="K162" s="3">
        <v>45991</v>
      </c>
      <c r="L162">
        <v>271</v>
      </c>
      <c r="M162" t="s">
        <v>13</v>
      </c>
      <c r="P162" s="38">
        <f t="shared" si="16"/>
        <v>-209.97</v>
      </c>
      <c r="S162" t="s">
        <v>918</v>
      </c>
    </row>
    <row r="163" spans="1:19" x14ac:dyDescent="0.35">
      <c r="A163" t="s">
        <v>454</v>
      </c>
      <c r="B163" s="4">
        <v>246779411742</v>
      </c>
      <c r="C163" s="3">
        <v>45733</v>
      </c>
      <c r="D163" s="1">
        <v>-23.27</v>
      </c>
      <c r="E163" s="1">
        <v>-2025.48</v>
      </c>
      <c r="F163" t="s">
        <v>93</v>
      </c>
      <c r="G163" t="s">
        <v>141</v>
      </c>
      <c r="H163" t="s">
        <v>11</v>
      </c>
      <c r="I163" s="2">
        <v>45809</v>
      </c>
      <c r="J163">
        <v>1</v>
      </c>
      <c r="K163" s="3">
        <v>45967</v>
      </c>
      <c r="L163">
        <v>210</v>
      </c>
      <c r="M163" t="s">
        <v>13</v>
      </c>
      <c r="N163" s="79">
        <f t="shared" ref="N163:N194" si="21">O163/E163</f>
        <v>-2.0197681537215868E-2</v>
      </c>
      <c r="O163">
        <f>VLOOKUP(B163,'Customer TDS'!A:D,4,0)</f>
        <v>40.909999999999997</v>
      </c>
      <c r="P163" s="38">
        <f t="shared" si="16"/>
        <v>-1984.57</v>
      </c>
      <c r="Q163">
        <f>VLOOKUP(B163,Ascendus!E:I,5,0)</f>
        <v>2017.31</v>
      </c>
      <c r="R163" s="38">
        <f t="shared" ref="R163:R226" si="22">E163+Q163</f>
        <v>-8.1700000000000728</v>
      </c>
      <c r="S163" t="s">
        <v>915</v>
      </c>
    </row>
    <row r="164" spans="1:19" x14ac:dyDescent="0.35">
      <c r="A164" t="s">
        <v>454</v>
      </c>
      <c r="B164" s="4">
        <v>246779411737</v>
      </c>
      <c r="C164" s="3">
        <v>45733</v>
      </c>
      <c r="D164" s="1">
        <v>-28.54</v>
      </c>
      <c r="E164" s="1">
        <v>-2484.19</v>
      </c>
      <c r="G164" t="s">
        <v>141</v>
      </c>
      <c r="H164" t="s">
        <v>11</v>
      </c>
      <c r="I164" s="2">
        <v>45809</v>
      </c>
      <c r="J164">
        <v>1</v>
      </c>
      <c r="K164" s="3">
        <v>45997</v>
      </c>
      <c r="L164">
        <v>210</v>
      </c>
      <c r="M164" t="s">
        <v>13</v>
      </c>
      <c r="N164" s="79">
        <f t="shared" si="21"/>
        <v>-1.9970292127413764E-2</v>
      </c>
      <c r="O164">
        <f>VLOOKUP(B164,'Customer TDS'!A:D,4,0)</f>
        <v>49.61</v>
      </c>
      <c r="P164" s="38">
        <f t="shared" si="16"/>
        <v>-2434.58</v>
      </c>
      <c r="Q164">
        <f>VLOOKUP(B164,Ascendus!E:I,5,0)</f>
        <v>2474.17</v>
      </c>
      <c r="R164" s="38">
        <f t="shared" si="22"/>
        <v>-10.019999999999982</v>
      </c>
      <c r="S164" t="s">
        <v>915</v>
      </c>
    </row>
    <row r="165" spans="1:19" x14ac:dyDescent="0.35">
      <c r="A165" t="s">
        <v>454</v>
      </c>
      <c r="B165" s="4">
        <v>246779411734</v>
      </c>
      <c r="C165" s="3">
        <v>45733</v>
      </c>
      <c r="D165" s="1">
        <v>-22.83</v>
      </c>
      <c r="E165" s="1">
        <v>-1987.18</v>
      </c>
      <c r="G165" t="s">
        <v>141</v>
      </c>
      <c r="H165" t="s">
        <v>11</v>
      </c>
      <c r="I165" s="2">
        <v>45809</v>
      </c>
      <c r="J165">
        <v>1</v>
      </c>
      <c r="K165" s="3">
        <v>45997</v>
      </c>
      <c r="L165">
        <v>210</v>
      </c>
      <c r="M165" t="s">
        <v>13</v>
      </c>
      <c r="N165" s="79">
        <f t="shared" si="21"/>
        <v>-2.0149156090540361E-2</v>
      </c>
      <c r="O165">
        <f>VLOOKUP(B165,'Customer TDS'!A:D,4,0)</f>
        <v>40.04</v>
      </c>
      <c r="P165" s="38">
        <f t="shared" si="16"/>
        <v>-1947.14</v>
      </c>
      <c r="Q165">
        <f>VLOOKUP(B165,Ascendus!E:I,5,0)</f>
        <v>1979.16</v>
      </c>
      <c r="R165" s="38">
        <f t="shared" si="22"/>
        <v>-8.0199999999999818</v>
      </c>
      <c r="S165" t="s">
        <v>915</v>
      </c>
    </row>
    <row r="166" spans="1:19" x14ac:dyDescent="0.35">
      <c r="A166" t="s">
        <v>454</v>
      </c>
      <c r="B166" s="4">
        <v>246779411732</v>
      </c>
      <c r="C166" s="3">
        <v>45733</v>
      </c>
      <c r="D166" s="1">
        <v>-28.54</v>
      </c>
      <c r="E166" s="1">
        <v>-2484.19</v>
      </c>
      <c r="G166" t="s">
        <v>141</v>
      </c>
      <c r="H166" t="s">
        <v>11</v>
      </c>
      <c r="I166" s="2">
        <v>45809</v>
      </c>
      <c r="J166">
        <v>1</v>
      </c>
      <c r="K166" s="3">
        <v>45997</v>
      </c>
      <c r="L166">
        <v>210</v>
      </c>
      <c r="M166" t="s">
        <v>13</v>
      </c>
      <c r="N166" s="79">
        <f t="shared" si="21"/>
        <v>-1.9970292127413764E-2</v>
      </c>
      <c r="O166">
        <f>VLOOKUP(B166,'Customer TDS'!A:D,4,0)</f>
        <v>49.61</v>
      </c>
      <c r="P166" s="38">
        <f t="shared" si="16"/>
        <v>-2434.58</v>
      </c>
      <c r="Q166">
        <f>VLOOKUP(B166,Ascendus!E:I,5,0)</f>
        <v>2474.17</v>
      </c>
      <c r="R166" s="38">
        <f t="shared" si="22"/>
        <v>-10.019999999999982</v>
      </c>
      <c r="S166" t="s">
        <v>915</v>
      </c>
    </row>
    <row r="167" spans="1:19" x14ac:dyDescent="0.35">
      <c r="A167" t="s">
        <v>454</v>
      </c>
      <c r="B167" s="4">
        <v>246779411729</v>
      </c>
      <c r="C167" s="3">
        <v>45733</v>
      </c>
      <c r="D167" s="1">
        <v>-34.25</v>
      </c>
      <c r="E167" s="1">
        <v>-2981.2</v>
      </c>
      <c r="F167" t="s">
        <v>93</v>
      </c>
      <c r="G167" t="s">
        <v>141</v>
      </c>
      <c r="H167" t="s">
        <v>11</v>
      </c>
      <c r="I167" s="2">
        <v>45809</v>
      </c>
      <c r="J167">
        <v>1</v>
      </c>
      <c r="K167" s="3">
        <v>45997</v>
      </c>
      <c r="L167">
        <v>210</v>
      </c>
      <c r="M167" t="s">
        <v>13</v>
      </c>
      <c r="N167" s="79">
        <f t="shared" si="21"/>
        <v>-2.0146249832282304E-2</v>
      </c>
      <c r="O167">
        <f>VLOOKUP(B167,'Customer TDS'!A:D,4,0)</f>
        <v>60.06</v>
      </c>
      <c r="P167" s="38">
        <f t="shared" si="16"/>
        <v>-2921.14</v>
      </c>
      <c r="Q167">
        <f>VLOOKUP(B167,Ascendus!E:I,5,0)</f>
        <v>2969.18</v>
      </c>
      <c r="R167" s="38">
        <f t="shared" si="22"/>
        <v>-12.019999999999982</v>
      </c>
      <c r="S167" t="s">
        <v>915</v>
      </c>
    </row>
    <row r="168" spans="1:19" x14ac:dyDescent="0.35">
      <c r="A168" t="s">
        <v>454</v>
      </c>
      <c r="B168" s="4">
        <v>246779411724</v>
      </c>
      <c r="C168" s="3">
        <v>45733</v>
      </c>
      <c r="D168" s="1">
        <v>-68.5</v>
      </c>
      <c r="E168" s="1">
        <v>-5962.41</v>
      </c>
      <c r="G168" t="s">
        <v>141</v>
      </c>
      <c r="H168" t="s">
        <v>11</v>
      </c>
      <c r="I168" s="2">
        <v>45809</v>
      </c>
      <c r="J168">
        <v>1</v>
      </c>
      <c r="K168" s="3">
        <v>45997</v>
      </c>
      <c r="L168">
        <v>210</v>
      </c>
      <c r="M168" t="s">
        <v>13</v>
      </c>
      <c r="N168" s="79">
        <f t="shared" si="21"/>
        <v>-2.0000301891349305E-2</v>
      </c>
      <c r="O168">
        <f>VLOOKUP(B168,'Customer TDS'!A:D,4,0)</f>
        <v>119.25</v>
      </c>
      <c r="P168" s="38">
        <f t="shared" si="16"/>
        <v>-5843.16</v>
      </c>
      <c r="Q168">
        <f>VLOOKUP(B168,Ascendus!E:I,5,0)</f>
        <v>5938.35</v>
      </c>
      <c r="R168" s="38">
        <f t="shared" si="22"/>
        <v>-24.059999999999491</v>
      </c>
      <c r="S168" t="s">
        <v>915</v>
      </c>
    </row>
    <row r="169" spans="1:19" x14ac:dyDescent="0.35">
      <c r="A169" t="s">
        <v>454</v>
      </c>
      <c r="B169" s="4">
        <v>246779411721</v>
      </c>
      <c r="C169" s="3">
        <v>45733</v>
      </c>
      <c r="D169" s="1">
        <v>-525.63</v>
      </c>
      <c r="E169" s="1">
        <v>-45752.1</v>
      </c>
      <c r="G169" t="s">
        <v>141</v>
      </c>
      <c r="H169" t="s">
        <v>11</v>
      </c>
      <c r="I169" s="2">
        <v>45809</v>
      </c>
      <c r="J169">
        <v>1</v>
      </c>
      <c r="K169" s="3">
        <v>45997</v>
      </c>
      <c r="L169">
        <v>210</v>
      </c>
      <c r="M169" t="s">
        <v>13</v>
      </c>
      <c r="N169" s="79">
        <f t="shared" si="21"/>
        <v>-1.9995147763709208E-2</v>
      </c>
      <c r="O169">
        <f>VLOOKUP(B169,'Customer TDS'!A:D,4,0)</f>
        <v>914.82</v>
      </c>
      <c r="P169" s="38">
        <f t="shared" si="16"/>
        <v>-44837.279999999999</v>
      </c>
      <c r="Q169">
        <f>VLOOKUP(B169,Ascendus!E:I,5,0)</f>
        <v>45567.53</v>
      </c>
      <c r="R169" s="38">
        <f t="shared" si="22"/>
        <v>-184.56999999999971</v>
      </c>
      <c r="S169" t="s">
        <v>915</v>
      </c>
    </row>
    <row r="170" spans="1:19" x14ac:dyDescent="0.35">
      <c r="A170" t="s">
        <v>454</v>
      </c>
      <c r="B170" s="4">
        <v>246779411741</v>
      </c>
      <c r="C170" s="3">
        <v>45733</v>
      </c>
      <c r="D170" s="1">
        <v>-240</v>
      </c>
      <c r="E170" s="1">
        <v>-20890.18</v>
      </c>
      <c r="G170" t="s">
        <v>141</v>
      </c>
      <c r="H170" t="s">
        <v>11</v>
      </c>
      <c r="I170" s="2">
        <v>45809</v>
      </c>
      <c r="J170">
        <v>1</v>
      </c>
      <c r="K170" s="3">
        <v>45997</v>
      </c>
      <c r="L170">
        <v>210</v>
      </c>
      <c r="M170" t="s">
        <v>13</v>
      </c>
      <c r="N170" s="79">
        <f t="shared" si="21"/>
        <v>-1.9999827670225914E-2</v>
      </c>
      <c r="O170">
        <f>VLOOKUP(B170,'Customer TDS'!A:D,4,0)</f>
        <v>417.8</v>
      </c>
      <c r="P170" s="38">
        <f t="shared" si="16"/>
        <v>-20472.38</v>
      </c>
      <c r="Q170">
        <f>VLOOKUP(B170,Ascendus!E:I,5,0)</f>
        <v>20805.900000000001</v>
      </c>
      <c r="R170" s="38">
        <f t="shared" si="22"/>
        <v>-84.279999999998836</v>
      </c>
      <c r="S170" t="s">
        <v>915</v>
      </c>
    </row>
    <row r="171" spans="1:19" x14ac:dyDescent="0.35">
      <c r="A171" t="s">
        <v>454</v>
      </c>
      <c r="B171" s="4">
        <v>246779411735</v>
      </c>
      <c r="C171" s="3">
        <v>45733</v>
      </c>
      <c r="D171" s="1">
        <v>-479.25</v>
      </c>
      <c r="E171" s="1">
        <v>-41715.08</v>
      </c>
      <c r="G171" t="s">
        <v>141</v>
      </c>
      <c r="H171" t="s">
        <v>11</v>
      </c>
      <c r="I171" s="2">
        <v>45809</v>
      </c>
      <c r="J171">
        <v>1</v>
      </c>
      <c r="K171" s="3">
        <v>45997</v>
      </c>
      <c r="L171">
        <v>210</v>
      </c>
      <c r="M171" t="s">
        <v>13</v>
      </c>
      <c r="N171" s="79">
        <f t="shared" si="21"/>
        <v>-2.0010509388930814E-2</v>
      </c>
      <c r="O171">
        <f>VLOOKUP(B171,'Customer TDS'!A:D,4,0)</f>
        <v>834.74</v>
      </c>
      <c r="P171" s="38">
        <f t="shared" si="16"/>
        <v>-40880.340000000004</v>
      </c>
      <c r="Q171">
        <f>VLOOKUP(B171,Ascendus!E:I,5,0)</f>
        <v>41546.79</v>
      </c>
      <c r="R171" s="38">
        <f t="shared" si="22"/>
        <v>-168.29000000000087</v>
      </c>
      <c r="S171" t="s">
        <v>915</v>
      </c>
    </row>
    <row r="172" spans="1:19" x14ac:dyDescent="0.35">
      <c r="A172" t="s">
        <v>454</v>
      </c>
      <c r="B172" s="4">
        <v>246779411733</v>
      </c>
      <c r="C172" s="3">
        <v>45733</v>
      </c>
      <c r="D172" s="1">
        <v>-17.12</v>
      </c>
      <c r="E172" s="1">
        <v>-1490.17</v>
      </c>
      <c r="G172" t="s">
        <v>141</v>
      </c>
      <c r="H172" t="s">
        <v>11</v>
      </c>
      <c r="I172" s="2">
        <v>45809</v>
      </c>
      <c r="J172">
        <v>1</v>
      </c>
      <c r="K172" s="3">
        <v>45997</v>
      </c>
      <c r="L172">
        <v>210</v>
      </c>
      <c r="M172" t="s">
        <v>13</v>
      </c>
      <c r="N172" s="79">
        <f t="shared" si="21"/>
        <v>-1.9856794862331141E-2</v>
      </c>
      <c r="O172">
        <f>VLOOKUP(B172,'Customer TDS'!A:D,4,0)</f>
        <v>29.59</v>
      </c>
      <c r="P172" s="38">
        <f t="shared" si="16"/>
        <v>-1460.5800000000002</v>
      </c>
      <c r="Q172">
        <f>VLOOKUP(B172,Ascendus!E:I,5,0)</f>
        <v>1484.15</v>
      </c>
      <c r="R172" s="38">
        <f t="shared" si="22"/>
        <v>-6.0199999999999818</v>
      </c>
      <c r="S172" t="s">
        <v>915</v>
      </c>
    </row>
    <row r="173" spans="1:19" x14ac:dyDescent="0.35">
      <c r="A173" t="s">
        <v>454</v>
      </c>
      <c r="B173" s="4">
        <v>246779411727</v>
      </c>
      <c r="C173" s="3">
        <v>45733</v>
      </c>
      <c r="D173" s="1">
        <v>-17.12</v>
      </c>
      <c r="E173" s="1">
        <v>-1490.17</v>
      </c>
      <c r="G173" t="s">
        <v>141</v>
      </c>
      <c r="H173" t="s">
        <v>11</v>
      </c>
      <c r="I173" s="2">
        <v>45809</v>
      </c>
      <c r="J173">
        <v>1</v>
      </c>
      <c r="K173" s="3">
        <v>45997</v>
      </c>
      <c r="L173">
        <v>210</v>
      </c>
      <c r="M173" t="s">
        <v>13</v>
      </c>
      <c r="N173" s="79">
        <f t="shared" si="21"/>
        <v>-1.9856794862331141E-2</v>
      </c>
      <c r="O173">
        <f>VLOOKUP(B173,'Customer TDS'!A:D,4,0)</f>
        <v>29.59</v>
      </c>
      <c r="P173" s="38">
        <f t="shared" si="16"/>
        <v>-1460.5800000000002</v>
      </c>
      <c r="Q173">
        <f>VLOOKUP(B173,Ascendus!E:I,5,0)</f>
        <v>1484.15</v>
      </c>
      <c r="R173" s="38">
        <f t="shared" si="22"/>
        <v>-6.0199999999999818</v>
      </c>
      <c r="S173" t="s">
        <v>915</v>
      </c>
    </row>
    <row r="174" spans="1:19" x14ac:dyDescent="0.35">
      <c r="A174" t="s">
        <v>454</v>
      </c>
      <c r="B174" s="4">
        <v>246779411726</v>
      </c>
      <c r="C174" s="3">
        <v>45733</v>
      </c>
      <c r="D174" s="1">
        <v>-28.54</v>
      </c>
      <c r="E174" s="1">
        <v>-2484.19</v>
      </c>
      <c r="G174" t="s">
        <v>141</v>
      </c>
      <c r="H174" t="s">
        <v>11</v>
      </c>
      <c r="I174" s="2">
        <v>45809</v>
      </c>
      <c r="J174">
        <v>1</v>
      </c>
      <c r="K174" s="3">
        <v>45997</v>
      </c>
      <c r="L174">
        <v>210</v>
      </c>
      <c r="M174" t="s">
        <v>13</v>
      </c>
      <c r="N174" s="79">
        <f t="shared" si="21"/>
        <v>-1.9970292127413764E-2</v>
      </c>
      <c r="O174">
        <f>VLOOKUP(B174,'Customer TDS'!A:D,4,0)</f>
        <v>49.61</v>
      </c>
      <c r="P174" s="38">
        <f t="shared" si="16"/>
        <v>-2434.58</v>
      </c>
      <c r="Q174">
        <f>VLOOKUP(B174,Ascendus!E:I,5,0)</f>
        <v>2474.17</v>
      </c>
      <c r="R174" s="38">
        <f t="shared" si="22"/>
        <v>-10.019999999999982</v>
      </c>
      <c r="S174" t="s">
        <v>915</v>
      </c>
    </row>
    <row r="175" spans="1:19" x14ac:dyDescent="0.35">
      <c r="A175" t="s">
        <v>454</v>
      </c>
      <c r="B175" s="4">
        <v>246779411720</v>
      </c>
      <c r="C175" s="3">
        <v>45733</v>
      </c>
      <c r="D175" s="1">
        <v>-17.12</v>
      </c>
      <c r="E175" s="1">
        <v>-1490.17</v>
      </c>
      <c r="G175" t="s">
        <v>141</v>
      </c>
      <c r="H175" t="s">
        <v>11</v>
      </c>
      <c r="I175" s="2">
        <v>45809</v>
      </c>
      <c r="J175">
        <v>1</v>
      </c>
      <c r="K175" s="3">
        <v>45997</v>
      </c>
      <c r="L175">
        <v>210</v>
      </c>
      <c r="M175" t="s">
        <v>13</v>
      </c>
      <c r="N175" s="79">
        <f t="shared" si="21"/>
        <v>-1.9856794862331141E-2</v>
      </c>
      <c r="O175">
        <f>VLOOKUP(B175,'Customer TDS'!A:D,4,0)</f>
        <v>29.59</v>
      </c>
      <c r="P175" s="38">
        <f t="shared" si="16"/>
        <v>-1460.5800000000002</v>
      </c>
      <c r="Q175">
        <f>VLOOKUP(B175,Ascendus!E:I,5,0)</f>
        <v>1484.15</v>
      </c>
      <c r="R175" s="38">
        <f t="shared" si="22"/>
        <v>-6.0199999999999818</v>
      </c>
      <c r="S175" t="s">
        <v>915</v>
      </c>
    </row>
    <row r="176" spans="1:19" x14ac:dyDescent="0.35">
      <c r="A176" t="s">
        <v>454</v>
      </c>
      <c r="B176" s="4">
        <v>246779411718</v>
      </c>
      <c r="C176" s="3">
        <v>45733</v>
      </c>
      <c r="D176" s="1">
        <v>-22.95</v>
      </c>
      <c r="E176" s="1">
        <v>-1997.62</v>
      </c>
      <c r="G176" t="s">
        <v>141</v>
      </c>
      <c r="H176" t="s">
        <v>11</v>
      </c>
      <c r="I176" s="2">
        <v>45809</v>
      </c>
      <c r="J176">
        <v>1</v>
      </c>
      <c r="K176" s="3">
        <v>45997</v>
      </c>
      <c r="L176">
        <v>210</v>
      </c>
      <c r="M176" t="s">
        <v>13</v>
      </c>
      <c r="N176" s="79">
        <f t="shared" si="21"/>
        <v>-2.0043852184099077E-2</v>
      </c>
      <c r="O176">
        <f>VLOOKUP(B176,'Customer TDS'!A:D,4,0)</f>
        <v>40.04</v>
      </c>
      <c r="P176" s="38">
        <f t="shared" si="16"/>
        <v>-1957.58</v>
      </c>
      <c r="Q176">
        <f>VLOOKUP(B176,Ascendus!E:I,5,0)</f>
        <v>1989.56</v>
      </c>
      <c r="R176" s="38">
        <f t="shared" si="22"/>
        <v>-8.0599999999999454</v>
      </c>
      <c r="S176" t="s">
        <v>915</v>
      </c>
    </row>
    <row r="177" spans="1:19" x14ac:dyDescent="0.35">
      <c r="A177" t="s">
        <v>454</v>
      </c>
      <c r="B177" s="4">
        <v>246779411637</v>
      </c>
      <c r="C177" s="3">
        <v>45733</v>
      </c>
      <c r="D177" s="1">
        <v>-429.65</v>
      </c>
      <c r="E177" s="1">
        <v>-37397.769999999997</v>
      </c>
      <c r="G177" t="s">
        <v>141</v>
      </c>
      <c r="H177" t="s">
        <v>11</v>
      </c>
      <c r="I177" s="2">
        <v>45809</v>
      </c>
      <c r="J177">
        <v>1</v>
      </c>
      <c r="K177" s="3">
        <v>45997</v>
      </c>
      <c r="L177">
        <v>210</v>
      </c>
      <c r="M177" t="s">
        <v>13</v>
      </c>
      <c r="N177" s="79">
        <f t="shared" si="21"/>
        <v>-1.9992903320171233E-2</v>
      </c>
      <c r="O177">
        <f>VLOOKUP(B177,'Customer TDS'!A:D,4,0)</f>
        <v>747.69</v>
      </c>
      <c r="P177" s="38">
        <f t="shared" si="16"/>
        <v>-36650.079999999994</v>
      </c>
      <c r="Q177">
        <f>VLOOKUP(B177,Ascendus!E:I,5,0)</f>
        <v>37246.9</v>
      </c>
      <c r="R177" s="38">
        <f t="shared" si="22"/>
        <v>-150.86999999999534</v>
      </c>
      <c r="S177" t="s">
        <v>915</v>
      </c>
    </row>
    <row r="178" spans="1:19" x14ac:dyDescent="0.35">
      <c r="A178" t="s">
        <v>454</v>
      </c>
      <c r="B178" s="4">
        <v>246779411717</v>
      </c>
      <c r="C178" s="3">
        <v>45733</v>
      </c>
      <c r="D178" s="1">
        <v>-45.67</v>
      </c>
      <c r="E178" s="1">
        <v>-3975.23</v>
      </c>
      <c r="G178" t="s">
        <v>141</v>
      </c>
      <c r="H178" t="s">
        <v>11</v>
      </c>
      <c r="I178" s="2">
        <v>45809</v>
      </c>
      <c r="J178">
        <v>1</v>
      </c>
      <c r="K178" s="3">
        <v>45997</v>
      </c>
      <c r="L178">
        <v>210</v>
      </c>
      <c r="M178" t="s">
        <v>13</v>
      </c>
      <c r="N178" s="79">
        <f t="shared" si="21"/>
        <v>-1.9925891080516095E-2</v>
      </c>
      <c r="O178">
        <f>VLOOKUP(B178,'Customer TDS'!A:D,4,0)</f>
        <v>79.209999999999994</v>
      </c>
      <c r="P178" s="38">
        <f t="shared" si="16"/>
        <v>-3896.02</v>
      </c>
      <c r="Q178">
        <f>VLOOKUP(B178,Ascendus!E:I,5,0)</f>
        <v>3959.19</v>
      </c>
      <c r="R178" s="38">
        <f t="shared" si="22"/>
        <v>-16.039999999999964</v>
      </c>
      <c r="S178" t="s">
        <v>915</v>
      </c>
    </row>
    <row r="179" spans="1:19" x14ac:dyDescent="0.35">
      <c r="A179" t="s">
        <v>454</v>
      </c>
      <c r="B179" s="4">
        <v>246779411601</v>
      </c>
      <c r="C179" s="3">
        <v>45733</v>
      </c>
      <c r="D179" s="1">
        <v>-23.39</v>
      </c>
      <c r="E179" s="1">
        <v>-2035.92</v>
      </c>
      <c r="G179" t="s">
        <v>141</v>
      </c>
      <c r="H179" t="s">
        <v>11</v>
      </c>
      <c r="I179" s="2">
        <v>45809</v>
      </c>
      <c r="J179">
        <v>1</v>
      </c>
      <c r="K179" s="3">
        <v>45997</v>
      </c>
      <c r="L179">
        <v>210</v>
      </c>
      <c r="M179" t="s">
        <v>13</v>
      </c>
      <c r="N179" s="79">
        <f t="shared" si="21"/>
        <v>-2.0094109788203855E-2</v>
      </c>
      <c r="O179">
        <f>VLOOKUP(B179,'Customer TDS'!A:D,4,0)</f>
        <v>40.909999999999997</v>
      </c>
      <c r="P179" s="38">
        <f t="shared" si="16"/>
        <v>-1995.01</v>
      </c>
      <c r="Q179">
        <f>VLOOKUP(B179,Ascendus!E:I,5,0)</f>
        <v>2027.71</v>
      </c>
      <c r="R179" s="38">
        <f t="shared" si="22"/>
        <v>-8.2100000000000364</v>
      </c>
      <c r="S179" t="s">
        <v>915</v>
      </c>
    </row>
    <row r="180" spans="1:19" x14ac:dyDescent="0.35">
      <c r="A180" t="s">
        <v>454</v>
      </c>
      <c r="B180" s="4">
        <v>246779411740</v>
      </c>
      <c r="C180" s="3">
        <v>45733</v>
      </c>
      <c r="D180" s="1">
        <v>-22.83</v>
      </c>
      <c r="E180" s="1">
        <v>-1987.18</v>
      </c>
      <c r="G180" t="s">
        <v>141</v>
      </c>
      <c r="H180" t="s">
        <v>11</v>
      </c>
      <c r="I180" s="2">
        <v>45809</v>
      </c>
      <c r="J180">
        <v>1</v>
      </c>
      <c r="K180" s="3">
        <v>45997</v>
      </c>
      <c r="L180">
        <v>210</v>
      </c>
      <c r="M180" t="s">
        <v>13</v>
      </c>
      <c r="N180" s="79">
        <f t="shared" si="21"/>
        <v>-2.0149156090540361E-2</v>
      </c>
      <c r="O180">
        <f>VLOOKUP(B180,'Customer TDS'!A:D,4,0)</f>
        <v>40.04</v>
      </c>
      <c r="P180" s="38">
        <f t="shared" si="16"/>
        <v>-1947.14</v>
      </c>
      <c r="Q180">
        <f>VLOOKUP(B180,Ascendus!E:I,5,0)</f>
        <v>1979.16</v>
      </c>
      <c r="R180" s="38">
        <f t="shared" si="22"/>
        <v>-8.0199999999999818</v>
      </c>
      <c r="S180" t="s">
        <v>915</v>
      </c>
    </row>
    <row r="181" spans="1:19" x14ac:dyDescent="0.35">
      <c r="A181" t="s">
        <v>454</v>
      </c>
      <c r="B181" s="4">
        <v>246779411913</v>
      </c>
      <c r="C181" s="3">
        <v>45733</v>
      </c>
      <c r="D181" s="1">
        <v>-28.41</v>
      </c>
      <c r="E181" s="1">
        <v>-2472.88</v>
      </c>
      <c r="G181" t="s">
        <v>141</v>
      </c>
      <c r="H181" t="s">
        <v>11</v>
      </c>
      <c r="I181" s="2">
        <v>45809</v>
      </c>
      <c r="J181">
        <v>1</v>
      </c>
      <c r="K181" s="3">
        <v>45997</v>
      </c>
      <c r="L181">
        <v>210</v>
      </c>
      <c r="M181" t="s">
        <v>13</v>
      </c>
      <c r="N181" s="79">
        <f t="shared" si="21"/>
        <v>-2.0061628546472129E-2</v>
      </c>
      <c r="O181">
        <f>VLOOKUP(B181,'Customer TDS'!A:D,4,0)</f>
        <v>49.61</v>
      </c>
      <c r="P181" s="38">
        <f t="shared" si="16"/>
        <v>-2423.27</v>
      </c>
      <c r="Q181">
        <f>VLOOKUP(B181,Ascendus!E:I,5,0)</f>
        <v>2462.9</v>
      </c>
      <c r="R181" s="38">
        <f t="shared" si="22"/>
        <v>-9.9800000000000182</v>
      </c>
      <c r="S181" t="s">
        <v>915</v>
      </c>
    </row>
    <row r="182" spans="1:19" x14ac:dyDescent="0.35">
      <c r="A182" t="s">
        <v>454</v>
      </c>
      <c r="B182" s="4">
        <v>246779411597</v>
      </c>
      <c r="C182" s="3">
        <v>45733</v>
      </c>
      <c r="D182" s="1">
        <v>-57.29</v>
      </c>
      <c r="E182" s="1">
        <v>-4986.66</v>
      </c>
      <c r="G182" t="s">
        <v>141</v>
      </c>
      <c r="H182" t="s">
        <v>11</v>
      </c>
      <c r="I182" s="2">
        <v>45809</v>
      </c>
      <c r="J182">
        <v>1</v>
      </c>
      <c r="K182" s="3">
        <v>45997</v>
      </c>
      <c r="L182">
        <v>210</v>
      </c>
      <c r="M182" t="s">
        <v>13</v>
      </c>
      <c r="N182" s="79">
        <f t="shared" si="21"/>
        <v>-2.0073556248069849E-2</v>
      </c>
      <c r="O182">
        <f>VLOOKUP(B182,'Customer TDS'!A:D,4,0)</f>
        <v>100.1</v>
      </c>
      <c r="P182" s="38">
        <f t="shared" si="16"/>
        <v>-4886.5599999999995</v>
      </c>
      <c r="Q182">
        <f>VLOOKUP(B182,Ascendus!E:I,5,0)</f>
        <v>4966.54</v>
      </c>
      <c r="R182" s="38">
        <f t="shared" si="22"/>
        <v>-20.119999999999891</v>
      </c>
      <c r="S182" t="s">
        <v>915</v>
      </c>
    </row>
    <row r="183" spans="1:19" x14ac:dyDescent="0.35">
      <c r="A183" t="s">
        <v>454</v>
      </c>
      <c r="B183" s="4">
        <v>246779411739</v>
      </c>
      <c r="C183" s="3">
        <v>45733</v>
      </c>
      <c r="D183" s="1">
        <v>-34.25</v>
      </c>
      <c r="E183" s="1">
        <v>-2981.2</v>
      </c>
      <c r="F183" t="s">
        <v>93</v>
      </c>
      <c r="G183" t="s">
        <v>141</v>
      </c>
      <c r="H183" t="s">
        <v>11</v>
      </c>
      <c r="I183" s="2">
        <v>45809</v>
      </c>
      <c r="J183">
        <v>1</v>
      </c>
      <c r="K183" s="3">
        <v>45997</v>
      </c>
      <c r="L183">
        <v>210</v>
      </c>
      <c r="M183" t="s">
        <v>13</v>
      </c>
      <c r="N183" s="79">
        <f t="shared" si="21"/>
        <v>-2.0146249832282304E-2</v>
      </c>
      <c r="O183">
        <f>VLOOKUP(B183,'Customer TDS'!A:D,4,0)</f>
        <v>60.06</v>
      </c>
      <c r="P183" s="38">
        <f t="shared" si="16"/>
        <v>-2921.14</v>
      </c>
      <c r="Q183">
        <f>VLOOKUP(B183,Ascendus!E:I,5,0)</f>
        <v>2969.18</v>
      </c>
      <c r="R183" s="38">
        <f t="shared" si="22"/>
        <v>-12.019999999999982</v>
      </c>
      <c r="S183" t="s">
        <v>915</v>
      </c>
    </row>
    <row r="184" spans="1:19" x14ac:dyDescent="0.35">
      <c r="A184" t="s">
        <v>454</v>
      </c>
      <c r="B184" s="4">
        <v>246779411914</v>
      </c>
      <c r="C184" s="3">
        <v>45733</v>
      </c>
      <c r="D184" s="1">
        <v>-260</v>
      </c>
      <c r="E184" s="1">
        <v>-22631.03</v>
      </c>
      <c r="G184" t="s">
        <v>141</v>
      </c>
      <c r="H184" t="s">
        <v>11</v>
      </c>
      <c r="I184" s="2">
        <v>45809</v>
      </c>
      <c r="J184">
        <v>1</v>
      </c>
      <c r="K184" s="3">
        <v>45997</v>
      </c>
      <c r="L184">
        <v>210</v>
      </c>
      <c r="M184" t="s">
        <v>13</v>
      </c>
      <c r="N184" s="79">
        <f t="shared" si="21"/>
        <v>-1.9999973487729018E-2</v>
      </c>
      <c r="O184">
        <f>VLOOKUP(B184,'Customer TDS'!A:D,4,0)</f>
        <v>452.62</v>
      </c>
      <c r="P184" s="38">
        <f t="shared" si="16"/>
        <v>-22178.41</v>
      </c>
      <c r="Q184">
        <f>VLOOKUP(B184,Ascendus!E:I,5,0)</f>
        <v>22539.73</v>
      </c>
      <c r="R184" s="38">
        <f t="shared" si="22"/>
        <v>-91.299999999999272</v>
      </c>
      <c r="S184" t="s">
        <v>915</v>
      </c>
    </row>
    <row r="185" spans="1:19" x14ac:dyDescent="0.35">
      <c r="A185" t="s">
        <v>454</v>
      </c>
      <c r="B185" s="4">
        <v>246779411596</v>
      </c>
      <c r="C185" s="3">
        <v>45733</v>
      </c>
      <c r="D185" s="1">
        <v>-74.47</v>
      </c>
      <c r="E185" s="1">
        <v>-6482.05</v>
      </c>
      <c r="G185" t="s">
        <v>141</v>
      </c>
      <c r="H185" t="s">
        <v>11</v>
      </c>
      <c r="I185" s="2">
        <v>45809</v>
      </c>
      <c r="J185">
        <v>1</v>
      </c>
      <c r="K185" s="3">
        <v>45997</v>
      </c>
      <c r="L185">
        <v>210</v>
      </c>
      <c r="M185" t="s">
        <v>13</v>
      </c>
      <c r="N185" s="79">
        <f t="shared" si="21"/>
        <v>-2.0007559336938159E-2</v>
      </c>
      <c r="O185">
        <f>VLOOKUP(B185,'Customer TDS'!A:D,4,0)</f>
        <v>129.69</v>
      </c>
      <c r="P185" s="38">
        <f t="shared" si="16"/>
        <v>-6352.3600000000006</v>
      </c>
      <c r="Q185">
        <f>VLOOKUP(B185,Ascendus!E:I,5,0)</f>
        <v>6455.9</v>
      </c>
      <c r="R185" s="38">
        <f t="shared" si="22"/>
        <v>-26.150000000000546</v>
      </c>
      <c r="S185" t="s">
        <v>915</v>
      </c>
    </row>
    <row r="186" spans="1:19" x14ac:dyDescent="0.35">
      <c r="A186" t="s">
        <v>454</v>
      </c>
      <c r="B186" s="4">
        <v>246779411738</v>
      </c>
      <c r="C186" s="3">
        <v>45733</v>
      </c>
      <c r="D186" s="1">
        <v>-28.54</v>
      </c>
      <c r="E186" s="1">
        <v>-2484.19</v>
      </c>
      <c r="G186" t="s">
        <v>141</v>
      </c>
      <c r="H186" t="s">
        <v>11</v>
      </c>
      <c r="I186" s="2">
        <v>45809</v>
      </c>
      <c r="J186">
        <v>1</v>
      </c>
      <c r="K186" s="3">
        <v>45997</v>
      </c>
      <c r="L186">
        <v>210</v>
      </c>
      <c r="M186" t="s">
        <v>13</v>
      </c>
      <c r="N186" s="79">
        <f t="shared" si="21"/>
        <v>-1.9970292127413764E-2</v>
      </c>
      <c r="O186">
        <f>VLOOKUP(B186,'Customer TDS'!A:D,4,0)</f>
        <v>49.61</v>
      </c>
      <c r="P186" s="38">
        <f t="shared" si="16"/>
        <v>-2434.58</v>
      </c>
      <c r="Q186">
        <f>VLOOKUP(B186,Ascendus!E:I,5,0)</f>
        <v>2474.17</v>
      </c>
      <c r="R186" s="38">
        <f t="shared" si="22"/>
        <v>-10.019999999999982</v>
      </c>
      <c r="S186" t="s">
        <v>915</v>
      </c>
    </row>
    <row r="187" spans="1:19" x14ac:dyDescent="0.35">
      <c r="A187" t="s">
        <v>454</v>
      </c>
      <c r="B187" s="4">
        <v>246779412040</v>
      </c>
      <c r="C187" s="3">
        <v>45733</v>
      </c>
      <c r="D187" s="1">
        <v>-16.82</v>
      </c>
      <c r="E187" s="1">
        <v>-1464.05</v>
      </c>
      <c r="F187" t="s">
        <v>143</v>
      </c>
      <c r="G187" t="s">
        <v>141</v>
      </c>
      <c r="H187" t="s">
        <v>11</v>
      </c>
      <c r="I187" s="2">
        <v>45809</v>
      </c>
      <c r="J187">
        <v>1</v>
      </c>
      <c r="K187" s="3">
        <v>45997</v>
      </c>
      <c r="L187">
        <v>210</v>
      </c>
      <c r="M187" t="s">
        <v>13</v>
      </c>
      <c r="N187" s="79">
        <f t="shared" si="21"/>
        <v>-2.0211058365492984E-2</v>
      </c>
      <c r="O187">
        <f>VLOOKUP(B187,'Customer TDS'!A:D,4,0)</f>
        <v>29.59</v>
      </c>
      <c r="P187" s="38">
        <f t="shared" si="16"/>
        <v>-1434.46</v>
      </c>
      <c r="Q187">
        <f>VLOOKUP(B187,Ascendus!E:I,5,0)</f>
        <v>1458.15</v>
      </c>
      <c r="R187" s="38">
        <f t="shared" si="22"/>
        <v>-5.8999999999998636</v>
      </c>
      <c r="S187" t="s">
        <v>915</v>
      </c>
    </row>
    <row r="188" spans="1:19" x14ac:dyDescent="0.35">
      <c r="A188" t="s">
        <v>454</v>
      </c>
      <c r="B188" s="4">
        <v>246779411736</v>
      </c>
      <c r="C188" s="3">
        <v>45733</v>
      </c>
      <c r="D188" s="1">
        <v>-22.83</v>
      </c>
      <c r="E188" s="1">
        <v>-1987.18</v>
      </c>
      <c r="G188" t="s">
        <v>141</v>
      </c>
      <c r="H188" t="s">
        <v>11</v>
      </c>
      <c r="I188" s="2">
        <v>45809</v>
      </c>
      <c r="J188">
        <v>1</v>
      </c>
      <c r="K188" s="3">
        <v>45997</v>
      </c>
      <c r="L188">
        <v>210</v>
      </c>
      <c r="M188" t="s">
        <v>13</v>
      </c>
      <c r="N188" s="79">
        <f t="shared" si="21"/>
        <v>-2.0149156090540361E-2</v>
      </c>
      <c r="O188">
        <f>VLOOKUP(B188,'Customer TDS'!A:D,4,0)</f>
        <v>40.04</v>
      </c>
      <c r="P188" s="38">
        <f t="shared" si="16"/>
        <v>-1947.14</v>
      </c>
      <c r="Q188">
        <f>VLOOKUP(B188,Ascendus!E:I,5,0)</f>
        <v>1979.16</v>
      </c>
      <c r="R188" s="38">
        <f t="shared" si="22"/>
        <v>-8.0199999999999818</v>
      </c>
      <c r="S188" t="s">
        <v>915</v>
      </c>
    </row>
    <row r="189" spans="1:19" x14ac:dyDescent="0.35">
      <c r="A189" t="s">
        <v>454</v>
      </c>
      <c r="B189" s="4">
        <v>246779411899</v>
      </c>
      <c r="C189" s="3">
        <v>45733</v>
      </c>
      <c r="D189" s="1">
        <v>-62.49</v>
      </c>
      <c r="E189" s="1">
        <v>-5439.28</v>
      </c>
      <c r="G189" t="s">
        <v>141</v>
      </c>
      <c r="H189" t="s">
        <v>11</v>
      </c>
      <c r="I189" s="2">
        <v>45809</v>
      </c>
      <c r="J189">
        <v>1</v>
      </c>
      <c r="K189" s="3">
        <v>45997</v>
      </c>
      <c r="L189">
        <v>210</v>
      </c>
      <c r="M189" t="s">
        <v>13</v>
      </c>
      <c r="N189" s="79">
        <f t="shared" si="21"/>
        <v>-2.0002647409215927E-2</v>
      </c>
      <c r="O189">
        <f>VLOOKUP(B189,'Customer TDS'!A:D,4,0)</f>
        <v>108.8</v>
      </c>
      <c r="P189" s="38">
        <f t="shared" si="16"/>
        <v>-5330.48</v>
      </c>
      <c r="Q189">
        <f>VLOOKUP(B189,Ascendus!E:I,5,0)</f>
        <v>5417.34</v>
      </c>
      <c r="R189" s="38">
        <f t="shared" si="22"/>
        <v>-21.9399999999996</v>
      </c>
      <c r="S189" t="s">
        <v>915</v>
      </c>
    </row>
    <row r="190" spans="1:19" x14ac:dyDescent="0.35">
      <c r="A190" t="s">
        <v>454</v>
      </c>
      <c r="B190" s="4">
        <v>246779411896</v>
      </c>
      <c r="C190" s="3">
        <v>45733</v>
      </c>
      <c r="D190" s="1">
        <v>-39.770000000000003</v>
      </c>
      <c r="E190" s="1">
        <v>-3461.68</v>
      </c>
      <c r="G190" t="s">
        <v>141</v>
      </c>
      <c r="H190" t="s">
        <v>11</v>
      </c>
      <c r="I190" s="2">
        <v>45809</v>
      </c>
      <c r="J190">
        <v>1</v>
      </c>
      <c r="K190" s="3">
        <v>45997</v>
      </c>
      <c r="L190">
        <v>210</v>
      </c>
      <c r="M190" t="s">
        <v>13</v>
      </c>
      <c r="N190" s="79">
        <f t="shared" si="21"/>
        <v>-2.0114510873333179E-2</v>
      </c>
      <c r="O190">
        <f>VLOOKUP(B190,'Customer TDS'!A:D,4,0)</f>
        <v>69.63</v>
      </c>
      <c r="P190" s="38">
        <f t="shared" si="16"/>
        <v>-3392.0499999999997</v>
      </c>
      <c r="Q190">
        <f>VLOOKUP(B190,Ascendus!E:I,5,0)</f>
        <v>3447.71</v>
      </c>
      <c r="R190" s="38">
        <f t="shared" si="22"/>
        <v>-13.9699999999998</v>
      </c>
      <c r="S190" t="s">
        <v>915</v>
      </c>
    </row>
    <row r="191" spans="1:19" x14ac:dyDescent="0.35">
      <c r="A191" t="s">
        <v>454</v>
      </c>
      <c r="B191" s="4">
        <v>246779411902</v>
      </c>
      <c r="C191" s="3">
        <v>45733</v>
      </c>
      <c r="D191" s="1">
        <v>-2.13</v>
      </c>
      <c r="E191" s="1">
        <v>-185.4</v>
      </c>
      <c r="G191" t="s">
        <v>141</v>
      </c>
      <c r="H191" t="s">
        <v>11</v>
      </c>
      <c r="I191" s="2">
        <v>45809</v>
      </c>
      <c r="J191">
        <v>1</v>
      </c>
      <c r="K191" s="3">
        <v>45997</v>
      </c>
      <c r="L191">
        <v>210</v>
      </c>
      <c r="M191" t="s">
        <v>13</v>
      </c>
      <c r="N191" s="79">
        <f t="shared" si="21"/>
        <v>-1.8770226537216828E-2</v>
      </c>
      <c r="O191">
        <f>VLOOKUP(B191,'Customer TDS'!A:D,4,0)</f>
        <v>3.48</v>
      </c>
      <c r="P191" s="38">
        <f t="shared" si="16"/>
        <v>-181.92000000000002</v>
      </c>
      <c r="Q191">
        <f>VLOOKUP(B191,Ascendus!E:I,5,0)</f>
        <v>184.65</v>
      </c>
      <c r="R191" s="38">
        <f t="shared" si="22"/>
        <v>-0.75</v>
      </c>
      <c r="S191" t="s">
        <v>915</v>
      </c>
    </row>
    <row r="192" spans="1:19" x14ac:dyDescent="0.35">
      <c r="A192" t="s">
        <v>454</v>
      </c>
      <c r="B192" s="4">
        <v>246779411723</v>
      </c>
      <c r="C192" s="3">
        <v>45733</v>
      </c>
      <c r="D192" s="1">
        <v>-45.67</v>
      </c>
      <c r="E192" s="1">
        <v>-3975.23</v>
      </c>
      <c r="F192" t="s">
        <v>93</v>
      </c>
      <c r="G192" t="s">
        <v>141</v>
      </c>
      <c r="H192" t="s">
        <v>11</v>
      </c>
      <c r="I192" s="2">
        <v>45809</v>
      </c>
      <c r="J192">
        <v>1</v>
      </c>
      <c r="K192" s="3">
        <v>45997</v>
      </c>
      <c r="L192">
        <v>210</v>
      </c>
      <c r="M192" t="s">
        <v>13</v>
      </c>
      <c r="N192" s="79">
        <f t="shared" si="21"/>
        <v>-1.9925891080516095E-2</v>
      </c>
      <c r="O192">
        <f>VLOOKUP(B192,'Customer TDS'!A:D,4,0)</f>
        <v>79.209999999999994</v>
      </c>
      <c r="P192" s="38">
        <f t="shared" si="16"/>
        <v>-3896.02</v>
      </c>
      <c r="Q192">
        <f>VLOOKUP(B192,Ascendus!E:I,5,0)</f>
        <v>3959.19</v>
      </c>
      <c r="R192" s="38">
        <f t="shared" si="22"/>
        <v>-16.039999999999964</v>
      </c>
      <c r="S192" t="s">
        <v>915</v>
      </c>
    </row>
    <row r="193" spans="1:19" x14ac:dyDescent="0.35">
      <c r="A193" t="s">
        <v>454</v>
      </c>
      <c r="B193" s="4">
        <v>246779411722</v>
      </c>
      <c r="C193" s="3">
        <v>45733</v>
      </c>
      <c r="D193" s="1">
        <v>-39.96</v>
      </c>
      <c r="E193" s="1">
        <v>-3478.21</v>
      </c>
      <c r="G193" t="s">
        <v>141</v>
      </c>
      <c r="H193" t="s">
        <v>11</v>
      </c>
      <c r="I193" s="2">
        <v>45809</v>
      </c>
      <c r="J193">
        <v>1</v>
      </c>
      <c r="K193" s="3">
        <v>45997</v>
      </c>
      <c r="L193">
        <v>210</v>
      </c>
      <c r="M193" t="s">
        <v>13</v>
      </c>
      <c r="N193" s="79">
        <f t="shared" si="21"/>
        <v>-2.0018917776672484E-2</v>
      </c>
      <c r="O193">
        <f>VLOOKUP(B193,'Customer TDS'!A:D,4,0)</f>
        <v>69.63</v>
      </c>
      <c r="P193" s="38">
        <f t="shared" si="16"/>
        <v>-3408.58</v>
      </c>
      <c r="Q193">
        <f>VLOOKUP(B193,Ascendus!E:I,5,0)</f>
        <v>3464.18</v>
      </c>
      <c r="R193" s="38">
        <f t="shared" si="22"/>
        <v>-14.0300000000002</v>
      </c>
      <c r="S193" t="s">
        <v>915</v>
      </c>
    </row>
    <row r="194" spans="1:19" x14ac:dyDescent="0.35">
      <c r="A194" t="s">
        <v>454</v>
      </c>
      <c r="B194" s="4">
        <v>246779411907</v>
      </c>
      <c r="C194" s="3">
        <v>45733</v>
      </c>
      <c r="D194" s="1">
        <v>-17.04</v>
      </c>
      <c r="E194" s="1">
        <v>-1483.2</v>
      </c>
      <c r="G194" t="s">
        <v>141</v>
      </c>
      <c r="H194" t="s">
        <v>11</v>
      </c>
      <c r="I194" s="2">
        <v>45809</v>
      </c>
      <c r="J194">
        <v>1</v>
      </c>
      <c r="K194" s="3">
        <v>45997</v>
      </c>
      <c r="L194">
        <v>210</v>
      </c>
      <c r="M194" t="s">
        <v>13</v>
      </c>
      <c r="N194" s="79">
        <f t="shared" si="21"/>
        <v>-1.9950107874865154E-2</v>
      </c>
      <c r="O194">
        <f>VLOOKUP(B194,'Customer TDS'!A:D,4,0)</f>
        <v>29.59</v>
      </c>
      <c r="P194" s="38">
        <f t="shared" si="16"/>
        <v>-1453.6100000000001</v>
      </c>
      <c r="Q194">
        <f>VLOOKUP(B194,Ascendus!E:I,5,0)</f>
        <v>1477.22</v>
      </c>
      <c r="R194" s="38">
        <f t="shared" si="22"/>
        <v>-5.9800000000000182</v>
      </c>
      <c r="S194" t="s">
        <v>915</v>
      </c>
    </row>
    <row r="195" spans="1:19" x14ac:dyDescent="0.35">
      <c r="A195" t="s">
        <v>454</v>
      </c>
      <c r="B195" s="4">
        <v>246779411909</v>
      </c>
      <c r="C195" s="3">
        <v>45733</v>
      </c>
      <c r="D195" s="1">
        <v>-28.41</v>
      </c>
      <c r="E195" s="1">
        <v>-2472.88</v>
      </c>
      <c r="G195" t="s">
        <v>141</v>
      </c>
      <c r="H195" t="s">
        <v>11</v>
      </c>
      <c r="I195" s="2">
        <v>45809</v>
      </c>
      <c r="J195">
        <v>1</v>
      </c>
      <c r="K195" s="3">
        <v>45997</v>
      </c>
      <c r="L195">
        <v>210</v>
      </c>
      <c r="M195" t="s">
        <v>13</v>
      </c>
      <c r="N195" s="79">
        <f t="shared" ref="N195:N226" si="23">O195/E195</f>
        <v>-2.0061628546472129E-2</v>
      </c>
      <c r="O195">
        <f>VLOOKUP(B195,'Customer TDS'!A:D,4,0)</f>
        <v>49.61</v>
      </c>
      <c r="P195" s="38">
        <f t="shared" si="16"/>
        <v>-2423.27</v>
      </c>
      <c r="Q195">
        <f>VLOOKUP(B195,Ascendus!E:I,5,0)</f>
        <v>2462.9</v>
      </c>
      <c r="R195" s="38">
        <f t="shared" si="22"/>
        <v>-9.9800000000000182</v>
      </c>
      <c r="S195" t="s">
        <v>915</v>
      </c>
    </row>
    <row r="196" spans="1:19" x14ac:dyDescent="0.35">
      <c r="A196" t="s">
        <v>454</v>
      </c>
      <c r="B196" s="4">
        <v>246779411600</v>
      </c>
      <c r="C196" s="3">
        <v>45733</v>
      </c>
      <c r="D196" s="1">
        <v>-2.6</v>
      </c>
      <c r="E196" s="1">
        <v>-226.31</v>
      </c>
      <c r="G196" t="s">
        <v>141</v>
      </c>
      <c r="H196" t="s">
        <v>11</v>
      </c>
      <c r="I196" s="2">
        <v>45809</v>
      </c>
      <c r="J196">
        <v>1</v>
      </c>
      <c r="K196" s="3">
        <v>45997</v>
      </c>
      <c r="L196">
        <v>210</v>
      </c>
      <c r="M196" t="s">
        <v>13</v>
      </c>
      <c r="N196" s="79">
        <f t="shared" si="23"/>
        <v>-1.9221421943352038E-2</v>
      </c>
      <c r="O196">
        <f>VLOOKUP(B196,'Customer TDS'!A:D,4,0)</f>
        <v>4.3499999999999996</v>
      </c>
      <c r="P196" s="38">
        <f t="shared" ref="P196:P259" si="24">E196+O196</f>
        <v>-221.96</v>
      </c>
      <c r="Q196">
        <f>VLOOKUP(B196,Ascendus!E:I,5,0)</f>
        <v>225.4</v>
      </c>
      <c r="R196" s="38">
        <f t="shared" si="22"/>
        <v>-0.90999999999999659</v>
      </c>
      <c r="S196" t="s">
        <v>915</v>
      </c>
    </row>
    <row r="197" spans="1:19" x14ac:dyDescent="0.35">
      <c r="A197" t="s">
        <v>454</v>
      </c>
      <c r="B197" s="4">
        <v>246779411595</v>
      </c>
      <c r="C197" s="3">
        <v>45733</v>
      </c>
      <c r="D197" s="1">
        <v>-51.56</v>
      </c>
      <c r="E197" s="1">
        <v>-4487.91</v>
      </c>
      <c r="G197" t="s">
        <v>141</v>
      </c>
      <c r="H197" t="s">
        <v>11</v>
      </c>
      <c r="I197" s="2">
        <v>45809</v>
      </c>
      <c r="J197">
        <v>1</v>
      </c>
      <c r="K197" s="3">
        <v>45997</v>
      </c>
      <c r="L197">
        <v>210</v>
      </c>
      <c r="M197" t="s">
        <v>13</v>
      </c>
      <c r="N197" s="79">
        <f t="shared" si="23"/>
        <v>-1.9975890782123529E-2</v>
      </c>
      <c r="O197">
        <f>VLOOKUP(B197,'Customer TDS'!A:D,4,0)</f>
        <v>89.65</v>
      </c>
      <c r="P197" s="38">
        <f t="shared" si="24"/>
        <v>-4398.26</v>
      </c>
      <c r="Q197">
        <f>VLOOKUP(B197,Ascendus!E:I,5,0)</f>
        <v>4469.8</v>
      </c>
      <c r="R197" s="38">
        <f t="shared" si="22"/>
        <v>-18.109999999999673</v>
      </c>
      <c r="S197" t="s">
        <v>915</v>
      </c>
    </row>
    <row r="198" spans="1:19" x14ac:dyDescent="0.35">
      <c r="A198" t="s">
        <v>454</v>
      </c>
      <c r="B198" s="4">
        <v>246779411594</v>
      </c>
      <c r="C198" s="3">
        <v>45733</v>
      </c>
      <c r="D198" s="1">
        <v>-17.190000000000001</v>
      </c>
      <c r="E198" s="1">
        <v>-1496.26</v>
      </c>
      <c r="G198" t="s">
        <v>141</v>
      </c>
      <c r="H198" t="s">
        <v>11</v>
      </c>
      <c r="I198" s="2">
        <v>45809</v>
      </c>
      <c r="J198">
        <v>1</v>
      </c>
      <c r="K198" s="3">
        <v>45997</v>
      </c>
      <c r="L198">
        <v>210</v>
      </c>
      <c r="M198" t="s">
        <v>13</v>
      </c>
      <c r="N198" s="79">
        <f t="shared" si="23"/>
        <v>-1.9775974763744267E-2</v>
      </c>
      <c r="O198">
        <f>VLOOKUP(B198,'Customer TDS'!A:D,4,0)</f>
        <v>29.59</v>
      </c>
      <c r="P198" s="38">
        <f t="shared" si="24"/>
        <v>-1466.67</v>
      </c>
      <c r="Q198">
        <f>VLOOKUP(B198,Ascendus!E:I,5,0)</f>
        <v>1490.22</v>
      </c>
      <c r="R198" s="38">
        <f t="shared" si="22"/>
        <v>-6.0399999999999636</v>
      </c>
      <c r="S198" t="s">
        <v>915</v>
      </c>
    </row>
    <row r="199" spans="1:19" x14ac:dyDescent="0.35">
      <c r="A199" t="s">
        <v>454</v>
      </c>
      <c r="B199" s="4">
        <v>246779411599</v>
      </c>
      <c r="C199" s="3">
        <v>45733</v>
      </c>
      <c r="D199" s="1">
        <v>-37.950000000000003</v>
      </c>
      <c r="E199" s="1">
        <v>-3303.26</v>
      </c>
      <c r="G199" t="s">
        <v>141</v>
      </c>
      <c r="H199" t="s">
        <v>11</v>
      </c>
      <c r="I199" s="2">
        <v>45809</v>
      </c>
      <c r="J199">
        <v>1</v>
      </c>
      <c r="K199" s="3">
        <v>45997</v>
      </c>
      <c r="L199">
        <v>210</v>
      </c>
      <c r="M199" t="s">
        <v>13</v>
      </c>
      <c r="N199" s="79">
        <f t="shared" si="23"/>
        <v>-2.0025671609258732E-2</v>
      </c>
      <c r="O199">
        <f>VLOOKUP(B199,'Customer TDS'!A:D,4,0)</f>
        <v>66.150000000000006</v>
      </c>
      <c r="P199" s="38">
        <f t="shared" si="24"/>
        <v>-3237.11</v>
      </c>
      <c r="Q199">
        <f>VLOOKUP(B199,Ascendus!E:I,5,0)</f>
        <v>3289.93</v>
      </c>
      <c r="R199" s="38">
        <f t="shared" si="22"/>
        <v>-13.330000000000382</v>
      </c>
      <c r="S199" t="s">
        <v>915</v>
      </c>
    </row>
    <row r="200" spans="1:19" x14ac:dyDescent="0.35">
      <c r="A200" t="s">
        <v>454</v>
      </c>
      <c r="B200" s="4">
        <v>246779412111</v>
      </c>
      <c r="C200" s="3">
        <v>45733</v>
      </c>
      <c r="D200" s="1">
        <v>-420.46</v>
      </c>
      <c r="E200" s="1">
        <v>-36597.85</v>
      </c>
      <c r="G200" t="s">
        <v>141</v>
      </c>
      <c r="H200" t="s">
        <v>11</v>
      </c>
      <c r="I200" s="2">
        <v>45809</v>
      </c>
      <c r="J200">
        <v>1</v>
      </c>
      <c r="K200" s="3">
        <v>45997</v>
      </c>
      <c r="L200">
        <v>210</v>
      </c>
      <c r="M200" t="s">
        <v>13</v>
      </c>
      <c r="N200" s="79">
        <f t="shared" si="23"/>
        <v>-2.0001994652691348E-2</v>
      </c>
      <c r="O200">
        <f>VLOOKUP(B200,'Customer TDS'!A:D,4,0)</f>
        <v>732.03</v>
      </c>
      <c r="P200" s="38">
        <f t="shared" si="24"/>
        <v>-35865.82</v>
      </c>
      <c r="Q200">
        <f>VLOOKUP(B200,Ascendus!E:I,5,0)</f>
        <v>36450.21</v>
      </c>
      <c r="R200" s="38">
        <f t="shared" si="22"/>
        <v>-147.63999999999942</v>
      </c>
      <c r="S200" t="s">
        <v>915</v>
      </c>
    </row>
    <row r="201" spans="1:19" x14ac:dyDescent="0.35">
      <c r="A201" t="s">
        <v>454</v>
      </c>
      <c r="B201" s="4">
        <v>246779411895</v>
      </c>
      <c r="C201" s="3">
        <v>45733</v>
      </c>
      <c r="D201" s="1">
        <v>-4.26</v>
      </c>
      <c r="E201" s="1">
        <v>-370.8</v>
      </c>
      <c r="G201" t="s">
        <v>141</v>
      </c>
      <c r="H201" t="s">
        <v>11</v>
      </c>
      <c r="I201" s="2">
        <v>45809</v>
      </c>
      <c r="J201">
        <v>1</v>
      </c>
      <c r="K201" s="3">
        <v>45997</v>
      </c>
      <c r="L201">
        <v>210</v>
      </c>
      <c r="M201" t="s">
        <v>13</v>
      </c>
      <c r="N201" s="79">
        <f t="shared" si="23"/>
        <v>-2.1116504854368931E-2</v>
      </c>
      <c r="O201">
        <f>VLOOKUP(B201,'Customer TDS'!A:D,4,0)</f>
        <v>7.83</v>
      </c>
      <c r="P201" s="38">
        <f t="shared" si="24"/>
        <v>-362.97</v>
      </c>
      <c r="Q201">
        <f>VLOOKUP(B201,Ascendus!E:I,5,0)</f>
        <v>369.3</v>
      </c>
      <c r="R201" s="38">
        <f t="shared" si="22"/>
        <v>-1.5</v>
      </c>
      <c r="S201" t="s">
        <v>915</v>
      </c>
    </row>
    <row r="202" spans="1:19" x14ac:dyDescent="0.35">
      <c r="A202" t="s">
        <v>454</v>
      </c>
      <c r="B202" s="4">
        <v>246779412046</v>
      </c>
      <c r="C202" s="3">
        <v>45733</v>
      </c>
      <c r="D202" s="1">
        <v>-16.82</v>
      </c>
      <c r="E202" s="1">
        <v>-1464.05</v>
      </c>
      <c r="G202" t="s">
        <v>141</v>
      </c>
      <c r="H202" t="s">
        <v>11</v>
      </c>
      <c r="I202" s="2">
        <v>45809</v>
      </c>
      <c r="J202">
        <v>1</v>
      </c>
      <c r="K202" s="3">
        <v>45997</v>
      </c>
      <c r="L202">
        <v>210</v>
      </c>
      <c r="M202" t="s">
        <v>13</v>
      </c>
      <c r="N202" s="79">
        <f t="shared" si="23"/>
        <v>-2.0211058365492984E-2</v>
      </c>
      <c r="O202">
        <f>VLOOKUP(B202,'Customer TDS'!A:D,4,0)</f>
        <v>29.59</v>
      </c>
      <c r="P202" s="38">
        <f t="shared" si="24"/>
        <v>-1434.46</v>
      </c>
      <c r="Q202">
        <f>VLOOKUP(B202,Ascendus!E:I,5,0)</f>
        <v>1458.15</v>
      </c>
      <c r="R202" s="38">
        <f t="shared" si="22"/>
        <v>-5.8999999999998636</v>
      </c>
      <c r="S202" t="s">
        <v>915</v>
      </c>
    </row>
    <row r="203" spans="1:19" x14ac:dyDescent="0.35">
      <c r="A203" t="s">
        <v>454</v>
      </c>
      <c r="B203" s="4">
        <v>246779411897</v>
      </c>
      <c r="C203" s="3">
        <v>45733</v>
      </c>
      <c r="D203" s="1">
        <v>-22.72</v>
      </c>
      <c r="E203" s="1">
        <v>-1977.6</v>
      </c>
      <c r="G203" t="s">
        <v>141</v>
      </c>
      <c r="H203" t="s">
        <v>11</v>
      </c>
      <c r="I203" s="2">
        <v>45809</v>
      </c>
      <c r="J203">
        <v>1</v>
      </c>
      <c r="K203" s="3">
        <v>45997</v>
      </c>
      <c r="L203">
        <v>210</v>
      </c>
      <c r="M203" t="s">
        <v>13</v>
      </c>
      <c r="N203" s="79">
        <f t="shared" si="23"/>
        <v>-1.9806836569579291E-2</v>
      </c>
      <c r="O203">
        <f>VLOOKUP(B203,'Customer TDS'!A:D,4,0)</f>
        <v>39.17</v>
      </c>
      <c r="P203" s="38">
        <f t="shared" si="24"/>
        <v>-1938.4299999999998</v>
      </c>
      <c r="Q203">
        <f>VLOOKUP(B203,Ascendus!E:I,5,0)</f>
        <v>1969.63</v>
      </c>
      <c r="R203" s="38">
        <f t="shared" si="22"/>
        <v>-7.9699999999997999</v>
      </c>
      <c r="S203" t="s">
        <v>915</v>
      </c>
    </row>
    <row r="204" spans="1:19" x14ac:dyDescent="0.35">
      <c r="A204" t="s">
        <v>454</v>
      </c>
      <c r="B204" s="4">
        <v>246779412044</v>
      </c>
      <c r="C204" s="3">
        <v>45733</v>
      </c>
      <c r="D204" s="1">
        <v>-30.37</v>
      </c>
      <c r="E204" s="1">
        <v>-2643.48</v>
      </c>
      <c r="G204" t="s">
        <v>141</v>
      </c>
      <c r="H204" t="s">
        <v>11</v>
      </c>
      <c r="I204" s="2">
        <v>45809</v>
      </c>
      <c r="J204">
        <v>1</v>
      </c>
      <c r="K204" s="3">
        <v>45997</v>
      </c>
      <c r="L204">
        <v>210</v>
      </c>
      <c r="M204" t="s">
        <v>13</v>
      </c>
      <c r="N204" s="79">
        <f t="shared" si="23"/>
        <v>-2.0087157837396161E-2</v>
      </c>
      <c r="O204">
        <f>VLOOKUP(B204,'Customer TDS'!A:D,4,0)</f>
        <v>53.1</v>
      </c>
      <c r="P204" s="38">
        <f t="shared" si="24"/>
        <v>-2590.38</v>
      </c>
      <c r="Q204">
        <f>VLOOKUP(B204,Ascendus!E:I,5,0)</f>
        <v>2632.81</v>
      </c>
      <c r="R204" s="38">
        <f t="shared" si="22"/>
        <v>-10.670000000000073</v>
      </c>
      <c r="S204" t="s">
        <v>915</v>
      </c>
    </row>
    <row r="205" spans="1:19" x14ac:dyDescent="0.35">
      <c r="A205" t="s">
        <v>454</v>
      </c>
      <c r="B205" s="4">
        <v>246779411898</v>
      </c>
      <c r="C205" s="3">
        <v>45733</v>
      </c>
      <c r="D205" s="1">
        <v>-7.1</v>
      </c>
      <c r="E205" s="1">
        <v>-618</v>
      </c>
      <c r="G205" t="s">
        <v>141</v>
      </c>
      <c r="H205" t="s">
        <v>11</v>
      </c>
      <c r="I205" s="2">
        <v>45809</v>
      </c>
      <c r="J205">
        <v>1</v>
      </c>
      <c r="K205" s="3">
        <v>45997</v>
      </c>
      <c r="L205">
        <v>210</v>
      </c>
      <c r="M205" t="s">
        <v>13</v>
      </c>
      <c r="N205" s="79">
        <f t="shared" si="23"/>
        <v>-1.9724919093851132E-2</v>
      </c>
      <c r="O205">
        <f>VLOOKUP(B205,'Customer TDS'!A:D,4,0)</f>
        <v>12.19</v>
      </c>
      <c r="P205" s="38">
        <f t="shared" si="24"/>
        <v>-605.80999999999995</v>
      </c>
      <c r="Q205">
        <f>VLOOKUP(B205,Ascendus!E:I,5,0)</f>
        <v>615.51</v>
      </c>
      <c r="R205" s="38">
        <f t="shared" si="22"/>
        <v>-2.4900000000000091</v>
      </c>
      <c r="S205" t="s">
        <v>915</v>
      </c>
    </row>
    <row r="206" spans="1:19" x14ac:dyDescent="0.35">
      <c r="A206" t="s">
        <v>454</v>
      </c>
      <c r="B206" s="4">
        <v>246779412043</v>
      </c>
      <c r="C206" s="3">
        <v>45733</v>
      </c>
      <c r="D206" s="1">
        <v>-16.82</v>
      </c>
      <c r="E206" s="1">
        <v>-1464.05</v>
      </c>
      <c r="G206" t="s">
        <v>141</v>
      </c>
      <c r="H206" t="s">
        <v>11</v>
      </c>
      <c r="I206" s="2">
        <v>45809</v>
      </c>
      <c r="J206">
        <v>1</v>
      </c>
      <c r="K206" s="3">
        <v>45997</v>
      </c>
      <c r="L206">
        <v>210</v>
      </c>
      <c r="M206" t="s">
        <v>13</v>
      </c>
      <c r="N206" s="79">
        <f t="shared" si="23"/>
        <v>-2.0211058365492984E-2</v>
      </c>
      <c r="O206">
        <f>VLOOKUP(B206,'Customer TDS'!A:D,4,0)</f>
        <v>29.59</v>
      </c>
      <c r="P206" s="38">
        <f t="shared" si="24"/>
        <v>-1434.46</v>
      </c>
      <c r="Q206">
        <f>VLOOKUP(B206,Ascendus!E:I,5,0)</f>
        <v>1458.15</v>
      </c>
      <c r="R206" s="38">
        <f t="shared" si="22"/>
        <v>-5.8999999999998636</v>
      </c>
      <c r="S206" t="s">
        <v>915</v>
      </c>
    </row>
    <row r="207" spans="1:19" x14ac:dyDescent="0.35">
      <c r="A207" t="s">
        <v>454</v>
      </c>
      <c r="B207" s="4">
        <v>246779411915</v>
      </c>
      <c r="C207" s="3">
        <v>45733</v>
      </c>
      <c r="D207" s="1">
        <v>-23.17</v>
      </c>
      <c r="E207" s="1">
        <v>-2016.77</v>
      </c>
      <c r="G207" t="s">
        <v>141</v>
      </c>
      <c r="H207" t="s">
        <v>11</v>
      </c>
      <c r="I207" s="2">
        <v>45809</v>
      </c>
      <c r="J207">
        <v>1</v>
      </c>
      <c r="K207" s="3">
        <v>45997</v>
      </c>
      <c r="L207">
        <v>210</v>
      </c>
      <c r="M207" t="s">
        <v>13</v>
      </c>
      <c r="N207" s="79">
        <f t="shared" si="23"/>
        <v>-1.9853528166325362E-2</v>
      </c>
      <c r="O207">
        <f>VLOOKUP(B207,'Customer TDS'!A:D,4,0)</f>
        <v>40.04</v>
      </c>
      <c r="P207" s="38">
        <f t="shared" si="24"/>
        <v>-1976.73</v>
      </c>
      <c r="Q207">
        <f>VLOOKUP(B207,Ascendus!E:I,5,0)</f>
        <v>2008.64</v>
      </c>
      <c r="R207" s="38">
        <f t="shared" si="22"/>
        <v>-8.1299999999998818</v>
      </c>
      <c r="S207" t="s">
        <v>915</v>
      </c>
    </row>
    <row r="208" spans="1:19" x14ac:dyDescent="0.35">
      <c r="A208" t="s">
        <v>454</v>
      </c>
      <c r="B208" s="4">
        <v>246779412041</v>
      </c>
      <c r="C208" s="3">
        <v>45733</v>
      </c>
      <c r="D208" s="1">
        <v>-33.64</v>
      </c>
      <c r="E208" s="1">
        <v>-2928.11</v>
      </c>
      <c r="F208" t="s">
        <v>143</v>
      </c>
      <c r="G208" t="s">
        <v>141</v>
      </c>
      <c r="H208" t="s">
        <v>11</v>
      </c>
      <c r="I208" s="2">
        <v>45809</v>
      </c>
      <c r="J208">
        <v>1</v>
      </c>
      <c r="K208" s="3">
        <v>45997</v>
      </c>
      <c r="L208">
        <v>210</v>
      </c>
      <c r="M208" t="s">
        <v>13</v>
      </c>
      <c r="N208" s="79">
        <f t="shared" si="23"/>
        <v>-1.9917284528245181E-2</v>
      </c>
      <c r="O208">
        <f>VLOOKUP(B208,'Customer TDS'!A:D,4,0)</f>
        <v>58.32</v>
      </c>
      <c r="P208" s="38">
        <f t="shared" si="24"/>
        <v>-2869.79</v>
      </c>
      <c r="Q208">
        <f>VLOOKUP(B208,Ascendus!E:I,5,0)</f>
        <v>2916.29</v>
      </c>
      <c r="R208" s="38">
        <f t="shared" si="22"/>
        <v>-11.820000000000164</v>
      </c>
      <c r="S208" t="s">
        <v>915</v>
      </c>
    </row>
    <row r="209" spans="1:19" x14ac:dyDescent="0.35">
      <c r="A209" t="s">
        <v>454</v>
      </c>
      <c r="B209" s="4">
        <v>246779411900</v>
      </c>
      <c r="C209" s="3">
        <v>45733</v>
      </c>
      <c r="D209" s="1">
        <v>-73.849999999999994</v>
      </c>
      <c r="E209" s="1">
        <v>-6428.08</v>
      </c>
      <c r="G209" t="s">
        <v>141</v>
      </c>
      <c r="H209" t="s">
        <v>11</v>
      </c>
      <c r="I209" s="2">
        <v>45809</v>
      </c>
      <c r="J209">
        <v>1</v>
      </c>
      <c r="K209" s="3">
        <v>45997</v>
      </c>
      <c r="L209">
        <v>210</v>
      </c>
      <c r="M209" t="s">
        <v>13</v>
      </c>
      <c r="N209" s="79">
        <f t="shared" si="23"/>
        <v>-2.0040198628517379E-2</v>
      </c>
      <c r="O209">
        <f>VLOOKUP(B209,'Customer TDS'!A:D,4,0)</f>
        <v>128.82</v>
      </c>
      <c r="P209" s="38">
        <f t="shared" si="24"/>
        <v>-6299.26</v>
      </c>
      <c r="Q209">
        <f>VLOOKUP(B209,Ascendus!E:I,5,0)</f>
        <v>6402.15</v>
      </c>
      <c r="R209" s="38">
        <f t="shared" si="22"/>
        <v>-25.930000000000291</v>
      </c>
      <c r="S209" t="s">
        <v>915</v>
      </c>
    </row>
    <row r="210" spans="1:19" x14ac:dyDescent="0.35">
      <c r="A210" t="s">
        <v>454</v>
      </c>
      <c r="B210" s="4">
        <v>246779412048</v>
      </c>
      <c r="C210" s="3">
        <v>45733</v>
      </c>
      <c r="D210" s="1">
        <v>-22.78</v>
      </c>
      <c r="E210" s="1">
        <v>-1982.83</v>
      </c>
      <c r="G210" t="s">
        <v>141</v>
      </c>
      <c r="H210" t="s">
        <v>11</v>
      </c>
      <c r="I210" s="2">
        <v>45809</v>
      </c>
      <c r="J210">
        <v>1</v>
      </c>
      <c r="K210" s="3">
        <v>45997</v>
      </c>
      <c r="L210">
        <v>210</v>
      </c>
      <c r="M210" t="s">
        <v>13</v>
      </c>
      <c r="N210" s="79">
        <f t="shared" si="23"/>
        <v>-2.0193359995561898E-2</v>
      </c>
      <c r="O210">
        <f>VLOOKUP(B210,'Customer TDS'!A:D,4,0)</f>
        <v>40.04</v>
      </c>
      <c r="P210" s="38">
        <f t="shared" si="24"/>
        <v>-1942.79</v>
      </c>
      <c r="Q210">
        <f>VLOOKUP(B210,Ascendus!E:I,5,0)</f>
        <v>1974.83</v>
      </c>
      <c r="R210" s="38">
        <f t="shared" si="22"/>
        <v>-8</v>
      </c>
      <c r="S210" t="s">
        <v>915</v>
      </c>
    </row>
    <row r="211" spans="1:19" x14ac:dyDescent="0.35">
      <c r="A211" t="s">
        <v>454</v>
      </c>
      <c r="B211" s="4">
        <v>246779411903</v>
      </c>
      <c r="C211" s="3">
        <v>45733</v>
      </c>
      <c r="D211" s="1">
        <v>-3.55</v>
      </c>
      <c r="E211" s="1">
        <v>-309</v>
      </c>
      <c r="G211" t="s">
        <v>141</v>
      </c>
      <c r="H211" t="s">
        <v>11</v>
      </c>
      <c r="I211" s="2">
        <v>45809</v>
      </c>
      <c r="J211">
        <v>1</v>
      </c>
      <c r="K211" s="3">
        <v>45997</v>
      </c>
      <c r="L211">
        <v>210</v>
      </c>
      <c r="M211" t="s">
        <v>13</v>
      </c>
      <c r="N211" s="79">
        <f t="shared" si="23"/>
        <v>-1.9708737864077671E-2</v>
      </c>
      <c r="O211">
        <f>VLOOKUP(B211,'Customer TDS'!A:D,4,0)</f>
        <v>6.09</v>
      </c>
      <c r="P211" s="38">
        <f t="shared" si="24"/>
        <v>-302.91000000000003</v>
      </c>
      <c r="Q211">
        <f>VLOOKUP(B211,Ascendus!E:I,5,0)</f>
        <v>307.75</v>
      </c>
      <c r="R211" s="38">
        <f t="shared" si="22"/>
        <v>-1.25</v>
      </c>
      <c r="S211" t="s">
        <v>915</v>
      </c>
    </row>
    <row r="212" spans="1:19" x14ac:dyDescent="0.35">
      <c r="A212" t="s">
        <v>454</v>
      </c>
      <c r="B212" s="4">
        <v>246779411910</v>
      </c>
      <c r="C212" s="3">
        <v>45733</v>
      </c>
      <c r="D212" s="1">
        <v>-28.41</v>
      </c>
      <c r="E212" s="1">
        <v>-2472.88</v>
      </c>
      <c r="G212" t="s">
        <v>141</v>
      </c>
      <c r="H212" t="s">
        <v>11</v>
      </c>
      <c r="I212" s="2">
        <v>45809</v>
      </c>
      <c r="J212">
        <v>1</v>
      </c>
      <c r="K212" s="3">
        <v>45997</v>
      </c>
      <c r="L212">
        <v>210</v>
      </c>
      <c r="M212" t="s">
        <v>13</v>
      </c>
      <c r="N212" s="79">
        <f t="shared" si="23"/>
        <v>-2.0061628546472129E-2</v>
      </c>
      <c r="O212">
        <f>VLOOKUP(B212,'Customer TDS'!A:D,4,0)</f>
        <v>49.61</v>
      </c>
      <c r="P212" s="38">
        <f t="shared" si="24"/>
        <v>-2423.27</v>
      </c>
      <c r="Q212">
        <f>VLOOKUP(B212,Ascendus!E:I,5,0)</f>
        <v>2462.9</v>
      </c>
      <c r="R212" s="38">
        <f t="shared" si="22"/>
        <v>-9.9800000000000182</v>
      </c>
      <c r="S212" t="s">
        <v>915</v>
      </c>
    </row>
    <row r="213" spans="1:19" x14ac:dyDescent="0.35">
      <c r="A213" t="s">
        <v>454</v>
      </c>
      <c r="B213" s="4">
        <v>246779411598</v>
      </c>
      <c r="C213" s="3">
        <v>45733</v>
      </c>
      <c r="D213" s="1">
        <v>-91.66</v>
      </c>
      <c r="E213" s="1">
        <v>-7978.31</v>
      </c>
      <c r="G213" t="s">
        <v>141</v>
      </c>
      <c r="H213" t="s">
        <v>11</v>
      </c>
      <c r="I213" s="2">
        <v>45809</v>
      </c>
      <c r="J213">
        <v>1</v>
      </c>
      <c r="K213" s="3">
        <v>45997</v>
      </c>
      <c r="L213">
        <v>210</v>
      </c>
      <c r="M213" t="s">
        <v>13</v>
      </c>
      <c r="N213" s="79">
        <f t="shared" si="23"/>
        <v>-1.9965381139614779E-2</v>
      </c>
      <c r="O213">
        <f>VLOOKUP(B213,'Customer TDS'!A:D,4,0)</f>
        <v>159.29</v>
      </c>
      <c r="P213" s="38">
        <f t="shared" si="24"/>
        <v>-7819.02</v>
      </c>
      <c r="Q213">
        <f>VLOOKUP(B213,Ascendus!E:I,5,0)</f>
        <v>7946.12</v>
      </c>
      <c r="R213" s="38">
        <f t="shared" si="22"/>
        <v>-32.190000000000509</v>
      </c>
      <c r="S213" t="s">
        <v>915</v>
      </c>
    </row>
    <row r="214" spans="1:19" x14ac:dyDescent="0.35">
      <c r="A214" t="s">
        <v>454</v>
      </c>
      <c r="B214" s="4">
        <v>246779411593</v>
      </c>
      <c r="C214" s="3">
        <v>45733</v>
      </c>
      <c r="D214" s="1">
        <v>-40.1</v>
      </c>
      <c r="E214" s="1">
        <v>-3490.4</v>
      </c>
      <c r="G214" t="s">
        <v>141</v>
      </c>
      <c r="H214" t="s">
        <v>11</v>
      </c>
      <c r="I214" s="2">
        <v>45809</v>
      </c>
      <c r="J214">
        <v>1</v>
      </c>
      <c r="K214" s="3">
        <v>45997</v>
      </c>
      <c r="L214">
        <v>210</v>
      </c>
      <c r="M214" t="s">
        <v>13</v>
      </c>
      <c r="N214" s="79">
        <f t="shared" si="23"/>
        <v>-1.9949002979601189E-2</v>
      </c>
      <c r="O214">
        <f>VLOOKUP(B214,'Customer TDS'!A:D,4,0)</f>
        <v>69.63</v>
      </c>
      <c r="P214" s="38">
        <f t="shared" si="24"/>
        <v>-3420.77</v>
      </c>
      <c r="Q214">
        <f>VLOOKUP(B214,Ascendus!E:I,5,0)</f>
        <v>3476.32</v>
      </c>
      <c r="R214" s="38">
        <f t="shared" si="22"/>
        <v>-14.079999999999927</v>
      </c>
      <c r="S214" t="s">
        <v>915</v>
      </c>
    </row>
    <row r="215" spans="1:19" x14ac:dyDescent="0.35">
      <c r="A215" t="s">
        <v>454</v>
      </c>
      <c r="B215" s="4">
        <v>246779412045</v>
      </c>
      <c r="C215" s="3">
        <v>45733</v>
      </c>
      <c r="D215" s="1">
        <v>-230</v>
      </c>
      <c r="E215" s="1">
        <v>-20019.759999999998</v>
      </c>
      <c r="F215" t="s">
        <v>143</v>
      </c>
      <c r="G215" t="s">
        <v>141</v>
      </c>
      <c r="H215" t="s">
        <v>11</v>
      </c>
      <c r="I215" s="2">
        <v>45809</v>
      </c>
      <c r="J215">
        <v>1</v>
      </c>
      <c r="K215" s="3">
        <v>45997</v>
      </c>
      <c r="L215">
        <v>210</v>
      </c>
      <c r="M215" t="s">
        <v>13</v>
      </c>
      <c r="N215" s="79">
        <f t="shared" si="23"/>
        <v>-2.0000239763114044E-2</v>
      </c>
      <c r="O215">
        <f>VLOOKUP(B215,'Customer TDS'!A:D,4,0)</f>
        <v>400.4</v>
      </c>
      <c r="P215" s="38">
        <f t="shared" si="24"/>
        <v>-19619.359999999997</v>
      </c>
      <c r="Q215">
        <f>VLOOKUP(B215,Ascendus!E:I,5,0)</f>
        <v>19938.990000000002</v>
      </c>
      <c r="R215" s="38">
        <f t="shared" si="22"/>
        <v>-80.769999999996799</v>
      </c>
      <c r="S215" t="s">
        <v>915</v>
      </c>
    </row>
    <row r="216" spans="1:19" x14ac:dyDescent="0.35">
      <c r="A216" t="s">
        <v>454</v>
      </c>
      <c r="B216" s="4">
        <v>246779412042</v>
      </c>
      <c r="C216" s="3">
        <v>45733</v>
      </c>
      <c r="D216" s="1">
        <v>-16.82</v>
      </c>
      <c r="E216" s="1">
        <v>-1464.05</v>
      </c>
      <c r="F216" t="s">
        <v>143</v>
      </c>
      <c r="G216" t="s">
        <v>141</v>
      </c>
      <c r="H216" t="s">
        <v>11</v>
      </c>
      <c r="I216" s="2">
        <v>45809</v>
      </c>
      <c r="J216">
        <v>1</v>
      </c>
      <c r="K216" s="3">
        <v>45997</v>
      </c>
      <c r="L216">
        <v>210</v>
      </c>
      <c r="M216" t="s">
        <v>13</v>
      </c>
      <c r="N216" s="79">
        <f t="shared" si="23"/>
        <v>-2.0211058365492984E-2</v>
      </c>
      <c r="O216">
        <f>VLOOKUP(B216,'Customer TDS'!A:D,4,0)</f>
        <v>29.59</v>
      </c>
      <c r="P216" s="38">
        <f t="shared" si="24"/>
        <v>-1434.46</v>
      </c>
      <c r="Q216">
        <f>VLOOKUP(B216,Ascendus!E:I,5,0)</f>
        <v>1458.15</v>
      </c>
      <c r="R216" s="38">
        <f t="shared" si="22"/>
        <v>-5.8999999999998636</v>
      </c>
      <c r="S216" t="s">
        <v>915</v>
      </c>
    </row>
    <row r="217" spans="1:19" x14ac:dyDescent="0.35">
      <c r="A217" t="s">
        <v>454</v>
      </c>
      <c r="B217" s="4">
        <v>246779412038</v>
      </c>
      <c r="C217" s="3">
        <v>45733</v>
      </c>
      <c r="D217" s="1">
        <v>-33.64</v>
      </c>
      <c r="E217" s="1">
        <v>-2928.11</v>
      </c>
      <c r="F217" t="s">
        <v>143</v>
      </c>
      <c r="G217" t="s">
        <v>141</v>
      </c>
      <c r="H217" t="s">
        <v>11</v>
      </c>
      <c r="I217" s="2">
        <v>45809</v>
      </c>
      <c r="J217">
        <v>1</v>
      </c>
      <c r="K217" s="3">
        <v>45997</v>
      </c>
      <c r="L217">
        <v>210</v>
      </c>
      <c r="M217" t="s">
        <v>13</v>
      </c>
      <c r="N217" s="79">
        <f t="shared" si="23"/>
        <v>-1.9917284528245181E-2</v>
      </c>
      <c r="O217">
        <f>VLOOKUP(B217,'Customer TDS'!A:D,4,0)</f>
        <v>58.32</v>
      </c>
      <c r="P217" s="38">
        <f t="shared" si="24"/>
        <v>-2869.79</v>
      </c>
      <c r="Q217">
        <f>VLOOKUP(B217,Ascendus!E:I,5,0)</f>
        <v>2916.29</v>
      </c>
      <c r="R217" s="38">
        <f t="shared" si="22"/>
        <v>-11.820000000000164</v>
      </c>
      <c r="S217" t="s">
        <v>915</v>
      </c>
    </row>
    <row r="218" spans="1:19" x14ac:dyDescent="0.35">
      <c r="A218" t="s">
        <v>454</v>
      </c>
      <c r="B218" s="4">
        <v>246779411901</v>
      </c>
      <c r="C218" s="3">
        <v>45733</v>
      </c>
      <c r="D218" s="1">
        <v>-12.78</v>
      </c>
      <c r="E218" s="1">
        <v>-1112.4000000000001</v>
      </c>
      <c r="G218" t="s">
        <v>141</v>
      </c>
      <c r="H218" t="s">
        <v>11</v>
      </c>
      <c r="I218" s="2">
        <v>45809</v>
      </c>
      <c r="J218">
        <v>1</v>
      </c>
      <c r="K218" s="3">
        <v>45997</v>
      </c>
      <c r="L218">
        <v>210</v>
      </c>
      <c r="M218" t="s">
        <v>13</v>
      </c>
      <c r="N218" s="79">
        <f t="shared" si="23"/>
        <v>-2.0343401654081262E-2</v>
      </c>
      <c r="O218">
        <f>VLOOKUP(B218,'Customer TDS'!A:D,4,0)</f>
        <v>22.63</v>
      </c>
      <c r="P218" s="38">
        <f t="shared" si="24"/>
        <v>-1089.77</v>
      </c>
      <c r="Q218">
        <f>VLOOKUP(B218,Ascendus!E:I,5,0)</f>
        <v>1107.9100000000001</v>
      </c>
      <c r="R218" s="38">
        <f t="shared" si="22"/>
        <v>-4.4900000000000091</v>
      </c>
      <c r="S218" t="s">
        <v>915</v>
      </c>
    </row>
    <row r="219" spans="1:19" x14ac:dyDescent="0.35">
      <c r="A219" t="s">
        <v>454</v>
      </c>
      <c r="B219" s="4">
        <v>246779411906</v>
      </c>
      <c r="C219" s="3">
        <v>45733</v>
      </c>
      <c r="D219" s="1">
        <v>-34.090000000000003</v>
      </c>
      <c r="E219" s="1">
        <v>-2967.28</v>
      </c>
      <c r="G219" t="s">
        <v>141</v>
      </c>
      <c r="H219" t="s">
        <v>11</v>
      </c>
      <c r="I219" s="2">
        <v>45809</v>
      </c>
      <c r="J219">
        <v>1</v>
      </c>
      <c r="K219" s="3">
        <v>45997</v>
      </c>
      <c r="L219">
        <v>210</v>
      </c>
      <c r="M219" t="s">
        <v>13</v>
      </c>
      <c r="N219" s="79">
        <f t="shared" si="23"/>
        <v>-1.9947561403035774E-2</v>
      </c>
      <c r="O219">
        <f>VLOOKUP(B219,'Customer TDS'!A:D,4,0)</f>
        <v>59.19</v>
      </c>
      <c r="P219" s="38">
        <f t="shared" si="24"/>
        <v>-2908.09</v>
      </c>
      <c r="Q219">
        <f>VLOOKUP(B219,Ascendus!E:I,5,0)</f>
        <v>2955.31</v>
      </c>
      <c r="R219" s="38">
        <f t="shared" si="22"/>
        <v>-11.970000000000255</v>
      </c>
      <c r="S219" t="s">
        <v>915</v>
      </c>
    </row>
    <row r="220" spans="1:19" x14ac:dyDescent="0.35">
      <c r="A220" t="s">
        <v>454</v>
      </c>
      <c r="B220" s="4">
        <v>246779411911</v>
      </c>
      <c r="C220" s="3">
        <v>45733</v>
      </c>
      <c r="D220" s="1">
        <v>-29.83</v>
      </c>
      <c r="E220" s="1">
        <v>-2596.48</v>
      </c>
      <c r="G220" t="s">
        <v>141</v>
      </c>
      <c r="H220" t="s">
        <v>11</v>
      </c>
      <c r="I220" s="2">
        <v>45809</v>
      </c>
      <c r="J220">
        <v>1</v>
      </c>
      <c r="K220" s="3">
        <v>45997</v>
      </c>
      <c r="L220">
        <v>210</v>
      </c>
      <c r="M220" t="s">
        <v>13</v>
      </c>
      <c r="N220" s="79">
        <f t="shared" si="23"/>
        <v>-2.0115695094897707E-2</v>
      </c>
      <c r="O220">
        <f>VLOOKUP(B220,'Customer TDS'!A:D,4,0)</f>
        <v>52.23</v>
      </c>
      <c r="P220" s="38">
        <f t="shared" si="24"/>
        <v>-2544.25</v>
      </c>
      <c r="Q220">
        <f>VLOOKUP(B220,Ascendus!E:I,5,0)</f>
        <v>2586</v>
      </c>
      <c r="R220" s="38">
        <f t="shared" si="22"/>
        <v>-10.480000000000018</v>
      </c>
      <c r="S220" t="s">
        <v>915</v>
      </c>
    </row>
    <row r="221" spans="1:19" x14ac:dyDescent="0.35">
      <c r="A221" t="s">
        <v>454</v>
      </c>
      <c r="B221" s="4">
        <v>246779411731</v>
      </c>
      <c r="C221" s="3">
        <v>45733</v>
      </c>
      <c r="D221" s="1">
        <v>-22.83</v>
      </c>
      <c r="E221" s="1">
        <v>-1987.18</v>
      </c>
      <c r="G221" t="s">
        <v>141</v>
      </c>
      <c r="H221" t="s">
        <v>11</v>
      </c>
      <c r="I221" s="2">
        <v>45809</v>
      </c>
      <c r="J221">
        <v>1</v>
      </c>
      <c r="K221" s="3">
        <v>45997</v>
      </c>
      <c r="L221">
        <v>210</v>
      </c>
      <c r="M221" t="s">
        <v>13</v>
      </c>
      <c r="N221" s="79">
        <f t="shared" si="23"/>
        <v>-2.0149156090540361E-2</v>
      </c>
      <c r="O221">
        <f>VLOOKUP(B221,'Customer TDS'!A:D,4,0)</f>
        <v>40.04</v>
      </c>
      <c r="P221" s="38">
        <f t="shared" si="24"/>
        <v>-1947.14</v>
      </c>
      <c r="Q221">
        <f>VLOOKUP(B221,Ascendus!E:I,5,0)</f>
        <v>1979.16</v>
      </c>
      <c r="R221" s="38">
        <f t="shared" si="22"/>
        <v>-8.0199999999999818</v>
      </c>
      <c r="S221" t="s">
        <v>915</v>
      </c>
    </row>
    <row r="222" spans="1:19" x14ac:dyDescent="0.35">
      <c r="A222" t="s">
        <v>454</v>
      </c>
      <c r="B222" s="4">
        <v>246779411725</v>
      </c>
      <c r="C222" s="3">
        <v>45733</v>
      </c>
      <c r="D222" s="1">
        <v>-22.83</v>
      </c>
      <c r="E222" s="1">
        <v>-1987.18</v>
      </c>
      <c r="G222" t="s">
        <v>141</v>
      </c>
      <c r="H222" t="s">
        <v>11</v>
      </c>
      <c r="I222" s="2">
        <v>45809</v>
      </c>
      <c r="J222">
        <v>1</v>
      </c>
      <c r="K222" s="3">
        <v>45997</v>
      </c>
      <c r="L222">
        <v>210</v>
      </c>
      <c r="M222" t="s">
        <v>13</v>
      </c>
      <c r="N222" s="79">
        <f t="shared" si="23"/>
        <v>-2.0149156090540361E-2</v>
      </c>
      <c r="O222">
        <f>VLOOKUP(B222,'Customer TDS'!A:D,4,0)</f>
        <v>40.04</v>
      </c>
      <c r="P222" s="38">
        <f t="shared" si="24"/>
        <v>-1947.14</v>
      </c>
      <c r="Q222">
        <f>VLOOKUP(B222,Ascendus!E:I,5,0)</f>
        <v>1979.16</v>
      </c>
      <c r="R222" s="38">
        <f t="shared" si="22"/>
        <v>-8.0199999999999818</v>
      </c>
      <c r="S222" t="s">
        <v>915</v>
      </c>
    </row>
    <row r="223" spans="1:19" x14ac:dyDescent="0.35">
      <c r="A223" t="s">
        <v>454</v>
      </c>
      <c r="B223" s="4">
        <v>246779411905</v>
      </c>
      <c r="C223" s="3">
        <v>45733</v>
      </c>
      <c r="D223" s="1">
        <v>-7.1</v>
      </c>
      <c r="E223" s="1">
        <v>-618</v>
      </c>
      <c r="G223" t="s">
        <v>141</v>
      </c>
      <c r="H223" t="s">
        <v>11</v>
      </c>
      <c r="I223" s="2">
        <v>45809</v>
      </c>
      <c r="J223">
        <v>1</v>
      </c>
      <c r="K223" s="3">
        <v>45997</v>
      </c>
      <c r="L223">
        <v>210</v>
      </c>
      <c r="M223" t="s">
        <v>13</v>
      </c>
      <c r="N223" s="79">
        <f t="shared" si="23"/>
        <v>-1.9724919093851132E-2</v>
      </c>
      <c r="O223">
        <f>VLOOKUP(B223,'Customer TDS'!A:D,4,0)</f>
        <v>12.19</v>
      </c>
      <c r="P223" s="38">
        <f t="shared" si="24"/>
        <v>-605.80999999999995</v>
      </c>
      <c r="Q223">
        <f>VLOOKUP(B223,Ascendus!E:I,5,0)</f>
        <v>615.51</v>
      </c>
      <c r="R223" s="38">
        <f t="shared" si="22"/>
        <v>-2.4900000000000091</v>
      </c>
      <c r="S223" t="s">
        <v>915</v>
      </c>
    </row>
    <row r="224" spans="1:19" x14ac:dyDescent="0.35">
      <c r="A224" t="s">
        <v>454</v>
      </c>
      <c r="B224" s="4">
        <v>246779411719</v>
      </c>
      <c r="C224" s="3">
        <v>45733</v>
      </c>
      <c r="D224" s="1">
        <v>-28.54</v>
      </c>
      <c r="E224" s="1">
        <v>-2484.19</v>
      </c>
      <c r="G224" t="s">
        <v>141</v>
      </c>
      <c r="H224" t="s">
        <v>11</v>
      </c>
      <c r="I224" s="2">
        <v>45809</v>
      </c>
      <c r="J224">
        <v>1</v>
      </c>
      <c r="K224" s="3">
        <v>45997</v>
      </c>
      <c r="L224">
        <v>210</v>
      </c>
      <c r="M224" t="s">
        <v>13</v>
      </c>
      <c r="N224" s="79">
        <f t="shared" si="23"/>
        <v>-1.9970292127413764E-2</v>
      </c>
      <c r="O224">
        <f>VLOOKUP(B224,'Customer TDS'!A:D,4,0)</f>
        <v>49.61</v>
      </c>
      <c r="P224" s="38">
        <f t="shared" si="24"/>
        <v>-2434.58</v>
      </c>
      <c r="Q224">
        <f>VLOOKUP(B224,Ascendus!E:I,5,0)</f>
        <v>2474.17</v>
      </c>
      <c r="R224" s="38">
        <f t="shared" si="22"/>
        <v>-10.019999999999982</v>
      </c>
      <c r="S224" t="s">
        <v>915</v>
      </c>
    </row>
    <row r="225" spans="1:19" x14ac:dyDescent="0.35">
      <c r="A225" t="s">
        <v>454</v>
      </c>
      <c r="B225" s="4">
        <v>246779411728</v>
      </c>
      <c r="C225" s="3">
        <v>45733</v>
      </c>
      <c r="D225" s="1">
        <v>-11.42</v>
      </c>
      <c r="E225" s="1">
        <v>-994.02</v>
      </c>
      <c r="G225" t="s">
        <v>141</v>
      </c>
      <c r="H225" t="s">
        <v>11</v>
      </c>
      <c r="I225" s="2">
        <v>45809</v>
      </c>
      <c r="J225">
        <v>1</v>
      </c>
      <c r="K225" s="3">
        <v>45997</v>
      </c>
      <c r="L225">
        <v>210</v>
      </c>
      <c r="M225" t="s">
        <v>13</v>
      </c>
      <c r="N225" s="79">
        <f t="shared" si="23"/>
        <v>-2.0140439830184504E-2</v>
      </c>
      <c r="O225">
        <f>VLOOKUP(B225,'Customer TDS'!A:D,4,0)</f>
        <v>20.02</v>
      </c>
      <c r="P225" s="38">
        <f t="shared" si="24"/>
        <v>-974</v>
      </c>
      <c r="Q225">
        <f>VLOOKUP(B225,Ascendus!E:I,5,0)</f>
        <v>990.01</v>
      </c>
      <c r="R225" s="38">
        <f t="shared" si="22"/>
        <v>-4.0099999999999909</v>
      </c>
      <c r="S225" t="s">
        <v>915</v>
      </c>
    </row>
    <row r="226" spans="1:19" x14ac:dyDescent="0.35">
      <c r="A226" t="s">
        <v>454</v>
      </c>
      <c r="B226" s="4">
        <v>246779411904</v>
      </c>
      <c r="C226" s="3">
        <v>45733</v>
      </c>
      <c r="D226" s="1">
        <v>-58.94</v>
      </c>
      <c r="E226" s="1">
        <v>-5130.28</v>
      </c>
      <c r="G226" t="s">
        <v>141</v>
      </c>
      <c r="H226" t="s">
        <v>11</v>
      </c>
      <c r="I226" s="2">
        <v>45809</v>
      </c>
      <c r="J226">
        <v>1</v>
      </c>
      <c r="K226" s="3">
        <v>45997</v>
      </c>
      <c r="L226">
        <v>210</v>
      </c>
      <c r="M226" t="s">
        <v>13</v>
      </c>
      <c r="N226" s="79">
        <f t="shared" si="23"/>
        <v>-2.002034976648448E-2</v>
      </c>
      <c r="O226">
        <f>VLOOKUP(B226,'Customer TDS'!A:D,4,0)</f>
        <v>102.71</v>
      </c>
      <c r="P226" s="38">
        <f t="shared" si="24"/>
        <v>-5027.57</v>
      </c>
      <c r="Q226">
        <f>VLOOKUP(B226,Ascendus!E:I,5,0)</f>
        <v>5109.58</v>
      </c>
      <c r="R226" s="38">
        <f t="shared" si="22"/>
        <v>-20.699999999999818</v>
      </c>
      <c r="S226" t="s">
        <v>915</v>
      </c>
    </row>
    <row r="227" spans="1:19" x14ac:dyDescent="0.35">
      <c r="A227" t="s">
        <v>454</v>
      </c>
      <c r="B227" s="4">
        <v>246779411912</v>
      </c>
      <c r="C227" s="3">
        <v>45733</v>
      </c>
      <c r="D227" s="1">
        <v>-11.36</v>
      </c>
      <c r="E227" s="1">
        <v>-988.8</v>
      </c>
      <c r="G227" t="s">
        <v>141</v>
      </c>
      <c r="H227" t="s">
        <v>11</v>
      </c>
      <c r="I227" s="2">
        <v>45809</v>
      </c>
      <c r="J227">
        <v>1</v>
      </c>
      <c r="K227" s="3">
        <v>45997</v>
      </c>
      <c r="L227">
        <v>210</v>
      </c>
      <c r="M227" t="s">
        <v>13</v>
      </c>
      <c r="N227" s="79">
        <f t="shared" ref="N227:N241" si="25">O227/E227</f>
        <v>-2.0246763754045306E-2</v>
      </c>
      <c r="O227">
        <f>VLOOKUP(B227,'Customer TDS'!A:D,4,0)</f>
        <v>20.02</v>
      </c>
      <c r="P227" s="38">
        <f t="shared" si="24"/>
        <v>-968.78</v>
      </c>
      <c r="Q227">
        <f>VLOOKUP(B227,Ascendus!E:I,5,0)</f>
        <v>984.81</v>
      </c>
      <c r="R227" s="38">
        <f t="shared" ref="R227:R241" si="26">E227+Q227</f>
        <v>-3.9900000000000091</v>
      </c>
      <c r="S227" t="s">
        <v>915</v>
      </c>
    </row>
    <row r="228" spans="1:19" x14ac:dyDescent="0.35">
      <c r="A228" t="s">
        <v>454</v>
      </c>
      <c r="B228" s="4">
        <v>246779412036</v>
      </c>
      <c r="C228" s="3">
        <v>45733</v>
      </c>
      <c r="D228" s="1">
        <v>-28.03</v>
      </c>
      <c r="E228" s="1">
        <v>-2439.8000000000002</v>
      </c>
      <c r="G228" t="s">
        <v>141</v>
      </c>
      <c r="H228" t="s">
        <v>11</v>
      </c>
      <c r="I228" s="2">
        <v>45809</v>
      </c>
      <c r="J228">
        <v>1</v>
      </c>
      <c r="K228" s="3">
        <v>45997</v>
      </c>
      <c r="L228">
        <v>210</v>
      </c>
      <c r="M228" t="s">
        <v>13</v>
      </c>
      <c r="N228" s="79">
        <f t="shared" si="25"/>
        <v>-1.9977047298958932E-2</v>
      </c>
      <c r="O228">
        <f>VLOOKUP(B228,'Customer TDS'!A:D,4,0)</f>
        <v>48.74</v>
      </c>
      <c r="P228" s="38">
        <f t="shared" si="24"/>
        <v>-2391.0600000000004</v>
      </c>
      <c r="Q228">
        <f>VLOOKUP(B228,Ascendus!E:I,5,0)</f>
        <v>2429.96</v>
      </c>
      <c r="R228" s="38">
        <f t="shared" si="26"/>
        <v>-9.8400000000001455</v>
      </c>
      <c r="S228" t="s">
        <v>915</v>
      </c>
    </row>
    <row r="229" spans="1:19" x14ac:dyDescent="0.35">
      <c r="A229" t="s">
        <v>454</v>
      </c>
      <c r="B229" s="4">
        <v>246779412034</v>
      </c>
      <c r="C229" s="3">
        <v>45733</v>
      </c>
      <c r="D229" s="1">
        <v>-33.64</v>
      </c>
      <c r="E229" s="1">
        <v>-2928.11</v>
      </c>
      <c r="G229" t="s">
        <v>141</v>
      </c>
      <c r="H229" t="s">
        <v>11</v>
      </c>
      <c r="I229" s="2">
        <v>45809</v>
      </c>
      <c r="J229">
        <v>1</v>
      </c>
      <c r="K229" s="3">
        <v>45997</v>
      </c>
      <c r="L229">
        <v>210</v>
      </c>
      <c r="M229" t="s">
        <v>13</v>
      </c>
      <c r="N229" s="79">
        <f t="shared" si="25"/>
        <v>-1.9917284528245181E-2</v>
      </c>
      <c r="O229">
        <f>VLOOKUP(B229,'Customer TDS'!A:D,4,0)</f>
        <v>58.32</v>
      </c>
      <c r="P229" s="38">
        <f t="shared" si="24"/>
        <v>-2869.79</v>
      </c>
      <c r="Q229">
        <f>VLOOKUP(B229,Ascendus!E:I,5,0)</f>
        <v>2916.29</v>
      </c>
      <c r="R229" s="38">
        <f t="shared" si="26"/>
        <v>-11.820000000000164</v>
      </c>
      <c r="S229" t="s">
        <v>915</v>
      </c>
    </row>
    <row r="230" spans="1:19" x14ac:dyDescent="0.35">
      <c r="A230" t="s">
        <v>454</v>
      </c>
      <c r="B230" s="4">
        <v>246779412039</v>
      </c>
      <c r="C230" s="3">
        <v>45733</v>
      </c>
      <c r="D230" s="1">
        <v>-56.06</v>
      </c>
      <c r="E230" s="1">
        <v>-4879.6000000000004</v>
      </c>
      <c r="G230" t="s">
        <v>141</v>
      </c>
      <c r="H230" t="s">
        <v>11</v>
      </c>
      <c r="I230" s="2">
        <v>45809</v>
      </c>
      <c r="J230">
        <v>1</v>
      </c>
      <c r="K230" s="3">
        <v>45997</v>
      </c>
      <c r="L230">
        <v>210</v>
      </c>
      <c r="M230" t="s">
        <v>13</v>
      </c>
      <c r="N230" s="79">
        <f t="shared" si="25"/>
        <v>-1.9979096647266166E-2</v>
      </c>
      <c r="O230">
        <f>VLOOKUP(B230,'Customer TDS'!A:D,4,0)</f>
        <v>97.49</v>
      </c>
      <c r="P230" s="38">
        <f t="shared" si="24"/>
        <v>-4782.1100000000006</v>
      </c>
      <c r="Q230">
        <f>VLOOKUP(B230,Ascendus!E:I,5,0)</f>
        <v>4859.91</v>
      </c>
      <c r="R230" s="38">
        <f t="shared" si="26"/>
        <v>-19.690000000000509</v>
      </c>
      <c r="S230" t="s">
        <v>915</v>
      </c>
    </row>
    <row r="231" spans="1:19" x14ac:dyDescent="0.35">
      <c r="A231" t="s">
        <v>454</v>
      </c>
      <c r="B231" s="4">
        <v>246779412028</v>
      </c>
      <c r="C231" s="3">
        <v>45733</v>
      </c>
      <c r="D231" s="1">
        <v>-28.03</v>
      </c>
      <c r="E231" s="1">
        <v>-2439.8000000000002</v>
      </c>
      <c r="G231" t="s">
        <v>141</v>
      </c>
      <c r="H231" t="s">
        <v>11</v>
      </c>
      <c r="I231" s="2">
        <v>45809</v>
      </c>
      <c r="J231">
        <v>1</v>
      </c>
      <c r="K231" s="3">
        <v>45997</v>
      </c>
      <c r="L231">
        <v>210</v>
      </c>
      <c r="M231" t="s">
        <v>13</v>
      </c>
      <c r="N231" s="79">
        <f t="shared" si="25"/>
        <v>-1.9977047298958932E-2</v>
      </c>
      <c r="O231">
        <f>VLOOKUP(B231,'Customer TDS'!A:D,4,0)</f>
        <v>48.74</v>
      </c>
      <c r="P231" s="38">
        <f t="shared" si="24"/>
        <v>-2391.0600000000004</v>
      </c>
      <c r="Q231">
        <f>VLOOKUP(B231,Ascendus!E:I,5,0)</f>
        <v>2429.96</v>
      </c>
      <c r="R231" s="38">
        <f t="shared" si="26"/>
        <v>-9.8400000000001455</v>
      </c>
      <c r="S231" t="s">
        <v>915</v>
      </c>
    </row>
    <row r="232" spans="1:19" x14ac:dyDescent="0.35">
      <c r="A232" t="s">
        <v>454</v>
      </c>
      <c r="B232" s="4">
        <v>246779412037</v>
      </c>
      <c r="C232" s="3">
        <v>45733</v>
      </c>
      <c r="D232" s="1">
        <v>-44.85</v>
      </c>
      <c r="E232" s="1">
        <v>-3903.85</v>
      </c>
      <c r="F232" t="s">
        <v>143</v>
      </c>
      <c r="G232" t="s">
        <v>141</v>
      </c>
      <c r="H232" t="s">
        <v>11</v>
      </c>
      <c r="I232" s="2">
        <v>45809</v>
      </c>
      <c r="J232">
        <v>1</v>
      </c>
      <c r="K232" s="3">
        <v>45997</v>
      </c>
      <c r="L232">
        <v>210</v>
      </c>
      <c r="M232" t="s">
        <v>13</v>
      </c>
      <c r="N232" s="79">
        <f t="shared" si="25"/>
        <v>-2.0067369391754294E-2</v>
      </c>
      <c r="O232">
        <f>VLOOKUP(B232,'Customer TDS'!A:D,4,0)</f>
        <v>78.34</v>
      </c>
      <c r="P232" s="38">
        <f t="shared" si="24"/>
        <v>-3825.5099999999998</v>
      </c>
      <c r="Q232">
        <f>VLOOKUP(B232,Ascendus!E:I,5,0)</f>
        <v>3888.1</v>
      </c>
      <c r="R232" s="38">
        <f t="shared" si="26"/>
        <v>-15.75</v>
      </c>
      <c r="S232" t="s">
        <v>915</v>
      </c>
    </row>
    <row r="233" spans="1:19" x14ac:dyDescent="0.35">
      <c r="A233" t="s">
        <v>454</v>
      </c>
      <c r="B233" s="4">
        <v>246779412032</v>
      </c>
      <c r="C233" s="3">
        <v>45733</v>
      </c>
      <c r="D233" s="1">
        <v>-33.64</v>
      </c>
      <c r="E233" s="1">
        <v>-2928.11</v>
      </c>
      <c r="G233" t="s">
        <v>141</v>
      </c>
      <c r="H233" t="s">
        <v>11</v>
      </c>
      <c r="I233" s="2">
        <v>45809</v>
      </c>
      <c r="J233">
        <v>1</v>
      </c>
      <c r="K233" s="3">
        <v>45997</v>
      </c>
      <c r="L233">
        <v>210</v>
      </c>
      <c r="M233" t="s">
        <v>13</v>
      </c>
      <c r="N233" s="79">
        <f t="shared" si="25"/>
        <v>-1.9917284528245181E-2</v>
      </c>
      <c r="O233">
        <f>VLOOKUP(B233,'Customer TDS'!A:D,4,0)</f>
        <v>58.32</v>
      </c>
      <c r="P233" s="38">
        <f t="shared" si="24"/>
        <v>-2869.79</v>
      </c>
      <c r="Q233">
        <f>VLOOKUP(B233,Ascendus!E:I,5,0)</f>
        <v>2916.29</v>
      </c>
      <c r="R233" s="38">
        <f t="shared" si="26"/>
        <v>-11.820000000000164</v>
      </c>
      <c r="S233" t="s">
        <v>915</v>
      </c>
    </row>
    <row r="234" spans="1:19" x14ac:dyDescent="0.35">
      <c r="A234" t="s">
        <v>454</v>
      </c>
      <c r="B234" s="4">
        <v>246779412030</v>
      </c>
      <c r="C234" s="3">
        <v>45733</v>
      </c>
      <c r="D234" s="1">
        <v>-16.82</v>
      </c>
      <c r="E234" s="1">
        <v>-1464.05</v>
      </c>
      <c r="G234" t="s">
        <v>141</v>
      </c>
      <c r="H234" t="s">
        <v>11</v>
      </c>
      <c r="I234" s="2">
        <v>45809</v>
      </c>
      <c r="J234">
        <v>1</v>
      </c>
      <c r="K234" s="3">
        <v>45997</v>
      </c>
      <c r="L234">
        <v>210</v>
      </c>
      <c r="M234" t="s">
        <v>13</v>
      </c>
      <c r="N234" s="79">
        <f t="shared" si="25"/>
        <v>-2.0211058365492984E-2</v>
      </c>
      <c r="O234">
        <f>VLOOKUP(B234,'Customer TDS'!A:D,4,0)</f>
        <v>29.59</v>
      </c>
      <c r="P234" s="38">
        <f t="shared" si="24"/>
        <v>-1434.46</v>
      </c>
      <c r="Q234">
        <f>VLOOKUP(B234,Ascendus!E:I,5,0)</f>
        <v>1458.15</v>
      </c>
      <c r="R234" s="38">
        <f t="shared" si="26"/>
        <v>-5.8999999999998636</v>
      </c>
      <c r="S234" t="s">
        <v>915</v>
      </c>
    </row>
    <row r="235" spans="1:19" x14ac:dyDescent="0.35">
      <c r="A235" t="s">
        <v>454</v>
      </c>
      <c r="B235" s="4">
        <v>246779412035</v>
      </c>
      <c r="C235" s="3">
        <v>45733</v>
      </c>
      <c r="D235" s="1">
        <v>-72.88</v>
      </c>
      <c r="E235" s="1">
        <v>-6343.65</v>
      </c>
      <c r="G235" t="s">
        <v>141</v>
      </c>
      <c r="H235" t="s">
        <v>11</v>
      </c>
      <c r="I235" s="2">
        <v>45809</v>
      </c>
      <c r="J235">
        <v>1</v>
      </c>
      <c r="K235" s="3">
        <v>45997</v>
      </c>
      <c r="L235">
        <v>210</v>
      </c>
      <c r="M235" t="s">
        <v>13</v>
      </c>
      <c r="N235" s="79">
        <f t="shared" si="25"/>
        <v>-2.0032631056253105E-2</v>
      </c>
      <c r="O235">
        <f>VLOOKUP(B235,'Customer TDS'!A:D,4,0)</f>
        <v>127.08</v>
      </c>
      <c r="P235" s="38">
        <f t="shared" si="24"/>
        <v>-6216.57</v>
      </c>
      <c r="Q235">
        <f>VLOOKUP(B235,Ascendus!E:I,5,0)</f>
        <v>6318.06</v>
      </c>
      <c r="R235" s="38">
        <f t="shared" si="26"/>
        <v>-25.589999999999236</v>
      </c>
      <c r="S235" t="s">
        <v>915</v>
      </c>
    </row>
    <row r="236" spans="1:19" x14ac:dyDescent="0.35">
      <c r="A236" t="s">
        <v>454</v>
      </c>
      <c r="B236" s="4">
        <v>246779412031</v>
      </c>
      <c r="C236" s="3">
        <v>45733</v>
      </c>
      <c r="D236" s="1">
        <v>-28.03</v>
      </c>
      <c r="E236" s="1">
        <v>-2439.8000000000002</v>
      </c>
      <c r="F236" t="s">
        <v>143</v>
      </c>
      <c r="G236" t="s">
        <v>141</v>
      </c>
      <c r="H236" t="s">
        <v>11</v>
      </c>
      <c r="I236" s="2">
        <v>45809</v>
      </c>
      <c r="J236">
        <v>1</v>
      </c>
      <c r="K236" s="3">
        <v>45997</v>
      </c>
      <c r="L236">
        <v>210</v>
      </c>
      <c r="M236" t="s">
        <v>13</v>
      </c>
      <c r="N236" s="79">
        <f t="shared" si="25"/>
        <v>-1.9977047298958932E-2</v>
      </c>
      <c r="O236">
        <f>VLOOKUP(B236,'Customer TDS'!A:D,4,0)</f>
        <v>48.74</v>
      </c>
      <c r="P236" s="38">
        <f t="shared" si="24"/>
        <v>-2391.0600000000004</v>
      </c>
      <c r="Q236">
        <f>VLOOKUP(B236,Ascendus!E:I,5,0)</f>
        <v>2429.96</v>
      </c>
      <c r="R236" s="38">
        <f t="shared" si="26"/>
        <v>-9.8400000000001455</v>
      </c>
      <c r="S236" t="s">
        <v>915</v>
      </c>
    </row>
    <row r="237" spans="1:19" x14ac:dyDescent="0.35">
      <c r="A237" t="s">
        <v>454</v>
      </c>
      <c r="B237" s="4">
        <v>246779412029</v>
      </c>
      <c r="C237" s="3">
        <v>45733</v>
      </c>
      <c r="D237" s="1">
        <v>-22.42</v>
      </c>
      <c r="E237" s="1">
        <v>-1951.49</v>
      </c>
      <c r="G237" t="s">
        <v>141</v>
      </c>
      <c r="H237" t="s">
        <v>11</v>
      </c>
      <c r="I237" s="2">
        <v>45809</v>
      </c>
      <c r="J237">
        <v>1</v>
      </c>
      <c r="K237" s="3">
        <v>45997</v>
      </c>
      <c r="L237">
        <v>210</v>
      </c>
      <c r="M237" t="s">
        <v>13</v>
      </c>
      <c r="N237" s="79">
        <f t="shared" si="25"/>
        <v>-2.0071842540827778E-2</v>
      </c>
      <c r="O237">
        <f>VLOOKUP(B237,'Customer TDS'!A:D,4,0)</f>
        <v>39.17</v>
      </c>
      <c r="P237" s="38">
        <f t="shared" si="24"/>
        <v>-1912.32</v>
      </c>
      <c r="Q237">
        <f>VLOOKUP(B237,Ascendus!E:I,5,0)</f>
        <v>1943.62</v>
      </c>
      <c r="R237" s="38">
        <f t="shared" si="26"/>
        <v>-7.8700000000001182</v>
      </c>
      <c r="S237" t="s">
        <v>915</v>
      </c>
    </row>
    <row r="238" spans="1:19" x14ac:dyDescent="0.35">
      <c r="A238" t="s">
        <v>454</v>
      </c>
      <c r="B238" s="4">
        <v>246779411973</v>
      </c>
      <c r="C238" s="3">
        <v>45733</v>
      </c>
      <c r="D238" s="1">
        <v>-426.09</v>
      </c>
      <c r="E238" s="1">
        <v>-37087.9</v>
      </c>
      <c r="G238" t="s">
        <v>141</v>
      </c>
      <c r="H238" t="s">
        <v>11</v>
      </c>
      <c r="I238" s="2">
        <v>45809</v>
      </c>
      <c r="J238">
        <v>1</v>
      </c>
      <c r="K238" s="3">
        <v>45838</v>
      </c>
      <c r="L238">
        <v>210</v>
      </c>
      <c r="M238" t="s">
        <v>13</v>
      </c>
      <c r="N238" s="79">
        <f t="shared" si="25"/>
        <v>-1.9995739850463358E-2</v>
      </c>
      <c r="O238">
        <f>VLOOKUP(B238,'Customer TDS'!A:D,4,0)</f>
        <v>741.6</v>
      </c>
      <c r="P238" s="38">
        <f t="shared" si="24"/>
        <v>-36346.300000000003</v>
      </c>
      <c r="Q238">
        <f>VLOOKUP(B238,Ascendus!E:I,5,0)</f>
        <v>36938.28</v>
      </c>
      <c r="R238" s="38">
        <f t="shared" si="26"/>
        <v>-149.62000000000262</v>
      </c>
      <c r="S238" t="s">
        <v>915</v>
      </c>
    </row>
    <row r="239" spans="1:19" x14ac:dyDescent="0.35">
      <c r="A239" t="s">
        <v>454</v>
      </c>
      <c r="B239" s="4">
        <v>246779412033</v>
      </c>
      <c r="C239" s="3">
        <v>45733</v>
      </c>
      <c r="D239" s="1">
        <v>-22.42</v>
      </c>
      <c r="E239" s="1">
        <v>-1951.49</v>
      </c>
      <c r="G239" t="s">
        <v>141</v>
      </c>
      <c r="H239" t="s">
        <v>11</v>
      </c>
      <c r="I239" s="2">
        <v>45809</v>
      </c>
      <c r="J239">
        <v>1</v>
      </c>
      <c r="K239" s="3">
        <v>45838</v>
      </c>
      <c r="L239">
        <v>210</v>
      </c>
      <c r="M239" t="s">
        <v>13</v>
      </c>
      <c r="N239" s="79">
        <f t="shared" si="25"/>
        <v>-2.0071842540827778E-2</v>
      </c>
      <c r="O239">
        <f>VLOOKUP(B239,'Customer TDS'!A:D,4,0)</f>
        <v>39.17</v>
      </c>
      <c r="P239" s="38">
        <f t="shared" si="24"/>
        <v>-1912.32</v>
      </c>
      <c r="Q239">
        <f>VLOOKUP(B239,Ascendus!E:I,5,0)</f>
        <v>1943.62</v>
      </c>
      <c r="R239" s="38">
        <f t="shared" si="26"/>
        <v>-7.8700000000001182</v>
      </c>
      <c r="S239" t="s">
        <v>915</v>
      </c>
    </row>
    <row r="240" spans="1:19" x14ac:dyDescent="0.35">
      <c r="A240" t="s">
        <v>454</v>
      </c>
      <c r="B240" s="4">
        <v>246779412047</v>
      </c>
      <c r="C240" s="3">
        <v>45733</v>
      </c>
      <c r="D240" s="1">
        <v>-28.03</v>
      </c>
      <c r="E240" s="1">
        <v>-2439.8000000000002</v>
      </c>
      <c r="G240" t="s">
        <v>141</v>
      </c>
      <c r="H240" t="s">
        <v>11</v>
      </c>
      <c r="I240" s="2">
        <v>45809</v>
      </c>
      <c r="J240">
        <v>1</v>
      </c>
      <c r="K240" s="3">
        <v>45838</v>
      </c>
      <c r="L240">
        <v>210</v>
      </c>
      <c r="M240" t="s">
        <v>13</v>
      </c>
      <c r="N240" s="79">
        <f t="shared" si="25"/>
        <v>-1.9977047298958932E-2</v>
      </c>
      <c r="O240">
        <f>VLOOKUP(B240,'Customer TDS'!A:D,4,0)</f>
        <v>48.74</v>
      </c>
      <c r="P240" s="38">
        <f t="shared" si="24"/>
        <v>-2391.0600000000004</v>
      </c>
      <c r="Q240">
        <f>VLOOKUP(B240,Ascendus!E:I,5,0)</f>
        <v>2429.96</v>
      </c>
      <c r="R240" s="38">
        <f t="shared" si="26"/>
        <v>-9.8400000000001455</v>
      </c>
      <c r="S240" t="s">
        <v>915</v>
      </c>
    </row>
    <row r="241" spans="1:19" x14ac:dyDescent="0.35">
      <c r="A241" t="s">
        <v>454</v>
      </c>
      <c r="B241" s="4">
        <v>246779411908</v>
      </c>
      <c r="C241" s="3">
        <v>45733</v>
      </c>
      <c r="D241" s="1">
        <v>-28.41</v>
      </c>
      <c r="E241" s="1">
        <v>-2472.88</v>
      </c>
      <c r="G241" t="s">
        <v>141</v>
      </c>
      <c r="H241" t="s">
        <v>11</v>
      </c>
      <c r="I241" s="2">
        <v>45809</v>
      </c>
      <c r="J241">
        <v>1</v>
      </c>
      <c r="K241" s="3">
        <v>45838</v>
      </c>
      <c r="L241">
        <v>210</v>
      </c>
      <c r="M241" t="s">
        <v>13</v>
      </c>
      <c r="N241" s="79">
        <f t="shared" si="25"/>
        <v>-2.0061628546472129E-2</v>
      </c>
      <c r="O241">
        <f>VLOOKUP(B241,'Customer TDS'!A:D,4,0)</f>
        <v>49.61</v>
      </c>
      <c r="P241" s="38">
        <f t="shared" si="24"/>
        <v>-2423.27</v>
      </c>
      <c r="Q241">
        <f>VLOOKUP(B241,Ascendus!E:I,5,0)</f>
        <v>2462.9</v>
      </c>
      <c r="R241" s="38">
        <f t="shared" si="26"/>
        <v>-9.9800000000000182</v>
      </c>
      <c r="S241" t="s">
        <v>915</v>
      </c>
    </row>
    <row r="242" spans="1:19" x14ac:dyDescent="0.35">
      <c r="A242" t="s">
        <v>454</v>
      </c>
      <c r="B242" s="4">
        <v>246779411973</v>
      </c>
      <c r="C242" s="3">
        <v>45733</v>
      </c>
      <c r="D242" s="1">
        <v>0</v>
      </c>
      <c r="E242" s="1">
        <v>439.66</v>
      </c>
      <c r="F242" t="s">
        <v>15</v>
      </c>
      <c r="G242" t="s">
        <v>141</v>
      </c>
      <c r="H242" t="s">
        <v>11</v>
      </c>
      <c r="I242" s="2">
        <v>45809</v>
      </c>
      <c r="J242">
        <v>4</v>
      </c>
      <c r="K242" s="3">
        <v>45838</v>
      </c>
      <c r="L242">
        <v>271</v>
      </c>
      <c r="M242" t="s">
        <v>13</v>
      </c>
      <c r="P242" s="38">
        <f t="shared" si="24"/>
        <v>439.66</v>
      </c>
      <c r="S242" t="s">
        <v>918</v>
      </c>
    </row>
    <row r="243" spans="1:19" x14ac:dyDescent="0.35">
      <c r="A243" t="s">
        <v>454</v>
      </c>
      <c r="B243" s="4">
        <v>246779412033</v>
      </c>
      <c r="C243" s="3">
        <v>45733</v>
      </c>
      <c r="D243" s="1">
        <v>0</v>
      </c>
      <c r="E243" s="1">
        <v>23.13</v>
      </c>
      <c r="F243" t="s">
        <v>15</v>
      </c>
      <c r="G243" t="s">
        <v>141</v>
      </c>
      <c r="H243" t="s">
        <v>11</v>
      </c>
      <c r="I243" s="2">
        <v>45809</v>
      </c>
      <c r="J243">
        <v>6</v>
      </c>
      <c r="K243" s="3">
        <v>45838</v>
      </c>
      <c r="L243">
        <v>271</v>
      </c>
      <c r="M243" t="s">
        <v>13</v>
      </c>
      <c r="P243" s="38">
        <f t="shared" si="24"/>
        <v>23.13</v>
      </c>
      <c r="S243" t="s">
        <v>918</v>
      </c>
    </row>
    <row r="244" spans="1:19" x14ac:dyDescent="0.35">
      <c r="A244" t="s">
        <v>454</v>
      </c>
      <c r="B244" s="4">
        <v>246779412047</v>
      </c>
      <c r="C244" s="3">
        <v>45733</v>
      </c>
      <c r="D244" s="1">
        <v>0</v>
      </c>
      <c r="E244" s="1">
        <v>28.93</v>
      </c>
      <c r="F244" t="s">
        <v>15</v>
      </c>
      <c r="G244" t="s">
        <v>141</v>
      </c>
      <c r="H244" t="s">
        <v>11</v>
      </c>
      <c r="I244" s="2">
        <v>45809</v>
      </c>
      <c r="J244">
        <v>86</v>
      </c>
      <c r="K244" s="3">
        <v>45838</v>
      </c>
      <c r="L244">
        <v>271</v>
      </c>
      <c r="M244" t="s">
        <v>13</v>
      </c>
      <c r="P244" s="38">
        <f t="shared" si="24"/>
        <v>28.93</v>
      </c>
      <c r="S244" t="s">
        <v>918</v>
      </c>
    </row>
    <row r="245" spans="1:19" x14ac:dyDescent="0.35">
      <c r="A245" t="s">
        <v>454</v>
      </c>
      <c r="B245" s="4">
        <v>246779411908</v>
      </c>
      <c r="C245" s="3">
        <v>45733</v>
      </c>
      <c r="D245" s="1">
        <v>0</v>
      </c>
      <c r="E245" s="1">
        <v>29.32</v>
      </c>
      <c r="F245" t="s">
        <v>15</v>
      </c>
      <c r="G245" t="s">
        <v>141</v>
      </c>
      <c r="H245" t="s">
        <v>11</v>
      </c>
      <c r="I245" s="2">
        <v>45809</v>
      </c>
      <c r="J245">
        <v>94</v>
      </c>
      <c r="K245" s="3">
        <v>45838</v>
      </c>
      <c r="L245">
        <v>271</v>
      </c>
      <c r="M245" t="s">
        <v>13</v>
      </c>
      <c r="P245" s="38">
        <f t="shared" si="24"/>
        <v>29.32</v>
      </c>
      <c r="S245" t="s">
        <v>918</v>
      </c>
    </row>
    <row r="246" spans="1:19" x14ac:dyDescent="0.35">
      <c r="A246" t="s">
        <v>454</v>
      </c>
      <c r="B246" s="4">
        <v>246779411730</v>
      </c>
      <c r="C246" s="3">
        <v>45733</v>
      </c>
      <c r="D246" s="1">
        <v>-11.42</v>
      </c>
      <c r="E246" s="1">
        <v>-994.02</v>
      </c>
      <c r="G246" t="s">
        <v>141</v>
      </c>
      <c r="H246" t="s">
        <v>11</v>
      </c>
      <c r="I246" s="2">
        <v>45962</v>
      </c>
      <c r="J246">
        <v>1</v>
      </c>
      <c r="K246" s="3">
        <v>45991</v>
      </c>
      <c r="L246">
        <v>210</v>
      </c>
      <c r="M246" t="s">
        <v>13</v>
      </c>
      <c r="N246" s="79">
        <f>O246/E246</f>
        <v>-2.0140439830184504E-2</v>
      </c>
      <c r="O246">
        <f>VLOOKUP(B246,'Customer TDS'!A:D,4,0)</f>
        <v>20.02</v>
      </c>
      <c r="P246" s="38">
        <f t="shared" si="24"/>
        <v>-974</v>
      </c>
      <c r="Q246">
        <f>VLOOKUP(B246,Ascendus!E:I,5,0)</f>
        <v>990.01</v>
      </c>
      <c r="R246" s="38">
        <f t="shared" ref="R246:R247" si="27">E246+Q246</f>
        <v>-4.0099999999999909</v>
      </c>
      <c r="S246" t="s">
        <v>915</v>
      </c>
    </row>
    <row r="247" spans="1:19" x14ac:dyDescent="0.35">
      <c r="A247" t="s">
        <v>454</v>
      </c>
      <c r="B247" s="4">
        <v>246779411789</v>
      </c>
      <c r="C247" s="3">
        <v>45733</v>
      </c>
      <c r="D247" s="1">
        <v>-428.11</v>
      </c>
      <c r="E247" s="1">
        <v>-37263.730000000003</v>
      </c>
      <c r="G247" t="s">
        <v>141</v>
      </c>
      <c r="H247" t="s">
        <v>11</v>
      </c>
      <c r="I247" s="2">
        <v>45962</v>
      </c>
      <c r="J247">
        <v>1</v>
      </c>
      <c r="K247" s="3">
        <v>45991</v>
      </c>
      <c r="L247">
        <v>210</v>
      </c>
      <c r="M247" t="s">
        <v>13</v>
      </c>
      <c r="N247" s="79">
        <f>O247/E247</f>
        <v>-1.9994777763793371E-2</v>
      </c>
      <c r="O247">
        <f>VLOOKUP(B247,'Customer TDS'!A:D,4,0)</f>
        <v>745.08</v>
      </c>
      <c r="P247" s="38">
        <f t="shared" si="24"/>
        <v>-36518.65</v>
      </c>
      <c r="Q247">
        <f>VLOOKUP(B247,Ascendus!E:I,5,0)</f>
        <v>37113.4</v>
      </c>
      <c r="R247" s="38">
        <f t="shared" si="27"/>
        <v>-150.33000000000175</v>
      </c>
      <c r="S247" t="s">
        <v>915</v>
      </c>
    </row>
    <row r="248" spans="1:19" x14ac:dyDescent="0.35">
      <c r="A248" t="s">
        <v>454</v>
      </c>
      <c r="B248" s="4">
        <v>246779411730</v>
      </c>
      <c r="C248" s="3">
        <v>45733</v>
      </c>
      <c r="D248" s="1">
        <v>0</v>
      </c>
      <c r="E248" s="1">
        <v>-23.64</v>
      </c>
      <c r="F248" t="s">
        <v>15</v>
      </c>
      <c r="G248" t="s">
        <v>141</v>
      </c>
      <c r="H248" t="s">
        <v>11</v>
      </c>
      <c r="I248" s="2">
        <v>45962</v>
      </c>
      <c r="J248">
        <v>52</v>
      </c>
      <c r="K248" s="3">
        <v>45991</v>
      </c>
      <c r="L248">
        <v>271</v>
      </c>
      <c r="M248" t="s">
        <v>13</v>
      </c>
      <c r="P248" s="38">
        <f t="shared" si="24"/>
        <v>-23.64</v>
      </c>
      <c r="S248" t="s">
        <v>918</v>
      </c>
    </row>
    <row r="249" spans="1:19" x14ac:dyDescent="0.35">
      <c r="A249" t="s">
        <v>454</v>
      </c>
      <c r="B249" s="4">
        <v>246779411789</v>
      </c>
      <c r="C249" s="3">
        <v>45733</v>
      </c>
      <c r="D249" s="1">
        <v>0</v>
      </c>
      <c r="E249" s="1">
        <v>-886.24</v>
      </c>
      <c r="F249" t="s">
        <v>15</v>
      </c>
      <c r="G249" t="s">
        <v>141</v>
      </c>
      <c r="H249" t="s">
        <v>11</v>
      </c>
      <c r="I249" s="2">
        <v>45962</v>
      </c>
      <c r="J249">
        <v>54</v>
      </c>
      <c r="K249" s="3">
        <v>45991</v>
      </c>
      <c r="L249">
        <v>271</v>
      </c>
      <c r="M249" t="s">
        <v>13</v>
      </c>
      <c r="P249" s="38">
        <f t="shared" si="24"/>
        <v>-886.24</v>
      </c>
      <c r="S249" t="s">
        <v>918</v>
      </c>
    </row>
    <row r="250" spans="1:19" x14ac:dyDescent="0.35">
      <c r="A250" t="s">
        <v>454</v>
      </c>
      <c r="B250" s="4">
        <v>256779412012</v>
      </c>
      <c r="C250" s="3">
        <v>45763</v>
      </c>
      <c r="D250" s="1">
        <v>0</v>
      </c>
      <c r="E250" s="1">
        <v>-1051.22</v>
      </c>
      <c r="F250" t="s">
        <v>93</v>
      </c>
      <c r="G250" t="s">
        <v>224</v>
      </c>
      <c r="H250" t="s">
        <v>59</v>
      </c>
      <c r="I250" s="2">
        <v>45809</v>
      </c>
      <c r="J250">
        <v>1</v>
      </c>
      <c r="K250" s="3">
        <v>45997</v>
      </c>
      <c r="L250">
        <v>210</v>
      </c>
      <c r="M250" t="s">
        <v>13</v>
      </c>
      <c r="N250" s="79">
        <f t="shared" ref="N250:N255" si="28">O250/E250</f>
        <v>-2.0928064534540818E-2</v>
      </c>
      <c r="O250">
        <f>VLOOKUP(B250,'Customer TDS'!A:D,4,0)</f>
        <v>22</v>
      </c>
      <c r="P250" s="38">
        <f t="shared" si="24"/>
        <v>-1029.22</v>
      </c>
      <c r="Q250">
        <f>VLOOKUP(B250,Ascendus!E:I,5,0)</f>
        <v>91373.96</v>
      </c>
      <c r="R250" s="38">
        <f t="shared" ref="R250:R255" si="29">E250+Q250</f>
        <v>90322.74</v>
      </c>
      <c r="S250" t="s">
        <v>915</v>
      </c>
    </row>
    <row r="251" spans="1:19" x14ac:dyDescent="0.35">
      <c r="A251" t="s">
        <v>454</v>
      </c>
      <c r="B251" s="4">
        <v>256779412092</v>
      </c>
      <c r="C251" s="3">
        <v>45763</v>
      </c>
      <c r="D251" s="1">
        <v>-289.17</v>
      </c>
      <c r="E251" s="1">
        <v>-24789.67</v>
      </c>
      <c r="G251" t="s">
        <v>224</v>
      </c>
      <c r="H251" t="s">
        <v>11</v>
      </c>
      <c r="I251" s="2">
        <v>45809</v>
      </c>
      <c r="J251">
        <v>1</v>
      </c>
      <c r="K251" s="3">
        <v>45838</v>
      </c>
      <c r="L251">
        <v>210</v>
      </c>
      <c r="M251" t="s">
        <v>13</v>
      </c>
      <c r="N251" s="79">
        <f t="shared" si="28"/>
        <v>-1.9988164424939905E-2</v>
      </c>
      <c r="O251">
        <f>VLOOKUP(B251,'Customer TDS'!A:D,4,0)</f>
        <v>495.5</v>
      </c>
      <c r="P251" s="38">
        <f t="shared" si="24"/>
        <v>-24294.17</v>
      </c>
      <c r="Q251">
        <f>VLOOKUP(B251,Ascendus!E:I,5,0)</f>
        <v>25135.18</v>
      </c>
      <c r="R251" s="38">
        <f t="shared" si="29"/>
        <v>345.51000000000204</v>
      </c>
      <c r="S251" t="s">
        <v>915</v>
      </c>
    </row>
    <row r="252" spans="1:19" x14ac:dyDescent="0.35">
      <c r="A252" t="s">
        <v>454</v>
      </c>
      <c r="B252" s="4">
        <v>256779412053</v>
      </c>
      <c r="C252" s="3">
        <v>45763</v>
      </c>
      <c r="D252" s="1">
        <v>-985.93</v>
      </c>
      <c r="E252" s="1">
        <v>-84520.79</v>
      </c>
      <c r="G252" t="s">
        <v>224</v>
      </c>
      <c r="H252" t="s">
        <v>11</v>
      </c>
      <c r="I252" s="2">
        <v>45809</v>
      </c>
      <c r="J252">
        <v>1</v>
      </c>
      <c r="K252" s="3">
        <v>45838</v>
      </c>
      <c r="L252">
        <v>210</v>
      </c>
      <c r="M252" t="s">
        <v>13</v>
      </c>
      <c r="N252" s="79">
        <f t="shared" si="28"/>
        <v>-2.0001469460945644E-2</v>
      </c>
      <c r="O252">
        <f>VLOOKUP(B252,'Customer TDS'!A:D,4,0)</f>
        <v>1690.54</v>
      </c>
      <c r="P252" s="38">
        <f t="shared" si="24"/>
        <v>-82830.25</v>
      </c>
      <c r="Q252">
        <f>VLOOKUP(B252,Ascendus!E:I,5,0)</f>
        <v>85698.83</v>
      </c>
      <c r="R252" s="38">
        <f t="shared" si="29"/>
        <v>1178.0400000000081</v>
      </c>
      <c r="S252" t="s">
        <v>915</v>
      </c>
    </row>
    <row r="253" spans="1:19" x14ac:dyDescent="0.35">
      <c r="A253" t="s">
        <v>454</v>
      </c>
      <c r="B253" s="4">
        <v>256779412091</v>
      </c>
      <c r="C253" s="3">
        <v>45763</v>
      </c>
      <c r="D253" s="1">
        <v>-96.4</v>
      </c>
      <c r="E253" s="1">
        <v>-8264.08</v>
      </c>
      <c r="G253" t="s">
        <v>224</v>
      </c>
      <c r="H253" t="s">
        <v>11</v>
      </c>
      <c r="I253" s="2">
        <v>45809</v>
      </c>
      <c r="J253">
        <v>1</v>
      </c>
      <c r="K253" s="3">
        <v>45838</v>
      </c>
      <c r="L253">
        <v>210</v>
      </c>
      <c r="M253" t="s">
        <v>13</v>
      </c>
      <c r="N253" s="79">
        <f t="shared" si="28"/>
        <v>-2.0020377343878567E-2</v>
      </c>
      <c r="O253">
        <f>VLOOKUP(B253,'Customer TDS'!A:D,4,0)</f>
        <v>165.45</v>
      </c>
      <c r="P253" s="38">
        <f t="shared" si="24"/>
        <v>-8098.63</v>
      </c>
      <c r="Q253">
        <f>VLOOKUP(B253,Ascendus!E:I,5,0)</f>
        <v>8379.26</v>
      </c>
      <c r="R253" s="38">
        <f t="shared" si="29"/>
        <v>115.18000000000029</v>
      </c>
      <c r="S253" t="s">
        <v>915</v>
      </c>
    </row>
    <row r="254" spans="1:19" x14ac:dyDescent="0.35">
      <c r="A254" t="s">
        <v>454</v>
      </c>
      <c r="B254" s="4">
        <v>256779412123</v>
      </c>
      <c r="C254" s="3">
        <v>45763</v>
      </c>
      <c r="D254" s="1">
        <v>-3318.21</v>
      </c>
      <c r="E254" s="1">
        <v>-284460.08</v>
      </c>
      <c r="G254" t="s">
        <v>224</v>
      </c>
      <c r="H254" t="s">
        <v>11</v>
      </c>
      <c r="I254" s="2">
        <v>45809</v>
      </c>
      <c r="J254">
        <v>1</v>
      </c>
      <c r="K254" s="3">
        <v>45838</v>
      </c>
      <c r="L254">
        <v>210</v>
      </c>
      <c r="M254" t="s">
        <v>13</v>
      </c>
      <c r="N254" s="79">
        <f t="shared" si="28"/>
        <v>-1.9998728819875182E-2</v>
      </c>
      <c r="O254">
        <f>VLOOKUP(B254,'Customer TDS'!A:D,4,0)</f>
        <v>5688.84</v>
      </c>
      <c r="P254" s="38">
        <f t="shared" si="24"/>
        <v>-278771.24</v>
      </c>
      <c r="Q254">
        <f>VLOOKUP(B254,Ascendus!E:I,5,0)</f>
        <v>288424.84999999998</v>
      </c>
      <c r="R254" s="38">
        <f t="shared" si="29"/>
        <v>3964.7699999999604</v>
      </c>
      <c r="S254" t="s">
        <v>915</v>
      </c>
    </row>
    <row r="255" spans="1:19" x14ac:dyDescent="0.35">
      <c r="A255" t="s">
        <v>454</v>
      </c>
      <c r="B255" s="4">
        <v>256779411969</v>
      </c>
      <c r="C255" s="3">
        <v>45763</v>
      </c>
      <c r="D255" s="1">
        <v>-79.08</v>
      </c>
      <c r="E255" s="1">
        <v>-6779.29</v>
      </c>
      <c r="G255" t="s">
        <v>224</v>
      </c>
      <c r="H255" t="s">
        <v>11</v>
      </c>
      <c r="I255" s="2">
        <v>45809</v>
      </c>
      <c r="J255">
        <v>1</v>
      </c>
      <c r="K255" s="3">
        <v>45838</v>
      </c>
      <c r="L255">
        <v>210</v>
      </c>
      <c r="M255" t="s">
        <v>13</v>
      </c>
      <c r="N255" s="79">
        <f t="shared" si="28"/>
        <v>-1.9979968403770896E-2</v>
      </c>
      <c r="O255">
        <f>VLOOKUP(B255,'Customer TDS'!A:D,4,0)</f>
        <v>135.44999999999999</v>
      </c>
      <c r="P255" s="38">
        <f t="shared" si="24"/>
        <v>-6643.84</v>
      </c>
      <c r="Q255">
        <f>VLOOKUP(B255,Ascendus!E:I,5,0)</f>
        <v>6873.78</v>
      </c>
      <c r="R255" s="38">
        <f t="shared" si="29"/>
        <v>94.489999999999782</v>
      </c>
      <c r="S255" t="s">
        <v>915</v>
      </c>
    </row>
    <row r="256" spans="1:19" x14ac:dyDescent="0.35">
      <c r="A256" t="s">
        <v>454</v>
      </c>
      <c r="B256" s="4">
        <v>256779412092</v>
      </c>
      <c r="C256" s="3">
        <v>45763</v>
      </c>
      <c r="D256" s="1">
        <v>0</v>
      </c>
      <c r="E256" s="1">
        <v>-74.400000000000006</v>
      </c>
      <c r="F256" t="s">
        <v>15</v>
      </c>
      <c r="G256" t="s">
        <v>224</v>
      </c>
      <c r="H256" t="s">
        <v>11</v>
      </c>
      <c r="I256" s="2">
        <v>45809</v>
      </c>
      <c r="J256">
        <v>38</v>
      </c>
      <c r="K256" s="3">
        <v>45838</v>
      </c>
      <c r="L256">
        <v>271</v>
      </c>
      <c r="M256" t="s">
        <v>13</v>
      </c>
      <c r="P256" s="38">
        <f t="shared" si="24"/>
        <v>-74.400000000000006</v>
      </c>
      <c r="S256" t="s">
        <v>918</v>
      </c>
    </row>
    <row r="257" spans="1:19" x14ac:dyDescent="0.35">
      <c r="A257" t="s">
        <v>454</v>
      </c>
      <c r="B257" s="4">
        <v>256779412053</v>
      </c>
      <c r="C257" s="3">
        <v>45763</v>
      </c>
      <c r="D257" s="1">
        <v>0</v>
      </c>
      <c r="E257" s="1">
        <v>-253.67</v>
      </c>
      <c r="F257" t="s">
        <v>15</v>
      </c>
      <c r="G257" t="s">
        <v>224</v>
      </c>
      <c r="H257" t="s">
        <v>11</v>
      </c>
      <c r="I257" s="2">
        <v>45809</v>
      </c>
      <c r="J257">
        <v>44</v>
      </c>
      <c r="K257" s="3">
        <v>45838</v>
      </c>
      <c r="L257">
        <v>271</v>
      </c>
      <c r="M257" t="s">
        <v>13</v>
      </c>
      <c r="P257" s="38">
        <f t="shared" si="24"/>
        <v>-253.67</v>
      </c>
      <c r="S257" t="s">
        <v>918</v>
      </c>
    </row>
    <row r="258" spans="1:19" x14ac:dyDescent="0.35">
      <c r="A258" t="s">
        <v>454</v>
      </c>
      <c r="B258" s="4">
        <v>256779412091</v>
      </c>
      <c r="C258" s="3">
        <v>45763</v>
      </c>
      <c r="D258" s="1">
        <v>0</v>
      </c>
      <c r="E258" s="1">
        <v>-24.8</v>
      </c>
      <c r="F258" t="s">
        <v>15</v>
      </c>
      <c r="G258" t="s">
        <v>224</v>
      </c>
      <c r="H258" t="s">
        <v>11</v>
      </c>
      <c r="I258" s="2">
        <v>45809</v>
      </c>
      <c r="J258">
        <v>64</v>
      </c>
      <c r="K258" s="3">
        <v>45838</v>
      </c>
      <c r="L258">
        <v>271</v>
      </c>
      <c r="M258" t="s">
        <v>13</v>
      </c>
      <c r="P258" s="38">
        <f t="shared" si="24"/>
        <v>-24.8</v>
      </c>
      <c r="S258" t="s">
        <v>918</v>
      </c>
    </row>
    <row r="259" spans="1:19" x14ac:dyDescent="0.35">
      <c r="A259" t="s">
        <v>454</v>
      </c>
      <c r="B259" s="4">
        <v>256779412123</v>
      </c>
      <c r="C259" s="3">
        <v>45763</v>
      </c>
      <c r="D259" s="1">
        <v>0</v>
      </c>
      <c r="E259" s="1">
        <v>-853.75</v>
      </c>
      <c r="F259" t="s">
        <v>15</v>
      </c>
      <c r="G259" t="s">
        <v>224</v>
      </c>
      <c r="H259" t="s">
        <v>11</v>
      </c>
      <c r="I259" s="2">
        <v>45809</v>
      </c>
      <c r="J259">
        <v>68</v>
      </c>
      <c r="K259" s="3">
        <v>45838</v>
      </c>
      <c r="L259">
        <v>271</v>
      </c>
      <c r="M259" t="s">
        <v>13</v>
      </c>
      <c r="P259" s="38">
        <f t="shared" si="24"/>
        <v>-853.75</v>
      </c>
      <c r="S259" t="s">
        <v>918</v>
      </c>
    </row>
    <row r="260" spans="1:19" x14ac:dyDescent="0.35">
      <c r="A260" t="s">
        <v>454</v>
      </c>
      <c r="B260" s="4">
        <v>256779411969</v>
      </c>
      <c r="C260" s="3">
        <v>45763</v>
      </c>
      <c r="D260" s="1">
        <v>0</v>
      </c>
      <c r="E260" s="1">
        <v>-20.350000000000001</v>
      </c>
      <c r="F260" t="s">
        <v>15</v>
      </c>
      <c r="G260" t="s">
        <v>224</v>
      </c>
      <c r="H260" t="s">
        <v>11</v>
      </c>
      <c r="I260" s="2">
        <v>45809</v>
      </c>
      <c r="J260">
        <v>82</v>
      </c>
      <c r="K260" s="3">
        <v>45838</v>
      </c>
      <c r="L260">
        <v>271</v>
      </c>
      <c r="M260" t="s">
        <v>13</v>
      </c>
      <c r="P260" s="38">
        <f t="shared" ref="P260:P323" si="30">E260+O260</f>
        <v>-20.350000000000001</v>
      </c>
      <c r="S260" t="s">
        <v>918</v>
      </c>
    </row>
    <row r="261" spans="1:19" x14ac:dyDescent="0.35">
      <c r="A261" t="s">
        <v>454</v>
      </c>
      <c r="B261" s="4">
        <v>256779411867</v>
      </c>
      <c r="C261" s="3">
        <v>45763</v>
      </c>
      <c r="D261" s="1">
        <v>-295</v>
      </c>
      <c r="E261" s="1">
        <v>-25289.46</v>
      </c>
      <c r="G261" t="s">
        <v>224</v>
      </c>
      <c r="H261" t="s">
        <v>11</v>
      </c>
      <c r="I261" s="2">
        <v>45901</v>
      </c>
      <c r="J261">
        <v>1</v>
      </c>
      <c r="K261" s="3">
        <v>45930</v>
      </c>
      <c r="L261">
        <v>210</v>
      </c>
      <c r="M261" t="s">
        <v>13</v>
      </c>
      <c r="N261" s="79">
        <f>O261/E261</f>
        <v>-2.0000031633731999E-2</v>
      </c>
      <c r="O261">
        <f>VLOOKUP(B261,'Customer TDS'!A:D,4,0)</f>
        <v>505.79</v>
      </c>
      <c r="P261" s="38">
        <f t="shared" si="30"/>
        <v>-24783.67</v>
      </c>
      <c r="Q261">
        <f>VLOOKUP(B261,Ascendus!E:I,5,0)</f>
        <v>25641.94</v>
      </c>
      <c r="R261" s="38">
        <f>E261+Q261</f>
        <v>352.47999999999956</v>
      </c>
      <c r="S261" t="s">
        <v>915</v>
      </c>
    </row>
    <row r="262" spans="1:19" x14ac:dyDescent="0.35">
      <c r="A262" t="s">
        <v>454</v>
      </c>
      <c r="B262" s="4">
        <v>256779411867</v>
      </c>
      <c r="C262" s="3">
        <v>45763</v>
      </c>
      <c r="D262" s="1">
        <v>0</v>
      </c>
      <c r="E262" s="1">
        <v>-847.79</v>
      </c>
      <c r="F262" t="s">
        <v>15</v>
      </c>
      <c r="G262" t="s">
        <v>224</v>
      </c>
      <c r="H262" t="s">
        <v>11</v>
      </c>
      <c r="I262" s="2">
        <v>45901</v>
      </c>
      <c r="J262">
        <v>4</v>
      </c>
      <c r="K262" s="3">
        <v>45930</v>
      </c>
      <c r="L262">
        <v>271</v>
      </c>
      <c r="M262" t="s">
        <v>13</v>
      </c>
      <c r="P262" s="38">
        <f t="shared" si="30"/>
        <v>-847.79</v>
      </c>
      <c r="S262" t="s">
        <v>918</v>
      </c>
    </row>
    <row r="263" spans="1:19" x14ac:dyDescent="0.35">
      <c r="A263" t="s">
        <v>454</v>
      </c>
      <c r="B263" s="4">
        <v>256779411970</v>
      </c>
      <c r="C263" s="3">
        <v>45763</v>
      </c>
      <c r="D263" s="1">
        <v>-8.66</v>
      </c>
      <c r="E263" s="1">
        <v>-742.4</v>
      </c>
      <c r="G263" t="s">
        <v>224</v>
      </c>
      <c r="H263" t="s">
        <v>11</v>
      </c>
      <c r="I263" s="2">
        <v>45931</v>
      </c>
      <c r="J263">
        <v>1</v>
      </c>
      <c r="K263" s="3">
        <v>45959</v>
      </c>
      <c r="L263">
        <v>210</v>
      </c>
      <c r="M263" t="s">
        <v>13</v>
      </c>
      <c r="N263" s="79">
        <f>O263/E263</f>
        <v>-1.9625538793103449E-2</v>
      </c>
      <c r="O263">
        <f>VLOOKUP(B263,'Customer TDS'!A:D,4,0)</f>
        <v>14.57</v>
      </c>
      <c r="P263" s="38">
        <f t="shared" si="30"/>
        <v>-727.82999999999993</v>
      </c>
      <c r="Q263">
        <f>VLOOKUP(B263,Ascendus!E:I,5,0)</f>
        <v>752.74</v>
      </c>
      <c r="R263" s="38">
        <f>E263+Q263</f>
        <v>10.340000000000032</v>
      </c>
      <c r="S263" t="s">
        <v>915</v>
      </c>
    </row>
    <row r="264" spans="1:19" x14ac:dyDescent="0.35">
      <c r="A264" t="s">
        <v>454</v>
      </c>
      <c r="B264" s="4">
        <v>256779411867</v>
      </c>
      <c r="C264" s="3">
        <v>45763</v>
      </c>
      <c r="D264" s="1">
        <v>0</v>
      </c>
      <c r="E264" s="1">
        <v>117.64</v>
      </c>
      <c r="F264" t="s">
        <v>15</v>
      </c>
      <c r="G264" t="s">
        <v>224</v>
      </c>
      <c r="H264" t="s">
        <v>11</v>
      </c>
      <c r="I264" s="2">
        <v>45931</v>
      </c>
      <c r="J264">
        <v>2</v>
      </c>
      <c r="K264" s="3">
        <v>45961</v>
      </c>
      <c r="L264">
        <v>271</v>
      </c>
      <c r="M264" t="s">
        <v>13</v>
      </c>
      <c r="P264" s="38">
        <f t="shared" si="30"/>
        <v>117.64</v>
      </c>
      <c r="S264" t="s">
        <v>918</v>
      </c>
    </row>
    <row r="265" spans="1:19" x14ac:dyDescent="0.35">
      <c r="A265" t="s">
        <v>454</v>
      </c>
      <c r="B265" s="4">
        <v>256779411970</v>
      </c>
      <c r="C265" s="3">
        <v>45763</v>
      </c>
      <c r="D265" s="1">
        <v>0</v>
      </c>
      <c r="E265" s="1">
        <v>-21.43</v>
      </c>
      <c r="F265" t="s">
        <v>15</v>
      </c>
      <c r="G265" t="s">
        <v>224</v>
      </c>
      <c r="H265" t="s">
        <v>11</v>
      </c>
      <c r="I265" s="2">
        <v>45931</v>
      </c>
      <c r="J265">
        <v>22</v>
      </c>
      <c r="K265" s="3">
        <v>45961</v>
      </c>
      <c r="L265">
        <v>271</v>
      </c>
      <c r="M265" t="s">
        <v>13</v>
      </c>
      <c r="P265" s="38">
        <f t="shared" si="30"/>
        <v>-21.43</v>
      </c>
      <c r="S265" t="s">
        <v>918</v>
      </c>
    </row>
    <row r="266" spans="1:19" x14ac:dyDescent="0.35">
      <c r="A266" t="s">
        <v>454</v>
      </c>
      <c r="B266" s="4">
        <v>256779411867</v>
      </c>
      <c r="C266" s="3">
        <v>45763</v>
      </c>
      <c r="D266" s="1">
        <v>0</v>
      </c>
      <c r="E266" s="1">
        <v>-260.83</v>
      </c>
      <c r="F266" t="s">
        <v>15</v>
      </c>
      <c r="G266" t="s">
        <v>224</v>
      </c>
      <c r="H266" t="s">
        <v>11</v>
      </c>
      <c r="I266" s="2">
        <v>45962</v>
      </c>
      <c r="J266">
        <v>2</v>
      </c>
      <c r="K266" s="3">
        <v>45991</v>
      </c>
      <c r="L266">
        <v>271</v>
      </c>
      <c r="M266" t="s">
        <v>13</v>
      </c>
      <c r="P266" s="38">
        <f t="shared" si="30"/>
        <v>-260.83</v>
      </c>
      <c r="S266" t="s">
        <v>918</v>
      </c>
    </row>
    <row r="267" spans="1:19" x14ac:dyDescent="0.35">
      <c r="A267" t="s">
        <v>454</v>
      </c>
      <c r="B267" s="4">
        <v>256779411867</v>
      </c>
      <c r="C267" s="3">
        <v>45763</v>
      </c>
      <c r="D267" s="1">
        <v>0</v>
      </c>
      <c r="E267" s="1">
        <v>-212.77</v>
      </c>
      <c r="F267" t="s">
        <v>15</v>
      </c>
      <c r="G267" t="s">
        <v>224</v>
      </c>
      <c r="H267" t="s">
        <v>11</v>
      </c>
      <c r="I267" s="2">
        <v>45992</v>
      </c>
      <c r="J267">
        <v>2</v>
      </c>
      <c r="K267" s="3">
        <v>46022</v>
      </c>
      <c r="L267">
        <v>271</v>
      </c>
      <c r="M267" t="s">
        <v>13</v>
      </c>
      <c r="P267" s="38">
        <f t="shared" si="30"/>
        <v>-212.77</v>
      </c>
      <c r="S267" t="s">
        <v>918</v>
      </c>
    </row>
    <row r="268" spans="1:19" x14ac:dyDescent="0.35">
      <c r="A268" t="s">
        <v>454</v>
      </c>
      <c r="B268" s="4">
        <v>256779411867</v>
      </c>
      <c r="C268" s="3">
        <v>45763</v>
      </c>
      <c r="D268" s="1">
        <v>0</v>
      </c>
      <c r="E268" s="1">
        <v>-503.02</v>
      </c>
      <c r="F268" t="s">
        <v>15</v>
      </c>
      <c r="G268" t="s">
        <v>224</v>
      </c>
      <c r="H268" t="s">
        <v>11</v>
      </c>
      <c r="I268" s="2">
        <v>46023</v>
      </c>
      <c r="J268">
        <v>2</v>
      </c>
      <c r="K268" s="3">
        <v>46053</v>
      </c>
      <c r="L268">
        <v>271</v>
      </c>
      <c r="M268" t="s">
        <v>13</v>
      </c>
      <c r="P268" s="38">
        <f t="shared" si="30"/>
        <v>-503.02</v>
      </c>
      <c r="S268" t="s">
        <v>918</v>
      </c>
    </row>
    <row r="269" spans="1:19" x14ac:dyDescent="0.35">
      <c r="A269" t="s">
        <v>454</v>
      </c>
      <c r="B269" s="4">
        <v>256779411468</v>
      </c>
      <c r="C269" s="3">
        <v>45762</v>
      </c>
      <c r="D269" s="1">
        <v>-26.55</v>
      </c>
      <c r="E269" s="1">
        <v>-2276.0500000000002</v>
      </c>
      <c r="G269" t="s">
        <v>233</v>
      </c>
      <c r="H269" t="s">
        <v>11</v>
      </c>
      <c r="I269" s="2">
        <v>45809</v>
      </c>
      <c r="J269">
        <v>1</v>
      </c>
      <c r="K269" s="3">
        <v>45997</v>
      </c>
      <c r="L269">
        <v>210</v>
      </c>
      <c r="M269" t="s">
        <v>13</v>
      </c>
      <c r="N269" s="79">
        <f>O269/E269</f>
        <v>-1.9964412029612702E-2</v>
      </c>
      <c r="O269">
        <f>VLOOKUP(B269,'Customer TDS'!A:D,4,0)</f>
        <v>45.44</v>
      </c>
      <c r="P269" s="38">
        <f t="shared" si="30"/>
        <v>-2230.61</v>
      </c>
      <c r="Q269">
        <f>VLOOKUP(B269,Ascendus!E:I,5,0)</f>
        <v>2307.77</v>
      </c>
      <c r="R269" s="38">
        <f t="shared" ref="R269:R270" si="31">E269+Q269</f>
        <v>31.7199999999998</v>
      </c>
      <c r="S269" t="s">
        <v>915</v>
      </c>
    </row>
    <row r="270" spans="1:19" x14ac:dyDescent="0.35">
      <c r="A270" t="s">
        <v>454</v>
      </c>
      <c r="B270" s="4">
        <v>256779411467</v>
      </c>
      <c r="C270" s="3">
        <v>45762</v>
      </c>
      <c r="D270" s="1">
        <v>-35.4</v>
      </c>
      <c r="E270" s="1">
        <v>-3034.73</v>
      </c>
      <c r="G270" t="s">
        <v>233</v>
      </c>
      <c r="H270" t="s">
        <v>11</v>
      </c>
      <c r="I270" s="2">
        <v>45901</v>
      </c>
      <c r="J270">
        <v>1</v>
      </c>
      <c r="K270" s="3">
        <v>45930</v>
      </c>
      <c r="L270">
        <v>210</v>
      </c>
      <c r="M270" t="s">
        <v>13</v>
      </c>
      <c r="N270" s="79">
        <f>O270/E270</f>
        <v>-2.0057797563539426E-2</v>
      </c>
      <c r="O270">
        <f>VLOOKUP(B270,'Customer TDS'!A:D,4,0)</f>
        <v>60.87</v>
      </c>
      <c r="P270" s="38">
        <f t="shared" si="30"/>
        <v>-2973.86</v>
      </c>
      <c r="Q270">
        <f>VLOOKUP(B270,Ascendus!E:I,5,0)</f>
        <v>3077.03</v>
      </c>
      <c r="R270" s="38">
        <f t="shared" si="31"/>
        <v>42.300000000000182</v>
      </c>
      <c r="S270" t="s">
        <v>915</v>
      </c>
    </row>
    <row r="271" spans="1:19" x14ac:dyDescent="0.35">
      <c r="A271" t="s">
        <v>454</v>
      </c>
      <c r="B271" s="4">
        <v>256779411467</v>
      </c>
      <c r="C271" s="3">
        <v>45762</v>
      </c>
      <c r="D271" s="1">
        <v>0</v>
      </c>
      <c r="E271" s="1">
        <v>-101.74</v>
      </c>
      <c r="F271" t="s">
        <v>15</v>
      </c>
      <c r="G271" t="s">
        <v>233</v>
      </c>
      <c r="H271" t="s">
        <v>11</v>
      </c>
      <c r="I271" s="2">
        <v>45901</v>
      </c>
      <c r="J271">
        <v>52</v>
      </c>
      <c r="K271" s="3">
        <v>45930</v>
      </c>
      <c r="L271">
        <v>271</v>
      </c>
      <c r="M271" t="s">
        <v>13</v>
      </c>
      <c r="P271" s="38">
        <f t="shared" si="30"/>
        <v>-101.74</v>
      </c>
      <c r="S271" t="s">
        <v>918</v>
      </c>
    </row>
    <row r="272" spans="1:19" x14ac:dyDescent="0.35">
      <c r="A272" t="s">
        <v>454</v>
      </c>
      <c r="B272" s="4">
        <v>256779411467</v>
      </c>
      <c r="C272" s="3">
        <v>45762</v>
      </c>
      <c r="D272" s="1">
        <v>0</v>
      </c>
      <c r="E272" s="1">
        <v>14.12</v>
      </c>
      <c r="F272" t="s">
        <v>15</v>
      </c>
      <c r="G272" t="s">
        <v>233</v>
      </c>
      <c r="H272" t="s">
        <v>11</v>
      </c>
      <c r="I272" s="2">
        <v>45931</v>
      </c>
      <c r="J272">
        <v>10</v>
      </c>
      <c r="K272" s="3">
        <v>45961</v>
      </c>
      <c r="L272">
        <v>271</v>
      </c>
      <c r="M272" t="s">
        <v>13</v>
      </c>
      <c r="P272" s="38">
        <f t="shared" si="30"/>
        <v>14.12</v>
      </c>
      <c r="S272" t="s">
        <v>918</v>
      </c>
    </row>
    <row r="273" spans="1:19" x14ac:dyDescent="0.35">
      <c r="A273" t="s">
        <v>454</v>
      </c>
      <c r="B273" s="4">
        <v>256779411467</v>
      </c>
      <c r="C273" s="3">
        <v>45762</v>
      </c>
      <c r="D273" s="1">
        <v>0</v>
      </c>
      <c r="E273" s="1">
        <v>-31.3</v>
      </c>
      <c r="F273" t="s">
        <v>15</v>
      </c>
      <c r="G273" t="s">
        <v>233</v>
      </c>
      <c r="H273" t="s">
        <v>11</v>
      </c>
      <c r="I273" s="2">
        <v>45962</v>
      </c>
      <c r="J273">
        <v>16</v>
      </c>
      <c r="K273" s="3">
        <v>45991</v>
      </c>
      <c r="L273">
        <v>271</v>
      </c>
      <c r="M273" t="s">
        <v>13</v>
      </c>
      <c r="P273" s="38">
        <f t="shared" si="30"/>
        <v>-31.3</v>
      </c>
      <c r="S273" t="s">
        <v>918</v>
      </c>
    </row>
    <row r="274" spans="1:19" x14ac:dyDescent="0.35">
      <c r="A274" t="s">
        <v>454</v>
      </c>
      <c r="B274" s="4">
        <v>256779411466</v>
      </c>
      <c r="C274" s="3">
        <v>45762</v>
      </c>
      <c r="D274" s="1">
        <v>-35.4</v>
      </c>
      <c r="E274" s="1">
        <v>-3034.73</v>
      </c>
      <c r="G274" t="s">
        <v>233</v>
      </c>
      <c r="H274" t="s">
        <v>11</v>
      </c>
      <c r="I274" s="2">
        <v>45992</v>
      </c>
      <c r="J274">
        <v>1</v>
      </c>
      <c r="K274" s="3">
        <v>46006</v>
      </c>
      <c r="L274">
        <v>210</v>
      </c>
      <c r="M274" t="s">
        <v>13</v>
      </c>
      <c r="N274" s="79">
        <f>O274/E274</f>
        <v>-2.0057797563539426E-2</v>
      </c>
      <c r="O274">
        <f>VLOOKUP(B274,'Customer TDS'!A:D,4,0)</f>
        <v>60.87</v>
      </c>
      <c r="P274" s="38">
        <f t="shared" si="30"/>
        <v>-2973.86</v>
      </c>
      <c r="Q274">
        <f>VLOOKUP(B274,Ascendus!E:I,5,0)</f>
        <v>3077.03</v>
      </c>
      <c r="R274" s="38">
        <f t="shared" ref="R274:R276" si="32">E274+Q274</f>
        <v>42.300000000000182</v>
      </c>
      <c r="S274" t="s">
        <v>915</v>
      </c>
    </row>
    <row r="275" spans="1:19" x14ac:dyDescent="0.35">
      <c r="A275" t="s">
        <v>454</v>
      </c>
      <c r="B275" s="4">
        <v>256779411465</v>
      </c>
      <c r="C275" s="3">
        <v>45762</v>
      </c>
      <c r="D275" s="1">
        <v>-32.450000000000003</v>
      </c>
      <c r="E275" s="1">
        <v>-2781.84</v>
      </c>
      <c r="G275" t="s">
        <v>233</v>
      </c>
      <c r="H275" t="s">
        <v>11</v>
      </c>
      <c r="I275" s="2">
        <v>45992</v>
      </c>
      <c r="J275">
        <v>1</v>
      </c>
      <c r="K275" s="3">
        <v>46006</v>
      </c>
      <c r="L275">
        <v>210</v>
      </c>
      <c r="M275" t="s">
        <v>13</v>
      </c>
      <c r="N275" s="79">
        <f>O275/E275</f>
        <v>-2.002990826215742E-2</v>
      </c>
      <c r="O275">
        <f>VLOOKUP(B275,'Customer TDS'!A:D,4,0)</f>
        <v>55.72</v>
      </c>
      <c r="P275" s="38">
        <f t="shared" si="30"/>
        <v>-2726.1200000000003</v>
      </c>
      <c r="Q275">
        <f>VLOOKUP(B275,Ascendus!E:I,5,0)</f>
        <v>2820.61</v>
      </c>
      <c r="R275" s="38">
        <f t="shared" si="32"/>
        <v>38.769999999999982</v>
      </c>
      <c r="S275" t="s">
        <v>915</v>
      </c>
    </row>
    <row r="276" spans="1:19" x14ac:dyDescent="0.35">
      <c r="A276" t="s">
        <v>454</v>
      </c>
      <c r="B276" s="4">
        <v>256779411463</v>
      </c>
      <c r="C276" s="3">
        <v>45762</v>
      </c>
      <c r="D276" s="1">
        <v>-23.6</v>
      </c>
      <c r="E276" s="1">
        <v>-2023.16</v>
      </c>
      <c r="G276" t="s">
        <v>233</v>
      </c>
      <c r="H276" t="s">
        <v>11</v>
      </c>
      <c r="I276" s="2">
        <v>45992</v>
      </c>
      <c r="J276">
        <v>1</v>
      </c>
      <c r="K276" s="3">
        <v>46006</v>
      </c>
      <c r="L276">
        <v>210</v>
      </c>
      <c r="M276" t="s">
        <v>13</v>
      </c>
      <c r="N276" s="79">
        <f>O276/E276</f>
        <v>-1.9914391348187982E-2</v>
      </c>
      <c r="O276">
        <f>VLOOKUP(B276,'Customer TDS'!A:D,4,0)</f>
        <v>40.29</v>
      </c>
      <c r="P276" s="38">
        <f t="shared" si="30"/>
        <v>-1982.8700000000001</v>
      </c>
      <c r="Q276">
        <f>VLOOKUP(B276,Ascendus!E:I,5,0)</f>
        <v>2051.35</v>
      </c>
      <c r="R276" s="38">
        <f t="shared" si="32"/>
        <v>28.189999999999827</v>
      </c>
      <c r="S276" t="s">
        <v>915</v>
      </c>
    </row>
    <row r="277" spans="1:19" x14ac:dyDescent="0.35">
      <c r="A277" t="s">
        <v>454</v>
      </c>
      <c r="B277" s="4">
        <v>256779411467</v>
      </c>
      <c r="C277" s="3">
        <v>45762</v>
      </c>
      <c r="D277" s="1">
        <v>0</v>
      </c>
      <c r="E277" s="1">
        <v>-25.53</v>
      </c>
      <c r="F277" t="s">
        <v>15</v>
      </c>
      <c r="G277" t="s">
        <v>233</v>
      </c>
      <c r="H277" t="s">
        <v>11</v>
      </c>
      <c r="I277" s="2">
        <v>45992</v>
      </c>
      <c r="J277">
        <v>16</v>
      </c>
      <c r="K277" s="3">
        <v>46022</v>
      </c>
      <c r="L277">
        <v>271</v>
      </c>
      <c r="M277" t="s">
        <v>13</v>
      </c>
      <c r="P277" s="38">
        <f t="shared" si="30"/>
        <v>-25.53</v>
      </c>
      <c r="S277" t="s">
        <v>918</v>
      </c>
    </row>
    <row r="278" spans="1:19" x14ac:dyDescent="0.35">
      <c r="A278" t="s">
        <v>454</v>
      </c>
      <c r="B278" s="4">
        <v>256779411466</v>
      </c>
      <c r="C278" s="3">
        <v>45762</v>
      </c>
      <c r="D278" s="1">
        <v>0</v>
      </c>
      <c r="E278" s="1">
        <v>-144.44999999999999</v>
      </c>
      <c r="F278" t="s">
        <v>15</v>
      </c>
      <c r="G278" t="s">
        <v>233</v>
      </c>
      <c r="H278" t="s">
        <v>11</v>
      </c>
      <c r="I278" s="2">
        <v>45992</v>
      </c>
      <c r="J278">
        <v>50</v>
      </c>
      <c r="K278" s="3">
        <v>46022</v>
      </c>
      <c r="L278">
        <v>271</v>
      </c>
      <c r="M278" t="s">
        <v>13</v>
      </c>
      <c r="P278" s="38">
        <f t="shared" si="30"/>
        <v>-144.44999999999999</v>
      </c>
      <c r="S278" t="s">
        <v>918</v>
      </c>
    </row>
    <row r="279" spans="1:19" x14ac:dyDescent="0.35">
      <c r="A279" t="s">
        <v>454</v>
      </c>
      <c r="B279" s="4">
        <v>256779411465</v>
      </c>
      <c r="C279" s="3">
        <v>45762</v>
      </c>
      <c r="D279" s="1">
        <v>0</v>
      </c>
      <c r="E279" s="1">
        <v>-132.41</v>
      </c>
      <c r="F279" t="s">
        <v>15</v>
      </c>
      <c r="G279" t="s">
        <v>233</v>
      </c>
      <c r="H279" t="s">
        <v>11</v>
      </c>
      <c r="I279" s="2">
        <v>45992</v>
      </c>
      <c r="J279">
        <v>52</v>
      </c>
      <c r="K279" s="3">
        <v>46022</v>
      </c>
      <c r="L279">
        <v>271</v>
      </c>
      <c r="M279" t="s">
        <v>13</v>
      </c>
      <c r="P279" s="38">
        <f t="shared" si="30"/>
        <v>-132.41</v>
      </c>
      <c r="S279" t="s">
        <v>918</v>
      </c>
    </row>
    <row r="280" spans="1:19" x14ac:dyDescent="0.35">
      <c r="A280" t="s">
        <v>454</v>
      </c>
      <c r="B280" s="4">
        <v>256779411463</v>
      </c>
      <c r="C280" s="3">
        <v>45762</v>
      </c>
      <c r="D280" s="1">
        <v>0</v>
      </c>
      <c r="E280" s="1">
        <v>-96.3</v>
      </c>
      <c r="F280" t="s">
        <v>15</v>
      </c>
      <c r="G280" t="s">
        <v>233</v>
      </c>
      <c r="H280" t="s">
        <v>11</v>
      </c>
      <c r="I280" s="2">
        <v>45992</v>
      </c>
      <c r="J280">
        <v>66</v>
      </c>
      <c r="K280" s="3">
        <v>46022</v>
      </c>
      <c r="L280">
        <v>271</v>
      </c>
      <c r="M280" t="s">
        <v>13</v>
      </c>
      <c r="P280" s="38">
        <f t="shared" si="30"/>
        <v>-96.3</v>
      </c>
      <c r="S280" t="s">
        <v>918</v>
      </c>
    </row>
    <row r="281" spans="1:19" x14ac:dyDescent="0.35">
      <c r="A281" t="s">
        <v>454</v>
      </c>
      <c r="B281" s="4">
        <v>256779411467</v>
      </c>
      <c r="C281" s="3">
        <v>45762</v>
      </c>
      <c r="D281" s="1">
        <v>0</v>
      </c>
      <c r="E281" s="1">
        <v>-60.36</v>
      </c>
      <c r="F281" t="s">
        <v>15</v>
      </c>
      <c r="G281" t="s">
        <v>233</v>
      </c>
      <c r="H281" t="s">
        <v>11</v>
      </c>
      <c r="I281" s="2">
        <v>46023</v>
      </c>
      <c r="J281">
        <v>16</v>
      </c>
      <c r="K281" s="3">
        <v>46053</v>
      </c>
      <c r="L281">
        <v>271</v>
      </c>
      <c r="M281" t="s">
        <v>13</v>
      </c>
      <c r="P281" s="38">
        <f t="shared" si="30"/>
        <v>-60.36</v>
      </c>
      <c r="S281" t="s">
        <v>918</v>
      </c>
    </row>
    <row r="282" spans="1:19" x14ac:dyDescent="0.35">
      <c r="A282" t="s">
        <v>454</v>
      </c>
      <c r="B282" s="4">
        <v>256779411466</v>
      </c>
      <c r="C282" s="3">
        <v>45762</v>
      </c>
      <c r="D282" s="1">
        <v>0</v>
      </c>
      <c r="E282" s="1">
        <v>-60.36</v>
      </c>
      <c r="F282" t="s">
        <v>15</v>
      </c>
      <c r="G282" t="s">
        <v>233</v>
      </c>
      <c r="H282" t="s">
        <v>11</v>
      </c>
      <c r="I282" s="2">
        <v>46023</v>
      </c>
      <c r="J282">
        <v>46</v>
      </c>
      <c r="K282" s="3">
        <v>46053</v>
      </c>
      <c r="L282">
        <v>271</v>
      </c>
      <c r="M282" t="s">
        <v>13</v>
      </c>
      <c r="P282" s="38">
        <f t="shared" si="30"/>
        <v>-60.36</v>
      </c>
      <c r="S282" t="s">
        <v>918</v>
      </c>
    </row>
    <row r="283" spans="1:19" x14ac:dyDescent="0.35">
      <c r="A283" t="s">
        <v>454</v>
      </c>
      <c r="B283" s="4">
        <v>256779411465</v>
      </c>
      <c r="C283" s="3">
        <v>45762</v>
      </c>
      <c r="D283" s="1">
        <v>0</v>
      </c>
      <c r="E283" s="1">
        <v>-55.33</v>
      </c>
      <c r="F283" t="s">
        <v>15</v>
      </c>
      <c r="G283" t="s">
        <v>233</v>
      </c>
      <c r="H283" t="s">
        <v>11</v>
      </c>
      <c r="I283" s="2">
        <v>46023</v>
      </c>
      <c r="J283">
        <v>48</v>
      </c>
      <c r="K283" s="3">
        <v>46053</v>
      </c>
      <c r="L283">
        <v>271</v>
      </c>
      <c r="M283" t="s">
        <v>13</v>
      </c>
      <c r="P283" s="38">
        <f t="shared" si="30"/>
        <v>-55.33</v>
      </c>
      <c r="S283" t="s">
        <v>918</v>
      </c>
    </row>
    <row r="284" spans="1:19" x14ac:dyDescent="0.35">
      <c r="A284" t="s">
        <v>454</v>
      </c>
      <c r="B284" s="4">
        <v>256779411463</v>
      </c>
      <c r="C284" s="3">
        <v>45762</v>
      </c>
      <c r="D284" s="1">
        <v>0</v>
      </c>
      <c r="E284" s="1">
        <v>-40.25</v>
      </c>
      <c r="F284" t="s">
        <v>15</v>
      </c>
      <c r="G284" t="s">
        <v>233</v>
      </c>
      <c r="H284" t="s">
        <v>11</v>
      </c>
      <c r="I284" s="2">
        <v>46023</v>
      </c>
      <c r="J284">
        <v>50</v>
      </c>
      <c r="K284" s="3">
        <v>46053</v>
      </c>
      <c r="L284">
        <v>271</v>
      </c>
      <c r="M284" t="s">
        <v>13</v>
      </c>
      <c r="P284" s="38">
        <f t="shared" si="30"/>
        <v>-40.25</v>
      </c>
      <c r="S284" t="s">
        <v>918</v>
      </c>
    </row>
    <row r="285" spans="1:19" x14ac:dyDescent="0.35">
      <c r="A285" t="s">
        <v>454</v>
      </c>
      <c r="B285" s="4">
        <v>246779411407</v>
      </c>
      <c r="C285" s="3">
        <v>45730</v>
      </c>
      <c r="D285" s="1">
        <v>-57.23</v>
      </c>
      <c r="E285" s="1">
        <v>-4981.4399999999996</v>
      </c>
      <c r="G285" t="s">
        <v>239</v>
      </c>
      <c r="H285" t="s">
        <v>11</v>
      </c>
      <c r="I285" s="2">
        <v>45809</v>
      </c>
      <c r="J285">
        <v>1</v>
      </c>
      <c r="K285" s="3">
        <v>45997</v>
      </c>
      <c r="L285">
        <v>210</v>
      </c>
      <c r="M285" t="s">
        <v>13</v>
      </c>
      <c r="N285" s="79">
        <f t="shared" ref="N285:N311" si="33">O285/E285</f>
        <v>-1.9919942827776711E-2</v>
      </c>
      <c r="O285">
        <f>VLOOKUP(B285,'Customer TDS'!A:D,4,0)</f>
        <v>99.23</v>
      </c>
      <c r="P285" s="38">
        <f t="shared" si="30"/>
        <v>-4882.21</v>
      </c>
      <c r="Q285">
        <f>VLOOKUP(B285,Ascendus!E:I,5,0)</f>
        <v>4961.34</v>
      </c>
      <c r="R285" s="38">
        <f t="shared" ref="R285:R348" si="34">E285+Q285</f>
        <v>-20.099999999999454</v>
      </c>
      <c r="S285" t="s">
        <v>915</v>
      </c>
    </row>
    <row r="286" spans="1:19" x14ac:dyDescent="0.35">
      <c r="A286" t="s">
        <v>454</v>
      </c>
      <c r="B286" s="4">
        <v>246779411410</v>
      </c>
      <c r="C286" s="3">
        <v>45730</v>
      </c>
      <c r="D286" s="1">
        <v>-40.06</v>
      </c>
      <c r="E286" s="1">
        <v>-3486.92</v>
      </c>
      <c r="G286" t="s">
        <v>239</v>
      </c>
      <c r="H286" t="s">
        <v>11</v>
      </c>
      <c r="I286" s="2">
        <v>45809</v>
      </c>
      <c r="J286">
        <v>1</v>
      </c>
      <c r="K286" s="3">
        <v>45997</v>
      </c>
      <c r="L286">
        <v>210</v>
      </c>
      <c r="M286" t="s">
        <v>13</v>
      </c>
      <c r="N286" s="79">
        <f t="shared" si="33"/>
        <v>-1.9968912392598626E-2</v>
      </c>
      <c r="O286">
        <f>VLOOKUP(B286,'Customer TDS'!A:D,4,0)</f>
        <v>69.63</v>
      </c>
      <c r="P286" s="38">
        <f t="shared" si="30"/>
        <v>-3417.29</v>
      </c>
      <c r="Q286">
        <f>VLOOKUP(B286,Ascendus!E:I,5,0)</f>
        <v>3472.85</v>
      </c>
      <c r="R286" s="38">
        <f t="shared" si="34"/>
        <v>-14.070000000000164</v>
      </c>
      <c r="S286" t="s">
        <v>915</v>
      </c>
    </row>
    <row r="287" spans="1:19" x14ac:dyDescent="0.35">
      <c r="A287" t="s">
        <v>454</v>
      </c>
      <c r="B287" s="4">
        <v>246779411413</v>
      </c>
      <c r="C287" s="3">
        <v>45730</v>
      </c>
      <c r="D287" s="1">
        <v>-40.06</v>
      </c>
      <c r="E287" s="1">
        <v>-3486.92</v>
      </c>
      <c r="G287" t="s">
        <v>239</v>
      </c>
      <c r="H287" t="s">
        <v>11</v>
      </c>
      <c r="I287" s="2">
        <v>45809</v>
      </c>
      <c r="J287">
        <v>1</v>
      </c>
      <c r="K287" s="3">
        <v>45997</v>
      </c>
      <c r="L287">
        <v>210</v>
      </c>
      <c r="M287" t="s">
        <v>13</v>
      </c>
      <c r="N287" s="79">
        <f t="shared" si="33"/>
        <v>-1.9968912392598626E-2</v>
      </c>
      <c r="O287">
        <f>VLOOKUP(B287,'Customer TDS'!A:D,4,0)</f>
        <v>69.63</v>
      </c>
      <c r="P287" s="38">
        <f t="shared" si="30"/>
        <v>-3417.29</v>
      </c>
      <c r="Q287">
        <f>VLOOKUP(B287,Ascendus!E:I,5,0)</f>
        <v>3472.85</v>
      </c>
      <c r="R287" s="38">
        <f t="shared" si="34"/>
        <v>-14.070000000000164</v>
      </c>
      <c r="S287" t="s">
        <v>915</v>
      </c>
    </row>
    <row r="288" spans="1:19" x14ac:dyDescent="0.35">
      <c r="A288" t="s">
        <v>454</v>
      </c>
      <c r="B288" s="4">
        <v>246779411414</v>
      </c>
      <c r="C288" s="3">
        <v>45730</v>
      </c>
      <c r="D288" s="1">
        <v>-28.62</v>
      </c>
      <c r="E288" s="1">
        <v>-2491.15</v>
      </c>
      <c r="G288" t="s">
        <v>239</v>
      </c>
      <c r="H288" t="s">
        <v>11</v>
      </c>
      <c r="I288" s="2">
        <v>45809</v>
      </c>
      <c r="J288">
        <v>1</v>
      </c>
      <c r="K288" s="3">
        <v>45997</v>
      </c>
      <c r="L288">
        <v>210</v>
      </c>
      <c r="M288" t="s">
        <v>13</v>
      </c>
      <c r="N288" s="79">
        <f t="shared" si="33"/>
        <v>-1.9914497320514622E-2</v>
      </c>
      <c r="O288">
        <f>VLOOKUP(B288,'Customer TDS'!A:D,4,0)</f>
        <v>49.61</v>
      </c>
      <c r="P288" s="38">
        <f t="shared" si="30"/>
        <v>-2441.54</v>
      </c>
      <c r="Q288">
        <f>VLOOKUP(B288,Ascendus!E:I,5,0)</f>
        <v>2481.1</v>
      </c>
      <c r="R288" s="38">
        <f t="shared" si="34"/>
        <v>-10.050000000000182</v>
      </c>
      <c r="S288" t="s">
        <v>915</v>
      </c>
    </row>
    <row r="289" spans="1:19" x14ac:dyDescent="0.35">
      <c r="A289" t="s">
        <v>454</v>
      </c>
      <c r="B289" s="4">
        <v>246779411415</v>
      </c>
      <c r="C289" s="3">
        <v>45730</v>
      </c>
      <c r="D289" s="1">
        <v>-22.89</v>
      </c>
      <c r="E289" s="1">
        <v>-1992.4</v>
      </c>
      <c r="G289" t="s">
        <v>239</v>
      </c>
      <c r="H289" t="s">
        <v>11</v>
      </c>
      <c r="I289" s="2">
        <v>45809</v>
      </c>
      <c r="J289">
        <v>1</v>
      </c>
      <c r="K289" s="3">
        <v>45997</v>
      </c>
      <c r="L289">
        <v>210</v>
      </c>
      <c r="M289" t="s">
        <v>13</v>
      </c>
      <c r="N289" s="79">
        <f t="shared" si="33"/>
        <v>-2.0096366191527805E-2</v>
      </c>
      <c r="O289">
        <f>VLOOKUP(B289,'Customer TDS'!A:D,4,0)</f>
        <v>40.04</v>
      </c>
      <c r="P289" s="38">
        <f t="shared" si="30"/>
        <v>-1952.3600000000001</v>
      </c>
      <c r="Q289">
        <f>VLOOKUP(B289,Ascendus!E:I,5,0)</f>
        <v>1984.36</v>
      </c>
      <c r="R289" s="38">
        <f t="shared" si="34"/>
        <v>-8.040000000000191</v>
      </c>
      <c r="S289" t="s">
        <v>915</v>
      </c>
    </row>
    <row r="290" spans="1:19" x14ac:dyDescent="0.35">
      <c r="A290" t="s">
        <v>454</v>
      </c>
      <c r="B290" s="4">
        <v>246779411417</v>
      </c>
      <c r="C290" s="3">
        <v>45730</v>
      </c>
      <c r="D290" s="1">
        <v>-68.680000000000007</v>
      </c>
      <c r="E290" s="1">
        <v>-5978.07</v>
      </c>
      <c r="G290" t="s">
        <v>239</v>
      </c>
      <c r="H290" t="s">
        <v>11</v>
      </c>
      <c r="I290" s="2">
        <v>45809</v>
      </c>
      <c r="J290">
        <v>1</v>
      </c>
      <c r="K290" s="3">
        <v>45997</v>
      </c>
      <c r="L290">
        <v>210</v>
      </c>
      <c r="M290" t="s">
        <v>13</v>
      </c>
      <c r="N290" s="79">
        <f t="shared" si="33"/>
        <v>-1.9947909609623175E-2</v>
      </c>
      <c r="O290">
        <f>VLOOKUP(B290,'Customer TDS'!A:D,4,0)</f>
        <v>119.25</v>
      </c>
      <c r="P290" s="38">
        <f t="shared" si="30"/>
        <v>-5858.82</v>
      </c>
      <c r="Q290">
        <f>VLOOKUP(B290,Ascendus!E:I,5,0)</f>
        <v>5953.96</v>
      </c>
      <c r="R290" s="38">
        <f t="shared" si="34"/>
        <v>-24.109999999999673</v>
      </c>
      <c r="S290" t="s">
        <v>915</v>
      </c>
    </row>
    <row r="291" spans="1:19" x14ac:dyDescent="0.35">
      <c r="A291" t="s">
        <v>454</v>
      </c>
      <c r="B291" s="4">
        <v>246779411419</v>
      </c>
      <c r="C291" s="3">
        <v>45730</v>
      </c>
      <c r="D291" s="1">
        <v>-23.35</v>
      </c>
      <c r="E291" s="1">
        <v>-2032.44</v>
      </c>
      <c r="G291" t="s">
        <v>239</v>
      </c>
      <c r="H291" t="s">
        <v>11</v>
      </c>
      <c r="I291" s="2">
        <v>45809</v>
      </c>
      <c r="J291">
        <v>1</v>
      </c>
      <c r="K291" s="3">
        <v>45997</v>
      </c>
      <c r="L291">
        <v>210</v>
      </c>
      <c r="M291" t="s">
        <v>13</v>
      </c>
      <c r="N291" s="79">
        <f t="shared" si="33"/>
        <v>-2.0128515478931724E-2</v>
      </c>
      <c r="O291">
        <f>VLOOKUP(B291,'Customer TDS'!A:D,4,0)</f>
        <v>40.909999999999997</v>
      </c>
      <c r="P291" s="38">
        <f t="shared" si="30"/>
        <v>-1991.53</v>
      </c>
      <c r="Q291">
        <f>VLOOKUP(B291,Ascendus!E:I,5,0)</f>
        <v>2024.24</v>
      </c>
      <c r="R291" s="38">
        <f t="shared" si="34"/>
        <v>-8.2000000000000455</v>
      </c>
      <c r="S291" t="s">
        <v>915</v>
      </c>
    </row>
    <row r="292" spans="1:19" x14ac:dyDescent="0.35">
      <c r="A292" t="s">
        <v>454</v>
      </c>
      <c r="B292" s="4">
        <v>246779411409</v>
      </c>
      <c r="C292" s="3">
        <v>45730</v>
      </c>
      <c r="D292" s="1">
        <v>-249.55</v>
      </c>
      <c r="E292" s="1">
        <v>-21721.43</v>
      </c>
      <c r="F292" t="s">
        <v>93</v>
      </c>
      <c r="G292" t="s">
        <v>239</v>
      </c>
      <c r="H292" t="s">
        <v>11</v>
      </c>
      <c r="I292" s="2">
        <v>45809</v>
      </c>
      <c r="J292">
        <v>1</v>
      </c>
      <c r="K292" s="3">
        <v>45997</v>
      </c>
      <c r="L292">
        <v>210</v>
      </c>
      <c r="M292" t="s">
        <v>13</v>
      </c>
      <c r="N292" s="79">
        <f t="shared" si="33"/>
        <v>-1.9995921078860827E-2</v>
      </c>
      <c r="O292">
        <f>VLOOKUP(B292,'Customer TDS'!A:D,4,0)</f>
        <v>434.34</v>
      </c>
      <c r="P292" s="38">
        <f t="shared" si="30"/>
        <v>-21287.09</v>
      </c>
      <c r="Q292">
        <f>VLOOKUP(B292,Ascendus!E:I,5,0)</f>
        <v>21633.8</v>
      </c>
      <c r="R292" s="38">
        <f t="shared" si="34"/>
        <v>-87.630000000001019</v>
      </c>
      <c r="S292" t="s">
        <v>915</v>
      </c>
    </row>
    <row r="293" spans="1:19" x14ac:dyDescent="0.35">
      <c r="A293" t="s">
        <v>454</v>
      </c>
      <c r="B293" s="4">
        <v>246779411408</v>
      </c>
      <c r="C293" s="3">
        <v>45730</v>
      </c>
      <c r="D293" s="1">
        <v>-40.06</v>
      </c>
      <c r="E293" s="1">
        <v>-3486.92</v>
      </c>
      <c r="G293" t="s">
        <v>239</v>
      </c>
      <c r="H293" t="s">
        <v>11</v>
      </c>
      <c r="I293" s="2">
        <v>45809</v>
      </c>
      <c r="J293">
        <v>1</v>
      </c>
      <c r="K293" s="3">
        <v>45997</v>
      </c>
      <c r="L293">
        <v>210</v>
      </c>
      <c r="M293" t="s">
        <v>13</v>
      </c>
      <c r="N293" s="79">
        <f t="shared" si="33"/>
        <v>-1.9968912392598626E-2</v>
      </c>
      <c r="O293">
        <f>VLOOKUP(B293,'Customer TDS'!A:D,4,0)</f>
        <v>69.63</v>
      </c>
      <c r="P293" s="38">
        <f t="shared" si="30"/>
        <v>-3417.29</v>
      </c>
      <c r="Q293">
        <f>VLOOKUP(B293,Ascendus!E:I,5,0)</f>
        <v>3472.85</v>
      </c>
      <c r="R293" s="38">
        <f t="shared" si="34"/>
        <v>-14.070000000000164</v>
      </c>
      <c r="S293" t="s">
        <v>915</v>
      </c>
    </row>
    <row r="294" spans="1:19" x14ac:dyDescent="0.35">
      <c r="A294" t="s">
        <v>454</v>
      </c>
      <c r="B294" s="4">
        <v>246779411411</v>
      </c>
      <c r="C294" s="3">
        <v>45730</v>
      </c>
      <c r="D294" s="1">
        <v>-45.79</v>
      </c>
      <c r="E294" s="1">
        <v>-3985.67</v>
      </c>
      <c r="G294" t="s">
        <v>239</v>
      </c>
      <c r="H294" t="s">
        <v>11</v>
      </c>
      <c r="I294" s="2">
        <v>45809</v>
      </c>
      <c r="J294">
        <v>1</v>
      </c>
      <c r="K294" s="3">
        <v>45997</v>
      </c>
      <c r="L294">
        <v>210</v>
      </c>
      <c r="M294" t="s">
        <v>13</v>
      </c>
      <c r="N294" s="79">
        <f t="shared" si="33"/>
        <v>-2.0091979516618286E-2</v>
      </c>
      <c r="O294">
        <f>VLOOKUP(B294,'Customer TDS'!A:D,4,0)</f>
        <v>80.08</v>
      </c>
      <c r="P294" s="38">
        <f t="shared" si="30"/>
        <v>-3905.59</v>
      </c>
      <c r="Q294">
        <f>VLOOKUP(B294,Ascendus!E:I,5,0)</f>
        <v>3969.59</v>
      </c>
      <c r="R294" s="38">
        <f t="shared" si="34"/>
        <v>-16.079999999999927</v>
      </c>
      <c r="S294" t="s">
        <v>915</v>
      </c>
    </row>
    <row r="295" spans="1:19" x14ac:dyDescent="0.35">
      <c r="A295" t="s">
        <v>454</v>
      </c>
      <c r="B295" s="4">
        <v>246779411412</v>
      </c>
      <c r="C295" s="3">
        <v>45730</v>
      </c>
      <c r="D295" s="1">
        <v>-20.03</v>
      </c>
      <c r="E295" s="1">
        <v>-1743.46</v>
      </c>
      <c r="G295" t="s">
        <v>239</v>
      </c>
      <c r="H295" t="s">
        <v>11</v>
      </c>
      <c r="I295" s="2">
        <v>45809</v>
      </c>
      <c r="J295">
        <v>1</v>
      </c>
      <c r="K295" s="3">
        <v>45997</v>
      </c>
      <c r="L295">
        <v>210</v>
      </c>
      <c r="M295" t="s">
        <v>13</v>
      </c>
      <c r="N295" s="79">
        <f t="shared" si="33"/>
        <v>-1.9971780253060008E-2</v>
      </c>
      <c r="O295">
        <f>VLOOKUP(B295,'Customer TDS'!A:D,4,0)</f>
        <v>34.82</v>
      </c>
      <c r="P295" s="38">
        <f t="shared" si="30"/>
        <v>-1708.64</v>
      </c>
      <c r="Q295">
        <f>VLOOKUP(B295,Ascendus!E:I,5,0)</f>
        <v>1736.43</v>
      </c>
      <c r="R295" s="38">
        <f t="shared" si="34"/>
        <v>-7.0299999999999727</v>
      </c>
      <c r="S295" t="s">
        <v>915</v>
      </c>
    </row>
    <row r="296" spans="1:19" x14ac:dyDescent="0.35">
      <c r="A296" t="s">
        <v>454</v>
      </c>
      <c r="B296" s="4">
        <v>246779411416</v>
      </c>
      <c r="C296" s="3">
        <v>45730</v>
      </c>
      <c r="D296" s="1">
        <v>-114.46</v>
      </c>
      <c r="E296" s="1">
        <v>-9962.8700000000008</v>
      </c>
      <c r="G296" t="s">
        <v>239</v>
      </c>
      <c r="H296" t="s">
        <v>11</v>
      </c>
      <c r="I296" s="2">
        <v>45809</v>
      </c>
      <c r="J296">
        <v>1</v>
      </c>
      <c r="K296" s="3">
        <v>45997</v>
      </c>
      <c r="L296">
        <v>210</v>
      </c>
      <c r="M296" t="s">
        <v>13</v>
      </c>
      <c r="N296" s="79">
        <f t="shared" si="33"/>
        <v>-2.0007287056842054E-2</v>
      </c>
      <c r="O296">
        <f>VLOOKUP(B296,'Customer TDS'!A:D,4,0)</f>
        <v>199.33</v>
      </c>
      <c r="P296" s="38">
        <f t="shared" si="30"/>
        <v>-9763.5400000000009</v>
      </c>
      <c r="Q296">
        <f>VLOOKUP(B296,Ascendus!E:I,5,0)</f>
        <v>9922.68</v>
      </c>
      <c r="R296" s="38">
        <f t="shared" si="34"/>
        <v>-40.190000000000509</v>
      </c>
      <c r="S296" t="s">
        <v>915</v>
      </c>
    </row>
    <row r="297" spans="1:19" x14ac:dyDescent="0.35">
      <c r="A297" t="s">
        <v>454</v>
      </c>
      <c r="B297" s="4">
        <v>246779411418</v>
      </c>
      <c r="C297" s="3">
        <v>45730</v>
      </c>
      <c r="D297" s="1">
        <v>-312.5</v>
      </c>
      <c r="E297" s="1">
        <v>-27200.75</v>
      </c>
      <c r="G297" t="s">
        <v>239</v>
      </c>
      <c r="H297" t="s">
        <v>11</v>
      </c>
      <c r="I297" s="2">
        <v>45809</v>
      </c>
      <c r="J297">
        <v>1</v>
      </c>
      <c r="K297" s="3">
        <v>45997</v>
      </c>
      <c r="L297">
        <v>210</v>
      </c>
      <c r="M297" t="s">
        <v>13</v>
      </c>
      <c r="N297" s="79">
        <f t="shared" si="33"/>
        <v>-2.0000183818460887E-2</v>
      </c>
      <c r="O297">
        <f>VLOOKUP(B297,'Customer TDS'!A:D,4,0)</f>
        <v>544.02</v>
      </c>
      <c r="P297" s="38">
        <f t="shared" si="30"/>
        <v>-26656.73</v>
      </c>
      <c r="Q297">
        <f>VLOOKUP(B297,Ascendus!E:I,5,0)</f>
        <v>27091.02</v>
      </c>
      <c r="R297" s="38">
        <f t="shared" si="34"/>
        <v>-109.72999999999956</v>
      </c>
      <c r="S297" t="s">
        <v>915</v>
      </c>
    </row>
    <row r="298" spans="1:19" x14ac:dyDescent="0.35">
      <c r="A298" t="s">
        <v>454</v>
      </c>
      <c r="B298" s="4" t="s">
        <v>456</v>
      </c>
      <c r="C298" s="3">
        <v>45730</v>
      </c>
      <c r="D298" s="1">
        <v>-249.55</v>
      </c>
      <c r="E298" s="1">
        <v>-21721.43</v>
      </c>
      <c r="F298" t="s">
        <v>253</v>
      </c>
      <c r="G298" t="s">
        <v>239</v>
      </c>
      <c r="H298" t="s">
        <v>11</v>
      </c>
      <c r="I298" s="2">
        <v>45839</v>
      </c>
      <c r="J298">
        <v>1</v>
      </c>
      <c r="K298" s="3">
        <v>45860</v>
      </c>
      <c r="L298">
        <v>210</v>
      </c>
      <c r="M298" t="s">
        <v>13</v>
      </c>
      <c r="N298" s="79">
        <f t="shared" si="33"/>
        <v>-1.9995921078860827E-2</v>
      </c>
      <c r="O298">
        <f>VLOOKUP(B298,'Customer TDS'!A:D,4,0)</f>
        <v>434.34</v>
      </c>
      <c r="P298" s="38">
        <f t="shared" si="30"/>
        <v>-21287.09</v>
      </c>
      <c r="Q298" t="e">
        <f>VLOOKUP(B298,Ascendus!E:I,5,0)</f>
        <v>#N/A</v>
      </c>
      <c r="R298" s="38" t="e">
        <f t="shared" si="34"/>
        <v>#N/A</v>
      </c>
      <c r="S298" t="s">
        <v>914</v>
      </c>
    </row>
    <row r="299" spans="1:19" x14ac:dyDescent="0.35">
      <c r="A299" t="s">
        <v>454</v>
      </c>
      <c r="B299" s="4">
        <v>246779411312</v>
      </c>
      <c r="C299" s="3">
        <v>45729</v>
      </c>
      <c r="D299" s="1">
        <v>-27</v>
      </c>
      <c r="E299" s="1">
        <v>-2350.15</v>
      </c>
      <c r="G299" s="3">
        <v>45995</v>
      </c>
      <c r="H299" t="s">
        <v>11</v>
      </c>
      <c r="I299" s="2">
        <v>45809</v>
      </c>
      <c r="J299">
        <v>1</v>
      </c>
      <c r="K299" s="3">
        <v>45997</v>
      </c>
      <c r="L299">
        <v>210</v>
      </c>
      <c r="M299" t="s">
        <v>13</v>
      </c>
      <c r="N299" s="79">
        <f t="shared" si="33"/>
        <v>-1.9998723485734952E-2</v>
      </c>
      <c r="O299">
        <f>VLOOKUP(B299,'Customer TDS'!A:D,4,0)</f>
        <v>47</v>
      </c>
      <c r="P299" s="38">
        <f t="shared" si="30"/>
        <v>-2303.15</v>
      </c>
      <c r="Q299">
        <f>VLOOKUP(B299,Ascendus!E:I,5,0)</f>
        <v>2340.66</v>
      </c>
      <c r="R299" s="38">
        <f t="shared" si="34"/>
        <v>-9.4900000000002365</v>
      </c>
      <c r="S299" t="s">
        <v>915</v>
      </c>
    </row>
    <row r="300" spans="1:19" x14ac:dyDescent="0.35">
      <c r="A300" t="s">
        <v>454</v>
      </c>
      <c r="B300" s="4">
        <v>256779415389</v>
      </c>
      <c r="C300" s="3">
        <v>45937</v>
      </c>
      <c r="D300" s="1">
        <v>-170.62</v>
      </c>
      <c r="E300" s="1">
        <v>-15094.75</v>
      </c>
      <c r="G300" s="3">
        <v>45908</v>
      </c>
      <c r="H300" t="s">
        <v>11</v>
      </c>
      <c r="I300" s="2">
        <v>45901</v>
      </c>
      <c r="J300">
        <v>1</v>
      </c>
      <c r="K300" s="3">
        <v>45930</v>
      </c>
      <c r="L300">
        <v>210</v>
      </c>
      <c r="M300" t="s">
        <v>13</v>
      </c>
      <c r="N300" s="79">
        <f t="shared" si="33"/>
        <v>-1.9985756637241427E-2</v>
      </c>
      <c r="O300">
        <f>VLOOKUP(B300,'Customer TDS'!A:D,4,0)</f>
        <v>301.68</v>
      </c>
      <c r="P300" s="38">
        <f t="shared" si="30"/>
        <v>-14793.07</v>
      </c>
      <c r="Q300">
        <f>VLOOKUP(B300,Ascendus!E:I,5,0)</f>
        <v>14673.43</v>
      </c>
      <c r="R300" s="38">
        <f t="shared" si="34"/>
        <v>-421.31999999999971</v>
      </c>
      <c r="S300" t="s">
        <v>915</v>
      </c>
    </row>
    <row r="301" spans="1:19" x14ac:dyDescent="0.35">
      <c r="A301" t="s">
        <v>454</v>
      </c>
      <c r="B301" s="4">
        <v>256779415346</v>
      </c>
      <c r="C301" s="3">
        <v>45937</v>
      </c>
      <c r="D301" s="1">
        <v>-17.5</v>
      </c>
      <c r="E301" s="1">
        <v>-1548.23</v>
      </c>
      <c r="G301" s="3">
        <v>45908</v>
      </c>
      <c r="H301" t="s">
        <v>11</v>
      </c>
      <c r="I301" s="2">
        <v>45901</v>
      </c>
      <c r="J301">
        <v>1</v>
      </c>
      <c r="K301" s="3">
        <v>45930</v>
      </c>
      <c r="L301">
        <v>210</v>
      </c>
      <c r="M301" t="s">
        <v>13</v>
      </c>
      <c r="N301" s="79">
        <f t="shared" si="33"/>
        <v>-1.9997028865220284E-2</v>
      </c>
      <c r="O301">
        <f>VLOOKUP(B301,'Customer TDS'!A:D,4,0)</f>
        <v>30.96</v>
      </c>
      <c r="P301" s="38">
        <f t="shared" si="30"/>
        <v>-1517.27</v>
      </c>
      <c r="Q301">
        <f>VLOOKUP(B301,Ascendus!E:I,5,0)</f>
        <v>1505.01</v>
      </c>
      <c r="R301" s="38">
        <f t="shared" si="34"/>
        <v>-43.220000000000027</v>
      </c>
      <c r="S301" t="s">
        <v>915</v>
      </c>
    </row>
    <row r="302" spans="1:19" x14ac:dyDescent="0.35">
      <c r="A302" t="s">
        <v>454</v>
      </c>
      <c r="B302" s="4">
        <v>256779415350</v>
      </c>
      <c r="C302" s="3">
        <v>45937</v>
      </c>
      <c r="D302" s="1">
        <v>-22.5</v>
      </c>
      <c r="E302" s="1">
        <v>-1990.58</v>
      </c>
      <c r="G302" s="3">
        <v>45908</v>
      </c>
      <c r="H302" t="s">
        <v>11</v>
      </c>
      <c r="I302" s="2">
        <v>45901</v>
      </c>
      <c r="J302">
        <v>1</v>
      </c>
      <c r="K302" s="3">
        <v>45930</v>
      </c>
      <c r="L302">
        <v>210</v>
      </c>
      <c r="M302" t="s">
        <v>13</v>
      </c>
      <c r="N302" s="79">
        <f t="shared" si="33"/>
        <v>-1.9999196214168735E-2</v>
      </c>
      <c r="O302">
        <f>VLOOKUP(B302,'Customer TDS'!A:D,4,0)</f>
        <v>39.81</v>
      </c>
      <c r="P302" s="38">
        <f t="shared" si="30"/>
        <v>-1950.77</v>
      </c>
      <c r="Q302">
        <f>VLOOKUP(B302,Ascendus!E:I,5,0)</f>
        <v>1935.02</v>
      </c>
      <c r="R302" s="38">
        <f t="shared" si="34"/>
        <v>-55.559999999999945</v>
      </c>
      <c r="S302" t="s">
        <v>915</v>
      </c>
    </row>
    <row r="303" spans="1:19" x14ac:dyDescent="0.35">
      <c r="A303" t="s">
        <v>454</v>
      </c>
      <c r="B303" s="4">
        <v>256779415316</v>
      </c>
      <c r="C303" s="3">
        <v>45937</v>
      </c>
      <c r="D303" s="1">
        <v>-60</v>
      </c>
      <c r="E303" s="1">
        <v>-5308.2</v>
      </c>
      <c r="G303" s="3">
        <v>45908</v>
      </c>
      <c r="H303" t="s">
        <v>11</v>
      </c>
      <c r="I303" s="2">
        <v>45901</v>
      </c>
      <c r="J303">
        <v>1</v>
      </c>
      <c r="K303" s="3">
        <v>45930</v>
      </c>
      <c r="L303">
        <v>210</v>
      </c>
      <c r="M303" t="s">
        <v>13</v>
      </c>
      <c r="N303" s="79">
        <f t="shared" si="33"/>
        <v>-1.9999246448890395E-2</v>
      </c>
      <c r="O303">
        <f>VLOOKUP(B303,'Customer TDS'!A:D,4,0)</f>
        <v>106.16</v>
      </c>
      <c r="P303" s="38">
        <f t="shared" si="30"/>
        <v>-5202.04</v>
      </c>
      <c r="Q303">
        <f>VLOOKUP(B303,Ascendus!E:I,5,0)</f>
        <v>5160.04</v>
      </c>
      <c r="R303" s="38">
        <f t="shared" si="34"/>
        <v>-148.15999999999985</v>
      </c>
      <c r="S303" t="s">
        <v>915</v>
      </c>
    </row>
    <row r="304" spans="1:19" x14ac:dyDescent="0.35">
      <c r="A304" t="s">
        <v>454</v>
      </c>
      <c r="B304" s="4">
        <v>256779415355</v>
      </c>
      <c r="C304" s="3">
        <v>45937</v>
      </c>
      <c r="D304" s="1">
        <v>-21.37</v>
      </c>
      <c r="E304" s="1">
        <v>-1890.6</v>
      </c>
      <c r="G304" s="3">
        <v>45908</v>
      </c>
      <c r="H304" t="s">
        <v>11</v>
      </c>
      <c r="I304" s="2">
        <v>45901</v>
      </c>
      <c r="J304">
        <v>1</v>
      </c>
      <c r="K304" s="3">
        <v>45930</v>
      </c>
      <c r="L304">
        <v>210</v>
      </c>
      <c r="M304" t="s">
        <v>13</v>
      </c>
      <c r="N304" s="79">
        <f t="shared" si="33"/>
        <v>-2.0120596635988575E-2</v>
      </c>
      <c r="O304">
        <f>VLOOKUP(B304,'Customer TDS'!A:D,4,0)</f>
        <v>38.04</v>
      </c>
      <c r="P304" s="38">
        <f t="shared" si="30"/>
        <v>-1852.56</v>
      </c>
      <c r="Q304">
        <f>VLOOKUP(B304,Ascendus!E:I,5,0)</f>
        <v>1837.83</v>
      </c>
      <c r="R304" s="38">
        <f t="shared" si="34"/>
        <v>-52.769999999999982</v>
      </c>
      <c r="S304" t="s">
        <v>915</v>
      </c>
    </row>
    <row r="305" spans="1:19" x14ac:dyDescent="0.35">
      <c r="A305" t="s">
        <v>454</v>
      </c>
      <c r="B305" s="4">
        <v>256779415303</v>
      </c>
      <c r="C305" s="3">
        <v>45937</v>
      </c>
      <c r="D305" s="1">
        <v>-100</v>
      </c>
      <c r="E305" s="1">
        <v>-8847</v>
      </c>
      <c r="G305" s="3">
        <v>45908</v>
      </c>
      <c r="H305" t="s">
        <v>11</v>
      </c>
      <c r="I305" s="2">
        <v>45901</v>
      </c>
      <c r="J305">
        <v>1</v>
      </c>
      <c r="K305" s="3">
        <v>45930</v>
      </c>
      <c r="L305">
        <v>210</v>
      </c>
      <c r="M305" t="s">
        <v>13</v>
      </c>
      <c r="N305" s="79">
        <f t="shared" si="33"/>
        <v>-0.02</v>
      </c>
      <c r="O305">
        <f>VLOOKUP(B305,'Customer TDS'!A:D,4,0)</f>
        <v>176.94</v>
      </c>
      <c r="P305" s="38">
        <f t="shared" si="30"/>
        <v>-8670.06</v>
      </c>
      <c r="Q305">
        <f>VLOOKUP(B305,Ascendus!E:I,5,0)</f>
        <v>8600.07</v>
      </c>
      <c r="R305" s="38">
        <f t="shared" si="34"/>
        <v>-246.93000000000029</v>
      </c>
      <c r="S305" t="s">
        <v>915</v>
      </c>
    </row>
    <row r="306" spans="1:19" x14ac:dyDescent="0.35">
      <c r="A306" t="s">
        <v>454</v>
      </c>
      <c r="B306" s="4">
        <v>256779415333</v>
      </c>
      <c r="C306" s="3">
        <v>45937</v>
      </c>
      <c r="D306" s="1">
        <v>-22.5</v>
      </c>
      <c r="E306" s="1">
        <v>-1990.58</v>
      </c>
      <c r="G306" s="3">
        <v>45908</v>
      </c>
      <c r="H306" t="s">
        <v>11</v>
      </c>
      <c r="I306" s="2">
        <v>45901</v>
      </c>
      <c r="J306">
        <v>1</v>
      </c>
      <c r="K306" s="3">
        <v>45930</v>
      </c>
      <c r="L306">
        <v>210</v>
      </c>
      <c r="M306" t="s">
        <v>13</v>
      </c>
      <c r="N306" s="79">
        <f t="shared" si="33"/>
        <v>-1.9999196214168735E-2</v>
      </c>
      <c r="O306">
        <f>VLOOKUP(B306,'Customer TDS'!A:D,4,0)</f>
        <v>39.81</v>
      </c>
      <c r="P306" s="38">
        <f t="shared" si="30"/>
        <v>-1950.77</v>
      </c>
      <c r="Q306">
        <f>VLOOKUP(B306,Ascendus!E:I,5,0)</f>
        <v>1935.02</v>
      </c>
      <c r="R306" s="38">
        <f t="shared" si="34"/>
        <v>-55.559999999999945</v>
      </c>
      <c r="S306" t="s">
        <v>915</v>
      </c>
    </row>
    <row r="307" spans="1:19" x14ac:dyDescent="0.35">
      <c r="A307" t="s">
        <v>454</v>
      </c>
      <c r="B307" s="4">
        <v>256779415304</v>
      </c>
      <c r="C307" s="3">
        <v>45937</v>
      </c>
      <c r="D307" s="1">
        <v>-30</v>
      </c>
      <c r="E307" s="1">
        <v>-2654.1</v>
      </c>
      <c r="G307" s="3">
        <v>45908</v>
      </c>
      <c r="H307" t="s">
        <v>11</v>
      </c>
      <c r="I307" s="2">
        <v>45901</v>
      </c>
      <c r="J307">
        <v>1</v>
      </c>
      <c r="K307" s="3">
        <v>45930</v>
      </c>
      <c r="L307">
        <v>210</v>
      </c>
      <c r="M307" t="s">
        <v>13</v>
      </c>
      <c r="N307" s="79">
        <f t="shared" si="33"/>
        <v>-1.9999246448890395E-2</v>
      </c>
      <c r="O307">
        <f>VLOOKUP(B307,'Customer TDS'!A:D,4,0)</f>
        <v>53.08</v>
      </c>
      <c r="P307" s="38">
        <f t="shared" si="30"/>
        <v>-2601.02</v>
      </c>
      <c r="Q307">
        <f>VLOOKUP(B307,Ascendus!E:I,5,0)</f>
        <v>2580.02</v>
      </c>
      <c r="R307" s="38">
        <f t="shared" si="34"/>
        <v>-74.079999999999927</v>
      </c>
      <c r="S307" t="s">
        <v>915</v>
      </c>
    </row>
    <row r="308" spans="1:19" x14ac:dyDescent="0.35">
      <c r="A308" t="s">
        <v>454</v>
      </c>
      <c r="B308" s="4">
        <v>256779415377</v>
      </c>
      <c r="C308" s="3">
        <v>45937</v>
      </c>
      <c r="D308" s="1">
        <v>-50</v>
      </c>
      <c r="E308" s="1">
        <v>-4423.5</v>
      </c>
      <c r="G308" s="3">
        <v>45908</v>
      </c>
      <c r="H308" t="s">
        <v>11</v>
      </c>
      <c r="I308" s="2">
        <v>45901</v>
      </c>
      <c r="J308">
        <v>1</v>
      </c>
      <c r="K308" s="3">
        <v>45930</v>
      </c>
      <c r="L308">
        <v>210</v>
      </c>
      <c r="M308" t="s">
        <v>13</v>
      </c>
      <c r="N308" s="79">
        <f t="shared" si="33"/>
        <v>-0.02</v>
      </c>
      <c r="O308">
        <f>VLOOKUP(B308,'Customer TDS'!A:D,4,0)</f>
        <v>88.47</v>
      </c>
      <c r="P308" s="38">
        <f t="shared" si="30"/>
        <v>-4335.03</v>
      </c>
      <c r="Q308">
        <f>VLOOKUP(B308,Ascendus!E:I,5,0)</f>
        <v>4300.03</v>
      </c>
      <c r="R308" s="38">
        <f t="shared" si="34"/>
        <v>-123.47000000000025</v>
      </c>
      <c r="S308" t="s">
        <v>915</v>
      </c>
    </row>
    <row r="309" spans="1:19" x14ac:dyDescent="0.35">
      <c r="A309" t="s">
        <v>454</v>
      </c>
      <c r="B309" s="4">
        <v>256779415298</v>
      </c>
      <c r="C309" s="3">
        <v>45937</v>
      </c>
      <c r="D309" s="1">
        <v>-24</v>
      </c>
      <c r="E309" s="1">
        <v>-2123.2800000000002</v>
      </c>
      <c r="G309" s="3">
        <v>45908</v>
      </c>
      <c r="H309" t="s">
        <v>11</v>
      </c>
      <c r="I309" s="2">
        <v>45901</v>
      </c>
      <c r="J309">
        <v>1</v>
      </c>
      <c r="K309" s="3">
        <v>45930</v>
      </c>
      <c r="L309">
        <v>210</v>
      </c>
      <c r="M309" t="s">
        <v>13</v>
      </c>
      <c r="N309" s="79">
        <f t="shared" si="33"/>
        <v>-2.000207226555141E-2</v>
      </c>
      <c r="O309">
        <f>VLOOKUP(B309,'Customer TDS'!A:D,4,0)</f>
        <v>42.47</v>
      </c>
      <c r="P309" s="38">
        <f t="shared" si="30"/>
        <v>-2080.8100000000004</v>
      </c>
      <c r="Q309">
        <f>VLOOKUP(B309,Ascendus!E:I,5,0)</f>
        <v>2064.02</v>
      </c>
      <c r="R309" s="38">
        <f t="shared" si="34"/>
        <v>-59.260000000000218</v>
      </c>
      <c r="S309" t="s">
        <v>915</v>
      </c>
    </row>
    <row r="310" spans="1:19" x14ac:dyDescent="0.35">
      <c r="A310" t="s">
        <v>454</v>
      </c>
      <c r="B310" s="4">
        <v>256779415380</v>
      </c>
      <c r="C310" s="3">
        <v>45937</v>
      </c>
      <c r="D310" s="1">
        <v>-200</v>
      </c>
      <c r="E310" s="1">
        <v>-17694</v>
      </c>
      <c r="G310" s="3">
        <v>45908</v>
      </c>
      <c r="H310" t="s">
        <v>11</v>
      </c>
      <c r="I310" s="2">
        <v>45901</v>
      </c>
      <c r="J310">
        <v>1</v>
      </c>
      <c r="K310" s="3">
        <v>45930</v>
      </c>
      <c r="L310">
        <v>210</v>
      </c>
      <c r="M310" t="s">
        <v>13</v>
      </c>
      <c r="N310" s="79">
        <f t="shared" si="33"/>
        <v>-0.02</v>
      </c>
      <c r="O310">
        <f>VLOOKUP(B310,'Customer TDS'!A:D,4,0)</f>
        <v>353.88</v>
      </c>
      <c r="P310" s="38">
        <f t="shared" si="30"/>
        <v>-17340.12</v>
      </c>
      <c r="Q310">
        <f>VLOOKUP(B310,Ascendus!E:I,5,0)</f>
        <v>17200.13</v>
      </c>
      <c r="R310" s="38">
        <f t="shared" si="34"/>
        <v>-493.86999999999898</v>
      </c>
      <c r="S310" t="s">
        <v>915</v>
      </c>
    </row>
    <row r="311" spans="1:19" x14ac:dyDescent="0.35">
      <c r="A311" t="s">
        <v>454</v>
      </c>
      <c r="B311" s="4">
        <v>256779415341</v>
      </c>
      <c r="C311" s="3">
        <v>45937</v>
      </c>
      <c r="D311" s="1">
        <v>-15</v>
      </c>
      <c r="E311" s="1">
        <v>-1327.05</v>
      </c>
      <c r="G311" s="3">
        <v>45908</v>
      </c>
      <c r="H311" t="s">
        <v>11</v>
      </c>
      <c r="I311" s="2">
        <v>45901</v>
      </c>
      <c r="J311">
        <v>1</v>
      </c>
      <c r="K311" s="3">
        <v>45930</v>
      </c>
      <c r="L311">
        <v>210</v>
      </c>
      <c r="M311" t="s">
        <v>13</v>
      </c>
      <c r="N311" s="79">
        <f t="shared" si="33"/>
        <v>-1.9999246448890395E-2</v>
      </c>
      <c r="O311">
        <f>VLOOKUP(B311,'Customer TDS'!A:D,4,0)</f>
        <v>26.54</v>
      </c>
      <c r="P311" s="38">
        <f t="shared" si="30"/>
        <v>-1300.51</v>
      </c>
      <c r="Q311">
        <f>VLOOKUP(B311,Ascendus!E:I,5,0)</f>
        <v>1290.01</v>
      </c>
      <c r="R311" s="38">
        <f t="shared" si="34"/>
        <v>-37.039999999999964</v>
      </c>
      <c r="S311" t="s">
        <v>915</v>
      </c>
    </row>
    <row r="312" spans="1:19" x14ac:dyDescent="0.35">
      <c r="A312" t="s">
        <v>454</v>
      </c>
      <c r="B312" s="4">
        <v>256779415385</v>
      </c>
      <c r="C312" s="3">
        <v>45937</v>
      </c>
      <c r="D312" s="1">
        <v>-24</v>
      </c>
      <c r="E312" s="1">
        <v>-2123.2800000000002</v>
      </c>
      <c r="G312" s="3">
        <v>45908</v>
      </c>
      <c r="H312" t="s">
        <v>11</v>
      </c>
      <c r="I312" s="2">
        <v>45901</v>
      </c>
      <c r="J312">
        <v>1</v>
      </c>
      <c r="K312" s="3">
        <v>45930</v>
      </c>
      <c r="L312">
        <v>210</v>
      </c>
      <c r="M312" t="s">
        <v>13</v>
      </c>
      <c r="P312" s="38">
        <f t="shared" si="30"/>
        <v>-2123.2800000000002</v>
      </c>
      <c r="Q312">
        <f>VLOOKUP(B312,Ascendus!E:I,5,0)</f>
        <v>2064.02</v>
      </c>
      <c r="R312" s="38">
        <f t="shared" si="34"/>
        <v>-59.260000000000218</v>
      </c>
      <c r="S312" t="s">
        <v>915</v>
      </c>
    </row>
    <row r="313" spans="1:19" x14ac:dyDescent="0.35">
      <c r="A313" t="s">
        <v>454</v>
      </c>
      <c r="B313" s="4">
        <v>256779415293</v>
      </c>
      <c r="C313" s="3">
        <v>45937</v>
      </c>
      <c r="D313" s="1">
        <v>-24</v>
      </c>
      <c r="E313" s="1">
        <v>-2123.2800000000002</v>
      </c>
      <c r="G313" s="3">
        <v>45908</v>
      </c>
      <c r="H313" t="s">
        <v>11</v>
      </c>
      <c r="I313" s="2">
        <v>45901</v>
      </c>
      <c r="J313">
        <v>1</v>
      </c>
      <c r="K313" s="3">
        <v>45930</v>
      </c>
      <c r="L313">
        <v>210</v>
      </c>
      <c r="M313" t="s">
        <v>13</v>
      </c>
      <c r="P313" s="38">
        <f t="shared" si="30"/>
        <v>-2123.2800000000002</v>
      </c>
      <c r="Q313">
        <f>VLOOKUP(B313,Ascendus!E:I,5,0)</f>
        <v>2064.02</v>
      </c>
      <c r="R313" s="38">
        <f t="shared" si="34"/>
        <v>-59.260000000000218</v>
      </c>
      <c r="S313" t="s">
        <v>915</v>
      </c>
    </row>
    <row r="314" spans="1:19" x14ac:dyDescent="0.35">
      <c r="A314" t="s">
        <v>454</v>
      </c>
      <c r="B314" s="4">
        <v>256779415359</v>
      </c>
      <c r="C314" s="3">
        <v>45937</v>
      </c>
      <c r="D314" s="1">
        <v>-200</v>
      </c>
      <c r="E314" s="1">
        <v>-17694</v>
      </c>
      <c r="G314" s="3">
        <v>45908</v>
      </c>
      <c r="H314" t="s">
        <v>11</v>
      </c>
      <c r="I314" s="2">
        <v>45901</v>
      </c>
      <c r="J314">
        <v>1</v>
      </c>
      <c r="K314" s="3">
        <v>45930</v>
      </c>
      <c r="L314">
        <v>210</v>
      </c>
      <c r="M314" t="s">
        <v>13</v>
      </c>
      <c r="N314" s="79">
        <f>O314/E314</f>
        <v>-0.02</v>
      </c>
      <c r="O314">
        <f>VLOOKUP(B314,'Customer TDS'!A:D,4,0)</f>
        <v>353.88</v>
      </c>
      <c r="P314" s="38">
        <f t="shared" si="30"/>
        <v>-17340.12</v>
      </c>
      <c r="Q314">
        <f>VLOOKUP(B314,Ascendus!E:I,5,0)</f>
        <v>17200.13</v>
      </c>
      <c r="R314" s="38">
        <f t="shared" si="34"/>
        <v>-493.86999999999898</v>
      </c>
      <c r="S314" t="s">
        <v>915</v>
      </c>
    </row>
    <row r="315" spans="1:19" x14ac:dyDescent="0.35">
      <c r="A315" t="s">
        <v>454</v>
      </c>
      <c r="B315" s="4">
        <v>256779415374</v>
      </c>
      <c r="C315" s="3">
        <v>45937</v>
      </c>
      <c r="D315" s="1">
        <v>-469.38</v>
      </c>
      <c r="E315" s="1">
        <v>-41526.050000000003</v>
      </c>
      <c r="G315" s="3">
        <v>45908</v>
      </c>
      <c r="H315" t="s">
        <v>11</v>
      </c>
      <c r="I315" s="2">
        <v>45901</v>
      </c>
      <c r="J315">
        <v>1</v>
      </c>
      <c r="K315" s="3">
        <v>45930</v>
      </c>
      <c r="L315">
        <v>210</v>
      </c>
      <c r="M315" t="s">
        <v>13</v>
      </c>
      <c r="P315" s="38">
        <f t="shared" si="30"/>
        <v>-41526.050000000003</v>
      </c>
      <c r="Q315">
        <f>VLOOKUP(B315,Ascendus!E:I,5,0)</f>
        <v>40366.99</v>
      </c>
      <c r="R315" s="38">
        <f t="shared" si="34"/>
        <v>-1159.0600000000049</v>
      </c>
      <c r="S315" t="s">
        <v>915</v>
      </c>
    </row>
    <row r="316" spans="1:19" x14ac:dyDescent="0.35">
      <c r="A316" t="s">
        <v>454</v>
      </c>
      <c r="B316" s="4">
        <v>256779415338</v>
      </c>
      <c r="C316" s="3">
        <v>45937</v>
      </c>
      <c r="D316" s="1">
        <v>-12.5</v>
      </c>
      <c r="E316" s="1">
        <v>-1105.8800000000001</v>
      </c>
      <c r="G316" s="3">
        <v>45908</v>
      </c>
      <c r="H316" t="s">
        <v>11</v>
      </c>
      <c r="I316" s="2">
        <v>45901</v>
      </c>
      <c r="J316">
        <v>1</v>
      </c>
      <c r="K316" s="3">
        <v>45930</v>
      </c>
      <c r="L316">
        <v>210</v>
      </c>
      <c r="M316" t="s">
        <v>13</v>
      </c>
      <c r="N316" s="79">
        <f t="shared" ref="N316:N347" si="35">O316/E316</f>
        <v>-2.0002170217383441E-2</v>
      </c>
      <c r="O316">
        <f>VLOOKUP(B316,'Customer TDS'!A:D,4,0)</f>
        <v>22.12</v>
      </c>
      <c r="P316" s="38">
        <f t="shared" si="30"/>
        <v>-1083.7600000000002</v>
      </c>
      <c r="Q316">
        <f>VLOOKUP(B316,Ascendus!E:I,5,0)</f>
        <v>1075.01</v>
      </c>
      <c r="R316" s="38">
        <f t="shared" si="34"/>
        <v>-30.870000000000118</v>
      </c>
      <c r="S316" t="s">
        <v>915</v>
      </c>
    </row>
    <row r="317" spans="1:19" x14ac:dyDescent="0.35">
      <c r="A317" t="s">
        <v>454</v>
      </c>
      <c r="B317" s="4">
        <v>256779415344</v>
      </c>
      <c r="C317" s="3">
        <v>45937</v>
      </c>
      <c r="D317" s="1">
        <v>-25</v>
      </c>
      <c r="E317" s="1">
        <v>-2211.75</v>
      </c>
      <c r="G317" s="3">
        <v>45908</v>
      </c>
      <c r="H317" t="s">
        <v>11</v>
      </c>
      <c r="I317" s="2">
        <v>45901</v>
      </c>
      <c r="J317">
        <v>1</v>
      </c>
      <c r="K317" s="3">
        <v>45930</v>
      </c>
      <c r="L317">
        <v>210</v>
      </c>
      <c r="M317" t="s">
        <v>13</v>
      </c>
      <c r="N317" s="79">
        <f t="shared" si="35"/>
        <v>-2.0002260653328812E-2</v>
      </c>
      <c r="O317">
        <f>VLOOKUP(B317,'Customer TDS'!A:D,4,0)</f>
        <v>44.24</v>
      </c>
      <c r="P317" s="38">
        <f t="shared" si="30"/>
        <v>-2167.5100000000002</v>
      </c>
      <c r="Q317">
        <f>VLOOKUP(B317,Ascendus!E:I,5,0)</f>
        <v>2150.02</v>
      </c>
      <c r="R317" s="38">
        <f t="shared" si="34"/>
        <v>-61.730000000000018</v>
      </c>
      <c r="S317" t="s">
        <v>915</v>
      </c>
    </row>
    <row r="318" spans="1:19" x14ac:dyDescent="0.35">
      <c r="A318" t="s">
        <v>454</v>
      </c>
      <c r="B318" s="4">
        <v>256779415345</v>
      </c>
      <c r="C318" s="3">
        <v>45937</v>
      </c>
      <c r="D318" s="1">
        <v>-25</v>
      </c>
      <c r="E318" s="1">
        <v>-2211.75</v>
      </c>
      <c r="G318" s="3">
        <v>45908</v>
      </c>
      <c r="H318" t="s">
        <v>11</v>
      </c>
      <c r="I318" s="2">
        <v>45901</v>
      </c>
      <c r="J318">
        <v>1</v>
      </c>
      <c r="K318" s="3">
        <v>45930</v>
      </c>
      <c r="L318">
        <v>210</v>
      </c>
      <c r="M318" t="s">
        <v>13</v>
      </c>
      <c r="N318" s="79">
        <f t="shared" si="35"/>
        <v>-2.0002260653328812E-2</v>
      </c>
      <c r="O318">
        <f>VLOOKUP(B318,'Customer TDS'!A:D,4,0)</f>
        <v>44.24</v>
      </c>
      <c r="P318" s="38">
        <f t="shared" si="30"/>
        <v>-2167.5100000000002</v>
      </c>
      <c r="Q318">
        <f>VLOOKUP(B318,Ascendus!E:I,5,0)</f>
        <v>2150.02</v>
      </c>
      <c r="R318" s="38">
        <f t="shared" si="34"/>
        <v>-61.730000000000018</v>
      </c>
      <c r="S318" t="s">
        <v>915</v>
      </c>
    </row>
    <row r="319" spans="1:19" x14ac:dyDescent="0.35">
      <c r="A319" t="s">
        <v>454</v>
      </c>
      <c r="B319" s="4">
        <v>256779415388</v>
      </c>
      <c r="C319" s="3">
        <v>45937</v>
      </c>
      <c r="D319" s="1">
        <v>-2261.63</v>
      </c>
      <c r="E319" s="1">
        <v>-200086.41</v>
      </c>
      <c r="G319" s="3">
        <v>45908</v>
      </c>
      <c r="H319" t="s">
        <v>11</v>
      </c>
      <c r="I319" s="2">
        <v>45901</v>
      </c>
      <c r="J319">
        <v>1</v>
      </c>
      <c r="K319" s="3">
        <v>45930</v>
      </c>
      <c r="L319">
        <v>210</v>
      </c>
      <c r="M319" t="s">
        <v>13</v>
      </c>
      <c r="N319" s="79">
        <f t="shared" si="35"/>
        <v>-1.9998859492756153E-2</v>
      </c>
      <c r="O319">
        <f>VLOOKUP(B319,'Customer TDS'!A:D,4,0)</f>
        <v>4001.5</v>
      </c>
      <c r="P319" s="38">
        <f t="shared" si="30"/>
        <v>-196084.91</v>
      </c>
      <c r="Q319">
        <f>VLOOKUP(B319,Ascendus!E:I,5,0)</f>
        <v>194501.7</v>
      </c>
      <c r="R319" s="38">
        <f t="shared" si="34"/>
        <v>-5584.7099999999919</v>
      </c>
      <c r="S319" t="s">
        <v>915</v>
      </c>
    </row>
    <row r="320" spans="1:19" x14ac:dyDescent="0.35">
      <c r="A320" t="s">
        <v>454</v>
      </c>
      <c r="B320" s="4">
        <v>256779415310</v>
      </c>
      <c r="C320" s="3">
        <v>45937</v>
      </c>
      <c r="D320" s="1">
        <v>-30</v>
      </c>
      <c r="E320" s="1">
        <v>-2654.1</v>
      </c>
      <c r="G320" s="3">
        <v>45908</v>
      </c>
      <c r="H320" t="s">
        <v>11</v>
      </c>
      <c r="I320" s="2">
        <v>45901</v>
      </c>
      <c r="J320">
        <v>1</v>
      </c>
      <c r="K320" s="3">
        <v>45930</v>
      </c>
      <c r="L320">
        <v>210</v>
      </c>
      <c r="M320" t="s">
        <v>13</v>
      </c>
      <c r="N320" s="79">
        <f t="shared" si="35"/>
        <v>-1.9999246448890395E-2</v>
      </c>
      <c r="O320">
        <f>VLOOKUP(B320,'Customer TDS'!A:D,4,0)</f>
        <v>53.08</v>
      </c>
      <c r="P320" s="38">
        <f t="shared" si="30"/>
        <v>-2601.02</v>
      </c>
      <c r="Q320">
        <f>VLOOKUP(B320,Ascendus!E:I,5,0)</f>
        <v>2580.02</v>
      </c>
      <c r="R320" s="38">
        <f t="shared" si="34"/>
        <v>-74.079999999999927</v>
      </c>
      <c r="S320" t="s">
        <v>915</v>
      </c>
    </row>
    <row r="321" spans="1:19" x14ac:dyDescent="0.35">
      <c r="A321" t="s">
        <v>454</v>
      </c>
      <c r="B321" s="4">
        <v>256779415379</v>
      </c>
      <c r="C321" s="3">
        <v>45937</v>
      </c>
      <c r="D321" s="1">
        <v>-233.11</v>
      </c>
      <c r="E321" s="1">
        <v>-20623.240000000002</v>
      </c>
      <c r="G321" s="3">
        <v>45908</v>
      </c>
      <c r="H321" t="s">
        <v>11</v>
      </c>
      <c r="I321" s="2">
        <v>45901</v>
      </c>
      <c r="J321">
        <v>1</v>
      </c>
      <c r="K321" s="3">
        <v>45930</v>
      </c>
      <c r="L321">
        <v>210</v>
      </c>
      <c r="M321" t="s">
        <v>13</v>
      </c>
      <c r="N321" s="79">
        <f t="shared" si="35"/>
        <v>-1.9990554345485963E-2</v>
      </c>
      <c r="O321">
        <f>VLOOKUP(B321,'Customer TDS'!A:D,4,0)</f>
        <v>412.27</v>
      </c>
      <c r="P321" s="38">
        <f t="shared" si="30"/>
        <v>-20210.97</v>
      </c>
      <c r="Q321">
        <f>VLOOKUP(B321,Ascendus!E:I,5,0)</f>
        <v>20047.62</v>
      </c>
      <c r="R321" s="38">
        <f t="shared" si="34"/>
        <v>-575.62000000000262</v>
      </c>
      <c r="S321" t="s">
        <v>915</v>
      </c>
    </row>
    <row r="322" spans="1:19" x14ac:dyDescent="0.35">
      <c r="A322" t="s">
        <v>454</v>
      </c>
      <c r="B322" s="4">
        <v>256779415384</v>
      </c>
      <c r="C322" s="3">
        <v>45937</v>
      </c>
      <c r="D322" s="1">
        <v>-350</v>
      </c>
      <c r="E322" s="1">
        <v>-30964.5</v>
      </c>
      <c r="G322" s="3">
        <v>45908</v>
      </c>
      <c r="H322" t="s">
        <v>11</v>
      </c>
      <c r="I322" s="2">
        <v>45901</v>
      </c>
      <c r="J322">
        <v>1</v>
      </c>
      <c r="K322" s="3">
        <v>45930</v>
      </c>
      <c r="L322">
        <v>210</v>
      </c>
      <c r="M322" t="s">
        <v>13</v>
      </c>
      <c r="N322" s="79">
        <f t="shared" si="35"/>
        <v>-0.02</v>
      </c>
      <c r="O322">
        <f>VLOOKUP(B322,'Customer TDS'!A:D,4,0)</f>
        <v>619.29</v>
      </c>
      <c r="P322" s="38">
        <f t="shared" si="30"/>
        <v>-30345.21</v>
      </c>
      <c r="Q322">
        <f>VLOOKUP(B322,Ascendus!E:I,5,0)</f>
        <v>30100.23</v>
      </c>
      <c r="R322" s="38">
        <f t="shared" si="34"/>
        <v>-864.27000000000044</v>
      </c>
      <c r="S322" t="s">
        <v>915</v>
      </c>
    </row>
    <row r="323" spans="1:19" x14ac:dyDescent="0.35">
      <c r="A323" t="s">
        <v>454</v>
      </c>
      <c r="B323" s="4">
        <v>256779415339</v>
      </c>
      <c r="C323" s="3">
        <v>45937</v>
      </c>
      <c r="D323" s="1">
        <v>-27.39</v>
      </c>
      <c r="E323" s="1">
        <v>-2423.19</v>
      </c>
      <c r="G323" s="3">
        <v>45908</v>
      </c>
      <c r="H323" t="s">
        <v>11</v>
      </c>
      <c r="I323" s="2">
        <v>45901</v>
      </c>
      <c r="J323">
        <v>1</v>
      </c>
      <c r="K323" s="3">
        <v>45930</v>
      </c>
      <c r="L323">
        <v>210</v>
      </c>
      <c r="M323" t="s">
        <v>13</v>
      </c>
      <c r="N323" s="79">
        <f t="shared" si="35"/>
        <v>-2.0080967650081091E-2</v>
      </c>
      <c r="O323">
        <f>VLOOKUP(B323,'Customer TDS'!A:D,4,0)</f>
        <v>48.66</v>
      </c>
      <c r="P323" s="38">
        <f t="shared" si="30"/>
        <v>-2374.5300000000002</v>
      </c>
      <c r="Q323">
        <f>VLOOKUP(B323,Ascendus!E:I,5,0)</f>
        <v>2355.56</v>
      </c>
      <c r="R323" s="38">
        <f t="shared" si="34"/>
        <v>-67.630000000000109</v>
      </c>
      <c r="S323" t="s">
        <v>915</v>
      </c>
    </row>
    <row r="324" spans="1:19" x14ac:dyDescent="0.35">
      <c r="A324" t="s">
        <v>454</v>
      </c>
      <c r="B324" s="4">
        <v>256779415393</v>
      </c>
      <c r="C324" s="3">
        <v>45937</v>
      </c>
      <c r="D324" s="1">
        <v>-60</v>
      </c>
      <c r="E324" s="1">
        <v>-5308.2</v>
      </c>
      <c r="G324" s="3">
        <v>45908</v>
      </c>
      <c r="H324" t="s">
        <v>11</v>
      </c>
      <c r="I324" s="2">
        <v>45901</v>
      </c>
      <c r="J324">
        <v>1</v>
      </c>
      <c r="K324" s="3">
        <v>45930</v>
      </c>
      <c r="L324">
        <v>210</v>
      </c>
      <c r="M324" t="s">
        <v>13</v>
      </c>
      <c r="N324" s="79">
        <f t="shared" si="35"/>
        <v>-1.9999246448890395E-2</v>
      </c>
      <c r="O324">
        <f>VLOOKUP(B324,'Customer TDS'!A:D,4,0)</f>
        <v>106.16</v>
      </c>
      <c r="P324" s="38">
        <f t="shared" ref="P324:P387" si="36">E324+O324</f>
        <v>-5202.04</v>
      </c>
      <c r="Q324">
        <f>VLOOKUP(B324,Ascendus!E:I,5,0)</f>
        <v>5160.04</v>
      </c>
      <c r="R324" s="38">
        <f t="shared" si="34"/>
        <v>-148.15999999999985</v>
      </c>
      <c r="S324" t="s">
        <v>915</v>
      </c>
    </row>
    <row r="325" spans="1:19" x14ac:dyDescent="0.35">
      <c r="A325" t="s">
        <v>454</v>
      </c>
      <c r="B325" s="4">
        <v>256779415357</v>
      </c>
      <c r="C325" s="3">
        <v>45937</v>
      </c>
      <c r="D325" s="1">
        <v>-207.27</v>
      </c>
      <c r="E325" s="1">
        <v>-18337.18</v>
      </c>
      <c r="G325" s="3">
        <v>45908</v>
      </c>
      <c r="H325" t="s">
        <v>11</v>
      </c>
      <c r="I325" s="2">
        <v>45901</v>
      </c>
      <c r="J325">
        <v>1</v>
      </c>
      <c r="K325" s="3">
        <v>45930</v>
      </c>
      <c r="L325">
        <v>210</v>
      </c>
      <c r="M325" t="s">
        <v>13</v>
      </c>
      <c r="N325" s="79">
        <f t="shared" si="35"/>
        <v>-2.0022162622606091E-2</v>
      </c>
      <c r="O325">
        <f>VLOOKUP(B325,'Customer TDS'!A:D,4,0)</f>
        <v>367.15</v>
      </c>
      <c r="P325" s="38">
        <f t="shared" si="36"/>
        <v>-17970.03</v>
      </c>
      <c r="Q325">
        <f>VLOOKUP(B325,Ascendus!E:I,5,0)</f>
        <v>17825.36</v>
      </c>
      <c r="R325" s="38">
        <f t="shared" si="34"/>
        <v>-511.81999999999971</v>
      </c>
      <c r="S325" t="s">
        <v>915</v>
      </c>
    </row>
    <row r="326" spans="1:19" x14ac:dyDescent="0.35">
      <c r="A326" t="s">
        <v>454</v>
      </c>
      <c r="B326" s="4">
        <v>256779415300</v>
      </c>
      <c r="C326" s="3">
        <v>45937</v>
      </c>
      <c r="D326" s="1">
        <v>-24</v>
      </c>
      <c r="E326" s="1">
        <v>-2123.2800000000002</v>
      </c>
      <c r="G326" s="3">
        <v>45908</v>
      </c>
      <c r="H326" t="s">
        <v>11</v>
      </c>
      <c r="I326" s="2">
        <v>45901</v>
      </c>
      <c r="J326">
        <v>1</v>
      </c>
      <c r="K326" s="3">
        <v>45930</v>
      </c>
      <c r="L326">
        <v>210</v>
      </c>
      <c r="M326" t="s">
        <v>13</v>
      </c>
      <c r="N326" s="79">
        <f t="shared" si="35"/>
        <v>-2.000207226555141E-2</v>
      </c>
      <c r="O326">
        <f>VLOOKUP(B326,'Customer TDS'!A:D,4,0)</f>
        <v>42.47</v>
      </c>
      <c r="P326" s="38">
        <f t="shared" si="36"/>
        <v>-2080.8100000000004</v>
      </c>
      <c r="Q326">
        <f>VLOOKUP(B326,Ascendus!E:I,5,0)</f>
        <v>2064.02</v>
      </c>
      <c r="R326" s="38">
        <f t="shared" si="34"/>
        <v>-59.260000000000218</v>
      </c>
      <c r="S326" t="s">
        <v>915</v>
      </c>
    </row>
    <row r="327" spans="1:19" x14ac:dyDescent="0.35">
      <c r="A327" t="s">
        <v>454</v>
      </c>
      <c r="B327" s="4">
        <v>256779415375</v>
      </c>
      <c r="C327" s="3">
        <v>45937</v>
      </c>
      <c r="D327" s="1">
        <v>-360</v>
      </c>
      <c r="E327" s="1">
        <v>-31849.200000000001</v>
      </c>
      <c r="G327" s="3">
        <v>45908</v>
      </c>
      <c r="H327" t="s">
        <v>11</v>
      </c>
      <c r="I327" s="2">
        <v>45901</v>
      </c>
      <c r="J327">
        <v>1</v>
      </c>
      <c r="K327" s="3">
        <v>45930</v>
      </c>
      <c r="L327">
        <v>210</v>
      </c>
      <c r="M327" t="s">
        <v>13</v>
      </c>
      <c r="N327" s="79">
        <f t="shared" si="35"/>
        <v>-1.9999874408148398E-2</v>
      </c>
      <c r="O327">
        <f>VLOOKUP(B327,'Customer TDS'!A:D,4,0)</f>
        <v>636.98</v>
      </c>
      <c r="P327" s="38">
        <f t="shared" si="36"/>
        <v>-31212.22</v>
      </c>
      <c r="Q327">
        <f>VLOOKUP(B327,Ascendus!E:I,5,0)</f>
        <v>30960.240000000002</v>
      </c>
      <c r="R327" s="38">
        <f t="shared" si="34"/>
        <v>-888.95999999999913</v>
      </c>
      <c r="S327" t="s">
        <v>915</v>
      </c>
    </row>
    <row r="328" spans="1:19" x14ac:dyDescent="0.35">
      <c r="A328" t="s">
        <v>454</v>
      </c>
      <c r="B328" s="4">
        <v>256779415349</v>
      </c>
      <c r="C328" s="3">
        <v>45937</v>
      </c>
      <c r="D328" s="1">
        <v>-27.5</v>
      </c>
      <c r="E328" s="1">
        <v>-2432.9299999999998</v>
      </c>
      <c r="G328" s="3">
        <v>45908</v>
      </c>
      <c r="H328" t="s">
        <v>11</v>
      </c>
      <c r="I328" s="2">
        <v>45901</v>
      </c>
      <c r="J328">
        <v>1</v>
      </c>
      <c r="K328" s="3">
        <v>45930</v>
      </c>
      <c r="L328">
        <v>210</v>
      </c>
      <c r="M328" t="s">
        <v>13</v>
      </c>
      <c r="N328" s="79">
        <f t="shared" si="35"/>
        <v>-2.0000575437846547E-2</v>
      </c>
      <c r="O328">
        <f>VLOOKUP(B328,'Customer TDS'!A:D,4,0)</f>
        <v>48.66</v>
      </c>
      <c r="P328" s="38">
        <f t="shared" si="36"/>
        <v>-2384.27</v>
      </c>
      <c r="Q328">
        <f>VLOOKUP(B328,Ascendus!E:I,5,0)</f>
        <v>2365.02</v>
      </c>
      <c r="R328" s="38">
        <f t="shared" si="34"/>
        <v>-67.909999999999854</v>
      </c>
      <c r="S328" t="s">
        <v>915</v>
      </c>
    </row>
    <row r="329" spans="1:19" x14ac:dyDescent="0.35">
      <c r="A329" t="s">
        <v>454</v>
      </c>
      <c r="B329" s="4">
        <v>256779415308</v>
      </c>
      <c r="C329" s="3">
        <v>45937</v>
      </c>
      <c r="D329" s="1">
        <v>-30</v>
      </c>
      <c r="E329" s="1">
        <v>-2654.1</v>
      </c>
      <c r="G329" s="3">
        <v>45908</v>
      </c>
      <c r="H329" t="s">
        <v>11</v>
      </c>
      <c r="I329" s="2">
        <v>45901</v>
      </c>
      <c r="J329">
        <v>1</v>
      </c>
      <c r="K329" s="3">
        <v>45930</v>
      </c>
      <c r="L329">
        <v>210</v>
      </c>
      <c r="M329" t="s">
        <v>13</v>
      </c>
      <c r="N329" s="79">
        <f t="shared" si="35"/>
        <v>-1.9999246448890395E-2</v>
      </c>
      <c r="O329">
        <f>VLOOKUP(B329,'Customer TDS'!A:D,4,0)</f>
        <v>53.08</v>
      </c>
      <c r="P329" s="38">
        <f t="shared" si="36"/>
        <v>-2601.02</v>
      </c>
      <c r="Q329">
        <f>VLOOKUP(B329,Ascendus!E:I,5,0)</f>
        <v>2580.02</v>
      </c>
      <c r="R329" s="38">
        <f t="shared" si="34"/>
        <v>-74.079999999999927</v>
      </c>
      <c r="S329" t="s">
        <v>915</v>
      </c>
    </row>
    <row r="330" spans="1:19" x14ac:dyDescent="0.35">
      <c r="A330" t="s">
        <v>454</v>
      </c>
      <c r="B330" s="4">
        <v>256779415360</v>
      </c>
      <c r="C330" s="3">
        <v>45937</v>
      </c>
      <c r="D330" s="1">
        <v>-60</v>
      </c>
      <c r="E330" s="1">
        <v>-5308.2</v>
      </c>
      <c r="G330" s="3">
        <v>45908</v>
      </c>
      <c r="H330" t="s">
        <v>11</v>
      </c>
      <c r="I330" s="2">
        <v>45901</v>
      </c>
      <c r="J330">
        <v>1</v>
      </c>
      <c r="K330" s="3">
        <v>45930</v>
      </c>
      <c r="L330">
        <v>210</v>
      </c>
      <c r="M330" t="s">
        <v>13</v>
      </c>
      <c r="N330" s="79">
        <f t="shared" si="35"/>
        <v>-1.9999246448890395E-2</v>
      </c>
      <c r="O330">
        <f>VLOOKUP(B330,'Customer TDS'!A:D,4,0)</f>
        <v>106.16</v>
      </c>
      <c r="P330" s="38">
        <f t="shared" si="36"/>
        <v>-5202.04</v>
      </c>
      <c r="Q330">
        <f>VLOOKUP(B330,Ascendus!E:I,5,0)</f>
        <v>5160.04</v>
      </c>
      <c r="R330" s="38">
        <f t="shared" si="34"/>
        <v>-148.15999999999985</v>
      </c>
      <c r="S330" t="s">
        <v>915</v>
      </c>
    </row>
    <row r="331" spans="1:19" x14ac:dyDescent="0.35">
      <c r="A331" t="s">
        <v>454</v>
      </c>
      <c r="B331" s="4">
        <v>256779415318</v>
      </c>
      <c r="C331" s="3">
        <v>45937</v>
      </c>
      <c r="D331" s="1">
        <v>-254.65</v>
      </c>
      <c r="E331" s="1">
        <v>-22528.89</v>
      </c>
      <c r="G331" s="3">
        <v>45908</v>
      </c>
      <c r="H331" t="s">
        <v>11</v>
      </c>
      <c r="I331" s="2">
        <v>45901</v>
      </c>
      <c r="J331">
        <v>1</v>
      </c>
      <c r="K331" s="3">
        <v>45930</v>
      </c>
      <c r="L331">
        <v>210</v>
      </c>
      <c r="M331" t="s">
        <v>13</v>
      </c>
      <c r="N331" s="79">
        <f t="shared" si="35"/>
        <v>-1.9988113040633606E-2</v>
      </c>
      <c r="O331">
        <f>VLOOKUP(B331,'Customer TDS'!A:D,4,0)</f>
        <v>450.31</v>
      </c>
      <c r="P331" s="38">
        <f t="shared" si="36"/>
        <v>-22078.579999999998</v>
      </c>
      <c r="Q331">
        <f>VLOOKUP(B331,Ascendus!E:I,5,0)</f>
        <v>21900.07</v>
      </c>
      <c r="R331" s="38">
        <f t="shared" si="34"/>
        <v>-628.81999999999971</v>
      </c>
      <c r="S331" t="s">
        <v>915</v>
      </c>
    </row>
    <row r="332" spans="1:19" x14ac:dyDescent="0.35">
      <c r="A332" t="s">
        <v>454</v>
      </c>
      <c r="B332" s="4">
        <v>256779415378</v>
      </c>
      <c r="C332" s="3">
        <v>45937</v>
      </c>
      <c r="D332" s="1">
        <v>-120</v>
      </c>
      <c r="E332" s="1">
        <v>-10616.4</v>
      </c>
      <c r="G332" s="3">
        <v>45908</v>
      </c>
      <c r="H332" t="s">
        <v>11</v>
      </c>
      <c r="I332" s="2">
        <v>45901</v>
      </c>
      <c r="J332">
        <v>1</v>
      </c>
      <c r="K332" s="3">
        <v>45930</v>
      </c>
      <c r="L332">
        <v>210</v>
      </c>
      <c r="M332" t="s">
        <v>13</v>
      </c>
      <c r="N332" s="79">
        <f t="shared" si="35"/>
        <v>-2.0000188387777403E-2</v>
      </c>
      <c r="O332">
        <f>VLOOKUP(B332,'Customer TDS'!A:D,4,0)</f>
        <v>212.33</v>
      </c>
      <c r="P332" s="38">
        <f t="shared" si="36"/>
        <v>-10404.07</v>
      </c>
      <c r="Q332">
        <f>VLOOKUP(B332,Ascendus!E:I,5,0)</f>
        <v>10320.08</v>
      </c>
      <c r="R332" s="38">
        <f t="shared" si="34"/>
        <v>-296.31999999999971</v>
      </c>
      <c r="S332" t="s">
        <v>915</v>
      </c>
    </row>
    <row r="333" spans="1:19" x14ac:dyDescent="0.35">
      <c r="A333" t="s">
        <v>454</v>
      </c>
      <c r="B333" s="4">
        <v>256779415391</v>
      </c>
      <c r="C333" s="3">
        <v>45937</v>
      </c>
      <c r="D333" s="1">
        <v>-820.07</v>
      </c>
      <c r="E333" s="1">
        <v>-72551.59</v>
      </c>
      <c r="G333" s="3">
        <v>45908</v>
      </c>
      <c r="H333" t="s">
        <v>11</v>
      </c>
      <c r="I333" s="2">
        <v>45901</v>
      </c>
      <c r="J333">
        <v>1</v>
      </c>
      <c r="K333" s="3">
        <v>45930</v>
      </c>
      <c r="L333">
        <v>210</v>
      </c>
      <c r="M333" t="s">
        <v>13</v>
      </c>
      <c r="N333" s="79">
        <f t="shared" si="35"/>
        <v>-1.9998321194614758E-2</v>
      </c>
      <c r="O333">
        <f>VLOOKUP(B333,'Customer TDS'!A:D,4,0)</f>
        <v>1450.91</v>
      </c>
      <c r="P333" s="38">
        <f t="shared" si="36"/>
        <v>-71100.679999999993</v>
      </c>
      <c r="Q333">
        <f>VLOOKUP(B333,Ascendus!E:I,5,0)</f>
        <v>70526.570000000007</v>
      </c>
      <c r="R333" s="38">
        <f t="shared" si="34"/>
        <v>-2025.0199999999895</v>
      </c>
      <c r="S333" t="s">
        <v>915</v>
      </c>
    </row>
    <row r="334" spans="1:19" x14ac:dyDescent="0.35">
      <c r="A334" t="s">
        <v>454</v>
      </c>
      <c r="B334" s="4">
        <v>256779415334</v>
      </c>
      <c r="C334" s="3">
        <v>45937</v>
      </c>
      <c r="D334" s="1">
        <v>-22.5</v>
      </c>
      <c r="E334" s="1">
        <v>-1990.58</v>
      </c>
      <c r="G334" s="3">
        <v>45908</v>
      </c>
      <c r="H334" t="s">
        <v>11</v>
      </c>
      <c r="I334" s="2">
        <v>45901</v>
      </c>
      <c r="J334">
        <v>1</v>
      </c>
      <c r="K334" s="3">
        <v>45930</v>
      </c>
      <c r="L334">
        <v>210</v>
      </c>
      <c r="M334" t="s">
        <v>13</v>
      </c>
      <c r="N334" s="79">
        <f t="shared" si="35"/>
        <v>-1.9999196214168735E-2</v>
      </c>
      <c r="O334">
        <f>VLOOKUP(B334,'Customer TDS'!A:D,4,0)</f>
        <v>39.81</v>
      </c>
      <c r="P334" s="38">
        <f t="shared" si="36"/>
        <v>-1950.77</v>
      </c>
      <c r="Q334">
        <f>VLOOKUP(B334,Ascendus!E:I,5,0)</f>
        <v>1935.02</v>
      </c>
      <c r="R334" s="38">
        <f t="shared" si="34"/>
        <v>-55.559999999999945</v>
      </c>
      <c r="S334" t="s">
        <v>915</v>
      </c>
    </row>
    <row r="335" spans="1:19" x14ac:dyDescent="0.35">
      <c r="A335" t="s">
        <v>454</v>
      </c>
      <c r="B335" s="4">
        <v>256779415371</v>
      </c>
      <c r="C335" s="3">
        <v>45937</v>
      </c>
      <c r="D335" s="1">
        <v>-43.32</v>
      </c>
      <c r="E335" s="1">
        <v>-3832.52</v>
      </c>
      <c r="G335" s="3">
        <v>45908</v>
      </c>
      <c r="H335" t="s">
        <v>11</v>
      </c>
      <c r="I335" s="2">
        <v>45901</v>
      </c>
      <c r="J335">
        <v>1</v>
      </c>
      <c r="K335" s="3">
        <v>45930</v>
      </c>
      <c r="L335">
        <v>210</v>
      </c>
      <c r="M335" t="s">
        <v>13</v>
      </c>
      <c r="N335" s="79">
        <f t="shared" si="35"/>
        <v>-2.0083391606566959E-2</v>
      </c>
      <c r="O335">
        <f>VLOOKUP(B335,'Customer TDS'!A:D,4,0)</f>
        <v>76.97</v>
      </c>
      <c r="P335" s="38">
        <f t="shared" si="36"/>
        <v>-3755.55</v>
      </c>
      <c r="Q335">
        <f>VLOOKUP(B335,Ascendus!E:I,5,0)</f>
        <v>3725.55</v>
      </c>
      <c r="R335" s="38">
        <f t="shared" si="34"/>
        <v>-106.9699999999998</v>
      </c>
      <c r="S335" t="s">
        <v>915</v>
      </c>
    </row>
    <row r="336" spans="1:19" x14ac:dyDescent="0.35">
      <c r="A336" t="s">
        <v>454</v>
      </c>
      <c r="B336" s="4">
        <v>256779415305</v>
      </c>
      <c r="C336" s="3">
        <v>45937</v>
      </c>
      <c r="D336" s="1">
        <v>-30</v>
      </c>
      <c r="E336" s="1">
        <v>-2654.1</v>
      </c>
      <c r="G336" s="3">
        <v>45908</v>
      </c>
      <c r="H336" t="s">
        <v>11</v>
      </c>
      <c r="I336" s="2">
        <v>45901</v>
      </c>
      <c r="J336">
        <v>1</v>
      </c>
      <c r="K336" s="3">
        <v>45930</v>
      </c>
      <c r="L336">
        <v>210</v>
      </c>
      <c r="M336" t="s">
        <v>13</v>
      </c>
      <c r="N336" s="79">
        <f t="shared" si="35"/>
        <v>-1.9999246448890395E-2</v>
      </c>
      <c r="O336">
        <f>VLOOKUP(B336,'Customer TDS'!A:D,4,0)</f>
        <v>53.08</v>
      </c>
      <c r="P336" s="38">
        <f t="shared" si="36"/>
        <v>-2601.02</v>
      </c>
      <c r="Q336">
        <f>VLOOKUP(B336,Ascendus!E:I,5,0)</f>
        <v>2580.02</v>
      </c>
      <c r="R336" s="38">
        <f t="shared" si="34"/>
        <v>-74.079999999999927</v>
      </c>
      <c r="S336" t="s">
        <v>915</v>
      </c>
    </row>
    <row r="337" spans="1:19" x14ac:dyDescent="0.35">
      <c r="A337" t="s">
        <v>454</v>
      </c>
      <c r="B337" s="4">
        <v>256779415315</v>
      </c>
      <c r="C337" s="3">
        <v>45937</v>
      </c>
      <c r="D337" s="1">
        <v>-120</v>
      </c>
      <c r="E337" s="1">
        <v>-10616.4</v>
      </c>
      <c r="G337" s="3">
        <v>45908</v>
      </c>
      <c r="H337" t="s">
        <v>11</v>
      </c>
      <c r="I337" s="2">
        <v>45901</v>
      </c>
      <c r="J337">
        <v>1</v>
      </c>
      <c r="K337" s="3">
        <v>45930</v>
      </c>
      <c r="L337">
        <v>210</v>
      </c>
      <c r="M337" t="s">
        <v>13</v>
      </c>
      <c r="N337" s="79">
        <f t="shared" si="35"/>
        <v>-2.0000188387777403E-2</v>
      </c>
      <c r="O337">
        <f>VLOOKUP(B337,'Customer TDS'!A:D,4,0)</f>
        <v>212.33</v>
      </c>
      <c r="P337" s="38">
        <f t="shared" si="36"/>
        <v>-10404.07</v>
      </c>
      <c r="Q337">
        <f>VLOOKUP(B337,Ascendus!E:I,5,0)</f>
        <v>10320.08</v>
      </c>
      <c r="R337" s="38">
        <f t="shared" si="34"/>
        <v>-296.31999999999971</v>
      </c>
      <c r="S337" t="s">
        <v>915</v>
      </c>
    </row>
    <row r="338" spans="1:19" x14ac:dyDescent="0.35">
      <c r="A338" t="s">
        <v>454</v>
      </c>
      <c r="B338" s="4">
        <v>256779415356</v>
      </c>
      <c r="C338" s="3">
        <v>45937</v>
      </c>
      <c r="D338" s="1">
        <v>-72</v>
      </c>
      <c r="E338" s="1">
        <v>-6369.84</v>
      </c>
      <c r="G338" s="3">
        <v>45908</v>
      </c>
      <c r="H338" t="s">
        <v>11</v>
      </c>
      <c r="I338" s="2">
        <v>45901</v>
      </c>
      <c r="J338">
        <v>1</v>
      </c>
      <c r="K338" s="3">
        <v>45930</v>
      </c>
      <c r="L338">
        <v>210</v>
      </c>
      <c r="M338" t="s">
        <v>13</v>
      </c>
      <c r="N338" s="79">
        <f t="shared" si="35"/>
        <v>-2.0000502367406404E-2</v>
      </c>
      <c r="O338">
        <f>VLOOKUP(B338,'Customer TDS'!A:D,4,0)</f>
        <v>127.4</v>
      </c>
      <c r="P338" s="38">
        <f t="shared" si="36"/>
        <v>-6242.4400000000005</v>
      </c>
      <c r="Q338">
        <f>VLOOKUP(B338,Ascendus!E:I,5,0)</f>
        <v>6192.05</v>
      </c>
      <c r="R338" s="38">
        <f t="shared" si="34"/>
        <v>-177.78999999999996</v>
      </c>
      <c r="S338" t="s">
        <v>915</v>
      </c>
    </row>
    <row r="339" spans="1:19" x14ac:dyDescent="0.35">
      <c r="A339" t="s">
        <v>454</v>
      </c>
      <c r="B339" s="4">
        <v>256779415383</v>
      </c>
      <c r="C339" s="3">
        <v>45937</v>
      </c>
      <c r="D339" s="1">
        <v>-155.80000000000001</v>
      </c>
      <c r="E339" s="1">
        <v>-13783.63</v>
      </c>
      <c r="G339" s="3">
        <v>45908</v>
      </c>
      <c r="H339" t="s">
        <v>11</v>
      </c>
      <c r="I339" s="2">
        <v>45901</v>
      </c>
      <c r="J339">
        <v>1</v>
      </c>
      <c r="K339" s="3">
        <v>45930</v>
      </c>
      <c r="L339">
        <v>210</v>
      </c>
      <c r="M339" t="s">
        <v>13</v>
      </c>
      <c r="N339" s="79">
        <f t="shared" si="35"/>
        <v>-2.0025929308897582E-2</v>
      </c>
      <c r="O339">
        <f>VLOOKUP(B339,'Customer TDS'!A:D,4,0)</f>
        <v>276.02999999999997</v>
      </c>
      <c r="P339" s="38">
        <f t="shared" si="36"/>
        <v>-13507.599999999999</v>
      </c>
      <c r="Q339">
        <f>VLOOKUP(B339,Ascendus!E:I,5,0)</f>
        <v>13398.9</v>
      </c>
      <c r="R339" s="38">
        <f t="shared" si="34"/>
        <v>-384.72999999999956</v>
      </c>
      <c r="S339" t="s">
        <v>915</v>
      </c>
    </row>
    <row r="340" spans="1:19" x14ac:dyDescent="0.35">
      <c r="A340" t="s">
        <v>454</v>
      </c>
      <c r="B340" s="4">
        <v>256779415372</v>
      </c>
      <c r="C340" s="3">
        <v>45937</v>
      </c>
      <c r="D340" s="1">
        <v>-155.38</v>
      </c>
      <c r="E340" s="1">
        <v>-13746.47</v>
      </c>
      <c r="G340" s="3">
        <v>45908</v>
      </c>
      <c r="H340" t="s">
        <v>11</v>
      </c>
      <c r="I340" s="2">
        <v>45901</v>
      </c>
      <c r="J340">
        <v>1</v>
      </c>
      <c r="K340" s="3">
        <v>45930</v>
      </c>
      <c r="L340">
        <v>210</v>
      </c>
      <c r="M340" t="s">
        <v>13</v>
      </c>
      <c r="N340" s="79">
        <f t="shared" si="35"/>
        <v>-2.0015320296774372E-2</v>
      </c>
      <c r="O340">
        <f>VLOOKUP(B340,'Customer TDS'!A:D,4,0)</f>
        <v>275.14</v>
      </c>
      <c r="P340" s="38">
        <f t="shared" si="36"/>
        <v>-13471.33</v>
      </c>
      <c r="Q340">
        <f>VLOOKUP(B340,Ascendus!E:I,5,0)</f>
        <v>13362.78</v>
      </c>
      <c r="R340" s="38">
        <f t="shared" si="34"/>
        <v>-383.68999999999869</v>
      </c>
      <c r="S340" t="s">
        <v>915</v>
      </c>
    </row>
    <row r="341" spans="1:19" x14ac:dyDescent="0.35">
      <c r="A341" t="s">
        <v>454</v>
      </c>
      <c r="B341" s="4">
        <v>256779415361</v>
      </c>
      <c r="C341" s="3">
        <v>45937</v>
      </c>
      <c r="D341" s="1">
        <v>-67.5</v>
      </c>
      <c r="E341" s="1">
        <v>-5971.73</v>
      </c>
      <c r="G341" s="3">
        <v>45908</v>
      </c>
      <c r="H341" t="s">
        <v>11</v>
      </c>
      <c r="I341" s="2">
        <v>45901</v>
      </c>
      <c r="J341">
        <v>1</v>
      </c>
      <c r="K341" s="3">
        <v>45930</v>
      </c>
      <c r="L341">
        <v>210</v>
      </c>
      <c r="M341" t="s">
        <v>13</v>
      </c>
      <c r="N341" s="79">
        <f t="shared" si="35"/>
        <v>-1.9999229703955138E-2</v>
      </c>
      <c r="O341">
        <f>VLOOKUP(B341,'Customer TDS'!A:D,4,0)</f>
        <v>119.43</v>
      </c>
      <c r="P341" s="38">
        <f t="shared" si="36"/>
        <v>-5852.2999999999993</v>
      </c>
      <c r="Q341">
        <f>VLOOKUP(B341,Ascendus!E:I,5,0)</f>
        <v>5805.05</v>
      </c>
      <c r="R341" s="38">
        <f t="shared" si="34"/>
        <v>-166.67999999999938</v>
      </c>
      <c r="S341" t="s">
        <v>915</v>
      </c>
    </row>
    <row r="342" spans="1:19" x14ac:dyDescent="0.35">
      <c r="A342" t="s">
        <v>454</v>
      </c>
      <c r="B342" s="4">
        <v>256779415317</v>
      </c>
      <c r="C342" s="3">
        <v>45937</v>
      </c>
      <c r="D342" s="1">
        <v>-200</v>
      </c>
      <c r="E342" s="1">
        <v>-17694</v>
      </c>
      <c r="G342" s="3">
        <v>45908</v>
      </c>
      <c r="H342" t="s">
        <v>11</v>
      </c>
      <c r="I342" s="2">
        <v>45901</v>
      </c>
      <c r="J342">
        <v>1</v>
      </c>
      <c r="K342" s="3">
        <v>45930</v>
      </c>
      <c r="L342">
        <v>210</v>
      </c>
      <c r="M342" t="s">
        <v>13</v>
      </c>
      <c r="N342" s="79">
        <f t="shared" si="35"/>
        <v>-0.02</v>
      </c>
      <c r="O342">
        <f>VLOOKUP(B342,'Customer TDS'!A:D,4,0)</f>
        <v>353.88</v>
      </c>
      <c r="P342" s="38">
        <f t="shared" si="36"/>
        <v>-17340.12</v>
      </c>
      <c r="Q342">
        <f>VLOOKUP(B342,Ascendus!E:I,5,0)</f>
        <v>17200.13</v>
      </c>
      <c r="R342" s="38">
        <f t="shared" si="34"/>
        <v>-493.86999999999898</v>
      </c>
      <c r="S342" t="s">
        <v>915</v>
      </c>
    </row>
    <row r="343" spans="1:19" x14ac:dyDescent="0.35">
      <c r="A343" t="s">
        <v>454</v>
      </c>
      <c r="B343" s="4">
        <v>256779415394</v>
      </c>
      <c r="C343" s="3">
        <v>45937</v>
      </c>
      <c r="D343" s="1">
        <v>-96</v>
      </c>
      <c r="E343" s="1">
        <v>-8493.1200000000008</v>
      </c>
      <c r="G343" s="3">
        <v>45908</v>
      </c>
      <c r="H343" t="s">
        <v>11</v>
      </c>
      <c r="I343" s="2">
        <v>45901</v>
      </c>
      <c r="J343">
        <v>1</v>
      </c>
      <c r="K343" s="3">
        <v>45930</v>
      </c>
      <c r="L343">
        <v>210</v>
      </c>
      <c r="M343" t="s">
        <v>13</v>
      </c>
      <c r="N343" s="79">
        <f t="shared" si="35"/>
        <v>-1.9999717418333899E-2</v>
      </c>
      <c r="O343">
        <f>VLOOKUP(B343,'Customer TDS'!A:D,4,0)</f>
        <v>169.86</v>
      </c>
      <c r="P343" s="38">
        <f t="shared" si="36"/>
        <v>-8323.26</v>
      </c>
      <c r="Q343">
        <f>VLOOKUP(B343,Ascendus!E:I,5,0)</f>
        <v>8256.06</v>
      </c>
      <c r="R343" s="38">
        <f t="shared" si="34"/>
        <v>-237.06000000000131</v>
      </c>
      <c r="S343" t="s">
        <v>915</v>
      </c>
    </row>
    <row r="344" spans="1:19" x14ac:dyDescent="0.35">
      <c r="A344" t="s">
        <v>454</v>
      </c>
      <c r="B344" s="4">
        <v>256779415314</v>
      </c>
      <c r="C344" s="3">
        <v>45937</v>
      </c>
      <c r="D344" s="1">
        <v>-179.14</v>
      </c>
      <c r="E344" s="1">
        <v>-15848.52</v>
      </c>
      <c r="G344" s="3">
        <v>45908</v>
      </c>
      <c r="H344" t="s">
        <v>11</v>
      </c>
      <c r="I344" s="2">
        <v>45901</v>
      </c>
      <c r="J344">
        <v>1</v>
      </c>
      <c r="K344" s="3">
        <v>45930</v>
      </c>
      <c r="L344">
        <v>210</v>
      </c>
      <c r="M344" t="s">
        <v>13</v>
      </c>
      <c r="N344" s="79">
        <f t="shared" si="35"/>
        <v>-1.998420041745223E-2</v>
      </c>
      <c r="O344">
        <f>VLOOKUP(B344,'Customer TDS'!A:D,4,0)</f>
        <v>316.72000000000003</v>
      </c>
      <c r="P344" s="38">
        <f t="shared" si="36"/>
        <v>-15531.800000000001</v>
      </c>
      <c r="Q344">
        <f>VLOOKUP(B344,Ascendus!E:I,5,0)</f>
        <v>15406.16</v>
      </c>
      <c r="R344" s="38">
        <f t="shared" si="34"/>
        <v>-442.36000000000058</v>
      </c>
      <c r="S344" t="s">
        <v>915</v>
      </c>
    </row>
    <row r="345" spans="1:19" x14ac:dyDescent="0.35">
      <c r="A345" t="s">
        <v>454</v>
      </c>
      <c r="B345" s="4">
        <v>256779415352</v>
      </c>
      <c r="C345" s="3">
        <v>45937</v>
      </c>
      <c r="D345" s="1">
        <v>-155.91999999999999</v>
      </c>
      <c r="E345" s="1">
        <v>-13794.24</v>
      </c>
      <c r="G345" s="3">
        <v>45908</v>
      </c>
      <c r="H345" t="s">
        <v>11</v>
      </c>
      <c r="I345" s="2">
        <v>45901</v>
      </c>
      <c r="J345">
        <v>1</v>
      </c>
      <c r="K345" s="3">
        <v>45930</v>
      </c>
      <c r="L345">
        <v>210</v>
      </c>
      <c r="M345" t="s">
        <v>13</v>
      </c>
      <c r="N345" s="79">
        <f t="shared" si="35"/>
        <v>-2.0010526132646669E-2</v>
      </c>
      <c r="O345">
        <f>VLOOKUP(B345,'Customer TDS'!A:D,4,0)</f>
        <v>276.02999999999997</v>
      </c>
      <c r="P345" s="38">
        <f t="shared" si="36"/>
        <v>-13518.21</v>
      </c>
      <c r="Q345">
        <f>VLOOKUP(B345,Ascendus!E:I,5,0)</f>
        <v>13409.22</v>
      </c>
      <c r="R345" s="38">
        <f t="shared" si="34"/>
        <v>-385.02000000000044</v>
      </c>
      <c r="S345" t="s">
        <v>915</v>
      </c>
    </row>
    <row r="346" spans="1:19" x14ac:dyDescent="0.35">
      <c r="A346" t="s">
        <v>454</v>
      </c>
      <c r="B346" s="4">
        <v>256779415342</v>
      </c>
      <c r="C346" s="3">
        <v>45937</v>
      </c>
      <c r="D346" s="1">
        <v>-2.5</v>
      </c>
      <c r="E346" s="1">
        <v>-221.18</v>
      </c>
      <c r="G346" s="3">
        <v>45908</v>
      </c>
      <c r="H346" t="s">
        <v>11</v>
      </c>
      <c r="I346" s="2">
        <v>45901</v>
      </c>
      <c r="J346">
        <v>1</v>
      </c>
      <c r="K346" s="3">
        <v>45930</v>
      </c>
      <c r="L346">
        <v>210</v>
      </c>
      <c r="M346" t="s">
        <v>13</v>
      </c>
      <c r="N346" s="79">
        <f t="shared" si="35"/>
        <v>-1.9983723663984085E-2</v>
      </c>
      <c r="O346">
        <f>VLOOKUP(B346,'Customer TDS'!A:D,4,0)</f>
        <v>4.42</v>
      </c>
      <c r="P346" s="38">
        <f t="shared" si="36"/>
        <v>-216.76000000000002</v>
      </c>
      <c r="Q346">
        <f>VLOOKUP(B346,Ascendus!E:I,5,0)</f>
        <v>215</v>
      </c>
      <c r="R346" s="38">
        <f t="shared" si="34"/>
        <v>-6.1800000000000068</v>
      </c>
      <c r="S346" t="s">
        <v>915</v>
      </c>
    </row>
    <row r="347" spans="1:19" x14ac:dyDescent="0.35">
      <c r="A347" t="s">
        <v>454</v>
      </c>
      <c r="B347" s="4">
        <v>256779415376</v>
      </c>
      <c r="C347" s="3">
        <v>45937</v>
      </c>
      <c r="D347" s="1">
        <v>-60</v>
      </c>
      <c r="E347" s="1">
        <v>-5308.2</v>
      </c>
      <c r="G347" s="3">
        <v>45908</v>
      </c>
      <c r="H347" t="s">
        <v>11</v>
      </c>
      <c r="I347" s="2">
        <v>45901</v>
      </c>
      <c r="J347">
        <v>1</v>
      </c>
      <c r="K347" s="3">
        <v>45930</v>
      </c>
      <c r="L347">
        <v>210</v>
      </c>
      <c r="M347" t="s">
        <v>13</v>
      </c>
      <c r="N347" s="79">
        <f t="shared" si="35"/>
        <v>-1.9999246448890395E-2</v>
      </c>
      <c r="O347">
        <f>VLOOKUP(B347,'Customer TDS'!A:D,4,0)</f>
        <v>106.16</v>
      </c>
      <c r="P347" s="38">
        <f t="shared" si="36"/>
        <v>-5202.04</v>
      </c>
      <c r="Q347">
        <f>VLOOKUP(B347,Ascendus!E:I,5,0)</f>
        <v>5160.04</v>
      </c>
      <c r="R347" s="38">
        <f t="shared" si="34"/>
        <v>-148.15999999999985</v>
      </c>
      <c r="S347" t="s">
        <v>915</v>
      </c>
    </row>
    <row r="348" spans="1:19" x14ac:dyDescent="0.35">
      <c r="A348" t="s">
        <v>454</v>
      </c>
      <c r="B348" s="4">
        <v>256779415336</v>
      </c>
      <c r="C348" s="3">
        <v>45937</v>
      </c>
      <c r="D348" s="1">
        <v>-5</v>
      </c>
      <c r="E348" s="1">
        <v>-442.35</v>
      </c>
      <c r="G348" s="3">
        <v>45908</v>
      </c>
      <c r="H348" t="s">
        <v>11</v>
      </c>
      <c r="I348" s="2">
        <v>45901</v>
      </c>
      <c r="J348">
        <v>1</v>
      </c>
      <c r="K348" s="3">
        <v>45930</v>
      </c>
      <c r="L348">
        <v>210</v>
      </c>
      <c r="M348" t="s">
        <v>13</v>
      </c>
      <c r="N348" s="79">
        <f t="shared" ref="N348:N374" si="37">O348/E348</f>
        <v>-2.0006781959986435E-2</v>
      </c>
      <c r="O348">
        <f>VLOOKUP(B348,'Customer TDS'!A:D,4,0)</f>
        <v>8.85</v>
      </c>
      <c r="P348" s="38">
        <f t="shared" si="36"/>
        <v>-433.5</v>
      </c>
      <c r="Q348">
        <f>VLOOKUP(B348,Ascendus!E:I,5,0)</f>
        <v>430</v>
      </c>
      <c r="R348" s="38">
        <f t="shared" si="34"/>
        <v>-12.350000000000023</v>
      </c>
      <c r="S348" t="s">
        <v>915</v>
      </c>
    </row>
    <row r="349" spans="1:19" x14ac:dyDescent="0.35">
      <c r="A349" t="s">
        <v>454</v>
      </c>
      <c r="B349" s="4">
        <v>256779415382</v>
      </c>
      <c r="C349" s="3">
        <v>45937</v>
      </c>
      <c r="D349" s="1">
        <v>-117.64</v>
      </c>
      <c r="E349" s="1">
        <v>-10407.61</v>
      </c>
      <c r="G349" s="3">
        <v>45908</v>
      </c>
      <c r="H349" t="s">
        <v>11</v>
      </c>
      <c r="I349" s="2">
        <v>45901</v>
      </c>
      <c r="J349">
        <v>1</v>
      </c>
      <c r="K349" s="3">
        <v>45930</v>
      </c>
      <c r="L349">
        <v>210</v>
      </c>
      <c r="M349" t="s">
        <v>13</v>
      </c>
      <c r="N349" s="79">
        <f t="shared" si="37"/>
        <v>-1.9975767731496473E-2</v>
      </c>
      <c r="O349">
        <f>VLOOKUP(B349,'Customer TDS'!A:D,4,0)</f>
        <v>207.9</v>
      </c>
      <c r="P349" s="38">
        <f t="shared" si="36"/>
        <v>-10199.710000000001</v>
      </c>
      <c r="Q349">
        <f>VLOOKUP(B349,Ascendus!E:I,5,0)</f>
        <v>10117.120000000001</v>
      </c>
      <c r="R349" s="38">
        <f t="shared" ref="R349:R375" si="38">E349+Q349</f>
        <v>-290.48999999999978</v>
      </c>
      <c r="S349" t="s">
        <v>915</v>
      </c>
    </row>
    <row r="350" spans="1:19" x14ac:dyDescent="0.35">
      <c r="A350" t="s">
        <v>454</v>
      </c>
      <c r="B350" s="4">
        <v>256779415295</v>
      </c>
      <c r="C350" s="3">
        <v>45937</v>
      </c>
      <c r="D350" s="1">
        <v>-24</v>
      </c>
      <c r="E350" s="1">
        <v>-2123.2800000000002</v>
      </c>
      <c r="G350" s="3">
        <v>45908</v>
      </c>
      <c r="H350" t="s">
        <v>11</v>
      </c>
      <c r="I350" s="2">
        <v>45901</v>
      </c>
      <c r="J350">
        <v>1</v>
      </c>
      <c r="K350" s="3">
        <v>45930</v>
      </c>
      <c r="L350">
        <v>210</v>
      </c>
      <c r="M350" t="s">
        <v>13</v>
      </c>
      <c r="N350" s="79">
        <f t="shared" si="37"/>
        <v>-2.000207226555141E-2</v>
      </c>
      <c r="O350">
        <f>VLOOKUP(B350,'Customer TDS'!A:D,4,0)</f>
        <v>42.47</v>
      </c>
      <c r="P350" s="38">
        <f t="shared" si="36"/>
        <v>-2080.8100000000004</v>
      </c>
      <c r="Q350">
        <f>VLOOKUP(B350,Ascendus!E:I,5,0)</f>
        <v>2064.02</v>
      </c>
      <c r="R350" s="38">
        <f t="shared" si="38"/>
        <v>-59.260000000000218</v>
      </c>
      <c r="S350" t="s">
        <v>915</v>
      </c>
    </row>
    <row r="351" spans="1:19" x14ac:dyDescent="0.35">
      <c r="A351" t="s">
        <v>454</v>
      </c>
      <c r="B351" s="4">
        <v>256779415326</v>
      </c>
      <c r="C351" s="3">
        <v>45937</v>
      </c>
      <c r="D351" s="1">
        <v>-185.05</v>
      </c>
      <c r="E351" s="1">
        <v>-16371.37</v>
      </c>
      <c r="G351" s="3">
        <v>45908</v>
      </c>
      <c r="H351" t="s">
        <v>11</v>
      </c>
      <c r="I351" s="2">
        <v>45901</v>
      </c>
      <c r="J351">
        <v>1</v>
      </c>
      <c r="K351" s="3">
        <v>45930</v>
      </c>
      <c r="L351">
        <v>210</v>
      </c>
      <c r="M351" t="s">
        <v>13</v>
      </c>
      <c r="N351" s="79">
        <f t="shared" si="37"/>
        <v>-1.999466141196491E-2</v>
      </c>
      <c r="O351">
        <f>VLOOKUP(B351,'Customer TDS'!A:D,4,0)</f>
        <v>327.33999999999997</v>
      </c>
      <c r="P351" s="38">
        <f t="shared" si="36"/>
        <v>-16044.03</v>
      </c>
      <c r="Q351">
        <f>VLOOKUP(B351,Ascendus!E:I,5,0)</f>
        <v>15914.42</v>
      </c>
      <c r="R351" s="38">
        <f t="shared" si="38"/>
        <v>-456.95000000000073</v>
      </c>
      <c r="S351" t="s">
        <v>915</v>
      </c>
    </row>
    <row r="352" spans="1:19" x14ac:dyDescent="0.35">
      <c r="A352" t="s">
        <v>454</v>
      </c>
      <c r="B352" s="4">
        <v>256779415306</v>
      </c>
      <c r="C352" s="3">
        <v>45937</v>
      </c>
      <c r="D352" s="1">
        <v>-30</v>
      </c>
      <c r="E352" s="1">
        <v>-2654.1</v>
      </c>
      <c r="G352" s="3">
        <v>45908</v>
      </c>
      <c r="H352" t="s">
        <v>11</v>
      </c>
      <c r="I352" s="2">
        <v>45901</v>
      </c>
      <c r="J352">
        <v>1</v>
      </c>
      <c r="K352" s="3">
        <v>45930</v>
      </c>
      <c r="L352">
        <v>210</v>
      </c>
      <c r="M352" t="s">
        <v>13</v>
      </c>
      <c r="N352" s="79">
        <f t="shared" si="37"/>
        <v>-1.9999246448890395E-2</v>
      </c>
      <c r="O352">
        <f>VLOOKUP(B352,'Customer TDS'!A:D,4,0)</f>
        <v>53.08</v>
      </c>
      <c r="P352" s="38">
        <f t="shared" si="36"/>
        <v>-2601.02</v>
      </c>
      <c r="Q352">
        <f>VLOOKUP(B352,Ascendus!E:I,5,0)</f>
        <v>2580.02</v>
      </c>
      <c r="R352" s="38">
        <f t="shared" si="38"/>
        <v>-74.079999999999927</v>
      </c>
      <c r="S352" t="s">
        <v>915</v>
      </c>
    </row>
    <row r="353" spans="1:19" x14ac:dyDescent="0.35">
      <c r="A353" t="s">
        <v>454</v>
      </c>
      <c r="B353" s="4">
        <v>256779415390</v>
      </c>
      <c r="C353" s="3">
        <v>45937</v>
      </c>
      <c r="D353" s="1">
        <v>-110.96</v>
      </c>
      <c r="E353" s="1">
        <v>-9816.6299999999992</v>
      </c>
      <c r="G353" s="3">
        <v>45908</v>
      </c>
      <c r="H353" t="s">
        <v>11</v>
      </c>
      <c r="I353" s="2">
        <v>45901</v>
      </c>
      <c r="J353">
        <v>1</v>
      </c>
      <c r="K353" s="3">
        <v>45930</v>
      </c>
      <c r="L353">
        <v>210</v>
      </c>
      <c r="M353" t="s">
        <v>13</v>
      </c>
      <c r="N353" s="79">
        <f t="shared" si="37"/>
        <v>-2.0006865900008459E-2</v>
      </c>
      <c r="O353">
        <f>VLOOKUP(B353,'Customer TDS'!A:D,4,0)</f>
        <v>196.4</v>
      </c>
      <c r="P353" s="38">
        <f t="shared" si="36"/>
        <v>-9620.23</v>
      </c>
      <c r="Q353">
        <f>VLOOKUP(B353,Ascendus!E:I,5,0)</f>
        <v>9542.6299999999992</v>
      </c>
      <c r="R353" s="38">
        <f t="shared" si="38"/>
        <v>-274</v>
      </c>
      <c r="S353" t="s">
        <v>915</v>
      </c>
    </row>
    <row r="354" spans="1:19" x14ac:dyDescent="0.35">
      <c r="A354" t="s">
        <v>454</v>
      </c>
      <c r="B354" s="4">
        <v>256779415340</v>
      </c>
      <c r="C354" s="3">
        <v>45937</v>
      </c>
      <c r="D354" s="1">
        <v>-25.84</v>
      </c>
      <c r="E354" s="1">
        <v>-2286.06</v>
      </c>
      <c r="G354" s="3">
        <v>45908</v>
      </c>
      <c r="H354" t="s">
        <v>11</v>
      </c>
      <c r="I354" s="2">
        <v>45901</v>
      </c>
      <c r="J354">
        <v>1</v>
      </c>
      <c r="K354" s="3">
        <v>45930</v>
      </c>
      <c r="L354">
        <v>210</v>
      </c>
      <c r="M354" t="s">
        <v>13</v>
      </c>
      <c r="N354" s="79">
        <f t="shared" si="37"/>
        <v>-2.0121956554071199E-2</v>
      </c>
      <c r="O354">
        <f>VLOOKUP(B354,'Customer TDS'!A:D,4,0)</f>
        <v>46</v>
      </c>
      <c r="P354" s="38">
        <f t="shared" si="36"/>
        <v>-2240.06</v>
      </c>
      <c r="Q354">
        <f>VLOOKUP(B354,Ascendus!E:I,5,0)</f>
        <v>2222.2600000000002</v>
      </c>
      <c r="R354" s="38">
        <f t="shared" si="38"/>
        <v>-63.799999999999727</v>
      </c>
      <c r="S354" t="s">
        <v>915</v>
      </c>
    </row>
    <row r="355" spans="1:19" x14ac:dyDescent="0.35">
      <c r="A355" t="s">
        <v>454</v>
      </c>
      <c r="B355" s="4">
        <v>256779415343</v>
      </c>
      <c r="C355" s="3">
        <v>45937</v>
      </c>
      <c r="D355" s="1">
        <v>-1</v>
      </c>
      <c r="E355" s="1">
        <v>-88.47</v>
      </c>
      <c r="G355" s="3">
        <v>45908</v>
      </c>
      <c r="H355" t="s">
        <v>11</v>
      </c>
      <c r="I355" s="2">
        <v>45901</v>
      </c>
      <c r="J355">
        <v>1</v>
      </c>
      <c r="K355" s="3">
        <v>45930</v>
      </c>
      <c r="L355">
        <v>210</v>
      </c>
      <c r="M355" t="s">
        <v>13</v>
      </c>
      <c r="N355" s="79">
        <f t="shared" si="37"/>
        <v>-2.0006781959986435E-2</v>
      </c>
      <c r="O355">
        <f>VLOOKUP(B355,'Customer TDS'!A:D,4,0)</f>
        <v>1.77</v>
      </c>
      <c r="P355" s="38">
        <f t="shared" si="36"/>
        <v>-86.7</v>
      </c>
      <c r="Q355">
        <f>VLOOKUP(B355,Ascendus!E:I,5,0)</f>
        <v>86</v>
      </c>
      <c r="R355" s="38">
        <f t="shared" si="38"/>
        <v>-2.4699999999999989</v>
      </c>
      <c r="S355" t="s">
        <v>915</v>
      </c>
    </row>
    <row r="356" spans="1:19" x14ac:dyDescent="0.35">
      <c r="A356" t="s">
        <v>454</v>
      </c>
      <c r="B356" s="4">
        <v>256779415395</v>
      </c>
      <c r="C356" s="3">
        <v>45937</v>
      </c>
      <c r="D356" s="1">
        <v>-205.72</v>
      </c>
      <c r="E356" s="1">
        <v>-18200.05</v>
      </c>
      <c r="G356" s="3">
        <v>45908</v>
      </c>
      <c r="H356" t="s">
        <v>11</v>
      </c>
      <c r="I356" s="2">
        <v>45901</v>
      </c>
      <c r="J356">
        <v>1</v>
      </c>
      <c r="K356" s="3">
        <v>45930</v>
      </c>
      <c r="L356">
        <v>210</v>
      </c>
      <c r="M356" t="s">
        <v>13</v>
      </c>
      <c r="N356" s="79">
        <f t="shared" si="37"/>
        <v>-1.9978516542536972E-2</v>
      </c>
      <c r="O356">
        <f>VLOOKUP(B356,'Customer TDS'!A:D,4,0)</f>
        <v>363.61</v>
      </c>
      <c r="P356" s="38">
        <f t="shared" si="36"/>
        <v>-17836.439999999999</v>
      </c>
      <c r="Q356">
        <f>VLOOKUP(B356,Ascendus!E:I,5,0)</f>
        <v>17692.060000000001</v>
      </c>
      <c r="R356" s="38">
        <f t="shared" si="38"/>
        <v>-507.98999999999796</v>
      </c>
      <c r="S356" t="s">
        <v>915</v>
      </c>
    </row>
    <row r="357" spans="1:19" x14ac:dyDescent="0.35">
      <c r="A357" t="s">
        <v>454</v>
      </c>
      <c r="B357" s="4">
        <v>256779415381</v>
      </c>
      <c r="C357" s="3">
        <v>45937</v>
      </c>
      <c r="D357" s="1">
        <v>-60</v>
      </c>
      <c r="E357" s="1">
        <v>-5308.2</v>
      </c>
      <c r="G357" s="3">
        <v>45908</v>
      </c>
      <c r="H357" t="s">
        <v>11</v>
      </c>
      <c r="I357" s="2">
        <v>45901</v>
      </c>
      <c r="J357">
        <v>1</v>
      </c>
      <c r="K357" s="3">
        <v>45930</v>
      </c>
      <c r="L357">
        <v>210</v>
      </c>
      <c r="M357" t="s">
        <v>13</v>
      </c>
      <c r="N357" s="79">
        <f t="shared" si="37"/>
        <v>-1.9999246448890395E-2</v>
      </c>
      <c r="O357">
        <f>VLOOKUP(B357,'Customer TDS'!A:D,4,0)</f>
        <v>106.16</v>
      </c>
      <c r="P357" s="38">
        <f t="shared" si="36"/>
        <v>-5202.04</v>
      </c>
      <c r="Q357">
        <f>VLOOKUP(B357,Ascendus!E:I,5,0)</f>
        <v>5160.04</v>
      </c>
      <c r="R357" s="38">
        <f t="shared" si="38"/>
        <v>-148.15999999999985</v>
      </c>
      <c r="S357" t="s">
        <v>915</v>
      </c>
    </row>
    <row r="358" spans="1:19" x14ac:dyDescent="0.35">
      <c r="A358" t="s">
        <v>454</v>
      </c>
      <c r="B358" s="4">
        <v>256779415392</v>
      </c>
      <c r="C358" s="3">
        <v>45937</v>
      </c>
      <c r="D358" s="1">
        <v>-200</v>
      </c>
      <c r="E358" s="1">
        <v>-17694</v>
      </c>
      <c r="G358" s="3">
        <v>45908</v>
      </c>
      <c r="H358" t="s">
        <v>11</v>
      </c>
      <c r="I358" s="2">
        <v>45901</v>
      </c>
      <c r="J358">
        <v>1</v>
      </c>
      <c r="K358" s="3">
        <v>45930</v>
      </c>
      <c r="L358">
        <v>210</v>
      </c>
      <c r="M358" t="s">
        <v>13</v>
      </c>
      <c r="N358" s="79">
        <f t="shared" si="37"/>
        <v>-0.02</v>
      </c>
      <c r="O358">
        <f>VLOOKUP(B358,'Customer TDS'!A:D,4,0)</f>
        <v>353.88</v>
      </c>
      <c r="P358" s="38">
        <f t="shared" si="36"/>
        <v>-17340.12</v>
      </c>
      <c r="Q358">
        <f>VLOOKUP(B358,Ascendus!E:I,5,0)</f>
        <v>17200.13</v>
      </c>
      <c r="R358" s="38">
        <f t="shared" si="38"/>
        <v>-493.86999999999898</v>
      </c>
      <c r="S358" t="s">
        <v>915</v>
      </c>
    </row>
    <row r="359" spans="1:19" x14ac:dyDescent="0.35">
      <c r="A359" t="s">
        <v>454</v>
      </c>
      <c r="B359" s="4">
        <v>256779415358</v>
      </c>
      <c r="C359" s="3">
        <v>45937</v>
      </c>
      <c r="D359" s="1">
        <v>-96</v>
      </c>
      <c r="E359" s="1">
        <v>-8493.1200000000008</v>
      </c>
      <c r="G359" s="3">
        <v>45908</v>
      </c>
      <c r="H359" t="s">
        <v>11</v>
      </c>
      <c r="I359" s="2">
        <v>45901</v>
      </c>
      <c r="J359">
        <v>1</v>
      </c>
      <c r="K359" s="3">
        <v>45930</v>
      </c>
      <c r="L359">
        <v>210</v>
      </c>
      <c r="M359" t="s">
        <v>13</v>
      </c>
      <c r="N359" s="79">
        <f t="shared" si="37"/>
        <v>-1.9999717418333899E-2</v>
      </c>
      <c r="O359">
        <f>VLOOKUP(B359,'Customer TDS'!A:D,4,0)</f>
        <v>169.86</v>
      </c>
      <c r="P359" s="38">
        <f t="shared" si="36"/>
        <v>-8323.26</v>
      </c>
      <c r="Q359">
        <f>VLOOKUP(B359,Ascendus!E:I,5,0)</f>
        <v>8256.06</v>
      </c>
      <c r="R359" s="38">
        <f t="shared" si="38"/>
        <v>-237.06000000000131</v>
      </c>
      <c r="S359" t="s">
        <v>915</v>
      </c>
    </row>
    <row r="360" spans="1:19" x14ac:dyDescent="0.35">
      <c r="A360" t="s">
        <v>454</v>
      </c>
      <c r="B360" s="4">
        <v>256779415337</v>
      </c>
      <c r="C360" s="3">
        <v>45937</v>
      </c>
      <c r="D360" s="1">
        <v>-17.5</v>
      </c>
      <c r="E360" s="1">
        <v>-1548.23</v>
      </c>
      <c r="G360" s="3">
        <v>45908</v>
      </c>
      <c r="H360" t="s">
        <v>11</v>
      </c>
      <c r="I360" s="2">
        <v>45901</v>
      </c>
      <c r="J360">
        <v>1</v>
      </c>
      <c r="K360" s="3">
        <v>45930</v>
      </c>
      <c r="L360">
        <v>210</v>
      </c>
      <c r="M360" t="s">
        <v>13</v>
      </c>
      <c r="N360" s="79">
        <f t="shared" si="37"/>
        <v>-1.9997028865220284E-2</v>
      </c>
      <c r="O360">
        <f>VLOOKUP(B360,'Customer TDS'!A:D,4,0)</f>
        <v>30.96</v>
      </c>
      <c r="P360" s="38">
        <f t="shared" si="36"/>
        <v>-1517.27</v>
      </c>
      <c r="Q360">
        <f>VLOOKUP(B360,Ascendus!E:I,5,0)</f>
        <v>1505.01</v>
      </c>
      <c r="R360" s="38">
        <f t="shared" si="38"/>
        <v>-43.220000000000027</v>
      </c>
      <c r="S360" t="s">
        <v>915</v>
      </c>
    </row>
    <row r="361" spans="1:19" x14ac:dyDescent="0.35">
      <c r="A361" t="s">
        <v>454</v>
      </c>
      <c r="B361" s="4">
        <v>256779415362</v>
      </c>
      <c r="C361" s="3">
        <v>45937</v>
      </c>
      <c r="D361" s="1">
        <v>-3</v>
      </c>
      <c r="E361" s="1">
        <v>-265.41000000000003</v>
      </c>
      <c r="G361" s="3">
        <v>45908</v>
      </c>
      <c r="H361" t="s">
        <v>11</v>
      </c>
      <c r="I361" s="2">
        <v>45901</v>
      </c>
      <c r="J361">
        <v>1</v>
      </c>
      <c r="K361" s="3">
        <v>45930</v>
      </c>
      <c r="L361">
        <v>210</v>
      </c>
      <c r="M361" t="s">
        <v>13</v>
      </c>
      <c r="N361" s="79">
        <f t="shared" si="37"/>
        <v>-2.0006781959986432E-2</v>
      </c>
      <c r="O361">
        <f>VLOOKUP(B361,'Customer TDS'!A:D,4,0)</f>
        <v>5.31</v>
      </c>
      <c r="P361" s="38">
        <f t="shared" si="36"/>
        <v>-260.10000000000002</v>
      </c>
      <c r="Q361">
        <f>VLOOKUP(B361,Ascendus!E:I,5,0)</f>
        <v>258</v>
      </c>
      <c r="R361" s="38">
        <f t="shared" si="38"/>
        <v>-7.410000000000025</v>
      </c>
      <c r="S361" t="s">
        <v>915</v>
      </c>
    </row>
    <row r="362" spans="1:19" x14ac:dyDescent="0.35">
      <c r="A362" t="s">
        <v>454</v>
      </c>
      <c r="B362" s="4">
        <v>256779415373</v>
      </c>
      <c r="C362" s="3">
        <v>45937</v>
      </c>
      <c r="D362" s="1">
        <v>-2.63</v>
      </c>
      <c r="E362" s="1">
        <v>-232.68</v>
      </c>
      <c r="G362" s="3">
        <v>45908</v>
      </c>
      <c r="H362" t="s">
        <v>11</v>
      </c>
      <c r="I362" s="2">
        <v>45901</v>
      </c>
      <c r="J362">
        <v>1</v>
      </c>
      <c r="K362" s="3">
        <v>45930</v>
      </c>
      <c r="L362">
        <v>210</v>
      </c>
      <c r="M362" t="s">
        <v>13</v>
      </c>
      <c r="N362" s="79">
        <f t="shared" si="37"/>
        <v>-1.8996046071858345E-2</v>
      </c>
      <c r="O362">
        <f>VLOOKUP(B362,'Customer TDS'!A:D,4,0)</f>
        <v>4.42</v>
      </c>
      <c r="P362" s="38">
        <f t="shared" si="36"/>
        <v>-228.26000000000002</v>
      </c>
      <c r="Q362">
        <f>VLOOKUP(B362,Ascendus!E:I,5,0)</f>
        <v>226.18</v>
      </c>
      <c r="R362" s="38">
        <f t="shared" si="38"/>
        <v>-6.5</v>
      </c>
      <c r="S362" t="s">
        <v>915</v>
      </c>
    </row>
    <row r="363" spans="1:19" x14ac:dyDescent="0.35">
      <c r="A363" t="s">
        <v>454</v>
      </c>
      <c r="B363" s="4">
        <v>256779415386</v>
      </c>
      <c r="C363" s="3">
        <v>45937</v>
      </c>
      <c r="D363" s="1">
        <v>-7.5</v>
      </c>
      <c r="E363" s="1">
        <v>-663.53</v>
      </c>
      <c r="G363" s="3">
        <v>45908</v>
      </c>
      <c r="H363" t="s">
        <v>11</v>
      </c>
      <c r="I363" s="2">
        <v>45901</v>
      </c>
      <c r="J363">
        <v>1</v>
      </c>
      <c r="K363" s="3">
        <v>45930</v>
      </c>
      <c r="L363">
        <v>210</v>
      </c>
      <c r="M363" t="s">
        <v>13</v>
      </c>
      <c r="N363" s="79">
        <f t="shared" si="37"/>
        <v>-1.9999095745482497E-2</v>
      </c>
      <c r="O363">
        <f>VLOOKUP(B363,'Customer TDS'!A:D,4,0)</f>
        <v>13.27</v>
      </c>
      <c r="P363" s="38">
        <f t="shared" si="36"/>
        <v>-650.26</v>
      </c>
      <c r="Q363">
        <f>VLOOKUP(B363,Ascendus!E:I,5,0)</f>
        <v>645.01</v>
      </c>
      <c r="R363" s="38">
        <f t="shared" si="38"/>
        <v>-18.519999999999982</v>
      </c>
      <c r="S363" t="s">
        <v>915</v>
      </c>
    </row>
    <row r="364" spans="1:19" x14ac:dyDescent="0.35">
      <c r="A364" t="s">
        <v>454</v>
      </c>
      <c r="B364" s="4">
        <v>256779415348</v>
      </c>
      <c r="C364" s="3">
        <v>45937</v>
      </c>
      <c r="D364" s="1">
        <v>-7.5</v>
      </c>
      <c r="E364" s="1">
        <v>-663.53</v>
      </c>
      <c r="G364" s="3">
        <v>45908</v>
      </c>
      <c r="H364" t="s">
        <v>11</v>
      </c>
      <c r="I364" s="2">
        <v>45901</v>
      </c>
      <c r="J364">
        <v>1</v>
      </c>
      <c r="K364" s="3">
        <v>45930</v>
      </c>
      <c r="L364">
        <v>210</v>
      </c>
      <c r="M364" t="s">
        <v>13</v>
      </c>
      <c r="N364" s="79">
        <f t="shared" si="37"/>
        <v>-1.9999095745482497E-2</v>
      </c>
      <c r="O364">
        <f>VLOOKUP(B364,'Customer TDS'!A:D,4,0)</f>
        <v>13.27</v>
      </c>
      <c r="P364" s="38">
        <f t="shared" si="36"/>
        <v>-650.26</v>
      </c>
      <c r="Q364">
        <f>VLOOKUP(B364,Ascendus!E:I,5,0)</f>
        <v>645.01</v>
      </c>
      <c r="R364" s="38">
        <f t="shared" si="38"/>
        <v>-18.519999999999982</v>
      </c>
      <c r="S364" t="s">
        <v>915</v>
      </c>
    </row>
    <row r="365" spans="1:19" x14ac:dyDescent="0.35">
      <c r="A365" t="s">
        <v>454</v>
      </c>
      <c r="B365" s="4">
        <v>256779415369</v>
      </c>
      <c r="C365" s="3">
        <v>45937</v>
      </c>
      <c r="D365" s="1">
        <v>-3</v>
      </c>
      <c r="E365" s="1">
        <v>-265.41000000000003</v>
      </c>
      <c r="G365" s="3">
        <v>45908</v>
      </c>
      <c r="H365" t="s">
        <v>11</v>
      </c>
      <c r="I365" s="2">
        <v>45901</v>
      </c>
      <c r="J365">
        <v>1</v>
      </c>
      <c r="K365" s="3">
        <v>45930</v>
      </c>
      <c r="L365">
        <v>210</v>
      </c>
      <c r="M365" t="s">
        <v>13</v>
      </c>
      <c r="N365" s="79">
        <f t="shared" si="37"/>
        <v>-2.0006781959986432E-2</v>
      </c>
      <c r="O365">
        <f>VLOOKUP(B365,'Customer TDS'!A:D,4,0)</f>
        <v>5.31</v>
      </c>
      <c r="P365" s="38">
        <f t="shared" si="36"/>
        <v>-260.10000000000002</v>
      </c>
      <c r="Q365">
        <f>VLOOKUP(B365,Ascendus!E:I,5,0)</f>
        <v>258</v>
      </c>
      <c r="R365" s="38">
        <f t="shared" si="38"/>
        <v>-7.410000000000025</v>
      </c>
      <c r="S365" t="s">
        <v>915</v>
      </c>
    </row>
    <row r="366" spans="1:19" x14ac:dyDescent="0.35">
      <c r="A366" t="s">
        <v>454</v>
      </c>
      <c r="B366" s="4">
        <v>256779415364</v>
      </c>
      <c r="C366" s="3">
        <v>45937</v>
      </c>
      <c r="D366" s="1">
        <v>-200</v>
      </c>
      <c r="E366" s="1">
        <v>-17694</v>
      </c>
      <c r="G366" s="3">
        <v>45908</v>
      </c>
      <c r="H366" t="s">
        <v>11</v>
      </c>
      <c r="I366" s="2">
        <v>45901</v>
      </c>
      <c r="J366">
        <v>1</v>
      </c>
      <c r="K366" s="3">
        <v>45930</v>
      </c>
      <c r="L366">
        <v>210</v>
      </c>
      <c r="M366" t="s">
        <v>13</v>
      </c>
      <c r="N366" s="79">
        <f t="shared" si="37"/>
        <v>-0.02</v>
      </c>
      <c r="O366">
        <f>VLOOKUP(B366,'Customer TDS'!A:D,4,0)</f>
        <v>353.88</v>
      </c>
      <c r="P366" s="38">
        <f t="shared" si="36"/>
        <v>-17340.12</v>
      </c>
      <c r="Q366">
        <f>VLOOKUP(B366,Ascendus!E:I,5,0)</f>
        <v>17200.13</v>
      </c>
      <c r="R366" s="38">
        <f t="shared" si="38"/>
        <v>-493.86999999999898</v>
      </c>
      <c r="S366" t="s">
        <v>915</v>
      </c>
    </row>
    <row r="367" spans="1:19" x14ac:dyDescent="0.35">
      <c r="A367" t="s">
        <v>454</v>
      </c>
      <c r="B367" s="4">
        <v>256779415299</v>
      </c>
      <c r="C367" s="3">
        <v>45937</v>
      </c>
      <c r="D367" s="1">
        <v>-24</v>
      </c>
      <c r="E367" s="1">
        <v>-2123.2800000000002</v>
      </c>
      <c r="G367" s="3">
        <v>45908</v>
      </c>
      <c r="H367" t="s">
        <v>11</v>
      </c>
      <c r="I367" s="2">
        <v>45901</v>
      </c>
      <c r="J367">
        <v>1</v>
      </c>
      <c r="K367" s="3">
        <v>45930</v>
      </c>
      <c r="L367">
        <v>210</v>
      </c>
      <c r="M367" t="s">
        <v>13</v>
      </c>
      <c r="N367" s="79">
        <f t="shared" si="37"/>
        <v>-2.000207226555141E-2</v>
      </c>
      <c r="O367">
        <f>VLOOKUP(B367,'Customer TDS'!A:D,4,0)</f>
        <v>42.47</v>
      </c>
      <c r="P367" s="38">
        <f t="shared" si="36"/>
        <v>-2080.8100000000004</v>
      </c>
      <c r="Q367">
        <f>VLOOKUP(B367,Ascendus!E:I,5,0)</f>
        <v>2064.02</v>
      </c>
      <c r="R367" s="38">
        <f t="shared" si="38"/>
        <v>-59.260000000000218</v>
      </c>
      <c r="S367" t="s">
        <v>915</v>
      </c>
    </row>
    <row r="368" spans="1:19" x14ac:dyDescent="0.35">
      <c r="A368" t="s">
        <v>454</v>
      </c>
      <c r="B368" s="4">
        <v>256779415335</v>
      </c>
      <c r="C368" s="3">
        <v>45937</v>
      </c>
      <c r="D368" s="1">
        <v>-25</v>
      </c>
      <c r="E368" s="1">
        <v>-2211.75</v>
      </c>
      <c r="G368" s="3">
        <v>45908</v>
      </c>
      <c r="H368" t="s">
        <v>11</v>
      </c>
      <c r="I368" s="2">
        <v>45901</v>
      </c>
      <c r="J368">
        <v>1</v>
      </c>
      <c r="K368" s="3">
        <v>45930</v>
      </c>
      <c r="L368">
        <v>210</v>
      </c>
      <c r="M368" t="s">
        <v>13</v>
      </c>
      <c r="N368" s="79">
        <f t="shared" si="37"/>
        <v>-2.0002260653328812E-2</v>
      </c>
      <c r="O368">
        <f>VLOOKUP(B368,'Customer TDS'!A:D,4,0)</f>
        <v>44.24</v>
      </c>
      <c r="P368" s="38">
        <f t="shared" si="36"/>
        <v>-2167.5100000000002</v>
      </c>
      <c r="Q368">
        <f>VLOOKUP(B368,Ascendus!E:I,5,0)</f>
        <v>2150.02</v>
      </c>
      <c r="R368" s="38">
        <f t="shared" si="38"/>
        <v>-61.730000000000018</v>
      </c>
      <c r="S368" t="s">
        <v>915</v>
      </c>
    </row>
    <row r="369" spans="1:19" x14ac:dyDescent="0.35">
      <c r="A369" t="s">
        <v>454</v>
      </c>
      <c r="B369" s="4">
        <v>256779415292</v>
      </c>
      <c r="C369" s="3">
        <v>45937</v>
      </c>
      <c r="D369" s="1">
        <v>-24</v>
      </c>
      <c r="E369" s="1">
        <v>-2123.2800000000002</v>
      </c>
      <c r="G369" s="3">
        <v>45908</v>
      </c>
      <c r="H369" t="s">
        <v>11</v>
      </c>
      <c r="I369" s="2">
        <v>45901</v>
      </c>
      <c r="J369">
        <v>1</v>
      </c>
      <c r="K369" s="3">
        <v>45930</v>
      </c>
      <c r="L369">
        <v>210</v>
      </c>
      <c r="M369" t="s">
        <v>13</v>
      </c>
      <c r="N369" s="79">
        <f t="shared" si="37"/>
        <v>-2.000207226555141E-2</v>
      </c>
      <c r="O369">
        <f>VLOOKUP(B369,'Customer TDS'!A:D,4,0)</f>
        <v>42.47</v>
      </c>
      <c r="P369" s="38">
        <f t="shared" si="36"/>
        <v>-2080.8100000000004</v>
      </c>
      <c r="Q369">
        <f>VLOOKUP(B369,Ascendus!E:I,5,0)</f>
        <v>2064.02</v>
      </c>
      <c r="R369" s="38">
        <f t="shared" si="38"/>
        <v>-59.260000000000218</v>
      </c>
      <c r="S369" t="s">
        <v>915</v>
      </c>
    </row>
    <row r="370" spans="1:19" x14ac:dyDescent="0.35">
      <c r="A370" t="s">
        <v>454</v>
      </c>
      <c r="B370" s="4">
        <v>256779415370</v>
      </c>
      <c r="C370" s="3">
        <v>45937</v>
      </c>
      <c r="D370" s="1">
        <v>-72</v>
      </c>
      <c r="E370" s="1">
        <v>-6369.84</v>
      </c>
      <c r="G370" s="3">
        <v>45908</v>
      </c>
      <c r="H370" t="s">
        <v>11</v>
      </c>
      <c r="I370" s="2">
        <v>45901</v>
      </c>
      <c r="J370">
        <v>1</v>
      </c>
      <c r="K370" s="3">
        <v>45930</v>
      </c>
      <c r="L370">
        <v>210</v>
      </c>
      <c r="M370" t="s">
        <v>13</v>
      </c>
      <c r="N370" s="79">
        <f t="shared" si="37"/>
        <v>-2.0000502367406404E-2</v>
      </c>
      <c r="O370">
        <f>VLOOKUP(B370,'Customer TDS'!A:D,4,0)</f>
        <v>127.4</v>
      </c>
      <c r="P370" s="38">
        <f t="shared" si="36"/>
        <v>-6242.4400000000005</v>
      </c>
      <c r="Q370">
        <f>VLOOKUP(B370,Ascendus!E:I,5,0)</f>
        <v>6192.05</v>
      </c>
      <c r="R370" s="38">
        <f t="shared" si="38"/>
        <v>-177.78999999999996</v>
      </c>
      <c r="S370" t="s">
        <v>915</v>
      </c>
    </row>
    <row r="371" spans="1:19" x14ac:dyDescent="0.35">
      <c r="A371" t="s">
        <v>454</v>
      </c>
      <c r="B371" s="4">
        <v>256779415294</v>
      </c>
      <c r="C371" s="3">
        <v>45937</v>
      </c>
      <c r="D371" s="1">
        <v>-24</v>
      </c>
      <c r="E371" s="1">
        <v>-2123.2800000000002</v>
      </c>
      <c r="G371" s="3">
        <v>45908</v>
      </c>
      <c r="H371" t="s">
        <v>11</v>
      </c>
      <c r="I371" s="2">
        <v>45901</v>
      </c>
      <c r="J371">
        <v>1</v>
      </c>
      <c r="K371" s="3">
        <v>45930</v>
      </c>
      <c r="L371">
        <v>210</v>
      </c>
      <c r="M371" t="s">
        <v>13</v>
      </c>
      <c r="N371" s="79">
        <f t="shared" si="37"/>
        <v>-2.000207226555141E-2</v>
      </c>
      <c r="O371">
        <f>VLOOKUP(B371,'Customer TDS'!A:D,4,0)</f>
        <v>42.47</v>
      </c>
      <c r="P371" s="38">
        <f t="shared" si="36"/>
        <v>-2080.8100000000004</v>
      </c>
      <c r="Q371">
        <f>VLOOKUP(B371,Ascendus!E:I,5,0)</f>
        <v>2064.02</v>
      </c>
      <c r="R371" s="38">
        <f t="shared" si="38"/>
        <v>-59.260000000000218</v>
      </c>
      <c r="S371" t="s">
        <v>915</v>
      </c>
    </row>
    <row r="372" spans="1:19" x14ac:dyDescent="0.35">
      <c r="A372" t="s">
        <v>454</v>
      </c>
      <c r="B372" s="4">
        <v>256779415307</v>
      </c>
      <c r="C372" s="3">
        <v>45937</v>
      </c>
      <c r="D372" s="1">
        <v>-30</v>
      </c>
      <c r="E372" s="1">
        <v>-2654.1</v>
      </c>
      <c r="G372" s="3">
        <v>45908</v>
      </c>
      <c r="H372" t="s">
        <v>11</v>
      </c>
      <c r="I372" s="2">
        <v>45901</v>
      </c>
      <c r="J372">
        <v>1</v>
      </c>
      <c r="K372" s="3">
        <v>45930</v>
      </c>
      <c r="L372">
        <v>210</v>
      </c>
      <c r="M372" t="s">
        <v>13</v>
      </c>
      <c r="N372" s="79">
        <f t="shared" si="37"/>
        <v>-1.9999246448890395E-2</v>
      </c>
      <c r="O372">
        <f>VLOOKUP(B372,'Customer TDS'!A:D,4,0)</f>
        <v>53.08</v>
      </c>
      <c r="P372" s="38">
        <f t="shared" si="36"/>
        <v>-2601.02</v>
      </c>
      <c r="Q372">
        <f>VLOOKUP(B372,Ascendus!E:I,5,0)</f>
        <v>2580.02</v>
      </c>
      <c r="R372" s="38">
        <f t="shared" si="38"/>
        <v>-74.079999999999927</v>
      </c>
      <c r="S372" t="s">
        <v>915</v>
      </c>
    </row>
    <row r="373" spans="1:19" x14ac:dyDescent="0.35">
      <c r="A373" t="s">
        <v>454</v>
      </c>
      <c r="B373" s="4">
        <v>256779415347</v>
      </c>
      <c r="C373" s="3">
        <v>45937</v>
      </c>
      <c r="D373" s="1">
        <v>-20</v>
      </c>
      <c r="E373" s="1">
        <v>-1769.4</v>
      </c>
      <c r="G373" s="3">
        <v>45908</v>
      </c>
      <c r="H373" t="s">
        <v>11</v>
      </c>
      <c r="I373" s="2">
        <v>45901</v>
      </c>
      <c r="J373">
        <v>1</v>
      </c>
      <c r="K373" s="3">
        <v>45930</v>
      </c>
      <c r="L373">
        <v>210</v>
      </c>
      <c r="M373" t="s">
        <v>13</v>
      </c>
      <c r="N373" s="79">
        <f t="shared" si="37"/>
        <v>-2.0001130326664406E-2</v>
      </c>
      <c r="O373">
        <f>VLOOKUP(B373,'Customer TDS'!A:D,4,0)</f>
        <v>35.39</v>
      </c>
      <c r="P373" s="38">
        <f t="shared" si="36"/>
        <v>-1734.01</v>
      </c>
      <c r="Q373">
        <f>VLOOKUP(B373,Ascendus!E:I,5,0)</f>
        <v>1720.01</v>
      </c>
      <c r="R373" s="38">
        <f t="shared" si="38"/>
        <v>-49.3900000000001</v>
      </c>
      <c r="S373" t="s">
        <v>915</v>
      </c>
    </row>
    <row r="374" spans="1:19" x14ac:dyDescent="0.35">
      <c r="A374" t="s">
        <v>454</v>
      </c>
      <c r="B374" s="4">
        <v>256779415297</v>
      </c>
      <c r="C374" s="3">
        <v>45937</v>
      </c>
      <c r="D374" s="1">
        <v>-24</v>
      </c>
      <c r="E374" s="1">
        <v>-2123.2800000000002</v>
      </c>
      <c r="G374" s="3">
        <v>45908</v>
      </c>
      <c r="H374" t="s">
        <v>11</v>
      </c>
      <c r="I374" s="2">
        <v>45901</v>
      </c>
      <c r="J374">
        <v>1</v>
      </c>
      <c r="K374" s="3">
        <v>45930</v>
      </c>
      <c r="L374">
        <v>210</v>
      </c>
      <c r="M374" t="s">
        <v>13</v>
      </c>
      <c r="N374" s="79">
        <f t="shared" si="37"/>
        <v>-2.000207226555141E-2</v>
      </c>
      <c r="O374">
        <f>VLOOKUP(B374,'Customer TDS'!A:D,4,0)</f>
        <v>42.47</v>
      </c>
      <c r="P374" s="38">
        <f t="shared" si="36"/>
        <v>-2080.8100000000004</v>
      </c>
      <c r="Q374">
        <f>VLOOKUP(B374,Ascendus!E:I,5,0)</f>
        <v>2064.02</v>
      </c>
      <c r="R374" s="38">
        <f t="shared" si="38"/>
        <v>-59.260000000000218</v>
      </c>
      <c r="S374" t="s">
        <v>915</v>
      </c>
    </row>
    <row r="375" spans="1:19" x14ac:dyDescent="0.35">
      <c r="A375" t="s">
        <v>454</v>
      </c>
      <c r="B375" s="4">
        <v>256779415291</v>
      </c>
      <c r="C375" s="3">
        <v>45937</v>
      </c>
      <c r="D375" s="1">
        <v>-24</v>
      </c>
      <c r="E375" s="1">
        <v>-2123.2800000000002</v>
      </c>
      <c r="G375" s="3">
        <v>45908</v>
      </c>
      <c r="H375" t="s">
        <v>11</v>
      </c>
      <c r="I375" s="2">
        <v>45901</v>
      </c>
      <c r="J375">
        <v>1</v>
      </c>
      <c r="K375" s="3">
        <v>45930</v>
      </c>
      <c r="L375">
        <v>210</v>
      </c>
      <c r="M375" t="s">
        <v>13</v>
      </c>
      <c r="P375" s="38">
        <f t="shared" si="36"/>
        <v>-2123.2800000000002</v>
      </c>
      <c r="Q375">
        <f>VLOOKUP(B375,Ascendus!E:I,5,0)</f>
        <v>2064.02</v>
      </c>
      <c r="R375" s="38">
        <f t="shared" si="38"/>
        <v>-59.260000000000218</v>
      </c>
      <c r="S375" t="s">
        <v>915</v>
      </c>
    </row>
    <row r="376" spans="1:19" x14ac:dyDescent="0.35">
      <c r="A376" t="s">
        <v>454</v>
      </c>
      <c r="B376" s="4">
        <v>256779415389</v>
      </c>
      <c r="C376" s="3">
        <v>45937</v>
      </c>
      <c r="D376" s="1">
        <v>0</v>
      </c>
      <c r="E376" s="1">
        <v>-31.68</v>
      </c>
      <c r="F376" t="s">
        <v>15</v>
      </c>
      <c r="G376" s="3">
        <v>45908</v>
      </c>
      <c r="H376" t="s">
        <v>11</v>
      </c>
      <c r="I376" s="2">
        <v>45901</v>
      </c>
      <c r="J376">
        <v>6</v>
      </c>
      <c r="K376" s="3">
        <v>45930</v>
      </c>
      <c r="L376">
        <v>271</v>
      </c>
      <c r="M376" t="s">
        <v>13</v>
      </c>
      <c r="P376" s="38">
        <f t="shared" si="36"/>
        <v>-31.68</v>
      </c>
      <c r="S376" t="s">
        <v>918</v>
      </c>
    </row>
    <row r="377" spans="1:19" x14ac:dyDescent="0.35">
      <c r="A377" t="s">
        <v>454</v>
      </c>
      <c r="B377" s="4">
        <v>256779415346</v>
      </c>
      <c r="C377" s="3">
        <v>45937</v>
      </c>
      <c r="D377" s="1">
        <v>0</v>
      </c>
      <c r="E377" s="1">
        <v>-3.24</v>
      </c>
      <c r="F377" t="s">
        <v>15</v>
      </c>
      <c r="G377" s="3">
        <v>45908</v>
      </c>
      <c r="H377" t="s">
        <v>11</v>
      </c>
      <c r="I377" s="2">
        <v>45901</v>
      </c>
      <c r="J377">
        <v>8</v>
      </c>
      <c r="K377" s="3">
        <v>45930</v>
      </c>
      <c r="L377">
        <v>271</v>
      </c>
      <c r="M377" t="s">
        <v>13</v>
      </c>
      <c r="P377" s="38">
        <f t="shared" si="36"/>
        <v>-3.24</v>
      </c>
      <c r="S377" t="s">
        <v>918</v>
      </c>
    </row>
    <row r="378" spans="1:19" x14ac:dyDescent="0.35">
      <c r="A378" t="s">
        <v>454</v>
      </c>
      <c r="B378" s="4">
        <v>256779415350</v>
      </c>
      <c r="C378" s="3">
        <v>45937</v>
      </c>
      <c r="D378" s="1">
        <v>0</v>
      </c>
      <c r="E378" s="1">
        <v>-4.17</v>
      </c>
      <c r="F378" t="s">
        <v>15</v>
      </c>
      <c r="G378" s="3">
        <v>45908</v>
      </c>
      <c r="H378" t="s">
        <v>11</v>
      </c>
      <c r="I378" s="2">
        <v>45901</v>
      </c>
      <c r="J378">
        <v>10</v>
      </c>
      <c r="K378" s="3">
        <v>45930</v>
      </c>
      <c r="L378">
        <v>271</v>
      </c>
      <c r="M378" t="s">
        <v>13</v>
      </c>
      <c r="P378" s="38">
        <f t="shared" si="36"/>
        <v>-4.17</v>
      </c>
      <c r="S378" t="s">
        <v>918</v>
      </c>
    </row>
    <row r="379" spans="1:19" x14ac:dyDescent="0.35">
      <c r="A379" t="s">
        <v>454</v>
      </c>
      <c r="B379" s="4">
        <v>256779415316</v>
      </c>
      <c r="C379" s="3">
        <v>45937</v>
      </c>
      <c r="D379" s="1">
        <v>0</v>
      </c>
      <c r="E379" s="1">
        <v>-11.14</v>
      </c>
      <c r="F379" t="s">
        <v>15</v>
      </c>
      <c r="G379" s="3">
        <v>45908</v>
      </c>
      <c r="H379" t="s">
        <v>11</v>
      </c>
      <c r="I379" s="2">
        <v>45901</v>
      </c>
      <c r="J379">
        <v>12</v>
      </c>
      <c r="K379" s="3">
        <v>45930</v>
      </c>
      <c r="L379">
        <v>271</v>
      </c>
      <c r="M379" t="s">
        <v>13</v>
      </c>
      <c r="P379" s="38">
        <f t="shared" si="36"/>
        <v>-11.14</v>
      </c>
      <c r="S379" t="s">
        <v>918</v>
      </c>
    </row>
    <row r="380" spans="1:19" x14ac:dyDescent="0.35">
      <c r="A380" t="s">
        <v>454</v>
      </c>
      <c r="B380" s="4">
        <v>256779415355</v>
      </c>
      <c r="C380" s="3">
        <v>45937</v>
      </c>
      <c r="D380" s="1">
        <v>0</v>
      </c>
      <c r="E380" s="1">
        <v>-3.97</v>
      </c>
      <c r="F380" t="s">
        <v>15</v>
      </c>
      <c r="G380" s="3">
        <v>45908</v>
      </c>
      <c r="H380" t="s">
        <v>11</v>
      </c>
      <c r="I380" s="2">
        <v>45901</v>
      </c>
      <c r="J380">
        <v>14</v>
      </c>
      <c r="K380" s="3">
        <v>45930</v>
      </c>
      <c r="L380">
        <v>271</v>
      </c>
      <c r="M380" t="s">
        <v>13</v>
      </c>
      <c r="P380" s="38">
        <f t="shared" si="36"/>
        <v>-3.97</v>
      </c>
      <c r="S380" t="s">
        <v>918</v>
      </c>
    </row>
    <row r="381" spans="1:19" x14ac:dyDescent="0.35">
      <c r="A381" t="s">
        <v>454</v>
      </c>
      <c r="B381" s="4">
        <v>256779415303</v>
      </c>
      <c r="C381" s="3">
        <v>45937</v>
      </c>
      <c r="D381" s="1">
        <v>0</v>
      </c>
      <c r="E381" s="1">
        <v>-18.57</v>
      </c>
      <c r="F381" t="s">
        <v>15</v>
      </c>
      <c r="G381" s="3">
        <v>45908</v>
      </c>
      <c r="H381" t="s">
        <v>11</v>
      </c>
      <c r="I381" s="2">
        <v>45901</v>
      </c>
      <c r="J381">
        <v>18</v>
      </c>
      <c r="K381" s="3">
        <v>45930</v>
      </c>
      <c r="L381">
        <v>271</v>
      </c>
      <c r="M381" t="s">
        <v>13</v>
      </c>
      <c r="P381" s="38">
        <f t="shared" si="36"/>
        <v>-18.57</v>
      </c>
      <c r="S381" t="s">
        <v>918</v>
      </c>
    </row>
    <row r="382" spans="1:19" x14ac:dyDescent="0.35">
      <c r="A382" t="s">
        <v>454</v>
      </c>
      <c r="B382" s="4">
        <v>256779415333</v>
      </c>
      <c r="C382" s="3">
        <v>45937</v>
      </c>
      <c r="D382" s="1">
        <v>0</v>
      </c>
      <c r="E382" s="1">
        <v>-4.17</v>
      </c>
      <c r="F382" t="s">
        <v>15</v>
      </c>
      <c r="G382" s="3">
        <v>45908</v>
      </c>
      <c r="H382" t="s">
        <v>11</v>
      </c>
      <c r="I382" s="2">
        <v>45901</v>
      </c>
      <c r="J382">
        <v>20</v>
      </c>
      <c r="K382" s="3">
        <v>45930</v>
      </c>
      <c r="L382">
        <v>271</v>
      </c>
      <c r="M382" t="s">
        <v>13</v>
      </c>
      <c r="P382" s="38">
        <f t="shared" si="36"/>
        <v>-4.17</v>
      </c>
      <c r="S382" t="s">
        <v>918</v>
      </c>
    </row>
    <row r="383" spans="1:19" x14ac:dyDescent="0.35">
      <c r="A383" t="s">
        <v>454</v>
      </c>
      <c r="B383" s="4">
        <v>256779415304</v>
      </c>
      <c r="C383" s="3">
        <v>45937</v>
      </c>
      <c r="D383" s="1">
        <v>0</v>
      </c>
      <c r="E383" s="1">
        <v>-5.57</v>
      </c>
      <c r="F383" t="s">
        <v>15</v>
      </c>
      <c r="G383" s="3">
        <v>45908</v>
      </c>
      <c r="H383" t="s">
        <v>11</v>
      </c>
      <c r="I383" s="2">
        <v>45901</v>
      </c>
      <c r="J383">
        <v>22</v>
      </c>
      <c r="K383" s="3">
        <v>45930</v>
      </c>
      <c r="L383">
        <v>271</v>
      </c>
      <c r="M383" t="s">
        <v>13</v>
      </c>
      <c r="P383" s="38">
        <f t="shared" si="36"/>
        <v>-5.57</v>
      </c>
      <c r="S383" t="s">
        <v>918</v>
      </c>
    </row>
    <row r="384" spans="1:19" x14ac:dyDescent="0.35">
      <c r="A384" t="s">
        <v>454</v>
      </c>
      <c r="B384" s="4">
        <v>256779415377</v>
      </c>
      <c r="C384" s="3">
        <v>45937</v>
      </c>
      <c r="D384" s="1">
        <v>0</v>
      </c>
      <c r="E384" s="1">
        <v>-9.2899999999999991</v>
      </c>
      <c r="F384" t="s">
        <v>15</v>
      </c>
      <c r="G384" s="3">
        <v>45908</v>
      </c>
      <c r="H384" t="s">
        <v>11</v>
      </c>
      <c r="I384" s="2">
        <v>45901</v>
      </c>
      <c r="J384">
        <v>24</v>
      </c>
      <c r="K384" s="3">
        <v>45930</v>
      </c>
      <c r="L384">
        <v>271</v>
      </c>
      <c r="M384" t="s">
        <v>13</v>
      </c>
      <c r="P384" s="38">
        <f t="shared" si="36"/>
        <v>-9.2899999999999991</v>
      </c>
      <c r="S384" t="s">
        <v>918</v>
      </c>
    </row>
    <row r="385" spans="1:19" x14ac:dyDescent="0.35">
      <c r="A385" t="s">
        <v>454</v>
      </c>
      <c r="B385" s="4">
        <v>256779415298</v>
      </c>
      <c r="C385" s="3">
        <v>45937</v>
      </c>
      <c r="D385" s="1">
        <v>0</v>
      </c>
      <c r="E385" s="1">
        <v>-4.46</v>
      </c>
      <c r="F385" t="s">
        <v>15</v>
      </c>
      <c r="G385" s="3">
        <v>45908</v>
      </c>
      <c r="H385" t="s">
        <v>11</v>
      </c>
      <c r="I385" s="2">
        <v>45901</v>
      </c>
      <c r="J385">
        <v>28</v>
      </c>
      <c r="K385" s="3">
        <v>45930</v>
      </c>
      <c r="L385">
        <v>271</v>
      </c>
      <c r="M385" t="s">
        <v>13</v>
      </c>
      <c r="P385" s="38">
        <f t="shared" si="36"/>
        <v>-4.46</v>
      </c>
      <c r="S385" t="s">
        <v>918</v>
      </c>
    </row>
    <row r="386" spans="1:19" x14ac:dyDescent="0.35">
      <c r="A386" t="s">
        <v>454</v>
      </c>
      <c r="B386" s="4">
        <v>256779415380</v>
      </c>
      <c r="C386" s="3">
        <v>45937</v>
      </c>
      <c r="D386" s="1">
        <v>0</v>
      </c>
      <c r="E386" s="1">
        <v>-37.14</v>
      </c>
      <c r="F386" t="s">
        <v>15</v>
      </c>
      <c r="G386" s="3">
        <v>45908</v>
      </c>
      <c r="H386" t="s">
        <v>11</v>
      </c>
      <c r="I386" s="2">
        <v>45901</v>
      </c>
      <c r="J386">
        <v>30</v>
      </c>
      <c r="K386" s="3">
        <v>45930</v>
      </c>
      <c r="L386">
        <v>271</v>
      </c>
      <c r="M386" t="s">
        <v>13</v>
      </c>
      <c r="P386" s="38">
        <f t="shared" si="36"/>
        <v>-37.14</v>
      </c>
      <c r="S386" t="s">
        <v>918</v>
      </c>
    </row>
    <row r="387" spans="1:19" x14ac:dyDescent="0.35">
      <c r="A387" t="s">
        <v>454</v>
      </c>
      <c r="B387" s="4">
        <v>256779415341</v>
      </c>
      <c r="C387" s="3">
        <v>45937</v>
      </c>
      <c r="D387" s="1">
        <v>0</v>
      </c>
      <c r="E387" s="1">
        <v>-2.78</v>
      </c>
      <c r="F387" t="s">
        <v>15</v>
      </c>
      <c r="G387" s="3">
        <v>45908</v>
      </c>
      <c r="H387" t="s">
        <v>11</v>
      </c>
      <c r="I387" s="2">
        <v>45901</v>
      </c>
      <c r="J387">
        <v>32</v>
      </c>
      <c r="K387" s="3">
        <v>45930</v>
      </c>
      <c r="L387">
        <v>271</v>
      </c>
      <c r="M387" t="s">
        <v>13</v>
      </c>
      <c r="P387" s="38">
        <f t="shared" si="36"/>
        <v>-2.78</v>
      </c>
      <c r="S387" t="s">
        <v>918</v>
      </c>
    </row>
    <row r="388" spans="1:19" x14ac:dyDescent="0.35">
      <c r="A388" t="s">
        <v>454</v>
      </c>
      <c r="B388" s="4">
        <v>256779415359</v>
      </c>
      <c r="C388" s="3">
        <v>45937</v>
      </c>
      <c r="D388" s="1">
        <v>0</v>
      </c>
      <c r="E388" s="1">
        <v>-37.14</v>
      </c>
      <c r="F388" t="s">
        <v>15</v>
      </c>
      <c r="G388" s="3">
        <v>45908</v>
      </c>
      <c r="H388" t="s">
        <v>11</v>
      </c>
      <c r="I388" s="2">
        <v>45901</v>
      </c>
      <c r="J388">
        <v>34</v>
      </c>
      <c r="K388" s="3">
        <v>45930</v>
      </c>
      <c r="L388">
        <v>271</v>
      </c>
      <c r="M388" t="s">
        <v>13</v>
      </c>
      <c r="P388" s="38">
        <f t="shared" ref="P388:P451" si="39">E388+O388</f>
        <v>-37.14</v>
      </c>
      <c r="S388" t="s">
        <v>918</v>
      </c>
    </row>
    <row r="389" spans="1:19" x14ac:dyDescent="0.35">
      <c r="A389" t="s">
        <v>454</v>
      </c>
      <c r="B389" s="4">
        <v>256779415338</v>
      </c>
      <c r="C389" s="3">
        <v>45937</v>
      </c>
      <c r="D389" s="1">
        <v>0</v>
      </c>
      <c r="E389" s="1">
        <v>-2.3199999999999998</v>
      </c>
      <c r="F389" t="s">
        <v>15</v>
      </c>
      <c r="G389" s="3">
        <v>45908</v>
      </c>
      <c r="H389" t="s">
        <v>11</v>
      </c>
      <c r="I389" s="2">
        <v>45901</v>
      </c>
      <c r="J389">
        <v>36</v>
      </c>
      <c r="K389" s="3">
        <v>45930</v>
      </c>
      <c r="L389">
        <v>271</v>
      </c>
      <c r="M389" t="s">
        <v>13</v>
      </c>
      <c r="P389" s="38">
        <f t="shared" si="39"/>
        <v>-2.3199999999999998</v>
      </c>
      <c r="S389" t="s">
        <v>918</v>
      </c>
    </row>
    <row r="390" spans="1:19" x14ac:dyDescent="0.35">
      <c r="A390" t="s">
        <v>454</v>
      </c>
      <c r="B390" s="4">
        <v>256779415344</v>
      </c>
      <c r="C390" s="3">
        <v>45937</v>
      </c>
      <c r="D390" s="1">
        <v>0</v>
      </c>
      <c r="E390" s="1">
        <v>-4.6500000000000004</v>
      </c>
      <c r="F390" t="s">
        <v>15</v>
      </c>
      <c r="G390" s="3">
        <v>45908</v>
      </c>
      <c r="H390" t="s">
        <v>11</v>
      </c>
      <c r="I390" s="2">
        <v>45901</v>
      </c>
      <c r="J390">
        <v>38</v>
      </c>
      <c r="K390" s="3">
        <v>45930</v>
      </c>
      <c r="L390">
        <v>271</v>
      </c>
      <c r="M390" t="s">
        <v>13</v>
      </c>
      <c r="P390" s="38">
        <f t="shared" si="39"/>
        <v>-4.6500000000000004</v>
      </c>
      <c r="S390" t="s">
        <v>918</v>
      </c>
    </row>
    <row r="391" spans="1:19" x14ac:dyDescent="0.35">
      <c r="A391" t="s">
        <v>454</v>
      </c>
      <c r="B391" s="4">
        <v>256779415345</v>
      </c>
      <c r="C391" s="3">
        <v>45937</v>
      </c>
      <c r="D391" s="1">
        <v>0</v>
      </c>
      <c r="E391" s="1">
        <v>-4.6500000000000004</v>
      </c>
      <c r="F391" t="s">
        <v>15</v>
      </c>
      <c r="G391" s="3">
        <v>45908</v>
      </c>
      <c r="H391" t="s">
        <v>11</v>
      </c>
      <c r="I391" s="2">
        <v>45901</v>
      </c>
      <c r="J391">
        <v>40</v>
      </c>
      <c r="K391" s="3">
        <v>45930</v>
      </c>
      <c r="L391">
        <v>271</v>
      </c>
      <c r="M391" t="s">
        <v>13</v>
      </c>
      <c r="P391" s="38">
        <f t="shared" si="39"/>
        <v>-4.6500000000000004</v>
      </c>
      <c r="S391" t="s">
        <v>918</v>
      </c>
    </row>
    <row r="392" spans="1:19" x14ac:dyDescent="0.35">
      <c r="A392" t="s">
        <v>454</v>
      </c>
      <c r="B392" s="4">
        <v>256779415388</v>
      </c>
      <c r="C392" s="3">
        <v>45937</v>
      </c>
      <c r="D392" s="1">
        <v>0</v>
      </c>
      <c r="E392" s="1">
        <v>-420</v>
      </c>
      <c r="F392" t="s">
        <v>15</v>
      </c>
      <c r="G392" s="3">
        <v>45908</v>
      </c>
      <c r="H392" t="s">
        <v>11</v>
      </c>
      <c r="I392" s="2">
        <v>45901</v>
      </c>
      <c r="J392">
        <v>42</v>
      </c>
      <c r="K392" s="3">
        <v>45930</v>
      </c>
      <c r="L392">
        <v>271</v>
      </c>
      <c r="M392" t="s">
        <v>13</v>
      </c>
      <c r="P392" s="38">
        <f t="shared" si="39"/>
        <v>-420</v>
      </c>
      <c r="S392" t="s">
        <v>918</v>
      </c>
    </row>
    <row r="393" spans="1:19" x14ac:dyDescent="0.35">
      <c r="A393" t="s">
        <v>454</v>
      </c>
      <c r="B393" s="4">
        <v>256779415310</v>
      </c>
      <c r="C393" s="3">
        <v>45937</v>
      </c>
      <c r="D393" s="1">
        <v>0</v>
      </c>
      <c r="E393" s="1">
        <v>-5.57</v>
      </c>
      <c r="F393" t="s">
        <v>15</v>
      </c>
      <c r="G393" s="3">
        <v>45908</v>
      </c>
      <c r="H393" t="s">
        <v>11</v>
      </c>
      <c r="I393" s="2">
        <v>45901</v>
      </c>
      <c r="J393">
        <v>44</v>
      </c>
      <c r="K393" s="3">
        <v>45930</v>
      </c>
      <c r="L393">
        <v>271</v>
      </c>
      <c r="M393" t="s">
        <v>13</v>
      </c>
      <c r="P393" s="38">
        <f t="shared" si="39"/>
        <v>-5.57</v>
      </c>
      <c r="S393" t="s">
        <v>918</v>
      </c>
    </row>
    <row r="394" spans="1:19" x14ac:dyDescent="0.35">
      <c r="A394" t="s">
        <v>454</v>
      </c>
      <c r="B394" s="4">
        <v>256779415379</v>
      </c>
      <c r="C394" s="3">
        <v>45937</v>
      </c>
      <c r="D394" s="1">
        <v>0</v>
      </c>
      <c r="E394" s="1">
        <v>-43.29</v>
      </c>
      <c r="F394" t="s">
        <v>15</v>
      </c>
      <c r="G394" s="3">
        <v>45908</v>
      </c>
      <c r="H394" t="s">
        <v>11</v>
      </c>
      <c r="I394" s="2">
        <v>45901</v>
      </c>
      <c r="J394">
        <v>46</v>
      </c>
      <c r="K394" s="3">
        <v>45930</v>
      </c>
      <c r="L394">
        <v>271</v>
      </c>
      <c r="M394" t="s">
        <v>13</v>
      </c>
      <c r="P394" s="38">
        <f t="shared" si="39"/>
        <v>-43.29</v>
      </c>
      <c r="S394" t="s">
        <v>918</v>
      </c>
    </row>
    <row r="395" spans="1:19" x14ac:dyDescent="0.35">
      <c r="A395" t="s">
        <v>454</v>
      </c>
      <c r="B395" s="4">
        <v>256779415384</v>
      </c>
      <c r="C395" s="3">
        <v>45937</v>
      </c>
      <c r="D395" s="1">
        <v>0</v>
      </c>
      <c r="E395" s="1">
        <v>-65</v>
      </c>
      <c r="F395" t="s">
        <v>15</v>
      </c>
      <c r="G395" s="3">
        <v>45908</v>
      </c>
      <c r="H395" t="s">
        <v>11</v>
      </c>
      <c r="I395" s="2">
        <v>45901</v>
      </c>
      <c r="J395">
        <v>48</v>
      </c>
      <c r="K395" s="3">
        <v>45930</v>
      </c>
      <c r="L395">
        <v>271</v>
      </c>
      <c r="M395" t="s">
        <v>13</v>
      </c>
      <c r="P395" s="38">
        <f t="shared" si="39"/>
        <v>-65</v>
      </c>
      <c r="S395" t="s">
        <v>918</v>
      </c>
    </row>
    <row r="396" spans="1:19" x14ac:dyDescent="0.35">
      <c r="A396" t="s">
        <v>454</v>
      </c>
      <c r="B396" s="4">
        <v>256779415339</v>
      </c>
      <c r="C396" s="3">
        <v>45937</v>
      </c>
      <c r="D396" s="1">
        <v>0</v>
      </c>
      <c r="E396" s="1">
        <v>-5.09</v>
      </c>
      <c r="F396" t="s">
        <v>15</v>
      </c>
      <c r="G396" s="3">
        <v>45908</v>
      </c>
      <c r="H396" t="s">
        <v>11</v>
      </c>
      <c r="I396" s="2">
        <v>45901</v>
      </c>
      <c r="J396">
        <v>50</v>
      </c>
      <c r="K396" s="3">
        <v>45930</v>
      </c>
      <c r="L396">
        <v>271</v>
      </c>
      <c r="M396" t="s">
        <v>13</v>
      </c>
      <c r="P396" s="38">
        <f t="shared" si="39"/>
        <v>-5.09</v>
      </c>
      <c r="S396" t="s">
        <v>918</v>
      </c>
    </row>
    <row r="397" spans="1:19" x14ac:dyDescent="0.35">
      <c r="A397" t="s">
        <v>454</v>
      </c>
      <c r="B397" s="4">
        <v>256779415393</v>
      </c>
      <c r="C397" s="3">
        <v>45937</v>
      </c>
      <c r="D397" s="1">
        <v>0</v>
      </c>
      <c r="E397" s="1">
        <v>-11.14</v>
      </c>
      <c r="F397" t="s">
        <v>15</v>
      </c>
      <c r="G397" s="3">
        <v>45908</v>
      </c>
      <c r="H397" t="s">
        <v>11</v>
      </c>
      <c r="I397" s="2">
        <v>45901</v>
      </c>
      <c r="J397">
        <v>54</v>
      </c>
      <c r="K397" s="3">
        <v>45930</v>
      </c>
      <c r="L397">
        <v>271</v>
      </c>
      <c r="M397" t="s">
        <v>13</v>
      </c>
      <c r="P397" s="38">
        <f t="shared" si="39"/>
        <v>-11.14</v>
      </c>
      <c r="S397" t="s">
        <v>918</v>
      </c>
    </row>
    <row r="398" spans="1:19" x14ac:dyDescent="0.35">
      <c r="A398" t="s">
        <v>454</v>
      </c>
      <c r="B398" s="4">
        <v>256779415357</v>
      </c>
      <c r="C398" s="3">
        <v>45937</v>
      </c>
      <c r="D398" s="1">
        <v>0</v>
      </c>
      <c r="E398" s="1">
        <v>-38.49</v>
      </c>
      <c r="F398" t="s">
        <v>15</v>
      </c>
      <c r="G398" s="3">
        <v>45908</v>
      </c>
      <c r="H398" t="s">
        <v>11</v>
      </c>
      <c r="I398" s="2">
        <v>45901</v>
      </c>
      <c r="J398">
        <v>56</v>
      </c>
      <c r="K398" s="3">
        <v>45930</v>
      </c>
      <c r="L398">
        <v>271</v>
      </c>
      <c r="M398" t="s">
        <v>13</v>
      </c>
      <c r="P398" s="38">
        <f t="shared" si="39"/>
        <v>-38.49</v>
      </c>
      <c r="S398" t="s">
        <v>918</v>
      </c>
    </row>
    <row r="399" spans="1:19" x14ac:dyDescent="0.35">
      <c r="A399" t="s">
        <v>454</v>
      </c>
      <c r="B399" s="4">
        <v>256779415300</v>
      </c>
      <c r="C399" s="3">
        <v>45937</v>
      </c>
      <c r="D399" s="1">
        <v>0</v>
      </c>
      <c r="E399" s="1">
        <v>-4.46</v>
      </c>
      <c r="F399" t="s">
        <v>15</v>
      </c>
      <c r="G399" s="3">
        <v>45908</v>
      </c>
      <c r="H399" t="s">
        <v>11</v>
      </c>
      <c r="I399" s="2">
        <v>45901</v>
      </c>
      <c r="J399">
        <v>60</v>
      </c>
      <c r="K399" s="3">
        <v>45930</v>
      </c>
      <c r="L399">
        <v>271</v>
      </c>
      <c r="M399" t="s">
        <v>13</v>
      </c>
      <c r="P399" s="38">
        <f t="shared" si="39"/>
        <v>-4.46</v>
      </c>
      <c r="S399" t="s">
        <v>918</v>
      </c>
    </row>
    <row r="400" spans="1:19" x14ac:dyDescent="0.35">
      <c r="A400" t="s">
        <v>454</v>
      </c>
      <c r="B400" s="4">
        <v>256779415375</v>
      </c>
      <c r="C400" s="3">
        <v>45937</v>
      </c>
      <c r="D400" s="1">
        <v>0</v>
      </c>
      <c r="E400" s="1">
        <v>-66.849999999999994</v>
      </c>
      <c r="F400" t="s">
        <v>15</v>
      </c>
      <c r="G400" s="3">
        <v>45908</v>
      </c>
      <c r="H400" t="s">
        <v>11</v>
      </c>
      <c r="I400" s="2">
        <v>45901</v>
      </c>
      <c r="J400">
        <v>62</v>
      </c>
      <c r="K400" s="3">
        <v>45930</v>
      </c>
      <c r="L400">
        <v>271</v>
      </c>
      <c r="M400" t="s">
        <v>13</v>
      </c>
      <c r="P400" s="38">
        <f t="shared" si="39"/>
        <v>-66.849999999999994</v>
      </c>
      <c r="S400" t="s">
        <v>918</v>
      </c>
    </row>
    <row r="401" spans="1:19" x14ac:dyDescent="0.35">
      <c r="A401" t="s">
        <v>454</v>
      </c>
      <c r="B401" s="4">
        <v>256779415349</v>
      </c>
      <c r="C401" s="3">
        <v>45937</v>
      </c>
      <c r="D401" s="1">
        <v>0</v>
      </c>
      <c r="E401" s="1">
        <v>-5.0999999999999996</v>
      </c>
      <c r="F401" t="s">
        <v>15</v>
      </c>
      <c r="G401" s="3">
        <v>45908</v>
      </c>
      <c r="H401" t="s">
        <v>11</v>
      </c>
      <c r="I401" s="2">
        <v>45901</v>
      </c>
      <c r="J401">
        <v>66</v>
      </c>
      <c r="K401" s="3">
        <v>45930</v>
      </c>
      <c r="L401">
        <v>271</v>
      </c>
      <c r="M401" t="s">
        <v>13</v>
      </c>
      <c r="P401" s="38">
        <f t="shared" si="39"/>
        <v>-5.0999999999999996</v>
      </c>
      <c r="S401" t="s">
        <v>918</v>
      </c>
    </row>
    <row r="402" spans="1:19" x14ac:dyDescent="0.35">
      <c r="A402" t="s">
        <v>454</v>
      </c>
      <c r="B402" s="4">
        <v>256779415308</v>
      </c>
      <c r="C402" s="3">
        <v>45937</v>
      </c>
      <c r="D402" s="1">
        <v>0</v>
      </c>
      <c r="E402" s="1">
        <v>-5.57</v>
      </c>
      <c r="F402" t="s">
        <v>15</v>
      </c>
      <c r="G402" s="3">
        <v>45908</v>
      </c>
      <c r="H402" t="s">
        <v>11</v>
      </c>
      <c r="I402" s="2">
        <v>45901</v>
      </c>
      <c r="J402">
        <v>68</v>
      </c>
      <c r="K402" s="3">
        <v>45930</v>
      </c>
      <c r="L402">
        <v>271</v>
      </c>
      <c r="M402" t="s">
        <v>13</v>
      </c>
      <c r="P402" s="38">
        <f t="shared" si="39"/>
        <v>-5.57</v>
      </c>
      <c r="S402" t="s">
        <v>918</v>
      </c>
    </row>
    <row r="403" spans="1:19" x14ac:dyDescent="0.35">
      <c r="A403" t="s">
        <v>454</v>
      </c>
      <c r="B403" s="4">
        <v>256779415360</v>
      </c>
      <c r="C403" s="3">
        <v>45937</v>
      </c>
      <c r="D403" s="1">
        <v>0</v>
      </c>
      <c r="E403" s="1">
        <v>-11.14</v>
      </c>
      <c r="F403" t="s">
        <v>15</v>
      </c>
      <c r="G403" s="3">
        <v>45908</v>
      </c>
      <c r="H403" t="s">
        <v>11</v>
      </c>
      <c r="I403" s="2">
        <v>45901</v>
      </c>
      <c r="J403">
        <v>72</v>
      </c>
      <c r="K403" s="3">
        <v>45930</v>
      </c>
      <c r="L403">
        <v>271</v>
      </c>
      <c r="M403" t="s">
        <v>13</v>
      </c>
      <c r="P403" s="38">
        <f t="shared" si="39"/>
        <v>-11.14</v>
      </c>
      <c r="S403" t="s">
        <v>918</v>
      </c>
    </row>
    <row r="404" spans="1:19" x14ac:dyDescent="0.35">
      <c r="A404" t="s">
        <v>454</v>
      </c>
      <c r="B404" s="4">
        <v>256779415318</v>
      </c>
      <c r="C404" s="3">
        <v>45937</v>
      </c>
      <c r="D404" s="1">
        <v>0</v>
      </c>
      <c r="E404" s="1">
        <v>-47.28</v>
      </c>
      <c r="F404" t="s">
        <v>15</v>
      </c>
      <c r="G404" s="3">
        <v>45908</v>
      </c>
      <c r="H404" t="s">
        <v>11</v>
      </c>
      <c r="I404" s="2">
        <v>45901</v>
      </c>
      <c r="J404">
        <v>74</v>
      </c>
      <c r="K404" s="3">
        <v>45930</v>
      </c>
      <c r="L404">
        <v>271</v>
      </c>
      <c r="M404" t="s">
        <v>13</v>
      </c>
      <c r="P404" s="38">
        <f t="shared" si="39"/>
        <v>-47.28</v>
      </c>
      <c r="S404" t="s">
        <v>918</v>
      </c>
    </row>
    <row r="405" spans="1:19" x14ac:dyDescent="0.35">
      <c r="A405" t="s">
        <v>454</v>
      </c>
      <c r="B405" s="4">
        <v>256779415378</v>
      </c>
      <c r="C405" s="3">
        <v>45937</v>
      </c>
      <c r="D405" s="1">
        <v>0</v>
      </c>
      <c r="E405" s="1">
        <v>-22.29</v>
      </c>
      <c r="F405" t="s">
        <v>15</v>
      </c>
      <c r="G405" s="3">
        <v>45908</v>
      </c>
      <c r="H405" t="s">
        <v>11</v>
      </c>
      <c r="I405" s="2">
        <v>45901</v>
      </c>
      <c r="J405">
        <v>76</v>
      </c>
      <c r="K405" s="3">
        <v>45930</v>
      </c>
      <c r="L405">
        <v>271</v>
      </c>
      <c r="M405" t="s">
        <v>13</v>
      </c>
      <c r="P405" s="38">
        <f t="shared" si="39"/>
        <v>-22.29</v>
      </c>
      <c r="S405" t="s">
        <v>918</v>
      </c>
    </row>
    <row r="406" spans="1:19" x14ac:dyDescent="0.35">
      <c r="A406" t="s">
        <v>454</v>
      </c>
      <c r="B406" s="4">
        <v>256779415391</v>
      </c>
      <c r="C406" s="3">
        <v>45937</v>
      </c>
      <c r="D406" s="1">
        <v>0</v>
      </c>
      <c r="E406" s="1">
        <v>-152.30000000000001</v>
      </c>
      <c r="F406" t="s">
        <v>15</v>
      </c>
      <c r="G406" s="3">
        <v>45908</v>
      </c>
      <c r="H406" t="s">
        <v>11</v>
      </c>
      <c r="I406" s="2">
        <v>45901</v>
      </c>
      <c r="J406">
        <v>78</v>
      </c>
      <c r="K406" s="3">
        <v>45930</v>
      </c>
      <c r="L406">
        <v>271</v>
      </c>
      <c r="M406" t="s">
        <v>13</v>
      </c>
      <c r="P406" s="38">
        <f t="shared" si="39"/>
        <v>-152.30000000000001</v>
      </c>
      <c r="S406" t="s">
        <v>918</v>
      </c>
    </row>
    <row r="407" spans="1:19" x14ac:dyDescent="0.35">
      <c r="A407" t="s">
        <v>454</v>
      </c>
      <c r="B407" s="4">
        <v>256779415334</v>
      </c>
      <c r="C407" s="3">
        <v>45937</v>
      </c>
      <c r="D407" s="1">
        <v>0</v>
      </c>
      <c r="E407" s="1">
        <v>-4.17</v>
      </c>
      <c r="F407" t="s">
        <v>15</v>
      </c>
      <c r="G407" s="3">
        <v>45908</v>
      </c>
      <c r="H407" t="s">
        <v>11</v>
      </c>
      <c r="I407" s="2">
        <v>45901</v>
      </c>
      <c r="J407">
        <v>80</v>
      </c>
      <c r="K407" s="3">
        <v>45930</v>
      </c>
      <c r="L407">
        <v>271</v>
      </c>
      <c r="M407" t="s">
        <v>13</v>
      </c>
      <c r="P407" s="38">
        <f t="shared" si="39"/>
        <v>-4.17</v>
      </c>
      <c r="S407" t="s">
        <v>918</v>
      </c>
    </row>
    <row r="408" spans="1:19" x14ac:dyDescent="0.35">
      <c r="A408" t="s">
        <v>454</v>
      </c>
      <c r="B408" s="4">
        <v>256779415371</v>
      </c>
      <c r="C408" s="3">
        <v>45937</v>
      </c>
      <c r="D408" s="1">
        <v>0</v>
      </c>
      <c r="E408" s="1">
        <v>-8.0500000000000007</v>
      </c>
      <c r="F408" t="s">
        <v>15</v>
      </c>
      <c r="G408" s="3">
        <v>45908</v>
      </c>
      <c r="H408" t="s">
        <v>11</v>
      </c>
      <c r="I408" s="2">
        <v>45901</v>
      </c>
      <c r="J408">
        <v>82</v>
      </c>
      <c r="K408" s="3">
        <v>45930</v>
      </c>
      <c r="L408">
        <v>271</v>
      </c>
      <c r="M408" t="s">
        <v>13</v>
      </c>
      <c r="P408" s="38">
        <f t="shared" si="39"/>
        <v>-8.0500000000000007</v>
      </c>
      <c r="S408" t="s">
        <v>918</v>
      </c>
    </row>
    <row r="409" spans="1:19" x14ac:dyDescent="0.35">
      <c r="A409" t="s">
        <v>454</v>
      </c>
      <c r="B409" s="4">
        <v>256779415315</v>
      </c>
      <c r="C409" s="3">
        <v>45937</v>
      </c>
      <c r="D409" s="1">
        <v>0</v>
      </c>
      <c r="E409" s="1">
        <v>-22.29</v>
      </c>
      <c r="F409" t="s">
        <v>15</v>
      </c>
      <c r="G409" s="3">
        <v>45908</v>
      </c>
      <c r="H409" t="s">
        <v>11</v>
      </c>
      <c r="I409" s="2">
        <v>45901</v>
      </c>
      <c r="J409">
        <v>84</v>
      </c>
      <c r="K409" s="3">
        <v>45930</v>
      </c>
      <c r="L409">
        <v>271</v>
      </c>
      <c r="M409" t="s">
        <v>13</v>
      </c>
      <c r="P409" s="38">
        <f t="shared" si="39"/>
        <v>-22.29</v>
      </c>
      <c r="S409" t="s">
        <v>918</v>
      </c>
    </row>
    <row r="410" spans="1:19" x14ac:dyDescent="0.35">
      <c r="A410" t="s">
        <v>454</v>
      </c>
      <c r="B410" s="4">
        <v>256779415305</v>
      </c>
      <c r="C410" s="3">
        <v>45937</v>
      </c>
      <c r="D410" s="1">
        <v>0</v>
      </c>
      <c r="E410" s="1">
        <v>-5.57</v>
      </c>
      <c r="F410" t="s">
        <v>15</v>
      </c>
      <c r="G410" s="3">
        <v>45908</v>
      </c>
      <c r="H410" t="s">
        <v>11</v>
      </c>
      <c r="I410" s="2">
        <v>45901</v>
      </c>
      <c r="J410">
        <v>86</v>
      </c>
      <c r="K410" s="3">
        <v>45930</v>
      </c>
      <c r="L410">
        <v>271</v>
      </c>
      <c r="M410" t="s">
        <v>13</v>
      </c>
      <c r="P410" s="38">
        <f t="shared" si="39"/>
        <v>-5.57</v>
      </c>
      <c r="S410" t="s">
        <v>918</v>
      </c>
    </row>
    <row r="411" spans="1:19" x14ac:dyDescent="0.35">
      <c r="A411" t="s">
        <v>454</v>
      </c>
      <c r="B411" s="4">
        <v>256779415356</v>
      </c>
      <c r="C411" s="3">
        <v>45937</v>
      </c>
      <c r="D411" s="1">
        <v>0</v>
      </c>
      <c r="E411" s="1">
        <v>-13.37</v>
      </c>
      <c r="F411" t="s">
        <v>15</v>
      </c>
      <c r="G411" s="3">
        <v>45908</v>
      </c>
      <c r="H411" t="s">
        <v>11</v>
      </c>
      <c r="I411" s="2">
        <v>45901</v>
      </c>
      <c r="J411">
        <v>88</v>
      </c>
      <c r="K411" s="3">
        <v>45930</v>
      </c>
      <c r="L411">
        <v>271</v>
      </c>
      <c r="M411" t="s">
        <v>13</v>
      </c>
      <c r="P411" s="38">
        <f t="shared" si="39"/>
        <v>-13.37</v>
      </c>
      <c r="S411" t="s">
        <v>918</v>
      </c>
    </row>
    <row r="412" spans="1:19" x14ac:dyDescent="0.35">
      <c r="A412" t="s">
        <v>454</v>
      </c>
      <c r="B412" s="4">
        <v>256779415383</v>
      </c>
      <c r="C412" s="3">
        <v>45937</v>
      </c>
      <c r="D412" s="1">
        <v>0</v>
      </c>
      <c r="E412" s="1">
        <v>-28.93</v>
      </c>
      <c r="F412" t="s">
        <v>15</v>
      </c>
      <c r="G412" s="3">
        <v>45908</v>
      </c>
      <c r="H412" t="s">
        <v>11</v>
      </c>
      <c r="I412" s="2">
        <v>45901</v>
      </c>
      <c r="J412">
        <v>90</v>
      </c>
      <c r="K412" s="3">
        <v>45930</v>
      </c>
      <c r="L412">
        <v>271</v>
      </c>
      <c r="M412" t="s">
        <v>13</v>
      </c>
      <c r="P412" s="38">
        <f t="shared" si="39"/>
        <v>-28.93</v>
      </c>
      <c r="S412" t="s">
        <v>918</v>
      </c>
    </row>
    <row r="413" spans="1:19" x14ac:dyDescent="0.35">
      <c r="A413" t="s">
        <v>454</v>
      </c>
      <c r="B413" s="4">
        <v>256779415372</v>
      </c>
      <c r="C413" s="3">
        <v>45937</v>
      </c>
      <c r="D413" s="1">
        <v>0</v>
      </c>
      <c r="E413" s="1">
        <v>-28.85</v>
      </c>
      <c r="F413" t="s">
        <v>15</v>
      </c>
      <c r="G413" s="3">
        <v>45908</v>
      </c>
      <c r="H413" t="s">
        <v>11</v>
      </c>
      <c r="I413" s="2">
        <v>45901</v>
      </c>
      <c r="J413">
        <v>92</v>
      </c>
      <c r="K413" s="3">
        <v>45930</v>
      </c>
      <c r="L413">
        <v>271</v>
      </c>
      <c r="M413" t="s">
        <v>13</v>
      </c>
      <c r="P413" s="38">
        <f t="shared" si="39"/>
        <v>-28.85</v>
      </c>
      <c r="S413" t="s">
        <v>918</v>
      </c>
    </row>
    <row r="414" spans="1:19" x14ac:dyDescent="0.35">
      <c r="A414" t="s">
        <v>454</v>
      </c>
      <c r="B414" s="4">
        <v>256779415361</v>
      </c>
      <c r="C414" s="3">
        <v>45937</v>
      </c>
      <c r="D414" s="1">
        <v>0</v>
      </c>
      <c r="E414" s="1">
        <v>-12.53</v>
      </c>
      <c r="F414" t="s">
        <v>15</v>
      </c>
      <c r="G414" s="3">
        <v>45908</v>
      </c>
      <c r="H414" t="s">
        <v>11</v>
      </c>
      <c r="I414" s="2">
        <v>45901</v>
      </c>
      <c r="J414">
        <v>94</v>
      </c>
      <c r="K414" s="3">
        <v>45930</v>
      </c>
      <c r="L414">
        <v>271</v>
      </c>
      <c r="M414" t="s">
        <v>13</v>
      </c>
      <c r="P414" s="38">
        <f t="shared" si="39"/>
        <v>-12.53</v>
      </c>
      <c r="S414" t="s">
        <v>918</v>
      </c>
    </row>
    <row r="415" spans="1:19" x14ac:dyDescent="0.35">
      <c r="A415" t="s">
        <v>454</v>
      </c>
      <c r="B415" s="4">
        <v>256779415317</v>
      </c>
      <c r="C415" s="3">
        <v>45937</v>
      </c>
      <c r="D415" s="1">
        <v>0</v>
      </c>
      <c r="E415" s="1">
        <v>-37.14</v>
      </c>
      <c r="F415" t="s">
        <v>15</v>
      </c>
      <c r="G415" s="3">
        <v>45908</v>
      </c>
      <c r="H415" t="s">
        <v>11</v>
      </c>
      <c r="I415" s="2">
        <v>45901</v>
      </c>
      <c r="J415">
        <v>96</v>
      </c>
      <c r="K415" s="3">
        <v>45930</v>
      </c>
      <c r="L415">
        <v>271</v>
      </c>
      <c r="M415" t="s">
        <v>13</v>
      </c>
      <c r="P415" s="38">
        <f t="shared" si="39"/>
        <v>-37.14</v>
      </c>
      <c r="S415" t="s">
        <v>918</v>
      </c>
    </row>
    <row r="416" spans="1:19" x14ac:dyDescent="0.35">
      <c r="A416" t="s">
        <v>454</v>
      </c>
      <c r="B416" s="4">
        <v>256779415394</v>
      </c>
      <c r="C416" s="3">
        <v>45937</v>
      </c>
      <c r="D416" s="1">
        <v>0</v>
      </c>
      <c r="E416" s="1">
        <v>-17.829999999999998</v>
      </c>
      <c r="F416" t="s">
        <v>15</v>
      </c>
      <c r="G416" s="3">
        <v>45908</v>
      </c>
      <c r="H416" t="s">
        <v>11</v>
      </c>
      <c r="I416" s="2">
        <v>45901</v>
      </c>
      <c r="J416">
        <v>98</v>
      </c>
      <c r="K416" s="3">
        <v>45930</v>
      </c>
      <c r="L416">
        <v>271</v>
      </c>
      <c r="M416" t="s">
        <v>13</v>
      </c>
      <c r="P416" s="38">
        <f t="shared" si="39"/>
        <v>-17.829999999999998</v>
      </c>
      <c r="S416" t="s">
        <v>918</v>
      </c>
    </row>
    <row r="417" spans="1:19" x14ac:dyDescent="0.35">
      <c r="A417" t="s">
        <v>454</v>
      </c>
      <c r="B417" s="4">
        <v>256779415314</v>
      </c>
      <c r="C417" s="3">
        <v>45937</v>
      </c>
      <c r="D417" s="1">
        <v>0</v>
      </c>
      <c r="E417" s="1">
        <v>-33.26</v>
      </c>
      <c r="F417" t="s">
        <v>15</v>
      </c>
      <c r="G417" s="3">
        <v>45908</v>
      </c>
      <c r="H417" t="s">
        <v>11</v>
      </c>
      <c r="I417" s="2">
        <v>45901</v>
      </c>
      <c r="J417">
        <v>100</v>
      </c>
      <c r="K417" s="3">
        <v>45930</v>
      </c>
      <c r="L417">
        <v>271</v>
      </c>
      <c r="M417" t="s">
        <v>13</v>
      </c>
      <c r="P417" s="38">
        <f t="shared" si="39"/>
        <v>-33.26</v>
      </c>
      <c r="S417" t="s">
        <v>918</v>
      </c>
    </row>
    <row r="418" spans="1:19" x14ac:dyDescent="0.35">
      <c r="A418" t="s">
        <v>454</v>
      </c>
      <c r="B418" s="4">
        <v>256779415352</v>
      </c>
      <c r="C418" s="3">
        <v>45937</v>
      </c>
      <c r="D418" s="1">
        <v>0</v>
      </c>
      <c r="E418" s="1">
        <v>-28.96</v>
      </c>
      <c r="F418" t="s">
        <v>15</v>
      </c>
      <c r="G418" s="3">
        <v>45908</v>
      </c>
      <c r="H418" t="s">
        <v>11</v>
      </c>
      <c r="I418" s="2">
        <v>45901</v>
      </c>
      <c r="J418">
        <v>102</v>
      </c>
      <c r="K418" s="3">
        <v>45930</v>
      </c>
      <c r="L418">
        <v>271</v>
      </c>
      <c r="M418" t="s">
        <v>13</v>
      </c>
      <c r="P418" s="38">
        <f t="shared" si="39"/>
        <v>-28.96</v>
      </c>
      <c r="S418" t="s">
        <v>918</v>
      </c>
    </row>
    <row r="419" spans="1:19" x14ac:dyDescent="0.35">
      <c r="A419" t="s">
        <v>454</v>
      </c>
      <c r="B419" s="4">
        <v>256779415342</v>
      </c>
      <c r="C419" s="3">
        <v>45937</v>
      </c>
      <c r="D419" s="1">
        <v>0</v>
      </c>
      <c r="E419" s="1">
        <v>-0.46</v>
      </c>
      <c r="F419" t="s">
        <v>15</v>
      </c>
      <c r="G419" s="3">
        <v>45908</v>
      </c>
      <c r="H419" t="s">
        <v>11</v>
      </c>
      <c r="I419" s="2">
        <v>45901</v>
      </c>
      <c r="J419">
        <v>106</v>
      </c>
      <c r="K419" s="3">
        <v>45930</v>
      </c>
      <c r="L419">
        <v>271</v>
      </c>
      <c r="M419" t="s">
        <v>13</v>
      </c>
      <c r="P419" s="38">
        <f t="shared" si="39"/>
        <v>-0.46</v>
      </c>
      <c r="S419" t="s">
        <v>918</v>
      </c>
    </row>
    <row r="420" spans="1:19" x14ac:dyDescent="0.35">
      <c r="A420" t="s">
        <v>454</v>
      </c>
      <c r="B420" s="4">
        <v>256779415376</v>
      </c>
      <c r="C420" s="3">
        <v>45937</v>
      </c>
      <c r="D420" s="1">
        <v>0</v>
      </c>
      <c r="E420" s="1">
        <v>-11.14</v>
      </c>
      <c r="F420" t="s">
        <v>15</v>
      </c>
      <c r="G420" s="3">
        <v>45908</v>
      </c>
      <c r="H420" t="s">
        <v>11</v>
      </c>
      <c r="I420" s="2">
        <v>45901</v>
      </c>
      <c r="J420">
        <v>108</v>
      </c>
      <c r="K420" s="3">
        <v>45930</v>
      </c>
      <c r="L420">
        <v>271</v>
      </c>
      <c r="M420" t="s">
        <v>13</v>
      </c>
      <c r="P420" s="38">
        <f t="shared" si="39"/>
        <v>-11.14</v>
      </c>
      <c r="S420" t="s">
        <v>918</v>
      </c>
    </row>
    <row r="421" spans="1:19" x14ac:dyDescent="0.35">
      <c r="A421" t="s">
        <v>454</v>
      </c>
      <c r="B421" s="4">
        <v>256779415336</v>
      </c>
      <c r="C421" s="3">
        <v>45937</v>
      </c>
      <c r="D421" s="1">
        <v>0</v>
      </c>
      <c r="E421" s="1">
        <v>-0.93</v>
      </c>
      <c r="F421" t="s">
        <v>15</v>
      </c>
      <c r="G421" s="3">
        <v>45908</v>
      </c>
      <c r="H421" t="s">
        <v>11</v>
      </c>
      <c r="I421" s="2">
        <v>45901</v>
      </c>
      <c r="J421">
        <v>110</v>
      </c>
      <c r="K421" s="3">
        <v>45930</v>
      </c>
      <c r="L421">
        <v>271</v>
      </c>
      <c r="M421" t="s">
        <v>13</v>
      </c>
      <c r="P421" s="38">
        <f t="shared" si="39"/>
        <v>-0.93</v>
      </c>
      <c r="S421" t="s">
        <v>918</v>
      </c>
    </row>
    <row r="422" spans="1:19" x14ac:dyDescent="0.35">
      <c r="A422" t="s">
        <v>454</v>
      </c>
      <c r="B422" s="4">
        <v>256779415382</v>
      </c>
      <c r="C422" s="3">
        <v>45937</v>
      </c>
      <c r="D422" s="1">
        <v>0</v>
      </c>
      <c r="E422" s="1">
        <v>-21.84</v>
      </c>
      <c r="F422" t="s">
        <v>15</v>
      </c>
      <c r="G422" s="3">
        <v>45908</v>
      </c>
      <c r="H422" t="s">
        <v>11</v>
      </c>
      <c r="I422" s="2">
        <v>45901</v>
      </c>
      <c r="J422">
        <v>114</v>
      </c>
      <c r="K422" s="3">
        <v>45930</v>
      </c>
      <c r="L422">
        <v>271</v>
      </c>
      <c r="M422" t="s">
        <v>13</v>
      </c>
      <c r="P422" s="38">
        <f t="shared" si="39"/>
        <v>-21.84</v>
      </c>
      <c r="S422" t="s">
        <v>918</v>
      </c>
    </row>
    <row r="423" spans="1:19" x14ac:dyDescent="0.35">
      <c r="A423" t="s">
        <v>454</v>
      </c>
      <c r="B423" s="4">
        <v>256779415295</v>
      </c>
      <c r="C423" s="3">
        <v>45937</v>
      </c>
      <c r="D423" s="1">
        <v>0</v>
      </c>
      <c r="E423" s="1">
        <v>-4.46</v>
      </c>
      <c r="F423" t="s">
        <v>15</v>
      </c>
      <c r="G423" s="3">
        <v>45908</v>
      </c>
      <c r="H423" t="s">
        <v>11</v>
      </c>
      <c r="I423" s="2">
        <v>45901</v>
      </c>
      <c r="J423">
        <v>116</v>
      </c>
      <c r="K423" s="3">
        <v>45930</v>
      </c>
      <c r="L423">
        <v>271</v>
      </c>
      <c r="M423" t="s">
        <v>13</v>
      </c>
      <c r="P423" s="38">
        <f t="shared" si="39"/>
        <v>-4.46</v>
      </c>
      <c r="S423" t="s">
        <v>918</v>
      </c>
    </row>
    <row r="424" spans="1:19" x14ac:dyDescent="0.35">
      <c r="A424" t="s">
        <v>454</v>
      </c>
      <c r="B424" s="4">
        <v>256779415326</v>
      </c>
      <c r="C424" s="3">
        <v>45937</v>
      </c>
      <c r="D424" s="1">
        <v>0</v>
      </c>
      <c r="E424" s="1">
        <v>-34.369999999999997</v>
      </c>
      <c r="F424" t="s">
        <v>15</v>
      </c>
      <c r="G424" s="3">
        <v>45908</v>
      </c>
      <c r="H424" t="s">
        <v>11</v>
      </c>
      <c r="I424" s="2">
        <v>45901</v>
      </c>
      <c r="J424">
        <v>118</v>
      </c>
      <c r="K424" s="3">
        <v>45930</v>
      </c>
      <c r="L424">
        <v>271</v>
      </c>
      <c r="M424" t="s">
        <v>13</v>
      </c>
      <c r="P424" s="38">
        <f t="shared" si="39"/>
        <v>-34.369999999999997</v>
      </c>
      <c r="S424" t="s">
        <v>918</v>
      </c>
    </row>
    <row r="425" spans="1:19" x14ac:dyDescent="0.35">
      <c r="A425" t="s">
        <v>454</v>
      </c>
      <c r="B425" s="4">
        <v>256779415306</v>
      </c>
      <c r="C425" s="3">
        <v>45937</v>
      </c>
      <c r="D425" s="1">
        <v>0</v>
      </c>
      <c r="E425" s="1">
        <v>-5.57</v>
      </c>
      <c r="F425" t="s">
        <v>15</v>
      </c>
      <c r="G425" s="3">
        <v>45908</v>
      </c>
      <c r="H425" t="s">
        <v>11</v>
      </c>
      <c r="I425" s="2">
        <v>45901</v>
      </c>
      <c r="J425">
        <v>120</v>
      </c>
      <c r="K425" s="3">
        <v>45930</v>
      </c>
      <c r="L425">
        <v>271</v>
      </c>
      <c r="M425" t="s">
        <v>13</v>
      </c>
      <c r="P425" s="38">
        <f t="shared" si="39"/>
        <v>-5.57</v>
      </c>
      <c r="S425" t="s">
        <v>918</v>
      </c>
    </row>
    <row r="426" spans="1:19" x14ac:dyDescent="0.35">
      <c r="A426" t="s">
        <v>454</v>
      </c>
      <c r="B426" s="4">
        <v>256779415390</v>
      </c>
      <c r="C426" s="3">
        <v>45937</v>
      </c>
      <c r="D426" s="1">
        <v>0</v>
      </c>
      <c r="E426" s="1">
        <v>-20.6</v>
      </c>
      <c r="F426" t="s">
        <v>15</v>
      </c>
      <c r="G426" s="3">
        <v>45908</v>
      </c>
      <c r="H426" t="s">
        <v>11</v>
      </c>
      <c r="I426" s="2">
        <v>45901</v>
      </c>
      <c r="J426">
        <v>122</v>
      </c>
      <c r="K426" s="3">
        <v>45930</v>
      </c>
      <c r="L426">
        <v>271</v>
      </c>
      <c r="M426" t="s">
        <v>13</v>
      </c>
      <c r="P426" s="38">
        <f t="shared" si="39"/>
        <v>-20.6</v>
      </c>
      <c r="S426" t="s">
        <v>918</v>
      </c>
    </row>
    <row r="427" spans="1:19" x14ac:dyDescent="0.35">
      <c r="A427" t="s">
        <v>454</v>
      </c>
      <c r="B427" s="4">
        <v>256779415340</v>
      </c>
      <c r="C427" s="3">
        <v>45937</v>
      </c>
      <c r="D427" s="1">
        <v>0</v>
      </c>
      <c r="E427" s="1">
        <v>-4.8</v>
      </c>
      <c r="F427" t="s">
        <v>15</v>
      </c>
      <c r="G427" s="3">
        <v>45908</v>
      </c>
      <c r="H427" t="s">
        <v>11</v>
      </c>
      <c r="I427" s="2">
        <v>45901</v>
      </c>
      <c r="J427">
        <v>124</v>
      </c>
      <c r="K427" s="3">
        <v>45930</v>
      </c>
      <c r="L427">
        <v>271</v>
      </c>
      <c r="M427" t="s">
        <v>13</v>
      </c>
      <c r="P427" s="38">
        <f t="shared" si="39"/>
        <v>-4.8</v>
      </c>
      <c r="S427" t="s">
        <v>918</v>
      </c>
    </row>
    <row r="428" spans="1:19" x14ac:dyDescent="0.35">
      <c r="A428" t="s">
        <v>454</v>
      </c>
      <c r="B428" s="4">
        <v>256779415343</v>
      </c>
      <c r="C428" s="3">
        <v>45937</v>
      </c>
      <c r="D428" s="1">
        <v>0</v>
      </c>
      <c r="E428" s="1">
        <v>-0.19</v>
      </c>
      <c r="F428" t="s">
        <v>15</v>
      </c>
      <c r="G428" s="3">
        <v>45908</v>
      </c>
      <c r="H428" t="s">
        <v>11</v>
      </c>
      <c r="I428" s="2">
        <v>45901</v>
      </c>
      <c r="J428">
        <v>126</v>
      </c>
      <c r="K428" s="3">
        <v>45930</v>
      </c>
      <c r="L428">
        <v>271</v>
      </c>
      <c r="M428" t="s">
        <v>13</v>
      </c>
      <c r="P428" s="38">
        <f t="shared" si="39"/>
        <v>-0.19</v>
      </c>
      <c r="S428" t="s">
        <v>918</v>
      </c>
    </row>
    <row r="429" spans="1:19" x14ac:dyDescent="0.35">
      <c r="A429" t="s">
        <v>454</v>
      </c>
      <c r="B429" s="4">
        <v>256779415395</v>
      </c>
      <c r="C429" s="3">
        <v>45937</v>
      </c>
      <c r="D429" s="1">
        <v>0</v>
      </c>
      <c r="E429" s="1">
        <v>-38.200000000000003</v>
      </c>
      <c r="F429" t="s">
        <v>15</v>
      </c>
      <c r="G429" s="3">
        <v>45908</v>
      </c>
      <c r="H429" t="s">
        <v>11</v>
      </c>
      <c r="I429" s="2">
        <v>45901</v>
      </c>
      <c r="J429">
        <v>128</v>
      </c>
      <c r="K429" s="3">
        <v>45930</v>
      </c>
      <c r="L429">
        <v>271</v>
      </c>
      <c r="M429" t="s">
        <v>13</v>
      </c>
      <c r="P429" s="38">
        <f t="shared" si="39"/>
        <v>-38.200000000000003</v>
      </c>
      <c r="S429" t="s">
        <v>918</v>
      </c>
    </row>
    <row r="430" spans="1:19" x14ac:dyDescent="0.35">
      <c r="A430" t="s">
        <v>454</v>
      </c>
      <c r="B430" s="4">
        <v>256779415381</v>
      </c>
      <c r="C430" s="3">
        <v>45937</v>
      </c>
      <c r="D430" s="1">
        <v>0</v>
      </c>
      <c r="E430" s="1">
        <v>-11.14</v>
      </c>
      <c r="F430" t="s">
        <v>15</v>
      </c>
      <c r="G430" s="3">
        <v>45908</v>
      </c>
      <c r="H430" t="s">
        <v>11</v>
      </c>
      <c r="I430" s="2">
        <v>45901</v>
      </c>
      <c r="J430">
        <v>130</v>
      </c>
      <c r="K430" s="3">
        <v>45930</v>
      </c>
      <c r="L430">
        <v>271</v>
      </c>
      <c r="M430" t="s">
        <v>13</v>
      </c>
      <c r="P430" s="38">
        <f t="shared" si="39"/>
        <v>-11.14</v>
      </c>
      <c r="S430" t="s">
        <v>918</v>
      </c>
    </row>
    <row r="431" spans="1:19" x14ac:dyDescent="0.35">
      <c r="A431" t="s">
        <v>454</v>
      </c>
      <c r="B431" s="4">
        <v>256779415392</v>
      </c>
      <c r="C431" s="3">
        <v>45937</v>
      </c>
      <c r="D431" s="1">
        <v>0</v>
      </c>
      <c r="E431" s="1">
        <v>-37.14</v>
      </c>
      <c r="F431" t="s">
        <v>15</v>
      </c>
      <c r="G431" s="3">
        <v>45908</v>
      </c>
      <c r="H431" t="s">
        <v>11</v>
      </c>
      <c r="I431" s="2">
        <v>45901</v>
      </c>
      <c r="J431">
        <v>132</v>
      </c>
      <c r="K431" s="3">
        <v>45930</v>
      </c>
      <c r="L431">
        <v>271</v>
      </c>
      <c r="M431" t="s">
        <v>13</v>
      </c>
      <c r="P431" s="38">
        <f t="shared" si="39"/>
        <v>-37.14</v>
      </c>
      <c r="S431" t="s">
        <v>918</v>
      </c>
    </row>
    <row r="432" spans="1:19" x14ac:dyDescent="0.35">
      <c r="A432" t="s">
        <v>454</v>
      </c>
      <c r="B432" s="4">
        <v>256779415358</v>
      </c>
      <c r="C432" s="3">
        <v>45937</v>
      </c>
      <c r="D432" s="1">
        <v>0</v>
      </c>
      <c r="E432" s="1">
        <v>-17.829999999999998</v>
      </c>
      <c r="F432" t="s">
        <v>15</v>
      </c>
      <c r="G432" s="3">
        <v>45908</v>
      </c>
      <c r="H432" t="s">
        <v>11</v>
      </c>
      <c r="I432" s="2">
        <v>45901</v>
      </c>
      <c r="J432">
        <v>134</v>
      </c>
      <c r="K432" s="3">
        <v>45930</v>
      </c>
      <c r="L432">
        <v>271</v>
      </c>
      <c r="M432" t="s">
        <v>13</v>
      </c>
      <c r="P432" s="38">
        <f t="shared" si="39"/>
        <v>-17.829999999999998</v>
      </c>
      <c r="S432" t="s">
        <v>918</v>
      </c>
    </row>
    <row r="433" spans="1:19" x14ac:dyDescent="0.35">
      <c r="A433" t="s">
        <v>454</v>
      </c>
      <c r="B433" s="4">
        <v>256779415337</v>
      </c>
      <c r="C433" s="3">
        <v>45937</v>
      </c>
      <c r="D433" s="1">
        <v>0</v>
      </c>
      <c r="E433" s="1">
        <v>-3.24</v>
      </c>
      <c r="F433" t="s">
        <v>15</v>
      </c>
      <c r="G433" s="3">
        <v>45908</v>
      </c>
      <c r="H433" t="s">
        <v>11</v>
      </c>
      <c r="I433" s="2">
        <v>45901</v>
      </c>
      <c r="J433">
        <v>136</v>
      </c>
      <c r="K433" s="3">
        <v>45930</v>
      </c>
      <c r="L433">
        <v>271</v>
      </c>
      <c r="M433" t="s">
        <v>13</v>
      </c>
      <c r="P433" s="38">
        <f t="shared" si="39"/>
        <v>-3.24</v>
      </c>
      <c r="S433" t="s">
        <v>918</v>
      </c>
    </row>
    <row r="434" spans="1:19" x14ac:dyDescent="0.35">
      <c r="A434" t="s">
        <v>454</v>
      </c>
      <c r="B434" s="4">
        <v>256779415362</v>
      </c>
      <c r="C434" s="3">
        <v>45937</v>
      </c>
      <c r="D434" s="1">
        <v>0</v>
      </c>
      <c r="E434" s="1">
        <v>-0.56000000000000005</v>
      </c>
      <c r="F434" t="s">
        <v>15</v>
      </c>
      <c r="G434" s="3">
        <v>45908</v>
      </c>
      <c r="H434" t="s">
        <v>11</v>
      </c>
      <c r="I434" s="2">
        <v>45901</v>
      </c>
      <c r="J434">
        <v>138</v>
      </c>
      <c r="K434" s="3">
        <v>45930</v>
      </c>
      <c r="L434">
        <v>271</v>
      </c>
      <c r="M434" t="s">
        <v>13</v>
      </c>
      <c r="P434" s="38">
        <f t="shared" si="39"/>
        <v>-0.56000000000000005</v>
      </c>
      <c r="S434" t="s">
        <v>918</v>
      </c>
    </row>
    <row r="435" spans="1:19" x14ac:dyDescent="0.35">
      <c r="A435" t="s">
        <v>454</v>
      </c>
      <c r="B435" s="4">
        <v>256779415373</v>
      </c>
      <c r="C435" s="3">
        <v>45937</v>
      </c>
      <c r="D435" s="1">
        <v>0</v>
      </c>
      <c r="E435" s="1">
        <v>-0.48</v>
      </c>
      <c r="F435" t="s">
        <v>15</v>
      </c>
      <c r="G435" s="3">
        <v>45908</v>
      </c>
      <c r="H435" t="s">
        <v>11</v>
      </c>
      <c r="I435" s="2">
        <v>45901</v>
      </c>
      <c r="J435">
        <v>140</v>
      </c>
      <c r="K435" s="3">
        <v>45930</v>
      </c>
      <c r="L435">
        <v>271</v>
      </c>
      <c r="M435" t="s">
        <v>13</v>
      </c>
      <c r="P435" s="38">
        <f t="shared" si="39"/>
        <v>-0.48</v>
      </c>
      <c r="S435" t="s">
        <v>918</v>
      </c>
    </row>
    <row r="436" spans="1:19" x14ac:dyDescent="0.35">
      <c r="A436" t="s">
        <v>454</v>
      </c>
      <c r="B436" s="4">
        <v>256779415386</v>
      </c>
      <c r="C436" s="3">
        <v>45937</v>
      </c>
      <c r="D436" s="1">
        <v>0</v>
      </c>
      <c r="E436" s="1">
        <v>-1.39</v>
      </c>
      <c r="F436" t="s">
        <v>15</v>
      </c>
      <c r="G436" s="3">
        <v>45908</v>
      </c>
      <c r="H436" t="s">
        <v>11</v>
      </c>
      <c r="I436" s="2">
        <v>45901</v>
      </c>
      <c r="J436">
        <v>142</v>
      </c>
      <c r="K436" s="3">
        <v>45930</v>
      </c>
      <c r="L436">
        <v>271</v>
      </c>
      <c r="M436" t="s">
        <v>13</v>
      </c>
      <c r="P436" s="38">
        <f t="shared" si="39"/>
        <v>-1.39</v>
      </c>
      <c r="S436" t="s">
        <v>918</v>
      </c>
    </row>
    <row r="437" spans="1:19" x14ac:dyDescent="0.35">
      <c r="A437" t="s">
        <v>454</v>
      </c>
      <c r="B437" s="4">
        <v>256779415348</v>
      </c>
      <c r="C437" s="3">
        <v>45937</v>
      </c>
      <c r="D437" s="1">
        <v>0</v>
      </c>
      <c r="E437" s="1">
        <v>-1.39</v>
      </c>
      <c r="F437" t="s">
        <v>15</v>
      </c>
      <c r="G437" s="3">
        <v>45908</v>
      </c>
      <c r="H437" t="s">
        <v>11</v>
      </c>
      <c r="I437" s="2">
        <v>45901</v>
      </c>
      <c r="J437">
        <v>144</v>
      </c>
      <c r="K437" s="3">
        <v>45930</v>
      </c>
      <c r="L437">
        <v>271</v>
      </c>
      <c r="M437" t="s">
        <v>13</v>
      </c>
      <c r="P437" s="38">
        <f t="shared" si="39"/>
        <v>-1.39</v>
      </c>
      <c r="S437" t="s">
        <v>918</v>
      </c>
    </row>
    <row r="438" spans="1:19" x14ac:dyDescent="0.35">
      <c r="A438" t="s">
        <v>454</v>
      </c>
      <c r="B438" s="4">
        <v>256779415369</v>
      </c>
      <c r="C438" s="3">
        <v>45937</v>
      </c>
      <c r="D438" s="1">
        <v>0</v>
      </c>
      <c r="E438" s="1">
        <v>-0.56000000000000005</v>
      </c>
      <c r="F438" t="s">
        <v>15</v>
      </c>
      <c r="G438" s="3">
        <v>45908</v>
      </c>
      <c r="H438" t="s">
        <v>11</v>
      </c>
      <c r="I438" s="2">
        <v>45901</v>
      </c>
      <c r="J438">
        <v>146</v>
      </c>
      <c r="K438" s="3">
        <v>45930</v>
      </c>
      <c r="L438">
        <v>271</v>
      </c>
      <c r="M438" t="s">
        <v>13</v>
      </c>
      <c r="P438" s="38">
        <f t="shared" si="39"/>
        <v>-0.56000000000000005</v>
      </c>
      <c r="S438" t="s">
        <v>918</v>
      </c>
    </row>
    <row r="439" spans="1:19" x14ac:dyDescent="0.35">
      <c r="A439" t="s">
        <v>454</v>
      </c>
      <c r="B439" s="4">
        <v>256779415364</v>
      </c>
      <c r="C439" s="3">
        <v>45937</v>
      </c>
      <c r="D439" s="1">
        <v>0</v>
      </c>
      <c r="E439" s="1">
        <v>-37.14</v>
      </c>
      <c r="F439" t="s">
        <v>15</v>
      </c>
      <c r="G439" s="3">
        <v>45908</v>
      </c>
      <c r="H439" t="s">
        <v>11</v>
      </c>
      <c r="I439" s="2">
        <v>45901</v>
      </c>
      <c r="J439">
        <v>148</v>
      </c>
      <c r="K439" s="3">
        <v>45930</v>
      </c>
      <c r="L439">
        <v>271</v>
      </c>
      <c r="M439" t="s">
        <v>13</v>
      </c>
      <c r="P439" s="38">
        <f t="shared" si="39"/>
        <v>-37.14</v>
      </c>
      <c r="S439" t="s">
        <v>918</v>
      </c>
    </row>
    <row r="440" spans="1:19" x14ac:dyDescent="0.35">
      <c r="A440" t="s">
        <v>454</v>
      </c>
      <c r="B440" s="4">
        <v>256779415299</v>
      </c>
      <c r="C440" s="3">
        <v>45937</v>
      </c>
      <c r="D440" s="1">
        <v>0</v>
      </c>
      <c r="E440" s="1">
        <v>-4.46</v>
      </c>
      <c r="F440" t="s">
        <v>15</v>
      </c>
      <c r="G440" s="3">
        <v>45908</v>
      </c>
      <c r="H440" t="s">
        <v>11</v>
      </c>
      <c r="I440" s="2">
        <v>45901</v>
      </c>
      <c r="J440">
        <v>150</v>
      </c>
      <c r="K440" s="3">
        <v>45930</v>
      </c>
      <c r="L440">
        <v>271</v>
      </c>
      <c r="M440" t="s">
        <v>13</v>
      </c>
      <c r="P440" s="38">
        <f t="shared" si="39"/>
        <v>-4.46</v>
      </c>
      <c r="S440" t="s">
        <v>918</v>
      </c>
    </row>
    <row r="441" spans="1:19" x14ac:dyDescent="0.35">
      <c r="A441" t="s">
        <v>454</v>
      </c>
      <c r="B441" s="4">
        <v>256779415335</v>
      </c>
      <c r="C441" s="3">
        <v>45937</v>
      </c>
      <c r="D441" s="1">
        <v>0</v>
      </c>
      <c r="E441" s="1">
        <v>-4.6500000000000004</v>
      </c>
      <c r="F441" t="s">
        <v>15</v>
      </c>
      <c r="G441" s="3">
        <v>45908</v>
      </c>
      <c r="H441" t="s">
        <v>11</v>
      </c>
      <c r="I441" s="2">
        <v>45901</v>
      </c>
      <c r="J441">
        <v>152</v>
      </c>
      <c r="K441" s="3">
        <v>45930</v>
      </c>
      <c r="L441">
        <v>271</v>
      </c>
      <c r="M441" t="s">
        <v>13</v>
      </c>
      <c r="P441" s="38">
        <f t="shared" si="39"/>
        <v>-4.6500000000000004</v>
      </c>
      <c r="S441" t="s">
        <v>918</v>
      </c>
    </row>
    <row r="442" spans="1:19" x14ac:dyDescent="0.35">
      <c r="A442" t="s">
        <v>454</v>
      </c>
      <c r="B442" s="4">
        <v>256779415292</v>
      </c>
      <c r="C442" s="3">
        <v>45937</v>
      </c>
      <c r="D442" s="1">
        <v>0</v>
      </c>
      <c r="E442" s="1">
        <v>-4.46</v>
      </c>
      <c r="F442" t="s">
        <v>15</v>
      </c>
      <c r="G442" s="3">
        <v>45908</v>
      </c>
      <c r="H442" t="s">
        <v>11</v>
      </c>
      <c r="I442" s="2">
        <v>45901</v>
      </c>
      <c r="J442">
        <v>154</v>
      </c>
      <c r="K442" s="3">
        <v>45930</v>
      </c>
      <c r="L442">
        <v>271</v>
      </c>
      <c r="M442" t="s">
        <v>13</v>
      </c>
      <c r="P442" s="38">
        <f t="shared" si="39"/>
        <v>-4.46</v>
      </c>
      <c r="S442" t="s">
        <v>918</v>
      </c>
    </row>
    <row r="443" spans="1:19" x14ac:dyDescent="0.35">
      <c r="A443" t="s">
        <v>454</v>
      </c>
      <c r="B443" s="4">
        <v>256779415370</v>
      </c>
      <c r="C443" s="3">
        <v>45937</v>
      </c>
      <c r="D443" s="1">
        <v>0</v>
      </c>
      <c r="E443" s="1">
        <v>-13.37</v>
      </c>
      <c r="F443" t="s">
        <v>15</v>
      </c>
      <c r="G443" s="3">
        <v>45908</v>
      </c>
      <c r="H443" t="s">
        <v>11</v>
      </c>
      <c r="I443" s="2">
        <v>45901</v>
      </c>
      <c r="J443">
        <v>156</v>
      </c>
      <c r="K443" s="3">
        <v>45930</v>
      </c>
      <c r="L443">
        <v>271</v>
      </c>
      <c r="M443" t="s">
        <v>13</v>
      </c>
      <c r="P443" s="38">
        <f t="shared" si="39"/>
        <v>-13.37</v>
      </c>
      <c r="S443" t="s">
        <v>918</v>
      </c>
    </row>
    <row r="444" spans="1:19" x14ac:dyDescent="0.35">
      <c r="A444" t="s">
        <v>454</v>
      </c>
      <c r="B444" s="4">
        <v>256779415294</v>
      </c>
      <c r="C444" s="3">
        <v>45937</v>
      </c>
      <c r="D444" s="1">
        <v>0</v>
      </c>
      <c r="E444" s="1">
        <v>-4.46</v>
      </c>
      <c r="F444" t="s">
        <v>15</v>
      </c>
      <c r="G444" s="3">
        <v>45908</v>
      </c>
      <c r="H444" t="s">
        <v>11</v>
      </c>
      <c r="I444" s="2">
        <v>45901</v>
      </c>
      <c r="J444">
        <v>158</v>
      </c>
      <c r="K444" s="3">
        <v>45930</v>
      </c>
      <c r="L444">
        <v>271</v>
      </c>
      <c r="M444" t="s">
        <v>13</v>
      </c>
      <c r="P444" s="38">
        <f t="shared" si="39"/>
        <v>-4.46</v>
      </c>
      <c r="S444" t="s">
        <v>918</v>
      </c>
    </row>
    <row r="445" spans="1:19" x14ac:dyDescent="0.35">
      <c r="A445" t="s">
        <v>454</v>
      </c>
      <c r="B445" s="4">
        <v>256779415307</v>
      </c>
      <c r="C445" s="3">
        <v>45937</v>
      </c>
      <c r="D445" s="1">
        <v>0</v>
      </c>
      <c r="E445" s="1">
        <v>-5.57</v>
      </c>
      <c r="F445" t="s">
        <v>15</v>
      </c>
      <c r="G445" s="3">
        <v>45908</v>
      </c>
      <c r="H445" t="s">
        <v>11</v>
      </c>
      <c r="I445" s="2">
        <v>45901</v>
      </c>
      <c r="J445">
        <v>160</v>
      </c>
      <c r="K445" s="3">
        <v>45930</v>
      </c>
      <c r="L445">
        <v>271</v>
      </c>
      <c r="M445" t="s">
        <v>13</v>
      </c>
      <c r="P445" s="38">
        <f t="shared" si="39"/>
        <v>-5.57</v>
      </c>
      <c r="S445" t="s">
        <v>918</v>
      </c>
    </row>
    <row r="446" spans="1:19" x14ac:dyDescent="0.35">
      <c r="A446" t="s">
        <v>454</v>
      </c>
      <c r="B446" s="4">
        <v>256779415347</v>
      </c>
      <c r="C446" s="3">
        <v>45937</v>
      </c>
      <c r="D446" s="1">
        <v>0</v>
      </c>
      <c r="E446" s="1">
        <v>-3.72</v>
      </c>
      <c r="F446" t="s">
        <v>15</v>
      </c>
      <c r="G446" s="3">
        <v>45908</v>
      </c>
      <c r="H446" t="s">
        <v>11</v>
      </c>
      <c r="I446" s="2">
        <v>45901</v>
      </c>
      <c r="J446">
        <v>162</v>
      </c>
      <c r="K446" s="3">
        <v>45930</v>
      </c>
      <c r="L446">
        <v>271</v>
      </c>
      <c r="M446" t="s">
        <v>13</v>
      </c>
      <c r="P446" s="38">
        <f t="shared" si="39"/>
        <v>-3.72</v>
      </c>
      <c r="S446" t="s">
        <v>918</v>
      </c>
    </row>
    <row r="447" spans="1:19" x14ac:dyDescent="0.35">
      <c r="A447" t="s">
        <v>454</v>
      </c>
      <c r="B447" s="4">
        <v>256779415297</v>
      </c>
      <c r="C447" s="3">
        <v>45937</v>
      </c>
      <c r="D447" s="1">
        <v>0</v>
      </c>
      <c r="E447" s="1">
        <v>-4.46</v>
      </c>
      <c r="F447" t="s">
        <v>15</v>
      </c>
      <c r="G447" s="3">
        <v>45908</v>
      </c>
      <c r="H447" t="s">
        <v>11</v>
      </c>
      <c r="I447" s="2">
        <v>45901</v>
      </c>
      <c r="J447">
        <v>164</v>
      </c>
      <c r="K447" s="3">
        <v>45930</v>
      </c>
      <c r="L447">
        <v>271</v>
      </c>
      <c r="M447" t="s">
        <v>13</v>
      </c>
      <c r="P447" s="38">
        <f t="shared" si="39"/>
        <v>-4.46</v>
      </c>
      <c r="S447" t="s">
        <v>918</v>
      </c>
    </row>
    <row r="448" spans="1:19" x14ac:dyDescent="0.35">
      <c r="A448" t="s">
        <v>454</v>
      </c>
      <c r="B448" s="4">
        <v>256779415312</v>
      </c>
      <c r="C448" s="3">
        <v>45937</v>
      </c>
      <c r="D448" s="1">
        <v>-200</v>
      </c>
      <c r="E448" s="1">
        <v>-17694</v>
      </c>
      <c r="G448" s="3">
        <v>45908</v>
      </c>
      <c r="H448" t="s">
        <v>11</v>
      </c>
      <c r="I448" s="2">
        <v>45931</v>
      </c>
      <c r="J448">
        <v>1</v>
      </c>
      <c r="K448" s="3">
        <v>45959</v>
      </c>
      <c r="L448">
        <v>210</v>
      </c>
      <c r="M448" t="s">
        <v>13</v>
      </c>
      <c r="N448" s="79">
        <f t="shared" ref="N448:N472" si="40">O448/E448</f>
        <v>-0.02</v>
      </c>
      <c r="O448">
        <f>VLOOKUP(B448,'Customer TDS'!A:D,4,0)</f>
        <v>353.88</v>
      </c>
      <c r="P448" s="38">
        <f t="shared" si="39"/>
        <v>-17340.12</v>
      </c>
      <c r="Q448">
        <f>VLOOKUP(B448,Ascendus!E:I,5,0)</f>
        <v>17200.13</v>
      </c>
      <c r="R448" s="38">
        <f t="shared" ref="R448:R472" si="41">E448+Q448</f>
        <v>-493.86999999999898</v>
      </c>
      <c r="S448" t="s">
        <v>915</v>
      </c>
    </row>
    <row r="449" spans="1:19" x14ac:dyDescent="0.35">
      <c r="A449" t="s">
        <v>454</v>
      </c>
      <c r="B449" s="4">
        <v>256779415327</v>
      </c>
      <c r="C449" s="3">
        <v>45937</v>
      </c>
      <c r="D449" s="1">
        <v>-20</v>
      </c>
      <c r="E449" s="1">
        <v>-1769.4</v>
      </c>
      <c r="G449" s="3">
        <v>45908</v>
      </c>
      <c r="H449" t="s">
        <v>11</v>
      </c>
      <c r="I449" s="2">
        <v>45931</v>
      </c>
      <c r="J449">
        <v>1</v>
      </c>
      <c r="K449" s="3">
        <v>45959</v>
      </c>
      <c r="L449">
        <v>210</v>
      </c>
      <c r="M449" t="s">
        <v>13</v>
      </c>
      <c r="N449" s="79">
        <f t="shared" si="40"/>
        <v>-2.0001130326664406E-2</v>
      </c>
      <c r="O449">
        <f>VLOOKUP(B449,'Customer TDS'!A:D,4,0)</f>
        <v>35.39</v>
      </c>
      <c r="P449" s="38">
        <f t="shared" si="39"/>
        <v>-1734.01</v>
      </c>
      <c r="Q449">
        <f>VLOOKUP(B449,Ascendus!E:I,5,0)</f>
        <v>1720.01</v>
      </c>
      <c r="R449" s="38">
        <f t="shared" si="41"/>
        <v>-49.3900000000001</v>
      </c>
      <c r="S449" t="s">
        <v>915</v>
      </c>
    </row>
    <row r="450" spans="1:19" x14ac:dyDescent="0.35">
      <c r="A450" t="s">
        <v>454</v>
      </c>
      <c r="B450" s="4">
        <v>256779415351</v>
      </c>
      <c r="C450" s="3">
        <v>45937</v>
      </c>
      <c r="D450" s="1">
        <v>-17.03</v>
      </c>
      <c r="E450" s="1">
        <v>-1464.4</v>
      </c>
      <c r="G450" s="3">
        <v>45908</v>
      </c>
      <c r="H450" t="s">
        <v>11</v>
      </c>
      <c r="I450" s="2">
        <v>45931</v>
      </c>
      <c r="J450">
        <v>1</v>
      </c>
      <c r="K450" s="3">
        <v>45959</v>
      </c>
      <c r="L450">
        <v>210</v>
      </c>
      <c r="M450" t="s">
        <v>13</v>
      </c>
      <c r="N450" s="79">
        <f t="shared" si="40"/>
        <v>-1.9967222070472548E-2</v>
      </c>
      <c r="O450">
        <f>VLOOKUP(B450,'Customer TDS'!A:D,4,0)</f>
        <v>29.24</v>
      </c>
      <c r="P450" s="38">
        <f t="shared" si="39"/>
        <v>-1435.16</v>
      </c>
      <c r="Q450">
        <f>VLOOKUP(B450,Ascendus!E:I,5,0)</f>
        <v>1464.59</v>
      </c>
      <c r="R450" s="38">
        <f t="shared" si="41"/>
        <v>0.1899999999998272</v>
      </c>
      <c r="S450" t="s">
        <v>915</v>
      </c>
    </row>
    <row r="451" spans="1:19" x14ac:dyDescent="0.35">
      <c r="A451" t="s">
        <v>454</v>
      </c>
      <c r="B451" s="4">
        <v>256779415324</v>
      </c>
      <c r="C451" s="3">
        <v>45937</v>
      </c>
      <c r="D451" s="1">
        <v>-146.65</v>
      </c>
      <c r="E451" s="1">
        <v>-12974.13</v>
      </c>
      <c r="G451" s="3">
        <v>45908</v>
      </c>
      <c r="H451" t="s">
        <v>11</v>
      </c>
      <c r="I451" s="2">
        <v>45931</v>
      </c>
      <c r="J451">
        <v>1</v>
      </c>
      <c r="K451" s="3">
        <v>45959</v>
      </c>
      <c r="L451">
        <v>210</v>
      </c>
      <c r="M451" t="s">
        <v>13</v>
      </c>
      <c r="N451" s="79">
        <f t="shared" si="40"/>
        <v>-1.9979759721846478E-2</v>
      </c>
      <c r="O451">
        <f>VLOOKUP(B451,'Customer TDS'!A:D,4,0)</f>
        <v>259.22000000000003</v>
      </c>
      <c r="P451" s="38">
        <f t="shared" si="39"/>
        <v>-12714.91</v>
      </c>
      <c r="Q451">
        <f>VLOOKUP(B451,Ascendus!E:I,5,0)</f>
        <v>12612</v>
      </c>
      <c r="R451" s="38">
        <f t="shared" si="41"/>
        <v>-362.1299999999992</v>
      </c>
      <c r="S451" t="s">
        <v>915</v>
      </c>
    </row>
    <row r="452" spans="1:19" x14ac:dyDescent="0.35">
      <c r="A452" t="s">
        <v>454</v>
      </c>
      <c r="B452" s="4">
        <v>256779415322</v>
      </c>
      <c r="C452" s="3">
        <v>45937</v>
      </c>
      <c r="D452" s="1">
        <v>-192</v>
      </c>
      <c r="E452" s="1">
        <v>-16986.240000000002</v>
      </c>
      <c r="G452" s="3">
        <v>45908</v>
      </c>
      <c r="H452" t="s">
        <v>11</v>
      </c>
      <c r="I452" s="2">
        <v>45931</v>
      </c>
      <c r="J452">
        <v>1</v>
      </c>
      <c r="K452" s="3">
        <v>45959</v>
      </c>
      <c r="L452">
        <v>210</v>
      </c>
      <c r="M452" t="s">
        <v>13</v>
      </c>
      <c r="N452" s="79">
        <f t="shared" si="40"/>
        <v>-1.9999717418333899E-2</v>
      </c>
      <c r="O452">
        <f>VLOOKUP(B452,'Customer TDS'!A:D,4,0)</f>
        <v>339.72</v>
      </c>
      <c r="P452" s="38">
        <f t="shared" ref="P452:P515" si="42">E452+O452</f>
        <v>-16646.52</v>
      </c>
      <c r="Q452">
        <f>VLOOKUP(B452,Ascendus!E:I,5,0)</f>
        <v>16512.13</v>
      </c>
      <c r="R452" s="38">
        <f t="shared" si="41"/>
        <v>-474.11000000000058</v>
      </c>
      <c r="S452" t="s">
        <v>915</v>
      </c>
    </row>
    <row r="453" spans="1:19" x14ac:dyDescent="0.35">
      <c r="A453" t="s">
        <v>454</v>
      </c>
      <c r="B453" s="4">
        <v>256779415366</v>
      </c>
      <c r="C453" s="3">
        <v>45937</v>
      </c>
      <c r="D453" s="1">
        <v>-192</v>
      </c>
      <c r="E453" s="1">
        <v>-16986.240000000002</v>
      </c>
      <c r="G453" s="3">
        <v>45908</v>
      </c>
      <c r="H453" t="s">
        <v>11</v>
      </c>
      <c r="I453" s="2">
        <v>45931</v>
      </c>
      <c r="J453">
        <v>1</v>
      </c>
      <c r="K453" s="3">
        <v>45959</v>
      </c>
      <c r="L453">
        <v>210</v>
      </c>
      <c r="M453" t="s">
        <v>13</v>
      </c>
      <c r="N453" s="79">
        <f t="shared" si="40"/>
        <v>-1.9999717418333899E-2</v>
      </c>
      <c r="O453">
        <f>VLOOKUP(B453,'Customer TDS'!A:D,4,0)</f>
        <v>339.72</v>
      </c>
      <c r="P453" s="38">
        <f t="shared" si="42"/>
        <v>-16646.52</v>
      </c>
      <c r="Q453">
        <f>VLOOKUP(B453,Ascendus!E:I,5,0)</f>
        <v>16512.13</v>
      </c>
      <c r="R453" s="38">
        <f t="shared" si="41"/>
        <v>-474.11000000000058</v>
      </c>
      <c r="S453" t="s">
        <v>915</v>
      </c>
    </row>
    <row r="454" spans="1:19" x14ac:dyDescent="0.35">
      <c r="A454" t="s">
        <v>454</v>
      </c>
      <c r="B454" s="4">
        <v>256779415365</v>
      </c>
      <c r="C454" s="3">
        <v>45937</v>
      </c>
      <c r="D454" s="1">
        <v>-313</v>
      </c>
      <c r="E454" s="1">
        <v>-27691.11</v>
      </c>
      <c r="G454" s="3">
        <v>45908</v>
      </c>
      <c r="H454" t="s">
        <v>11</v>
      </c>
      <c r="I454" s="2">
        <v>45931</v>
      </c>
      <c r="J454">
        <v>1</v>
      </c>
      <c r="K454" s="3">
        <v>45959</v>
      </c>
      <c r="L454">
        <v>210</v>
      </c>
      <c r="M454" t="s">
        <v>13</v>
      </c>
      <c r="N454" s="79">
        <f t="shared" si="40"/>
        <v>-1.9999920552119434E-2</v>
      </c>
      <c r="O454">
        <f>VLOOKUP(B454,'Customer TDS'!A:D,4,0)</f>
        <v>553.82000000000005</v>
      </c>
      <c r="P454" s="38">
        <f t="shared" si="42"/>
        <v>-27137.29</v>
      </c>
      <c r="Q454">
        <f>VLOOKUP(B454,Ascendus!E:I,5,0)</f>
        <v>26918.21</v>
      </c>
      <c r="R454" s="38">
        <f t="shared" si="41"/>
        <v>-772.90000000000146</v>
      </c>
      <c r="S454" t="s">
        <v>915</v>
      </c>
    </row>
    <row r="455" spans="1:19" x14ac:dyDescent="0.35">
      <c r="A455" t="s">
        <v>454</v>
      </c>
      <c r="B455" s="4">
        <v>256779415311</v>
      </c>
      <c r="C455" s="3">
        <v>45937</v>
      </c>
      <c r="D455" s="1">
        <v>-77.48</v>
      </c>
      <c r="E455" s="1">
        <v>-6854.66</v>
      </c>
      <c r="G455" s="3">
        <v>45908</v>
      </c>
      <c r="H455" t="s">
        <v>11</v>
      </c>
      <c r="I455" s="2">
        <v>45931</v>
      </c>
      <c r="J455">
        <v>1</v>
      </c>
      <c r="K455" s="3">
        <v>45959</v>
      </c>
      <c r="L455">
        <v>210</v>
      </c>
      <c r="M455" t="s">
        <v>13</v>
      </c>
      <c r="N455" s="79">
        <f t="shared" si="40"/>
        <v>-2.0005368610551071E-2</v>
      </c>
      <c r="O455">
        <f>VLOOKUP(B455,'Customer TDS'!A:D,4,0)</f>
        <v>137.13</v>
      </c>
      <c r="P455" s="38">
        <f t="shared" si="42"/>
        <v>-6717.53</v>
      </c>
      <c r="Q455">
        <f>VLOOKUP(B455,Ascendus!E:I,5,0)</f>
        <v>6663.33</v>
      </c>
      <c r="R455" s="38">
        <f t="shared" si="41"/>
        <v>-191.32999999999993</v>
      </c>
      <c r="S455" t="s">
        <v>915</v>
      </c>
    </row>
    <row r="456" spans="1:19" x14ac:dyDescent="0.35">
      <c r="A456" t="s">
        <v>454</v>
      </c>
      <c r="B456" s="4">
        <v>256779415368</v>
      </c>
      <c r="C456" s="3">
        <v>45937</v>
      </c>
      <c r="D456" s="1">
        <v>-60</v>
      </c>
      <c r="E456" s="1">
        <v>-5308.2</v>
      </c>
      <c r="G456" s="3">
        <v>45908</v>
      </c>
      <c r="H456" t="s">
        <v>11</v>
      </c>
      <c r="I456" s="2">
        <v>45931</v>
      </c>
      <c r="J456">
        <v>1</v>
      </c>
      <c r="K456" s="3">
        <v>45959</v>
      </c>
      <c r="L456">
        <v>210</v>
      </c>
      <c r="M456" t="s">
        <v>13</v>
      </c>
      <c r="N456" s="79">
        <f t="shared" si="40"/>
        <v>-1.9999246448890395E-2</v>
      </c>
      <c r="O456">
        <f>VLOOKUP(B456,'Customer TDS'!A:D,4,0)</f>
        <v>106.16</v>
      </c>
      <c r="P456" s="38">
        <f t="shared" si="42"/>
        <v>-5202.04</v>
      </c>
      <c r="Q456">
        <f>VLOOKUP(B456,Ascendus!E:I,5,0)</f>
        <v>5160.04</v>
      </c>
      <c r="R456" s="38">
        <f t="shared" si="41"/>
        <v>-148.15999999999985</v>
      </c>
      <c r="S456" t="s">
        <v>915</v>
      </c>
    </row>
    <row r="457" spans="1:19" x14ac:dyDescent="0.35">
      <c r="A457" t="s">
        <v>454</v>
      </c>
      <c r="B457" s="4">
        <v>256779415320</v>
      </c>
      <c r="C457" s="3">
        <v>45937</v>
      </c>
      <c r="D457" s="1">
        <v>-12.5</v>
      </c>
      <c r="E457" s="1">
        <v>-1105.8800000000001</v>
      </c>
      <c r="G457" s="3">
        <v>45908</v>
      </c>
      <c r="H457" t="s">
        <v>11</v>
      </c>
      <c r="I457" s="2">
        <v>45931</v>
      </c>
      <c r="J457">
        <v>1</v>
      </c>
      <c r="K457" s="3">
        <v>45959</v>
      </c>
      <c r="L457">
        <v>210</v>
      </c>
      <c r="M457" t="s">
        <v>13</v>
      </c>
      <c r="N457" s="79">
        <f t="shared" si="40"/>
        <v>-2.0002170217383441E-2</v>
      </c>
      <c r="O457">
        <f>VLOOKUP(B457,'Customer TDS'!A:D,4,0)</f>
        <v>22.12</v>
      </c>
      <c r="P457" s="38">
        <f t="shared" si="42"/>
        <v>-1083.7600000000002</v>
      </c>
      <c r="Q457">
        <f>VLOOKUP(B457,Ascendus!E:I,5,0)</f>
        <v>1075.01</v>
      </c>
      <c r="R457" s="38">
        <f t="shared" si="41"/>
        <v>-30.870000000000118</v>
      </c>
      <c r="S457" t="s">
        <v>915</v>
      </c>
    </row>
    <row r="458" spans="1:19" x14ac:dyDescent="0.35">
      <c r="A458" t="s">
        <v>454</v>
      </c>
      <c r="B458" s="4">
        <v>256779415301</v>
      </c>
      <c r="C458" s="3">
        <v>45937</v>
      </c>
      <c r="D458" s="1">
        <v>-30</v>
      </c>
      <c r="E458" s="1">
        <v>-2654.1</v>
      </c>
      <c r="G458" s="3">
        <v>45908</v>
      </c>
      <c r="H458" t="s">
        <v>11</v>
      </c>
      <c r="I458" s="2">
        <v>45931</v>
      </c>
      <c r="J458">
        <v>1</v>
      </c>
      <c r="K458" s="3">
        <v>45959</v>
      </c>
      <c r="L458">
        <v>210</v>
      </c>
      <c r="M458" t="s">
        <v>13</v>
      </c>
      <c r="N458" s="79">
        <f t="shared" si="40"/>
        <v>-1.9999246448890395E-2</v>
      </c>
      <c r="O458">
        <f>VLOOKUP(B458,'Customer TDS'!A:D,4,0)</f>
        <v>53.08</v>
      </c>
      <c r="P458" s="38">
        <f t="shared" si="42"/>
        <v>-2601.02</v>
      </c>
      <c r="Q458">
        <f>VLOOKUP(B458,Ascendus!E:I,5,0)</f>
        <v>2580.02</v>
      </c>
      <c r="R458" s="38">
        <f t="shared" si="41"/>
        <v>-74.079999999999927</v>
      </c>
      <c r="S458" t="s">
        <v>915</v>
      </c>
    </row>
    <row r="459" spans="1:19" x14ac:dyDescent="0.35">
      <c r="A459" t="s">
        <v>454</v>
      </c>
      <c r="B459" s="4">
        <v>256779415329</v>
      </c>
      <c r="C459" s="3">
        <v>45937</v>
      </c>
      <c r="D459" s="1">
        <v>-27.5</v>
      </c>
      <c r="E459" s="1">
        <v>-2432.9299999999998</v>
      </c>
      <c r="G459" s="3">
        <v>45908</v>
      </c>
      <c r="H459" t="s">
        <v>11</v>
      </c>
      <c r="I459" s="2">
        <v>45931</v>
      </c>
      <c r="J459">
        <v>1</v>
      </c>
      <c r="K459" s="3">
        <v>45959</v>
      </c>
      <c r="L459">
        <v>210</v>
      </c>
      <c r="M459" t="s">
        <v>13</v>
      </c>
      <c r="N459" s="79">
        <f t="shared" si="40"/>
        <v>-2.0000575437846547E-2</v>
      </c>
      <c r="O459">
        <f>VLOOKUP(B459,'Customer TDS'!A:D,4,0)</f>
        <v>48.66</v>
      </c>
      <c r="P459" s="38">
        <f t="shared" si="42"/>
        <v>-2384.27</v>
      </c>
      <c r="Q459">
        <f>VLOOKUP(B459,Ascendus!E:I,5,0)</f>
        <v>2365.02</v>
      </c>
      <c r="R459" s="38">
        <f t="shared" si="41"/>
        <v>-67.909999999999854</v>
      </c>
      <c r="S459" t="s">
        <v>915</v>
      </c>
    </row>
    <row r="460" spans="1:19" x14ac:dyDescent="0.35">
      <c r="A460" t="s">
        <v>454</v>
      </c>
      <c r="B460" s="4">
        <v>256779415367</v>
      </c>
      <c r="C460" s="3">
        <v>45937</v>
      </c>
      <c r="D460" s="1">
        <v>-200</v>
      </c>
      <c r="E460" s="1">
        <v>-17694</v>
      </c>
      <c r="G460" s="3">
        <v>45908</v>
      </c>
      <c r="H460" t="s">
        <v>11</v>
      </c>
      <c r="I460" s="2">
        <v>45931</v>
      </c>
      <c r="J460">
        <v>1</v>
      </c>
      <c r="K460" s="3">
        <v>45959</v>
      </c>
      <c r="L460">
        <v>210</v>
      </c>
      <c r="M460" t="s">
        <v>13</v>
      </c>
      <c r="N460" s="79">
        <f t="shared" si="40"/>
        <v>-0.02</v>
      </c>
      <c r="O460">
        <f>VLOOKUP(B460,'Customer TDS'!A:D,4,0)</f>
        <v>353.88</v>
      </c>
      <c r="P460" s="38">
        <f t="shared" si="42"/>
        <v>-17340.12</v>
      </c>
      <c r="Q460">
        <f>VLOOKUP(B460,Ascendus!E:I,5,0)</f>
        <v>17200.13</v>
      </c>
      <c r="R460" s="38">
        <f t="shared" si="41"/>
        <v>-493.86999999999898</v>
      </c>
      <c r="S460" t="s">
        <v>915</v>
      </c>
    </row>
    <row r="461" spans="1:19" x14ac:dyDescent="0.35">
      <c r="A461" t="s">
        <v>454</v>
      </c>
      <c r="B461" s="4">
        <v>256779415353</v>
      </c>
      <c r="C461" s="3">
        <v>45937</v>
      </c>
      <c r="D461" s="1">
        <v>-200</v>
      </c>
      <c r="E461" s="1">
        <v>-17694</v>
      </c>
      <c r="G461" s="3">
        <v>45908</v>
      </c>
      <c r="H461" t="s">
        <v>11</v>
      </c>
      <c r="I461" s="2">
        <v>45931</v>
      </c>
      <c r="J461">
        <v>1</v>
      </c>
      <c r="K461" s="3">
        <v>45959</v>
      </c>
      <c r="L461">
        <v>210</v>
      </c>
      <c r="M461" t="s">
        <v>13</v>
      </c>
      <c r="N461" s="79">
        <f t="shared" si="40"/>
        <v>-0.02</v>
      </c>
      <c r="O461">
        <f>VLOOKUP(B461,'Customer TDS'!A:D,4,0)</f>
        <v>353.88</v>
      </c>
      <c r="P461" s="38">
        <f t="shared" si="42"/>
        <v>-17340.12</v>
      </c>
      <c r="Q461">
        <f>VLOOKUP(B461,Ascendus!E:I,5,0)</f>
        <v>17200.13</v>
      </c>
      <c r="R461" s="38">
        <f t="shared" si="41"/>
        <v>-493.86999999999898</v>
      </c>
      <c r="S461" t="s">
        <v>915</v>
      </c>
    </row>
    <row r="462" spans="1:19" x14ac:dyDescent="0.35">
      <c r="A462" t="s">
        <v>454</v>
      </c>
      <c r="B462" s="4">
        <v>256779415330</v>
      </c>
      <c r="C462" s="3">
        <v>45937</v>
      </c>
      <c r="D462" s="1">
        <v>-22.5</v>
      </c>
      <c r="E462" s="1">
        <v>-1990.58</v>
      </c>
      <c r="G462" s="3">
        <v>45908</v>
      </c>
      <c r="H462" t="s">
        <v>11</v>
      </c>
      <c r="I462" s="2">
        <v>45931</v>
      </c>
      <c r="J462">
        <v>1</v>
      </c>
      <c r="K462" s="3">
        <v>45959</v>
      </c>
      <c r="L462">
        <v>210</v>
      </c>
      <c r="M462" t="s">
        <v>13</v>
      </c>
      <c r="N462" s="79">
        <f t="shared" si="40"/>
        <v>-1.9999196214168735E-2</v>
      </c>
      <c r="O462">
        <f>VLOOKUP(B462,'Customer TDS'!A:D,4,0)</f>
        <v>39.81</v>
      </c>
      <c r="P462" s="38">
        <f t="shared" si="42"/>
        <v>-1950.77</v>
      </c>
      <c r="Q462">
        <f>VLOOKUP(B462,Ascendus!E:I,5,0)</f>
        <v>1935.02</v>
      </c>
      <c r="R462" s="38">
        <f t="shared" si="41"/>
        <v>-55.559999999999945</v>
      </c>
      <c r="S462" t="s">
        <v>915</v>
      </c>
    </row>
    <row r="463" spans="1:19" x14ac:dyDescent="0.35">
      <c r="A463" t="s">
        <v>454</v>
      </c>
      <c r="B463" s="4">
        <v>256779415354</v>
      </c>
      <c r="C463" s="3">
        <v>45937</v>
      </c>
      <c r="D463" s="1">
        <v>-60</v>
      </c>
      <c r="E463" s="1">
        <v>-5308.2</v>
      </c>
      <c r="G463" s="3">
        <v>45908</v>
      </c>
      <c r="H463" t="s">
        <v>11</v>
      </c>
      <c r="I463" s="2">
        <v>45931</v>
      </c>
      <c r="J463">
        <v>1</v>
      </c>
      <c r="K463" s="3">
        <v>45959</v>
      </c>
      <c r="L463">
        <v>210</v>
      </c>
      <c r="M463" t="s">
        <v>13</v>
      </c>
      <c r="N463" s="79">
        <f t="shared" si="40"/>
        <v>-1.9999246448890395E-2</v>
      </c>
      <c r="O463">
        <f>VLOOKUP(B463,'Customer TDS'!A:D,4,0)</f>
        <v>106.16</v>
      </c>
      <c r="P463" s="38">
        <f t="shared" si="42"/>
        <v>-5202.04</v>
      </c>
      <c r="Q463">
        <f>VLOOKUP(B463,Ascendus!E:I,5,0)</f>
        <v>5160.04</v>
      </c>
      <c r="R463" s="38">
        <f t="shared" si="41"/>
        <v>-148.15999999999985</v>
      </c>
      <c r="S463" t="s">
        <v>915</v>
      </c>
    </row>
    <row r="464" spans="1:19" x14ac:dyDescent="0.35">
      <c r="A464" t="s">
        <v>454</v>
      </c>
      <c r="B464" s="4">
        <v>256779415387</v>
      </c>
      <c r="C464" s="3">
        <v>45937</v>
      </c>
      <c r="D464" s="1">
        <v>-70.900000000000006</v>
      </c>
      <c r="E464" s="1">
        <v>-6096.66</v>
      </c>
      <c r="G464" s="3">
        <v>45908</v>
      </c>
      <c r="H464" t="s">
        <v>11</v>
      </c>
      <c r="I464" s="2">
        <v>45931</v>
      </c>
      <c r="J464">
        <v>1</v>
      </c>
      <c r="K464" s="3">
        <v>45959</v>
      </c>
      <c r="L464">
        <v>210</v>
      </c>
      <c r="M464" t="s">
        <v>13</v>
      </c>
      <c r="N464" s="79">
        <f t="shared" si="40"/>
        <v>-2.0028999484963898E-2</v>
      </c>
      <c r="O464">
        <f>VLOOKUP(B464,'Customer TDS'!A:D,4,0)</f>
        <v>122.11</v>
      </c>
      <c r="P464" s="38">
        <f t="shared" si="42"/>
        <v>-5974.55</v>
      </c>
      <c r="Q464">
        <f>VLOOKUP(B464,Ascendus!E:I,5,0)</f>
        <v>6097.45</v>
      </c>
      <c r="R464" s="38">
        <f t="shared" si="41"/>
        <v>0.78999999999996362</v>
      </c>
      <c r="S464" t="s">
        <v>915</v>
      </c>
    </row>
    <row r="465" spans="1:19" x14ac:dyDescent="0.35">
      <c r="A465" t="s">
        <v>454</v>
      </c>
      <c r="B465" s="4">
        <v>256779415313</v>
      </c>
      <c r="C465" s="3">
        <v>45937</v>
      </c>
      <c r="D465" s="1">
        <v>-60</v>
      </c>
      <c r="E465" s="1">
        <v>-5308.2</v>
      </c>
      <c r="G465" s="3">
        <v>45908</v>
      </c>
      <c r="H465" t="s">
        <v>11</v>
      </c>
      <c r="I465" s="2">
        <v>45931</v>
      </c>
      <c r="J465">
        <v>1</v>
      </c>
      <c r="K465" s="3">
        <v>45959</v>
      </c>
      <c r="L465">
        <v>210</v>
      </c>
      <c r="M465" t="s">
        <v>13</v>
      </c>
      <c r="N465" s="79">
        <f t="shared" si="40"/>
        <v>-1.9999246448890395E-2</v>
      </c>
      <c r="O465">
        <f>VLOOKUP(B465,'Customer TDS'!A:D,4,0)</f>
        <v>106.16</v>
      </c>
      <c r="P465" s="38">
        <f t="shared" si="42"/>
        <v>-5202.04</v>
      </c>
      <c r="Q465">
        <f>VLOOKUP(B465,Ascendus!E:I,5,0)</f>
        <v>5160.04</v>
      </c>
      <c r="R465" s="38">
        <f t="shared" si="41"/>
        <v>-148.15999999999985</v>
      </c>
      <c r="S465" t="s">
        <v>915</v>
      </c>
    </row>
    <row r="466" spans="1:19" x14ac:dyDescent="0.35">
      <c r="A466" t="s">
        <v>454</v>
      </c>
      <c r="B466" s="4">
        <v>256779415323</v>
      </c>
      <c r="C466" s="3">
        <v>45937</v>
      </c>
      <c r="D466" s="1">
        <v>-211.75</v>
      </c>
      <c r="E466" s="1">
        <v>-18733.52</v>
      </c>
      <c r="G466" s="3">
        <v>45908</v>
      </c>
      <c r="H466" t="s">
        <v>11</v>
      </c>
      <c r="I466" s="2">
        <v>45931</v>
      </c>
      <c r="J466">
        <v>1</v>
      </c>
      <c r="K466" s="3">
        <v>45959</v>
      </c>
      <c r="L466">
        <v>210</v>
      </c>
      <c r="M466" t="s">
        <v>13</v>
      </c>
      <c r="N466" s="79">
        <f t="shared" si="40"/>
        <v>-2.0023465958346323E-2</v>
      </c>
      <c r="O466">
        <f>VLOOKUP(B466,'Customer TDS'!A:D,4,0)</f>
        <v>375.11</v>
      </c>
      <c r="P466" s="38">
        <f t="shared" si="42"/>
        <v>-18358.41</v>
      </c>
      <c r="Q466">
        <f>VLOOKUP(B466,Ascendus!E:I,5,0)</f>
        <v>18210.64</v>
      </c>
      <c r="R466" s="38">
        <f t="shared" si="41"/>
        <v>-522.88000000000102</v>
      </c>
      <c r="S466" t="s">
        <v>915</v>
      </c>
    </row>
    <row r="467" spans="1:19" x14ac:dyDescent="0.35">
      <c r="A467" t="s">
        <v>454</v>
      </c>
      <c r="B467" s="4">
        <v>256779415309</v>
      </c>
      <c r="C467" s="3">
        <v>45937</v>
      </c>
      <c r="D467" s="1">
        <v>-30</v>
      </c>
      <c r="E467" s="1">
        <v>-2654.1</v>
      </c>
      <c r="G467" s="3">
        <v>45908</v>
      </c>
      <c r="H467" t="s">
        <v>11</v>
      </c>
      <c r="I467" s="2">
        <v>45931</v>
      </c>
      <c r="J467">
        <v>1</v>
      </c>
      <c r="K467" s="3">
        <v>45959</v>
      </c>
      <c r="L467">
        <v>210</v>
      </c>
      <c r="M467" t="s">
        <v>13</v>
      </c>
      <c r="N467" s="79">
        <f t="shared" si="40"/>
        <v>-1.9999246448890395E-2</v>
      </c>
      <c r="O467">
        <f>VLOOKUP(B467,'Customer TDS'!A:D,4,0)</f>
        <v>53.08</v>
      </c>
      <c r="P467" s="38">
        <f t="shared" si="42"/>
        <v>-2601.02</v>
      </c>
      <c r="Q467">
        <f>VLOOKUP(B467,Ascendus!E:I,5,0)</f>
        <v>2580.02</v>
      </c>
      <c r="R467" s="38">
        <f t="shared" si="41"/>
        <v>-74.079999999999927</v>
      </c>
      <c r="S467" t="s">
        <v>915</v>
      </c>
    </row>
    <row r="468" spans="1:19" x14ac:dyDescent="0.35">
      <c r="A468" t="s">
        <v>454</v>
      </c>
      <c r="B468" s="4">
        <v>256779415302</v>
      </c>
      <c r="C468" s="3">
        <v>45937</v>
      </c>
      <c r="D468" s="1">
        <v>-30</v>
      </c>
      <c r="E468" s="1">
        <v>-2654.1</v>
      </c>
      <c r="G468" s="3">
        <v>45908</v>
      </c>
      <c r="H468" t="s">
        <v>11</v>
      </c>
      <c r="I468" s="2">
        <v>45931</v>
      </c>
      <c r="J468">
        <v>1</v>
      </c>
      <c r="K468" s="3">
        <v>45959</v>
      </c>
      <c r="L468">
        <v>210</v>
      </c>
      <c r="M468" t="s">
        <v>13</v>
      </c>
      <c r="N468" s="79">
        <f t="shared" si="40"/>
        <v>-1.9999246448890395E-2</v>
      </c>
      <c r="O468">
        <f>VLOOKUP(B468,'Customer TDS'!A:D,4,0)</f>
        <v>53.08</v>
      </c>
      <c r="P468" s="38">
        <f t="shared" si="42"/>
        <v>-2601.02</v>
      </c>
      <c r="Q468">
        <f>VLOOKUP(B468,Ascendus!E:I,5,0)</f>
        <v>2580.02</v>
      </c>
      <c r="R468" s="38">
        <f t="shared" si="41"/>
        <v>-74.079999999999927</v>
      </c>
      <c r="S468" t="s">
        <v>915</v>
      </c>
    </row>
    <row r="469" spans="1:19" x14ac:dyDescent="0.35">
      <c r="A469" t="s">
        <v>454</v>
      </c>
      <c r="B469" s="4">
        <v>256779415289</v>
      </c>
      <c r="C469" s="3">
        <v>45937</v>
      </c>
      <c r="D469" s="1">
        <v>-250</v>
      </c>
      <c r="E469" s="1">
        <v>-22117.5</v>
      </c>
      <c r="G469" s="3">
        <v>45908</v>
      </c>
      <c r="H469" t="s">
        <v>11</v>
      </c>
      <c r="I469" s="2">
        <v>45931</v>
      </c>
      <c r="J469">
        <v>1</v>
      </c>
      <c r="K469" s="3">
        <v>45959</v>
      </c>
      <c r="L469">
        <v>210</v>
      </c>
      <c r="M469" t="s">
        <v>13</v>
      </c>
      <c r="N469" s="79">
        <f t="shared" si="40"/>
        <v>-0.02</v>
      </c>
      <c r="O469">
        <f>VLOOKUP(B469,'Customer TDS'!A:D,4,0)</f>
        <v>442.35</v>
      </c>
      <c r="P469" s="38">
        <f t="shared" si="42"/>
        <v>-21675.15</v>
      </c>
      <c r="Q469">
        <f>VLOOKUP(B469,Ascendus!E:I,5,0)</f>
        <v>21500.17</v>
      </c>
      <c r="R469" s="38">
        <f t="shared" si="41"/>
        <v>-617.33000000000175</v>
      </c>
      <c r="S469" t="s">
        <v>915</v>
      </c>
    </row>
    <row r="470" spans="1:19" x14ac:dyDescent="0.35">
      <c r="A470" t="s">
        <v>454</v>
      </c>
      <c r="B470" s="4">
        <v>256779415325</v>
      </c>
      <c r="C470" s="3">
        <v>45937</v>
      </c>
      <c r="D470" s="1">
        <v>-192</v>
      </c>
      <c r="E470" s="1">
        <v>-16986.240000000002</v>
      </c>
      <c r="G470" s="3">
        <v>45908</v>
      </c>
      <c r="H470" t="s">
        <v>11</v>
      </c>
      <c r="I470" s="2">
        <v>45931</v>
      </c>
      <c r="J470">
        <v>1</v>
      </c>
      <c r="K470" s="3">
        <v>45959</v>
      </c>
      <c r="L470">
        <v>210</v>
      </c>
      <c r="M470" t="s">
        <v>13</v>
      </c>
      <c r="N470" s="79">
        <f t="shared" si="40"/>
        <v>-1.9999717418333899E-2</v>
      </c>
      <c r="O470">
        <f>VLOOKUP(B470,'Customer TDS'!A:D,4,0)</f>
        <v>339.72</v>
      </c>
      <c r="P470" s="38">
        <f t="shared" si="42"/>
        <v>-16646.52</v>
      </c>
      <c r="Q470">
        <f>VLOOKUP(B470,Ascendus!E:I,5,0)</f>
        <v>16512.13</v>
      </c>
      <c r="R470" s="38">
        <f t="shared" si="41"/>
        <v>-474.11000000000058</v>
      </c>
      <c r="S470" t="s">
        <v>915</v>
      </c>
    </row>
    <row r="471" spans="1:19" x14ac:dyDescent="0.35">
      <c r="A471" t="s">
        <v>454</v>
      </c>
      <c r="B471" s="4">
        <v>256779415331</v>
      </c>
      <c r="C471" s="3">
        <v>45937</v>
      </c>
      <c r="D471" s="1">
        <v>-22.5</v>
      </c>
      <c r="E471" s="1">
        <v>-1990.58</v>
      </c>
      <c r="G471" s="3">
        <v>45908</v>
      </c>
      <c r="H471" t="s">
        <v>11</v>
      </c>
      <c r="I471" s="2">
        <v>45931</v>
      </c>
      <c r="J471">
        <v>1</v>
      </c>
      <c r="K471" s="3">
        <v>45959</v>
      </c>
      <c r="L471">
        <v>210</v>
      </c>
      <c r="M471" t="s">
        <v>13</v>
      </c>
      <c r="N471" s="79">
        <f t="shared" si="40"/>
        <v>-1.9999196214168735E-2</v>
      </c>
      <c r="O471">
        <f>VLOOKUP(B471,'Customer TDS'!A:D,4,0)</f>
        <v>39.81</v>
      </c>
      <c r="P471" s="38">
        <f t="shared" si="42"/>
        <v>-1950.77</v>
      </c>
      <c r="Q471">
        <f>VLOOKUP(B471,Ascendus!E:I,5,0)</f>
        <v>1935.02</v>
      </c>
      <c r="R471" s="38">
        <f t="shared" si="41"/>
        <v>-55.559999999999945</v>
      </c>
      <c r="S471" t="s">
        <v>915</v>
      </c>
    </row>
    <row r="472" spans="1:19" x14ac:dyDescent="0.35">
      <c r="A472" t="s">
        <v>454</v>
      </c>
      <c r="B472" s="4">
        <v>256779415290</v>
      </c>
      <c r="C472" s="3">
        <v>45937</v>
      </c>
      <c r="D472" s="1">
        <v>-24</v>
      </c>
      <c r="E472" s="1">
        <v>-2123.2800000000002</v>
      </c>
      <c r="G472" s="3">
        <v>45908</v>
      </c>
      <c r="H472" t="s">
        <v>11</v>
      </c>
      <c r="I472" s="2">
        <v>45931</v>
      </c>
      <c r="J472">
        <v>1</v>
      </c>
      <c r="K472" s="3">
        <v>45959</v>
      </c>
      <c r="L472">
        <v>210</v>
      </c>
      <c r="M472" t="s">
        <v>13</v>
      </c>
      <c r="N472" s="79">
        <f t="shared" si="40"/>
        <v>-2.000207226555141E-2</v>
      </c>
      <c r="O472">
        <f>VLOOKUP(B472,'Customer TDS'!A:D,4,0)</f>
        <v>42.47</v>
      </c>
      <c r="P472" s="38">
        <f t="shared" si="42"/>
        <v>-2080.8100000000004</v>
      </c>
      <c r="Q472">
        <f>VLOOKUP(B472,Ascendus!E:I,5,0)</f>
        <v>2064.02</v>
      </c>
      <c r="R472" s="38">
        <f t="shared" si="41"/>
        <v>-59.260000000000218</v>
      </c>
      <c r="S472" t="s">
        <v>915</v>
      </c>
    </row>
    <row r="473" spans="1:19" x14ac:dyDescent="0.35">
      <c r="A473" t="s">
        <v>454</v>
      </c>
      <c r="B473" s="4">
        <v>256779415303</v>
      </c>
      <c r="C473" s="3">
        <v>45937</v>
      </c>
      <c r="D473" s="1">
        <v>0</v>
      </c>
      <c r="E473" s="1">
        <v>39.880000000000003</v>
      </c>
      <c r="F473" t="s">
        <v>15</v>
      </c>
      <c r="G473" s="3">
        <v>45908</v>
      </c>
      <c r="H473" t="s">
        <v>11</v>
      </c>
      <c r="I473" s="2">
        <v>45931</v>
      </c>
      <c r="J473">
        <v>4</v>
      </c>
      <c r="K473" s="3">
        <v>45961</v>
      </c>
      <c r="L473">
        <v>271</v>
      </c>
      <c r="M473" t="s">
        <v>13</v>
      </c>
      <c r="P473" s="38">
        <f t="shared" si="42"/>
        <v>39.880000000000003</v>
      </c>
      <c r="S473" t="s">
        <v>918</v>
      </c>
    </row>
    <row r="474" spans="1:19" x14ac:dyDescent="0.35">
      <c r="A474" t="s">
        <v>454</v>
      </c>
      <c r="B474" s="4">
        <v>256779415304</v>
      </c>
      <c r="C474" s="3">
        <v>45937</v>
      </c>
      <c r="D474" s="1">
        <v>0</v>
      </c>
      <c r="E474" s="1">
        <v>11.96</v>
      </c>
      <c r="F474" t="s">
        <v>15</v>
      </c>
      <c r="G474" s="3">
        <v>45908</v>
      </c>
      <c r="H474" t="s">
        <v>11</v>
      </c>
      <c r="I474" s="2">
        <v>45931</v>
      </c>
      <c r="J474">
        <v>6</v>
      </c>
      <c r="K474" s="3">
        <v>45961</v>
      </c>
      <c r="L474">
        <v>271</v>
      </c>
      <c r="M474" t="s">
        <v>13</v>
      </c>
      <c r="P474" s="38">
        <f t="shared" si="42"/>
        <v>11.96</v>
      </c>
      <c r="S474" t="s">
        <v>918</v>
      </c>
    </row>
    <row r="475" spans="1:19" x14ac:dyDescent="0.35">
      <c r="A475" t="s">
        <v>454</v>
      </c>
      <c r="B475" s="4">
        <v>256779415339</v>
      </c>
      <c r="C475" s="3">
        <v>45937</v>
      </c>
      <c r="D475" s="1">
        <v>0</v>
      </c>
      <c r="E475" s="1">
        <v>10.92</v>
      </c>
      <c r="F475" t="s">
        <v>15</v>
      </c>
      <c r="G475" s="3">
        <v>45908</v>
      </c>
      <c r="H475" t="s">
        <v>11</v>
      </c>
      <c r="I475" s="2">
        <v>45931</v>
      </c>
      <c r="J475">
        <v>8</v>
      </c>
      <c r="K475" s="3">
        <v>45961</v>
      </c>
      <c r="L475">
        <v>271</v>
      </c>
      <c r="M475" t="s">
        <v>13</v>
      </c>
      <c r="P475" s="38">
        <f t="shared" si="42"/>
        <v>10.92</v>
      </c>
      <c r="S475" t="s">
        <v>918</v>
      </c>
    </row>
    <row r="476" spans="1:19" x14ac:dyDescent="0.35">
      <c r="A476" t="s">
        <v>454</v>
      </c>
      <c r="B476" s="4">
        <v>256779415308</v>
      </c>
      <c r="C476" s="3">
        <v>45937</v>
      </c>
      <c r="D476" s="1">
        <v>0</v>
      </c>
      <c r="E476" s="1">
        <v>11.96</v>
      </c>
      <c r="F476" t="s">
        <v>15</v>
      </c>
      <c r="G476" s="3">
        <v>45908</v>
      </c>
      <c r="H476" t="s">
        <v>11</v>
      </c>
      <c r="I476" s="2">
        <v>45931</v>
      </c>
      <c r="J476">
        <v>12</v>
      </c>
      <c r="K476" s="3">
        <v>45961</v>
      </c>
      <c r="L476">
        <v>271</v>
      </c>
      <c r="M476" t="s">
        <v>13</v>
      </c>
      <c r="P476" s="38">
        <f t="shared" si="42"/>
        <v>11.96</v>
      </c>
      <c r="S476" t="s">
        <v>918</v>
      </c>
    </row>
    <row r="477" spans="1:19" x14ac:dyDescent="0.35">
      <c r="A477" t="s">
        <v>454</v>
      </c>
      <c r="B477" s="4">
        <v>256779415305</v>
      </c>
      <c r="C477" s="3">
        <v>45937</v>
      </c>
      <c r="D477" s="1">
        <v>0</v>
      </c>
      <c r="E477" s="1">
        <v>11.96</v>
      </c>
      <c r="F477" t="s">
        <v>15</v>
      </c>
      <c r="G477" s="3">
        <v>45908</v>
      </c>
      <c r="H477" t="s">
        <v>11</v>
      </c>
      <c r="I477" s="2">
        <v>45931</v>
      </c>
      <c r="J477">
        <v>14</v>
      </c>
      <c r="K477" s="3">
        <v>45961</v>
      </c>
      <c r="L477">
        <v>271</v>
      </c>
      <c r="M477" t="s">
        <v>13</v>
      </c>
      <c r="P477" s="38">
        <f t="shared" si="42"/>
        <v>11.96</v>
      </c>
      <c r="S477" t="s">
        <v>918</v>
      </c>
    </row>
    <row r="478" spans="1:19" x14ac:dyDescent="0.35">
      <c r="A478" t="s">
        <v>454</v>
      </c>
      <c r="B478" s="4">
        <v>256779415306</v>
      </c>
      <c r="C478" s="3">
        <v>45937</v>
      </c>
      <c r="D478" s="1">
        <v>0</v>
      </c>
      <c r="E478" s="1">
        <v>11.96</v>
      </c>
      <c r="F478" t="s">
        <v>15</v>
      </c>
      <c r="G478" s="3">
        <v>45908</v>
      </c>
      <c r="H478" t="s">
        <v>11</v>
      </c>
      <c r="I478" s="2">
        <v>45931</v>
      </c>
      <c r="J478">
        <v>16</v>
      </c>
      <c r="K478" s="3">
        <v>45961</v>
      </c>
      <c r="L478">
        <v>271</v>
      </c>
      <c r="M478" t="s">
        <v>13</v>
      </c>
      <c r="P478" s="38">
        <f t="shared" si="42"/>
        <v>11.96</v>
      </c>
      <c r="S478" t="s">
        <v>918</v>
      </c>
    </row>
    <row r="479" spans="1:19" x14ac:dyDescent="0.35">
      <c r="A479" t="s">
        <v>454</v>
      </c>
      <c r="B479" s="4">
        <v>256779415307</v>
      </c>
      <c r="C479" s="3">
        <v>45937</v>
      </c>
      <c r="D479" s="1">
        <v>0</v>
      </c>
      <c r="E479" s="1">
        <v>11.96</v>
      </c>
      <c r="F479" t="s">
        <v>15</v>
      </c>
      <c r="G479" s="3">
        <v>45908</v>
      </c>
      <c r="H479" t="s">
        <v>11</v>
      </c>
      <c r="I479" s="2">
        <v>45931</v>
      </c>
      <c r="J479">
        <v>18</v>
      </c>
      <c r="K479" s="3">
        <v>45961</v>
      </c>
      <c r="L479">
        <v>271</v>
      </c>
      <c r="M479" t="s">
        <v>13</v>
      </c>
      <c r="P479" s="38">
        <f t="shared" si="42"/>
        <v>11.96</v>
      </c>
      <c r="S479" t="s">
        <v>918</v>
      </c>
    </row>
    <row r="480" spans="1:19" x14ac:dyDescent="0.35">
      <c r="A480" t="s">
        <v>454</v>
      </c>
      <c r="B480" s="4">
        <v>256779415312</v>
      </c>
      <c r="C480" s="3">
        <v>45937</v>
      </c>
      <c r="D480" s="1">
        <v>0</v>
      </c>
      <c r="E480" s="1">
        <v>42.62</v>
      </c>
      <c r="F480" t="s">
        <v>15</v>
      </c>
      <c r="G480" s="3">
        <v>45908</v>
      </c>
      <c r="H480" t="s">
        <v>11</v>
      </c>
      <c r="I480" s="2">
        <v>45931</v>
      </c>
      <c r="J480">
        <v>20</v>
      </c>
      <c r="K480" s="3">
        <v>45961</v>
      </c>
      <c r="L480">
        <v>271</v>
      </c>
      <c r="M480" t="s">
        <v>13</v>
      </c>
      <c r="P480" s="38">
        <f t="shared" si="42"/>
        <v>42.62</v>
      </c>
      <c r="S480" t="s">
        <v>918</v>
      </c>
    </row>
    <row r="481" spans="1:19" x14ac:dyDescent="0.35">
      <c r="A481" t="s">
        <v>454</v>
      </c>
      <c r="B481" s="4">
        <v>256779415327</v>
      </c>
      <c r="C481" s="3">
        <v>45937</v>
      </c>
      <c r="D481" s="1">
        <v>0</v>
      </c>
      <c r="E481" s="1">
        <v>4.26</v>
      </c>
      <c r="F481" t="s">
        <v>15</v>
      </c>
      <c r="G481" s="3">
        <v>45908</v>
      </c>
      <c r="H481" t="s">
        <v>11</v>
      </c>
      <c r="I481" s="2">
        <v>45931</v>
      </c>
      <c r="J481">
        <v>24</v>
      </c>
      <c r="K481" s="3">
        <v>45961</v>
      </c>
      <c r="L481">
        <v>271</v>
      </c>
      <c r="M481" t="s">
        <v>13</v>
      </c>
      <c r="P481" s="38">
        <f t="shared" si="42"/>
        <v>4.26</v>
      </c>
      <c r="S481" t="s">
        <v>918</v>
      </c>
    </row>
    <row r="482" spans="1:19" x14ac:dyDescent="0.35">
      <c r="A482" t="s">
        <v>454</v>
      </c>
      <c r="B482" s="4">
        <v>256779415351</v>
      </c>
      <c r="C482" s="3">
        <v>45937</v>
      </c>
      <c r="D482" s="1">
        <v>0</v>
      </c>
      <c r="E482" s="1">
        <v>-37.78</v>
      </c>
      <c r="F482" t="s">
        <v>15</v>
      </c>
      <c r="G482" s="3">
        <v>45908</v>
      </c>
      <c r="H482" t="s">
        <v>11</v>
      </c>
      <c r="I482" s="2">
        <v>45931</v>
      </c>
      <c r="J482">
        <v>26</v>
      </c>
      <c r="K482" s="3">
        <v>45961</v>
      </c>
      <c r="L482">
        <v>271</v>
      </c>
      <c r="M482" t="s">
        <v>13</v>
      </c>
      <c r="P482" s="38">
        <f t="shared" si="42"/>
        <v>-37.78</v>
      </c>
      <c r="S482" t="s">
        <v>918</v>
      </c>
    </row>
    <row r="483" spans="1:19" x14ac:dyDescent="0.35">
      <c r="A483" t="s">
        <v>454</v>
      </c>
      <c r="B483" s="4">
        <v>256779415324</v>
      </c>
      <c r="C483" s="3">
        <v>45937</v>
      </c>
      <c r="D483" s="1">
        <v>0</v>
      </c>
      <c r="E483" s="1">
        <v>31.25</v>
      </c>
      <c r="F483" t="s">
        <v>15</v>
      </c>
      <c r="G483" s="3">
        <v>45908</v>
      </c>
      <c r="H483" t="s">
        <v>11</v>
      </c>
      <c r="I483" s="2">
        <v>45931</v>
      </c>
      <c r="J483">
        <v>28</v>
      </c>
      <c r="K483" s="3">
        <v>45961</v>
      </c>
      <c r="L483">
        <v>271</v>
      </c>
      <c r="M483" t="s">
        <v>13</v>
      </c>
      <c r="P483" s="38">
        <f t="shared" si="42"/>
        <v>31.25</v>
      </c>
      <c r="S483" t="s">
        <v>918</v>
      </c>
    </row>
    <row r="484" spans="1:19" x14ac:dyDescent="0.35">
      <c r="A484" t="s">
        <v>454</v>
      </c>
      <c r="B484" s="4">
        <v>256779415322</v>
      </c>
      <c r="C484" s="3">
        <v>45937</v>
      </c>
      <c r="D484" s="1">
        <v>0</v>
      </c>
      <c r="E484" s="1">
        <v>40.92</v>
      </c>
      <c r="F484" t="s">
        <v>15</v>
      </c>
      <c r="G484" s="3">
        <v>45908</v>
      </c>
      <c r="H484" t="s">
        <v>11</v>
      </c>
      <c r="I484" s="2">
        <v>45931</v>
      </c>
      <c r="J484">
        <v>30</v>
      </c>
      <c r="K484" s="3">
        <v>45961</v>
      </c>
      <c r="L484">
        <v>271</v>
      </c>
      <c r="M484" t="s">
        <v>13</v>
      </c>
      <c r="P484" s="38">
        <f t="shared" si="42"/>
        <v>40.92</v>
      </c>
      <c r="S484" t="s">
        <v>918</v>
      </c>
    </row>
    <row r="485" spans="1:19" x14ac:dyDescent="0.35">
      <c r="A485" t="s">
        <v>454</v>
      </c>
      <c r="B485" s="4">
        <v>256779415366</v>
      </c>
      <c r="C485" s="3">
        <v>45937</v>
      </c>
      <c r="D485" s="1">
        <v>0</v>
      </c>
      <c r="E485" s="1">
        <v>40.92</v>
      </c>
      <c r="F485" t="s">
        <v>15</v>
      </c>
      <c r="G485" s="3">
        <v>45908</v>
      </c>
      <c r="H485" t="s">
        <v>11</v>
      </c>
      <c r="I485" s="2">
        <v>45931</v>
      </c>
      <c r="J485">
        <v>32</v>
      </c>
      <c r="K485" s="3">
        <v>45961</v>
      </c>
      <c r="L485">
        <v>271</v>
      </c>
      <c r="M485" t="s">
        <v>13</v>
      </c>
      <c r="P485" s="38">
        <f t="shared" si="42"/>
        <v>40.92</v>
      </c>
      <c r="S485" t="s">
        <v>918</v>
      </c>
    </row>
    <row r="486" spans="1:19" x14ac:dyDescent="0.35">
      <c r="A486" t="s">
        <v>454</v>
      </c>
      <c r="B486" s="4">
        <v>256779415365</v>
      </c>
      <c r="C486" s="3">
        <v>45937</v>
      </c>
      <c r="D486" s="1">
        <v>0</v>
      </c>
      <c r="E486" s="1">
        <v>66.7</v>
      </c>
      <c r="F486" t="s">
        <v>15</v>
      </c>
      <c r="G486" s="3">
        <v>45908</v>
      </c>
      <c r="H486" t="s">
        <v>11</v>
      </c>
      <c r="I486" s="2">
        <v>45931</v>
      </c>
      <c r="J486">
        <v>34</v>
      </c>
      <c r="K486" s="3">
        <v>45961</v>
      </c>
      <c r="L486">
        <v>271</v>
      </c>
      <c r="M486" t="s">
        <v>13</v>
      </c>
      <c r="P486" s="38">
        <f t="shared" si="42"/>
        <v>66.7</v>
      </c>
      <c r="S486" t="s">
        <v>918</v>
      </c>
    </row>
    <row r="487" spans="1:19" x14ac:dyDescent="0.35">
      <c r="A487" t="s">
        <v>454</v>
      </c>
      <c r="B487" s="4">
        <v>256779415311</v>
      </c>
      <c r="C487" s="3">
        <v>45937</v>
      </c>
      <c r="D487" s="1">
        <v>0</v>
      </c>
      <c r="E487" s="1">
        <v>16.510000000000002</v>
      </c>
      <c r="F487" t="s">
        <v>15</v>
      </c>
      <c r="G487" s="3">
        <v>45908</v>
      </c>
      <c r="H487" t="s">
        <v>11</v>
      </c>
      <c r="I487" s="2">
        <v>45931</v>
      </c>
      <c r="J487">
        <v>36</v>
      </c>
      <c r="K487" s="3">
        <v>45961</v>
      </c>
      <c r="L487">
        <v>271</v>
      </c>
      <c r="M487" t="s">
        <v>13</v>
      </c>
      <c r="P487" s="38">
        <f t="shared" si="42"/>
        <v>16.510000000000002</v>
      </c>
      <c r="S487" t="s">
        <v>918</v>
      </c>
    </row>
    <row r="488" spans="1:19" x14ac:dyDescent="0.35">
      <c r="A488" t="s">
        <v>454</v>
      </c>
      <c r="B488" s="4">
        <v>256779415368</v>
      </c>
      <c r="C488" s="3">
        <v>45937</v>
      </c>
      <c r="D488" s="1">
        <v>0</v>
      </c>
      <c r="E488" s="1">
        <v>12.79</v>
      </c>
      <c r="F488" t="s">
        <v>15</v>
      </c>
      <c r="G488" s="3">
        <v>45908</v>
      </c>
      <c r="H488" t="s">
        <v>11</v>
      </c>
      <c r="I488" s="2">
        <v>45931</v>
      </c>
      <c r="J488">
        <v>38</v>
      </c>
      <c r="K488" s="3">
        <v>45961</v>
      </c>
      <c r="L488">
        <v>271</v>
      </c>
      <c r="M488" t="s">
        <v>13</v>
      </c>
      <c r="P488" s="38">
        <f t="shared" si="42"/>
        <v>12.79</v>
      </c>
      <c r="S488" t="s">
        <v>918</v>
      </c>
    </row>
    <row r="489" spans="1:19" x14ac:dyDescent="0.35">
      <c r="A489" t="s">
        <v>454</v>
      </c>
      <c r="B489" s="4">
        <v>256779415320</v>
      </c>
      <c r="C489" s="3">
        <v>45937</v>
      </c>
      <c r="D489" s="1">
        <v>0</v>
      </c>
      <c r="E489" s="1">
        <v>2.67</v>
      </c>
      <c r="F489" t="s">
        <v>15</v>
      </c>
      <c r="G489" s="3">
        <v>45908</v>
      </c>
      <c r="H489" t="s">
        <v>11</v>
      </c>
      <c r="I489" s="2">
        <v>45931</v>
      </c>
      <c r="J489">
        <v>40</v>
      </c>
      <c r="K489" s="3">
        <v>45961</v>
      </c>
      <c r="L489">
        <v>271</v>
      </c>
      <c r="M489" t="s">
        <v>13</v>
      </c>
      <c r="P489" s="38">
        <f t="shared" si="42"/>
        <v>2.67</v>
      </c>
      <c r="S489" t="s">
        <v>918</v>
      </c>
    </row>
    <row r="490" spans="1:19" x14ac:dyDescent="0.35">
      <c r="A490" t="s">
        <v>454</v>
      </c>
      <c r="B490" s="4">
        <v>256779415301</v>
      </c>
      <c r="C490" s="3">
        <v>45937</v>
      </c>
      <c r="D490" s="1">
        <v>0</v>
      </c>
      <c r="E490" s="1">
        <v>6.39</v>
      </c>
      <c r="F490" t="s">
        <v>15</v>
      </c>
      <c r="G490" s="3">
        <v>45908</v>
      </c>
      <c r="H490" t="s">
        <v>11</v>
      </c>
      <c r="I490" s="2">
        <v>45931</v>
      </c>
      <c r="J490">
        <v>42</v>
      </c>
      <c r="K490" s="3">
        <v>45961</v>
      </c>
      <c r="L490">
        <v>271</v>
      </c>
      <c r="M490" t="s">
        <v>13</v>
      </c>
      <c r="P490" s="38">
        <f t="shared" si="42"/>
        <v>6.39</v>
      </c>
      <c r="S490" t="s">
        <v>918</v>
      </c>
    </row>
    <row r="491" spans="1:19" x14ac:dyDescent="0.35">
      <c r="A491" t="s">
        <v>454</v>
      </c>
      <c r="B491" s="4">
        <v>256779415329</v>
      </c>
      <c r="C491" s="3">
        <v>45937</v>
      </c>
      <c r="D491" s="1">
        <v>0</v>
      </c>
      <c r="E491" s="1">
        <v>5.86</v>
      </c>
      <c r="F491" t="s">
        <v>15</v>
      </c>
      <c r="G491" s="3">
        <v>45908</v>
      </c>
      <c r="H491" t="s">
        <v>11</v>
      </c>
      <c r="I491" s="2">
        <v>45931</v>
      </c>
      <c r="J491">
        <v>44</v>
      </c>
      <c r="K491" s="3">
        <v>45961</v>
      </c>
      <c r="L491">
        <v>271</v>
      </c>
      <c r="M491" t="s">
        <v>13</v>
      </c>
      <c r="P491" s="38">
        <f t="shared" si="42"/>
        <v>5.86</v>
      </c>
      <c r="S491" t="s">
        <v>918</v>
      </c>
    </row>
    <row r="492" spans="1:19" x14ac:dyDescent="0.35">
      <c r="A492" t="s">
        <v>454</v>
      </c>
      <c r="B492" s="4">
        <v>256779415367</v>
      </c>
      <c r="C492" s="3">
        <v>45937</v>
      </c>
      <c r="D492" s="1">
        <v>0</v>
      </c>
      <c r="E492" s="1">
        <v>42.62</v>
      </c>
      <c r="F492" t="s">
        <v>15</v>
      </c>
      <c r="G492" s="3">
        <v>45908</v>
      </c>
      <c r="H492" t="s">
        <v>11</v>
      </c>
      <c r="I492" s="2">
        <v>45931</v>
      </c>
      <c r="J492">
        <v>46</v>
      </c>
      <c r="K492" s="3">
        <v>45961</v>
      </c>
      <c r="L492">
        <v>271</v>
      </c>
      <c r="M492" t="s">
        <v>13</v>
      </c>
      <c r="P492" s="38">
        <f t="shared" si="42"/>
        <v>42.62</v>
      </c>
      <c r="S492" t="s">
        <v>918</v>
      </c>
    </row>
    <row r="493" spans="1:19" x14ac:dyDescent="0.35">
      <c r="A493" t="s">
        <v>454</v>
      </c>
      <c r="B493" s="4">
        <v>256779415353</v>
      </c>
      <c r="C493" s="3">
        <v>45937</v>
      </c>
      <c r="D493" s="1">
        <v>0</v>
      </c>
      <c r="E493" s="1">
        <v>42.62</v>
      </c>
      <c r="F493" t="s">
        <v>15</v>
      </c>
      <c r="G493" s="3">
        <v>45908</v>
      </c>
      <c r="H493" t="s">
        <v>11</v>
      </c>
      <c r="I493" s="2">
        <v>45931</v>
      </c>
      <c r="J493">
        <v>48</v>
      </c>
      <c r="K493" s="3">
        <v>45961</v>
      </c>
      <c r="L493">
        <v>271</v>
      </c>
      <c r="M493" t="s">
        <v>13</v>
      </c>
      <c r="P493" s="38">
        <f t="shared" si="42"/>
        <v>42.62</v>
      </c>
      <c r="S493" t="s">
        <v>918</v>
      </c>
    </row>
    <row r="494" spans="1:19" x14ac:dyDescent="0.35">
      <c r="A494" t="s">
        <v>454</v>
      </c>
      <c r="B494" s="4">
        <v>256779415330</v>
      </c>
      <c r="C494" s="3">
        <v>45937</v>
      </c>
      <c r="D494" s="1">
        <v>0</v>
      </c>
      <c r="E494" s="1">
        <v>4.8</v>
      </c>
      <c r="F494" t="s">
        <v>15</v>
      </c>
      <c r="G494" s="3">
        <v>45908</v>
      </c>
      <c r="H494" t="s">
        <v>11</v>
      </c>
      <c r="I494" s="2">
        <v>45931</v>
      </c>
      <c r="J494">
        <v>50</v>
      </c>
      <c r="K494" s="3">
        <v>45961</v>
      </c>
      <c r="L494">
        <v>271</v>
      </c>
      <c r="M494" t="s">
        <v>13</v>
      </c>
      <c r="P494" s="38">
        <f t="shared" si="42"/>
        <v>4.8</v>
      </c>
      <c r="S494" t="s">
        <v>918</v>
      </c>
    </row>
    <row r="495" spans="1:19" x14ac:dyDescent="0.35">
      <c r="A495" t="s">
        <v>454</v>
      </c>
      <c r="B495" s="4">
        <v>256779415354</v>
      </c>
      <c r="C495" s="3">
        <v>45937</v>
      </c>
      <c r="D495" s="1">
        <v>0</v>
      </c>
      <c r="E495" s="1">
        <v>12.79</v>
      </c>
      <c r="F495" t="s">
        <v>15</v>
      </c>
      <c r="G495" s="3">
        <v>45908</v>
      </c>
      <c r="H495" t="s">
        <v>11</v>
      </c>
      <c r="I495" s="2">
        <v>45931</v>
      </c>
      <c r="J495">
        <v>52</v>
      </c>
      <c r="K495" s="3">
        <v>45961</v>
      </c>
      <c r="L495">
        <v>271</v>
      </c>
      <c r="M495" t="s">
        <v>13</v>
      </c>
      <c r="P495" s="38">
        <f t="shared" si="42"/>
        <v>12.79</v>
      </c>
      <c r="S495" t="s">
        <v>918</v>
      </c>
    </row>
    <row r="496" spans="1:19" x14ac:dyDescent="0.35">
      <c r="A496" t="s">
        <v>454</v>
      </c>
      <c r="B496" s="4">
        <v>256779415387</v>
      </c>
      <c r="C496" s="3">
        <v>45937</v>
      </c>
      <c r="D496" s="1">
        <v>0</v>
      </c>
      <c r="E496" s="1">
        <v>-157.24</v>
      </c>
      <c r="F496" t="s">
        <v>15</v>
      </c>
      <c r="G496" s="3">
        <v>45908</v>
      </c>
      <c r="H496" t="s">
        <v>11</v>
      </c>
      <c r="I496" s="2">
        <v>45931</v>
      </c>
      <c r="J496">
        <v>80</v>
      </c>
      <c r="K496" s="3">
        <v>45961</v>
      </c>
      <c r="L496">
        <v>271</v>
      </c>
      <c r="M496" t="s">
        <v>13</v>
      </c>
      <c r="P496" s="38">
        <f t="shared" si="42"/>
        <v>-157.24</v>
      </c>
      <c r="S496" t="s">
        <v>918</v>
      </c>
    </row>
    <row r="497" spans="1:19" x14ac:dyDescent="0.35">
      <c r="A497" t="s">
        <v>454</v>
      </c>
      <c r="B497" s="4">
        <v>256779415313</v>
      </c>
      <c r="C497" s="3">
        <v>45937</v>
      </c>
      <c r="D497" s="1">
        <v>0</v>
      </c>
      <c r="E497" s="1">
        <v>12.79</v>
      </c>
      <c r="F497" t="s">
        <v>15</v>
      </c>
      <c r="G497" s="3">
        <v>45908</v>
      </c>
      <c r="H497" t="s">
        <v>11</v>
      </c>
      <c r="I497" s="2">
        <v>45931</v>
      </c>
      <c r="J497">
        <v>86</v>
      </c>
      <c r="K497" s="3">
        <v>45961</v>
      </c>
      <c r="L497">
        <v>271</v>
      </c>
      <c r="M497" t="s">
        <v>13</v>
      </c>
      <c r="P497" s="38">
        <f t="shared" si="42"/>
        <v>12.79</v>
      </c>
      <c r="S497" t="s">
        <v>918</v>
      </c>
    </row>
    <row r="498" spans="1:19" x14ac:dyDescent="0.35">
      <c r="A498" t="s">
        <v>454</v>
      </c>
      <c r="B498" s="4">
        <v>256779415323</v>
      </c>
      <c r="C498" s="3">
        <v>45937</v>
      </c>
      <c r="D498" s="1">
        <v>0</v>
      </c>
      <c r="E498" s="1">
        <v>45.12</v>
      </c>
      <c r="F498" t="s">
        <v>15</v>
      </c>
      <c r="G498" s="3">
        <v>45908</v>
      </c>
      <c r="H498" t="s">
        <v>11</v>
      </c>
      <c r="I498" s="2">
        <v>45931</v>
      </c>
      <c r="J498">
        <v>88</v>
      </c>
      <c r="K498" s="3">
        <v>45961</v>
      </c>
      <c r="L498">
        <v>271</v>
      </c>
      <c r="M498" t="s">
        <v>13</v>
      </c>
      <c r="P498" s="38">
        <f t="shared" si="42"/>
        <v>45.12</v>
      </c>
      <c r="S498" t="s">
        <v>918</v>
      </c>
    </row>
    <row r="499" spans="1:19" x14ac:dyDescent="0.35">
      <c r="A499" t="s">
        <v>454</v>
      </c>
      <c r="B499" s="4">
        <v>256779415309</v>
      </c>
      <c r="C499" s="3">
        <v>45937</v>
      </c>
      <c r="D499" s="1">
        <v>0</v>
      </c>
      <c r="E499" s="1">
        <v>6.39</v>
      </c>
      <c r="F499" t="s">
        <v>15</v>
      </c>
      <c r="G499" s="3">
        <v>45908</v>
      </c>
      <c r="H499" t="s">
        <v>11</v>
      </c>
      <c r="I499" s="2">
        <v>45931</v>
      </c>
      <c r="J499">
        <v>90</v>
      </c>
      <c r="K499" s="3">
        <v>45961</v>
      </c>
      <c r="L499">
        <v>271</v>
      </c>
      <c r="M499" t="s">
        <v>13</v>
      </c>
      <c r="P499" s="38">
        <f t="shared" si="42"/>
        <v>6.39</v>
      </c>
      <c r="S499" t="s">
        <v>918</v>
      </c>
    </row>
    <row r="500" spans="1:19" x14ac:dyDescent="0.35">
      <c r="A500" t="s">
        <v>454</v>
      </c>
      <c r="B500" s="4">
        <v>256779415302</v>
      </c>
      <c r="C500" s="3">
        <v>45937</v>
      </c>
      <c r="D500" s="1">
        <v>0</v>
      </c>
      <c r="E500" s="1">
        <v>6.39</v>
      </c>
      <c r="F500" t="s">
        <v>15</v>
      </c>
      <c r="G500" s="3">
        <v>45908</v>
      </c>
      <c r="H500" t="s">
        <v>11</v>
      </c>
      <c r="I500" s="2">
        <v>45931</v>
      </c>
      <c r="J500">
        <v>92</v>
      </c>
      <c r="K500" s="3">
        <v>45961</v>
      </c>
      <c r="L500">
        <v>271</v>
      </c>
      <c r="M500" t="s">
        <v>13</v>
      </c>
      <c r="P500" s="38">
        <f t="shared" si="42"/>
        <v>6.39</v>
      </c>
      <c r="S500" t="s">
        <v>918</v>
      </c>
    </row>
    <row r="501" spans="1:19" x14ac:dyDescent="0.35">
      <c r="A501" t="s">
        <v>454</v>
      </c>
      <c r="B501" s="4">
        <v>256779415289</v>
      </c>
      <c r="C501" s="3">
        <v>45937</v>
      </c>
      <c r="D501" s="1">
        <v>0</v>
      </c>
      <c r="E501" s="1">
        <v>53.27</v>
      </c>
      <c r="F501" t="s">
        <v>15</v>
      </c>
      <c r="G501" s="3">
        <v>45908</v>
      </c>
      <c r="H501" t="s">
        <v>11</v>
      </c>
      <c r="I501" s="2">
        <v>45931</v>
      </c>
      <c r="J501">
        <v>94</v>
      </c>
      <c r="K501" s="3">
        <v>45961</v>
      </c>
      <c r="L501">
        <v>271</v>
      </c>
      <c r="M501" t="s">
        <v>13</v>
      </c>
      <c r="P501" s="38">
        <f t="shared" si="42"/>
        <v>53.27</v>
      </c>
      <c r="S501" t="s">
        <v>918</v>
      </c>
    </row>
    <row r="502" spans="1:19" x14ac:dyDescent="0.35">
      <c r="A502" t="s">
        <v>454</v>
      </c>
      <c r="B502" s="4">
        <v>256779415325</v>
      </c>
      <c r="C502" s="3">
        <v>45937</v>
      </c>
      <c r="D502" s="1">
        <v>0</v>
      </c>
      <c r="E502" s="1">
        <v>40.92</v>
      </c>
      <c r="F502" t="s">
        <v>15</v>
      </c>
      <c r="G502" s="3">
        <v>45908</v>
      </c>
      <c r="H502" t="s">
        <v>11</v>
      </c>
      <c r="I502" s="2">
        <v>45931</v>
      </c>
      <c r="J502">
        <v>96</v>
      </c>
      <c r="K502" s="3">
        <v>45961</v>
      </c>
      <c r="L502">
        <v>271</v>
      </c>
      <c r="M502" t="s">
        <v>13</v>
      </c>
      <c r="P502" s="38">
        <f t="shared" si="42"/>
        <v>40.92</v>
      </c>
      <c r="S502" t="s">
        <v>918</v>
      </c>
    </row>
    <row r="503" spans="1:19" x14ac:dyDescent="0.35">
      <c r="A503" t="s">
        <v>454</v>
      </c>
      <c r="B503" s="4">
        <v>256779415331</v>
      </c>
      <c r="C503" s="3">
        <v>45937</v>
      </c>
      <c r="D503" s="1">
        <v>0</v>
      </c>
      <c r="E503" s="1">
        <v>4.8</v>
      </c>
      <c r="F503" t="s">
        <v>15</v>
      </c>
      <c r="G503" s="3">
        <v>45908</v>
      </c>
      <c r="H503" t="s">
        <v>11</v>
      </c>
      <c r="I503" s="2">
        <v>45931</v>
      </c>
      <c r="J503">
        <v>98</v>
      </c>
      <c r="K503" s="3">
        <v>45961</v>
      </c>
      <c r="L503">
        <v>271</v>
      </c>
      <c r="M503" t="s">
        <v>13</v>
      </c>
      <c r="P503" s="38">
        <f t="shared" si="42"/>
        <v>4.8</v>
      </c>
      <c r="S503" t="s">
        <v>918</v>
      </c>
    </row>
    <row r="504" spans="1:19" x14ac:dyDescent="0.35">
      <c r="A504" t="s">
        <v>454</v>
      </c>
      <c r="B504" s="4">
        <v>256779415290</v>
      </c>
      <c r="C504" s="3">
        <v>45937</v>
      </c>
      <c r="D504" s="1">
        <v>0</v>
      </c>
      <c r="E504" s="1">
        <v>5.1100000000000003</v>
      </c>
      <c r="F504" t="s">
        <v>15</v>
      </c>
      <c r="G504" s="3">
        <v>45908</v>
      </c>
      <c r="H504" t="s">
        <v>11</v>
      </c>
      <c r="I504" s="2">
        <v>45931</v>
      </c>
      <c r="J504">
        <v>100</v>
      </c>
      <c r="K504" s="3">
        <v>45961</v>
      </c>
      <c r="L504">
        <v>271</v>
      </c>
      <c r="M504" t="s">
        <v>13</v>
      </c>
      <c r="P504" s="38">
        <f t="shared" si="42"/>
        <v>5.1100000000000003</v>
      </c>
      <c r="S504" t="s">
        <v>918</v>
      </c>
    </row>
    <row r="505" spans="1:19" x14ac:dyDescent="0.35">
      <c r="A505" t="s">
        <v>454</v>
      </c>
      <c r="B505" s="4">
        <v>256779415319</v>
      </c>
      <c r="C505" s="3">
        <v>45937</v>
      </c>
      <c r="D505" s="1">
        <v>-140.16999999999999</v>
      </c>
      <c r="E505" s="1">
        <v>-12400.84</v>
      </c>
      <c r="G505" s="3">
        <v>45908</v>
      </c>
      <c r="H505" t="s">
        <v>11</v>
      </c>
      <c r="I505" s="2">
        <v>45962</v>
      </c>
      <c r="J505">
        <v>1</v>
      </c>
      <c r="K505" s="3">
        <v>45975</v>
      </c>
      <c r="L505">
        <v>210</v>
      </c>
      <c r="M505" t="s">
        <v>13</v>
      </c>
      <c r="N505" s="79">
        <f>O505/E505</f>
        <v>-1.9976066137455204E-2</v>
      </c>
      <c r="O505">
        <f>VLOOKUP(B505,'Customer TDS'!A:D,4,0)</f>
        <v>247.72</v>
      </c>
      <c r="P505" s="38">
        <f t="shared" si="42"/>
        <v>-12153.12</v>
      </c>
      <c r="Q505">
        <f>VLOOKUP(B505,Ascendus!E:I,5,0)</f>
        <v>12054.71</v>
      </c>
      <c r="R505" s="38">
        <f>E505+Q505</f>
        <v>-346.13000000000102</v>
      </c>
      <c r="S505" t="s">
        <v>915</v>
      </c>
    </row>
    <row r="506" spans="1:19" x14ac:dyDescent="0.35">
      <c r="A506" t="s">
        <v>454</v>
      </c>
      <c r="B506" s="4">
        <v>256779415303</v>
      </c>
      <c r="C506" s="3">
        <v>45937</v>
      </c>
      <c r="D506" s="1">
        <v>0</v>
      </c>
      <c r="E506" s="1">
        <v>-88.42</v>
      </c>
      <c r="F506" t="s">
        <v>15</v>
      </c>
      <c r="G506" s="3">
        <v>45908</v>
      </c>
      <c r="H506" t="s">
        <v>11</v>
      </c>
      <c r="I506" s="2">
        <v>45962</v>
      </c>
      <c r="J506">
        <v>4</v>
      </c>
      <c r="K506" s="3">
        <v>45991</v>
      </c>
      <c r="L506">
        <v>271</v>
      </c>
      <c r="M506" t="s">
        <v>13</v>
      </c>
      <c r="P506" s="38">
        <f t="shared" si="42"/>
        <v>-88.42</v>
      </c>
      <c r="S506" t="s">
        <v>918</v>
      </c>
    </row>
    <row r="507" spans="1:19" x14ac:dyDescent="0.35">
      <c r="A507" t="s">
        <v>454</v>
      </c>
      <c r="B507" s="4">
        <v>256779415304</v>
      </c>
      <c r="C507" s="3">
        <v>45937</v>
      </c>
      <c r="D507" s="1">
        <v>0</v>
      </c>
      <c r="E507" s="1">
        <v>-26.52</v>
      </c>
      <c r="F507" t="s">
        <v>15</v>
      </c>
      <c r="G507" s="3">
        <v>45908</v>
      </c>
      <c r="H507" t="s">
        <v>11</v>
      </c>
      <c r="I507" s="2">
        <v>45962</v>
      </c>
      <c r="J507">
        <v>6</v>
      </c>
      <c r="K507" s="3">
        <v>45991</v>
      </c>
      <c r="L507">
        <v>271</v>
      </c>
      <c r="M507" t="s">
        <v>13</v>
      </c>
      <c r="P507" s="38">
        <f t="shared" si="42"/>
        <v>-26.52</v>
      </c>
      <c r="S507" t="s">
        <v>918</v>
      </c>
    </row>
    <row r="508" spans="1:19" x14ac:dyDescent="0.35">
      <c r="A508" t="s">
        <v>454</v>
      </c>
      <c r="B508" s="4">
        <v>256779415385</v>
      </c>
      <c r="C508" s="3">
        <v>45937</v>
      </c>
      <c r="D508" s="1">
        <v>0</v>
      </c>
      <c r="E508" s="1">
        <v>-0.32</v>
      </c>
      <c r="F508" t="s">
        <v>15</v>
      </c>
      <c r="G508" s="3">
        <v>45908</v>
      </c>
      <c r="H508" t="s">
        <v>11</v>
      </c>
      <c r="I508" s="2">
        <v>45962</v>
      </c>
      <c r="J508">
        <v>8</v>
      </c>
      <c r="K508" s="3">
        <v>45991</v>
      </c>
      <c r="L508">
        <v>271</v>
      </c>
      <c r="M508" t="s">
        <v>13</v>
      </c>
      <c r="P508" s="38">
        <f t="shared" si="42"/>
        <v>-0.32</v>
      </c>
      <c r="S508" t="s">
        <v>918</v>
      </c>
    </row>
    <row r="509" spans="1:19" x14ac:dyDescent="0.35">
      <c r="A509" t="s">
        <v>454</v>
      </c>
      <c r="B509" s="4">
        <v>256779415293</v>
      </c>
      <c r="C509" s="3">
        <v>45937</v>
      </c>
      <c r="D509" s="1">
        <v>0</v>
      </c>
      <c r="E509" s="1">
        <v>-0.32</v>
      </c>
      <c r="F509" t="s">
        <v>15</v>
      </c>
      <c r="G509" s="3">
        <v>45908</v>
      </c>
      <c r="H509" t="s">
        <v>11</v>
      </c>
      <c r="I509" s="2">
        <v>45962</v>
      </c>
      <c r="J509">
        <v>10</v>
      </c>
      <c r="K509" s="3">
        <v>45991</v>
      </c>
      <c r="L509">
        <v>271</v>
      </c>
      <c r="M509" t="s">
        <v>13</v>
      </c>
      <c r="P509" s="38">
        <f t="shared" si="42"/>
        <v>-0.32</v>
      </c>
      <c r="S509" t="s">
        <v>918</v>
      </c>
    </row>
    <row r="510" spans="1:19" x14ac:dyDescent="0.35">
      <c r="A510" t="s">
        <v>454</v>
      </c>
      <c r="B510" s="4">
        <v>256779415374</v>
      </c>
      <c r="C510" s="3">
        <v>45937</v>
      </c>
      <c r="D510" s="1">
        <v>0</v>
      </c>
      <c r="E510" s="1">
        <v>-6.43</v>
      </c>
      <c r="F510" t="s">
        <v>15</v>
      </c>
      <c r="G510" s="3">
        <v>45908</v>
      </c>
      <c r="H510" t="s">
        <v>11</v>
      </c>
      <c r="I510" s="2">
        <v>45962</v>
      </c>
      <c r="J510">
        <v>12</v>
      </c>
      <c r="K510" s="3">
        <v>45991</v>
      </c>
      <c r="L510">
        <v>271</v>
      </c>
      <c r="M510" t="s">
        <v>13</v>
      </c>
      <c r="P510" s="38">
        <f t="shared" si="42"/>
        <v>-6.43</v>
      </c>
      <c r="S510" t="s">
        <v>918</v>
      </c>
    </row>
    <row r="511" spans="1:19" x14ac:dyDescent="0.35">
      <c r="A511" t="s">
        <v>454</v>
      </c>
      <c r="B511" s="4">
        <v>256779415339</v>
      </c>
      <c r="C511" s="3">
        <v>45937</v>
      </c>
      <c r="D511" s="1">
        <v>0</v>
      </c>
      <c r="E511" s="1">
        <v>-24.21</v>
      </c>
      <c r="F511" t="s">
        <v>15</v>
      </c>
      <c r="G511" s="3">
        <v>45908</v>
      </c>
      <c r="H511" t="s">
        <v>11</v>
      </c>
      <c r="I511" s="2">
        <v>45962</v>
      </c>
      <c r="J511">
        <v>14</v>
      </c>
      <c r="K511" s="3">
        <v>45991</v>
      </c>
      <c r="L511">
        <v>271</v>
      </c>
      <c r="M511" t="s">
        <v>13</v>
      </c>
      <c r="P511" s="38">
        <f t="shared" si="42"/>
        <v>-24.21</v>
      </c>
      <c r="S511" t="s">
        <v>918</v>
      </c>
    </row>
    <row r="512" spans="1:19" x14ac:dyDescent="0.35">
      <c r="A512" t="s">
        <v>454</v>
      </c>
      <c r="B512" s="4">
        <v>256779415308</v>
      </c>
      <c r="C512" s="3">
        <v>45937</v>
      </c>
      <c r="D512" s="1">
        <v>0</v>
      </c>
      <c r="E512" s="1">
        <v>-26.52</v>
      </c>
      <c r="F512" t="s">
        <v>15</v>
      </c>
      <c r="G512" s="3">
        <v>45908</v>
      </c>
      <c r="H512" t="s">
        <v>11</v>
      </c>
      <c r="I512" s="2">
        <v>45962</v>
      </c>
      <c r="J512">
        <v>18</v>
      </c>
      <c r="K512" s="3">
        <v>45991</v>
      </c>
      <c r="L512">
        <v>271</v>
      </c>
      <c r="M512" t="s">
        <v>13</v>
      </c>
      <c r="P512" s="38">
        <f t="shared" si="42"/>
        <v>-26.52</v>
      </c>
      <c r="S512" t="s">
        <v>918</v>
      </c>
    </row>
    <row r="513" spans="1:19" x14ac:dyDescent="0.35">
      <c r="A513" t="s">
        <v>454</v>
      </c>
      <c r="B513" s="4">
        <v>256779415305</v>
      </c>
      <c r="C513" s="3">
        <v>45937</v>
      </c>
      <c r="D513" s="1">
        <v>0</v>
      </c>
      <c r="E513" s="1">
        <v>-26.52</v>
      </c>
      <c r="F513" t="s">
        <v>15</v>
      </c>
      <c r="G513" s="3">
        <v>45908</v>
      </c>
      <c r="H513" t="s">
        <v>11</v>
      </c>
      <c r="I513" s="2">
        <v>45962</v>
      </c>
      <c r="J513">
        <v>20</v>
      </c>
      <c r="K513" s="3">
        <v>45991</v>
      </c>
      <c r="L513">
        <v>271</v>
      </c>
      <c r="M513" t="s">
        <v>13</v>
      </c>
      <c r="P513" s="38">
        <f t="shared" si="42"/>
        <v>-26.52</v>
      </c>
      <c r="S513" t="s">
        <v>918</v>
      </c>
    </row>
    <row r="514" spans="1:19" x14ac:dyDescent="0.35">
      <c r="A514" t="s">
        <v>454</v>
      </c>
      <c r="B514" s="4">
        <v>256779415306</v>
      </c>
      <c r="C514" s="3">
        <v>45937</v>
      </c>
      <c r="D514" s="1">
        <v>0</v>
      </c>
      <c r="E514" s="1">
        <v>-26.52</v>
      </c>
      <c r="F514" t="s">
        <v>15</v>
      </c>
      <c r="G514" s="3">
        <v>45908</v>
      </c>
      <c r="H514" t="s">
        <v>11</v>
      </c>
      <c r="I514" s="2">
        <v>45962</v>
      </c>
      <c r="J514">
        <v>22</v>
      </c>
      <c r="K514" s="3">
        <v>45991</v>
      </c>
      <c r="L514">
        <v>271</v>
      </c>
      <c r="M514" t="s">
        <v>13</v>
      </c>
      <c r="P514" s="38">
        <f t="shared" si="42"/>
        <v>-26.52</v>
      </c>
      <c r="S514" t="s">
        <v>918</v>
      </c>
    </row>
    <row r="515" spans="1:19" x14ac:dyDescent="0.35">
      <c r="A515" t="s">
        <v>454</v>
      </c>
      <c r="B515" s="4">
        <v>256779415307</v>
      </c>
      <c r="C515" s="3">
        <v>45937</v>
      </c>
      <c r="D515" s="1">
        <v>0</v>
      </c>
      <c r="E515" s="1">
        <v>-26.52</v>
      </c>
      <c r="F515" t="s">
        <v>15</v>
      </c>
      <c r="G515" s="3">
        <v>45908</v>
      </c>
      <c r="H515" t="s">
        <v>11</v>
      </c>
      <c r="I515" s="2">
        <v>45962</v>
      </c>
      <c r="J515">
        <v>24</v>
      </c>
      <c r="K515" s="3">
        <v>45991</v>
      </c>
      <c r="L515">
        <v>271</v>
      </c>
      <c r="M515" t="s">
        <v>13</v>
      </c>
      <c r="P515" s="38">
        <f t="shared" si="42"/>
        <v>-26.52</v>
      </c>
      <c r="S515" t="s">
        <v>918</v>
      </c>
    </row>
    <row r="516" spans="1:19" x14ac:dyDescent="0.35">
      <c r="A516" t="s">
        <v>454</v>
      </c>
      <c r="B516" s="4">
        <v>256779415291</v>
      </c>
      <c r="C516" s="3">
        <v>45937</v>
      </c>
      <c r="D516" s="1">
        <v>0</v>
      </c>
      <c r="E516" s="1">
        <v>-0.32</v>
      </c>
      <c r="F516" t="s">
        <v>15</v>
      </c>
      <c r="G516" s="3">
        <v>45908</v>
      </c>
      <c r="H516" t="s">
        <v>11</v>
      </c>
      <c r="I516" s="2">
        <v>45962</v>
      </c>
      <c r="J516">
        <v>26</v>
      </c>
      <c r="K516" s="3">
        <v>45991</v>
      </c>
      <c r="L516">
        <v>271</v>
      </c>
      <c r="M516" t="s">
        <v>13</v>
      </c>
      <c r="P516" s="38">
        <f t="shared" ref="P516:P579" si="43">E516+O516</f>
        <v>-0.32</v>
      </c>
      <c r="S516" t="s">
        <v>918</v>
      </c>
    </row>
    <row r="517" spans="1:19" x14ac:dyDescent="0.35">
      <c r="A517" t="s">
        <v>454</v>
      </c>
      <c r="B517" s="4">
        <v>256779415319</v>
      </c>
      <c r="C517" s="3">
        <v>45937</v>
      </c>
      <c r="D517" s="1">
        <v>0</v>
      </c>
      <c r="E517" s="1">
        <v>-94.07</v>
      </c>
      <c r="F517" t="s">
        <v>15</v>
      </c>
      <c r="G517" s="3">
        <v>45908</v>
      </c>
      <c r="H517" t="s">
        <v>11</v>
      </c>
      <c r="I517" s="2">
        <v>45962</v>
      </c>
      <c r="J517">
        <v>48</v>
      </c>
      <c r="K517" s="3">
        <v>45991</v>
      </c>
      <c r="L517">
        <v>271</v>
      </c>
      <c r="M517" t="s">
        <v>13</v>
      </c>
      <c r="P517" s="38">
        <f t="shared" si="43"/>
        <v>-94.07</v>
      </c>
      <c r="S517" t="s">
        <v>918</v>
      </c>
    </row>
    <row r="518" spans="1:19" x14ac:dyDescent="0.35">
      <c r="A518" t="s">
        <v>454</v>
      </c>
      <c r="B518" s="4">
        <v>256779415332</v>
      </c>
      <c r="C518" s="3">
        <v>45937</v>
      </c>
      <c r="D518" s="1">
        <v>-2.5</v>
      </c>
      <c r="E518" s="1">
        <v>-221.18</v>
      </c>
      <c r="G518" s="3">
        <v>45908</v>
      </c>
      <c r="H518" t="s">
        <v>11</v>
      </c>
      <c r="I518" s="2">
        <v>45992</v>
      </c>
      <c r="J518">
        <v>1</v>
      </c>
      <c r="K518" s="3">
        <v>46022</v>
      </c>
      <c r="L518">
        <v>210</v>
      </c>
      <c r="M518" t="s">
        <v>13</v>
      </c>
      <c r="N518" s="79">
        <f>O518/E518</f>
        <v>-1.9983723663984085E-2</v>
      </c>
      <c r="O518">
        <f>VLOOKUP(B518,'Customer TDS'!A:D,4,0)</f>
        <v>4.42</v>
      </c>
      <c r="P518" s="38">
        <f t="shared" si="43"/>
        <v>-216.76000000000002</v>
      </c>
      <c r="Q518">
        <f>VLOOKUP(B518,Ascendus!E:I,5,0)</f>
        <v>215</v>
      </c>
      <c r="R518" s="38">
        <f t="shared" ref="R518:R519" si="44">E518+Q518</f>
        <v>-6.1800000000000068</v>
      </c>
      <c r="S518" t="s">
        <v>915</v>
      </c>
    </row>
    <row r="519" spans="1:19" x14ac:dyDescent="0.35">
      <c r="A519" t="s">
        <v>454</v>
      </c>
      <c r="B519" s="4">
        <v>256779415328</v>
      </c>
      <c r="C519" s="3">
        <v>45937</v>
      </c>
      <c r="D519" s="1">
        <v>-22.5</v>
      </c>
      <c r="E519" s="1">
        <v>-1990.58</v>
      </c>
      <c r="G519" s="3">
        <v>45908</v>
      </c>
      <c r="H519" t="s">
        <v>11</v>
      </c>
      <c r="I519" s="2">
        <v>45992</v>
      </c>
      <c r="J519">
        <v>1</v>
      </c>
      <c r="K519" s="3">
        <v>46022</v>
      </c>
      <c r="L519">
        <v>210</v>
      </c>
      <c r="M519" t="s">
        <v>13</v>
      </c>
      <c r="N519" s="79">
        <f>O519/E519</f>
        <v>-1.9999196214168735E-2</v>
      </c>
      <c r="O519">
        <f>VLOOKUP(B519,'Customer TDS'!A:D,4,0)</f>
        <v>39.81</v>
      </c>
      <c r="P519" s="38">
        <f t="shared" si="43"/>
        <v>-1950.77</v>
      </c>
      <c r="Q519">
        <f>VLOOKUP(B519,Ascendus!E:I,5,0)</f>
        <v>1935.02</v>
      </c>
      <c r="R519" s="38">
        <f t="shared" si="44"/>
        <v>-55.559999999999945</v>
      </c>
      <c r="S519" t="s">
        <v>915</v>
      </c>
    </row>
    <row r="520" spans="1:19" x14ac:dyDescent="0.35">
      <c r="A520" t="s">
        <v>454</v>
      </c>
      <c r="B520" s="4">
        <v>256779415303</v>
      </c>
      <c r="C520" s="3">
        <v>45937</v>
      </c>
      <c r="D520" s="1">
        <v>0</v>
      </c>
      <c r="E520" s="1">
        <v>-72.12</v>
      </c>
      <c r="F520" t="s">
        <v>15</v>
      </c>
      <c r="G520" s="3">
        <v>45908</v>
      </c>
      <c r="H520" t="s">
        <v>11</v>
      </c>
      <c r="I520" s="2">
        <v>45992</v>
      </c>
      <c r="J520">
        <v>4</v>
      </c>
      <c r="K520" s="3">
        <v>46022</v>
      </c>
      <c r="L520">
        <v>271</v>
      </c>
      <c r="M520" t="s">
        <v>13</v>
      </c>
      <c r="P520" s="38">
        <f t="shared" si="43"/>
        <v>-72.12</v>
      </c>
      <c r="S520" t="s">
        <v>918</v>
      </c>
    </row>
    <row r="521" spans="1:19" x14ac:dyDescent="0.35">
      <c r="A521" t="s">
        <v>454</v>
      </c>
      <c r="B521" s="4">
        <v>256779415304</v>
      </c>
      <c r="C521" s="3">
        <v>45937</v>
      </c>
      <c r="D521" s="1">
        <v>0</v>
      </c>
      <c r="E521" s="1">
        <v>-21.64</v>
      </c>
      <c r="F521" t="s">
        <v>15</v>
      </c>
      <c r="G521" s="3">
        <v>45908</v>
      </c>
      <c r="H521" t="s">
        <v>11</v>
      </c>
      <c r="I521" s="2">
        <v>45992</v>
      </c>
      <c r="J521">
        <v>6</v>
      </c>
      <c r="K521" s="3">
        <v>46022</v>
      </c>
      <c r="L521">
        <v>271</v>
      </c>
      <c r="M521" t="s">
        <v>13</v>
      </c>
      <c r="P521" s="38">
        <f t="shared" si="43"/>
        <v>-21.64</v>
      </c>
      <c r="S521" t="s">
        <v>918</v>
      </c>
    </row>
    <row r="522" spans="1:19" x14ac:dyDescent="0.35">
      <c r="A522" t="s">
        <v>454</v>
      </c>
      <c r="B522" s="4">
        <v>256779415385</v>
      </c>
      <c r="C522" s="3">
        <v>45937</v>
      </c>
      <c r="D522" s="1">
        <v>0</v>
      </c>
      <c r="E522" s="1">
        <v>-0.36</v>
      </c>
      <c r="F522" t="s">
        <v>15</v>
      </c>
      <c r="G522" s="3">
        <v>45908</v>
      </c>
      <c r="H522" t="s">
        <v>11</v>
      </c>
      <c r="I522" s="2">
        <v>45992</v>
      </c>
      <c r="J522">
        <v>8</v>
      </c>
      <c r="K522" s="3">
        <v>46022</v>
      </c>
      <c r="L522">
        <v>271</v>
      </c>
      <c r="M522" t="s">
        <v>13</v>
      </c>
      <c r="P522" s="38">
        <f t="shared" si="43"/>
        <v>-0.36</v>
      </c>
      <c r="S522" t="s">
        <v>918</v>
      </c>
    </row>
    <row r="523" spans="1:19" x14ac:dyDescent="0.35">
      <c r="A523" t="s">
        <v>454</v>
      </c>
      <c r="B523" s="4">
        <v>256779415293</v>
      </c>
      <c r="C523" s="3">
        <v>45937</v>
      </c>
      <c r="D523" s="1">
        <v>0</v>
      </c>
      <c r="E523" s="1">
        <v>-0.36</v>
      </c>
      <c r="F523" t="s">
        <v>15</v>
      </c>
      <c r="G523" s="3">
        <v>45908</v>
      </c>
      <c r="H523" t="s">
        <v>11</v>
      </c>
      <c r="I523" s="2">
        <v>45992</v>
      </c>
      <c r="J523">
        <v>10</v>
      </c>
      <c r="K523" s="3">
        <v>46022</v>
      </c>
      <c r="L523">
        <v>271</v>
      </c>
      <c r="M523" t="s">
        <v>13</v>
      </c>
      <c r="P523" s="38">
        <f t="shared" si="43"/>
        <v>-0.36</v>
      </c>
      <c r="S523" t="s">
        <v>918</v>
      </c>
    </row>
    <row r="524" spans="1:19" x14ac:dyDescent="0.35">
      <c r="A524" t="s">
        <v>454</v>
      </c>
      <c r="B524" s="4">
        <v>256779415374</v>
      </c>
      <c r="C524" s="3">
        <v>45937</v>
      </c>
      <c r="D524" s="1">
        <v>0</v>
      </c>
      <c r="E524" s="1">
        <v>-6.91</v>
      </c>
      <c r="F524" t="s">
        <v>15</v>
      </c>
      <c r="G524" s="3">
        <v>45908</v>
      </c>
      <c r="H524" t="s">
        <v>11</v>
      </c>
      <c r="I524" s="2">
        <v>45992</v>
      </c>
      <c r="J524">
        <v>12</v>
      </c>
      <c r="K524" s="3">
        <v>46022</v>
      </c>
      <c r="L524">
        <v>271</v>
      </c>
      <c r="M524" t="s">
        <v>13</v>
      </c>
      <c r="P524" s="38">
        <f t="shared" si="43"/>
        <v>-6.91</v>
      </c>
      <c r="S524" t="s">
        <v>918</v>
      </c>
    </row>
    <row r="525" spans="1:19" x14ac:dyDescent="0.35">
      <c r="A525" t="s">
        <v>454</v>
      </c>
      <c r="B525" s="4">
        <v>256779415339</v>
      </c>
      <c r="C525" s="3">
        <v>45937</v>
      </c>
      <c r="D525" s="1">
        <v>0</v>
      </c>
      <c r="E525" s="1">
        <v>-19.760000000000002</v>
      </c>
      <c r="F525" t="s">
        <v>15</v>
      </c>
      <c r="G525" s="3">
        <v>45908</v>
      </c>
      <c r="H525" t="s">
        <v>11</v>
      </c>
      <c r="I525" s="2">
        <v>45992</v>
      </c>
      <c r="J525">
        <v>14</v>
      </c>
      <c r="K525" s="3">
        <v>46022</v>
      </c>
      <c r="L525">
        <v>271</v>
      </c>
      <c r="M525" t="s">
        <v>13</v>
      </c>
      <c r="P525" s="38">
        <f t="shared" si="43"/>
        <v>-19.760000000000002</v>
      </c>
      <c r="S525" t="s">
        <v>918</v>
      </c>
    </row>
    <row r="526" spans="1:19" x14ac:dyDescent="0.35">
      <c r="A526" t="s">
        <v>454</v>
      </c>
      <c r="B526" s="4">
        <v>256779415308</v>
      </c>
      <c r="C526" s="3">
        <v>45937</v>
      </c>
      <c r="D526" s="1">
        <v>0</v>
      </c>
      <c r="E526" s="1">
        <v>-21.64</v>
      </c>
      <c r="F526" t="s">
        <v>15</v>
      </c>
      <c r="G526" s="3">
        <v>45908</v>
      </c>
      <c r="H526" t="s">
        <v>11</v>
      </c>
      <c r="I526" s="2">
        <v>45992</v>
      </c>
      <c r="J526">
        <v>18</v>
      </c>
      <c r="K526" s="3">
        <v>46022</v>
      </c>
      <c r="L526">
        <v>271</v>
      </c>
      <c r="M526" t="s">
        <v>13</v>
      </c>
      <c r="P526" s="38">
        <f t="shared" si="43"/>
        <v>-21.64</v>
      </c>
      <c r="S526" t="s">
        <v>918</v>
      </c>
    </row>
    <row r="527" spans="1:19" x14ac:dyDescent="0.35">
      <c r="A527" t="s">
        <v>454</v>
      </c>
      <c r="B527" s="4">
        <v>256779415305</v>
      </c>
      <c r="C527" s="3">
        <v>45937</v>
      </c>
      <c r="D527" s="1">
        <v>0</v>
      </c>
      <c r="E527" s="1">
        <v>-21.64</v>
      </c>
      <c r="F527" t="s">
        <v>15</v>
      </c>
      <c r="G527" s="3">
        <v>45908</v>
      </c>
      <c r="H527" t="s">
        <v>11</v>
      </c>
      <c r="I527" s="2">
        <v>45992</v>
      </c>
      <c r="J527">
        <v>20</v>
      </c>
      <c r="K527" s="3">
        <v>46022</v>
      </c>
      <c r="L527">
        <v>271</v>
      </c>
      <c r="M527" t="s">
        <v>13</v>
      </c>
      <c r="P527" s="38">
        <f t="shared" si="43"/>
        <v>-21.64</v>
      </c>
      <c r="S527" t="s">
        <v>918</v>
      </c>
    </row>
    <row r="528" spans="1:19" x14ac:dyDescent="0.35">
      <c r="A528" t="s">
        <v>454</v>
      </c>
      <c r="B528" s="4">
        <v>256779415306</v>
      </c>
      <c r="C528" s="3">
        <v>45937</v>
      </c>
      <c r="D528" s="1">
        <v>0</v>
      </c>
      <c r="E528" s="1">
        <v>-21.64</v>
      </c>
      <c r="F528" t="s">
        <v>15</v>
      </c>
      <c r="G528" s="3">
        <v>45908</v>
      </c>
      <c r="H528" t="s">
        <v>11</v>
      </c>
      <c r="I528" s="2">
        <v>45992</v>
      </c>
      <c r="J528">
        <v>22</v>
      </c>
      <c r="K528" s="3">
        <v>46022</v>
      </c>
      <c r="L528">
        <v>271</v>
      </c>
      <c r="M528" t="s">
        <v>13</v>
      </c>
      <c r="P528" s="38">
        <f t="shared" si="43"/>
        <v>-21.64</v>
      </c>
      <c r="S528" t="s">
        <v>918</v>
      </c>
    </row>
    <row r="529" spans="1:19" x14ac:dyDescent="0.35">
      <c r="A529" t="s">
        <v>454</v>
      </c>
      <c r="B529" s="4">
        <v>256779415307</v>
      </c>
      <c r="C529" s="3">
        <v>45937</v>
      </c>
      <c r="D529" s="1">
        <v>0</v>
      </c>
      <c r="E529" s="1">
        <v>-21.64</v>
      </c>
      <c r="F529" t="s">
        <v>15</v>
      </c>
      <c r="G529" s="3">
        <v>45908</v>
      </c>
      <c r="H529" t="s">
        <v>11</v>
      </c>
      <c r="I529" s="2">
        <v>45992</v>
      </c>
      <c r="J529">
        <v>24</v>
      </c>
      <c r="K529" s="3">
        <v>46022</v>
      </c>
      <c r="L529">
        <v>271</v>
      </c>
      <c r="M529" t="s">
        <v>13</v>
      </c>
      <c r="P529" s="38">
        <f t="shared" si="43"/>
        <v>-21.64</v>
      </c>
      <c r="S529" t="s">
        <v>918</v>
      </c>
    </row>
    <row r="530" spans="1:19" x14ac:dyDescent="0.35">
      <c r="A530" t="s">
        <v>454</v>
      </c>
      <c r="B530" s="4">
        <v>256779415291</v>
      </c>
      <c r="C530" s="3">
        <v>45937</v>
      </c>
      <c r="D530" s="1">
        <v>0</v>
      </c>
      <c r="E530" s="1">
        <v>-0.36</v>
      </c>
      <c r="F530" t="s">
        <v>15</v>
      </c>
      <c r="G530" s="3">
        <v>45908</v>
      </c>
      <c r="H530" t="s">
        <v>11</v>
      </c>
      <c r="I530" s="2">
        <v>45992</v>
      </c>
      <c r="J530">
        <v>26</v>
      </c>
      <c r="K530" s="3">
        <v>46022</v>
      </c>
      <c r="L530">
        <v>271</v>
      </c>
      <c r="M530" t="s">
        <v>13</v>
      </c>
      <c r="P530" s="38">
        <f t="shared" si="43"/>
        <v>-0.36</v>
      </c>
      <c r="S530" t="s">
        <v>918</v>
      </c>
    </row>
    <row r="531" spans="1:19" x14ac:dyDescent="0.35">
      <c r="A531" t="s">
        <v>454</v>
      </c>
      <c r="B531" s="4">
        <v>256779415332</v>
      </c>
      <c r="C531" s="3">
        <v>45937</v>
      </c>
      <c r="D531" s="1">
        <v>0</v>
      </c>
      <c r="E531" s="1">
        <v>-3.47</v>
      </c>
      <c r="F531" t="s">
        <v>15</v>
      </c>
      <c r="G531" s="3">
        <v>45908</v>
      </c>
      <c r="H531" t="s">
        <v>11</v>
      </c>
      <c r="I531" s="2">
        <v>45992</v>
      </c>
      <c r="J531">
        <v>78</v>
      </c>
      <c r="K531" s="3">
        <v>46022</v>
      </c>
      <c r="L531">
        <v>271</v>
      </c>
      <c r="M531" t="s">
        <v>13</v>
      </c>
      <c r="P531" s="38">
        <f t="shared" si="43"/>
        <v>-3.47</v>
      </c>
      <c r="S531" t="s">
        <v>918</v>
      </c>
    </row>
    <row r="532" spans="1:19" x14ac:dyDescent="0.35">
      <c r="A532" t="s">
        <v>454</v>
      </c>
      <c r="B532" s="4">
        <v>256779415328</v>
      </c>
      <c r="C532" s="3">
        <v>45937</v>
      </c>
      <c r="D532" s="1">
        <v>0</v>
      </c>
      <c r="E532" s="1">
        <v>-31.32</v>
      </c>
      <c r="F532" t="s">
        <v>15</v>
      </c>
      <c r="G532" s="3">
        <v>45908</v>
      </c>
      <c r="H532" t="s">
        <v>11</v>
      </c>
      <c r="I532" s="2">
        <v>45992</v>
      </c>
      <c r="J532">
        <v>80</v>
      </c>
      <c r="K532" s="3">
        <v>46022</v>
      </c>
      <c r="L532">
        <v>271</v>
      </c>
      <c r="M532" t="s">
        <v>13</v>
      </c>
      <c r="P532" s="38">
        <f t="shared" si="43"/>
        <v>-31.32</v>
      </c>
      <c r="S532" t="s">
        <v>918</v>
      </c>
    </row>
    <row r="533" spans="1:19" x14ac:dyDescent="0.35">
      <c r="A533" t="s">
        <v>454</v>
      </c>
      <c r="B533" s="4">
        <v>256779415321</v>
      </c>
      <c r="C533" s="3">
        <v>45937</v>
      </c>
      <c r="D533" s="1">
        <v>-212.5</v>
      </c>
      <c r="E533" s="1">
        <v>-18799.88</v>
      </c>
      <c r="G533" s="3">
        <v>45908</v>
      </c>
      <c r="H533" t="s">
        <v>11</v>
      </c>
      <c r="I533" s="2">
        <v>46023</v>
      </c>
      <c r="J533">
        <v>1</v>
      </c>
      <c r="K533" s="3">
        <v>46049</v>
      </c>
      <c r="L533">
        <v>210</v>
      </c>
      <c r="M533" t="s">
        <v>13</v>
      </c>
      <c r="N533" s="79">
        <f>O533/E533</f>
        <v>-2.0000127660389319E-2</v>
      </c>
      <c r="O533">
        <f>VLOOKUP(B533,'Customer TDS'!A:D,4,0)</f>
        <v>376</v>
      </c>
      <c r="P533" s="38">
        <f t="shared" si="43"/>
        <v>-18423.88</v>
      </c>
      <c r="Q533">
        <f>VLOOKUP(B533,Ascendus!E:I,5,0)</f>
        <v>18275.14</v>
      </c>
      <c r="R533" s="38">
        <f>E533+Q533</f>
        <v>-524.7400000000016</v>
      </c>
      <c r="S533" t="s">
        <v>915</v>
      </c>
    </row>
    <row r="534" spans="1:19" x14ac:dyDescent="0.35">
      <c r="A534" t="s">
        <v>454</v>
      </c>
      <c r="B534" s="4">
        <v>256779415303</v>
      </c>
      <c r="C534" s="3">
        <v>45937</v>
      </c>
      <c r="D534" s="1">
        <v>0</v>
      </c>
      <c r="E534" s="1">
        <v>-170.52</v>
      </c>
      <c r="F534" t="s">
        <v>15</v>
      </c>
      <c r="G534" s="3">
        <v>45908</v>
      </c>
      <c r="H534" t="s">
        <v>11</v>
      </c>
      <c r="I534" s="2">
        <v>46023</v>
      </c>
      <c r="J534">
        <v>4</v>
      </c>
      <c r="K534" s="3">
        <v>46053</v>
      </c>
      <c r="L534">
        <v>271</v>
      </c>
      <c r="M534" t="s">
        <v>13</v>
      </c>
      <c r="P534" s="38">
        <f t="shared" si="43"/>
        <v>-170.52</v>
      </c>
      <c r="S534" t="s">
        <v>918</v>
      </c>
    </row>
    <row r="535" spans="1:19" x14ac:dyDescent="0.35">
      <c r="A535" t="s">
        <v>454</v>
      </c>
      <c r="B535" s="4">
        <v>256779415304</v>
      </c>
      <c r="C535" s="3">
        <v>45937</v>
      </c>
      <c r="D535" s="1">
        <v>0</v>
      </c>
      <c r="E535" s="1">
        <v>-51.15</v>
      </c>
      <c r="F535" t="s">
        <v>15</v>
      </c>
      <c r="G535" s="3">
        <v>45908</v>
      </c>
      <c r="H535" t="s">
        <v>11</v>
      </c>
      <c r="I535" s="2">
        <v>46023</v>
      </c>
      <c r="J535">
        <v>6</v>
      </c>
      <c r="K535" s="3">
        <v>46053</v>
      </c>
      <c r="L535">
        <v>271</v>
      </c>
      <c r="M535" t="s">
        <v>13</v>
      </c>
      <c r="P535" s="38">
        <f t="shared" si="43"/>
        <v>-51.15</v>
      </c>
      <c r="S535" t="s">
        <v>918</v>
      </c>
    </row>
    <row r="536" spans="1:19" x14ac:dyDescent="0.35">
      <c r="A536" t="s">
        <v>454</v>
      </c>
      <c r="B536" s="4">
        <v>256779415385</v>
      </c>
      <c r="C536" s="3">
        <v>45937</v>
      </c>
      <c r="D536" s="1">
        <v>0</v>
      </c>
      <c r="E536" s="1">
        <v>-0.83</v>
      </c>
      <c r="F536" t="s">
        <v>15</v>
      </c>
      <c r="G536" s="3">
        <v>45908</v>
      </c>
      <c r="H536" t="s">
        <v>11</v>
      </c>
      <c r="I536" s="2">
        <v>46023</v>
      </c>
      <c r="J536">
        <v>8</v>
      </c>
      <c r="K536" s="3">
        <v>46053</v>
      </c>
      <c r="L536">
        <v>271</v>
      </c>
      <c r="M536" t="s">
        <v>13</v>
      </c>
      <c r="P536" s="38">
        <f t="shared" si="43"/>
        <v>-0.83</v>
      </c>
      <c r="S536" t="s">
        <v>918</v>
      </c>
    </row>
    <row r="537" spans="1:19" x14ac:dyDescent="0.35">
      <c r="A537" t="s">
        <v>454</v>
      </c>
      <c r="B537" s="4">
        <v>256779415293</v>
      </c>
      <c r="C537" s="3">
        <v>45937</v>
      </c>
      <c r="D537" s="1">
        <v>0</v>
      </c>
      <c r="E537" s="1">
        <v>-0.83</v>
      </c>
      <c r="F537" t="s">
        <v>15</v>
      </c>
      <c r="G537" s="3">
        <v>45908</v>
      </c>
      <c r="H537" t="s">
        <v>11</v>
      </c>
      <c r="I537" s="2">
        <v>46023</v>
      </c>
      <c r="J537">
        <v>10</v>
      </c>
      <c r="K537" s="3">
        <v>46053</v>
      </c>
      <c r="L537">
        <v>271</v>
      </c>
      <c r="M537" t="s">
        <v>13</v>
      </c>
      <c r="P537" s="38">
        <f t="shared" si="43"/>
        <v>-0.83</v>
      </c>
      <c r="S537" t="s">
        <v>918</v>
      </c>
    </row>
    <row r="538" spans="1:19" x14ac:dyDescent="0.35">
      <c r="A538" t="s">
        <v>454</v>
      </c>
      <c r="B538" s="4">
        <v>256779415374</v>
      </c>
      <c r="C538" s="3">
        <v>45937</v>
      </c>
      <c r="D538" s="1">
        <v>0</v>
      </c>
      <c r="E538" s="1">
        <v>-16.34</v>
      </c>
      <c r="F538" t="s">
        <v>15</v>
      </c>
      <c r="G538" s="3">
        <v>45908</v>
      </c>
      <c r="H538" t="s">
        <v>11</v>
      </c>
      <c r="I538" s="2">
        <v>46023</v>
      </c>
      <c r="J538">
        <v>12</v>
      </c>
      <c r="K538" s="3">
        <v>46053</v>
      </c>
      <c r="L538">
        <v>271</v>
      </c>
      <c r="M538" t="s">
        <v>13</v>
      </c>
      <c r="P538" s="38">
        <f t="shared" si="43"/>
        <v>-16.34</v>
      </c>
      <c r="S538" t="s">
        <v>918</v>
      </c>
    </row>
    <row r="539" spans="1:19" x14ac:dyDescent="0.35">
      <c r="A539" t="s">
        <v>454</v>
      </c>
      <c r="B539" s="4">
        <v>256779415339</v>
      </c>
      <c r="C539" s="3">
        <v>45937</v>
      </c>
      <c r="D539" s="1">
        <v>0</v>
      </c>
      <c r="E539" s="1">
        <v>-46.7</v>
      </c>
      <c r="F539" t="s">
        <v>15</v>
      </c>
      <c r="G539" s="3">
        <v>45908</v>
      </c>
      <c r="H539" t="s">
        <v>11</v>
      </c>
      <c r="I539" s="2">
        <v>46023</v>
      </c>
      <c r="J539">
        <v>14</v>
      </c>
      <c r="K539" s="3">
        <v>46053</v>
      </c>
      <c r="L539">
        <v>271</v>
      </c>
      <c r="M539" t="s">
        <v>13</v>
      </c>
      <c r="P539" s="38">
        <f t="shared" si="43"/>
        <v>-46.7</v>
      </c>
      <c r="S539" t="s">
        <v>918</v>
      </c>
    </row>
    <row r="540" spans="1:19" x14ac:dyDescent="0.35">
      <c r="A540" t="s">
        <v>454</v>
      </c>
      <c r="B540" s="4">
        <v>256779415308</v>
      </c>
      <c r="C540" s="3">
        <v>45937</v>
      </c>
      <c r="D540" s="1">
        <v>0</v>
      </c>
      <c r="E540" s="1">
        <v>-51.15</v>
      </c>
      <c r="F540" t="s">
        <v>15</v>
      </c>
      <c r="G540" s="3">
        <v>45908</v>
      </c>
      <c r="H540" t="s">
        <v>11</v>
      </c>
      <c r="I540" s="2">
        <v>46023</v>
      </c>
      <c r="J540">
        <v>18</v>
      </c>
      <c r="K540" s="3">
        <v>46053</v>
      </c>
      <c r="L540">
        <v>271</v>
      </c>
      <c r="M540" t="s">
        <v>13</v>
      </c>
      <c r="P540" s="38">
        <f t="shared" si="43"/>
        <v>-51.15</v>
      </c>
      <c r="S540" t="s">
        <v>918</v>
      </c>
    </row>
    <row r="541" spans="1:19" x14ac:dyDescent="0.35">
      <c r="A541" t="s">
        <v>454</v>
      </c>
      <c r="B541" s="4">
        <v>256779415305</v>
      </c>
      <c r="C541" s="3">
        <v>45937</v>
      </c>
      <c r="D541" s="1">
        <v>0</v>
      </c>
      <c r="E541" s="1">
        <v>-51.15</v>
      </c>
      <c r="F541" t="s">
        <v>15</v>
      </c>
      <c r="G541" s="3">
        <v>45908</v>
      </c>
      <c r="H541" t="s">
        <v>11</v>
      </c>
      <c r="I541" s="2">
        <v>46023</v>
      </c>
      <c r="J541">
        <v>20</v>
      </c>
      <c r="K541" s="3">
        <v>46053</v>
      </c>
      <c r="L541">
        <v>271</v>
      </c>
      <c r="M541" t="s">
        <v>13</v>
      </c>
      <c r="P541" s="38">
        <f t="shared" si="43"/>
        <v>-51.15</v>
      </c>
      <c r="S541" t="s">
        <v>918</v>
      </c>
    </row>
    <row r="542" spans="1:19" x14ac:dyDescent="0.35">
      <c r="A542" t="s">
        <v>454</v>
      </c>
      <c r="B542" s="4">
        <v>256779415306</v>
      </c>
      <c r="C542" s="3">
        <v>45937</v>
      </c>
      <c r="D542" s="1">
        <v>0</v>
      </c>
      <c r="E542" s="1">
        <v>-51.15</v>
      </c>
      <c r="F542" t="s">
        <v>15</v>
      </c>
      <c r="G542" s="3">
        <v>45908</v>
      </c>
      <c r="H542" t="s">
        <v>11</v>
      </c>
      <c r="I542" s="2">
        <v>46023</v>
      </c>
      <c r="J542">
        <v>22</v>
      </c>
      <c r="K542" s="3">
        <v>46053</v>
      </c>
      <c r="L542">
        <v>271</v>
      </c>
      <c r="M542" t="s">
        <v>13</v>
      </c>
      <c r="P542" s="38">
        <f t="shared" si="43"/>
        <v>-51.15</v>
      </c>
      <c r="S542" t="s">
        <v>918</v>
      </c>
    </row>
    <row r="543" spans="1:19" x14ac:dyDescent="0.35">
      <c r="A543" t="s">
        <v>454</v>
      </c>
      <c r="B543" s="4">
        <v>256779415307</v>
      </c>
      <c r="C543" s="3">
        <v>45937</v>
      </c>
      <c r="D543" s="1">
        <v>0</v>
      </c>
      <c r="E543" s="1">
        <v>-51.15</v>
      </c>
      <c r="F543" t="s">
        <v>15</v>
      </c>
      <c r="G543" s="3">
        <v>45908</v>
      </c>
      <c r="H543" t="s">
        <v>11</v>
      </c>
      <c r="I543" s="2">
        <v>46023</v>
      </c>
      <c r="J543">
        <v>24</v>
      </c>
      <c r="K543" s="3">
        <v>46053</v>
      </c>
      <c r="L543">
        <v>271</v>
      </c>
      <c r="M543" t="s">
        <v>13</v>
      </c>
      <c r="P543" s="38">
        <f t="shared" si="43"/>
        <v>-51.15</v>
      </c>
      <c r="S543" t="s">
        <v>918</v>
      </c>
    </row>
    <row r="544" spans="1:19" x14ac:dyDescent="0.35">
      <c r="A544" t="s">
        <v>454</v>
      </c>
      <c r="B544" s="4">
        <v>256779415291</v>
      </c>
      <c r="C544" s="3">
        <v>45937</v>
      </c>
      <c r="D544" s="1">
        <v>0</v>
      </c>
      <c r="E544" s="1">
        <v>-0.83</v>
      </c>
      <c r="F544" t="s">
        <v>15</v>
      </c>
      <c r="G544" s="3">
        <v>45908</v>
      </c>
      <c r="H544" t="s">
        <v>11</v>
      </c>
      <c r="I544" s="2">
        <v>46023</v>
      </c>
      <c r="J544">
        <v>26</v>
      </c>
      <c r="K544" s="3">
        <v>46053</v>
      </c>
      <c r="L544">
        <v>271</v>
      </c>
      <c r="M544" t="s">
        <v>13</v>
      </c>
      <c r="P544" s="38">
        <f t="shared" si="43"/>
        <v>-0.83</v>
      </c>
      <c r="S544" t="s">
        <v>918</v>
      </c>
    </row>
    <row r="545" spans="1:19" x14ac:dyDescent="0.35">
      <c r="A545" t="s">
        <v>454</v>
      </c>
      <c r="B545" s="4">
        <v>256779415321</v>
      </c>
      <c r="C545" s="3">
        <v>45937</v>
      </c>
      <c r="D545" s="1">
        <v>0</v>
      </c>
      <c r="E545" s="1">
        <v>-658.22</v>
      </c>
      <c r="F545" t="s">
        <v>15</v>
      </c>
      <c r="G545" s="3">
        <v>45908</v>
      </c>
      <c r="H545" t="s">
        <v>11</v>
      </c>
      <c r="I545" s="2">
        <v>46023</v>
      </c>
      <c r="J545">
        <v>54</v>
      </c>
      <c r="K545" s="3">
        <v>46053</v>
      </c>
      <c r="L545">
        <v>271</v>
      </c>
      <c r="M545" t="s">
        <v>13</v>
      </c>
      <c r="P545" s="38">
        <f t="shared" si="43"/>
        <v>-658.22</v>
      </c>
      <c r="S545" t="s">
        <v>918</v>
      </c>
    </row>
    <row r="546" spans="1:19" x14ac:dyDescent="0.35">
      <c r="A546" t="s">
        <v>454</v>
      </c>
      <c r="B546" s="4">
        <v>256779414358</v>
      </c>
      <c r="C546" s="3">
        <v>45936</v>
      </c>
      <c r="D546" s="1">
        <v>-2339.4299999999998</v>
      </c>
      <c r="E546" s="1">
        <v>-199001.51</v>
      </c>
      <c r="F546" t="s">
        <v>359</v>
      </c>
      <c r="G546" s="3">
        <v>45937</v>
      </c>
      <c r="H546" t="s">
        <v>11</v>
      </c>
      <c r="I546" s="2">
        <v>46023</v>
      </c>
      <c r="J546">
        <v>1</v>
      </c>
      <c r="K546" s="3">
        <v>46049</v>
      </c>
      <c r="L546">
        <v>210</v>
      </c>
      <c r="M546" t="s">
        <v>13</v>
      </c>
      <c r="N546" s="79">
        <f>O546/E546</f>
        <v>-2.000060200548227E-2</v>
      </c>
      <c r="O546">
        <f>VLOOKUP(B546,'Customer TDS'!A:D,4,0)</f>
        <v>3980.15</v>
      </c>
      <c r="P546" s="38">
        <f t="shared" si="43"/>
        <v>-195021.36000000002</v>
      </c>
      <c r="Q546">
        <f>VLOOKUP(B546,Ascendus!E:I,5,0)</f>
        <v>200000</v>
      </c>
      <c r="R546" s="38">
        <f t="shared" ref="R546:R548" si="45">E546+Q546</f>
        <v>998.48999999999069</v>
      </c>
      <c r="S546" t="s">
        <v>915</v>
      </c>
    </row>
    <row r="547" spans="1:19" x14ac:dyDescent="0.35">
      <c r="A547" t="s">
        <v>454</v>
      </c>
      <c r="B547" s="4">
        <v>256779414359</v>
      </c>
      <c r="C547" s="3">
        <v>45936</v>
      </c>
      <c r="D547" s="1">
        <v>-93.58</v>
      </c>
      <c r="E547" s="1">
        <v>-7960.3</v>
      </c>
      <c r="G547" s="3">
        <v>45937</v>
      </c>
      <c r="H547" t="s">
        <v>11</v>
      </c>
      <c r="I547" s="2">
        <v>46023</v>
      </c>
      <c r="J547">
        <v>1</v>
      </c>
      <c r="K547" s="3">
        <v>46049</v>
      </c>
      <c r="L547">
        <v>210</v>
      </c>
      <c r="M547" t="s">
        <v>13</v>
      </c>
      <c r="N547" s="79">
        <f>O547/E547</f>
        <v>-1.9982915216763188E-2</v>
      </c>
      <c r="O547">
        <f>VLOOKUP(B547,'Customer TDS'!A:D,4,0)</f>
        <v>159.07</v>
      </c>
      <c r="P547" s="38">
        <f t="shared" si="43"/>
        <v>-7801.2300000000005</v>
      </c>
      <c r="Q547">
        <f>VLOOKUP(B547,Ascendus!E:I,5,0)</f>
        <v>8000</v>
      </c>
      <c r="R547" s="38">
        <f t="shared" si="45"/>
        <v>39.699999999999818</v>
      </c>
      <c r="S547" t="s">
        <v>915</v>
      </c>
    </row>
    <row r="548" spans="1:19" x14ac:dyDescent="0.35">
      <c r="A548" t="s">
        <v>454</v>
      </c>
      <c r="B548" s="4">
        <v>256779414360</v>
      </c>
      <c r="C548" s="3">
        <v>45936</v>
      </c>
      <c r="D548" s="1">
        <v>-51.47</v>
      </c>
      <c r="E548" s="1">
        <v>-4378.25</v>
      </c>
      <c r="F548" t="s">
        <v>359</v>
      </c>
      <c r="G548" s="3">
        <v>45937</v>
      </c>
      <c r="H548" t="s">
        <v>11</v>
      </c>
      <c r="I548" s="2">
        <v>46023</v>
      </c>
      <c r="J548">
        <v>1</v>
      </c>
      <c r="K548" s="3">
        <v>46049</v>
      </c>
      <c r="L548">
        <v>210</v>
      </c>
      <c r="M548" t="s">
        <v>13</v>
      </c>
      <c r="N548" s="79">
        <f>O548/E548</f>
        <v>-2.0012562096728147E-2</v>
      </c>
      <c r="O548">
        <f>VLOOKUP(B548,'Customer TDS'!A:D,4,0)</f>
        <v>87.62</v>
      </c>
      <c r="P548" s="38">
        <f t="shared" si="43"/>
        <v>-4290.63</v>
      </c>
      <c r="Q548">
        <f>VLOOKUP(B548,Ascendus!E:I,5,0)</f>
        <v>4400</v>
      </c>
      <c r="R548" s="38">
        <f t="shared" si="45"/>
        <v>21.75</v>
      </c>
      <c r="S548" t="s">
        <v>915</v>
      </c>
    </row>
    <row r="549" spans="1:19" x14ac:dyDescent="0.35">
      <c r="A549" t="s">
        <v>454</v>
      </c>
      <c r="B549" s="4">
        <v>256779414358</v>
      </c>
      <c r="C549" s="3">
        <v>45936</v>
      </c>
      <c r="D549" s="1">
        <v>0</v>
      </c>
      <c r="E549" s="1">
        <v>-15054.92</v>
      </c>
      <c r="F549" t="s">
        <v>15</v>
      </c>
      <c r="G549" s="3">
        <v>45937</v>
      </c>
      <c r="H549" t="s">
        <v>11</v>
      </c>
      <c r="I549" s="2">
        <v>46023</v>
      </c>
      <c r="J549">
        <v>58</v>
      </c>
      <c r="K549" s="3">
        <v>46053</v>
      </c>
      <c r="L549">
        <v>271</v>
      </c>
      <c r="M549" t="s">
        <v>13</v>
      </c>
      <c r="P549" s="38">
        <f t="shared" si="43"/>
        <v>-15054.92</v>
      </c>
      <c r="S549" t="s">
        <v>918</v>
      </c>
    </row>
    <row r="550" spans="1:19" x14ac:dyDescent="0.35">
      <c r="A550" t="s">
        <v>454</v>
      </c>
      <c r="B550" s="4">
        <v>256779414359</v>
      </c>
      <c r="C550" s="3">
        <v>45936</v>
      </c>
      <c r="D550" s="1">
        <v>0</v>
      </c>
      <c r="E550" s="1">
        <v>-602.22</v>
      </c>
      <c r="F550" t="s">
        <v>15</v>
      </c>
      <c r="G550" s="3">
        <v>45937</v>
      </c>
      <c r="H550" t="s">
        <v>11</v>
      </c>
      <c r="I550" s="2">
        <v>46023</v>
      </c>
      <c r="J550">
        <v>60</v>
      </c>
      <c r="K550" s="3">
        <v>46053</v>
      </c>
      <c r="L550">
        <v>271</v>
      </c>
      <c r="M550" t="s">
        <v>13</v>
      </c>
      <c r="P550" s="38">
        <f t="shared" si="43"/>
        <v>-602.22</v>
      </c>
      <c r="S550" t="s">
        <v>918</v>
      </c>
    </row>
    <row r="551" spans="1:19" x14ac:dyDescent="0.35">
      <c r="A551" t="s">
        <v>454</v>
      </c>
      <c r="B551" s="4">
        <v>256779414360</v>
      </c>
      <c r="C551" s="3">
        <v>45936</v>
      </c>
      <c r="D551" s="1">
        <v>0</v>
      </c>
      <c r="E551" s="1">
        <v>-331.22</v>
      </c>
      <c r="F551" t="s">
        <v>15</v>
      </c>
      <c r="G551" s="3">
        <v>45937</v>
      </c>
      <c r="H551" t="s">
        <v>11</v>
      </c>
      <c r="I551" s="2">
        <v>46023</v>
      </c>
      <c r="J551">
        <v>66</v>
      </c>
      <c r="K551" s="3">
        <v>46053</v>
      </c>
      <c r="L551">
        <v>271</v>
      </c>
      <c r="M551" t="s">
        <v>13</v>
      </c>
      <c r="P551" s="38">
        <f t="shared" si="43"/>
        <v>-331.22</v>
      </c>
      <c r="S551" t="s">
        <v>918</v>
      </c>
    </row>
    <row r="552" spans="1:19" x14ac:dyDescent="0.35">
      <c r="A552" t="s">
        <v>454</v>
      </c>
      <c r="B552" s="4">
        <v>256779413240</v>
      </c>
      <c r="C552" s="3">
        <v>45935</v>
      </c>
      <c r="D552" s="1">
        <v>-424.03</v>
      </c>
      <c r="E552" s="1">
        <v>-36201.339999999997</v>
      </c>
      <c r="G552" s="3">
        <v>45906</v>
      </c>
      <c r="H552" t="s">
        <v>11</v>
      </c>
      <c r="I552" s="2">
        <v>45962</v>
      </c>
      <c r="J552">
        <v>1</v>
      </c>
      <c r="K552" s="3">
        <v>45991</v>
      </c>
      <c r="L552">
        <v>210</v>
      </c>
      <c r="M552" t="s">
        <v>13</v>
      </c>
      <c r="N552" s="79">
        <f>O552/E552</f>
        <v>-1.9998707230174356E-2</v>
      </c>
      <c r="O552">
        <f>VLOOKUP(B552,'Customer TDS'!A:D,4,0)</f>
        <v>723.98</v>
      </c>
      <c r="P552" s="38">
        <f t="shared" si="43"/>
        <v>-35477.359999999993</v>
      </c>
      <c r="Q552">
        <f>VLOOKUP(B552,Ascendus!E:I,5,0)</f>
        <v>36459.67</v>
      </c>
      <c r="R552" s="38">
        <f t="shared" ref="R552:R556" si="46">E552+Q552</f>
        <v>258.33000000000175</v>
      </c>
      <c r="S552" t="s">
        <v>915</v>
      </c>
    </row>
    <row r="553" spans="1:19" x14ac:dyDescent="0.35">
      <c r="A553" t="s">
        <v>454</v>
      </c>
      <c r="B553" s="4">
        <v>256779413146</v>
      </c>
      <c r="C553" s="3">
        <v>45935</v>
      </c>
      <c r="D553" s="1">
        <v>0</v>
      </c>
      <c r="E553" s="1">
        <v>-200000</v>
      </c>
      <c r="G553" s="3">
        <v>45906</v>
      </c>
      <c r="H553" t="s">
        <v>59</v>
      </c>
      <c r="I553" s="2">
        <v>45962</v>
      </c>
      <c r="J553">
        <v>1</v>
      </c>
      <c r="K553" s="3">
        <v>45991</v>
      </c>
      <c r="L553">
        <v>210</v>
      </c>
      <c r="M553" t="s">
        <v>13</v>
      </c>
      <c r="N553" s="79">
        <f>O553/E553</f>
        <v>-0.02</v>
      </c>
      <c r="O553">
        <f>VLOOKUP(B553,'Customer TDS'!A:D,4,0)</f>
        <v>4000</v>
      </c>
      <c r="P553" s="38">
        <f t="shared" si="43"/>
        <v>-196000</v>
      </c>
      <c r="Q553">
        <f>VLOOKUP(B553,Ascendus!E:I,5,0)</f>
        <v>200000</v>
      </c>
      <c r="R553" s="38">
        <f t="shared" si="46"/>
        <v>0</v>
      </c>
      <c r="S553" t="s">
        <v>915</v>
      </c>
    </row>
    <row r="554" spans="1:19" x14ac:dyDescent="0.35">
      <c r="A554" t="s">
        <v>454</v>
      </c>
      <c r="B554" s="4">
        <v>256779413148</v>
      </c>
      <c r="C554" s="3">
        <v>45935</v>
      </c>
      <c r="D554" s="1">
        <v>0</v>
      </c>
      <c r="E554" s="1">
        <v>-4400</v>
      </c>
      <c r="G554" s="3">
        <v>45906</v>
      </c>
      <c r="H554" t="s">
        <v>59</v>
      </c>
      <c r="I554" s="2">
        <v>45962</v>
      </c>
      <c r="J554">
        <v>1</v>
      </c>
      <c r="K554" s="3">
        <v>45991</v>
      </c>
      <c r="L554">
        <v>210</v>
      </c>
      <c r="M554" t="s">
        <v>13</v>
      </c>
      <c r="N554" s="79">
        <f>O554/E554</f>
        <v>-0.02</v>
      </c>
      <c r="O554">
        <f>VLOOKUP(B554,'Customer TDS'!A:D,4,0)</f>
        <v>88</v>
      </c>
      <c r="P554" s="38">
        <f t="shared" si="43"/>
        <v>-4312</v>
      </c>
      <c r="Q554">
        <f>VLOOKUP(B554,Ascendus!E:I,5,0)</f>
        <v>4400</v>
      </c>
      <c r="R554" s="38">
        <f t="shared" si="46"/>
        <v>0</v>
      </c>
      <c r="S554" t="s">
        <v>915</v>
      </c>
    </row>
    <row r="555" spans="1:19" x14ac:dyDescent="0.35">
      <c r="A555" t="s">
        <v>454</v>
      </c>
      <c r="B555" s="4">
        <v>256779413147</v>
      </c>
      <c r="C555" s="3">
        <v>45935</v>
      </c>
      <c r="D555" s="1">
        <v>0</v>
      </c>
      <c r="E555" s="1">
        <v>-8000</v>
      </c>
      <c r="G555" s="3">
        <v>45906</v>
      </c>
      <c r="H555" t="s">
        <v>59</v>
      </c>
      <c r="I555" s="2">
        <v>45962</v>
      </c>
      <c r="J555">
        <v>1</v>
      </c>
      <c r="K555" s="3">
        <v>45991</v>
      </c>
      <c r="L555">
        <v>210</v>
      </c>
      <c r="M555" t="s">
        <v>13</v>
      </c>
      <c r="N555" s="79">
        <f>O555/E555</f>
        <v>-0.02</v>
      </c>
      <c r="O555">
        <f>VLOOKUP(B555,'Customer TDS'!A:D,4,0)</f>
        <v>160</v>
      </c>
      <c r="P555" s="38">
        <f t="shared" si="43"/>
        <v>-7840</v>
      </c>
      <c r="Q555">
        <f>VLOOKUP(B555,Ascendus!E:I,5,0)</f>
        <v>8000</v>
      </c>
      <c r="R555" s="38">
        <f t="shared" si="46"/>
        <v>0</v>
      </c>
      <c r="S555" t="s">
        <v>915</v>
      </c>
    </row>
    <row r="556" spans="1:19" x14ac:dyDescent="0.35">
      <c r="A556" t="s">
        <v>454</v>
      </c>
      <c r="B556" s="4">
        <v>256779413250</v>
      </c>
      <c r="C556" s="3">
        <v>45935</v>
      </c>
      <c r="D556" s="1">
        <v>-423.28</v>
      </c>
      <c r="E556" s="1">
        <v>-36137.300000000003</v>
      </c>
      <c r="G556" s="3">
        <v>45906</v>
      </c>
      <c r="H556" t="s">
        <v>11</v>
      </c>
      <c r="I556" s="2">
        <v>45962</v>
      </c>
      <c r="J556">
        <v>1</v>
      </c>
      <c r="K556" s="3">
        <v>45991</v>
      </c>
      <c r="L556">
        <v>210</v>
      </c>
      <c r="M556" t="s">
        <v>13</v>
      </c>
      <c r="N556" s="79">
        <f>O556/E556</f>
        <v>-2.0010349417361007E-2</v>
      </c>
      <c r="O556">
        <f>VLOOKUP(B556,'Customer TDS'!A:D,4,0)</f>
        <v>723.12</v>
      </c>
      <c r="P556" s="38">
        <f t="shared" si="43"/>
        <v>-35414.18</v>
      </c>
      <c r="Q556">
        <f>VLOOKUP(B556,Ascendus!E:I,5,0)</f>
        <v>36395.18</v>
      </c>
      <c r="R556" s="38">
        <f t="shared" si="46"/>
        <v>257.87999999999738</v>
      </c>
      <c r="S556" t="s">
        <v>915</v>
      </c>
    </row>
    <row r="557" spans="1:19" x14ac:dyDescent="0.35">
      <c r="A557" t="s">
        <v>454</v>
      </c>
      <c r="B557" s="4">
        <v>256779413240</v>
      </c>
      <c r="C557" s="3">
        <v>45935</v>
      </c>
      <c r="D557" s="1">
        <v>0</v>
      </c>
      <c r="E557" s="1">
        <v>-1570.91</v>
      </c>
      <c r="F557" t="s">
        <v>15</v>
      </c>
      <c r="G557" s="3">
        <v>45906</v>
      </c>
      <c r="H557" t="s">
        <v>11</v>
      </c>
      <c r="I557" s="2">
        <v>45962</v>
      </c>
      <c r="J557">
        <v>56</v>
      </c>
      <c r="K557" s="3">
        <v>45991</v>
      </c>
      <c r="L557">
        <v>271</v>
      </c>
      <c r="M557" t="s">
        <v>13</v>
      </c>
      <c r="P557" s="38">
        <f t="shared" si="43"/>
        <v>-1570.91</v>
      </c>
      <c r="S557" t="s">
        <v>918</v>
      </c>
    </row>
    <row r="558" spans="1:19" x14ac:dyDescent="0.35">
      <c r="A558" t="s">
        <v>454</v>
      </c>
      <c r="B558" s="4">
        <v>256779413250</v>
      </c>
      <c r="C558" s="3">
        <v>45935</v>
      </c>
      <c r="D558" s="1">
        <v>0</v>
      </c>
      <c r="E558" s="1">
        <v>-1568.11</v>
      </c>
      <c r="F558" t="s">
        <v>15</v>
      </c>
      <c r="G558" s="3">
        <v>45906</v>
      </c>
      <c r="H558" t="s">
        <v>11</v>
      </c>
      <c r="I558" s="2">
        <v>45962</v>
      </c>
      <c r="J558">
        <v>64</v>
      </c>
      <c r="K558" s="3">
        <v>45991</v>
      </c>
      <c r="L558">
        <v>271</v>
      </c>
      <c r="M558" t="s">
        <v>13</v>
      </c>
      <c r="P558" s="38">
        <f t="shared" si="43"/>
        <v>-1568.11</v>
      </c>
      <c r="S558" t="s">
        <v>918</v>
      </c>
    </row>
    <row r="559" spans="1:19" x14ac:dyDescent="0.35">
      <c r="A559" t="s">
        <v>454</v>
      </c>
      <c r="B559" s="4">
        <v>256779419995</v>
      </c>
      <c r="C559" s="3">
        <v>45912</v>
      </c>
      <c r="D559" s="1">
        <v>-187.19</v>
      </c>
      <c r="E559" s="1">
        <v>-16688.88</v>
      </c>
      <c r="G559" s="3">
        <v>46235</v>
      </c>
      <c r="H559" t="s">
        <v>11</v>
      </c>
      <c r="I559" s="2">
        <v>46023</v>
      </c>
      <c r="J559">
        <v>1</v>
      </c>
      <c r="K559" s="3">
        <v>46050</v>
      </c>
      <c r="L559">
        <v>210</v>
      </c>
      <c r="M559" t="s">
        <v>13</v>
      </c>
      <c r="N559" s="79">
        <f>O559/E559</f>
        <v>-1.9979770961262827E-2</v>
      </c>
      <c r="O559">
        <f>VLOOKUP(B559,'Customer TDS'!A:D,4,0)</f>
        <v>333.44</v>
      </c>
      <c r="P559" s="38">
        <f t="shared" si="43"/>
        <v>-16355.44</v>
      </c>
      <c r="Q559">
        <f>VLOOKUP(B559,Ascendus!E:I,5,0)</f>
        <v>16603.78</v>
      </c>
      <c r="R559" s="38">
        <f>E559+Q559</f>
        <v>-85.100000000002183</v>
      </c>
      <c r="S559" t="s">
        <v>915</v>
      </c>
    </row>
    <row r="560" spans="1:19" x14ac:dyDescent="0.35">
      <c r="A560" t="s">
        <v>454</v>
      </c>
      <c r="B560" s="4">
        <v>256779419995</v>
      </c>
      <c r="C560" s="3">
        <v>45912</v>
      </c>
      <c r="D560" s="1">
        <v>0</v>
      </c>
      <c r="E560" s="1">
        <v>-454.22</v>
      </c>
      <c r="F560" t="s">
        <v>15</v>
      </c>
      <c r="G560" s="3">
        <v>46235</v>
      </c>
      <c r="H560" t="s">
        <v>11</v>
      </c>
      <c r="I560" s="2">
        <v>46023</v>
      </c>
      <c r="J560">
        <v>70</v>
      </c>
      <c r="K560" s="3">
        <v>46053</v>
      </c>
      <c r="L560">
        <v>271</v>
      </c>
      <c r="M560" t="s">
        <v>13</v>
      </c>
      <c r="P560" s="38">
        <f t="shared" si="43"/>
        <v>-454.22</v>
      </c>
      <c r="S560" t="s">
        <v>918</v>
      </c>
    </row>
    <row r="561" spans="1:19" x14ac:dyDescent="0.35">
      <c r="A561" t="s">
        <v>454</v>
      </c>
      <c r="B561" s="4">
        <v>256779419858</v>
      </c>
      <c r="C561" s="3">
        <v>45881</v>
      </c>
      <c r="D561" s="1">
        <v>-147.37</v>
      </c>
      <c r="E561" s="1">
        <v>-13138.74</v>
      </c>
      <c r="F561" t="s">
        <v>43</v>
      </c>
      <c r="G561" s="3">
        <v>46204</v>
      </c>
      <c r="H561" t="s">
        <v>11</v>
      </c>
      <c r="I561" s="2">
        <v>46023</v>
      </c>
      <c r="J561">
        <v>1</v>
      </c>
      <c r="K561" s="3">
        <v>46050</v>
      </c>
      <c r="L561">
        <v>210</v>
      </c>
      <c r="M561" t="s">
        <v>13</v>
      </c>
      <c r="N561" s="79">
        <f>O561/E561</f>
        <v>-2.0017901259938166E-2</v>
      </c>
      <c r="O561">
        <f>VLOOKUP(B561,'Customer TDS'!A:D,4,0)</f>
        <v>263.01</v>
      </c>
      <c r="P561" s="38">
        <f t="shared" si="43"/>
        <v>-12875.73</v>
      </c>
      <c r="Q561">
        <f>VLOOKUP(B561,Ascendus!E:I,5,0)</f>
        <v>13071.74</v>
      </c>
      <c r="R561" s="38">
        <f>E561+Q561</f>
        <v>-67</v>
      </c>
      <c r="S561" t="s">
        <v>915</v>
      </c>
    </row>
    <row r="562" spans="1:19" x14ac:dyDescent="0.35">
      <c r="A562" t="s">
        <v>454</v>
      </c>
      <c r="B562" s="4">
        <v>256779419858</v>
      </c>
      <c r="C562" s="3">
        <v>45881</v>
      </c>
      <c r="D562" s="1">
        <v>0</v>
      </c>
      <c r="E562" s="1">
        <v>-290.25</v>
      </c>
      <c r="F562" t="s">
        <v>15</v>
      </c>
      <c r="G562" s="3">
        <v>46204</v>
      </c>
      <c r="H562" t="s">
        <v>11</v>
      </c>
      <c r="I562" s="2">
        <v>46023</v>
      </c>
      <c r="J562">
        <v>72</v>
      </c>
      <c r="K562" s="3">
        <v>46053</v>
      </c>
      <c r="L562">
        <v>271</v>
      </c>
      <c r="M562" t="s">
        <v>13</v>
      </c>
      <c r="P562" s="38">
        <f t="shared" si="43"/>
        <v>-290.25</v>
      </c>
      <c r="S562" t="s">
        <v>918</v>
      </c>
    </row>
    <row r="563" spans="1:19" x14ac:dyDescent="0.35">
      <c r="A563" t="s">
        <v>454</v>
      </c>
      <c r="B563" s="4">
        <v>256779419858</v>
      </c>
      <c r="C563" s="3">
        <v>45881</v>
      </c>
      <c r="D563" s="1">
        <v>0</v>
      </c>
      <c r="E563" s="1">
        <v>-67.33</v>
      </c>
      <c r="F563" t="s">
        <v>15</v>
      </c>
      <c r="G563" s="3">
        <v>46204</v>
      </c>
      <c r="H563" t="s">
        <v>11</v>
      </c>
      <c r="I563" s="2">
        <v>46023</v>
      </c>
      <c r="J563">
        <v>74</v>
      </c>
      <c r="K563" s="3">
        <v>46053</v>
      </c>
      <c r="L563">
        <v>271</v>
      </c>
      <c r="M563" t="s">
        <v>13</v>
      </c>
      <c r="P563" s="38">
        <f t="shared" si="43"/>
        <v>-67.33</v>
      </c>
      <c r="S563" t="s">
        <v>918</v>
      </c>
    </row>
    <row r="564" spans="1:19" x14ac:dyDescent="0.35">
      <c r="A564" t="s">
        <v>454</v>
      </c>
      <c r="B564" s="4">
        <v>256779416255</v>
      </c>
      <c r="C564" s="3">
        <v>45877</v>
      </c>
      <c r="D564" s="1">
        <v>-392</v>
      </c>
      <c r="E564" s="1">
        <v>-33959.32</v>
      </c>
      <c r="G564" s="3">
        <v>45847</v>
      </c>
      <c r="H564" t="s">
        <v>11</v>
      </c>
      <c r="I564" s="2">
        <v>45931</v>
      </c>
      <c r="J564">
        <v>1</v>
      </c>
      <c r="K564" s="3">
        <v>45961</v>
      </c>
      <c r="L564">
        <v>210</v>
      </c>
      <c r="M564" t="s">
        <v>13</v>
      </c>
      <c r="N564" s="79">
        <f t="shared" ref="N564:N569" si="47">O564/E564</f>
        <v>-2.0000106009189819E-2</v>
      </c>
      <c r="O564">
        <f>VLOOKUP(B564,'Customer TDS'!A:D,4,0)</f>
        <v>679.19</v>
      </c>
      <c r="P564" s="38">
        <f t="shared" si="43"/>
        <v>-33280.129999999997</v>
      </c>
      <c r="Q564">
        <f>VLOOKUP(B564,Ascendus!E:I,5,0)</f>
        <v>33747.9</v>
      </c>
      <c r="R564" s="38">
        <f t="shared" ref="R564:R569" si="48">E564+Q564</f>
        <v>-211.41999999999825</v>
      </c>
      <c r="S564" t="s">
        <v>915</v>
      </c>
    </row>
    <row r="565" spans="1:19" x14ac:dyDescent="0.35">
      <c r="A565" t="s">
        <v>454</v>
      </c>
      <c r="B565" s="4">
        <v>256779416169</v>
      </c>
      <c r="C565" s="3">
        <v>45877</v>
      </c>
      <c r="D565" s="1">
        <v>-257</v>
      </c>
      <c r="E565" s="1">
        <v>-22264.14</v>
      </c>
      <c r="G565" s="3">
        <v>45847</v>
      </c>
      <c r="H565" t="s">
        <v>11</v>
      </c>
      <c r="I565" s="2">
        <v>45931</v>
      </c>
      <c r="J565">
        <v>1</v>
      </c>
      <c r="K565" s="3">
        <v>45961</v>
      </c>
      <c r="L565">
        <v>210</v>
      </c>
      <c r="M565" t="s">
        <v>13</v>
      </c>
      <c r="N565" s="79">
        <f t="shared" si="47"/>
        <v>-1.9999874237226319E-2</v>
      </c>
      <c r="O565">
        <f>VLOOKUP(B565,'Customer TDS'!A:D,4,0)</f>
        <v>445.28</v>
      </c>
      <c r="P565" s="38">
        <f t="shared" si="43"/>
        <v>-21818.86</v>
      </c>
      <c r="Q565">
        <f>VLOOKUP(B565,Ascendus!E:I,5,0)</f>
        <v>22107.16</v>
      </c>
      <c r="R565" s="38">
        <f t="shared" si="48"/>
        <v>-156.97999999999956</v>
      </c>
      <c r="S565" t="s">
        <v>915</v>
      </c>
    </row>
    <row r="566" spans="1:19" x14ac:dyDescent="0.35">
      <c r="A566" t="s">
        <v>454</v>
      </c>
      <c r="B566" s="4">
        <v>256779416442</v>
      </c>
      <c r="C566" s="3">
        <v>45877</v>
      </c>
      <c r="D566" s="1">
        <v>-1053</v>
      </c>
      <c r="E566" s="1">
        <v>-91222.35</v>
      </c>
      <c r="G566" s="3">
        <v>45847</v>
      </c>
      <c r="H566" t="s">
        <v>11</v>
      </c>
      <c r="I566" s="2">
        <v>45931</v>
      </c>
      <c r="J566">
        <v>1</v>
      </c>
      <c r="K566" s="3">
        <v>45961</v>
      </c>
      <c r="L566">
        <v>210</v>
      </c>
      <c r="M566" t="s">
        <v>13</v>
      </c>
      <c r="N566" s="79">
        <f t="shared" si="47"/>
        <v>-2.0000032886677441E-2</v>
      </c>
      <c r="O566">
        <f>VLOOKUP(B566,'Customer TDS'!A:D,4,0)</f>
        <v>1824.45</v>
      </c>
      <c r="P566" s="38">
        <f t="shared" si="43"/>
        <v>-89397.900000000009</v>
      </c>
      <c r="Q566">
        <f>VLOOKUP(B566,Ascendus!E:I,5,0)</f>
        <v>90618.97</v>
      </c>
      <c r="R566" s="38">
        <f t="shared" si="48"/>
        <v>-603.38000000000466</v>
      </c>
      <c r="S566" t="s">
        <v>915</v>
      </c>
    </row>
    <row r="567" spans="1:19" x14ac:dyDescent="0.35">
      <c r="A567" t="s">
        <v>454</v>
      </c>
      <c r="B567" s="4">
        <v>256779416214</v>
      </c>
      <c r="C567" s="3">
        <v>45877</v>
      </c>
      <c r="D567" s="1">
        <v>-212</v>
      </c>
      <c r="E567" s="1">
        <v>-18365.75</v>
      </c>
      <c r="G567" s="3">
        <v>45847</v>
      </c>
      <c r="H567" t="s">
        <v>11</v>
      </c>
      <c r="I567" s="2">
        <v>45931</v>
      </c>
      <c r="J567">
        <v>1</v>
      </c>
      <c r="K567" s="3">
        <v>45961</v>
      </c>
      <c r="L567">
        <v>210</v>
      </c>
      <c r="M567" t="s">
        <v>13</v>
      </c>
      <c r="N567" s="79">
        <f t="shared" si="47"/>
        <v>-1.9999727754107511E-2</v>
      </c>
      <c r="O567">
        <f>VLOOKUP(B567,'Customer TDS'!A:D,4,0)</f>
        <v>367.31</v>
      </c>
      <c r="P567" s="38">
        <f t="shared" si="43"/>
        <v>-17998.439999999999</v>
      </c>
      <c r="Q567">
        <f>VLOOKUP(B567,Ascendus!E:I,5,0)</f>
        <v>18267.64</v>
      </c>
      <c r="R567" s="38">
        <f t="shared" si="48"/>
        <v>-98.110000000000582</v>
      </c>
      <c r="S567" t="s">
        <v>915</v>
      </c>
    </row>
    <row r="568" spans="1:19" x14ac:dyDescent="0.35">
      <c r="A568" t="s">
        <v>454</v>
      </c>
      <c r="B568" s="4">
        <v>256779416454</v>
      </c>
      <c r="C568" s="3">
        <v>45877</v>
      </c>
      <c r="D568" s="1">
        <v>-411</v>
      </c>
      <c r="E568" s="1">
        <v>-35605.300000000003</v>
      </c>
      <c r="G568" s="3">
        <v>45847</v>
      </c>
      <c r="H568" t="s">
        <v>11</v>
      </c>
      <c r="I568" s="2">
        <v>45931</v>
      </c>
      <c r="J568">
        <v>1</v>
      </c>
      <c r="K568" s="3">
        <v>45961</v>
      </c>
      <c r="L568">
        <v>210</v>
      </c>
      <c r="M568" t="s">
        <v>13</v>
      </c>
      <c r="N568" s="79">
        <f t="shared" si="47"/>
        <v>-2.0000112342825366E-2</v>
      </c>
      <c r="O568">
        <f>VLOOKUP(B568,'Customer TDS'!A:D,4,0)</f>
        <v>712.11</v>
      </c>
      <c r="P568" s="38">
        <f t="shared" si="43"/>
        <v>-34893.19</v>
      </c>
      <c r="Q568">
        <f>VLOOKUP(B568,Ascendus!E:I,5,0)</f>
        <v>35374.730000000003</v>
      </c>
      <c r="R568" s="38">
        <f t="shared" si="48"/>
        <v>-230.56999999999971</v>
      </c>
      <c r="S568" t="s">
        <v>915</v>
      </c>
    </row>
    <row r="569" spans="1:19" x14ac:dyDescent="0.35">
      <c r="A569" t="s">
        <v>454</v>
      </c>
      <c r="B569" s="4">
        <v>256779416096</v>
      </c>
      <c r="C569" s="3">
        <v>45877</v>
      </c>
      <c r="D569" s="1">
        <v>-7386.34</v>
      </c>
      <c r="E569" s="1">
        <v>-639885.32999999996</v>
      </c>
      <c r="G569" s="3">
        <v>45847</v>
      </c>
      <c r="H569" t="s">
        <v>11</v>
      </c>
      <c r="I569" s="2">
        <v>45931</v>
      </c>
      <c r="J569">
        <v>1</v>
      </c>
      <c r="K569" s="3">
        <v>45961</v>
      </c>
      <c r="L569">
        <v>210</v>
      </c>
      <c r="M569" t="s">
        <v>13</v>
      </c>
      <c r="N569" s="79">
        <f t="shared" si="47"/>
        <v>-2.0000427264053704E-2</v>
      </c>
      <c r="O569">
        <f>VLOOKUP(B569,'Customer TDS'!A:D,4,0)</f>
        <v>12797.98</v>
      </c>
      <c r="P569" s="38">
        <f t="shared" si="43"/>
        <v>-627087.35</v>
      </c>
      <c r="Q569">
        <f>VLOOKUP(B569,Ascendus!E:I,5,0)</f>
        <v>635447.72</v>
      </c>
      <c r="R569" s="38">
        <f t="shared" si="48"/>
        <v>-4437.609999999986</v>
      </c>
      <c r="S569" t="s">
        <v>915</v>
      </c>
    </row>
    <row r="570" spans="1:19" x14ac:dyDescent="0.35">
      <c r="A570" t="s">
        <v>454</v>
      </c>
      <c r="B570" s="4">
        <v>256779416255</v>
      </c>
      <c r="C570" s="3">
        <v>45877</v>
      </c>
      <c r="D570" s="1">
        <v>0</v>
      </c>
      <c r="E570" s="1">
        <v>-622.98</v>
      </c>
      <c r="F570" t="s">
        <v>15</v>
      </c>
      <c r="G570" s="3">
        <v>45847</v>
      </c>
      <c r="H570" t="s">
        <v>11</v>
      </c>
      <c r="I570" s="2">
        <v>45931</v>
      </c>
      <c r="J570">
        <v>102</v>
      </c>
      <c r="K570" s="3">
        <v>45961</v>
      </c>
      <c r="L570">
        <v>271</v>
      </c>
      <c r="M570" t="s">
        <v>13</v>
      </c>
      <c r="P570" s="38">
        <f t="shared" si="43"/>
        <v>-622.98</v>
      </c>
      <c r="S570" t="s">
        <v>918</v>
      </c>
    </row>
    <row r="571" spans="1:19" x14ac:dyDescent="0.35">
      <c r="A571" t="s">
        <v>454</v>
      </c>
      <c r="B571" s="4">
        <v>256779416169</v>
      </c>
      <c r="C571" s="3">
        <v>45877</v>
      </c>
      <c r="D571" s="1">
        <v>0</v>
      </c>
      <c r="E571" s="1">
        <v>-408.43</v>
      </c>
      <c r="F571" t="s">
        <v>15</v>
      </c>
      <c r="G571" s="3">
        <v>45847</v>
      </c>
      <c r="H571" t="s">
        <v>11</v>
      </c>
      <c r="I571" s="2">
        <v>45931</v>
      </c>
      <c r="J571">
        <v>104</v>
      </c>
      <c r="K571" s="3">
        <v>45961</v>
      </c>
      <c r="L571">
        <v>271</v>
      </c>
      <c r="M571" t="s">
        <v>13</v>
      </c>
      <c r="P571" s="38">
        <f t="shared" si="43"/>
        <v>-408.43</v>
      </c>
      <c r="S571" t="s">
        <v>918</v>
      </c>
    </row>
    <row r="572" spans="1:19" x14ac:dyDescent="0.35">
      <c r="A572" t="s">
        <v>454</v>
      </c>
      <c r="B572" s="4">
        <v>256779416442</v>
      </c>
      <c r="C572" s="3">
        <v>45877</v>
      </c>
      <c r="D572" s="1">
        <v>0</v>
      </c>
      <c r="E572" s="1">
        <v>-1673.46</v>
      </c>
      <c r="F572" t="s">
        <v>15</v>
      </c>
      <c r="G572" s="3">
        <v>45847</v>
      </c>
      <c r="H572" t="s">
        <v>11</v>
      </c>
      <c r="I572" s="2">
        <v>45931</v>
      </c>
      <c r="J572">
        <v>106</v>
      </c>
      <c r="K572" s="3">
        <v>45961</v>
      </c>
      <c r="L572">
        <v>271</v>
      </c>
      <c r="M572" t="s">
        <v>13</v>
      </c>
      <c r="P572" s="38">
        <f t="shared" si="43"/>
        <v>-1673.46</v>
      </c>
      <c r="S572" t="s">
        <v>918</v>
      </c>
    </row>
    <row r="573" spans="1:19" x14ac:dyDescent="0.35">
      <c r="A573" t="s">
        <v>454</v>
      </c>
      <c r="B573" s="4">
        <v>256779416214</v>
      </c>
      <c r="C573" s="3">
        <v>45877</v>
      </c>
      <c r="D573" s="1">
        <v>0</v>
      </c>
      <c r="E573" s="1">
        <v>-336.91</v>
      </c>
      <c r="F573" t="s">
        <v>15</v>
      </c>
      <c r="G573" s="3">
        <v>45847</v>
      </c>
      <c r="H573" t="s">
        <v>11</v>
      </c>
      <c r="I573" s="2">
        <v>45931</v>
      </c>
      <c r="J573">
        <v>108</v>
      </c>
      <c r="K573" s="3">
        <v>45961</v>
      </c>
      <c r="L573">
        <v>271</v>
      </c>
      <c r="M573" t="s">
        <v>13</v>
      </c>
      <c r="P573" s="38">
        <f t="shared" si="43"/>
        <v>-336.91</v>
      </c>
      <c r="S573" t="s">
        <v>918</v>
      </c>
    </row>
    <row r="574" spans="1:19" x14ac:dyDescent="0.35">
      <c r="A574" t="s">
        <v>454</v>
      </c>
      <c r="B574" s="4">
        <v>256779416454</v>
      </c>
      <c r="C574" s="3">
        <v>45877</v>
      </c>
      <c r="D574" s="1">
        <v>0</v>
      </c>
      <c r="E574" s="1">
        <v>-653.17999999999995</v>
      </c>
      <c r="F574" t="s">
        <v>15</v>
      </c>
      <c r="G574" s="3">
        <v>45847</v>
      </c>
      <c r="H574" t="s">
        <v>11</v>
      </c>
      <c r="I574" s="2">
        <v>45931</v>
      </c>
      <c r="J574">
        <v>110</v>
      </c>
      <c r="K574" s="3">
        <v>45961</v>
      </c>
      <c r="L574">
        <v>271</v>
      </c>
      <c r="M574" t="s">
        <v>13</v>
      </c>
      <c r="P574" s="38">
        <f t="shared" si="43"/>
        <v>-653.17999999999995</v>
      </c>
      <c r="S574" t="s">
        <v>918</v>
      </c>
    </row>
    <row r="575" spans="1:19" x14ac:dyDescent="0.35">
      <c r="A575" t="s">
        <v>454</v>
      </c>
      <c r="B575" s="4">
        <v>256779416096</v>
      </c>
      <c r="C575" s="3">
        <v>45877</v>
      </c>
      <c r="D575" s="1">
        <v>0</v>
      </c>
      <c r="E575" s="1">
        <v>-11738.6</v>
      </c>
      <c r="F575" t="s">
        <v>15</v>
      </c>
      <c r="G575" s="3">
        <v>45847</v>
      </c>
      <c r="H575" t="s">
        <v>11</v>
      </c>
      <c r="I575" s="2">
        <v>45931</v>
      </c>
      <c r="J575">
        <v>112</v>
      </c>
      <c r="K575" s="3">
        <v>45961</v>
      </c>
      <c r="L575">
        <v>271</v>
      </c>
      <c r="M575" t="s">
        <v>13</v>
      </c>
      <c r="P575" s="38">
        <f t="shared" si="43"/>
        <v>-11738.6</v>
      </c>
      <c r="S575" t="s">
        <v>918</v>
      </c>
    </row>
    <row r="576" spans="1:19" x14ac:dyDescent="0.35">
      <c r="A576" t="s">
        <v>454</v>
      </c>
      <c r="B576" s="4">
        <v>256779416137</v>
      </c>
      <c r="C576" s="3">
        <v>45877</v>
      </c>
      <c r="D576" s="1">
        <v>-55</v>
      </c>
      <c r="E576" s="1">
        <v>-4764.7</v>
      </c>
      <c r="F576" t="s">
        <v>376</v>
      </c>
      <c r="G576" s="3">
        <v>45847</v>
      </c>
      <c r="H576" t="s">
        <v>11</v>
      </c>
      <c r="I576" s="2">
        <v>45962</v>
      </c>
      <c r="J576">
        <v>1</v>
      </c>
      <c r="K576" s="3">
        <v>45985</v>
      </c>
      <c r="L576">
        <v>210</v>
      </c>
      <c r="M576" t="s">
        <v>13</v>
      </c>
      <c r="N576" s="79">
        <f>O576/E576</f>
        <v>-1.9999160492790734E-2</v>
      </c>
      <c r="O576">
        <f>VLOOKUP(B576,'Customer TDS'!A:D,4,0)</f>
        <v>95.29</v>
      </c>
      <c r="P576" s="38">
        <f t="shared" si="43"/>
        <v>-4669.41</v>
      </c>
      <c r="Q576">
        <f>VLOOKUP(B576,Ascendus!E:I,5,0)</f>
        <v>4755.75</v>
      </c>
      <c r="R576" s="38">
        <f>E576+Q576</f>
        <v>-8.9499999999998181</v>
      </c>
      <c r="S576" t="s">
        <v>915</v>
      </c>
    </row>
    <row r="577" spans="1:19" x14ac:dyDescent="0.35">
      <c r="A577" t="s">
        <v>454</v>
      </c>
      <c r="B577" s="4">
        <v>256779416255</v>
      </c>
      <c r="C577" s="3">
        <v>45877</v>
      </c>
      <c r="D577" s="1">
        <v>0</v>
      </c>
      <c r="E577" s="1">
        <v>-346.59</v>
      </c>
      <c r="F577" t="s">
        <v>15</v>
      </c>
      <c r="G577" s="3">
        <v>45847</v>
      </c>
      <c r="H577" t="s">
        <v>11</v>
      </c>
      <c r="I577" s="2">
        <v>45962</v>
      </c>
      <c r="J577">
        <v>32</v>
      </c>
      <c r="K577" s="3">
        <v>45991</v>
      </c>
      <c r="L577">
        <v>271</v>
      </c>
      <c r="M577" t="s">
        <v>13</v>
      </c>
      <c r="P577" s="38">
        <f t="shared" si="43"/>
        <v>-346.59</v>
      </c>
      <c r="S577" t="s">
        <v>918</v>
      </c>
    </row>
    <row r="578" spans="1:19" x14ac:dyDescent="0.35">
      <c r="A578" t="s">
        <v>454</v>
      </c>
      <c r="B578" s="4">
        <v>256779416169</v>
      </c>
      <c r="C578" s="3">
        <v>45877</v>
      </c>
      <c r="D578" s="1">
        <v>0</v>
      </c>
      <c r="E578" s="1">
        <v>-227.23</v>
      </c>
      <c r="F578" t="s">
        <v>15</v>
      </c>
      <c r="G578" s="3">
        <v>45847</v>
      </c>
      <c r="H578" t="s">
        <v>11</v>
      </c>
      <c r="I578" s="2">
        <v>45962</v>
      </c>
      <c r="J578">
        <v>34</v>
      </c>
      <c r="K578" s="3">
        <v>45991</v>
      </c>
      <c r="L578">
        <v>271</v>
      </c>
      <c r="M578" t="s">
        <v>13</v>
      </c>
      <c r="P578" s="38">
        <f t="shared" si="43"/>
        <v>-227.23</v>
      </c>
      <c r="S578" t="s">
        <v>918</v>
      </c>
    </row>
    <row r="579" spans="1:19" x14ac:dyDescent="0.35">
      <c r="A579" t="s">
        <v>454</v>
      </c>
      <c r="B579" s="4">
        <v>256779416442</v>
      </c>
      <c r="C579" s="3">
        <v>45877</v>
      </c>
      <c r="D579" s="1">
        <v>0</v>
      </c>
      <c r="E579" s="1">
        <v>-931.02</v>
      </c>
      <c r="F579" t="s">
        <v>15</v>
      </c>
      <c r="G579" s="3">
        <v>45847</v>
      </c>
      <c r="H579" t="s">
        <v>11</v>
      </c>
      <c r="I579" s="2">
        <v>45962</v>
      </c>
      <c r="J579">
        <v>36</v>
      </c>
      <c r="K579" s="3">
        <v>45991</v>
      </c>
      <c r="L579">
        <v>271</v>
      </c>
      <c r="M579" t="s">
        <v>13</v>
      </c>
      <c r="P579" s="38">
        <f t="shared" si="43"/>
        <v>-931.02</v>
      </c>
      <c r="S579" t="s">
        <v>918</v>
      </c>
    </row>
    <row r="580" spans="1:19" x14ac:dyDescent="0.35">
      <c r="A580" t="s">
        <v>454</v>
      </c>
      <c r="B580" s="4">
        <v>256779416214</v>
      </c>
      <c r="C580" s="3">
        <v>45877</v>
      </c>
      <c r="D580" s="1">
        <v>0</v>
      </c>
      <c r="E580" s="1">
        <v>-187.45</v>
      </c>
      <c r="F580" t="s">
        <v>15</v>
      </c>
      <c r="G580" s="3">
        <v>45847</v>
      </c>
      <c r="H580" t="s">
        <v>11</v>
      </c>
      <c r="I580" s="2">
        <v>45962</v>
      </c>
      <c r="J580">
        <v>38</v>
      </c>
      <c r="K580" s="3">
        <v>45991</v>
      </c>
      <c r="L580">
        <v>271</v>
      </c>
      <c r="M580" t="s">
        <v>13</v>
      </c>
      <c r="P580" s="38">
        <f t="shared" ref="P580:P643" si="49">E580+O580</f>
        <v>-187.45</v>
      </c>
      <c r="S580" t="s">
        <v>918</v>
      </c>
    </row>
    <row r="581" spans="1:19" x14ac:dyDescent="0.35">
      <c r="A581" t="s">
        <v>454</v>
      </c>
      <c r="B581" s="4">
        <v>256779416454</v>
      </c>
      <c r="C581" s="3">
        <v>45877</v>
      </c>
      <c r="D581" s="1">
        <v>0</v>
      </c>
      <c r="E581" s="1">
        <v>-363.39</v>
      </c>
      <c r="F581" t="s">
        <v>15</v>
      </c>
      <c r="G581" s="3">
        <v>45847</v>
      </c>
      <c r="H581" t="s">
        <v>11</v>
      </c>
      <c r="I581" s="2">
        <v>45962</v>
      </c>
      <c r="J581">
        <v>40</v>
      </c>
      <c r="K581" s="3">
        <v>45991</v>
      </c>
      <c r="L581">
        <v>271</v>
      </c>
      <c r="M581" t="s">
        <v>13</v>
      </c>
      <c r="P581" s="38">
        <f t="shared" si="49"/>
        <v>-363.39</v>
      </c>
      <c r="S581" t="s">
        <v>918</v>
      </c>
    </row>
    <row r="582" spans="1:19" x14ac:dyDescent="0.35">
      <c r="A582" t="s">
        <v>454</v>
      </c>
      <c r="B582" s="4">
        <v>256779416137</v>
      </c>
      <c r="C582" s="3">
        <v>45877</v>
      </c>
      <c r="D582" s="1">
        <v>0</v>
      </c>
      <c r="E582" s="1">
        <v>-136.03</v>
      </c>
      <c r="F582" t="s">
        <v>15</v>
      </c>
      <c r="G582" s="3">
        <v>45847</v>
      </c>
      <c r="H582" t="s">
        <v>11</v>
      </c>
      <c r="I582" s="2">
        <v>45962</v>
      </c>
      <c r="J582">
        <v>50</v>
      </c>
      <c r="K582" s="3">
        <v>45991</v>
      </c>
      <c r="L582">
        <v>271</v>
      </c>
      <c r="M582" t="s">
        <v>13</v>
      </c>
      <c r="P582" s="38">
        <f t="shared" si="49"/>
        <v>-136.03</v>
      </c>
      <c r="S582" t="s">
        <v>918</v>
      </c>
    </row>
    <row r="583" spans="1:19" x14ac:dyDescent="0.35">
      <c r="A583" t="s">
        <v>454</v>
      </c>
      <c r="B583" s="4">
        <v>256779416255</v>
      </c>
      <c r="C583" s="3">
        <v>45877</v>
      </c>
      <c r="D583" s="1">
        <v>0</v>
      </c>
      <c r="E583" s="1">
        <v>-282.73</v>
      </c>
      <c r="F583" t="s">
        <v>15</v>
      </c>
      <c r="G583" s="3">
        <v>45847</v>
      </c>
      <c r="H583" t="s">
        <v>11</v>
      </c>
      <c r="I583" s="2">
        <v>45992</v>
      </c>
      <c r="J583">
        <v>32</v>
      </c>
      <c r="K583" s="3">
        <v>46022</v>
      </c>
      <c r="L583">
        <v>271</v>
      </c>
      <c r="M583" t="s">
        <v>13</v>
      </c>
      <c r="P583" s="38">
        <f t="shared" si="49"/>
        <v>-282.73</v>
      </c>
      <c r="S583" t="s">
        <v>918</v>
      </c>
    </row>
    <row r="584" spans="1:19" x14ac:dyDescent="0.35">
      <c r="A584" t="s">
        <v>454</v>
      </c>
      <c r="B584" s="4">
        <v>256779416169</v>
      </c>
      <c r="C584" s="3">
        <v>45877</v>
      </c>
      <c r="D584" s="1">
        <v>0</v>
      </c>
      <c r="E584" s="1">
        <v>-185.36</v>
      </c>
      <c r="F584" t="s">
        <v>15</v>
      </c>
      <c r="G584" s="3">
        <v>45847</v>
      </c>
      <c r="H584" t="s">
        <v>11</v>
      </c>
      <c r="I584" s="2">
        <v>45992</v>
      </c>
      <c r="J584">
        <v>34</v>
      </c>
      <c r="K584" s="3">
        <v>46022</v>
      </c>
      <c r="L584">
        <v>271</v>
      </c>
      <c r="M584" t="s">
        <v>13</v>
      </c>
      <c r="P584" s="38">
        <f t="shared" si="49"/>
        <v>-185.36</v>
      </c>
      <c r="S584" t="s">
        <v>918</v>
      </c>
    </row>
    <row r="585" spans="1:19" x14ac:dyDescent="0.35">
      <c r="A585" t="s">
        <v>454</v>
      </c>
      <c r="B585" s="4">
        <v>256779416442</v>
      </c>
      <c r="C585" s="3">
        <v>45877</v>
      </c>
      <c r="D585" s="1">
        <v>0</v>
      </c>
      <c r="E585" s="1">
        <v>-759.48</v>
      </c>
      <c r="F585" t="s">
        <v>15</v>
      </c>
      <c r="G585" s="3">
        <v>45847</v>
      </c>
      <c r="H585" t="s">
        <v>11</v>
      </c>
      <c r="I585" s="2">
        <v>45992</v>
      </c>
      <c r="J585">
        <v>36</v>
      </c>
      <c r="K585" s="3">
        <v>46022</v>
      </c>
      <c r="L585">
        <v>271</v>
      </c>
      <c r="M585" t="s">
        <v>13</v>
      </c>
      <c r="P585" s="38">
        <f t="shared" si="49"/>
        <v>-759.48</v>
      </c>
      <c r="S585" t="s">
        <v>918</v>
      </c>
    </row>
    <row r="586" spans="1:19" x14ac:dyDescent="0.35">
      <c r="A586" t="s">
        <v>454</v>
      </c>
      <c r="B586" s="4">
        <v>256779416214</v>
      </c>
      <c r="C586" s="3">
        <v>45877</v>
      </c>
      <c r="D586" s="1">
        <v>0</v>
      </c>
      <c r="E586" s="1">
        <v>-152.9</v>
      </c>
      <c r="F586" t="s">
        <v>15</v>
      </c>
      <c r="G586" s="3">
        <v>45847</v>
      </c>
      <c r="H586" t="s">
        <v>11</v>
      </c>
      <c r="I586" s="2">
        <v>45992</v>
      </c>
      <c r="J586">
        <v>38</v>
      </c>
      <c r="K586" s="3">
        <v>46022</v>
      </c>
      <c r="L586">
        <v>271</v>
      </c>
      <c r="M586" t="s">
        <v>13</v>
      </c>
      <c r="P586" s="38">
        <f t="shared" si="49"/>
        <v>-152.9</v>
      </c>
      <c r="S586" t="s">
        <v>918</v>
      </c>
    </row>
    <row r="587" spans="1:19" x14ac:dyDescent="0.35">
      <c r="A587" t="s">
        <v>454</v>
      </c>
      <c r="B587" s="4">
        <v>256779416454</v>
      </c>
      <c r="C587" s="3">
        <v>45877</v>
      </c>
      <c r="D587" s="1">
        <v>0</v>
      </c>
      <c r="E587" s="1">
        <v>-296.44</v>
      </c>
      <c r="F587" t="s">
        <v>15</v>
      </c>
      <c r="G587" s="3">
        <v>45847</v>
      </c>
      <c r="H587" t="s">
        <v>11</v>
      </c>
      <c r="I587" s="2">
        <v>45992</v>
      </c>
      <c r="J587">
        <v>40</v>
      </c>
      <c r="K587" s="3">
        <v>46022</v>
      </c>
      <c r="L587">
        <v>271</v>
      </c>
      <c r="M587" t="s">
        <v>13</v>
      </c>
      <c r="P587" s="38">
        <f t="shared" si="49"/>
        <v>-296.44</v>
      </c>
      <c r="S587" t="s">
        <v>918</v>
      </c>
    </row>
    <row r="588" spans="1:19" x14ac:dyDescent="0.35">
      <c r="A588" t="s">
        <v>454</v>
      </c>
      <c r="B588" s="4">
        <v>256779416137</v>
      </c>
      <c r="C588" s="3">
        <v>45877</v>
      </c>
      <c r="D588" s="1">
        <v>0</v>
      </c>
      <c r="E588" s="1">
        <v>-39.67</v>
      </c>
      <c r="F588" t="s">
        <v>15</v>
      </c>
      <c r="G588" s="3">
        <v>45847</v>
      </c>
      <c r="H588" t="s">
        <v>11</v>
      </c>
      <c r="I588" s="2">
        <v>45992</v>
      </c>
      <c r="J588">
        <v>48</v>
      </c>
      <c r="K588" s="3">
        <v>46022</v>
      </c>
      <c r="L588">
        <v>271</v>
      </c>
      <c r="M588" t="s">
        <v>13</v>
      </c>
      <c r="P588" s="38">
        <f t="shared" si="49"/>
        <v>-39.67</v>
      </c>
      <c r="S588" t="s">
        <v>918</v>
      </c>
    </row>
    <row r="589" spans="1:19" x14ac:dyDescent="0.35">
      <c r="A589" t="s">
        <v>454</v>
      </c>
      <c r="B589" s="4">
        <v>256779416255</v>
      </c>
      <c r="C589" s="3">
        <v>45877</v>
      </c>
      <c r="D589" s="1">
        <v>0</v>
      </c>
      <c r="E589" s="1">
        <v>-668.43</v>
      </c>
      <c r="F589" t="s">
        <v>15</v>
      </c>
      <c r="G589" s="3">
        <v>45847</v>
      </c>
      <c r="H589" t="s">
        <v>11</v>
      </c>
      <c r="I589" s="2">
        <v>46023</v>
      </c>
      <c r="J589">
        <v>32</v>
      </c>
      <c r="K589" s="3">
        <v>46053</v>
      </c>
      <c r="L589">
        <v>271</v>
      </c>
      <c r="M589" t="s">
        <v>13</v>
      </c>
      <c r="P589" s="38">
        <f t="shared" si="49"/>
        <v>-668.43</v>
      </c>
      <c r="S589" t="s">
        <v>918</v>
      </c>
    </row>
    <row r="590" spans="1:19" x14ac:dyDescent="0.35">
      <c r="A590" t="s">
        <v>454</v>
      </c>
      <c r="B590" s="4">
        <v>256779416169</v>
      </c>
      <c r="C590" s="3">
        <v>45877</v>
      </c>
      <c r="D590" s="1">
        <v>0</v>
      </c>
      <c r="E590" s="1">
        <v>-438.24</v>
      </c>
      <c r="F590" t="s">
        <v>15</v>
      </c>
      <c r="G590" s="3">
        <v>45847</v>
      </c>
      <c r="H590" t="s">
        <v>11</v>
      </c>
      <c r="I590" s="2">
        <v>46023</v>
      </c>
      <c r="J590">
        <v>34</v>
      </c>
      <c r="K590" s="3">
        <v>46053</v>
      </c>
      <c r="L590">
        <v>271</v>
      </c>
      <c r="M590" t="s">
        <v>13</v>
      </c>
      <c r="P590" s="38">
        <f t="shared" si="49"/>
        <v>-438.24</v>
      </c>
      <c r="S590" t="s">
        <v>918</v>
      </c>
    </row>
    <row r="591" spans="1:19" x14ac:dyDescent="0.35">
      <c r="A591" t="s">
        <v>454</v>
      </c>
      <c r="B591" s="4">
        <v>256779416442</v>
      </c>
      <c r="C591" s="3">
        <v>45877</v>
      </c>
      <c r="D591" s="1">
        <v>0</v>
      </c>
      <c r="E591" s="1">
        <v>-1795.56</v>
      </c>
      <c r="F591" t="s">
        <v>15</v>
      </c>
      <c r="G591" s="3">
        <v>45847</v>
      </c>
      <c r="H591" t="s">
        <v>11</v>
      </c>
      <c r="I591" s="2">
        <v>46023</v>
      </c>
      <c r="J591">
        <v>36</v>
      </c>
      <c r="K591" s="3">
        <v>46053</v>
      </c>
      <c r="L591">
        <v>271</v>
      </c>
      <c r="M591" t="s">
        <v>13</v>
      </c>
      <c r="P591" s="38">
        <f t="shared" si="49"/>
        <v>-1795.56</v>
      </c>
      <c r="S591" t="s">
        <v>918</v>
      </c>
    </row>
    <row r="592" spans="1:19" x14ac:dyDescent="0.35">
      <c r="A592" t="s">
        <v>454</v>
      </c>
      <c r="B592" s="4">
        <v>256779416214</v>
      </c>
      <c r="C592" s="3">
        <v>45877</v>
      </c>
      <c r="D592" s="1">
        <v>0</v>
      </c>
      <c r="E592" s="1">
        <v>-361.5</v>
      </c>
      <c r="F592" t="s">
        <v>15</v>
      </c>
      <c r="G592" s="3">
        <v>45847</v>
      </c>
      <c r="H592" t="s">
        <v>11</v>
      </c>
      <c r="I592" s="2">
        <v>46023</v>
      </c>
      <c r="J592">
        <v>38</v>
      </c>
      <c r="K592" s="3">
        <v>46053</v>
      </c>
      <c r="L592">
        <v>271</v>
      </c>
      <c r="M592" t="s">
        <v>13</v>
      </c>
      <c r="P592" s="38">
        <f t="shared" si="49"/>
        <v>-361.5</v>
      </c>
      <c r="S592" t="s">
        <v>918</v>
      </c>
    </row>
    <row r="593" spans="1:19" x14ac:dyDescent="0.35">
      <c r="A593" t="s">
        <v>454</v>
      </c>
      <c r="B593" s="4">
        <v>256779416454</v>
      </c>
      <c r="C593" s="3">
        <v>45877</v>
      </c>
      <c r="D593" s="1">
        <v>0</v>
      </c>
      <c r="E593" s="1">
        <v>-700.83</v>
      </c>
      <c r="F593" t="s">
        <v>15</v>
      </c>
      <c r="G593" s="3">
        <v>45847</v>
      </c>
      <c r="H593" t="s">
        <v>11</v>
      </c>
      <c r="I593" s="2">
        <v>46023</v>
      </c>
      <c r="J593">
        <v>40</v>
      </c>
      <c r="K593" s="3">
        <v>46053</v>
      </c>
      <c r="L593">
        <v>271</v>
      </c>
      <c r="M593" t="s">
        <v>13</v>
      </c>
      <c r="P593" s="38">
        <f t="shared" si="49"/>
        <v>-700.83</v>
      </c>
      <c r="S593" t="s">
        <v>918</v>
      </c>
    </row>
    <row r="594" spans="1:19" x14ac:dyDescent="0.35">
      <c r="A594" t="s">
        <v>454</v>
      </c>
      <c r="B594" s="4">
        <v>256779416137</v>
      </c>
      <c r="C594" s="3">
        <v>45877</v>
      </c>
      <c r="D594" s="1">
        <v>0</v>
      </c>
      <c r="E594" s="1">
        <v>-93.79</v>
      </c>
      <c r="F594" t="s">
        <v>15</v>
      </c>
      <c r="G594" s="3">
        <v>45847</v>
      </c>
      <c r="H594" t="s">
        <v>11</v>
      </c>
      <c r="I594" s="2">
        <v>46023</v>
      </c>
      <c r="J594">
        <v>44</v>
      </c>
      <c r="K594" s="3">
        <v>46053</v>
      </c>
      <c r="L594">
        <v>271</v>
      </c>
      <c r="M594" t="s">
        <v>13</v>
      </c>
      <c r="P594" s="38">
        <f t="shared" si="49"/>
        <v>-93.79</v>
      </c>
      <c r="S594" t="s">
        <v>918</v>
      </c>
    </row>
    <row r="595" spans="1:19" x14ac:dyDescent="0.35">
      <c r="A595" t="s">
        <v>454</v>
      </c>
      <c r="B595" s="4">
        <v>256779418176</v>
      </c>
      <c r="C595" s="3">
        <v>45848</v>
      </c>
      <c r="D595" s="1">
        <v>-639.04999999999995</v>
      </c>
      <c r="E595" s="1">
        <v>-56657.85</v>
      </c>
      <c r="F595" t="s">
        <v>43</v>
      </c>
      <c r="G595" s="3">
        <v>45819</v>
      </c>
      <c r="H595" t="s">
        <v>11</v>
      </c>
      <c r="I595" s="2">
        <v>46023</v>
      </c>
      <c r="J595">
        <v>1</v>
      </c>
      <c r="K595" s="3">
        <v>46049</v>
      </c>
      <c r="L595">
        <v>210</v>
      </c>
      <c r="M595" t="s">
        <v>13</v>
      </c>
      <c r="N595" s="79">
        <f>O595/E595</f>
        <v>-1.9998464466971479E-2</v>
      </c>
      <c r="O595">
        <f>VLOOKUP(B595,'Customer TDS'!A:D,4,0)</f>
        <v>1133.07</v>
      </c>
      <c r="P595" s="38">
        <f t="shared" si="49"/>
        <v>-55524.78</v>
      </c>
      <c r="Q595">
        <f>VLOOKUP(B595,Ascendus!E:I,5,0)</f>
        <v>56358.31</v>
      </c>
      <c r="R595" s="38">
        <f t="shared" ref="R595:R596" si="50">E595+Q595</f>
        <v>-299.54000000000087</v>
      </c>
      <c r="S595" t="s">
        <v>915</v>
      </c>
    </row>
    <row r="596" spans="1:19" x14ac:dyDescent="0.35">
      <c r="A596" t="s">
        <v>454</v>
      </c>
      <c r="B596" s="4">
        <v>256779419983</v>
      </c>
      <c r="C596" s="3">
        <v>45820</v>
      </c>
      <c r="D596" s="1">
        <v>-55.63</v>
      </c>
      <c r="E596" s="1">
        <v>-4959.68</v>
      </c>
      <c r="F596" t="s">
        <v>43</v>
      </c>
      <c r="G596" s="3">
        <v>46143</v>
      </c>
      <c r="H596" t="s">
        <v>11</v>
      </c>
      <c r="I596" s="2">
        <v>46023</v>
      </c>
      <c r="J596">
        <v>1</v>
      </c>
      <c r="K596" s="3">
        <v>46050</v>
      </c>
      <c r="L596">
        <v>210</v>
      </c>
      <c r="M596" t="s">
        <v>13</v>
      </c>
      <c r="N596" s="79">
        <f>O596/E596</f>
        <v>-1.9952900187108845E-2</v>
      </c>
      <c r="O596">
        <f>VLOOKUP(B596,'Customer TDS'!A:D,4,0)</f>
        <v>98.96</v>
      </c>
      <c r="P596" s="38">
        <f t="shared" si="49"/>
        <v>-4860.72</v>
      </c>
      <c r="Q596">
        <f>VLOOKUP(B596,Ascendus!E:I,5,0)</f>
        <v>4934.3900000000003</v>
      </c>
      <c r="R596" s="38">
        <f t="shared" si="50"/>
        <v>-25.289999999999964</v>
      </c>
      <c r="S596" t="s">
        <v>915</v>
      </c>
    </row>
    <row r="597" spans="1:19" x14ac:dyDescent="0.35">
      <c r="A597" t="s">
        <v>454</v>
      </c>
      <c r="B597" s="4">
        <v>256779419983</v>
      </c>
      <c r="C597" s="3">
        <v>45820</v>
      </c>
      <c r="D597" s="1">
        <v>0</v>
      </c>
      <c r="E597" s="1">
        <v>-134.99</v>
      </c>
      <c r="F597" t="s">
        <v>15</v>
      </c>
      <c r="G597" s="3">
        <v>46143</v>
      </c>
      <c r="H597" t="s">
        <v>11</v>
      </c>
      <c r="I597" s="2">
        <v>46023</v>
      </c>
      <c r="J597">
        <v>98</v>
      </c>
      <c r="K597" s="3">
        <v>46053</v>
      </c>
      <c r="L597">
        <v>271</v>
      </c>
      <c r="M597" t="s">
        <v>13</v>
      </c>
      <c r="P597" s="38">
        <f t="shared" si="49"/>
        <v>-134.99</v>
      </c>
      <c r="S597" t="s">
        <v>918</v>
      </c>
    </row>
    <row r="598" spans="1:19" x14ac:dyDescent="0.35">
      <c r="A598" t="s">
        <v>454</v>
      </c>
      <c r="B598" s="4">
        <v>256779418006</v>
      </c>
      <c r="C598" s="3">
        <v>45818</v>
      </c>
      <c r="D598" s="1">
        <v>-4667.07</v>
      </c>
      <c r="E598" s="1">
        <v>-413780.08</v>
      </c>
      <c r="F598" t="s">
        <v>43</v>
      </c>
      <c r="G598" s="3">
        <v>45788</v>
      </c>
      <c r="H598" t="s">
        <v>11</v>
      </c>
      <c r="I598" s="2">
        <v>46023</v>
      </c>
      <c r="J598">
        <v>1</v>
      </c>
      <c r="K598" s="3">
        <v>46049</v>
      </c>
      <c r="L598">
        <v>210</v>
      </c>
      <c r="M598" t="s">
        <v>13</v>
      </c>
      <c r="N598" s="79">
        <f>O598/E598</f>
        <v>-1.9999706124084075E-2</v>
      </c>
      <c r="O598">
        <f>VLOOKUP(B598,'Customer TDS'!A:D,4,0)</f>
        <v>8275.48</v>
      </c>
      <c r="P598" s="38">
        <f t="shared" si="49"/>
        <v>-405504.60000000003</v>
      </c>
      <c r="Q598">
        <f>VLOOKUP(B598,Ascendus!E:I,5,0)</f>
        <v>411592.5</v>
      </c>
      <c r="R598" s="38">
        <f t="shared" ref="R598:R600" si="51">E598+Q598</f>
        <v>-2187.5800000000163</v>
      </c>
      <c r="S598" t="s">
        <v>915</v>
      </c>
    </row>
    <row r="599" spans="1:19" x14ac:dyDescent="0.35">
      <c r="A599" t="s">
        <v>454</v>
      </c>
      <c r="B599" s="4">
        <v>246779410904</v>
      </c>
      <c r="C599" s="3">
        <v>45811</v>
      </c>
      <c r="D599" s="1">
        <v>-1665.82</v>
      </c>
      <c r="E599" s="1">
        <v>-144997</v>
      </c>
      <c r="G599" s="3">
        <v>45781</v>
      </c>
      <c r="H599" t="s">
        <v>11</v>
      </c>
      <c r="I599" s="2">
        <v>45809</v>
      </c>
      <c r="J599">
        <v>1</v>
      </c>
      <c r="K599" s="3">
        <v>45997</v>
      </c>
      <c r="L599">
        <v>210</v>
      </c>
      <c r="M599" t="s">
        <v>13</v>
      </c>
      <c r="N599" s="79">
        <f>O599/E599</f>
        <v>-2.0002137975268452E-2</v>
      </c>
      <c r="O599">
        <f>VLOOKUP(B599,'Customer TDS'!A:D,4,0)</f>
        <v>2900.25</v>
      </c>
      <c r="P599" s="38">
        <f t="shared" si="49"/>
        <v>-142096.75</v>
      </c>
      <c r="Q599">
        <f>VLOOKUP(B599,Ascendus!E:I,5,0)</f>
        <v>144412.03</v>
      </c>
      <c r="R599" s="38">
        <f t="shared" si="51"/>
        <v>-584.97000000000116</v>
      </c>
      <c r="S599" t="s">
        <v>915</v>
      </c>
    </row>
    <row r="600" spans="1:19" x14ac:dyDescent="0.35">
      <c r="A600" t="s">
        <v>454</v>
      </c>
      <c r="B600" s="4">
        <v>246779410882</v>
      </c>
      <c r="C600" s="3">
        <v>45811</v>
      </c>
      <c r="D600" s="1">
        <v>-2232.73</v>
      </c>
      <c r="E600" s="1">
        <v>-194342.21</v>
      </c>
      <c r="G600" s="3">
        <v>45781</v>
      </c>
      <c r="H600" t="s">
        <v>11</v>
      </c>
      <c r="I600" s="2">
        <v>45809</v>
      </c>
      <c r="J600">
        <v>1</v>
      </c>
      <c r="K600" s="3">
        <v>45838</v>
      </c>
      <c r="L600">
        <v>210</v>
      </c>
      <c r="M600" t="s">
        <v>13</v>
      </c>
      <c r="N600" s="79">
        <f>O600/E600</f>
        <v>-1.9997920163612425E-2</v>
      </c>
      <c r="O600">
        <f>VLOOKUP(B600,'Customer TDS'!A:D,4,0)</f>
        <v>3886.44</v>
      </c>
      <c r="P600" s="38">
        <f t="shared" si="49"/>
        <v>-190455.77</v>
      </c>
      <c r="Q600">
        <f>VLOOKUP(B600,Ascendus!E:I,5,0)</f>
        <v>193558.18</v>
      </c>
      <c r="R600" s="38">
        <f t="shared" si="51"/>
        <v>-784.02999999999884</v>
      </c>
      <c r="S600" t="s">
        <v>915</v>
      </c>
    </row>
    <row r="601" spans="1:19" x14ac:dyDescent="0.35">
      <c r="A601" t="s">
        <v>454</v>
      </c>
      <c r="B601" s="4">
        <v>246779410882</v>
      </c>
      <c r="C601" s="3">
        <v>45811</v>
      </c>
      <c r="D601" s="1">
        <v>0</v>
      </c>
      <c r="E601" s="1">
        <v>2303.84</v>
      </c>
      <c r="F601" t="s">
        <v>15</v>
      </c>
      <c r="G601" s="3">
        <v>45781</v>
      </c>
      <c r="H601" t="s">
        <v>11</v>
      </c>
      <c r="I601" s="2">
        <v>45809</v>
      </c>
      <c r="J601">
        <v>50</v>
      </c>
      <c r="K601" s="3">
        <v>45838</v>
      </c>
      <c r="L601">
        <v>271</v>
      </c>
      <c r="M601" t="s">
        <v>13</v>
      </c>
      <c r="P601" s="38">
        <f t="shared" si="49"/>
        <v>2303.84</v>
      </c>
      <c r="S601" t="s">
        <v>918</v>
      </c>
    </row>
    <row r="602" spans="1:19" x14ac:dyDescent="0.35">
      <c r="A602" t="s">
        <v>454</v>
      </c>
      <c r="B602" s="4">
        <v>256779419908</v>
      </c>
      <c r="C602" s="3">
        <v>45789</v>
      </c>
      <c r="D602" s="1">
        <v>-375.94</v>
      </c>
      <c r="E602" s="1">
        <v>-33516.85</v>
      </c>
      <c r="F602" t="s">
        <v>43</v>
      </c>
      <c r="G602" s="3">
        <v>46113</v>
      </c>
      <c r="H602" t="s">
        <v>11</v>
      </c>
      <c r="I602" s="2">
        <v>46023</v>
      </c>
      <c r="J602">
        <v>1</v>
      </c>
      <c r="K602" s="3">
        <v>46050</v>
      </c>
      <c r="L602">
        <v>210</v>
      </c>
      <c r="M602" t="s">
        <v>13</v>
      </c>
      <c r="N602" s="79">
        <f>O602/E602</f>
        <v>-2.000307308115172E-2</v>
      </c>
      <c r="O602">
        <f>VLOOKUP(B602,'Customer TDS'!A:D,4,0)</f>
        <v>670.44</v>
      </c>
      <c r="P602" s="38">
        <f t="shared" si="49"/>
        <v>-32846.409999999996</v>
      </c>
      <c r="Q602">
        <f>VLOOKUP(B602,Ascendus!E:I,5,0)</f>
        <v>33345.93</v>
      </c>
      <c r="R602" s="38">
        <f t="shared" ref="R602:R603" si="52">E602+Q602</f>
        <v>-170.91999999999825</v>
      </c>
      <c r="S602" t="s">
        <v>915</v>
      </c>
    </row>
    <row r="603" spans="1:19" x14ac:dyDescent="0.35">
      <c r="A603" t="s">
        <v>454</v>
      </c>
      <c r="B603" s="4">
        <v>256779419808</v>
      </c>
      <c r="C603" s="3">
        <v>45789</v>
      </c>
      <c r="D603" s="1">
        <v>-27.95</v>
      </c>
      <c r="E603" s="1">
        <v>-2491.88</v>
      </c>
      <c r="G603" s="3">
        <v>46113</v>
      </c>
      <c r="H603" t="s">
        <v>11</v>
      </c>
      <c r="I603" s="2">
        <v>46023</v>
      </c>
      <c r="J603">
        <v>1</v>
      </c>
      <c r="K603" s="3">
        <v>46050</v>
      </c>
      <c r="L603">
        <v>210</v>
      </c>
      <c r="M603" t="s">
        <v>13</v>
      </c>
      <c r="N603" s="79">
        <f>O603/E603</f>
        <v>-2.003708043726022E-2</v>
      </c>
      <c r="O603">
        <f>VLOOKUP(B603,'Customer TDS'!A:D,4,0)</f>
        <v>49.93</v>
      </c>
      <c r="P603" s="38">
        <f t="shared" si="49"/>
        <v>-2441.9500000000003</v>
      </c>
      <c r="Q603">
        <f>VLOOKUP(B603,Ascendus!E:I,5,0)</f>
        <v>2479.17</v>
      </c>
      <c r="R603" s="38">
        <f t="shared" si="52"/>
        <v>-12.710000000000036</v>
      </c>
      <c r="S603" t="s">
        <v>915</v>
      </c>
    </row>
    <row r="604" spans="1:19" x14ac:dyDescent="0.35">
      <c r="A604" t="s">
        <v>454</v>
      </c>
      <c r="B604" s="4">
        <v>256779419908</v>
      </c>
      <c r="C604" s="3">
        <v>45789</v>
      </c>
      <c r="D604" s="1">
        <v>0</v>
      </c>
      <c r="E604" s="1">
        <v>-912.18</v>
      </c>
      <c r="F604" t="s">
        <v>15</v>
      </c>
      <c r="G604" s="3">
        <v>46113</v>
      </c>
      <c r="H604" t="s">
        <v>11</v>
      </c>
      <c r="I604" s="2">
        <v>46023</v>
      </c>
      <c r="J604">
        <v>76</v>
      </c>
      <c r="K604" s="3">
        <v>46053</v>
      </c>
      <c r="L604">
        <v>271</v>
      </c>
      <c r="M604" t="s">
        <v>13</v>
      </c>
      <c r="P604" s="38">
        <f t="shared" si="49"/>
        <v>-912.18</v>
      </c>
      <c r="S604" t="s">
        <v>918</v>
      </c>
    </row>
    <row r="605" spans="1:19" x14ac:dyDescent="0.35">
      <c r="A605" t="s">
        <v>454</v>
      </c>
      <c r="B605" s="4">
        <v>256779419808</v>
      </c>
      <c r="C605" s="3">
        <v>45789</v>
      </c>
      <c r="D605" s="1">
        <v>0</v>
      </c>
      <c r="E605" s="1">
        <v>-67.819999999999993</v>
      </c>
      <c r="F605" t="s">
        <v>15</v>
      </c>
      <c r="G605" s="3">
        <v>46113</v>
      </c>
      <c r="H605" t="s">
        <v>11</v>
      </c>
      <c r="I605" s="2">
        <v>46023</v>
      </c>
      <c r="J605">
        <v>94</v>
      </c>
      <c r="K605" s="3">
        <v>46053</v>
      </c>
      <c r="L605">
        <v>271</v>
      </c>
      <c r="M605" t="s">
        <v>13</v>
      </c>
      <c r="P605" s="38">
        <f t="shared" si="49"/>
        <v>-67.819999999999993</v>
      </c>
      <c r="S605" t="s">
        <v>918</v>
      </c>
    </row>
    <row r="606" spans="1:19" x14ac:dyDescent="0.35">
      <c r="A606" t="s">
        <v>454</v>
      </c>
      <c r="B606" s="4">
        <v>256779419211</v>
      </c>
      <c r="C606" s="3">
        <v>45788</v>
      </c>
      <c r="D606" s="1">
        <v>-28.18</v>
      </c>
      <c r="E606" s="1">
        <v>-2486.96</v>
      </c>
      <c r="F606" t="s">
        <v>43</v>
      </c>
      <c r="G606" s="3">
        <v>45789</v>
      </c>
      <c r="H606" t="s">
        <v>11</v>
      </c>
      <c r="I606" s="2">
        <v>45992</v>
      </c>
      <c r="J606">
        <v>1</v>
      </c>
      <c r="K606" s="3">
        <v>46006</v>
      </c>
      <c r="L606">
        <v>210</v>
      </c>
      <c r="M606" t="s">
        <v>13</v>
      </c>
      <c r="N606" s="79">
        <f>O606/E606</f>
        <v>-1.9871650529160099E-2</v>
      </c>
      <c r="O606">
        <f>VLOOKUP(B606,'Customer TDS'!A:D,4,0)</f>
        <v>49.42</v>
      </c>
      <c r="P606" s="38">
        <f t="shared" si="49"/>
        <v>-2437.54</v>
      </c>
      <c r="Q606">
        <f>VLOOKUP(B606,Ascendus!E:I,5,0)</f>
        <v>2479.94</v>
      </c>
      <c r="R606" s="38">
        <f t="shared" ref="R606:R610" si="53">E606+Q606</f>
        <v>-7.0199999999999818</v>
      </c>
      <c r="S606" t="s">
        <v>915</v>
      </c>
    </row>
    <row r="607" spans="1:19" x14ac:dyDescent="0.35">
      <c r="A607" t="s">
        <v>454</v>
      </c>
      <c r="B607" s="4">
        <v>256779419165</v>
      </c>
      <c r="C607" s="3">
        <v>45788</v>
      </c>
      <c r="D607" s="1">
        <v>-191.57</v>
      </c>
      <c r="E607" s="1">
        <v>-16906.55</v>
      </c>
      <c r="F607" t="s">
        <v>43</v>
      </c>
      <c r="G607" s="3">
        <v>45789</v>
      </c>
      <c r="H607" t="s">
        <v>11</v>
      </c>
      <c r="I607" s="2">
        <v>45992</v>
      </c>
      <c r="J607">
        <v>1</v>
      </c>
      <c r="K607" s="3">
        <v>46010</v>
      </c>
      <c r="L607">
        <v>210</v>
      </c>
      <c r="M607" t="s">
        <v>13</v>
      </c>
      <c r="N607" s="79">
        <f>O607/E607</f>
        <v>-1.9992843010549165E-2</v>
      </c>
      <c r="O607">
        <f>VLOOKUP(B607,'Customer TDS'!A:D,4,0)</f>
        <v>338.01</v>
      </c>
      <c r="P607" s="38">
        <f t="shared" si="49"/>
        <v>-16568.54</v>
      </c>
      <c r="Q607">
        <f>VLOOKUP(B607,Ascendus!E:I,5,0)</f>
        <v>16858.810000000001</v>
      </c>
      <c r="R607" s="38">
        <f t="shared" si="53"/>
        <v>-47.739999999997963</v>
      </c>
      <c r="S607" t="s">
        <v>915</v>
      </c>
    </row>
    <row r="608" spans="1:19" x14ac:dyDescent="0.35">
      <c r="A608" t="s">
        <v>454</v>
      </c>
      <c r="B608" s="4">
        <v>256779419192</v>
      </c>
      <c r="C608" s="3">
        <v>45788</v>
      </c>
      <c r="D608" s="1">
        <v>-171.87</v>
      </c>
      <c r="E608" s="1">
        <v>-15167.97</v>
      </c>
      <c r="F608" t="s">
        <v>43</v>
      </c>
      <c r="G608" s="3">
        <v>45789</v>
      </c>
      <c r="H608" t="s">
        <v>11</v>
      </c>
      <c r="I608" s="2">
        <v>45992</v>
      </c>
      <c r="J608">
        <v>1</v>
      </c>
      <c r="K608" s="3">
        <v>46010</v>
      </c>
      <c r="L608">
        <v>210</v>
      </c>
      <c r="M608" t="s">
        <v>13</v>
      </c>
      <c r="N608" s="79">
        <f>O608/E608</f>
        <v>-2.0015203089141131E-2</v>
      </c>
      <c r="O608">
        <f>VLOOKUP(B608,'Customer TDS'!A:D,4,0)</f>
        <v>303.58999999999997</v>
      </c>
      <c r="P608" s="38">
        <f t="shared" si="49"/>
        <v>-14864.38</v>
      </c>
      <c r="Q608">
        <f>VLOOKUP(B608,Ascendus!E:I,5,0)</f>
        <v>15125.14</v>
      </c>
      <c r="R608" s="38">
        <f t="shared" si="53"/>
        <v>-42.829999999999927</v>
      </c>
      <c r="S608" t="s">
        <v>915</v>
      </c>
    </row>
    <row r="609" spans="1:19" x14ac:dyDescent="0.35">
      <c r="A609" t="s">
        <v>454</v>
      </c>
      <c r="B609" s="4">
        <v>256779418777</v>
      </c>
      <c r="C609" s="3">
        <v>45788</v>
      </c>
      <c r="D609" s="1">
        <v>-2272.64</v>
      </c>
      <c r="E609" s="1">
        <v>-200566.32</v>
      </c>
      <c r="F609" t="s">
        <v>43</v>
      </c>
      <c r="G609" s="3">
        <v>45789</v>
      </c>
      <c r="H609" t="s">
        <v>11</v>
      </c>
      <c r="I609" s="2">
        <v>45992</v>
      </c>
      <c r="J609">
        <v>1</v>
      </c>
      <c r="K609" s="3">
        <v>46010</v>
      </c>
      <c r="L609">
        <v>210</v>
      </c>
      <c r="M609" t="s">
        <v>13</v>
      </c>
      <c r="N609" s="79">
        <f>O609/E609</f>
        <v>-1.9998771478680965E-2</v>
      </c>
      <c r="O609">
        <f>VLOOKUP(B609,'Customer TDS'!A:D,4,0)</f>
        <v>4011.08</v>
      </c>
      <c r="P609" s="38">
        <f t="shared" si="49"/>
        <v>-196555.24000000002</v>
      </c>
      <c r="Q609">
        <f>VLOOKUP(B609,Ascendus!E:I,5,0)</f>
        <v>200000</v>
      </c>
      <c r="R609" s="38">
        <f t="shared" si="53"/>
        <v>-566.32000000000698</v>
      </c>
      <c r="S609" t="s">
        <v>915</v>
      </c>
    </row>
    <row r="610" spans="1:19" x14ac:dyDescent="0.35">
      <c r="A610" t="s">
        <v>454</v>
      </c>
      <c r="B610" s="4">
        <v>256779418779</v>
      </c>
      <c r="C610" s="3">
        <v>45788</v>
      </c>
      <c r="D610" s="1">
        <v>-50</v>
      </c>
      <c r="E610" s="1">
        <v>-4412.63</v>
      </c>
      <c r="F610" t="s">
        <v>43</v>
      </c>
      <c r="G610" s="3">
        <v>45789</v>
      </c>
      <c r="H610" t="s">
        <v>11</v>
      </c>
      <c r="I610" s="2">
        <v>45992</v>
      </c>
      <c r="J610">
        <v>1</v>
      </c>
      <c r="K610" s="3">
        <v>46010</v>
      </c>
      <c r="L610">
        <v>210</v>
      </c>
      <c r="M610" t="s">
        <v>13</v>
      </c>
      <c r="N610" s="79">
        <f>O610/E610</f>
        <v>-1.999941078223191E-2</v>
      </c>
      <c r="O610">
        <f>VLOOKUP(B610,'Customer TDS'!A:D,4,0)</f>
        <v>88.25</v>
      </c>
      <c r="P610" s="38">
        <f t="shared" si="49"/>
        <v>-4324.38</v>
      </c>
      <c r="Q610">
        <f>VLOOKUP(B610,Ascendus!E:I,5,0)</f>
        <v>4400</v>
      </c>
      <c r="R610" s="38">
        <f t="shared" si="53"/>
        <v>-12.630000000000109</v>
      </c>
      <c r="S610" t="s">
        <v>915</v>
      </c>
    </row>
    <row r="611" spans="1:19" x14ac:dyDescent="0.35">
      <c r="A611" t="s">
        <v>454</v>
      </c>
      <c r="B611" s="4">
        <v>256779419165</v>
      </c>
      <c r="C611" s="3">
        <v>45788</v>
      </c>
      <c r="D611" s="1">
        <v>0</v>
      </c>
      <c r="E611" s="1">
        <v>-307.55</v>
      </c>
      <c r="F611" t="s">
        <v>15</v>
      </c>
      <c r="G611" s="3">
        <v>45789</v>
      </c>
      <c r="H611" t="s">
        <v>11</v>
      </c>
      <c r="I611" s="2">
        <v>45992</v>
      </c>
      <c r="J611">
        <v>68</v>
      </c>
      <c r="K611" s="3">
        <v>46022</v>
      </c>
      <c r="L611">
        <v>271</v>
      </c>
      <c r="M611" t="s">
        <v>13</v>
      </c>
      <c r="P611" s="38">
        <f t="shared" si="49"/>
        <v>-307.55</v>
      </c>
      <c r="S611" t="s">
        <v>918</v>
      </c>
    </row>
    <row r="612" spans="1:19" x14ac:dyDescent="0.35">
      <c r="A612" t="s">
        <v>454</v>
      </c>
      <c r="B612" s="4">
        <v>256779419192</v>
      </c>
      <c r="C612" s="3">
        <v>45788</v>
      </c>
      <c r="D612" s="1">
        <v>0</v>
      </c>
      <c r="E612" s="1">
        <v>-275.92</v>
      </c>
      <c r="F612" t="s">
        <v>15</v>
      </c>
      <c r="G612" s="3">
        <v>45789</v>
      </c>
      <c r="H612" t="s">
        <v>11</v>
      </c>
      <c r="I612" s="2">
        <v>45992</v>
      </c>
      <c r="J612">
        <v>70</v>
      </c>
      <c r="K612" s="3">
        <v>46022</v>
      </c>
      <c r="L612">
        <v>271</v>
      </c>
      <c r="M612" t="s">
        <v>13</v>
      </c>
      <c r="P612" s="38">
        <f t="shared" si="49"/>
        <v>-275.92</v>
      </c>
      <c r="S612" t="s">
        <v>918</v>
      </c>
    </row>
    <row r="613" spans="1:19" x14ac:dyDescent="0.35">
      <c r="A613" t="s">
        <v>454</v>
      </c>
      <c r="B613" s="4">
        <v>256779418777</v>
      </c>
      <c r="C613" s="3">
        <v>45788</v>
      </c>
      <c r="D613" s="1">
        <v>0</v>
      </c>
      <c r="E613" s="1">
        <v>-3648.54</v>
      </c>
      <c r="F613" t="s">
        <v>15</v>
      </c>
      <c r="G613" s="3">
        <v>45789</v>
      </c>
      <c r="H613" t="s">
        <v>11</v>
      </c>
      <c r="I613" s="2">
        <v>45992</v>
      </c>
      <c r="J613">
        <v>72</v>
      </c>
      <c r="K613" s="3">
        <v>46022</v>
      </c>
      <c r="L613">
        <v>271</v>
      </c>
      <c r="M613" t="s">
        <v>13</v>
      </c>
      <c r="P613" s="38">
        <f t="shared" si="49"/>
        <v>-3648.54</v>
      </c>
      <c r="S613" t="s">
        <v>918</v>
      </c>
    </row>
    <row r="614" spans="1:19" x14ac:dyDescent="0.35">
      <c r="A614" t="s">
        <v>454</v>
      </c>
      <c r="B614" s="4">
        <v>256779418779</v>
      </c>
      <c r="C614" s="3">
        <v>45788</v>
      </c>
      <c r="D614" s="1">
        <v>0</v>
      </c>
      <c r="E614" s="1">
        <v>-80.27</v>
      </c>
      <c r="F614" t="s">
        <v>15</v>
      </c>
      <c r="G614" s="3">
        <v>45789</v>
      </c>
      <c r="H614" t="s">
        <v>11</v>
      </c>
      <c r="I614" s="2">
        <v>45992</v>
      </c>
      <c r="J614">
        <v>74</v>
      </c>
      <c r="K614" s="3">
        <v>46022</v>
      </c>
      <c r="L614">
        <v>271</v>
      </c>
      <c r="M614" t="s">
        <v>13</v>
      </c>
      <c r="P614" s="38">
        <f t="shared" si="49"/>
        <v>-80.27</v>
      </c>
      <c r="S614" t="s">
        <v>918</v>
      </c>
    </row>
    <row r="615" spans="1:19" x14ac:dyDescent="0.35">
      <c r="A615" t="s">
        <v>454</v>
      </c>
      <c r="B615" s="4">
        <v>256779418778</v>
      </c>
      <c r="C615" s="3">
        <v>45788</v>
      </c>
      <c r="D615" s="1">
        <v>-90.91</v>
      </c>
      <c r="E615" s="1">
        <v>-8023.04</v>
      </c>
      <c r="F615" t="s">
        <v>43</v>
      </c>
      <c r="G615" s="3">
        <v>45789</v>
      </c>
      <c r="H615" t="s">
        <v>11</v>
      </c>
      <c r="I615" s="2">
        <v>46023</v>
      </c>
      <c r="J615">
        <v>1</v>
      </c>
      <c r="K615" s="3">
        <v>46049</v>
      </c>
      <c r="L615">
        <v>210</v>
      </c>
      <c r="M615" t="s">
        <v>13</v>
      </c>
      <c r="N615" s="79">
        <f>O615/E615</f>
        <v>-2.0019842852584558E-2</v>
      </c>
      <c r="O615">
        <f>VLOOKUP(B615,'Customer TDS'!A:D,4,0)</f>
        <v>160.62</v>
      </c>
      <c r="P615" s="38">
        <f t="shared" si="49"/>
        <v>-7862.42</v>
      </c>
      <c r="Q615">
        <f>VLOOKUP(B615,Ascendus!E:I,5,0)</f>
        <v>8000</v>
      </c>
      <c r="R615" s="38">
        <f t="shared" ref="R615:R617" si="54">E615+Q615</f>
        <v>-23.039999999999964</v>
      </c>
      <c r="S615" t="s">
        <v>915</v>
      </c>
    </row>
    <row r="616" spans="1:19" x14ac:dyDescent="0.35">
      <c r="A616" t="s">
        <v>454</v>
      </c>
      <c r="B616" s="4">
        <v>256779418892</v>
      </c>
      <c r="C616" s="3">
        <v>45788</v>
      </c>
      <c r="D616" s="1">
        <v>-1683.97</v>
      </c>
      <c r="E616" s="1">
        <v>-148614.68</v>
      </c>
      <c r="F616" t="s">
        <v>43</v>
      </c>
      <c r="G616" s="3">
        <v>45789</v>
      </c>
      <c r="H616" t="s">
        <v>11</v>
      </c>
      <c r="I616" s="2">
        <v>46023</v>
      </c>
      <c r="J616">
        <v>1</v>
      </c>
      <c r="K616" s="3">
        <v>46049</v>
      </c>
      <c r="L616">
        <v>210</v>
      </c>
      <c r="M616" t="s">
        <v>13</v>
      </c>
      <c r="N616" s="79">
        <f>O616/E616</f>
        <v>-2.0000379504904898E-2</v>
      </c>
      <c r="O616">
        <f>VLOOKUP(B616,'Customer TDS'!A:D,4,0)</f>
        <v>2972.35</v>
      </c>
      <c r="P616" s="38">
        <f t="shared" si="49"/>
        <v>-145642.32999999999</v>
      </c>
      <c r="Q616">
        <f>VLOOKUP(B616,Ascendus!E:I,5,0)</f>
        <v>148195.07</v>
      </c>
      <c r="R616" s="38">
        <f t="shared" si="54"/>
        <v>-419.60999999998603</v>
      </c>
      <c r="S616" t="s">
        <v>915</v>
      </c>
    </row>
    <row r="617" spans="1:19" x14ac:dyDescent="0.35">
      <c r="A617" t="s">
        <v>454</v>
      </c>
      <c r="B617" s="4">
        <v>256779418904</v>
      </c>
      <c r="C617" s="3">
        <v>45788</v>
      </c>
      <c r="D617" s="1">
        <v>-1273.92</v>
      </c>
      <c r="E617" s="1">
        <v>-112426.72</v>
      </c>
      <c r="F617" t="s">
        <v>43</v>
      </c>
      <c r="G617" s="3">
        <v>45789</v>
      </c>
      <c r="H617" t="s">
        <v>11</v>
      </c>
      <c r="I617" s="2">
        <v>46023</v>
      </c>
      <c r="J617">
        <v>1</v>
      </c>
      <c r="K617" s="3">
        <v>46049</v>
      </c>
      <c r="L617">
        <v>210</v>
      </c>
      <c r="M617" t="s">
        <v>13</v>
      </c>
      <c r="N617" s="79">
        <f>O617/E617</f>
        <v>-2.0001295065799302E-2</v>
      </c>
      <c r="O617">
        <f>VLOOKUP(B617,'Customer TDS'!A:D,4,0)</f>
        <v>2248.6799999999998</v>
      </c>
      <c r="P617" s="38">
        <f t="shared" si="49"/>
        <v>-110178.04000000001</v>
      </c>
      <c r="Q617">
        <f>VLOOKUP(B617,Ascendus!E:I,5,0)</f>
        <v>112109.28</v>
      </c>
      <c r="R617" s="38">
        <f t="shared" si="54"/>
        <v>-317.44000000000233</v>
      </c>
      <c r="S617" t="s">
        <v>915</v>
      </c>
    </row>
    <row r="618" spans="1:19" x14ac:dyDescent="0.35">
      <c r="A618" t="s">
        <v>454</v>
      </c>
      <c r="B618" s="4">
        <v>256779418778</v>
      </c>
      <c r="C618" s="3">
        <v>45788</v>
      </c>
      <c r="D618" s="1">
        <v>0</v>
      </c>
      <c r="E618" s="1">
        <v>-300.95999999999998</v>
      </c>
      <c r="F618" t="s">
        <v>15</v>
      </c>
      <c r="G618" s="3">
        <v>45789</v>
      </c>
      <c r="H618" t="s">
        <v>11</v>
      </c>
      <c r="I618" s="2">
        <v>46023</v>
      </c>
      <c r="J618">
        <v>56</v>
      </c>
      <c r="K618" s="3">
        <v>46053</v>
      </c>
      <c r="L618">
        <v>271</v>
      </c>
      <c r="M618" t="s">
        <v>13</v>
      </c>
      <c r="P618" s="38">
        <f t="shared" si="49"/>
        <v>-300.95999999999998</v>
      </c>
      <c r="S618" t="s">
        <v>918</v>
      </c>
    </row>
    <row r="619" spans="1:19" x14ac:dyDescent="0.35">
      <c r="A619" t="s">
        <v>454</v>
      </c>
      <c r="B619" s="4">
        <v>256779417971</v>
      </c>
      <c r="C619" s="3">
        <v>45787</v>
      </c>
      <c r="D619" s="1">
        <v>-94.81</v>
      </c>
      <c r="E619" s="1">
        <v>-8405.81</v>
      </c>
      <c r="F619" t="s">
        <v>43</v>
      </c>
      <c r="G619" s="3">
        <v>45758</v>
      </c>
      <c r="H619" t="s">
        <v>11</v>
      </c>
      <c r="I619" s="2">
        <v>45992</v>
      </c>
      <c r="J619">
        <v>1</v>
      </c>
      <c r="K619" s="3">
        <v>46005</v>
      </c>
      <c r="L619">
        <v>210</v>
      </c>
      <c r="M619" t="s">
        <v>13</v>
      </c>
      <c r="N619" s="79">
        <f t="shared" ref="N619:N625" si="55">O619/E619</f>
        <v>-2.0039710628719898E-2</v>
      </c>
      <c r="O619">
        <f>VLOOKUP(B619,'Customer TDS'!A:D,4,0)</f>
        <v>168.45</v>
      </c>
      <c r="P619" s="38">
        <f t="shared" si="49"/>
        <v>-8237.3599999999988</v>
      </c>
      <c r="Q619">
        <f>VLOOKUP(B619,Ascendus!E:I,5,0)</f>
        <v>8361.3700000000008</v>
      </c>
      <c r="R619" s="38">
        <f t="shared" ref="R619:R625" si="56">E619+Q619</f>
        <v>-44.43999999999869</v>
      </c>
      <c r="S619" t="s">
        <v>915</v>
      </c>
    </row>
    <row r="620" spans="1:19" x14ac:dyDescent="0.35">
      <c r="A620" t="s">
        <v>454</v>
      </c>
      <c r="B620" s="4">
        <v>256779417875</v>
      </c>
      <c r="C620" s="3">
        <v>45787</v>
      </c>
      <c r="D620" s="1">
        <v>-2267.81</v>
      </c>
      <c r="E620" s="1">
        <v>-201062.89</v>
      </c>
      <c r="F620" t="s">
        <v>43</v>
      </c>
      <c r="G620" s="3">
        <v>45758</v>
      </c>
      <c r="H620" t="s">
        <v>11</v>
      </c>
      <c r="I620" s="2">
        <v>45992</v>
      </c>
      <c r="J620">
        <v>1</v>
      </c>
      <c r="K620" s="3">
        <v>46006</v>
      </c>
      <c r="L620">
        <v>210</v>
      </c>
      <c r="M620" t="s">
        <v>13</v>
      </c>
      <c r="N620" s="79">
        <f t="shared" si="55"/>
        <v>-2.0001652219362807E-2</v>
      </c>
      <c r="O620">
        <f>VLOOKUP(B620,'Customer TDS'!A:D,4,0)</f>
        <v>4021.59</v>
      </c>
      <c r="P620" s="38">
        <f t="shared" si="49"/>
        <v>-197041.30000000002</v>
      </c>
      <c r="Q620">
        <f>VLOOKUP(B620,Ascendus!E:I,5,0)</f>
        <v>200000</v>
      </c>
      <c r="R620" s="38">
        <f t="shared" si="56"/>
        <v>-1062.890000000014</v>
      </c>
      <c r="S620" t="s">
        <v>915</v>
      </c>
    </row>
    <row r="621" spans="1:19" x14ac:dyDescent="0.35">
      <c r="A621" t="s">
        <v>454</v>
      </c>
      <c r="B621" s="4">
        <v>256779417876</v>
      </c>
      <c r="C621" s="3">
        <v>45787</v>
      </c>
      <c r="D621" s="1">
        <v>-90.71</v>
      </c>
      <c r="E621" s="1">
        <v>-8042.3</v>
      </c>
      <c r="F621" t="s">
        <v>43</v>
      </c>
      <c r="G621" s="3">
        <v>45758</v>
      </c>
      <c r="H621" t="s">
        <v>11</v>
      </c>
      <c r="I621" s="2">
        <v>45992</v>
      </c>
      <c r="J621">
        <v>1</v>
      </c>
      <c r="K621" s="3">
        <v>46006</v>
      </c>
      <c r="L621">
        <v>210</v>
      </c>
      <c r="M621" t="s">
        <v>13</v>
      </c>
      <c r="N621" s="79">
        <f t="shared" si="55"/>
        <v>-1.9953247205401439E-2</v>
      </c>
      <c r="O621">
        <f>VLOOKUP(B621,'Customer TDS'!A:D,4,0)</f>
        <v>160.47</v>
      </c>
      <c r="P621" s="38">
        <f t="shared" si="49"/>
        <v>-7881.83</v>
      </c>
      <c r="Q621">
        <f>VLOOKUP(B621,Ascendus!E:I,5,0)</f>
        <v>8000</v>
      </c>
      <c r="R621" s="38">
        <f t="shared" si="56"/>
        <v>-42.300000000000182</v>
      </c>
      <c r="S621" t="s">
        <v>915</v>
      </c>
    </row>
    <row r="622" spans="1:19" x14ac:dyDescent="0.35">
      <c r="A622" t="s">
        <v>454</v>
      </c>
      <c r="B622" s="4">
        <v>256779417877</v>
      </c>
      <c r="C622" s="3">
        <v>45787</v>
      </c>
      <c r="D622" s="1">
        <v>-49.89</v>
      </c>
      <c r="E622" s="1">
        <v>-4423.22</v>
      </c>
      <c r="F622" t="s">
        <v>43</v>
      </c>
      <c r="G622" s="3">
        <v>45758</v>
      </c>
      <c r="H622" t="s">
        <v>11</v>
      </c>
      <c r="I622" s="2">
        <v>45992</v>
      </c>
      <c r="J622">
        <v>1</v>
      </c>
      <c r="K622" s="3">
        <v>46006</v>
      </c>
      <c r="L622">
        <v>210</v>
      </c>
      <c r="M622" t="s">
        <v>13</v>
      </c>
      <c r="N622" s="79">
        <f t="shared" si="55"/>
        <v>-2.0044221178236666E-2</v>
      </c>
      <c r="O622">
        <f>VLOOKUP(B622,'Customer TDS'!A:D,4,0)</f>
        <v>88.66</v>
      </c>
      <c r="P622" s="38">
        <f t="shared" si="49"/>
        <v>-4334.5600000000004</v>
      </c>
      <c r="Q622">
        <f>VLOOKUP(B622,Ascendus!E:I,5,0)</f>
        <v>4400</v>
      </c>
      <c r="R622" s="38">
        <f t="shared" si="56"/>
        <v>-23.220000000000255</v>
      </c>
      <c r="S622" t="s">
        <v>915</v>
      </c>
    </row>
    <row r="623" spans="1:19" x14ac:dyDescent="0.35">
      <c r="A623" t="s">
        <v>454</v>
      </c>
      <c r="B623" s="4">
        <v>256779418391</v>
      </c>
      <c r="C623" s="3">
        <v>45787</v>
      </c>
      <c r="D623" s="1">
        <v>-38.51</v>
      </c>
      <c r="E623" s="1">
        <v>-3414.28</v>
      </c>
      <c r="F623" t="s">
        <v>43</v>
      </c>
      <c r="G623" s="3">
        <v>45758</v>
      </c>
      <c r="H623" t="s">
        <v>11</v>
      </c>
      <c r="I623" s="2">
        <v>45992</v>
      </c>
      <c r="J623">
        <v>1</v>
      </c>
      <c r="K623" s="3">
        <v>46006</v>
      </c>
      <c r="L623">
        <v>210</v>
      </c>
      <c r="M623" t="s">
        <v>13</v>
      </c>
      <c r="N623" s="79">
        <f t="shared" si="55"/>
        <v>-1.9995430954696157E-2</v>
      </c>
      <c r="O623">
        <f>VLOOKUP(B623,'Customer TDS'!A:D,4,0)</f>
        <v>68.27</v>
      </c>
      <c r="P623" s="38">
        <f t="shared" si="49"/>
        <v>-3346.01</v>
      </c>
      <c r="Q623">
        <f>VLOOKUP(B623,Ascendus!E:I,5,0)</f>
        <v>3396.23</v>
      </c>
      <c r="R623" s="38">
        <f t="shared" si="56"/>
        <v>-18.050000000000182</v>
      </c>
      <c r="S623" t="s">
        <v>915</v>
      </c>
    </row>
    <row r="624" spans="1:19" x14ac:dyDescent="0.35">
      <c r="A624" t="s">
        <v>454</v>
      </c>
      <c r="B624" s="4">
        <v>256779417931</v>
      </c>
      <c r="C624" s="3">
        <v>45787</v>
      </c>
      <c r="D624" s="1">
        <v>-288.83999999999997</v>
      </c>
      <c r="E624" s="1">
        <v>-25608.41</v>
      </c>
      <c r="F624" t="s">
        <v>43</v>
      </c>
      <c r="G624" s="3">
        <v>45758</v>
      </c>
      <c r="H624" t="s">
        <v>11</v>
      </c>
      <c r="I624" s="2">
        <v>45992</v>
      </c>
      <c r="J624">
        <v>1</v>
      </c>
      <c r="K624" s="3">
        <v>46006</v>
      </c>
      <c r="L624">
        <v>210</v>
      </c>
      <c r="M624" t="s">
        <v>13</v>
      </c>
      <c r="N624" s="79">
        <f t="shared" si="55"/>
        <v>-2.0011004197449198E-2</v>
      </c>
      <c r="O624">
        <f>VLOOKUP(B624,'Customer TDS'!A:D,4,0)</f>
        <v>512.45000000000005</v>
      </c>
      <c r="P624" s="38">
        <f t="shared" si="49"/>
        <v>-25095.96</v>
      </c>
      <c r="Q624">
        <f>VLOOKUP(B624,Ascendus!E:I,5,0)</f>
        <v>25473.02</v>
      </c>
      <c r="R624" s="38">
        <f t="shared" si="56"/>
        <v>-135.38999999999942</v>
      </c>
      <c r="S624" t="s">
        <v>915</v>
      </c>
    </row>
    <row r="625" spans="1:19" x14ac:dyDescent="0.35">
      <c r="A625" t="s">
        <v>454</v>
      </c>
      <c r="B625" s="4">
        <v>256779417892</v>
      </c>
      <c r="C625" s="3">
        <v>45787</v>
      </c>
      <c r="D625" s="1">
        <v>-58.45</v>
      </c>
      <c r="E625" s="1">
        <v>-5182.1499999999996</v>
      </c>
      <c r="F625" t="s">
        <v>43</v>
      </c>
      <c r="G625" s="3">
        <v>45758</v>
      </c>
      <c r="H625" t="s">
        <v>11</v>
      </c>
      <c r="I625" s="2">
        <v>45992</v>
      </c>
      <c r="J625">
        <v>1</v>
      </c>
      <c r="K625" s="3">
        <v>46006</v>
      </c>
      <c r="L625">
        <v>210</v>
      </c>
      <c r="M625" t="s">
        <v>13</v>
      </c>
      <c r="N625" s="79">
        <f t="shared" si="55"/>
        <v>-2.0016788398637634E-2</v>
      </c>
      <c r="O625">
        <f>VLOOKUP(B625,'Customer TDS'!A:D,4,0)</f>
        <v>103.73</v>
      </c>
      <c r="P625" s="38">
        <f t="shared" si="49"/>
        <v>-5078.42</v>
      </c>
      <c r="Q625">
        <f>VLOOKUP(B625,Ascendus!E:I,5,0)</f>
        <v>5154.75</v>
      </c>
      <c r="R625" s="38">
        <f t="shared" si="56"/>
        <v>-27.399999999999636</v>
      </c>
      <c r="S625" t="s">
        <v>915</v>
      </c>
    </row>
    <row r="626" spans="1:19" x14ac:dyDescent="0.35">
      <c r="A626" t="s">
        <v>454</v>
      </c>
      <c r="B626" s="4">
        <v>256779417875</v>
      </c>
      <c r="C626" s="3">
        <v>45787</v>
      </c>
      <c r="D626" s="1">
        <v>0</v>
      </c>
      <c r="E626" s="1">
        <v>-2736.39</v>
      </c>
      <c r="F626" t="s">
        <v>15</v>
      </c>
      <c r="G626" s="3">
        <v>45758</v>
      </c>
      <c r="H626" t="s">
        <v>11</v>
      </c>
      <c r="I626" s="2">
        <v>45992</v>
      </c>
      <c r="J626">
        <v>60</v>
      </c>
      <c r="K626" s="3">
        <v>46022</v>
      </c>
      <c r="L626">
        <v>271</v>
      </c>
      <c r="M626" t="s">
        <v>13</v>
      </c>
      <c r="P626" s="38">
        <f t="shared" si="49"/>
        <v>-2736.39</v>
      </c>
      <c r="S626" t="s">
        <v>918</v>
      </c>
    </row>
    <row r="627" spans="1:19" x14ac:dyDescent="0.35">
      <c r="A627" t="s">
        <v>454</v>
      </c>
      <c r="B627" s="4">
        <v>256779417876</v>
      </c>
      <c r="C627" s="3">
        <v>45787</v>
      </c>
      <c r="D627" s="1">
        <v>0</v>
      </c>
      <c r="E627" s="1">
        <v>-109.46</v>
      </c>
      <c r="F627" t="s">
        <v>15</v>
      </c>
      <c r="G627" s="3">
        <v>45758</v>
      </c>
      <c r="H627" t="s">
        <v>11</v>
      </c>
      <c r="I627" s="2">
        <v>45992</v>
      </c>
      <c r="J627">
        <v>62</v>
      </c>
      <c r="K627" s="3">
        <v>46022</v>
      </c>
      <c r="L627">
        <v>271</v>
      </c>
      <c r="M627" t="s">
        <v>13</v>
      </c>
      <c r="P627" s="38">
        <f t="shared" si="49"/>
        <v>-109.46</v>
      </c>
      <c r="S627" t="s">
        <v>918</v>
      </c>
    </row>
    <row r="628" spans="1:19" x14ac:dyDescent="0.35">
      <c r="A628" t="s">
        <v>454</v>
      </c>
      <c r="B628" s="4">
        <v>256779417877</v>
      </c>
      <c r="C628" s="3">
        <v>45787</v>
      </c>
      <c r="D628" s="1">
        <v>0</v>
      </c>
      <c r="E628" s="1">
        <v>-60.2</v>
      </c>
      <c r="F628" t="s">
        <v>15</v>
      </c>
      <c r="G628" s="3">
        <v>45758</v>
      </c>
      <c r="H628" t="s">
        <v>11</v>
      </c>
      <c r="I628" s="2">
        <v>45992</v>
      </c>
      <c r="J628">
        <v>64</v>
      </c>
      <c r="K628" s="3">
        <v>46022</v>
      </c>
      <c r="L628">
        <v>271</v>
      </c>
      <c r="M628" t="s">
        <v>13</v>
      </c>
      <c r="P628" s="38">
        <f t="shared" si="49"/>
        <v>-60.2</v>
      </c>
      <c r="S628" t="s">
        <v>918</v>
      </c>
    </row>
    <row r="629" spans="1:19" x14ac:dyDescent="0.35">
      <c r="A629" t="s">
        <v>454</v>
      </c>
      <c r="B629" s="4">
        <v>256779419971</v>
      </c>
      <c r="C629" s="3">
        <v>45759</v>
      </c>
      <c r="D629" s="1">
        <v>-90.19</v>
      </c>
      <c r="E629" s="1">
        <v>-8040.87</v>
      </c>
      <c r="F629" t="s">
        <v>403</v>
      </c>
      <c r="G629" s="3">
        <v>46082</v>
      </c>
      <c r="H629" t="s">
        <v>11</v>
      </c>
      <c r="I629" s="2">
        <v>46023</v>
      </c>
      <c r="J629">
        <v>1</v>
      </c>
      <c r="K629" s="3">
        <v>46050</v>
      </c>
      <c r="L629">
        <v>210</v>
      </c>
      <c r="M629" t="s">
        <v>13</v>
      </c>
      <c r="N629" s="79">
        <f>O629/E629</f>
        <v>-1.995803936638697E-2</v>
      </c>
      <c r="O629">
        <f>VLOOKUP(B629,'Customer TDS'!A:D,4,0)</f>
        <v>160.47999999999999</v>
      </c>
      <c r="P629" s="38">
        <f t="shared" si="49"/>
        <v>-7880.39</v>
      </c>
      <c r="Q629">
        <f>VLOOKUP(B629,Ascendus!E:I,5,0)</f>
        <v>8000</v>
      </c>
      <c r="R629" s="38">
        <f t="shared" ref="R629:R631" si="57">E629+Q629</f>
        <v>-40.869999999999891</v>
      </c>
      <c r="S629" t="s">
        <v>915</v>
      </c>
    </row>
    <row r="630" spans="1:19" x14ac:dyDescent="0.35">
      <c r="A630" t="s">
        <v>454</v>
      </c>
      <c r="B630" s="4">
        <v>256779419972</v>
      </c>
      <c r="C630" s="3">
        <v>45759</v>
      </c>
      <c r="D630" s="1">
        <v>-49.61</v>
      </c>
      <c r="E630" s="1">
        <v>-4422.97</v>
      </c>
      <c r="G630" s="3">
        <v>46082</v>
      </c>
      <c r="H630" t="s">
        <v>11</v>
      </c>
      <c r="I630" s="2">
        <v>46023</v>
      </c>
      <c r="J630">
        <v>1</v>
      </c>
      <c r="K630" s="3">
        <v>46050</v>
      </c>
      <c r="L630">
        <v>210</v>
      </c>
      <c r="M630" t="s">
        <v>13</v>
      </c>
      <c r="N630" s="79">
        <f>O630/E630</f>
        <v>-1.9954917171041177E-2</v>
      </c>
      <c r="O630">
        <f>VLOOKUP(B630,'Customer TDS'!A:D,4,0)</f>
        <v>88.26</v>
      </c>
      <c r="P630" s="38">
        <f t="shared" si="49"/>
        <v>-4334.71</v>
      </c>
      <c r="Q630">
        <f>VLOOKUP(B630,Ascendus!E:I,5,0)</f>
        <v>4400</v>
      </c>
      <c r="R630" s="38">
        <f t="shared" si="57"/>
        <v>-22.970000000000255</v>
      </c>
      <c r="S630" t="s">
        <v>915</v>
      </c>
    </row>
    <row r="631" spans="1:19" x14ac:dyDescent="0.35">
      <c r="A631" t="s">
        <v>454</v>
      </c>
      <c r="B631" s="4">
        <v>256779419970</v>
      </c>
      <c r="C631" s="3">
        <v>45759</v>
      </c>
      <c r="D631" s="1">
        <v>-2254.79</v>
      </c>
      <c r="E631" s="1">
        <v>-201025.31</v>
      </c>
      <c r="F631" t="s">
        <v>43</v>
      </c>
      <c r="G631" s="3">
        <v>46082</v>
      </c>
      <c r="H631" t="s">
        <v>11</v>
      </c>
      <c r="I631" s="2">
        <v>46023</v>
      </c>
      <c r="J631">
        <v>1</v>
      </c>
      <c r="K631" s="3">
        <v>46050</v>
      </c>
      <c r="L631">
        <v>210</v>
      </c>
      <c r="M631" t="s">
        <v>13</v>
      </c>
      <c r="N631" s="79">
        <f>O631/E631</f>
        <v>-2.0001859467347671E-2</v>
      </c>
      <c r="O631">
        <f>VLOOKUP(B631,'Customer TDS'!A:D,4,0)</f>
        <v>4020.88</v>
      </c>
      <c r="P631" s="38">
        <f t="shared" si="49"/>
        <v>-197004.43</v>
      </c>
      <c r="Q631">
        <f>VLOOKUP(B631,Ascendus!E:I,5,0)</f>
        <v>200000</v>
      </c>
      <c r="R631" s="38">
        <f t="shared" si="57"/>
        <v>-1025.3099999999977</v>
      </c>
      <c r="S631" t="s">
        <v>915</v>
      </c>
    </row>
    <row r="632" spans="1:19" x14ac:dyDescent="0.35">
      <c r="A632" t="s">
        <v>454</v>
      </c>
      <c r="B632" s="4">
        <v>256779419971</v>
      </c>
      <c r="C632" s="3">
        <v>45759</v>
      </c>
      <c r="D632" s="1">
        <v>0</v>
      </c>
      <c r="E632" s="1">
        <v>-218.85</v>
      </c>
      <c r="F632" t="s">
        <v>15</v>
      </c>
      <c r="G632" s="3">
        <v>46082</v>
      </c>
      <c r="H632" t="s">
        <v>11</v>
      </c>
      <c r="I632" s="2">
        <v>46023</v>
      </c>
      <c r="J632">
        <v>86</v>
      </c>
      <c r="K632" s="3">
        <v>46053</v>
      </c>
      <c r="L632">
        <v>271</v>
      </c>
      <c r="M632" t="s">
        <v>13</v>
      </c>
      <c r="P632" s="38">
        <f t="shared" si="49"/>
        <v>-218.85</v>
      </c>
      <c r="S632" t="s">
        <v>918</v>
      </c>
    </row>
    <row r="633" spans="1:19" x14ac:dyDescent="0.35">
      <c r="A633" t="s">
        <v>454</v>
      </c>
      <c r="B633" s="4">
        <v>256779419972</v>
      </c>
      <c r="C633" s="3">
        <v>45759</v>
      </c>
      <c r="D633" s="1">
        <v>0</v>
      </c>
      <c r="E633" s="1">
        <v>-120.38</v>
      </c>
      <c r="F633" t="s">
        <v>15</v>
      </c>
      <c r="G633" s="3">
        <v>46082</v>
      </c>
      <c r="H633" t="s">
        <v>11</v>
      </c>
      <c r="I633" s="2">
        <v>46023</v>
      </c>
      <c r="J633">
        <v>96</v>
      </c>
      <c r="K633" s="3">
        <v>46053</v>
      </c>
      <c r="L633">
        <v>271</v>
      </c>
      <c r="M633" t="s">
        <v>13</v>
      </c>
      <c r="P633" s="38">
        <f t="shared" si="49"/>
        <v>-120.38</v>
      </c>
      <c r="S633" t="s">
        <v>918</v>
      </c>
    </row>
    <row r="634" spans="1:19" x14ac:dyDescent="0.35">
      <c r="A634" t="s">
        <v>454</v>
      </c>
      <c r="B634" s="4">
        <v>256779419970</v>
      </c>
      <c r="C634" s="3">
        <v>45759</v>
      </c>
      <c r="D634" s="1">
        <v>0</v>
      </c>
      <c r="E634" s="1">
        <v>-5471.08</v>
      </c>
      <c r="F634" t="s">
        <v>15</v>
      </c>
      <c r="G634" s="3">
        <v>46082</v>
      </c>
      <c r="H634" t="s">
        <v>11</v>
      </c>
      <c r="I634" s="2">
        <v>46023</v>
      </c>
      <c r="J634">
        <v>100</v>
      </c>
      <c r="K634" s="3">
        <v>46053</v>
      </c>
      <c r="L634">
        <v>271</v>
      </c>
      <c r="M634" t="s">
        <v>13</v>
      </c>
      <c r="P634" s="38">
        <f t="shared" si="49"/>
        <v>-5471.08</v>
      </c>
      <c r="S634" t="s">
        <v>918</v>
      </c>
    </row>
    <row r="635" spans="1:19" x14ac:dyDescent="0.35">
      <c r="A635" t="s">
        <v>454</v>
      </c>
      <c r="B635" s="4">
        <v>256779416909</v>
      </c>
      <c r="C635" s="3">
        <v>45757</v>
      </c>
      <c r="D635" s="1">
        <v>-989.55</v>
      </c>
      <c r="E635" s="1">
        <v>-87733</v>
      </c>
      <c r="G635" s="3">
        <v>45727</v>
      </c>
      <c r="H635" t="s">
        <v>11</v>
      </c>
      <c r="I635" s="2">
        <v>45992</v>
      </c>
      <c r="J635">
        <v>1</v>
      </c>
      <c r="K635" s="3">
        <v>46022</v>
      </c>
      <c r="L635">
        <v>210</v>
      </c>
      <c r="M635" t="s">
        <v>13</v>
      </c>
      <c r="N635" s="79">
        <f>O635/E635</f>
        <v>-1.9998974160236171E-2</v>
      </c>
      <c r="O635">
        <f>VLOOKUP(B635,'Customer TDS'!A:D,4,0)</f>
        <v>1754.57</v>
      </c>
      <c r="P635" s="38">
        <f t="shared" si="49"/>
        <v>-85978.43</v>
      </c>
      <c r="Q635">
        <f>VLOOKUP(B635,Ascendus!E:I,5,0)</f>
        <v>86599.81</v>
      </c>
      <c r="R635" s="38">
        <f>E635+Q635</f>
        <v>-1133.1900000000023</v>
      </c>
      <c r="S635" t="s">
        <v>915</v>
      </c>
    </row>
    <row r="636" spans="1:19" x14ac:dyDescent="0.35">
      <c r="A636" t="s">
        <v>454</v>
      </c>
      <c r="B636" s="4">
        <v>256779416909</v>
      </c>
      <c r="C636" s="3">
        <v>45757</v>
      </c>
      <c r="D636" s="1">
        <v>0</v>
      </c>
      <c r="E636" s="1">
        <v>-1194.02</v>
      </c>
      <c r="F636" t="s">
        <v>15</v>
      </c>
      <c r="G636" s="3">
        <v>45727</v>
      </c>
      <c r="H636" t="s">
        <v>11</v>
      </c>
      <c r="I636" s="2">
        <v>45992</v>
      </c>
      <c r="J636">
        <v>84</v>
      </c>
      <c r="K636" s="3">
        <v>46022</v>
      </c>
      <c r="L636">
        <v>271</v>
      </c>
      <c r="M636" t="s">
        <v>13</v>
      </c>
      <c r="P636" s="38">
        <f t="shared" si="49"/>
        <v>-1194.02</v>
      </c>
      <c r="S636" t="s">
        <v>918</v>
      </c>
    </row>
    <row r="637" spans="1:19" x14ac:dyDescent="0.35">
      <c r="A637" t="s">
        <v>454</v>
      </c>
      <c r="B637" s="4">
        <v>256779417134</v>
      </c>
      <c r="C637" s="3">
        <v>45756</v>
      </c>
      <c r="D637" s="1">
        <v>-536.44000000000005</v>
      </c>
      <c r="E637" s="1">
        <v>-47020</v>
      </c>
      <c r="G637" s="3">
        <v>45757</v>
      </c>
      <c r="H637" t="s">
        <v>11</v>
      </c>
      <c r="I637" s="2">
        <v>45931</v>
      </c>
      <c r="J637">
        <v>1</v>
      </c>
      <c r="K637" s="3">
        <v>45959</v>
      </c>
      <c r="L637">
        <v>210</v>
      </c>
      <c r="M637" t="s">
        <v>13</v>
      </c>
      <c r="N637" s="79">
        <f>O637/E637</f>
        <v>-2.0002339430029773E-2</v>
      </c>
      <c r="O637">
        <f>VLOOKUP(B637,'Customer TDS'!A:D,4,0)</f>
        <v>940.51</v>
      </c>
      <c r="P637" s="38">
        <f t="shared" si="49"/>
        <v>-46079.49</v>
      </c>
      <c r="Q637">
        <f>VLOOKUP(B637,Ascendus!E:I,5,0)</f>
        <v>46946.19</v>
      </c>
      <c r="R637" s="38">
        <f t="shared" ref="R637:R640" si="58">E637+Q637</f>
        <v>-73.809999999997672</v>
      </c>
      <c r="S637" t="s">
        <v>915</v>
      </c>
    </row>
    <row r="638" spans="1:19" x14ac:dyDescent="0.35">
      <c r="A638" t="s">
        <v>454</v>
      </c>
      <c r="B638" s="4">
        <v>256779417200</v>
      </c>
      <c r="C638" s="3">
        <v>45756</v>
      </c>
      <c r="D638" s="1">
        <v>-100.74</v>
      </c>
      <c r="E638" s="1">
        <v>-8830.0499999999993</v>
      </c>
      <c r="G638" s="3">
        <v>45757</v>
      </c>
      <c r="H638" t="s">
        <v>11</v>
      </c>
      <c r="I638" s="2">
        <v>45931</v>
      </c>
      <c r="J638">
        <v>1</v>
      </c>
      <c r="K638" s="3">
        <v>45959</v>
      </c>
      <c r="L638">
        <v>210</v>
      </c>
      <c r="M638" t="s">
        <v>13</v>
      </c>
      <c r="N638" s="79">
        <f>O638/E638</f>
        <v>-1.9952321900781993E-2</v>
      </c>
      <c r="O638">
        <f>VLOOKUP(B638,'Customer TDS'!A:D,4,0)</f>
        <v>176.18</v>
      </c>
      <c r="P638" s="38">
        <f t="shared" si="49"/>
        <v>-8653.869999999999</v>
      </c>
      <c r="Q638">
        <f>VLOOKUP(B638,Ascendus!E:I,5,0)</f>
        <v>8816.19</v>
      </c>
      <c r="R638" s="38">
        <f t="shared" si="58"/>
        <v>-13.859999999998763</v>
      </c>
      <c r="S638" t="s">
        <v>915</v>
      </c>
    </row>
    <row r="639" spans="1:19" x14ac:dyDescent="0.35">
      <c r="A639" t="s">
        <v>454</v>
      </c>
      <c r="B639" s="4">
        <v>256779417238</v>
      </c>
      <c r="C639" s="3">
        <v>45756</v>
      </c>
      <c r="D639" s="1">
        <v>-608.78</v>
      </c>
      <c r="E639" s="1">
        <v>-53360.74</v>
      </c>
      <c r="G639" s="3">
        <v>45757</v>
      </c>
      <c r="H639" t="s">
        <v>11</v>
      </c>
      <c r="I639" s="2">
        <v>45931</v>
      </c>
      <c r="J639">
        <v>1</v>
      </c>
      <c r="K639" s="3">
        <v>45959</v>
      </c>
      <c r="L639">
        <v>210</v>
      </c>
      <c r="M639" t="s">
        <v>13</v>
      </c>
      <c r="N639" s="79">
        <f>O639/E639</f>
        <v>-2.0007218790444061E-2</v>
      </c>
      <c r="O639">
        <f>VLOOKUP(B639,'Customer TDS'!A:D,4,0)</f>
        <v>1067.5999999999999</v>
      </c>
      <c r="P639" s="38">
        <f t="shared" si="49"/>
        <v>-52293.14</v>
      </c>
      <c r="Q639">
        <f>VLOOKUP(B639,Ascendus!E:I,5,0)</f>
        <v>53276.97</v>
      </c>
      <c r="R639" s="38">
        <f t="shared" si="58"/>
        <v>-83.769999999996799</v>
      </c>
      <c r="S639" t="s">
        <v>915</v>
      </c>
    </row>
    <row r="640" spans="1:19" x14ac:dyDescent="0.35">
      <c r="A640" t="s">
        <v>454</v>
      </c>
      <c r="B640" s="4">
        <v>256779417137</v>
      </c>
      <c r="C640" s="3">
        <v>45756</v>
      </c>
      <c r="D640" s="1">
        <v>-409.79</v>
      </c>
      <c r="E640" s="1">
        <v>-35918.879999999997</v>
      </c>
      <c r="G640" s="3">
        <v>45757</v>
      </c>
      <c r="H640" t="s">
        <v>11</v>
      </c>
      <c r="I640" s="2">
        <v>45931</v>
      </c>
      <c r="J640">
        <v>1</v>
      </c>
      <c r="K640" s="3">
        <v>45959</v>
      </c>
      <c r="L640">
        <v>210</v>
      </c>
      <c r="M640" t="s">
        <v>13</v>
      </c>
      <c r="N640" s="79">
        <f>O640/E640</f>
        <v>-2.001036780656858E-2</v>
      </c>
      <c r="O640">
        <f>VLOOKUP(B640,'Customer TDS'!A:D,4,0)</f>
        <v>718.75</v>
      </c>
      <c r="P640" s="38">
        <f t="shared" si="49"/>
        <v>-35200.129999999997</v>
      </c>
      <c r="Q640">
        <f>VLOOKUP(B640,Ascendus!E:I,5,0)</f>
        <v>35862.5</v>
      </c>
      <c r="R640" s="38">
        <f t="shared" si="58"/>
        <v>-56.379999999997381</v>
      </c>
      <c r="S640" t="s">
        <v>915</v>
      </c>
    </row>
    <row r="641" spans="1:19" x14ac:dyDescent="0.35">
      <c r="A641" t="s">
        <v>454</v>
      </c>
      <c r="B641" s="4">
        <v>256779417134</v>
      </c>
      <c r="C641" s="3">
        <v>45756</v>
      </c>
      <c r="D641" s="1">
        <v>0</v>
      </c>
      <c r="E641" s="1">
        <v>-315.77</v>
      </c>
      <c r="F641" t="s">
        <v>15</v>
      </c>
      <c r="G641" s="3">
        <v>45757</v>
      </c>
      <c r="H641" t="s">
        <v>11</v>
      </c>
      <c r="I641" s="2">
        <v>45931</v>
      </c>
      <c r="J641">
        <v>54</v>
      </c>
      <c r="K641" s="3">
        <v>45961</v>
      </c>
      <c r="L641">
        <v>271</v>
      </c>
      <c r="M641" t="s">
        <v>13</v>
      </c>
      <c r="P641" s="38">
        <f t="shared" si="49"/>
        <v>-315.77</v>
      </c>
      <c r="S641" t="s">
        <v>918</v>
      </c>
    </row>
    <row r="642" spans="1:19" x14ac:dyDescent="0.35">
      <c r="A642" t="s">
        <v>454</v>
      </c>
      <c r="B642" s="4">
        <v>256779417200</v>
      </c>
      <c r="C642" s="3">
        <v>45756</v>
      </c>
      <c r="D642" s="1">
        <v>0</v>
      </c>
      <c r="E642" s="1">
        <v>-59.31</v>
      </c>
      <c r="F642" t="s">
        <v>15</v>
      </c>
      <c r="G642" s="3">
        <v>45757</v>
      </c>
      <c r="H642" t="s">
        <v>11</v>
      </c>
      <c r="I642" s="2">
        <v>45931</v>
      </c>
      <c r="J642">
        <v>56</v>
      </c>
      <c r="K642" s="3">
        <v>45961</v>
      </c>
      <c r="L642">
        <v>271</v>
      </c>
      <c r="M642" t="s">
        <v>13</v>
      </c>
      <c r="P642" s="38">
        <f t="shared" si="49"/>
        <v>-59.31</v>
      </c>
      <c r="S642" t="s">
        <v>918</v>
      </c>
    </row>
    <row r="643" spans="1:19" x14ac:dyDescent="0.35">
      <c r="A643" t="s">
        <v>454</v>
      </c>
      <c r="B643" s="4">
        <v>256779417238</v>
      </c>
      <c r="C643" s="3">
        <v>45756</v>
      </c>
      <c r="D643" s="1">
        <v>0</v>
      </c>
      <c r="E643" s="1">
        <v>-358.34</v>
      </c>
      <c r="F643" t="s">
        <v>15</v>
      </c>
      <c r="G643" s="3">
        <v>45757</v>
      </c>
      <c r="H643" t="s">
        <v>11</v>
      </c>
      <c r="I643" s="2">
        <v>45931</v>
      </c>
      <c r="J643">
        <v>58</v>
      </c>
      <c r="K643" s="3">
        <v>45961</v>
      </c>
      <c r="L643">
        <v>271</v>
      </c>
      <c r="M643" t="s">
        <v>13</v>
      </c>
      <c r="P643" s="38">
        <f t="shared" si="49"/>
        <v>-358.34</v>
      </c>
      <c r="S643" t="s">
        <v>918</v>
      </c>
    </row>
    <row r="644" spans="1:19" x14ac:dyDescent="0.35">
      <c r="A644" t="s">
        <v>454</v>
      </c>
      <c r="B644" s="4">
        <v>256779417137</v>
      </c>
      <c r="C644" s="3">
        <v>45756</v>
      </c>
      <c r="D644" s="1">
        <v>0</v>
      </c>
      <c r="E644" s="1">
        <v>-241.22</v>
      </c>
      <c r="F644" t="s">
        <v>15</v>
      </c>
      <c r="G644" s="3">
        <v>45757</v>
      </c>
      <c r="H644" t="s">
        <v>11</v>
      </c>
      <c r="I644" s="2">
        <v>45931</v>
      </c>
      <c r="J644">
        <v>62</v>
      </c>
      <c r="K644" s="3">
        <v>45961</v>
      </c>
      <c r="L644">
        <v>271</v>
      </c>
      <c r="M644" t="s">
        <v>13</v>
      </c>
      <c r="P644" s="38">
        <f t="shared" ref="P644:P707" si="59">E644+O644</f>
        <v>-241.22</v>
      </c>
      <c r="S644" t="s">
        <v>918</v>
      </c>
    </row>
    <row r="645" spans="1:19" x14ac:dyDescent="0.35">
      <c r="A645" t="s">
        <v>454</v>
      </c>
      <c r="B645" s="4">
        <v>256779417349</v>
      </c>
      <c r="C645" s="3">
        <v>45756</v>
      </c>
      <c r="D645" s="1">
        <v>-91.41</v>
      </c>
      <c r="E645" s="1">
        <v>-8012.26</v>
      </c>
      <c r="G645" s="3">
        <v>45757</v>
      </c>
      <c r="H645" t="s">
        <v>11</v>
      </c>
      <c r="I645" s="2">
        <v>45962</v>
      </c>
      <c r="J645">
        <v>1</v>
      </c>
      <c r="K645" s="3">
        <v>45972</v>
      </c>
      <c r="L645">
        <v>210</v>
      </c>
      <c r="M645" t="s">
        <v>13</v>
      </c>
      <c r="N645" s="79">
        <f>O645/E645</f>
        <v>-2.0019320391500027E-2</v>
      </c>
      <c r="O645">
        <f>VLOOKUP(B645,'Customer TDS'!A:D,4,0)</f>
        <v>160.4</v>
      </c>
      <c r="P645" s="38">
        <f t="shared" si="59"/>
        <v>-7851.8600000000006</v>
      </c>
      <c r="Q645">
        <f>VLOOKUP(B645,Ascendus!E:I,5,0)</f>
        <v>8000</v>
      </c>
      <c r="R645" s="38">
        <f t="shared" ref="R645:R649" si="60">E645+Q645</f>
        <v>-12.260000000000218</v>
      </c>
      <c r="S645" t="s">
        <v>915</v>
      </c>
    </row>
    <row r="646" spans="1:19" x14ac:dyDescent="0.35">
      <c r="A646" t="s">
        <v>454</v>
      </c>
      <c r="B646" s="4">
        <v>256779417158</v>
      </c>
      <c r="C646" s="3">
        <v>45756</v>
      </c>
      <c r="D646" s="1">
        <v>-110</v>
      </c>
      <c r="E646" s="1">
        <v>-9641.7099999999991</v>
      </c>
      <c r="G646" s="3">
        <v>45757</v>
      </c>
      <c r="H646" t="s">
        <v>11</v>
      </c>
      <c r="I646" s="2">
        <v>45962</v>
      </c>
      <c r="J646">
        <v>1</v>
      </c>
      <c r="K646" s="3">
        <v>45972</v>
      </c>
      <c r="L646">
        <v>210</v>
      </c>
      <c r="M646" t="s">
        <v>13</v>
      </c>
      <c r="N646" s="79">
        <f>O646/E646</f>
        <v>-1.9999564392623303E-2</v>
      </c>
      <c r="O646">
        <f>VLOOKUP(B646,'Customer TDS'!A:D,4,0)</f>
        <v>192.83</v>
      </c>
      <c r="P646" s="38">
        <f t="shared" si="59"/>
        <v>-9448.8799999999992</v>
      </c>
      <c r="Q646">
        <f>VLOOKUP(B646,Ascendus!E:I,5,0)</f>
        <v>9626.58</v>
      </c>
      <c r="R646" s="38">
        <f t="shared" si="60"/>
        <v>-15.1299999999992</v>
      </c>
      <c r="S646" t="s">
        <v>915</v>
      </c>
    </row>
    <row r="647" spans="1:19" x14ac:dyDescent="0.35">
      <c r="A647" t="s">
        <v>454</v>
      </c>
      <c r="B647" s="4">
        <v>256779417350</v>
      </c>
      <c r="C647" s="3">
        <v>45756</v>
      </c>
      <c r="D647" s="1">
        <v>-50</v>
      </c>
      <c r="E647" s="1">
        <v>-4382.6000000000004</v>
      </c>
      <c r="G647" s="3">
        <v>45757</v>
      </c>
      <c r="H647" t="s">
        <v>11</v>
      </c>
      <c r="I647" s="2">
        <v>45962</v>
      </c>
      <c r="J647">
        <v>1</v>
      </c>
      <c r="K647" s="3">
        <v>45972</v>
      </c>
      <c r="L647">
        <v>210</v>
      </c>
      <c r="M647" t="s">
        <v>13</v>
      </c>
      <c r="N647" s="79">
        <f>O647/E647</f>
        <v>-1.9999543649888193E-2</v>
      </c>
      <c r="O647">
        <f>VLOOKUP(B647,'Customer TDS'!A:D,4,0)</f>
        <v>87.65</v>
      </c>
      <c r="P647" s="38">
        <f t="shared" si="59"/>
        <v>-4294.9500000000007</v>
      </c>
      <c r="Q647">
        <f>VLOOKUP(B647,Ascendus!E:I,5,0)</f>
        <v>4400</v>
      </c>
      <c r="R647" s="38">
        <f t="shared" si="60"/>
        <v>17.399999999999636</v>
      </c>
      <c r="S647" t="s">
        <v>915</v>
      </c>
    </row>
    <row r="648" spans="1:19" x14ac:dyDescent="0.35">
      <c r="A648" t="s">
        <v>454</v>
      </c>
      <c r="B648" s="4">
        <v>256779417257</v>
      </c>
      <c r="C648" s="3">
        <v>45756</v>
      </c>
      <c r="D648" s="1">
        <v>-22.77</v>
      </c>
      <c r="E648" s="1">
        <v>-1995.83</v>
      </c>
      <c r="G648" s="3">
        <v>45757</v>
      </c>
      <c r="H648" t="s">
        <v>11</v>
      </c>
      <c r="I648" s="2">
        <v>45962</v>
      </c>
      <c r="J648">
        <v>1</v>
      </c>
      <c r="K648" s="3">
        <v>45972</v>
      </c>
      <c r="L648">
        <v>210</v>
      </c>
      <c r="M648" t="s">
        <v>13</v>
      </c>
      <c r="N648" s="79">
        <f>O648/E648</f>
        <v>-2.0202121423167303E-2</v>
      </c>
      <c r="O648">
        <f>VLOOKUP(B648,'Customer TDS'!A:D,4,0)</f>
        <v>40.32</v>
      </c>
      <c r="P648" s="38">
        <f t="shared" si="59"/>
        <v>-1955.51</v>
      </c>
      <c r="Q648">
        <f>VLOOKUP(B648,Ascendus!E:I,5,0)</f>
        <v>1992.7</v>
      </c>
      <c r="R648" s="38">
        <f t="shared" si="60"/>
        <v>-3.1299999999998818</v>
      </c>
      <c r="S648" t="s">
        <v>915</v>
      </c>
    </row>
    <row r="649" spans="1:19" x14ac:dyDescent="0.35">
      <c r="A649" t="s">
        <v>454</v>
      </c>
      <c r="B649" s="4">
        <v>256779417348</v>
      </c>
      <c r="C649" s="3">
        <v>45756</v>
      </c>
      <c r="D649" s="1">
        <v>-2285.34</v>
      </c>
      <c r="E649" s="1">
        <v>-200314.44</v>
      </c>
      <c r="G649" s="3">
        <v>45757</v>
      </c>
      <c r="H649" t="s">
        <v>11</v>
      </c>
      <c r="I649" s="2">
        <v>45962</v>
      </c>
      <c r="J649">
        <v>1</v>
      </c>
      <c r="K649" s="3">
        <v>45972</v>
      </c>
      <c r="L649">
        <v>210</v>
      </c>
      <c r="M649" t="s">
        <v>13</v>
      </c>
      <c r="N649" s="79">
        <f>O649/E649</f>
        <v>-2.0001403792956715E-2</v>
      </c>
      <c r="O649">
        <f>VLOOKUP(B649,'Customer TDS'!A:D,4,0)</f>
        <v>4006.57</v>
      </c>
      <c r="P649" s="38">
        <f t="shared" si="59"/>
        <v>-196307.87</v>
      </c>
      <c r="Q649">
        <f>VLOOKUP(B649,Ascendus!E:I,5,0)</f>
        <v>200000</v>
      </c>
      <c r="R649" s="38">
        <f t="shared" si="60"/>
        <v>-314.44000000000233</v>
      </c>
      <c r="S649" t="s">
        <v>915</v>
      </c>
    </row>
    <row r="650" spans="1:19" x14ac:dyDescent="0.35">
      <c r="A650" t="s">
        <v>454</v>
      </c>
      <c r="B650" s="4">
        <v>256779417349</v>
      </c>
      <c r="C650" s="3">
        <v>45756</v>
      </c>
      <c r="D650" s="1">
        <v>0</v>
      </c>
      <c r="E650" s="1">
        <v>-134.63</v>
      </c>
      <c r="F650" t="s">
        <v>15</v>
      </c>
      <c r="G650" s="3">
        <v>45757</v>
      </c>
      <c r="H650" t="s">
        <v>11</v>
      </c>
      <c r="I650" s="2">
        <v>45962</v>
      </c>
      <c r="J650">
        <v>42</v>
      </c>
      <c r="K650" s="3">
        <v>45991</v>
      </c>
      <c r="L650">
        <v>271</v>
      </c>
      <c r="M650" t="s">
        <v>13</v>
      </c>
      <c r="P650" s="38">
        <f t="shared" si="59"/>
        <v>-134.63</v>
      </c>
      <c r="S650" t="s">
        <v>918</v>
      </c>
    </row>
    <row r="651" spans="1:19" x14ac:dyDescent="0.35">
      <c r="A651" t="s">
        <v>454</v>
      </c>
      <c r="B651" s="4">
        <v>256779417350</v>
      </c>
      <c r="C651" s="3">
        <v>45756</v>
      </c>
      <c r="D651" s="1">
        <v>0</v>
      </c>
      <c r="E651" s="1">
        <v>-73.63</v>
      </c>
      <c r="F651" t="s">
        <v>15</v>
      </c>
      <c r="G651" s="3">
        <v>45757</v>
      </c>
      <c r="H651" t="s">
        <v>11</v>
      </c>
      <c r="I651" s="2">
        <v>45962</v>
      </c>
      <c r="J651">
        <v>44</v>
      </c>
      <c r="K651" s="3">
        <v>45991</v>
      </c>
      <c r="L651">
        <v>271</v>
      </c>
      <c r="M651" t="s">
        <v>13</v>
      </c>
      <c r="P651" s="38">
        <f t="shared" si="59"/>
        <v>-73.63</v>
      </c>
      <c r="S651" t="s">
        <v>918</v>
      </c>
    </row>
    <row r="652" spans="1:19" x14ac:dyDescent="0.35">
      <c r="A652" t="s">
        <v>454</v>
      </c>
      <c r="B652" s="4">
        <v>256779417348</v>
      </c>
      <c r="C652" s="3">
        <v>45756</v>
      </c>
      <c r="D652" s="1">
        <v>0</v>
      </c>
      <c r="E652" s="1">
        <v>-3365.85</v>
      </c>
      <c r="F652" t="s">
        <v>15</v>
      </c>
      <c r="G652" s="3">
        <v>45757</v>
      </c>
      <c r="H652" t="s">
        <v>11</v>
      </c>
      <c r="I652" s="2">
        <v>45962</v>
      </c>
      <c r="J652">
        <v>46</v>
      </c>
      <c r="K652" s="3">
        <v>45991</v>
      </c>
      <c r="L652">
        <v>271</v>
      </c>
      <c r="M652" t="s">
        <v>13</v>
      </c>
      <c r="P652" s="38">
        <f t="shared" si="59"/>
        <v>-3365.85</v>
      </c>
      <c r="S652" t="s">
        <v>918</v>
      </c>
    </row>
    <row r="653" spans="1:19" x14ac:dyDescent="0.35">
      <c r="A653" t="s">
        <v>454</v>
      </c>
      <c r="B653" s="4">
        <v>256779417317</v>
      </c>
      <c r="C653" s="3">
        <v>45756</v>
      </c>
      <c r="D653" s="1">
        <v>-170.85</v>
      </c>
      <c r="E653" s="1">
        <v>-14975.33</v>
      </c>
      <c r="G653" s="3">
        <v>45757</v>
      </c>
      <c r="H653" t="s">
        <v>11</v>
      </c>
      <c r="I653" s="2">
        <v>45992</v>
      </c>
      <c r="J653">
        <v>1</v>
      </c>
      <c r="K653" s="3">
        <v>46006</v>
      </c>
      <c r="L653">
        <v>210</v>
      </c>
      <c r="M653" t="s">
        <v>13</v>
      </c>
      <c r="N653" s="79">
        <f>O653/E653</f>
        <v>-2.0017588927923456E-2</v>
      </c>
      <c r="O653">
        <f>VLOOKUP(B653,'Customer TDS'!A:D,4,0)</f>
        <v>299.77</v>
      </c>
      <c r="P653" s="38">
        <f t="shared" si="59"/>
        <v>-14675.56</v>
      </c>
      <c r="Q653">
        <f>VLOOKUP(B653,Ascendus!E:I,5,0)</f>
        <v>14951.82</v>
      </c>
      <c r="R653" s="38">
        <f t="shared" ref="R653:R654" si="61">E653+Q653</f>
        <v>-23.510000000000218</v>
      </c>
      <c r="S653" t="s">
        <v>915</v>
      </c>
    </row>
    <row r="654" spans="1:19" x14ac:dyDescent="0.35">
      <c r="A654" t="s">
        <v>454</v>
      </c>
      <c r="B654" s="4">
        <v>256779417280</v>
      </c>
      <c r="C654" s="3">
        <v>45756</v>
      </c>
      <c r="D654" s="1">
        <v>-249.98</v>
      </c>
      <c r="E654" s="1">
        <v>-21911.23</v>
      </c>
      <c r="G654" s="3">
        <v>45757</v>
      </c>
      <c r="H654" t="s">
        <v>11</v>
      </c>
      <c r="I654" s="2">
        <v>45992</v>
      </c>
      <c r="J654">
        <v>1</v>
      </c>
      <c r="K654" s="3">
        <v>46006</v>
      </c>
      <c r="L654">
        <v>210</v>
      </c>
      <c r="M654" t="s">
        <v>13</v>
      </c>
      <c r="N654" s="79">
        <f>O654/E654</f>
        <v>-2.0001615609895017E-2</v>
      </c>
      <c r="O654">
        <f>VLOOKUP(B654,'Customer TDS'!A:D,4,0)</f>
        <v>438.26</v>
      </c>
      <c r="P654" s="38">
        <f t="shared" si="59"/>
        <v>-21472.97</v>
      </c>
      <c r="Q654">
        <f>VLOOKUP(B654,Ascendus!E:I,5,0)</f>
        <v>21876.83</v>
      </c>
      <c r="R654" s="38">
        <f t="shared" si="61"/>
        <v>-34.399999999997817</v>
      </c>
      <c r="S654" t="s">
        <v>915</v>
      </c>
    </row>
    <row r="655" spans="1:19" x14ac:dyDescent="0.35">
      <c r="A655" t="s">
        <v>454</v>
      </c>
      <c r="B655" s="4">
        <v>256779417349</v>
      </c>
      <c r="C655" s="3">
        <v>45756</v>
      </c>
      <c r="D655" s="1">
        <v>0</v>
      </c>
      <c r="E655" s="1">
        <v>-65.92</v>
      </c>
      <c r="F655" t="s">
        <v>15</v>
      </c>
      <c r="G655" s="3">
        <v>45757</v>
      </c>
      <c r="H655" t="s">
        <v>11</v>
      </c>
      <c r="I655" s="2">
        <v>45992</v>
      </c>
      <c r="J655">
        <v>42</v>
      </c>
      <c r="K655" s="3">
        <v>46022</v>
      </c>
      <c r="L655">
        <v>271</v>
      </c>
      <c r="M655" t="s">
        <v>13</v>
      </c>
      <c r="P655" s="38">
        <f t="shared" si="59"/>
        <v>-65.92</v>
      </c>
      <c r="S655" t="s">
        <v>918</v>
      </c>
    </row>
    <row r="656" spans="1:19" x14ac:dyDescent="0.35">
      <c r="A656" t="s">
        <v>454</v>
      </c>
      <c r="B656" s="4">
        <v>256779417350</v>
      </c>
      <c r="C656" s="3">
        <v>45756</v>
      </c>
      <c r="D656" s="1">
        <v>0</v>
      </c>
      <c r="E656" s="1">
        <v>-36.07</v>
      </c>
      <c r="F656" t="s">
        <v>15</v>
      </c>
      <c r="G656" s="3">
        <v>45757</v>
      </c>
      <c r="H656" t="s">
        <v>11</v>
      </c>
      <c r="I656" s="2">
        <v>45992</v>
      </c>
      <c r="J656">
        <v>44</v>
      </c>
      <c r="K656" s="3">
        <v>46022</v>
      </c>
      <c r="L656">
        <v>271</v>
      </c>
      <c r="M656" t="s">
        <v>13</v>
      </c>
      <c r="P656" s="38">
        <f t="shared" si="59"/>
        <v>-36.07</v>
      </c>
      <c r="S656" t="s">
        <v>918</v>
      </c>
    </row>
    <row r="657" spans="1:19" x14ac:dyDescent="0.35">
      <c r="A657" t="s">
        <v>454</v>
      </c>
      <c r="B657" s="4">
        <v>256779417348</v>
      </c>
      <c r="C657" s="3">
        <v>45756</v>
      </c>
      <c r="D657" s="1">
        <v>0</v>
      </c>
      <c r="E657" s="1">
        <v>-1648.3</v>
      </c>
      <c r="F657" t="s">
        <v>15</v>
      </c>
      <c r="G657" s="3">
        <v>45757</v>
      </c>
      <c r="H657" t="s">
        <v>11</v>
      </c>
      <c r="I657" s="2">
        <v>45992</v>
      </c>
      <c r="J657">
        <v>46</v>
      </c>
      <c r="K657" s="3">
        <v>46022</v>
      </c>
      <c r="L657">
        <v>271</v>
      </c>
      <c r="M657" t="s">
        <v>13</v>
      </c>
      <c r="P657" s="38">
        <f t="shared" si="59"/>
        <v>-1648.3</v>
      </c>
      <c r="S657" t="s">
        <v>918</v>
      </c>
    </row>
    <row r="658" spans="1:19" x14ac:dyDescent="0.35">
      <c r="A658" t="s">
        <v>454</v>
      </c>
      <c r="B658" s="4">
        <v>256779417350</v>
      </c>
      <c r="C658" s="3">
        <v>45756</v>
      </c>
      <c r="D658" s="1">
        <v>0</v>
      </c>
      <c r="E658" s="1">
        <v>-85.26</v>
      </c>
      <c r="F658" t="s">
        <v>15</v>
      </c>
      <c r="G658" s="3">
        <v>45757</v>
      </c>
      <c r="H658" t="s">
        <v>11</v>
      </c>
      <c r="I658" s="2">
        <v>46023</v>
      </c>
      <c r="J658">
        <v>42</v>
      </c>
      <c r="K658" s="3">
        <v>46053</v>
      </c>
      <c r="L658">
        <v>271</v>
      </c>
      <c r="M658" t="s">
        <v>13</v>
      </c>
      <c r="P658" s="38">
        <f t="shared" si="59"/>
        <v>-85.26</v>
      </c>
      <c r="S658" t="s">
        <v>918</v>
      </c>
    </row>
    <row r="659" spans="1:19" x14ac:dyDescent="0.35">
      <c r="A659" t="s">
        <v>454</v>
      </c>
      <c r="B659" s="4">
        <v>256779415209</v>
      </c>
      <c r="C659" s="3">
        <v>45754</v>
      </c>
      <c r="D659" s="1">
        <v>-63.26</v>
      </c>
      <c r="E659" s="1">
        <v>-5596.61</v>
      </c>
      <c r="G659" s="3">
        <v>45724</v>
      </c>
      <c r="H659" t="s">
        <v>11</v>
      </c>
      <c r="I659" s="2">
        <v>45901</v>
      </c>
      <c r="J659">
        <v>1</v>
      </c>
      <c r="K659" s="3">
        <v>45930</v>
      </c>
      <c r="L659">
        <v>210</v>
      </c>
      <c r="M659" t="s">
        <v>13</v>
      </c>
      <c r="N659" s="79">
        <f>O659/E659</f>
        <v>-2.0076439130116266E-2</v>
      </c>
      <c r="O659">
        <f>VLOOKUP(B659,'Customer TDS'!A:D,4,0)</f>
        <v>112.36</v>
      </c>
      <c r="P659" s="38">
        <f t="shared" si="59"/>
        <v>-5484.25</v>
      </c>
      <c r="Q659">
        <f>VLOOKUP(B659,Ascendus!E:I,5,0)</f>
        <v>5440.4</v>
      </c>
      <c r="R659" s="38">
        <f t="shared" ref="R659:R662" si="62">E659+Q659</f>
        <v>-156.21000000000004</v>
      </c>
      <c r="S659" t="s">
        <v>915</v>
      </c>
    </row>
    <row r="660" spans="1:19" x14ac:dyDescent="0.35">
      <c r="A660" t="s">
        <v>454</v>
      </c>
      <c r="B660" s="4">
        <v>256779415270</v>
      </c>
      <c r="C660" s="3">
        <v>45754</v>
      </c>
      <c r="D660" s="1">
        <v>-420.86</v>
      </c>
      <c r="E660" s="1">
        <v>-37233.480000000003</v>
      </c>
      <c r="G660" s="3">
        <v>45724</v>
      </c>
      <c r="H660" t="s">
        <v>11</v>
      </c>
      <c r="I660" s="2">
        <v>45901</v>
      </c>
      <c r="J660">
        <v>1</v>
      </c>
      <c r="K660" s="3">
        <v>45930</v>
      </c>
      <c r="L660">
        <v>210</v>
      </c>
      <c r="M660" t="s">
        <v>13</v>
      </c>
      <c r="N660" s="79">
        <f>O660/E660</f>
        <v>-2.0006725130178534E-2</v>
      </c>
      <c r="O660">
        <f>VLOOKUP(B660,'Customer TDS'!A:D,4,0)</f>
        <v>744.92</v>
      </c>
      <c r="P660" s="38">
        <f t="shared" si="59"/>
        <v>-36488.560000000005</v>
      </c>
      <c r="Q660">
        <f>VLOOKUP(B660,Ascendus!E:I,5,0)</f>
        <v>36194.239999999998</v>
      </c>
      <c r="R660" s="38">
        <f t="shared" si="62"/>
        <v>-1039.2400000000052</v>
      </c>
      <c r="S660" t="s">
        <v>915</v>
      </c>
    </row>
    <row r="661" spans="1:19" x14ac:dyDescent="0.35">
      <c r="A661" t="s">
        <v>454</v>
      </c>
      <c r="B661" s="4">
        <v>256779415208</v>
      </c>
      <c r="C661" s="3">
        <v>45754</v>
      </c>
      <c r="D661" s="1">
        <v>-183.43</v>
      </c>
      <c r="E661" s="1">
        <v>-16228.05</v>
      </c>
      <c r="G661" s="3">
        <v>45724</v>
      </c>
      <c r="H661" t="s">
        <v>11</v>
      </c>
      <c r="I661" s="2">
        <v>45901</v>
      </c>
      <c r="J661">
        <v>1</v>
      </c>
      <c r="K661" s="3">
        <v>45930</v>
      </c>
      <c r="L661">
        <v>210</v>
      </c>
      <c r="M661" t="s">
        <v>13</v>
      </c>
      <c r="N661" s="79">
        <f>O661/E661</f>
        <v>-2.0007332982089655E-2</v>
      </c>
      <c r="O661">
        <f>VLOOKUP(B661,'Customer TDS'!A:D,4,0)</f>
        <v>324.68</v>
      </c>
      <c r="P661" s="38">
        <f t="shared" si="59"/>
        <v>-15903.369999999999</v>
      </c>
      <c r="Q661">
        <f>VLOOKUP(B661,Ascendus!E:I,5,0)</f>
        <v>15775.1</v>
      </c>
      <c r="R661" s="38">
        <f t="shared" si="62"/>
        <v>-452.94999999999891</v>
      </c>
      <c r="S661" t="s">
        <v>915</v>
      </c>
    </row>
    <row r="662" spans="1:19" x14ac:dyDescent="0.35">
      <c r="A662" t="s">
        <v>454</v>
      </c>
      <c r="B662" s="4">
        <v>256779415210</v>
      </c>
      <c r="C662" s="3">
        <v>45754</v>
      </c>
      <c r="D662" s="1">
        <v>-9629.6299999999992</v>
      </c>
      <c r="E662" s="1">
        <v>-851933.37</v>
      </c>
      <c r="G662" s="3">
        <v>45724</v>
      </c>
      <c r="H662" t="s">
        <v>11</v>
      </c>
      <c r="I662" s="2">
        <v>45901</v>
      </c>
      <c r="J662">
        <v>1</v>
      </c>
      <c r="K662" s="3">
        <v>45930</v>
      </c>
      <c r="L662">
        <v>210</v>
      </c>
      <c r="M662" t="s">
        <v>13</v>
      </c>
      <c r="N662" s="79">
        <f>O662/E662</f>
        <v>-1.9999733077717099E-2</v>
      </c>
      <c r="O662">
        <f>VLOOKUP(B662,'Customer TDS'!A:D,4,0)</f>
        <v>17038.439999999999</v>
      </c>
      <c r="P662" s="38">
        <f t="shared" si="59"/>
        <v>-834894.93</v>
      </c>
      <c r="Q662">
        <f>VLOOKUP(B662,Ascendus!E:I,5,0)</f>
        <v>828154.63</v>
      </c>
      <c r="R662" s="38">
        <f t="shared" si="62"/>
        <v>-23778.739999999991</v>
      </c>
      <c r="S662" t="s">
        <v>915</v>
      </c>
    </row>
    <row r="663" spans="1:19" x14ac:dyDescent="0.35">
      <c r="A663" t="s">
        <v>454</v>
      </c>
      <c r="B663" s="4">
        <v>256779415209</v>
      </c>
      <c r="C663" s="3">
        <v>45754</v>
      </c>
      <c r="D663" s="1">
        <v>0</v>
      </c>
      <c r="E663" s="1">
        <v>-11.75</v>
      </c>
      <c r="F663" t="s">
        <v>15</v>
      </c>
      <c r="G663" s="3">
        <v>45724</v>
      </c>
      <c r="H663" t="s">
        <v>11</v>
      </c>
      <c r="I663" s="2">
        <v>45901</v>
      </c>
      <c r="J663">
        <v>16</v>
      </c>
      <c r="K663" s="3">
        <v>45930</v>
      </c>
      <c r="L663">
        <v>271</v>
      </c>
      <c r="M663" t="s">
        <v>13</v>
      </c>
      <c r="P663" s="38">
        <f t="shared" si="59"/>
        <v>-11.75</v>
      </c>
      <c r="S663" t="s">
        <v>918</v>
      </c>
    </row>
    <row r="664" spans="1:19" x14ac:dyDescent="0.35">
      <c r="A664" t="s">
        <v>454</v>
      </c>
      <c r="B664" s="4">
        <v>256779415270</v>
      </c>
      <c r="C664" s="3">
        <v>45754</v>
      </c>
      <c r="D664" s="1">
        <v>0</v>
      </c>
      <c r="E664" s="1">
        <v>-78.16</v>
      </c>
      <c r="F664" t="s">
        <v>15</v>
      </c>
      <c r="G664" s="3">
        <v>45724</v>
      </c>
      <c r="H664" t="s">
        <v>11</v>
      </c>
      <c r="I664" s="2">
        <v>45901</v>
      </c>
      <c r="J664">
        <v>26</v>
      </c>
      <c r="K664" s="3">
        <v>45930</v>
      </c>
      <c r="L664">
        <v>271</v>
      </c>
      <c r="M664" t="s">
        <v>13</v>
      </c>
      <c r="P664" s="38">
        <f t="shared" si="59"/>
        <v>-78.16</v>
      </c>
      <c r="S664" t="s">
        <v>918</v>
      </c>
    </row>
    <row r="665" spans="1:19" x14ac:dyDescent="0.35">
      <c r="A665" t="s">
        <v>454</v>
      </c>
      <c r="B665" s="4">
        <v>256779415208</v>
      </c>
      <c r="C665" s="3">
        <v>45754</v>
      </c>
      <c r="D665" s="1">
        <v>0</v>
      </c>
      <c r="E665" s="1">
        <v>-34.06</v>
      </c>
      <c r="F665" t="s">
        <v>15</v>
      </c>
      <c r="G665" s="3">
        <v>45724</v>
      </c>
      <c r="H665" t="s">
        <v>11</v>
      </c>
      <c r="I665" s="2">
        <v>45901</v>
      </c>
      <c r="J665">
        <v>104</v>
      </c>
      <c r="K665" s="3">
        <v>45930</v>
      </c>
      <c r="L665">
        <v>271</v>
      </c>
      <c r="M665" t="s">
        <v>13</v>
      </c>
      <c r="P665" s="38">
        <f t="shared" si="59"/>
        <v>-34.06</v>
      </c>
      <c r="S665" t="s">
        <v>918</v>
      </c>
    </row>
    <row r="666" spans="1:19" x14ac:dyDescent="0.35">
      <c r="A666" t="s">
        <v>454</v>
      </c>
      <c r="B666" s="4">
        <v>256779415210</v>
      </c>
      <c r="C666" s="3">
        <v>45754</v>
      </c>
      <c r="D666" s="1">
        <v>0</v>
      </c>
      <c r="E666" s="1">
        <v>-1788.28</v>
      </c>
      <c r="F666" t="s">
        <v>15</v>
      </c>
      <c r="G666" s="3">
        <v>45724</v>
      </c>
      <c r="H666" t="s">
        <v>11</v>
      </c>
      <c r="I666" s="2">
        <v>45901</v>
      </c>
      <c r="J666">
        <v>112</v>
      </c>
      <c r="K666" s="3">
        <v>45930</v>
      </c>
      <c r="L666">
        <v>271</v>
      </c>
      <c r="M666" t="s">
        <v>13</v>
      </c>
      <c r="P666" s="38">
        <f t="shared" si="59"/>
        <v>-1788.28</v>
      </c>
      <c r="S666" t="s">
        <v>918</v>
      </c>
    </row>
    <row r="667" spans="1:19" x14ac:dyDescent="0.35">
      <c r="A667" t="s">
        <v>454</v>
      </c>
      <c r="B667" s="4">
        <v>256779415012</v>
      </c>
      <c r="C667" s="3">
        <v>45754</v>
      </c>
      <c r="D667" s="1">
        <v>-184</v>
      </c>
      <c r="E667" s="1">
        <v>-15822.07</v>
      </c>
      <c r="G667" s="3">
        <v>45724</v>
      </c>
      <c r="H667" t="s">
        <v>11</v>
      </c>
      <c r="I667" s="2">
        <v>45931</v>
      </c>
      <c r="J667">
        <v>1</v>
      </c>
      <c r="K667" s="3">
        <v>45959</v>
      </c>
      <c r="L667">
        <v>210</v>
      </c>
      <c r="M667" t="s">
        <v>13</v>
      </c>
      <c r="N667" s="79">
        <f>O667/E667</f>
        <v>-1.9999911516002646E-2</v>
      </c>
      <c r="O667">
        <f>VLOOKUP(B667,'Customer TDS'!A:D,4,0)</f>
        <v>316.44</v>
      </c>
      <c r="P667" s="38">
        <f t="shared" si="59"/>
        <v>-15505.63</v>
      </c>
      <c r="Q667">
        <f>VLOOKUP(B667,Ascendus!E:I,5,0)</f>
        <v>15849.92</v>
      </c>
      <c r="R667" s="38">
        <f t="shared" ref="R667:R668" si="63">E667+Q667</f>
        <v>27.850000000000364</v>
      </c>
      <c r="S667" t="s">
        <v>915</v>
      </c>
    </row>
    <row r="668" spans="1:19" x14ac:dyDescent="0.35">
      <c r="A668" t="s">
        <v>454</v>
      </c>
      <c r="B668" s="4">
        <v>256779415261</v>
      </c>
      <c r="C668" s="3">
        <v>45754</v>
      </c>
      <c r="D668" s="1">
        <v>-292.26</v>
      </c>
      <c r="E668" s="1">
        <v>-25131.29</v>
      </c>
      <c r="G668" s="3">
        <v>45724</v>
      </c>
      <c r="H668" t="s">
        <v>11</v>
      </c>
      <c r="I668" s="2">
        <v>45931</v>
      </c>
      <c r="J668">
        <v>1</v>
      </c>
      <c r="K668" s="3">
        <v>45959</v>
      </c>
      <c r="L668">
        <v>210</v>
      </c>
      <c r="M668" t="s">
        <v>13</v>
      </c>
      <c r="N668" s="79">
        <f>O668/E668</f>
        <v>-2.0016481446037987E-2</v>
      </c>
      <c r="O668">
        <f>VLOOKUP(B668,'Customer TDS'!A:D,4,0)</f>
        <v>503.04</v>
      </c>
      <c r="P668" s="38">
        <f t="shared" si="59"/>
        <v>-24628.25</v>
      </c>
      <c r="Q668">
        <f>VLOOKUP(B668,Ascendus!E:I,5,0)</f>
        <v>25194.76</v>
      </c>
      <c r="R668" s="38">
        <f t="shared" si="63"/>
        <v>63.469999999997526</v>
      </c>
      <c r="S668" t="s">
        <v>915</v>
      </c>
    </row>
    <row r="669" spans="1:19" x14ac:dyDescent="0.35">
      <c r="A669" t="s">
        <v>454</v>
      </c>
      <c r="B669" s="4">
        <v>256779415012</v>
      </c>
      <c r="C669" s="3">
        <v>45754</v>
      </c>
      <c r="D669" s="1">
        <v>0</v>
      </c>
      <c r="E669" s="1">
        <v>-408.07</v>
      </c>
      <c r="F669" t="s">
        <v>15</v>
      </c>
      <c r="G669" s="3">
        <v>45724</v>
      </c>
      <c r="H669" t="s">
        <v>11</v>
      </c>
      <c r="I669" s="2">
        <v>45931</v>
      </c>
      <c r="J669">
        <v>60</v>
      </c>
      <c r="K669" s="3">
        <v>45961</v>
      </c>
      <c r="L669">
        <v>271</v>
      </c>
      <c r="M669" t="s">
        <v>13</v>
      </c>
      <c r="P669" s="38">
        <f t="shared" si="59"/>
        <v>-408.07</v>
      </c>
      <c r="S669" t="s">
        <v>918</v>
      </c>
    </row>
    <row r="670" spans="1:19" x14ac:dyDescent="0.35">
      <c r="A670" t="s">
        <v>454</v>
      </c>
      <c r="B670" s="4">
        <v>256779415261</v>
      </c>
      <c r="C670" s="3">
        <v>45754</v>
      </c>
      <c r="D670" s="1">
        <v>0</v>
      </c>
      <c r="E670" s="1">
        <v>-648.16999999999996</v>
      </c>
      <c r="F670" t="s">
        <v>15</v>
      </c>
      <c r="G670" s="3">
        <v>45724</v>
      </c>
      <c r="H670" t="s">
        <v>11</v>
      </c>
      <c r="I670" s="2">
        <v>45931</v>
      </c>
      <c r="J670">
        <v>78</v>
      </c>
      <c r="K670" s="3">
        <v>45961</v>
      </c>
      <c r="L670">
        <v>271</v>
      </c>
      <c r="M670" t="s">
        <v>13</v>
      </c>
      <c r="P670" s="38">
        <f t="shared" si="59"/>
        <v>-648.16999999999996</v>
      </c>
      <c r="S670" t="s">
        <v>918</v>
      </c>
    </row>
    <row r="671" spans="1:19" x14ac:dyDescent="0.35">
      <c r="A671" t="s">
        <v>454</v>
      </c>
      <c r="B671" s="4">
        <v>256779414859</v>
      </c>
      <c r="C671" s="3">
        <v>45754</v>
      </c>
      <c r="D671" s="1">
        <v>-318.47000000000003</v>
      </c>
      <c r="E671" s="1">
        <v>-27385.08</v>
      </c>
      <c r="G671" s="3">
        <v>45724</v>
      </c>
      <c r="H671" t="s">
        <v>11</v>
      </c>
      <c r="I671" s="2">
        <v>45962</v>
      </c>
      <c r="J671">
        <v>1</v>
      </c>
      <c r="K671" s="3">
        <v>45972</v>
      </c>
      <c r="L671">
        <v>210</v>
      </c>
      <c r="M671" t="s">
        <v>13</v>
      </c>
      <c r="N671" s="79">
        <f>O671/E671</f>
        <v>-2.0001767385744353E-2</v>
      </c>
      <c r="O671">
        <f>VLOOKUP(B671,'Customer TDS'!A:D,4,0)</f>
        <v>547.75</v>
      </c>
      <c r="P671" s="38">
        <f t="shared" si="59"/>
        <v>-26837.33</v>
      </c>
      <c r="Q671">
        <f>VLOOKUP(B671,Ascendus!E:I,5,0)</f>
        <v>27388.63</v>
      </c>
      <c r="R671" s="38">
        <f>E671+Q671</f>
        <v>3.5499999999992724</v>
      </c>
      <c r="S671" t="s">
        <v>915</v>
      </c>
    </row>
    <row r="672" spans="1:19" x14ac:dyDescent="0.35">
      <c r="A672" t="s">
        <v>454</v>
      </c>
      <c r="B672" s="4">
        <v>256779415012</v>
      </c>
      <c r="C672" s="3">
        <v>45754</v>
      </c>
      <c r="D672" s="1">
        <v>0</v>
      </c>
      <c r="E672" s="1">
        <v>-162.69</v>
      </c>
      <c r="F672" t="s">
        <v>15</v>
      </c>
      <c r="G672" s="3">
        <v>45724</v>
      </c>
      <c r="H672" t="s">
        <v>11</v>
      </c>
      <c r="I672" s="2">
        <v>45962</v>
      </c>
      <c r="J672">
        <v>28</v>
      </c>
      <c r="K672" s="3">
        <v>45991</v>
      </c>
      <c r="L672">
        <v>271</v>
      </c>
      <c r="M672" t="s">
        <v>13</v>
      </c>
      <c r="P672" s="38">
        <f t="shared" si="59"/>
        <v>-162.69</v>
      </c>
      <c r="S672" t="s">
        <v>918</v>
      </c>
    </row>
    <row r="673" spans="1:19" x14ac:dyDescent="0.35">
      <c r="A673" t="s">
        <v>454</v>
      </c>
      <c r="B673" s="4">
        <v>256779415261</v>
      </c>
      <c r="C673" s="3">
        <v>45754</v>
      </c>
      <c r="D673" s="1">
        <v>0</v>
      </c>
      <c r="E673" s="1">
        <v>-258.39999999999998</v>
      </c>
      <c r="F673" t="s">
        <v>15</v>
      </c>
      <c r="G673" s="3">
        <v>45724</v>
      </c>
      <c r="H673" t="s">
        <v>11</v>
      </c>
      <c r="I673" s="2">
        <v>45962</v>
      </c>
      <c r="J673">
        <v>30</v>
      </c>
      <c r="K673" s="3">
        <v>45991</v>
      </c>
      <c r="L673">
        <v>271</v>
      </c>
      <c r="M673" t="s">
        <v>13</v>
      </c>
      <c r="P673" s="38">
        <f t="shared" si="59"/>
        <v>-258.39999999999998</v>
      </c>
      <c r="S673" t="s">
        <v>918</v>
      </c>
    </row>
    <row r="674" spans="1:19" x14ac:dyDescent="0.35">
      <c r="A674" t="s">
        <v>454</v>
      </c>
      <c r="B674" s="4">
        <v>256779415012</v>
      </c>
      <c r="C674" s="3">
        <v>45754</v>
      </c>
      <c r="D674" s="1">
        <v>0</v>
      </c>
      <c r="E674" s="1">
        <v>-132.71</v>
      </c>
      <c r="F674" t="s">
        <v>15</v>
      </c>
      <c r="G674" s="3">
        <v>45724</v>
      </c>
      <c r="H674" t="s">
        <v>11</v>
      </c>
      <c r="I674" s="2">
        <v>45992</v>
      </c>
      <c r="J674">
        <v>28</v>
      </c>
      <c r="K674" s="3">
        <v>46022</v>
      </c>
      <c r="L674">
        <v>271</v>
      </c>
      <c r="M674" t="s">
        <v>13</v>
      </c>
      <c r="P674" s="38">
        <f t="shared" si="59"/>
        <v>-132.71</v>
      </c>
      <c r="S674" t="s">
        <v>918</v>
      </c>
    </row>
    <row r="675" spans="1:19" x14ac:dyDescent="0.35">
      <c r="A675" t="s">
        <v>454</v>
      </c>
      <c r="B675" s="4">
        <v>256779415261</v>
      </c>
      <c r="C675" s="3">
        <v>45754</v>
      </c>
      <c r="D675" s="1">
        <v>0</v>
      </c>
      <c r="E675" s="1">
        <v>-210.79</v>
      </c>
      <c r="F675" t="s">
        <v>15</v>
      </c>
      <c r="G675" s="3">
        <v>45724</v>
      </c>
      <c r="H675" t="s">
        <v>11</v>
      </c>
      <c r="I675" s="2">
        <v>45992</v>
      </c>
      <c r="J675">
        <v>30</v>
      </c>
      <c r="K675" s="3">
        <v>46022</v>
      </c>
      <c r="L675">
        <v>271</v>
      </c>
      <c r="M675" t="s">
        <v>13</v>
      </c>
      <c r="P675" s="38">
        <f t="shared" si="59"/>
        <v>-210.79</v>
      </c>
      <c r="S675" t="s">
        <v>918</v>
      </c>
    </row>
    <row r="676" spans="1:19" x14ac:dyDescent="0.35">
      <c r="A676" t="s">
        <v>454</v>
      </c>
      <c r="B676" s="4">
        <v>256779414918</v>
      </c>
      <c r="C676" s="3">
        <v>45754</v>
      </c>
      <c r="D676" s="1">
        <v>-51.16</v>
      </c>
      <c r="E676" s="1">
        <v>-4399.22</v>
      </c>
      <c r="G676" s="3">
        <v>45724</v>
      </c>
      <c r="H676" t="s">
        <v>11</v>
      </c>
      <c r="I676" s="2">
        <v>46023</v>
      </c>
      <c r="J676">
        <v>1</v>
      </c>
      <c r="K676" s="3">
        <v>46049</v>
      </c>
      <c r="L676">
        <v>210</v>
      </c>
      <c r="M676" t="s">
        <v>13</v>
      </c>
      <c r="N676" s="79">
        <f>O676/E676</f>
        <v>-1.9937625306304298E-2</v>
      </c>
      <c r="O676">
        <f>VLOOKUP(B676,'Customer TDS'!A:D,4,0)</f>
        <v>87.71</v>
      </c>
      <c r="P676" s="38">
        <f t="shared" si="59"/>
        <v>-4311.51</v>
      </c>
      <c r="Q676">
        <f>VLOOKUP(B676,Ascendus!E:I,5,0)</f>
        <v>4400</v>
      </c>
      <c r="R676" s="38">
        <f t="shared" ref="R676:R678" si="64">E676+Q676</f>
        <v>0.77999999999974534</v>
      </c>
      <c r="S676" t="s">
        <v>915</v>
      </c>
    </row>
    <row r="677" spans="1:19" x14ac:dyDescent="0.35">
      <c r="A677" t="s">
        <v>454</v>
      </c>
      <c r="B677" s="4">
        <v>256779414917</v>
      </c>
      <c r="C677" s="3">
        <v>45754</v>
      </c>
      <c r="D677" s="1">
        <v>-93.02</v>
      </c>
      <c r="E677" s="1">
        <v>-7998.74</v>
      </c>
      <c r="F677" t="s">
        <v>426</v>
      </c>
      <c r="G677" s="3">
        <v>45724</v>
      </c>
      <c r="H677" t="s">
        <v>11</v>
      </c>
      <c r="I677" s="2">
        <v>46023</v>
      </c>
      <c r="J677">
        <v>1</v>
      </c>
      <c r="K677" s="3">
        <v>46049</v>
      </c>
      <c r="L677">
        <v>210</v>
      </c>
      <c r="M677" t="s">
        <v>13</v>
      </c>
      <c r="N677" s="79">
        <f>O677/E677</f>
        <v>-1.9995649314767078E-2</v>
      </c>
      <c r="O677">
        <f>VLOOKUP(B677,'Customer TDS'!A:D,4,0)</f>
        <v>159.94</v>
      </c>
      <c r="P677" s="38">
        <f t="shared" si="59"/>
        <v>-7838.8</v>
      </c>
      <c r="Q677">
        <f>VLOOKUP(B677,Ascendus!E:I,5,0)</f>
        <v>8000</v>
      </c>
      <c r="R677" s="38">
        <f t="shared" si="64"/>
        <v>1.2600000000002183</v>
      </c>
      <c r="S677" t="s">
        <v>915</v>
      </c>
    </row>
    <row r="678" spans="1:19" x14ac:dyDescent="0.35">
      <c r="A678" t="s">
        <v>454</v>
      </c>
      <c r="B678" s="4">
        <v>256779414916</v>
      </c>
      <c r="C678" s="3">
        <v>45754</v>
      </c>
      <c r="D678" s="1">
        <v>-2325.56</v>
      </c>
      <c r="E678" s="1">
        <v>-199973.77</v>
      </c>
      <c r="F678" t="s">
        <v>426</v>
      </c>
      <c r="G678" s="3">
        <v>45724</v>
      </c>
      <c r="H678" t="s">
        <v>11</v>
      </c>
      <c r="I678" s="2">
        <v>46023</v>
      </c>
      <c r="J678">
        <v>1</v>
      </c>
      <c r="K678" s="3">
        <v>46049</v>
      </c>
      <c r="L678">
        <v>210</v>
      </c>
      <c r="M678" t="s">
        <v>13</v>
      </c>
      <c r="N678" s="79">
        <f>O678/E678</f>
        <v>-1.9999472930874885E-2</v>
      </c>
      <c r="O678">
        <f>VLOOKUP(B678,'Customer TDS'!A:D,4,0)</f>
        <v>3999.37</v>
      </c>
      <c r="P678" s="38">
        <f t="shared" si="59"/>
        <v>-195974.39999999999</v>
      </c>
      <c r="Q678">
        <f>VLOOKUP(B678,Ascendus!E:I,5,0)</f>
        <v>200000</v>
      </c>
      <c r="R678" s="38">
        <f t="shared" si="64"/>
        <v>26.230000000010477</v>
      </c>
      <c r="S678" t="s">
        <v>915</v>
      </c>
    </row>
    <row r="679" spans="1:19" x14ac:dyDescent="0.35">
      <c r="A679" t="s">
        <v>454</v>
      </c>
      <c r="B679" s="4">
        <v>256779415012</v>
      </c>
      <c r="C679" s="3">
        <v>45754</v>
      </c>
      <c r="D679" s="1">
        <v>0</v>
      </c>
      <c r="E679" s="1">
        <v>-313.75</v>
      </c>
      <c r="F679" t="s">
        <v>15</v>
      </c>
      <c r="G679" s="3">
        <v>45724</v>
      </c>
      <c r="H679" t="s">
        <v>11</v>
      </c>
      <c r="I679" s="2">
        <v>46023</v>
      </c>
      <c r="J679">
        <v>28</v>
      </c>
      <c r="K679" s="3">
        <v>46053</v>
      </c>
      <c r="L679">
        <v>271</v>
      </c>
      <c r="M679" t="s">
        <v>13</v>
      </c>
      <c r="P679" s="38">
        <f t="shared" si="59"/>
        <v>-313.75</v>
      </c>
      <c r="S679" t="s">
        <v>918</v>
      </c>
    </row>
    <row r="680" spans="1:19" x14ac:dyDescent="0.35">
      <c r="A680" t="s">
        <v>454</v>
      </c>
      <c r="B680" s="4">
        <v>256779415261</v>
      </c>
      <c r="C680" s="3">
        <v>45754</v>
      </c>
      <c r="D680" s="1">
        <v>0</v>
      </c>
      <c r="E680" s="1">
        <v>-498.35</v>
      </c>
      <c r="F680" t="s">
        <v>15</v>
      </c>
      <c r="G680" s="3">
        <v>45724</v>
      </c>
      <c r="H680" t="s">
        <v>11</v>
      </c>
      <c r="I680" s="2">
        <v>46023</v>
      </c>
      <c r="J680">
        <v>30</v>
      </c>
      <c r="K680" s="3">
        <v>46053</v>
      </c>
      <c r="L680">
        <v>271</v>
      </c>
      <c r="M680" t="s">
        <v>13</v>
      </c>
      <c r="P680" s="38">
        <f t="shared" si="59"/>
        <v>-498.35</v>
      </c>
      <c r="S680" t="s">
        <v>918</v>
      </c>
    </row>
    <row r="681" spans="1:19" x14ac:dyDescent="0.35">
      <c r="A681" t="s">
        <v>454</v>
      </c>
      <c r="B681" s="4">
        <v>256779414918</v>
      </c>
      <c r="C681" s="3">
        <v>45754</v>
      </c>
      <c r="D681" s="1">
        <v>0</v>
      </c>
      <c r="E681" s="1">
        <v>-282.85000000000002</v>
      </c>
      <c r="F681" t="s">
        <v>15</v>
      </c>
      <c r="G681" s="3">
        <v>45724</v>
      </c>
      <c r="H681" t="s">
        <v>11</v>
      </c>
      <c r="I681" s="2">
        <v>46023</v>
      </c>
      <c r="J681">
        <v>62</v>
      </c>
      <c r="K681" s="3">
        <v>46053</v>
      </c>
      <c r="L681">
        <v>271</v>
      </c>
      <c r="M681" t="s">
        <v>13</v>
      </c>
      <c r="P681" s="38">
        <f t="shared" si="59"/>
        <v>-282.85000000000002</v>
      </c>
      <c r="S681" t="s">
        <v>918</v>
      </c>
    </row>
    <row r="682" spans="1:19" x14ac:dyDescent="0.35">
      <c r="A682" t="s">
        <v>454</v>
      </c>
      <c r="B682" s="4">
        <v>256779414917</v>
      </c>
      <c r="C682" s="3">
        <v>45754</v>
      </c>
      <c r="D682" s="1">
        <v>0</v>
      </c>
      <c r="E682" s="1">
        <v>-514.26</v>
      </c>
      <c r="F682" t="s">
        <v>15</v>
      </c>
      <c r="G682" s="3">
        <v>45724</v>
      </c>
      <c r="H682" t="s">
        <v>11</v>
      </c>
      <c r="I682" s="2">
        <v>46023</v>
      </c>
      <c r="J682">
        <v>64</v>
      </c>
      <c r="K682" s="3">
        <v>46053</v>
      </c>
      <c r="L682">
        <v>271</v>
      </c>
      <c r="M682" t="s">
        <v>13</v>
      </c>
      <c r="P682" s="38">
        <f t="shared" si="59"/>
        <v>-514.26</v>
      </c>
      <c r="S682" t="s">
        <v>918</v>
      </c>
    </row>
    <row r="683" spans="1:19" x14ac:dyDescent="0.35">
      <c r="A683" t="s">
        <v>454</v>
      </c>
      <c r="B683" s="4">
        <v>256779414916</v>
      </c>
      <c r="C683" s="3">
        <v>45754</v>
      </c>
      <c r="D683" s="1">
        <v>0</v>
      </c>
      <c r="E683" s="1">
        <v>-12856.62</v>
      </c>
      <c r="F683" t="s">
        <v>15</v>
      </c>
      <c r="G683" s="3">
        <v>45724</v>
      </c>
      <c r="H683" t="s">
        <v>11</v>
      </c>
      <c r="I683" s="2">
        <v>46023</v>
      </c>
      <c r="J683">
        <v>68</v>
      </c>
      <c r="K683" s="3">
        <v>46053</v>
      </c>
      <c r="L683">
        <v>271</v>
      </c>
      <c r="M683" t="s">
        <v>13</v>
      </c>
      <c r="P683" s="38">
        <f t="shared" si="59"/>
        <v>-12856.62</v>
      </c>
      <c r="S683" t="s">
        <v>918</v>
      </c>
    </row>
    <row r="684" spans="1:19" x14ac:dyDescent="0.35">
      <c r="A684" t="s">
        <v>454</v>
      </c>
      <c r="B684" s="4">
        <v>256779410818</v>
      </c>
      <c r="C684" s="3">
        <v>45751</v>
      </c>
      <c r="D684" s="1">
        <v>0</v>
      </c>
      <c r="E684" s="1">
        <v>-1231.96</v>
      </c>
      <c r="F684" t="s">
        <v>93</v>
      </c>
      <c r="G684" s="3">
        <v>45752</v>
      </c>
      <c r="H684" t="s">
        <v>59</v>
      </c>
      <c r="I684" s="2">
        <v>45809</v>
      </c>
      <c r="J684">
        <v>1</v>
      </c>
      <c r="K684" s="3">
        <v>45997</v>
      </c>
      <c r="L684">
        <v>210</v>
      </c>
      <c r="M684" t="s">
        <v>13</v>
      </c>
      <c r="N684" s="79">
        <f>O684/E684</f>
        <v>-2.0292866651514658E-2</v>
      </c>
      <c r="O684">
        <f>VLOOKUP(B684,'Customer TDS'!A:D,4,0)</f>
        <v>25</v>
      </c>
      <c r="P684" s="38">
        <f t="shared" si="59"/>
        <v>-1206.96</v>
      </c>
      <c r="Q684" t="e">
        <f>VLOOKUP(B684,Ascendus!E:I,5,0)</f>
        <v>#N/A</v>
      </c>
      <c r="R684" s="38" t="e">
        <f t="shared" ref="R684:R685" si="65">E684+Q684</f>
        <v>#N/A</v>
      </c>
      <c r="S684" t="s">
        <v>914</v>
      </c>
    </row>
    <row r="685" spans="1:19" x14ac:dyDescent="0.35">
      <c r="A685" t="s">
        <v>454</v>
      </c>
      <c r="B685" s="4">
        <v>256779410801</v>
      </c>
      <c r="C685" s="3">
        <v>45751</v>
      </c>
      <c r="D685" s="1">
        <v>-2829.48</v>
      </c>
      <c r="E685" s="1">
        <v>-242562.74</v>
      </c>
      <c r="G685" s="3">
        <v>45752</v>
      </c>
      <c r="H685" t="s">
        <v>11</v>
      </c>
      <c r="I685" s="2">
        <v>45809</v>
      </c>
      <c r="J685">
        <v>1</v>
      </c>
      <c r="K685" s="3">
        <v>45838</v>
      </c>
      <c r="L685">
        <v>210</v>
      </c>
      <c r="M685" t="s">
        <v>13</v>
      </c>
      <c r="N685" s="79">
        <f>O685/E685</f>
        <v>-2.0000145117094241E-2</v>
      </c>
      <c r="O685">
        <f>VLOOKUP(B685,'Customer TDS'!A:D,4,0)</f>
        <v>4851.29</v>
      </c>
      <c r="P685" s="38">
        <f t="shared" si="59"/>
        <v>-237711.44999999998</v>
      </c>
      <c r="Q685">
        <f>VLOOKUP(B685,Ascendus!E:I,5,0)</f>
        <v>245943.55</v>
      </c>
      <c r="R685" s="38">
        <f t="shared" si="65"/>
        <v>3380.8099999999977</v>
      </c>
      <c r="S685" t="s">
        <v>915</v>
      </c>
    </row>
    <row r="686" spans="1:19" x14ac:dyDescent="0.35">
      <c r="A686" t="s">
        <v>454</v>
      </c>
      <c r="B686" s="4">
        <v>256779410801</v>
      </c>
      <c r="C686" s="3">
        <v>45751</v>
      </c>
      <c r="D686" s="1">
        <v>0</v>
      </c>
      <c r="E686" s="1">
        <v>-728</v>
      </c>
      <c r="F686" t="s">
        <v>15</v>
      </c>
      <c r="G686" s="3">
        <v>45752</v>
      </c>
      <c r="H686" t="s">
        <v>11</v>
      </c>
      <c r="I686" s="2">
        <v>45809</v>
      </c>
      <c r="J686">
        <v>12</v>
      </c>
      <c r="K686" s="3">
        <v>45838</v>
      </c>
      <c r="L686">
        <v>271</v>
      </c>
      <c r="M686" t="s">
        <v>13</v>
      </c>
      <c r="P686" s="38">
        <f t="shared" si="59"/>
        <v>-728</v>
      </c>
      <c r="S686" t="s">
        <v>918</v>
      </c>
    </row>
    <row r="687" spans="1:19" x14ac:dyDescent="0.35">
      <c r="A687" t="s">
        <v>454</v>
      </c>
      <c r="B687" s="4">
        <v>246779410826</v>
      </c>
      <c r="C687" s="3">
        <v>45750</v>
      </c>
      <c r="D687" s="1">
        <v>-3</v>
      </c>
      <c r="E687" s="1">
        <v>-261.13</v>
      </c>
      <c r="G687" s="3">
        <v>45720</v>
      </c>
      <c r="H687" t="s">
        <v>11</v>
      </c>
      <c r="I687" s="2">
        <v>45809</v>
      </c>
      <c r="J687">
        <v>1</v>
      </c>
      <c r="K687" s="3">
        <v>45997</v>
      </c>
      <c r="L687">
        <v>210</v>
      </c>
      <c r="M687" t="s">
        <v>13</v>
      </c>
      <c r="N687" s="79">
        <f>O687/E687</f>
        <v>-1.9990043273465322E-2</v>
      </c>
      <c r="O687">
        <f>VLOOKUP(B687,'Customer TDS'!A:D,4,0)</f>
        <v>5.22</v>
      </c>
      <c r="P687" s="38">
        <f t="shared" si="59"/>
        <v>-255.91</v>
      </c>
      <c r="Q687">
        <f>VLOOKUP(B687,Ascendus!E:I,5,0)</f>
        <v>260.07</v>
      </c>
      <c r="R687" s="38">
        <f t="shared" ref="R687:R688" si="66">E687+Q687</f>
        <v>-1.0600000000000023</v>
      </c>
      <c r="S687" t="s">
        <v>915</v>
      </c>
    </row>
    <row r="688" spans="1:19" x14ac:dyDescent="0.35">
      <c r="A688" t="s">
        <v>454</v>
      </c>
      <c r="B688" s="4">
        <v>246779410743</v>
      </c>
      <c r="C688" s="3">
        <v>45750</v>
      </c>
      <c r="D688" s="1">
        <v>-3</v>
      </c>
      <c r="E688" s="1">
        <v>-261.13</v>
      </c>
      <c r="G688" s="3">
        <v>45720</v>
      </c>
      <c r="H688" t="s">
        <v>11</v>
      </c>
      <c r="I688" s="2">
        <v>45809</v>
      </c>
      <c r="J688">
        <v>1</v>
      </c>
      <c r="K688" s="3">
        <v>45838</v>
      </c>
      <c r="L688">
        <v>210</v>
      </c>
      <c r="M688" t="s">
        <v>13</v>
      </c>
      <c r="N688" s="79">
        <f>O688/E688</f>
        <v>-1.9990043273465322E-2</v>
      </c>
      <c r="O688">
        <f>VLOOKUP(B688,'Customer TDS'!A:D,4,0)</f>
        <v>5.22</v>
      </c>
      <c r="P688" s="38">
        <f t="shared" si="59"/>
        <v>-255.91</v>
      </c>
      <c r="Q688">
        <f>VLOOKUP(B688,Ascendus!E:I,5,0)</f>
        <v>260.07</v>
      </c>
      <c r="R688" s="38">
        <f t="shared" si="66"/>
        <v>-1.0600000000000023</v>
      </c>
      <c r="S688" t="s">
        <v>915</v>
      </c>
    </row>
    <row r="689" spans="1:19" x14ac:dyDescent="0.35">
      <c r="A689" t="s">
        <v>454</v>
      </c>
      <c r="B689" s="4">
        <v>246779410743</v>
      </c>
      <c r="C689" s="3">
        <v>45750</v>
      </c>
      <c r="D689" s="1">
        <v>0</v>
      </c>
      <c r="E689" s="1">
        <v>3.1</v>
      </c>
      <c r="F689" t="s">
        <v>15</v>
      </c>
      <c r="G689" s="3">
        <v>45720</v>
      </c>
      <c r="H689" t="s">
        <v>11</v>
      </c>
      <c r="I689" s="2">
        <v>45809</v>
      </c>
      <c r="J689">
        <v>90</v>
      </c>
      <c r="K689" s="3">
        <v>45838</v>
      </c>
      <c r="L689">
        <v>271</v>
      </c>
      <c r="M689" t="s">
        <v>13</v>
      </c>
      <c r="P689" s="38">
        <f t="shared" si="59"/>
        <v>3.1</v>
      </c>
      <c r="S689" t="s">
        <v>918</v>
      </c>
    </row>
    <row r="690" spans="1:19" x14ac:dyDescent="0.35">
      <c r="A690" t="s">
        <v>454</v>
      </c>
      <c r="B690" s="4">
        <v>246779410665</v>
      </c>
      <c r="C690" s="3">
        <v>45750</v>
      </c>
      <c r="D690" s="1">
        <v>-3.54</v>
      </c>
      <c r="E690" s="1">
        <v>-308.13</v>
      </c>
      <c r="F690" t="s">
        <v>93</v>
      </c>
      <c r="G690" s="3">
        <v>45720</v>
      </c>
      <c r="H690" t="s">
        <v>11</v>
      </c>
      <c r="I690" s="2">
        <v>45992</v>
      </c>
      <c r="J690">
        <v>1</v>
      </c>
      <c r="K690" s="3">
        <v>46022</v>
      </c>
      <c r="L690">
        <v>210</v>
      </c>
      <c r="M690" t="s">
        <v>13</v>
      </c>
      <c r="N690" s="79">
        <f>O690/E690</f>
        <v>-1.9764385162106903E-2</v>
      </c>
      <c r="O690">
        <f>VLOOKUP(B690,'Customer TDS'!A:D,4,0)</f>
        <v>6.09</v>
      </c>
      <c r="P690" s="38">
        <f t="shared" si="59"/>
        <v>-302.04000000000002</v>
      </c>
      <c r="Q690">
        <f>VLOOKUP(B690,Ascendus!E:I,5,0)</f>
        <v>306.89</v>
      </c>
      <c r="R690" s="38">
        <f>E690+Q690</f>
        <v>-1.2400000000000091</v>
      </c>
      <c r="S690" t="s">
        <v>915</v>
      </c>
    </row>
    <row r="691" spans="1:19" x14ac:dyDescent="0.35">
      <c r="A691" t="s">
        <v>454</v>
      </c>
      <c r="B691" s="4">
        <v>246779410665</v>
      </c>
      <c r="C691" s="3">
        <v>45750</v>
      </c>
      <c r="D691" s="1">
        <v>0</v>
      </c>
      <c r="E691" s="1">
        <v>-9.8800000000000008</v>
      </c>
      <c r="F691" t="s">
        <v>15</v>
      </c>
      <c r="G691" s="3">
        <v>45720</v>
      </c>
      <c r="H691" t="s">
        <v>11</v>
      </c>
      <c r="I691" s="2">
        <v>45992</v>
      </c>
      <c r="J691">
        <v>82</v>
      </c>
      <c r="K691" s="3">
        <v>46022</v>
      </c>
      <c r="L691">
        <v>271</v>
      </c>
      <c r="M691" t="s">
        <v>13</v>
      </c>
      <c r="P691" s="38">
        <f t="shared" si="59"/>
        <v>-9.8800000000000008</v>
      </c>
      <c r="S691" t="s">
        <v>918</v>
      </c>
    </row>
    <row r="692" spans="1:19" x14ac:dyDescent="0.35">
      <c r="A692" t="s">
        <v>454</v>
      </c>
      <c r="B692" s="4">
        <v>246779410665</v>
      </c>
      <c r="C692" s="3">
        <v>45750</v>
      </c>
      <c r="D692" s="1">
        <v>0</v>
      </c>
      <c r="E692" s="1">
        <v>-6.04</v>
      </c>
      <c r="F692" t="s">
        <v>15</v>
      </c>
      <c r="G692" s="3">
        <v>45720</v>
      </c>
      <c r="H692" t="s">
        <v>11</v>
      </c>
      <c r="I692" s="2">
        <v>46023</v>
      </c>
      <c r="J692">
        <v>52</v>
      </c>
      <c r="K692" s="3">
        <v>46053</v>
      </c>
      <c r="L692">
        <v>271</v>
      </c>
      <c r="M692" t="s">
        <v>13</v>
      </c>
      <c r="P692" s="38">
        <f t="shared" si="59"/>
        <v>-6.04</v>
      </c>
      <c r="S692" t="s">
        <v>918</v>
      </c>
    </row>
    <row r="693" spans="1:19" x14ac:dyDescent="0.35">
      <c r="A693" t="s">
        <v>454</v>
      </c>
      <c r="B693" s="4">
        <v>256779419122</v>
      </c>
      <c r="C693" s="3">
        <v>45727</v>
      </c>
      <c r="D693" s="1">
        <v>-670.42</v>
      </c>
      <c r="E693" s="1">
        <v>-59439.1</v>
      </c>
      <c r="F693" t="s">
        <v>43</v>
      </c>
      <c r="G693" s="3">
        <v>45728</v>
      </c>
      <c r="H693" t="s">
        <v>11</v>
      </c>
      <c r="I693" s="2">
        <v>45992</v>
      </c>
      <c r="J693">
        <v>1</v>
      </c>
      <c r="K693" s="3">
        <v>46010</v>
      </c>
      <c r="L693">
        <v>210</v>
      </c>
      <c r="M693" t="s">
        <v>13</v>
      </c>
      <c r="N693" s="79">
        <f>O693/E693</f>
        <v>-2.0002321704063488E-2</v>
      </c>
      <c r="O693">
        <f>VLOOKUP(B693,'Customer TDS'!A:D,4,0)</f>
        <v>1188.92</v>
      </c>
      <c r="P693" s="38">
        <f t="shared" si="59"/>
        <v>-58250.18</v>
      </c>
      <c r="Q693">
        <f>VLOOKUP(B693,Ascendus!E:I,5,0)</f>
        <v>58999.23</v>
      </c>
      <c r="R693" s="38">
        <f>E693+Q693</f>
        <v>-439.86999999999534</v>
      </c>
      <c r="S693" t="s">
        <v>915</v>
      </c>
    </row>
    <row r="694" spans="1:19" x14ac:dyDescent="0.35">
      <c r="A694" t="s">
        <v>454</v>
      </c>
      <c r="B694" s="4">
        <v>256779419122</v>
      </c>
      <c r="C694" s="3">
        <v>45727</v>
      </c>
      <c r="D694" s="1">
        <v>0</v>
      </c>
      <c r="E694" s="1">
        <v>-808.94</v>
      </c>
      <c r="F694" t="s">
        <v>15</v>
      </c>
      <c r="G694" s="3">
        <v>45728</v>
      </c>
      <c r="H694" t="s">
        <v>11</v>
      </c>
      <c r="I694" s="2">
        <v>45992</v>
      </c>
      <c r="J694">
        <v>76</v>
      </c>
      <c r="K694" s="3">
        <v>46022</v>
      </c>
      <c r="L694">
        <v>271</v>
      </c>
      <c r="M694" t="s">
        <v>13</v>
      </c>
      <c r="P694" s="38">
        <f t="shared" si="59"/>
        <v>-808.94</v>
      </c>
      <c r="S694" t="s">
        <v>918</v>
      </c>
    </row>
    <row r="695" spans="1:19" x14ac:dyDescent="0.35">
      <c r="A695" t="s">
        <v>454</v>
      </c>
      <c r="B695" s="4">
        <v>256779410262</v>
      </c>
      <c r="C695" s="3">
        <v>45720</v>
      </c>
      <c r="D695" s="1">
        <v>0</v>
      </c>
      <c r="E695" s="1">
        <v>-93.33</v>
      </c>
      <c r="F695" t="s">
        <v>93</v>
      </c>
      <c r="G695" s="3">
        <v>45721</v>
      </c>
      <c r="H695" t="s">
        <v>59</v>
      </c>
      <c r="I695" s="2">
        <v>45809</v>
      </c>
      <c r="J695">
        <v>1</v>
      </c>
      <c r="K695" s="3">
        <v>45997</v>
      </c>
      <c r="L695">
        <v>210</v>
      </c>
      <c r="M695" t="s">
        <v>13</v>
      </c>
      <c r="N695" s="79">
        <f>O695/E695</f>
        <v>-2.1429336762027216E-2</v>
      </c>
      <c r="O695">
        <f>VLOOKUP(B695,'Customer TDS'!A:D,4,0)</f>
        <v>2</v>
      </c>
      <c r="P695" s="38">
        <f t="shared" si="59"/>
        <v>-91.33</v>
      </c>
      <c r="Q695">
        <f>VLOOKUP(B695,Ascendus!E:I,5,0)</f>
        <v>8112.41</v>
      </c>
      <c r="R695" s="38">
        <f t="shared" ref="R695:R699" si="67">E695+Q695</f>
        <v>8019.08</v>
      </c>
      <c r="S695" t="s">
        <v>915</v>
      </c>
    </row>
    <row r="696" spans="1:19" x14ac:dyDescent="0.35">
      <c r="A696" t="s">
        <v>454</v>
      </c>
      <c r="B696" s="4">
        <v>256779410263</v>
      </c>
      <c r="C696" s="3">
        <v>45720</v>
      </c>
      <c r="D696" s="1">
        <v>0</v>
      </c>
      <c r="E696" s="1">
        <v>-51.33</v>
      </c>
      <c r="F696" t="s">
        <v>93</v>
      </c>
      <c r="G696" s="3">
        <v>45721</v>
      </c>
      <c r="H696" t="s">
        <v>59</v>
      </c>
      <c r="I696" s="2">
        <v>45809</v>
      </c>
      <c r="J696">
        <v>1</v>
      </c>
      <c r="K696" s="3">
        <v>45997</v>
      </c>
      <c r="L696">
        <v>210</v>
      </c>
      <c r="M696" t="s">
        <v>13</v>
      </c>
      <c r="N696" s="79">
        <f>O696/E696</f>
        <v>-3.8963569062926168E-2</v>
      </c>
      <c r="O696">
        <f>VLOOKUP(B696,'Customer TDS'!A:D,4,0)</f>
        <v>2</v>
      </c>
      <c r="P696" s="38">
        <f t="shared" si="59"/>
        <v>-49.33</v>
      </c>
      <c r="Q696">
        <f>VLOOKUP(B696,Ascendus!E:I,5,0)</f>
        <v>4461.7</v>
      </c>
      <c r="R696" s="38">
        <f t="shared" si="67"/>
        <v>4410.37</v>
      </c>
      <c r="S696" t="s">
        <v>915</v>
      </c>
    </row>
    <row r="697" spans="1:19" x14ac:dyDescent="0.35">
      <c r="A697" t="s">
        <v>454</v>
      </c>
      <c r="B697" s="4">
        <v>256779410196</v>
      </c>
      <c r="C697" s="3">
        <v>45720</v>
      </c>
      <c r="D697" s="1">
        <v>-246.52</v>
      </c>
      <c r="E697" s="1">
        <v>-21133.41</v>
      </c>
      <c r="G697" s="3">
        <v>45721</v>
      </c>
      <c r="H697" t="s">
        <v>11</v>
      </c>
      <c r="I697" s="2">
        <v>45809</v>
      </c>
      <c r="J697">
        <v>1</v>
      </c>
      <c r="K697" s="3">
        <v>45838</v>
      </c>
      <c r="L697">
        <v>210</v>
      </c>
      <c r="M697" t="s">
        <v>13</v>
      </c>
      <c r="N697" s="79">
        <f>O697/E697</f>
        <v>-1.9998192435579491E-2</v>
      </c>
      <c r="O697">
        <f>VLOOKUP(B697,'Customer TDS'!A:D,4,0)</f>
        <v>422.63</v>
      </c>
      <c r="P697" s="38">
        <f t="shared" si="59"/>
        <v>-20710.78</v>
      </c>
      <c r="Q697">
        <f>VLOOKUP(B697,Ascendus!E:I,5,0)</f>
        <v>21427.97</v>
      </c>
      <c r="R697" s="38">
        <f t="shared" si="67"/>
        <v>294.56000000000131</v>
      </c>
      <c r="S697" t="s">
        <v>915</v>
      </c>
    </row>
    <row r="698" spans="1:19" x14ac:dyDescent="0.35">
      <c r="A698" t="s">
        <v>454</v>
      </c>
      <c r="B698" s="4">
        <v>256779410303</v>
      </c>
      <c r="C698" s="3">
        <v>45720</v>
      </c>
      <c r="D698" s="1">
        <v>-91.45</v>
      </c>
      <c r="E698" s="1">
        <v>-7839.73</v>
      </c>
      <c r="G698" s="3">
        <v>45721</v>
      </c>
      <c r="H698" t="s">
        <v>11</v>
      </c>
      <c r="I698" s="2">
        <v>45809</v>
      </c>
      <c r="J698">
        <v>1</v>
      </c>
      <c r="K698" s="3">
        <v>45838</v>
      </c>
      <c r="L698">
        <v>210</v>
      </c>
      <c r="M698" t="s">
        <v>13</v>
      </c>
      <c r="N698" s="79">
        <f>O698/E698</f>
        <v>-2.0010893232292441E-2</v>
      </c>
      <c r="O698">
        <f>VLOOKUP(B698,'Customer TDS'!A:D,4,0)</f>
        <v>156.88</v>
      </c>
      <c r="P698" s="38">
        <f t="shared" si="59"/>
        <v>-7682.8499999999995</v>
      </c>
      <c r="Q698">
        <f>VLOOKUP(B698,Ascendus!E:I,5,0)</f>
        <v>7949</v>
      </c>
      <c r="R698" s="38">
        <f t="shared" si="67"/>
        <v>109.27000000000044</v>
      </c>
      <c r="S698" t="s">
        <v>915</v>
      </c>
    </row>
    <row r="699" spans="1:19" x14ac:dyDescent="0.35">
      <c r="A699" t="s">
        <v>454</v>
      </c>
      <c r="B699" s="4">
        <v>256779410304</v>
      </c>
      <c r="C699" s="3">
        <v>45720</v>
      </c>
      <c r="D699" s="1">
        <v>-50.3</v>
      </c>
      <c r="E699" s="1">
        <v>-4312.07</v>
      </c>
      <c r="G699" s="3">
        <v>45721</v>
      </c>
      <c r="H699" t="s">
        <v>11</v>
      </c>
      <c r="I699" s="2">
        <v>45809</v>
      </c>
      <c r="J699">
        <v>1</v>
      </c>
      <c r="K699" s="3">
        <v>45838</v>
      </c>
      <c r="L699">
        <v>210</v>
      </c>
      <c r="M699" t="s">
        <v>13</v>
      </c>
      <c r="N699" s="79">
        <f>O699/E699</f>
        <v>-2.0078523771645637E-2</v>
      </c>
      <c r="O699">
        <f>VLOOKUP(B699,'Customer TDS'!A:D,4,0)</f>
        <v>86.58</v>
      </c>
      <c r="P699" s="38">
        <f t="shared" si="59"/>
        <v>-4225.49</v>
      </c>
      <c r="Q699">
        <f>VLOOKUP(B699,Ascendus!E:I,5,0)</f>
        <v>4372.17</v>
      </c>
      <c r="R699" s="38">
        <f t="shared" si="67"/>
        <v>60.100000000000364</v>
      </c>
      <c r="S699" t="s">
        <v>915</v>
      </c>
    </row>
    <row r="700" spans="1:19" x14ac:dyDescent="0.35">
      <c r="A700" t="s">
        <v>454</v>
      </c>
      <c r="B700" s="4">
        <v>256779410196</v>
      </c>
      <c r="C700" s="3">
        <v>45720</v>
      </c>
      <c r="D700" s="1">
        <v>0</v>
      </c>
      <c r="E700" s="1">
        <v>-63.43</v>
      </c>
      <c r="F700" t="s">
        <v>15</v>
      </c>
      <c r="G700" s="3">
        <v>45721</v>
      </c>
      <c r="H700" t="s">
        <v>11</v>
      </c>
      <c r="I700" s="2">
        <v>45809</v>
      </c>
      <c r="J700">
        <v>34</v>
      </c>
      <c r="K700" s="3">
        <v>45838</v>
      </c>
      <c r="L700">
        <v>271</v>
      </c>
      <c r="M700" t="s">
        <v>13</v>
      </c>
      <c r="P700" s="38">
        <f t="shared" si="59"/>
        <v>-63.43</v>
      </c>
      <c r="S700" t="s">
        <v>918</v>
      </c>
    </row>
    <row r="701" spans="1:19" x14ac:dyDescent="0.35">
      <c r="A701" t="s">
        <v>454</v>
      </c>
      <c r="B701" s="4">
        <v>256779410303</v>
      </c>
      <c r="C701" s="3">
        <v>45720</v>
      </c>
      <c r="D701" s="1">
        <v>0</v>
      </c>
      <c r="E701" s="1">
        <v>-23.53</v>
      </c>
      <c r="F701" t="s">
        <v>15</v>
      </c>
      <c r="G701" s="3">
        <v>45721</v>
      </c>
      <c r="H701" t="s">
        <v>11</v>
      </c>
      <c r="I701" s="2">
        <v>45809</v>
      </c>
      <c r="J701">
        <v>40</v>
      </c>
      <c r="K701" s="3">
        <v>45838</v>
      </c>
      <c r="L701">
        <v>271</v>
      </c>
      <c r="M701" t="s">
        <v>13</v>
      </c>
      <c r="P701" s="38">
        <f t="shared" si="59"/>
        <v>-23.53</v>
      </c>
      <c r="S701" t="s">
        <v>918</v>
      </c>
    </row>
    <row r="702" spans="1:19" x14ac:dyDescent="0.35">
      <c r="A702" t="s">
        <v>454</v>
      </c>
      <c r="B702" s="4">
        <v>256779410304</v>
      </c>
      <c r="C702" s="3">
        <v>45720</v>
      </c>
      <c r="D702" s="1">
        <v>0</v>
      </c>
      <c r="E702" s="1">
        <v>-12.93</v>
      </c>
      <c r="F702" t="s">
        <v>15</v>
      </c>
      <c r="G702" s="3">
        <v>45721</v>
      </c>
      <c r="H702" t="s">
        <v>11</v>
      </c>
      <c r="I702" s="2">
        <v>45809</v>
      </c>
      <c r="J702">
        <v>60</v>
      </c>
      <c r="K702" s="3">
        <v>45838</v>
      </c>
      <c r="L702">
        <v>271</v>
      </c>
      <c r="M702" t="s">
        <v>13</v>
      </c>
      <c r="P702" s="38">
        <f t="shared" si="59"/>
        <v>-12.93</v>
      </c>
      <c r="S702" t="s">
        <v>918</v>
      </c>
    </row>
    <row r="703" spans="1:19" x14ac:dyDescent="0.35">
      <c r="A703" t="s">
        <v>454</v>
      </c>
      <c r="B703" s="4">
        <v>246779410436</v>
      </c>
      <c r="C703" s="3">
        <v>45719</v>
      </c>
      <c r="D703" s="1">
        <v>-1332.41</v>
      </c>
      <c r="E703" s="1">
        <v>-115976.18</v>
      </c>
      <c r="G703" s="3">
        <v>45692</v>
      </c>
      <c r="H703" t="s">
        <v>11</v>
      </c>
      <c r="I703" s="2">
        <v>45809</v>
      </c>
      <c r="J703">
        <v>1</v>
      </c>
      <c r="K703" s="3">
        <v>45997</v>
      </c>
      <c r="L703">
        <v>210</v>
      </c>
      <c r="M703" t="s">
        <v>13</v>
      </c>
      <c r="N703" s="79">
        <f>O703/E703</f>
        <v>-2.0001348552780407E-2</v>
      </c>
      <c r="O703">
        <f>VLOOKUP(B703,'Customer TDS'!A:D,4,0)</f>
        <v>2319.6799999999998</v>
      </c>
      <c r="P703" s="38">
        <f t="shared" si="59"/>
        <v>-113656.5</v>
      </c>
      <c r="Q703">
        <f>VLOOKUP(B703,Ascendus!E:I,5,0)</f>
        <v>115508.3</v>
      </c>
      <c r="R703" s="38">
        <f t="shared" ref="R703:R707" si="68">E703+Q703</f>
        <v>-467.8799999999901</v>
      </c>
      <c r="S703" t="s">
        <v>915</v>
      </c>
    </row>
    <row r="704" spans="1:19" x14ac:dyDescent="0.35">
      <c r="A704" t="s">
        <v>454</v>
      </c>
      <c r="B704" s="4">
        <v>246779410413</v>
      </c>
      <c r="C704" s="3">
        <v>45719</v>
      </c>
      <c r="D704" s="1">
        <v>-694.12</v>
      </c>
      <c r="E704" s="1">
        <v>-60417.88</v>
      </c>
      <c r="G704" s="3">
        <v>45692</v>
      </c>
      <c r="H704" t="s">
        <v>11</v>
      </c>
      <c r="I704" s="2">
        <v>45809</v>
      </c>
      <c r="J704">
        <v>1</v>
      </c>
      <c r="K704" s="3">
        <v>45997</v>
      </c>
      <c r="L704">
        <v>210</v>
      </c>
      <c r="M704" t="s">
        <v>13</v>
      </c>
      <c r="N704" s="79">
        <f>O704/E704</f>
        <v>-1.9996563931074712E-2</v>
      </c>
      <c r="O704">
        <f>VLOOKUP(B704,'Customer TDS'!A:D,4,0)</f>
        <v>1208.1500000000001</v>
      </c>
      <c r="P704" s="38">
        <f t="shared" si="59"/>
        <v>-59209.729999999996</v>
      </c>
      <c r="Q704">
        <f>VLOOKUP(B704,Ascendus!E:I,5,0)</f>
        <v>60174.14</v>
      </c>
      <c r="R704" s="38">
        <f t="shared" si="68"/>
        <v>-243.73999999999796</v>
      </c>
      <c r="S704" t="s">
        <v>915</v>
      </c>
    </row>
    <row r="705" spans="1:19" x14ac:dyDescent="0.35">
      <c r="A705" t="s">
        <v>454</v>
      </c>
      <c r="B705" s="4">
        <v>246779410389</v>
      </c>
      <c r="C705" s="3">
        <v>45719</v>
      </c>
      <c r="D705" s="1">
        <v>-542.08000000000004</v>
      </c>
      <c r="E705" s="1">
        <v>-47183.95</v>
      </c>
      <c r="F705" t="s">
        <v>93</v>
      </c>
      <c r="G705" s="3">
        <v>45692</v>
      </c>
      <c r="H705" t="s">
        <v>11</v>
      </c>
      <c r="I705" s="2">
        <v>45809</v>
      </c>
      <c r="J705">
        <v>1</v>
      </c>
      <c r="K705" s="3">
        <v>45997</v>
      </c>
      <c r="L705">
        <v>210</v>
      </c>
      <c r="M705" t="s">
        <v>13</v>
      </c>
      <c r="N705" s="79">
        <f>O705/E705</f>
        <v>-1.9997054083009159E-2</v>
      </c>
      <c r="O705">
        <f>VLOOKUP(B705,'Customer TDS'!A:D,4,0)</f>
        <v>943.54</v>
      </c>
      <c r="P705" s="38">
        <f t="shared" si="59"/>
        <v>-46240.409999999996</v>
      </c>
      <c r="Q705">
        <f>VLOOKUP(B705,Ascendus!E:I,5,0)</f>
        <v>46993.599999999999</v>
      </c>
      <c r="R705" s="38">
        <f t="shared" si="68"/>
        <v>-190.34999999999854</v>
      </c>
      <c r="S705" t="s">
        <v>915</v>
      </c>
    </row>
    <row r="706" spans="1:19" x14ac:dyDescent="0.35">
      <c r="A706" t="s">
        <v>454</v>
      </c>
      <c r="B706" s="4">
        <v>256779413931</v>
      </c>
      <c r="C706" s="3">
        <v>45694</v>
      </c>
      <c r="D706" s="1">
        <v>-395.23</v>
      </c>
      <c r="E706" s="1">
        <v>-33619.879999999997</v>
      </c>
      <c r="G706" s="3">
        <v>45695</v>
      </c>
      <c r="H706" t="s">
        <v>11</v>
      </c>
      <c r="I706" s="2">
        <v>45962</v>
      </c>
      <c r="J706">
        <v>1</v>
      </c>
      <c r="K706" s="3">
        <v>45991</v>
      </c>
      <c r="L706">
        <v>210</v>
      </c>
      <c r="M706" t="s">
        <v>13</v>
      </c>
      <c r="N706" s="79">
        <f>O706/E706</f>
        <v>-1.9988471106975991E-2</v>
      </c>
      <c r="O706">
        <f>VLOOKUP(B706,'Customer TDS'!A:D,4,0)</f>
        <v>672.01</v>
      </c>
      <c r="P706" s="38">
        <f t="shared" si="59"/>
        <v>-32947.869999999995</v>
      </c>
      <c r="Q706">
        <f>VLOOKUP(B706,Ascendus!E:I,5,0)</f>
        <v>33788.519999999997</v>
      </c>
      <c r="R706" s="38">
        <f t="shared" si="68"/>
        <v>168.63999999999942</v>
      </c>
      <c r="S706" t="s">
        <v>915</v>
      </c>
    </row>
    <row r="707" spans="1:19" x14ac:dyDescent="0.35">
      <c r="A707" t="s">
        <v>454</v>
      </c>
      <c r="B707" s="4">
        <v>256779413972</v>
      </c>
      <c r="C707" s="3">
        <v>45694</v>
      </c>
      <c r="D707" s="1">
        <v>0</v>
      </c>
      <c r="E707" s="1">
        <v>-262</v>
      </c>
      <c r="G707" s="3">
        <v>45695</v>
      </c>
      <c r="H707" t="s">
        <v>59</v>
      </c>
      <c r="I707" s="2">
        <v>45962</v>
      </c>
      <c r="J707">
        <v>1</v>
      </c>
      <c r="K707" s="3">
        <v>45991</v>
      </c>
      <c r="L707">
        <v>210</v>
      </c>
      <c r="M707" t="s">
        <v>13</v>
      </c>
      <c r="N707" s="79">
        <f>O707/E707</f>
        <v>-2.2900763358778626E-2</v>
      </c>
      <c r="O707">
        <f>VLOOKUP(B707,'Customer TDS'!A:D,4,0)</f>
        <v>6</v>
      </c>
      <c r="P707" s="38">
        <f t="shared" si="59"/>
        <v>-256</v>
      </c>
      <c r="Q707">
        <f>VLOOKUP(B707,Ascendus!E:I,5,0)</f>
        <v>262.20999999999998</v>
      </c>
      <c r="R707" s="38">
        <f t="shared" si="68"/>
        <v>0.20999999999997954</v>
      </c>
      <c r="S707" t="s">
        <v>915</v>
      </c>
    </row>
    <row r="708" spans="1:19" x14ac:dyDescent="0.35">
      <c r="A708" t="s">
        <v>454</v>
      </c>
      <c r="B708" s="4">
        <v>256779413931</v>
      </c>
      <c r="C708" s="3">
        <v>45694</v>
      </c>
      <c r="D708" s="1">
        <v>0</v>
      </c>
      <c r="E708" s="1">
        <v>-1584.45</v>
      </c>
      <c r="F708" t="s">
        <v>15</v>
      </c>
      <c r="G708" s="3">
        <v>45695</v>
      </c>
      <c r="H708" t="s">
        <v>11</v>
      </c>
      <c r="I708" s="2">
        <v>45962</v>
      </c>
      <c r="J708">
        <v>62</v>
      </c>
      <c r="K708" s="3">
        <v>45991</v>
      </c>
      <c r="L708">
        <v>271</v>
      </c>
      <c r="M708" t="s">
        <v>13</v>
      </c>
      <c r="P708" s="38">
        <f t="shared" ref="P708:P732" si="69">E708+O708</f>
        <v>-1584.45</v>
      </c>
      <c r="S708" t="s">
        <v>918</v>
      </c>
    </row>
    <row r="709" spans="1:19" x14ac:dyDescent="0.35">
      <c r="A709" t="s">
        <v>454</v>
      </c>
      <c r="B709" s="4">
        <v>256779416028</v>
      </c>
      <c r="C709" s="3">
        <v>45665</v>
      </c>
      <c r="D709" s="1">
        <v>-2324.77</v>
      </c>
      <c r="E709" s="1">
        <v>-201396.93</v>
      </c>
      <c r="F709" t="s">
        <v>43</v>
      </c>
      <c r="G709" t="s">
        <v>446</v>
      </c>
      <c r="H709" t="s">
        <v>11</v>
      </c>
      <c r="I709" s="2">
        <v>45992</v>
      </c>
      <c r="J709">
        <v>1</v>
      </c>
      <c r="K709" s="3">
        <v>46006</v>
      </c>
      <c r="L709">
        <v>210</v>
      </c>
      <c r="M709" t="s">
        <v>13</v>
      </c>
      <c r="N709" s="79">
        <f>O709/E709</f>
        <v>-2.0001993079040482E-2</v>
      </c>
      <c r="O709">
        <f>VLOOKUP(B709,'Customer TDS'!A:D,4,0)</f>
        <v>4028.34</v>
      </c>
      <c r="P709" s="38">
        <f t="shared" si="69"/>
        <v>-197368.59</v>
      </c>
      <c r="Q709">
        <f>VLOOKUP(B709,Ascendus!E:I,5,0)</f>
        <v>200000</v>
      </c>
      <c r="R709" s="38">
        <f t="shared" ref="R709:R711" si="70">E709+Q709</f>
        <v>-1396.929999999993</v>
      </c>
      <c r="S709" t="s">
        <v>915</v>
      </c>
    </row>
    <row r="710" spans="1:19" x14ac:dyDescent="0.35">
      <c r="A710" t="s">
        <v>454</v>
      </c>
      <c r="B710" s="4">
        <v>256779416029</v>
      </c>
      <c r="C710" s="3">
        <v>45665</v>
      </c>
      <c r="D710" s="1">
        <v>-92.99</v>
      </c>
      <c r="E710" s="1">
        <v>-8055.81</v>
      </c>
      <c r="F710" t="s">
        <v>43</v>
      </c>
      <c r="G710" t="s">
        <v>446</v>
      </c>
      <c r="H710" t="s">
        <v>11</v>
      </c>
      <c r="I710" s="2">
        <v>45992</v>
      </c>
      <c r="J710">
        <v>1</v>
      </c>
      <c r="K710" s="3">
        <v>46006</v>
      </c>
      <c r="L710">
        <v>210</v>
      </c>
      <c r="M710" t="s">
        <v>13</v>
      </c>
      <c r="N710" s="79">
        <f>O710/E710</f>
        <v>-2.0001713049339544E-2</v>
      </c>
      <c r="O710">
        <f>VLOOKUP(B710,'Customer TDS'!A:D,4,0)</f>
        <v>161.13</v>
      </c>
      <c r="P710" s="38">
        <f t="shared" si="69"/>
        <v>-7894.68</v>
      </c>
      <c r="Q710">
        <f>VLOOKUP(B710,Ascendus!E:I,5,0)</f>
        <v>8000</v>
      </c>
      <c r="R710" s="38">
        <f t="shared" si="70"/>
        <v>-55.8100000000004</v>
      </c>
      <c r="S710" t="s">
        <v>915</v>
      </c>
    </row>
    <row r="711" spans="1:19" x14ac:dyDescent="0.35">
      <c r="A711" t="s">
        <v>454</v>
      </c>
      <c r="B711" s="4">
        <v>256779416030</v>
      </c>
      <c r="C711" s="3">
        <v>45665</v>
      </c>
      <c r="D711" s="1">
        <v>-51.14</v>
      </c>
      <c r="E711" s="1">
        <v>-4430.3</v>
      </c>
      <c r="F711" t="s">
        <v>43</v>
      </c>
      <c r="G711" t="s">
        <v>446</v>
      </c>
      <c r="H711" t="s">
        <v>11</v>
      </c>
      <c r="I711" s="2">
        <v>45992</v>
      </c>
      <c r="J711">
        <v>1</v>
      </c>
      <c r="K711" s="3">
        <v>46006</v>
      </c>
      <c r="L711">
        <v>210</v>
      </c>
      <c r="M711" t="s">
        <v>13</v>
      </c>
      <c r="N711" s="79">
        <f>O711/E711</f>
        <v>-1.9944473286233437E-2</v>
      </c>
      <c r="O711">
        <f>VLOOKUP(B711,'Customer TDS'!A:D,4,0)</f>
        <v>88.36</v>
      </c>
      <c r="P711" s="38">
        <f t="shared" si="69"/>
        <v>-4341.9400000000005</v>
      </c>
      <c r="Q711">
        <f>VLOOKUP(B711,Ascendus!E:I,5,0)</f>
        <v>4400</v>
      </c>
      <c r="R711" s="38">
        <f t="shared" si="70"/>
        <v>-30.300000000000182</v>
      </c>
      <c r="S711" t="s">
        <v>915</v>
      </c>
    </row>
    <row r="712" spans="1:19" x14ac:dyDescent="0.35">
      <c r="A712" t="s">
        <v>454</v>
      </c>
      <c r="B712" s="4">
        <v>256779416028</v>
      </c>
      <c r="C712" s="3">
        <v>45665</v>
      </c>
      <c r="D712" s="1">
        <v>0</v>
      </c>
      <c r="E712" s="1">
        <v>-7426.8</v>
      </c>
      <c r="F712" t="s">
        <v>15</v>
      </c>
      <c r="G712" t="s">
        <v>446</v>
      </c>
      <c r="H712" t="s">
        <v>11</v>
      </c>
      <c r="I712" s="2">
        <v>45992</v>
      </c>
      <c r="J712">
        <v>54</v>
      </c>
      <c r="K712" s="3">
        <v>46022</v>
      </c>
      <c r="L712">
        <v>271</v>
      </c>
      <c r="M712" t="s">
        <v>13</v>
      </c>
      <c r="P712" s="38">
        <f t="shared" si="69"/>
        <v>-7426.8</v>
      </c>
      <c r="S712" t="s">
        <v>918</v>
      </c>
    </row>
    <row r="713" spans="1:19" x14ac:dyDescent="0.35">
      <c r="A713" t="s">
        <v>454</v>
      </c>
      <c r="B713" s="4">
        <v>256779416029</v>
      </c>
      <c r="C713" s="3">
        <v>45665</v>
      </c>
      <c r="D713" s="1">
        <v>0</v>
      </c>
      <c r="E713" s="1">
        <v>-297.06</v>
      </c>
      <c r="F713" t="s">
        <v>15</v>
      </c>
      <c r="G713" t="s">
        <v>446</v>
      </c>
      <c r="H713" t="s">
        <v>11</v>
      </c>
      <c r="I713" s="2">
        <v>45992</v>
      </c>
      <c r="J713">
        <v>56</v>
      </c>
      <c r="K713" s="3">
        <v>46022</v>
      </c>
      <c r="L713">
        <v>271</v>
      </c>
      <c r="M713" t="s">
        <v>13</v>
      </c>
      <c r="P713" s="38">
        <f t="shared" si="69"/>
        <v>-297.06</v>
      </c>
      <c r="S713" t="s">
        <v>918</v>
      </c>
    </row>
    <row r="714" spans="1:19" x14ac:dyDescent="0.35">
      <c r="A714" t="s">
        <v>454</v>
      </c>
      <c r="B714" s="4">
        <v>256779416030</v>
      </c>
      <c r="C714" s="3">
        <v>45665</v>
      </c>
      <c r="D714" s="1">
        <v>0</v>
      </c>
      <c r="E714" s="1">
        <v>-163.38</v>
      </c>
      <c r="F714" t="s">
        <v>15</v>
      </c>
      <c r="G714" t="s">
        <v>446</v>
      </c>
      <c r="H714" t="s">
        <v>11</v>
      </c>
      <c r="I714" s="2">
        <v>45992</v>
      </c>
      <c r="J714">
        <v>58</v>
      </c>
      <c r="K714" s="3">
        <v>46022</v>
      </c>
      <c r="L714">
        <v>271</v>
      </c>
      <c r="M714" t="s">
        <v>13</v>
      </c>
      <c r="P714" s="38">
        <f t="shared" si="69"/>
        <v>-163.38</v>
      </c>
      <c r="S714" t="s">
        <v>918</v>
      </c>
    </row>
    <row r="715" spans="1:19" hidden="1" x14ac:dyDescent="0.35">
      <c r="A715" t="s">
        <v>469</v>
      </c>
      <c r="B715" s="4">
        <v>2439105</v>
      </c>
      <c r="C715" s="3">
        <v>45827</v>
      </c>
      <c r="D715" s="1">
        <v>0</v>
      </c>
      <c r="E715" s="1">
        <v>1760137.77</v>
      </c>
      <c r="F715" t="s">
        <v>470</v>
      </c>
      <c r="H715" t="s">
        <v>59</v>
      </c>
      <c r="I715" s="2">
        <v>45809</v>
      </c>
      <c r="M715">
        <v>52421432</v>
      </c>
      <c r="P715" s="38">
        <f t="shared" si="69"/>
        <v>1760137.77</v>
      </c>
      <c r="S715" t="s">
        <v>916</v>
      </c>
    </row>
    <row r="716" spans="1:19" hidden="1" x14ac:dyDescent="0.35">
      <c r="A716" t="s">
        <v>471</v>
      </c>
      <c r="B716" s="4" t="s">
        <v>472</v>
      </c>
      <c r="C716" s="3">
        <v>45730</v>
      </c>
      <c r="D716" s="1">
        <v>249.55</v>
      </c>
      <c r="E716" s="1">
        <v>21721.43</v>
      </c>
      <c r="F716" t="s">
        <v>93</v>
      </c>
      <c r="H716" t="s">
        <v>11</v>
      </c>
      <c r="I716" s="2">
        <v>45839</v>
      </c>
      <c r="M716">
        <v>53826350</v>
      </c>
      <c r="P716" s="38">
        <f t="shared" si="69"/>
        <v>21721.43</v>
      </c>
      <c r="S716" t="s">
        <v>917</v>
      </c>
    </row>
    <row r="717" spans="1:19" hidden="1" x14ac:dyDescent="0.35">
      <c r="A717" t="s">
        <v>469</v>
      </c>
      <c r="B717" s="4">
        <v>2512590</v>
      </c>
      <c r="C717" s="3">
        <v>45859</v>
      </c>
      <c r="D717" s="1">
        <v>0</v>
      </c>
      <c r="E717" s="1">
        <v>2396201.27</v>
      </c>
      <c r="F717" t="s">
        <v>473</v>
      </c>
      <c r="H717" t="s">
        <v>59</v>
      </c>
      <c r="I717" s="2">
        <v>45839</v>
      </c>
      <c r="M717">
        <v>54915840</v>
      </c>
      <c r="P717" s="38">
        <f t="shared" si="69"/>
        <v>2396201.27</v>
      </c>
      <c r="S717" t="s">
        <v>916</v>
      </c>
    </row>
    <row r="718" spans="1:19" hidden="1" x14ac:dyDescent="0.35">
      <c r="A718" t="s">
        <v>469</v>
      </c>
      <c r="B718" s="4">
        <v>2513416</v>
      </c>
      <c r="C718" s="3">
        <v>45859</v>
      </c>
      <c r="D718" s="1">
        <v>0</v>
      </c>
      <c r="E718" s="1">
        <v>2396201.27</v>
      </c>
      <c r="F718" t="s">
        <v>474</v>
      </c>
      <c r="H718" t="s">
        <v>59</v>
      </c>
      <c r="I718" s="2">
        <v>45839</v>
      </c>
      <c r="M718">
        <v>54947512</v>
      </c>
      <c r="P718" s="38">
        <f t="shared" si="69"/>
        <v>2396201.27</v>
      </c>
      <c r="S718" t="s">
        <v>916</v>
      </c>
    </row>
    <row r="719" spans="1:19" hidden="1" x14ac:dyDescent="0.35">
      <c r="A719" t="s">
        <v>469</v>
      </c>
      <c r="B719" s="4">
        <v>2516019</v>
      </c>
      <c r="C719" s="3">
        <v>45869</v>
      </c>
      <c r="D719" s="1">
        <v>0</v>
      </c>
      <c r="E719" s="1">
        <v>-2396201.27</v>
      </c>
      <c r="F719" t="s">
        <v>474</v>
      </c>
      <c r="H719" t="s">
        <v>59</v>
      </c>
      <c r="I719" s="2">
        <v>45839</v>
      </c>
      <c r="M719">
        <v>54956542</v>
      </c>
      <c r="P719" s="38">
        <f t="shared" si="69"/>
        <v>-2396201.27</v>
      </c>
      <c r="S719" t="s">
        <v>916</v>
      </c>
    </row>
    <row r="720" spans="1:19" hidden="1" x14ac:dyDescent="0.35">
      <c r="A720" t="s">
        <v>471</v>
      </c>
      <c r="B720" s="4" t="s">
        <v>472</v>
      </c>
      <c r="C720" s="3">
        <v>45730</v>
      </c>
      <c r="D720" s="1">
        <v>0</v>
      </c>
      <c r="E720" s="1">
        <v>-2.0499999999999998</v>
      </c>
      <c r="F720" t="s">
        <v>15</v>
      </c>
      <c r="H720" t="s">
        <v>11</v>
      </c>
      <c r="I720" s="2">
        <v>45839</v>
      </c>
      <c r="M720">
        <v>54969548</v>
      </c>
      <c r="P720" s="38">
        <f t="shared" si="69"/>
        <v>-2.0499999999999998</v>
      </c>
      <c r="S720" t="s">
        <v>917</v>
      </c>
    </row>
    <row r="721" spans="1:19" hidden="1" x14ac:dyDescent="0.35">
      <c r="A721" t="s">
        <v>469</v>
      </c>
      <c r="B721" s="4">
        <v>2667796</v>
      </c>
      <c r="C721" s="3">
        <v>45954</v>
      </c>
      <c r="D721" s="1">
        <v>0</v>
      </c>
      <c r="E721" s="1">
        <v>1721315.82</v>
      </c>
      <c r="F721" t="s">
        <v>475</v>
      </c>
      <c r="H721" t="s">
        <v>59</v>
      </c>
      <c r="I721" s="2">
        <v>45931</v>
      </c>
      <c r="M721">
        <v>61574185</v>
      </c>
      <c r="P721" s="38">
        <f t="shared" si="69"/>
        <v>1721315.82</v>
      </c>
      <c r="S721" t="s">
        <v>916</v>
      </c>
    </row>
    <row r="722" spans="1:19" hidden="1" x14ac:dyDescent="0.35">
      <c r="A722" t="s">
        <v>469</v>
      </c>
      <c r="B722" s="4">
        <v>2717597</v>
      </c>
      <c r="C722" s="3">
        <v>45982</v>
      </c>
      <c r="D722" s="1">
        <v>0</v>
      </c>
      <c r="E722" s="1">
        <v>1899719.56</v>
      </c>
      <c r="F722" t="s">
        <v>476</v>
      </c>
      <c r="H722" t="s">
        <v>59</v>
      </c>
      <c r="I722" s="2">
        <v>45962</v>
      </c>
      <c r="M722">
        <v>63769663</v>
      </c>
      <c r="P722" s="38">
        <f t="shared" si="69"/>
        <v>1899719.56</v>
      </c>
      <c r="S722" t="s">
        <v>916</v>
      </c>
    </row>
    <row r="723" spans="1:19" hidden="1" x14ac:dyDescent="0.35">
      <c r="A723" t="s">
        <v>469</v>
      </c>
      <c r="B723" s="4">
        <v>2771552</v>
      </c>
      <c r="C723" s="3">
        <v>46014</v>
      </c>
      <c r="D723" s="1">
        <v>0</v>
      </c>
      <c r="E723" s="1">
        <v>715665.04</v>
      </c>
      <c r="F723" t="s">
        <v>477</v>
      </c>
      <c r="H723" t="s">
        <v>59</v>
      </c>
      <c r="I723" s="2">
        <v>45992</v>
      </c>
      <c r="M723">
        <v>66083232</v>
      </c>
      <c r="P723" s="38">
        <f t="shared" si="69"/>
        <v>715665.04</v>
      </c>
      <c r="S723" t="s">
        <v>916</v>
      </c>
    </row>
    <row r="724" spans="1:19" hidden="1" x14ac:dyDescent="0.35">
      <c r="A724" t="s">
        <v>471</v>
      </c>
      <c r="B724" s="4" t="s">
        <v>478</v>
      </c>
      <c r="C724" s="3">
        <v>45918</v>
      </c>
      <c r="D724" s="1">
        <v>184.38</v>
      </c>
      <c r="E724" s="1">
        <v>184.38</v>
      </c>
      <c r="H724" t="s">
        <v>11</v>
      </c>
      <c r="I724" s="2">
        <v>46023</v>
      </c>
      <c r="M724">
        <v>68208016</v>
      </c>
      <c r="P724" s="38">
        <f t="shared" si="69"/>
        <v>184.38</v>
      </c>
      <c r="S724" t="s">
        <v>917</v>
      </c>
    </row>
    <row r="725" spans="1:19" hidden="1" x14ac:dyDescent="0.35">
      <c r="A725" t="s">
        <v>469</v>
      </c>
      <c r="B725" s="4">
        <v>2829968</v>
      </c>
      <c r="C725" s="3">
        <v>46052</v>
      </c>
      <c r="D725" s="1">
        <v>0</v>
      </c>
      <c r="E725" s="1">
        <v>1869680.81</v>
      </c>
      <c r="F725" t="s">
        <v>479</v>
      </c>
      <c r="H725" t="s">
        <v>59</v>
      </c>
      <c r="I725" s="2">
        <v>46023</v>
      </c>
      <c r="M725">
        <v>68345876</v>
      </c>
      <c r="P725" s="38">
        <f t="shared" si="69"/>
        <v>1869680.81</v>
      </c>
      <c r="S725" t="s">
        <v>916</v>
      </c>
    </row>
    <row r="726" spans="1:19" hidden="1" x14ac:dyDescent="0.35">
      <c r="A726" t="s">
        <v>480</v>
      </c>
      <c r="B726" s="4">
        <v>2830735</v>
      </c>
      <c r="C726" s="3">
        <v>46053</v>
      </c>
      <c r="D726" s="1">
        <v>0</v>
      </c>
      <c r="E726" s="1">
        <v>-7756</v>
      </c>
      <c r="F726" t="s">
        <v>481</v>
      </c>
      <c r="H726" t="s">
        <v>59</v>
      </c>
      <c r="I726" s="2">
        <v>46023</v>
      </c>
      <c r="M726">
        <v>68369723</v>
      </c>
      <c r="P726" s="38">
        <f t="shared" si="69"/>
        <v>-7756</v>
      </c>
      <c r="S726" t="s">
        <v>917</v>
      </c>
    </row>
    <row r="727" spans="1:19" hidden="1" x14ac:dyDescent="0.35">
      <c r="A727" t="s">
        <v>480</v>
      </c>
      <c r="B727" s="4">
        <v>2830736</v>
      </c>
      <c r="C727" s="3">
        <v>46053</v>
      </c>
      <c r="D727" s="1">
        <v>0</v>
      </c>
      <c r="E727" s="1">
        <v>-15004</v>
      </c>
      <c r="F727" t="s">
        <v>482</v>
      </c>
      <c r="H727" t="s">
        <v>59</v>
      </c>
      <c r="I727" s="2">
        <v>46023</v>
      </c>
      <c r="M727">
        <v>68369723</v>
      </c>
      <c r="P727" s="38">
        <f t="shared" si="69"/>
        <v>-15004</v>
      </c>
      <c r="S727" t="s">
        <v>917</v>
      </c>
    </row>
    <row r="728" spans="1:19" hidden="1" x14ac:dyDescent="0.35">
      <c r="A728" t="s">
        <v>469</v>
      </c>
      <c r="B728" s="4">
        <v>2830737</v>
      </c>
      <c r="C728" s="3">
        <v>46053</v>
      </c>
      <c r="D728" s="1">
        <v>0</v>
      </c>
      <c r="E728" s="1">
        <v>8452</v>
      </c>
      <c r="F728" t="s">
        <v>483</v>
      </c>
      <c r="H728" t="s">
        <v>59</v>
      </c>
      <c r="I728" s="2">
        <v>46023</v>
      </c>
      <c r="M728">
        <v>68369723</v>
      </c>
      <c r="P728" s="38">
        <f t="shared" si="69"/>
        <v>8452</v>
      </c>
      <c r="S728" t="s">
        <v>916</v>
      </c>
    </row>
    <row r="729" spans="1:19" hidden="1" x14ac:dyDescent="0.35">
      <c r="A729" t="s">
        <v>480</v>
      </c>
      <c r="B729" s="4">
        <v>2830738</v>
      </c>
      <c r="C729" s="3">
        <v>46053</v>
      </c>
      <c r="D729" s="1">
        <v>0</v>
      </c>
      <c r="E729" s="1">
        <v>-17437</v>
      </c>
      <c r="F729" t="s">
        <v>484</v>
      </c>
      <c r="H729" t="s">
        <v>59</v>
      </c>
      <c r="I729" s="2">
        <v>46023</v>
      </c>
      <c r="M729">
        <v>68369723</v>
      </c>
      <c r="P729" s="38">
        <f t="shared" si="69"/>
        <v>-17437</v>
      </c>
      <c r="S729" t="s">
        <v>917</v>
      </c>
    </row>
    <row r="730" spans="1:19" hidden="1" x14ac:dyDescent="0.35">
      <c r="A730" t="s">
        <v>480</v>
      </c>
      <c r="B730" s="4">
        <v>2830739</v>
      </c>
      <c r="C730" s="3">
        <v>46053</v>
      </c>
      <c r="D730" s="1">
        <v>0</v>
      </c>
      <c r="E730" s="1">
        <v>-5206</v>
      </c>
      <c r="F730" t="s">
        <v>485</v>
      </c>
      <c r="H730" t="s">
        <v>59</v>
      </c>
      <c r="I730" s="2">
        <v>46023</v>
      </c>
      <c r="M730">
        <v>68369723</v>
      </c>
      <c r="P730" s="38">
        <f t="shared" si="69"/>
        <v>-5206</v>
      </c>
      <c r="S730" t="s">
        <v>917</v>
      </c>
    </row>
    <row r="731" spans="1:19" hidden="1" x14ac:dyDescent="0.35">
      <c r="A731" t="s">
        <v>471</v>
      </c>
      <c r="B731" s="4" t="s">
        <v>478</v>
      </c>
      <c r="C731" s="3">
        <v>45918</v>
      </c>
      <c r="D731" s="1">
        <v>-3.69</v>
      </c>
      <c r="E731" s="1">
        <v>-3.69</v>
      </c>
      <c r="F731" t="s">
        <v>486</v>
      </c>
      <c r="H731" t="s">
        <v>11</v>
      </c>
      <c r="I731" s="2">
        <v>46023</v>
      </c>
      <c r="M731">
        <v>68389624</v>
      </c>
      <c r="P731" s="38">
        <f t="shared" si="69"/>
        <v>-3.69</v>
      </c>
      <c r="S731" t="s">
        <v>917</v>
      </c>
    </row>
    <row r="732" spans="1:19" hidden="1" x14ac:dyDescent="0.35">
      <c r="A732" t="s">
        <v>471</v>
      </c>
      <c r="B732" s="4" t="s">
        <v>478</v>
      </c>
      <c r="C732" s="3">
        <v>45918</v>
      </c>
      <c r="D732" s="1">
        <v>0</v>
      </c>
      <c r="E732" s="1">
        <v>16376.07</v>
      </c>
      <c r="F732" t="s">
        <v>15</v>
      </c>
      <c r="H732" t="s">
        <v>11</v>
      </c>
      <c r="I732" s="2">
        <v>46023</v>
      </c>
      <c r="M732">
        <v>68459189</v>
      </c>
      <c r="P732" s="38">
        <f t="shared" si="69"/>
        <v>16376.07</v>
      </c>
      <c r="S732" t="s">
        <v>917</v>
      </c>
    </row>
    <row r="733" spans="1:19" x14ac:dyDescent="0.35">
      <c r="C733" s="3"/>
    </row>
  </sheetData>
  <autoFilter ref="A2:S732" xr:uid="{F780E807-D5CF-496B-86FC-2901B897318D}">
    <filterColumn colId="0">
      <filters>
        <filter val="I"/>
      </filters>
    </filterColumn>
  </autoFilter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A41F37-A914-4C23-A10D-E6DBEE316555}">
  <dimension ref="A2:L385"/>
  <sheetViews>
    <sheetView workbookViewId="0">
      <selection activeCell="A7" sqref="A7"/>
    </sheetView>
  </sheetViews>
  <sheetFormatPr defaultRowHeight="14.5" x14ac:dyDescent="0.35"/>
  <cols>
    <col min="1" max="1" width="15.36328125" bestFit="1" customWidth="1"/>
    <col min="2" max="2" width="10.54296875" bestFit="1" customWidth="1"/>
    <col min="3" max="4" width="10.81640625" bestFit="1" customWidth="1"/>
    <col min="5" max="5" width="39.81640625" bestFit="1" customWidth="1"/>
    <col min="6" max="6" width="10.54296875" bestFit="1" customWidth="1"/>
    <col min="7" max="7" width="4.453125" bestFit="1" customWidth="1"/>
    <col min="9" max="9" width="6.54296875" bestFit="1" customWidth="1"/>
    <col min="10" max="10" width="10.54296875" bestFit="1" customWidth="1"/>
    <col min="11" max="11" width="7.81640625" bestFit="1" customWidth="1"/>
    <col min="12" max="12" width="13.453125" bestFit="1" customWidth="1"/>
  </cols>
  <sheetData>
    <row r="2" spans="1:12" x14ac:dyDescent="0.35">
      <c r="A2" t="s">
        <v>451</v>
      </c>
      <c r="B2" t="s">
        <v>452</v>
      </c>
      <c r="C2" s="1" t="s">
        <v>453</v>
      </c>
      <c r="D2" s="1" t="s">
        <v>0</v>
      </c>
      <c r="E2" t="s">
        <v>1</v>
      </c>
      <c r="F2" t="s">
        <v>2</v>
      </c>
      <c r="G2" t="s">
        <v>3</v>
      </c>
      <c r="H2" t="s">
        <v>4</v>
      </c>
      <c r="I2" t="s">
        <v>5</v>
      </c>
      <c r="J2" t="s">
        <v>6</v>
      </c>
      <c r="K2" t="s">
        <v>7</v>
      </c>
      <c r="L2" t="s">
        <v>8</v>
      </c>
    </row>
    <row r="3" spans="1:12" x14ac:dyDescent="0.35">
      <c r="A3" s="4">
        <v>256779413908</v>
      </c>
      <c r="B3" s="3">
        <v>45805</v>
      </c>
      <c r="C3" s="1">
        <v>64.02</v>
      </c>
      <c r="D3" s="1">
        <v>5465.67</v>
      </c>
      <c r="E3" t="s">
        <v>14</v>
      </c>
      <c r="F3" t="s">
        <v>9</v>
      </c>
      <c r="G3" t="s">
        <v>11</v>
      </c>
      <c r="H3" s="2">
        <v>45962</v>
      </c>
      <c r="I3">
        <v>1</v>
      </c>
      <c r="J3" t="s">
        <v>12</v>
      </c>
      <c r="K3">
        <v>230</v>
      </c>
      <c r="L3" t="s">
        <v>13</v>
      </c>
    </row>
    <row r="4" spans="1:12" x14ac:dyDescent="0.35">
      <c r="A4" s="4">
        <v>256779416007</v>
      </c>
      <c r="B4" s="3">
        <v>45863</v>
      </c>
      <c r="C4" s="1">
        <v>8.42</v>
      </c>
      <c r="D4" s="1">
        <v>724.03</v>
      </c>
      <c r="E4" t="s">
        <v>18</v>
      </c>
      <c r="F4" t="s">
        <v>16</v>
      </c>
      <c r="G4" t="s">
        <v>11</v>
      </c>
      <c r="H4" s="2">
        <v>45931</v>
      </c>
      <c r="I4">
        <v>1</v>
      </c>
      <c r="J4" t="s">
        <v>17</v>
      </c>
      <c r="K4">
        <v>230</v>
      </c>
      <c r="L4" t="s">
        <v>13</v>
      </c>
    </row>
    <row r="5" spans="1:12" x14ac:dyDescent="0.35">
      <c r="A5" s="4">
        <v>256779415989</v>
      </c>
      <c r="B5" s="3">
        <v>45863</v>
      </c>
      <c r="C5" s="1">
        <v>6</v>
      </c>
      <c r="D5" s="1">
        <v>515.94000000000005</v>
      </c>
      <c r="E5" t="s">
        <v>19</v>
      </c>
      <c r="F5" t="s">
        <v>16</v>
      </c>
      <c r="G5" t="s">
        <v>11</v>
      </c>
      <c r="H5" s="2">
        <v>45931</v>
      </c>
      <c r="I5">
        <v>1</v>
      </c>
      <c r="J5" t="s">
        <v>17</v>
      </c>
      <c r="K5">
        <v>230</v>
      </c>
      <c r="L5" t="s">
        <v>13</v>
      </c>
    </row>
    <row r="6" spans="1:12" x14ac:dyDescent="0.35">
      <c r="A6" s="4">
        <v>256779412776</v>
      </c>
      <c r="B6" s="3">
        <v>45771</v>
      </c>
      <c r="C6" s="1">
        <v>12.65</v>
      </c>
      <c r="D6" s="1">
        <v>1084.45</v>
      </c>
      <c r="E6" t="s">
        <v>22</v>
      </c>
      <c r="F6" t="s">
        <v>21</v>
      </c>
      <c r="G6" t="s">
        <v>11</v>
      </c>
      <c r="H6" s="2">
        <v>45962</v>
      </c>
      <c r="I6">
        <v>1</v>
      </c>
      <c r="J6" t="s">
        <v>12</v>
      </c>
      <c r="K6">
        <v>230</v>
      </c>
      <c r="L6" t="s">
        <v>13</v>
      </c>
    </row>
    <row r="7" spans="1:12" x14ac:dyDescent="0.35">
      <c r="A7" s="4">
        <v>256779417801</v>
      </c>
      <c r="B7" s="3">
        <v>45922</v>
      </c>
      <c r="C7" s="1">
        <v>95.11</v>
      </c>
      <c r="D7" s="1">
        <v>8336.57</v>
      </c>
      <c r="E7" t="s">
        <v>24</v>
      </c>
      <c r="F7" t="s">
        <v>23</v>
      </c>
      <c r="G7" t="s">
        <v>11</v>
      </c>
      <c r="H7" s="2">
        <v>45931</v>
      </c>
      <c r="I7">
        <v>1</v>
      </c>
      <c r="J7" t="s">
        <v>17</v>
      </c>
      <c r="K7">
        <v>230</v>
      </c>
      <c r="L7" t="s">
        <v>13</v>
      </c>
    </row>
    <row r="8" spans="1:12" x14ac:dyDescent="0.35">
      <c r="A8" s="4">
        <v>256779417744</v>
      </c>
      <c r="B8" s="3">
        <v>45922</v>
      </c>
      <c r="C8" s="1">
        <v>17.399999999999999</v>
      </c>
      <c r="D8" s="1">
        <v>1525.14</v>
      </c>
      <c r="E8" t="s">
        <v>25</v>
      </c>
      <c r="F8" t="s">
        <v>23</v>
      </c>
      <c r="G8" t="s">
        <v>11</v>
      </c>
      <c r="H8" s="2">
        <v>45962</v>
      </c>
      <c r="I8">
        <v>1</v>
      </c>
      <c r="J8" s="3">
        <v>45972</v>
      </c>
      <c r="K8">
        <v>230</v>
      </c>
      <c r="L8" t="s">
        <v>13</v>
      </c>
    </row>
    <row r="9" spans="1:12" x14ac:dyDescent="0.35">
      <c r="A9" s="4">
        <v>256779412577</v>
      </c>
      <c r="B9" s="3">
        <v>45769</v>
      </c>
      <c r="C9" s="1">
        <v>0.92</v>
      </c>
      <c r="D9" s="1">
        <v>78.87</v>
      </c>
      <c r="E9" t="s">
        <v>28</v>
      </c>
      <c r="F9" t="s">
        <v>26</v>
      </c>
      <c r="G9" t="s">
        <v>11</v>
      </c>
      <c r="H9" s="2">
        <v>45809</v>
      </c>
      <c r="I9">
        <v>1</v>
      </c>
      <c r="J9" t="s">
        <v>27</v>
      </c>
      <c r="K9">
        <v>230</v>
      </c>
      <c r="L9" t="s">
        <v>13</v>
      </c>
    </row>
    <row r="10" spans="1:12" x14ac:dyDescent="0.35">
      <c r="A10" s="4">
        <v>256779412564</v>
      </c>
      <c r="B10" s="3">
        <v>45769</v>
      </c>
      <c r="C10" s="1">
        <v>1.1000000000000001</v>
      </c>
      <c r="D10" s="1">
        <v>94.3</v>
      </c>
      <c r="E10" t="s">
        <v>29</v>
      </c>
      <c r="F10" t="s">
        <v>26</v>
      </c>
      <c r="G10" t="s">
        <v>11</v>
      </c>
      <c r="H10" s="2">
        <v>45809</v>
      </c>
      <c r="I10">
        <v>1</v>
      </c>
      <c r="J10" t="s">
        <v>27</v>
      </c>
      <c r="K10">
        <v>230</v>
      </c>
      <c r="L10" t="s">
        <v>13</v>
      </c>
    </row>
    <row r="11" spans="1:12" x14ac:dyDescent="0.35">
      <c r="A11" s="4">
        <v>256779412529</v>
      </c>
      <c r="B11" s="3">
        <v>45769</v>
      </c>
      <c r="C11" s="1">
        <v>0.59</v>
      </c>
      <c r="D11" s="1">
        <v>50.58</v>
      </c>
      <c r="E11" t="s">
        <v>30</v>
      </c>
      <c r="F11" t="s">
        <v>26</v>
      </c>
      <c r="G11" t="s">
        <v>11</v>
      </c>
      <c r="H11" s="2">
        <v>45809</v>
      </c>
      <c r="I11">
        <v>1</v>
      </c>
      <c r="J11" t="s">
        <v>27</v>
      </c>
      <c r="K11">
        <v>230</v>
      </c>
      <c r="L11" t="s">
        <v>13</v>
      </c>
    </row>
    <row r="12" spans="1:12" x14ac:dyDescent="0.35">
      <c r="A12" s="4">
        <v>256779412563</v>
      </c>
      <c r="B12" s="3">
        <v>45769</v>
      </c>
      <c r="C12" s="1">
        <v>0.54</v>
      </c>
      <c r="D12" s="1">
        <v>46.29</v>
      </c>
      <c r="E12" t="s">
        <v>31</v>
      </c>
      <c r="F12" t="s">
        <v>26</v>
      </c>
      <c r="G12" t="s">
        <v>11</v>
      </c>
      <c r="H12" s="2">
        <v>45809</v>
      </c>
      <c r="I12">
        <v>1</v>
      </c>
      <c r="J12" t="s">
        <v>27</v>
      </c>
      <c r="K12">
        <v>230</v>
      </c>
      <c r="L12" t="s">
        <v>13</v>
      </c>
    </row>
    <row r="13" spans="1:12" x14ac:dyDescent="0.35">
      <c r="A13" s="4">
        <v>256779412570</v>
      </c>
      <c r="B13" s="3">
        <v>45769</v>
      </c>
      <c r="C13" s="1">
        <v>0.87</v>
      </c>
      <c r="D13" s="1">
        <v>74.58</v>
      </c>
      <c r="E13" t="s">
        <v>32</v>
      </c>
      <c r="F13" t="s">
        <v>26</v>
      </c>
      <c r="G13" t="s">
        <v>11</v>
      </c>
      <c r="H13" s="2">
        <v>45809</v>
      </c>
      <c r="I13">
        <v>1</v>
      </c>
      <c r="J13" t="s">
        <v>27</v>
      </c>
      <c r="K13">
        <v>230</v>
      </c>
      <c r="L13" t="s">
        <v>13</v>
      </c>
    </row>
    <row r="14" spans="1:12" x14ac:dyDescent="0.35">
      <c r="A14" s="4">
        <v>256779412580</v>
      </c>
      <c r="B14" s="3">
        <v>45769</v>
      </c>
      <c r="C14" s="1">
        <v>0.81</v>
      </c>
      <c r="D14" s="1">
        <v>69.44</v>
      </c>
      <c r="E14" t="s">
        <v>33</v>
      </c>
      <c r="F14" t="s">
        <v>26</v>
      </c>
      <c r="G14" t="s">
        <v>11</v>
      </c>
      <c r="H14" s="2">
        <v>45809</v>
      </c>
      <c r="I14">
        <v>1</v>
      </c>
      <c r="J14" t="s">
        <v>27</v>
      </c>
      <c r="K14">
        <v>230</v>
      </c>
      <c r="L14" t="s">
        <v>13</v>
      </c>
    </row>
    <row r="15" spans="1:12" x14ac:dyDescent="0.35">
      <c r="A15" s="4">
        <v>256779412581</v>
      </c>
      <c r="B15" s="3">
        <v>45769</v>
      </c>
      <c r="C15" s="1">
        <v>1.03</v>
      </c>
      <c r="D15" s="1">
        <v>88.3</v>
      </c>
      <c r="E15" t="s">
        <v>34</v>
      </c>
      <c r="F15" t="s">
        <v>26</v>
      </c>
      <c r="G15" t="s">
        <v>11</v>
      </c>
      <c r="H15" s="2">
        <v>45809</v>
      </c>
      <c r="I15">
        <v>1</v>
      </c>
      <c r="J15" t="s">
        <v>27</v>
      </c>
      <c r="K15">
        <v>230</v>
      </c>
      <c r="L15" t="s">
        <v>13</v>
      </c>
    </row>
    <row r="16" spans="1:12" x14ac:dyDescent="0.35">
      <c r="A16" s="4">
        <v>256779412536</v>
      </c>
      <c r="B16" s="3">
        <v>45769</v>
      </c>
      <c r="C16" s="1">
        <v>0.74</v>
      </c>
      <c r="D16" s="1">
        <v>63.44</v>
      </c>
      <c r="E16" t="s">
        <v>35</v>
      </c>
      <c r="F16" t="s">
        <v>26</v>
      </c>
      <c r="G16" t="s">
        <v>11</v>
      </c>
      <c r="H16" s="2">
        <v>45809</v>
      </c>
      <c r="I16">
        <v>1</v>
      </c>
      <c r="J16" t="s">
        <v>27</v>
      </c>
      <c r="K16">
        <v>230</v>
      </c>
      <c r="L16" t="s">
        <v>13</v>
      </c>
    </row>
    <row r="17" spans="1:12" x14ac:dyDescent="0.35">
      <c r="A17" s="4">
        <v>256779412576</v>
      </c>
      <c r="B17" s="3">
        <v>45769</v>
      </c>
      <c r="C17" s="1">
        <v>0.92</v>
      </c>
      <c r="D17" s="1">
        <v>78.87</v>
      </c>
      <c r="E17" t="s">
        <v>36</v>
      </c>
      <c r="F17" t="s">
        <v>26</v>
      </c>
      <c r="G17" t="s">
        <v>11</v>
      </c>
      <c r="H17" s="2">
        <v>45809</v>
      </c>
      <c r="I17">
        <v>1</v>
      </c>
      <c r="J17" t="s">
        <v>27</v>
      </c>
      <c r="K17">
        <v>230</v>
      </c>
      <c r="L17" t="s">
        <v>13</v>
      </c>
    </row>
    <row r="18" spans="1:12" x14ac:dyDescent="0.35">
      <c r="A18" s="4">
        <v>256779412524</v>
      </c>
      <c r="B18" s="3">
        <v>45769</v>
      </c>
      <c r="C18" s="1">
        <v>0.73</v>
      </c>
      <c r="D18" s="1">
        <v>62.58</v>
      </c>
      <c r="E18" t="s">
        <v>37</v>
      </c>
      <c r="F18" t="s">
        <v>26</v>
      </c>
      <c r="G18" t="s">
        <v>11</v>
      </c>
      <c r="H18" s="2">
        <v>45809</v>
      </c>
      <c r="I18">
        <v>1</v>
      </c>
      <c r="J18" t="s">
        <v>27</v>
      </c>
      <c r="K18">
        <v>230</v>
      </c>
      <c r="L18" t="s">
        <v>13</v>
      </c>
    </row>
    <row r="19" spans="1:12" x14ac:dyDescent="0.35">
      <c r="A19" s="4">
        <v>256779412537</v>
      </c>
      <c r="B19" s="3">
        <v>45769</v>
      </c>
      <c r="C19" s="1">
        <v>8.15</v>
      </c>
      <c r="D19" s="1">
        <v>698.67</v>
      </c>
      <c r="E19" t="s">
        <v>38</v>
      </c>
      <c r="F19" t="s">
        <v>26</v>
      </c>
      <c r="G19" t="s">
        <v>11</v>
      </c>
      <c r="H19" s="2">
        <v>45809</v>
      </c>
      <c r="I19">
        <v>1</v>
      </c>
      <c r="J19" t="s">
        <v>27</v>
      </c>
      <c r="K19">
        <v>230</v>
      </c>
      <c r="L19" t="s">
        <v>13</v>
      </c>
    </row>
    <row r="20" spans="1:12" x14ac:dyDescent="0.35">
      <c r="A20" s="4">
        <v>256779412585</v>
      </c>
      <c r="B20" s="3">
        <v>45769</v>
      </c>
      <c r="C20" s="1">
        <v>0.98</v>
      </c>
      <c r="D20" s="1">
        <v>84.01</v>
      </c>
      <c r="E20" t="s">
        <v>39</v>
      </c>
      <c r="F20" t="s">
        <v>26</v>
      </c>
      <c r="G20" t="s">
        <v>11</v>
      </c>
      <c r="H20" s="2">
        <v>45809</v>
      </c>
      <c r="I20">
        <v>1</v>
      </c>
      <c r="J20" t="s">
        <v>27</v>
      </c>
      <c r="K20">
        <v>230</v>
      </c>
      <c r="L20" t="s">
        <v>13</v>
      </c>
    </row>
    <row r="21" spans="1:12" x14ac:dyDescent="0.35">
      <c r="A21" s="4">
        <v>256779412586</v>
      </c>
      <c r="B21" s="3">
        <v>45769</v>
      </c>
      <c r="C21" s="1">
        <v>1.03</v>
      </c>
      <c r="D21" s="1">
        <v>88.3</v>
      </c>
      <c r="E21" t="s">
        <v>40</v>
      </c>
      <c r="F21" t="s">
        <v>26</v>
      </c>
      <c r="G21" t="s">
        <v>11</v>
      </c>
      <c r="H21" s="2">
        <v>45809</v>
      </c>
      <c r="I21">
        <v>1</v>
      </c>
      <c r="J21" t="s">
        <v>27</v>
      </c>
      <c r="K21">
        <v>230</v>
      </c>
      <c r="L21" t="s">
        <v>13</v>
      </c>
    </row>
    <row r="22" spans="1:12" x14ac:dyDescent="0.35">
      <c r="A22" s="4">
        <v>256779412579</v>
      </c>
      <c r="B22" s="3">
        <v>45769</v>
      </c>
      <c r="C22" s="1">
        <v>1.1499999999999999</v>
      </c>
      <c r="D22" s="1">
        <v>98.59</v>
      </c>
      <c r="E22" t="s">
        <v>41</v>
      </c>
      <c r="F22" t="s">
        <v>26</v>
      </c>
      <c r="G22" t="s">
        <v>11</v>
      </c>
      <c r="H22" s="2">
        <v>45809</v>
      </c>
      <c r="I22">
        <v>1</v>
      </c>
      <c r="J22" t="s">
        <v>27</v>
      </c>
      <c r="K22">
        <v>230</v>
      </c>
      <c r="L22" t="s">
        <v>13</v>
      </c>
    </row>
    <row r="23" spans="1:12" x14ac:dyDescent="0.35">
      <c r="A23" s="4">
        <v>256779412562</v>
      </c>
      <c r="B23" s="3">
        <v>45769</v>
      </c>
      <c r="C23" s="1">
        <v>1.0900000000000001</v>
      </c>
      <c r="D23" s="1">
        <v>93.44</v>
      </c>
      <c r="E23" t="s">
        <v>42</v>
      </c>
      <c r="F23" t="s">
        <v>26</v>
      </c>
      <c r="G23" t="s">
        <v>11</v>
      </c>
      <c r="H23" s="2">
        <v>45809</v>
      </c>
      <c r="I23">
        <v>1</v>
      </c>
      <c r="J23" t="s">
        <v>27</v>
      </c>
      <c r="K23">
        <v>230</v>
      </c>
      <c r="L23" t="s">
        <v>13</v>
      </c>
    </row>
    <row r="24" spans="1:12" x14ac:dyDescent="0.35">
      <c r="A24" s="4">
        <v>256779418480</v>
      </c>
      <c r="B24" s="3">
        <v>45951</v>
      </c>
      <c r="C24" s="1">
        <v>0.27</v>
      </c>
      <c r="D24" s="1">
        <v>23.94</v>
      </c>
      <c r="E24" t="s">
        <v>46</v>
      </c>
      <c r="F24" t="s">
        <v>44</v>
      </c>
      <c r="G24" t="s">
        <v>11</v>
      </c>
      <c r="H24" s="2">
        <v>45992</v>
      </c>
      <c r="I24">
        <v>1</v>
      </c>
      <c r="J24" t="s">
        <v>45</v>
      </c>
      <c r="K24">
        <v>230</v>
      </c>
      <c r="L24" t="s">
        <v>13</v>
      </c>
    </row>
    <row r="25" spans="1:12" x14ac:dyDescent="0.35">
      <c r="A25" s="4">
        <v>256779418474</v>
      </c>
      <c r="B25" s="3">
        <v>45951</v>
      </c>
      <c r="C25" s="1">
        <v>11.25</v>
      </c>
      <c r="D25" s="1">
        <v>997.42</v>
      </c>
      <c r="E25" t="s">
        <v>49</v>
      </c>
      <c r="F25" t="s">
        <v>44</v>
      </c>
      <c r="G25" t="s">
        <v>11</v>
      </c>
      <c r="H25" s="2">
        <v>46023</v>
      </c>
      <c r="I25">
        <v>1</v>
      </c>
      <c r="J25" t="s">
        <v>48</v>
      </c>
      <c r="K25">
        <v>230</v>
      </c>
      <c r="L25" t="s">
        <v>13</v>
      </c>
    </row>
    <row r="26" spans="1:12" x14ac:dyDescent="0.35">
      <c r="A26" s="4">
        <v>256779413396</v>
      </c>
      <c r="B26" s="3">
        <v>45798</v>
      </c>
      <c r="C26" s="1">
        <v>4.3600000000000003</v>
      </c>
      <c r="D26" s="1">
        <v>372.23</v>
      </c>
      <c r="E26" t="s">
        <v>51</v>
      </c>
      <c r="F26" t="s">
        <v>50</v>
      </c>
      <c r="G26" t="s">
        <v>11</v>
      </c>
      <c r="H26" s="2">
        <v>45839</v>
      </c>
      <c r="I26">
        <v>1</v>
      </c>
      <c r="J26" s="3">
        <v>45968</v>
      </c>
      <c r="K26">
        <v>230</v>
      </c>
      <c r="L26" t="s">
        <v>13</v>
      </c>
    </row>
    <row r="27" spans="1:12" x14ac:dyDescent="0.35">
      <c r="A27" s="4">
        <v>256779413401</v>
      </c>
      <c r="B27" s="3">
        <v>45798</v>
      </c>
      <c r="C27" s="1">
        <v>4.5999999999999996</v>
      </c>
      <c r="D27" s="1">
        <v>392.72</v>
      </c>
      <c r="E27" t="s">
        <v>52</v>
      </c>
      <c r="F27" t="s">
        <v>50</v>
      </c>
      <c r="G27" t="s">
        <v>11</v>
      </c>
      <c r="H27" s="2">
        <v>45839</v>
      </c>
      <c r="I27">
        <v>1</v>
      </c>
      <c r="J27" s="3">
        <v>45968</v>
      </c>
      <c r="K27">
        <v>230</v>
      </c>
      <c r="L27" t="s">
        <v>13</v>
      </c>
    </row>
    <row r="28" spans="1:12" x14ac:dyDescent="0.35">
      <c r="A28" s="4">
        <v>256779413395</v>
      </c>
      <c r="B28" s="3">
        <v>45798</v>
      </c>
      <c r="C28" s="1">
        <v>5.3</v>
      </c>
      <c r="D28" s="1">
        <v>452.48</v>
      </c>
      <c r="E28" t="s">
        <v>53</v>
      </c>
      <c r="F28" t="s">
        <v>50</v>
      </c>
      <c r="G28" t="s">
        <v>11</v>
      </c>
      <c r="H28" s="2">
        <v>45839</v>
      </c>
      <c r="I28">
        <v>1</v>
      </c>
      <c r="J28" s="3">
        <v>45968</v>
      </c>
      <c r="K28">
        <v>230</v>
      </c>
      <c r="L28" t="s">
        <v>13</v>
      </c>
    </row>
    <row r="29" spans="1:12" x14ac:dyDescent="0.35">
      <c r="A29" s="4">
        <v>256779413399</v>
      </c>
      <c r="B29" s="3">
        <v>45798</v>
      </c>
      <c r="C29" s="1">
        <v>4.5999999999999996</v>
      </c>
      <c r="D29" s="1">
        <v>392.72</v>
      </c>
      <c r="E29" t="s">
        <v>54</v>
      </c>
      <c r="F29" t="s">
        <v>50</v>
      </c>
      <c r="G29" t="s">
        <v>11</v>
      </c>
      <c r="H29" s="2">
        <v>45839</v>
      </c>
      <c r="I29">
        <v>1</v>
      </c>
      <c r="J29" s="3">
        <v>45968</v>
      </c>
      <c r="K29">
        <v>230</v>
      </c>
      <c r="L29" t="s">
        <v>13</v>
      </c>
    </row>
    <row r="30" spans="1:12" x14ac:dyDescent="0.35">
      <c r="A30" s="4">
        <v>256779413391</v>
      </c>
      <c r="B30" s="3">
        <v>45798</v>
      </c>
      <c r="C30" s="1">
        <v>5.07</v>
      </c>
      <c r="D30" s="1">
        <v>432.85</v>
      </c>
      <c r="E30" t="s">
        <v>56</v>
      </c>
      <c r="F30" t="s">
        <v>50</v>
      </c>
      <c r="G30" t="s">
        <v>11</v>
      </c>
      <c r="H30" s="2">
        <v>45901</v>
      </c>
      <c r="I30">
        <v>1</v>
      </c>
      <c r="J30" t="s">
        <v>55</v>
      </c>
      <c r="K30">
        <v>230</v>
      </c>
      <c r="L30" t="s">
        <v>13</v>
      </c>
    </row>
    <row r="31" spans="1:12" x14ac:dyDescent="0.35">
      <c r="A31" s="4">
        <v>256779413392</v>
      </c>
      <c r="B31" s="3">
        <v>45798</v>
      </c>
      <c r="C31" s="1">
        <v>4.3600000000000003</v>
      </c>
      <c r="D31" s="1">
        <v>372.23</v>
      </c>
      <c r="E31" t="s">
        <v>57</v>
      </c>
      <c r="F31" t="s">
        <v>50</v>
      </c>
      <c r="G31" t="s">
        <v>11</v>
      </c>
      <c r="H31" s="2">
        <v>45901</v>
      </c>
      <c r="I31">
        <v>1</v>
      </c>
      <c r="J31" t="s">
        <v>55</v>
      </c>
      <c r="K31">
        <v>230</v>
      </c>
      <c r="L31" t="s">
        <v>13</v>
      </c>
    </row>
    <row r="32" spans="1:12" x14ac:dyDescent="0.35">
      <c r="A32" s="4">
        <v>256779412189</v>
      </c>
      <c r="B32" s="3">
        <v>45768</v>
      </c>
      <c r="C32" s="1">
        <v>0</v>
      </c>
      <c r="D32" s="1">
        <v>6</v>
      </c>
      <c r="E32" t="s">
        <v>60</v>
      </c>
      <c r="F32" t="s">
        <v>58</v>
      </c>
      <c r="G32" t="s">
        <v>59</v>
      </c>
      <c r="H32" s="2">
        <v>45809</v>
      </c>
      <c r="I32">
        <v>1</v>
      </c>
      <c r="J32" t="s">
        <v>27</v>
      </c>
      <c r="K32">
        <v>230</v>
      </c>
      <c r="L32" t="s">
        <v>13</v>
      </c>
    </row>
    <row r="33" spans="1:12" x14ac:dyDescent="0.35">
      <c r="A33" s="4">
        <v>256779412185</v>
      </c>
      <c r="B33" s="3">
        <v>45768</v>
      </c>
      <c r="C33" s="1">
        <v>1.03</v>
      </c>
      <c r="D33" s="1">
        <v>88.3</v>
      </c>
      <c r="E33" t="s">
        <v>61</v>
      </c>
      <c r="F33" t="s">
        <v>58</v>
      </c>
      <c r="G33" t="s">
        <v>11</v>
      </c>
      <c r="H33" s="2">
        <v>45809</v>
      </c>
      <c r="I33">
        <v>1</v>
      </c>
      <c r="J33" t="s">
        <v>27</v>
      </c>
      <c r="K33">
        <v>230</v>
      </c>
      <c r="L33" t="s">
        <v>13</v>
      </c>
    </row>
    <row r="34" spans="1:12" x14ac:dyDescent="0.35">
      <c r="A34" s="4">
        <v>256779412184</v>
      </c>
      <c r="B34" s="3">
        <v>45768</v>
      </c>
      <c r="C34" s="1">
        <v>1.86</v>
      </c>
      <c r="D34" s="1">
        <v>159.44999999999999</v>
      </c>
      <c r="E34" t="s">
        <v>62</v>
      </c>
      <c r="F34" t="s">
        <v>58</v>
      </c>
      <c r="G34" t="s">
        <v>11</v>
      </c>
      <c r="H34" s="2">
        <v>45809</v>
      </c>
      <c r="I34">
        <v>1</v>
      </c>
      <c r="J34" t="s">
        <v>27</v>
      </c>
      <c r="K34">
        <v>230</v>
      </c>
      <c r="L34" t="s">
        <v>13</v>
      </c>
    </row>
    <row r="35" spans="1:12" x14ac:dyDescent="0.35">
      <c r="A35" s="4">
        <v>256779412155</v>
      </c>
      <c r="B35" s="3">
        <v>45768</v>
      </c>
      <c r="C35" s="1">
        <v>46.61</v>
      </c>
      <c r="D35" s="1">
        <v>3995.73</v>
      </c>
      <c r="E35" t="s">
        <v>63</v>
      </c>
      <c r="F35" t="s">
        <v>58</v>
      </c>
      <c r="G35" t="s">
        <v>11</v>
      </c>
      <c r="H35" s="2">
        <v>45809</v>
      </c>
      <c r="I35">
        <v>1</v>
      </c>
      <c r="J35" t="s">
        <v>27</v>
      </c>
      <c r="K35">
        <v>230</v>
      </c>
      <c r="L35" t="s">
        <v>13</v>
      </c>
    </row>
    <row r="36" spans="1:12" x14ac:dyDescent="0.35">
      <c r="A36" s="4">
        <v>256779419542</v>
      </c>
      <c r="B36" s="3">
        <v>45981</v>
      </c>
      <c r="C36" s="1">
        <v>8.19</v>
      </c>
      <c r="D36" s="1">
        <v>722.79</v>
      </c>
      <c r="E36" t="s">
        <v>66</v>
      </c>
      <c r="F36" t="s">
        <v>65</v>
      </c>
      <c r="G36" t="s">
        <v>11</v>
      </c>
      <c r="H36" s="2">
        <v>45992</v>
      </c>
      <c r="I36">
        <v>1</v>
      </c>
      <c r="J36" t="s">
        <v>45</v>
      </c>
      <c r="K36">
        <v>230</v>
      </c>
      <c r="L36" t="s">
        <v>13</v>
      </c>
    </row>
    <row r="37" spans="1:12" x14ac:dyDescent="0.35">
      <c r="A37" s="4">
        <v>256779419620</v>
      </c>
      <c r="B37" s="3">
        <v>45981</v>
      </c>
      <c r="C37" s="1">
        <v>2.0499999999999998</v>
      </c>
      <c r="D37" s="1">
        <v>180.92</v>
      </c>
      <c r="E37" t="s">
        <v>68</v>
      </c>
      <c r="F37" t="s">
        <v>65</v>
      </c>
      <c r="G37" t="s">
        <v>11</v>
      </c>
      <c r="H37" s="2">
        <v>46023</v>
      </c>
      <c r="I37">
        <v>1</v>
      </c>
      <c r="J37" t="s">
        <v>67</v>
      </c>
      <c r="K37">
        <v>230</v>
      </c>
      <c r="L37" t="s">
        <v>13</v>
      </c>
    </row>
    <row r="38" spans="1:12" x14ac:dyDescent="0.35">
      <c r="A38" s="4">
        <v>256779419531</v>
      </c>
      <c r="B38" s="3">
        <v>45981</v>
      </c>
      <c r="C38" s="1">
        <v>8.36</v>
      </c>
      <c r="D38" s="1">
        <v>737.79</v>
      </c>
      <c r="E38" t="s">
        <v>69</v>
      </c>
      <c r="F38" t="s">
        <v>65</v>
      </c>
      <c r="G38" t="s">
        <v>11</v>
      </c>
      <c r="H38" s="2">
        <v>46023</v>
      </c>
      <c r="I38">
        <v>1</v>
      </c>
      <c r="J38" t="s">
        <v>67</v>
      </c>
      <c r="K38">
        <v>230</v>
      </c>
      <c r="L38" t="s">
        <v>13</v>
      </c>
    </row>
    <row r="39" spans="1:12" x14ac:dyDescent="0.35">
      <c r="A39" s="4">
        <v>256779418653</v>
      </c>
      <c r="B39" s="3">
        <v>45950</v>
      </c>
      <c r="C39" s="1">
        <v>3.41</v>
      </c>
      <c r="D39" s="1">
        <v>302.33</v>
      </c>
      <c r="E39" t="s">
        <v>71</v>
      </c>
      <c r="F39" t="s">
        <v>70</v>
      </c>
      <c r="G39" t="s">
        <v>11</v>
      </c>
      <c r="H39" s="2">
        <v>46023</v>
      </c>
      <c r="I39">
        <v>1</v>
      </c>
      <c r="J39" t="s">
        <v>48</v>
      </c>
      <c r="K39">
        <v>230</v>
      </c>
      <c r="L39" t="s">
        <v>13</v>
      </c>
    </row>
    <row r="40" spans="1:12" x14ac:dyDescent="0.35">
      <c r="A40" s="4">
        <v>256779416838</v>
      </c>
      <c r="B40" s="3">
        <v>45889</v>
      </c>
      <c r="C40" s="1">
        <v>13.7</v>
      </c>
      <c r="D40" s="1">
        <v>1186.8399999999999</v>
      </c>
      <c r="E40" t="s">
        <v>73</v>
      </c>
      <c r="F40" t="s">
        <v>72</v>
      </c>
      <c r="G40" t="s">
        <v>11</v>
      </c>
      <c r="H40" s="2">
        <v>46023</v>
      </c>
      <c r="I40">
        <v>1</v>
      </c>
      <c r="J40" t="s">
        <v>48</v>
      </c>
      <c r="K40">
        <v>230</v>
      </c>
      <c r="L40" t="s">
        <v>13</v>
      </c>
    </row>
    <row r="41" spans="1:12" x14ac:dyDescent="0.35">
      <c r="A41" s="4">
        <v>256779416869</v>
      </c>
      <c r="B41" s="3">
        <v>45889</v>
      </c>
      <c r="C41" s="1">
        <v>2.3199999999999998</v>
      </c>
      <c r="D41" s="1">
        <v>200.98</v>
      </c>
      <c r="E41" t="s">
        <v>74</v>
      </c>
      <c r="F41" t="s">
        <v>72</v>
      </c>
      <c r="G41" t="s">
        <v>11</v>
      </c>
      <c r="H41" s="2">
        <v>46023</v>
      </c>
      <c r="I41">
        <v>1</v>
      </c>
      <c r="J41" t="s">
        <v>48</v>
      </c>
      <c r="K41">
        <v>230</v>
      </c>
      <c r="L41" t="s">
        <v>13</v>
      </c>
    </row>
    <row r="42" spans="1:12" x14ac:dyDescent="0.35">
      <c r="A42" s="4">
        <v>246779414663</v>
      </c>
      <c r="B42" s="3">
        <v>45736</v>
      </c>
      <c r="C42" s="1">
        <v>0.9</v>
      </c>
      <c r="D42" s="1">
        <v>78.34</v>
      </c>
      <c r="E42" t="s">
        <v>76</v>
      </c>
      <c r="F42" t="s">
        <v>75</v>
      </c>
      <c r="G42" t="s">
        <v>11</v>
      </c>
      <c r="H42" s="2">
        <v>45809</v>
      </c>
      <c r="I42">
        <v>1</v>
      </c>
      <c r="J42" s="3">
        <v>45997</v>
      </c>
      <c r="K42">
        <v>230</v>
      </c>
      <c r="L42" t="s">
        <v>13</v>
      </c>
    </row>
    <row r="43" spans="1:12" x14ac:dyDescent="0.35">
      <c r="A43" s="4">
        <v>246779414662</v>
      </c>
      <c r="B43" s="3">
        <v>45736</v>
      </c>
      <c r="C43" s="1">
        <v>5.5</v>
      </c>
      <c r="D43" s="1">
        <v>478.73</v>
      </c>
      <c r="E43" t="s">
        <v>77</v>
      </c>
      <c r="F43" t="s">
        <v>75</v>
      </c>
      <c r="G43" t="s">
        <v>11</v>
      </c>
      <c r="H43" s="2">
        <v>45809</v>
      </c>
      <c r="I43">
        <v>1</v>
      </c>
      <c r="J43" s="3">
        <v>45997</v>
      </c>
      <c r="K43">
        <v>230</v>
      </c>
      <c r="L43" t="s">
        <v>13</v>
      </c>
    </row>
    <row r="44" spans="1:12" x14ac:dyDescent="0.35">
      <c r="A44" s="4">
        <v>246779414385</v>
      </c>
      <c r="B44" s="3">
        <v>45736</v>
      </c>
      <c r="C44" s="1">
        <v>4.8</v>
      </c>
      <c r="D44" s="1">
        <v>417.8</v>
      </c>
      <c r="E44" t="s">
        <v>78</v>
      </c>
      <c r="F44" t="s">
        <v>75</v>
      </c>
      <c r="G44" t="s">
        <v>11</v>
      </c>
      <c r="H44" s="2">
        <v>45809</v>
      </c>
      <c r="I44">
        <v>1</v>
      </c>
      <c r="J44" s="3">
        <v>45997</v>
      </c>
      <c r="K44">
        <v>230</v>
      </c>
      <c r="L44" t="s">
        <v>13</v>
      </c>
    </row>
    <row r="45" spans="1:12" x14ac:dyDescent="0.35">
      <c r="A45" s="4">
        <v>246779413730</v>
      </c>
      <c r="B45" s="3">
        <v>45736</v>
      </c>
      <c r="C45" s="1">
        <v>0.06</v>
      </c>
      <c r="D45" s="1">
        <v>5.22</v>
      </c>
      <c r="E45" t="s">
        <v>79</v>
      </c>
      <c r="F45" t="s">
        <v>75</v>
      </c>
      <c r="G45" t="s">
        <v>11</v>
      </c>
      <c r="H45" s="2">
        <v>45809</v>
      </c>
      <c r="I45">
        <v>1</v>
      </c>
      <c r="J45" s="3">
        <v>45997</v>
      </c>
      <c r="K45">
        <v>230</v>
      </c>
      <c r="L45" t="s">
        <v>13</v>
      </c>
    </row>
    <row r="46" spans="1:12" x14ac:dyDescent="0.35">
      <c r="A46" s="4">
        <v>246779413815</v>
      </c>
      <c r="B46" s="3">
        <v>45736</v>
      </c>
      <c r="C46" s="1">
        <v>1</v>
      </c>
      <c r="D46" s="1">
        <v>87.04</v>
      </c>
      <c r="E46" t="s">
        <v>80</v>
      </c>
      <c r="F46" t="s">
        <v>75</v>
      </c>
      <c r="G46" t="s">
        <v>11</v>
      </c>
      <c r="H46" s="2">
        <v>45809</v>
      </c>
      <c r="I46">
        <v>1</v>
      </c>
      <c r="J46" t="s">
        <v>27</v>
      </c>
      <c r="K46">
        <v>230</v>
      </c>
      <c r="L46" t="s">
        <v>13</v>
      </c>
    </row>
    <row r="47" spans="1:12" x14ac:dyDescent="0.35">
      <c r="A47" s="4">
        <v>246779413936</v>
      </c>
      <c r="B47" s="3">
        <v>45736</v>
      </c>
      <c r="C47" s="1">
        <v>0.55000000000000004</v>
      </c>
      <c r="D47" s="1">
        <v>47.87</v>
      </c>
      <c r="E47" t="s">
        <v>81</v>
      </c>
      <c r="F47" t="s">
        <v>75</v>
      </c>
      <c r="G47" t="s">
        <v>11</v>
      </c>
      <c r="H47" s="2">
        <v>45809</v>
      </c>
      <c r="I47">
        <v>1</v>
      </c>
      <c r="J47" t="s">
        <v>27</v>
      </c>
      <c r="K47">
        <v>230</v>
      </c>
      <c r="L47" t="s">
        <v>13</v>
      </c>
    </row>
    <row r="48" spans="1:12" x14ac:dyDescent="0.35">
      <c r="A48" s="4">
        <v>246779414384</v>
      </c>
      <c r="B48" s="3">
        <v>45736</v>
      </c>
      <c r="C48" s="1">
        <v>3.65</v>
      </c>
      <c r="D48" s="1">
        <v>317.7</v>
      </c>
      <c r="E48" t="s">
        <v>82</v>
      </c>
      <c r="F48" t="s">
        <v>75</v>
      </c>
      <c r="G48" t="s">
        <v>11</v>
      </c>
      <c r="H48" s="2">
        <v>45809</v>
      </c>
      <c r="I48">
        <v>1</v>
      </c>
      <c r="J48" t="s">
        <v>27</v>
      </c>
      <c r="K48">
        <v>230</v>
      </c>
      <c r="L48" t="s">
        <v>13</v>
      </c>
    </row>
    <row r="49" spans="1:12" x14ac:dyDescent="0.35">
      <c r="A49" s="4">
        <v>246779413889</v>
      </c>
      <c r="B49" s="3">
        <v>45736</v>
      </c>
      <c r="C49" s="1">
        <v>0.85</v>
      </c>
      <c r="D49" s="1">
        <v>73.989999999999995</v>
      </c>
      <c r="E49" t="s">
        <v>83</v>
      </c>
      <c r="F49" t="s">
        <v>75</v>
      </c>
      <c r="G49" t="s">
        <v>11</v>
      </c>
      <c r="H49" s="2">
        <v>45809</v>
      </c>
      <c r="I49">
        <v>1</v>
      </c>
      <c r="J49" t="s">
        <v>27</v>
      </c>
      <c r="K49">
        <v>230</v>
      </c>
      <c r="L49" t="s">
        <v>13</v>
      </c>
    </row>
    <row r="50" spans="1:12" x14ac:dyDescent="0.35">
      <c r="A50" s="4">
        <v>246779413920</v>
      </c>
      <c r="B50" s="3">
        <v>45736</v>
      </c>
      <c r="C50" s="1">
        <v>0.45</v>
      </c>
      <c r="D50" s="1">
        <v>39.17</v>
      </c>
      <c r="E50" t="s">
        <v>84</v>
      </c>
      <c r="F50" t="s">
        <v>75</v>
      </c>
      <c r="G50" t="s">
        <v>11</v>
      </c>
      <c r="H50" s="2">
        <v>45809</v>
      </c>
      <c r="I50">
        <v>1</v>
      </c>
      <c r="J50" t="s">
        <v>27</v>
      </c>
      <c r="K50">
        <v>230</v>
      </c>
      <c r="L50" t="s">
        <v>13</v>
      </c>
    </row>
    <row r="51" spans="1:12" x14ac:dyDescent="0.35">
      <c r="A51" s="4">
        <v>246779413941</v>
      </c>
      <c r="B51" s="3">
        <v>45736</v>
      </c>
      <c r="C51" s="1">
        <v>0.6</v>
      </c>
      <c r="D51" s="1">
        <v>52.23</v>
      </c>
      <c r="E51" t="s">
        <v>85</v>
      </c>
      <c r="F51" t="s">
        <v>75</v>
      </c>
      <c r="G51" t="s">
        <v>11</v>
      </c>
      <c r="H51" s="2">
        <v>45809</v>
      </c>
      <c r="I51">
        <v>1</v>
      </c>
      <c r="J51" t="s">
        <v>27</v>
      </c>
      <c r="K51">
        <v>230</v>
      </c>
      <c r="L51" t="s">
        <v>13</v>
      </c>
    </row>
    <row r="52" spans="1:12" x14ac:dyDescent="0.35">
      <c r="A52" s="4">
        <v>246779413747</v>
      </c>
      <c r="B52" s="3">
        <v>45736</v>
      </c>
      <c r="C52" s="1">
        <v>0.05</v>
      </c>
      <c r="D52" s="1">
        <v>4.3499999999999996</v>
      </c>
      <c r="E52" t="s">
        <v>86</v>
      </c>
      <c r="F52" t="s">
        <v>75</v>
      </c>
      <c r="G52" t="s">
        <v>11</v>
      </c>
      <c r="H52" s="2">
        <v>45901</v>
      </c>
      <c r="I52">
        <v>1</v>
      </c>
      <c r="J52" t="s">
        <v>55</v>
      </c>
      <c r="K52">
        <v>230</v>
      </c>
      <c r="L52" t="s">
        <v>13</v>
      </c>
    </row>
    <row r="53" spans="1:12" x14ac:dyDescent="0.35">
      <c r="A53" s="4">
        <v>246779410132</v>
      </c>
      <c r="B53" s="3">
        <v>45708</v>
      </c>
      <c r="C53" s="1">
        <v>1.05</v>
      </c>
      <c r="D53" s="1">
        <v>90.87</v>
      </c>
      <c r="E53" t="s">
        <v>88</v>
      </c>
      <c r="F53" t="s">
        <v>87</v>
      </c>
      <c r="G53" t="s">
        <v>11</v>
      </c>
      <c r="H53" s="2">
        <v>45809</v>
      </c>
      <c r="I53">
        <v>1</v>
      </c>
      <c r="J53" s="3">
        <v>45997</v>
      </c>
      <c r="K53">
        <v>230</v>
      </c>
      <c r="L53" t="s">
        <v>13</v>
      </c>
    </row>
    <row r="54" spans="1:12" x14ac:dyDescent="0.35">
      <c r="A54" s="4">
        <v>246779410098</v>
      </c>
      <c r="B54" s="3">
        <v>45708</v>
      </c>
      <c r="C54" s="1">
        <v>47.62</v>
      </c>
      <c r="D54" s="1">
        <v>4121.01</v>
      </c>
      <c r="E54" t="s">
        <v>89</v>
      </c>
      <c r="F54" t="s">
        <v>87</v>
      </c>
      <c r="G54" t="s">
        <v>11</v>
      </c>
      <c r="H54" s="2">
        <v>45809</v>
      </c>
      <c r="I54">
        <v>1</v>
      </c>
      <c r="J54" s="3">
        <v>45997</v>
      </c>
      <c r="K54">
        <v>230</v>
      </c>
      <c r="L54" t="s">
        <v>13</v>
      </c>
    </row>
    <row r="55" spans="1:12" x14ac:dyDescent="0.35">
      <c r="A55" s="4">
        <v>246779410131</v>
      </c>
      <c r="B55" s="3">
        <v>45708</v>
      </c>
      <c r="C55" s="1">
        <v>1.9</v>
      </c>
      <c r="D55" s="1">
        <v>164.43</v>
      </c>
      <c r="E55" t="s">
        <v>90</v>
      </c>
      <c r="F55" t="s">
        <v>87</v>
      </c>
      <c r="G55" t="s">
        <v>11</v>
      </c>
      <c r="H55" s="2">
        <v>45809</v>
      </c>
      <c r="I55">
        <v>1</v>
      </c>
      <c r="J55" s="3">
        <v>45997</v>
      </c>
      <c r="K55">
        <v>230</v>
      </c>
      <c r="L55" t="s">
        <v>13</v>
      </c>
    </row>
    <row r="56" spans="1:12" x14ac:dyDescent="0.35">
      <c r="A56" s="4">
        <v>246779410315</v>
      </c>
      <c r="B56" s="3">
        <v>45708</v>
      </c>
      <c r="C56" s="1">
        <v>47.62</v>
      </c>
      <c r="D56" s="1">
        <v>4144.96</v>
      </c>
      <c r="E56" t="s">
        <v>91</v>
      </c>
      <c r="F56" t="s">
        <v>87</v>
      </c>
      <c r="G56" t="s">
        <v>11</v>
      </c>
      <c r="H56" s="2">
        <v>45809</v>
      </c>
      <c r="I56">
        <v>1</v>
      </c>
      <c r="J56" s="3">
        <v>45997</v>
      </c>
      <c r="K56">
        <v>230</v>
      </c>
      <c r="L56" t="s">
        <v>13</v>
      </c>
    </row>
    <row r="57" spans="1:12" x14ac:dyDescent="0.35">
      <c r="A57" s="4">
        <v>246779410312</v>
      </c>
      <c r="B57" s="3">
        <v>45708</v>
      </c>
      <c r="C57" s="1">
        <v>1.05</v>
      </c>
      <c r="D57" s="1">
        <v>91.39</v>
      </c>
      <c r="E57" t="s">
        <v>92</v>
      </c>
      <c r="F57" t="s">
        <v>87</v>
      </c>
      <c r="G57" t="s">
        <v>11</v>
      </c>
      <c r="H57" s="2">
        <v>45809</v>
      </c>
      <c r="I57">
        <v>1</v>
      </c>
      <c r="J57" s="3">
        <v>45997</v>
      </c>
      <c r="K57">
        <v>230</v>
      </c>
      <c r="L57" t="s">
        <v>13</v>
      </c>
    </row>
    <row r="58" spans="1:12" x14ac:dyDescent="0.35">
      <c r="A58" s="4">
        <v>246779410218</v>
      </c>
      <c r="B58" s="3">
        <v>45708</v>
      </c>
      <c r="C58" s="1">
        <v>1.03</v>
      </c>
      <c r="D58" s="1">
        <v>89.14</v>
      </c>
      <c r="E58" t="s">
        <v>94</v>
      </c>
      <c r="F58" t="s">
        <v>87</v>
      </c>
      <c r="G58" t="s">
        <v>11</v>
      </c>
      <c r="H58" s="2">
        <v>45809</v>
      </c>
      <c r="I58">
        <v>1</v>
      </c>
      <c r="J58" s="3">
        <v>45997</v>
      </c>
      <c r="K58">
        <v>230</v>
      </c>
      <c r="L58" t="s">
        <v>13</v>
      </c>
    </row>
    <row r="59" spans="1:12" x14ac:dyDescent="0.35">
      <c r="A59" s="4">
        <v>246779410175</v>
      </c>
      <c r="B59" s="3">
        <v>45708</v>
      </c>
      <c r="C59" s="1">
        <v>1.05</v>
      </c>
      <c r="D59" s="1">
        <v>90.87</v>
      </c>
      <c r="E59" t="s">
        <v>95</v>
      </c>
      <c r="F59" t="s">
        <v>87</v>
      </c>
      <c r="G59" t="s">
        <v>11</v>
      </c>
      <c r="H59" s="2">
        <v>45809</v>
      </c>
      <c r="I59">
        <v>1</v>
      </c>
      <c r="J59" s="3">
        <v>45997</v>
      </c>
      <c r="K59">
        <v>230</v>
      </c>
      <c r="L59" t="s">
        <v>13</v>
      </c>
    </row>
    <row r="60" spans="1:12" x14ac:dyDescent="0.35">
      <c r="A60" s="4">
        <v>246779410141</v>
      </c>
      <c r="B60" s="3">
        <v>45708</v>
      </c>
      <c r="C60" s="1">
        <v>47.62</v>
      </c>
      <c r="D60" s="1">
        <v>4121.01</v>
      </c>
      <c r="E60" t="s">
        <v>96</v>
      </c>
      <c r="F60" t="s">
        <v>87</v>
      </c>
      <c r="G60" t="s">
        <v>11</v>
      </c>
      <c r="H60" s="2">
        <v>45809</v>
      </c>
      <c r="I60">
        <v>1</v>
      </c>
      <c r="J60" s="3">
        <v>45997</v>
      </c>
      <c r="K60">
        <v>230</v>
      </c>
      <c r="L60" t="s">
        <v>13</v>
      </c>
    </row>
    <row r="61" spans="1:12" x14ac:dyDescent="0.35">
      <c r="A61" s="4">
        <v>246779410184</v>
      </c>
      <c r="B61" s="3">
        <v>45708</v>
      </c>
      <c r="C61" s="1">
        <v>46.66</v>
      </c>
      <c r="D61" s="1">
        <v>4037.94</v>
      </c>
      <c r="E61" t="s">
        <v>97</v>
      </c>
      <c r="F61" t="s">
        <v>87</v>
      </c>
      <c r="G61" t="s">
        <v>11</v>
      </c>
      <c r="H61" s="2">
        <v>45809</v>
      </c>
      <c r="I61">
        <v>1</v>
      </c>
      <c r="J61" s="3">
        <v>45997</v>
      </c>
      <c r="K61">
        <v>230</v>
      </c>
      <c r="L61" t="s">
        <v>13</v>
      </c>
    </row>
    <row r="62" spans="1:12" x14ac:dyDescent="0.35">
      <c r="A62" s="4">
        <v>246779410217</v>
      </c>
      <c r="B62" s="3">
        <v>45708</v>
      </c>
      <c r="C62" s="1">
        <v>1.87</v>
      </c>
      <c r="D62" s="1">
        <v>161.83000000000001</v>
      </c>
      <c r="E62" t="s">
        <v>98</v>
      </c>
      <c r="F62" t="s">
        <v>87</v>
      </c>
      <c r="G62" t="s">
        <v>11</v>
      </c>
      <c r="H62" s="2">
        <v>45809</v>
      </c>
      <c r="I62">
        <v>1</v>
      </c>
      <c r="J62" s="3">
        <v>45997</v>
      </c>
      <c r="K62">
        <v>230</v>
      </c>
      <c r="L62" t="s">
        <v>13</v>
      </c>
    </row>
    <row r="63" spans="1:12" x14ac:dyDescent="0.35">
      <c r="A63" s="4">
        <v>246779410174</v>
      </c>
      <c r="B63" s="3">
        <v>45708</v>
      </c>
      <c r="C63" s="1">
        <v>1.9</v>
      </c>
      <c r="D63" s="1">
        <v>164.43</v>
      </c>
      <c r="E63" t="s">
        <v>99</v>
      </c>
      <c r="F63" t="s">
        <v>87</v>
      </c>
      <c r="G63" t="s">
        <v>11</v>
      </c>
      <c r="H63" s="2">
        <v>45809</v>
      </c>
      <c r="I63">
        <v>1</v>
      </c>
      <c r="J63" s="3">
        <v>45997</v>
      </c>
      <c r="K63">
        <v>230</v>
      </c>
      <c r="L63" t="s">
        <v>13</v>
      </c>
    </row>
    <row r="64" spans="1:12" x14ac:dyDescent="0.35">
      <c r="A64" s="4">
        <v>246779410227</v>
      </c>
      <c r="B64" s="3">
        <v>45708</v>
      </c>
      <c r="C64" s="1">
        <v>45.72</v>
      </c>
      <c r="D64" s="1">
        <v>3956.59</v>
      </c>
      <c r="E64" t="s">
        <v>101</v>
      </c>
      <c r="F64" t="s">
        <v>87</v>
      </c>
      <c r="G64" t="s">
        <v>11</v>
      </c>
      <c r="H64" s="2">
        <v>45809</v>
      </c>
      <c r="I64">
        <v>1</v>
      </c>
      <c r="J64" t="s">
        <v>100</v>
      </c>
      <c r="K64">
        <v>230</v>
      </c>
      <c r="L64" t="s">
        <v>13</v>
      </c>
    </row>
    <row r="65" spans="1:12" x14ac:dyDescent="0.35">
      <c r="A65" s="4">
        <v>246779410064</v>
      </c>
      <c r="B65" s="3">
        <v>45708</v>
      </c>
      <c r="C65" s="1">
        <v>1.05</v>
      </c>
      <c r="D65" s="1">
        <v>90.87</v>
      </c>
      <c r="E65" t="s">
        <v>102</v>
      </c>
      <c r="F65" t="s">
        <v>87</v>
      </c>
      <c r="G65" t="s">
        <v>11</v>
      </c>
      <c r="H65" s="2">
        <v>45809</v>
      </c>
      <c r="I65">
        <v>1</v>
      </c>
      <c r="J65" t="s">
        <v>27</v>
      </c>
      <c r="K65">
        <v>230</v>
      </c>
      <c r="L65" t="s">
        <v>13</v>
      </c>
    </row>
    <row r="66" spans="1:12" x14ac:dyDescent="0.35">
      <c r="A66" s="4">
        <v>246779410030</v>
      </c>
      <c r="B66" s="3">
        <v>45708</v>
      </c>
      <c r="C66" s="1">
        <v>47.62</v>
      </c>
      <c r="D66" s="1">
        <v>4121.01</v>
      </c>
      <c r="E66" t="s">
        <v>103</v>
      </c>
      <c r="F66" t="s">
        <v>87</v>
      </c>
      <c r="G66" t="s">
        <v>11</v>
      </c>
      <c r="H66" s="2">
        <v>45809</v>
      </c>
      <c r="I66">
        <v>1</v>
      </c>
      <c r="J66" t="s">
        <v>27</v>
      </c>
      <c r="K66">
        <v>230</v>
      </c>
      <c r="L66" t="s">
        <v>13</v>
      </c>
    </row>
    <row r="67" spans="1:12" x14ac:dyDescent="0.35">
      <c r="A67" s="4">
        <v>246779410063</v>
      </c>
      <c r="B67" s="3">
        <v>45708</v>
      </c>
      <c r="C67" s="1">
        <v>1.9</v>
      </c>
      <c r="D67" s="1">
        <v>164.43</v>
      </c>
      <c r="E67" t="s">
        <v>104</v>
      </c>
      <c r="F67" t="s">
        <v>87</v>
      </c>
      <c r="G67" t="s">
        <v>11</v>
      </c>
      <c r="H67" s="2">
        <v>45809</v>
      </c>
      <c r="I67">
        <v>1</v>
      </c>
      <c r="J67" t="s">
        <v>27</v>
      </c>
      <c r="K67">
        <v>230</v>
      </c>
      <c r="L67" t="s">
        <v>13</v>
      </c>
    </row>
    <row r="68" spans="1:12" x14ac:dyDescent="0.35">
      <c r="A68" s="4">
        <v>246779410260</v>
      </c>
      <c r="B68" s="3">
        <v>45708</v>
      </c>
      <c r="C68" s="1">
        <v>1.83</v>
      </c>
      <c r="D68" s="1">
        <v>158.37</v>
      </c>
      <c r="E68" t="s">
        <v>105</v>
      </c>
      <c r="F68" t="s">
        <v>87</v>
      </c>
      <c r="G68" t="s">
        <v>11</v>
      </c>
      <c r="H68" s="2">
        <v>45809</v>
      </c>
      <c r="I68">
        <v>1</v>
      </c>
      <c r="J68" t="s">
        <v>27</v>
      </c>
      <c r="K68">
        <v>230</v>
      </c>
      <c r="L68" t="s">
        <v>13</v>
      </c>
    </row>
    <row r="69" spans="1:12" x14ac:dyDescent="0.35">
      <c r="A69" s="4">
        <v>246779410010</v>
      </c>
      <c r="B69" s="3">
        <v>45708</v>
      </c>
      <c r="C69" s="1">
        <v>47.62</v>
      </c>
      <c r="D69" s="1">
        <v>4121.01</v>
      </c>
      <c r="E69" t="s">
        <v>106</v>
      </c>
      <c r="F69" t="s">
        <v>87</v>
      </c>
      <c r="G69" t="s">
        <v>11</v>
      </c>
      <c r="H69" s="2">
        <v>45809</v>
      </c>
      <c r="I69">
        <v>1</v>
      </c>
      <c r="J69" t="s">
        <v>27</v>
      </c>
      <c r="K69">
        <v>230</v>
      </c>
      <c r="L69" t="s">
        <v>13</v>
      </c>
    </row>
    <row r="70" spans="1:12" x14ac:dyDescent="0.35">
      <c r="A70" s="4">
        <v>246779410080</v>
      </c>
      <c r="B70" s="3">
        <v>45708</v>
      </c>
      <c r="C70" s="1">
        <v>1.9</v>
      </c>
      <c r="D70" s="1">
        <v>164.43</v>
      </c>
      <c r="E70" t="s">
        <v>107</v>
      </c>
      <c r="F70" t="s">
        <v>87</v>
      </c>
      <c r="G70" t="s">
        <v>11</v>
      </c>
      <c r="H70" s="2">
        <v>45809</v>
      </c>
      <c r="I70">
        <v>1</v>
      </c>
      <c r="J70" t="s">
        <v>27</v>
      </c>
      <c r="K70">
        <v>230</v>
      </c>
      <c r="L70" t="s">
        <v>13</v>
      </c>
    </row>
    <row r="71" spans="1:12" x14ac:dyDescent="0.35">
      <c r="A71" s="4">
        <v>246779410261</v>
      </c>
      <c r="B71" s="3">
        <v>45708</v>
      </c>
      <c r="C71" s="1">
        <v>1.01</v>
      </c>
      <c r="D71" s="1">
        <v>87.4</v>
      </c>
      <c r="E71" t="s">
        <v>108</v>
      </c>
      <c r="F71" t="s">
        <v>87</v>
      </c>
      <c r="G71" t="s">
        <v>11</v>
      </c>
      <c r="H71" s="2">
        <v>45809</v>
      </c>
      <c r="I71">
        <v>1</v>
      </c>
      <c r="J71" t="s">
        <v>27</v>
      </c>
      <c r="K71">
        <v>230</v>
      </c>
      <c r="L71" t="s">
        <v>13</v>
      </c>
    </row>
    <row r="72" spans="1:12" x14ac:dyDescent="0.35">
      <c r="A72" s="4">
        <v>246779410311</v>
      </c>
      <c r="B72" s="3">
        <v>45708</v>
      </c>
      <c r="C72" s="1">
        <v>1.9</v>
      </c>
      <c r="D72" s="1">
        <v>164.43</v>
      </c>
      <c r="E72" t="s">
        <v>109</v>
      </c>
      <c r="F72" t="s">
        <v>87</v>
      </c>
      <c r="G72" t="s">
        <v>11</v>
      </c>
      <c r="H72" s="2">
        <v>45901</v>
      </c>
      <c r="I72">
        <v>1</v>
      </c>
      <c r="J72" t="s">
        <v>55</v>
      </c>
      <c r="K72">
        <v>230</v>
      </c>
      <c r="L72" t="s">
        <v>13</v>
      </c>
    </row>
    <row r="73" spans="1:12" x14ac:dyDescent="0.35">
      <c r="A73" s="4">
        <v>256779415769</v>
      </c>
      <c r="B73" s="3">
        <v>45857</v>
      </c>
      <c r="C73" s="1">
        <v>4.7</v>
      </c>
      <c r="D73" s="1">
        <v>404.15</v>
      </c>
      <c r="E73" t="s">
        <v>112</v>
      </c>
      <c r="F73" t="s">
        <v>110</v>
      </c>
      <c r="G73" t="s">
        <v>11</v>
      </c>
      <c r="H73" s="2">
        <v>46023</v>
      </c>
      <c r="I73">
        <v>1</v>
      </c>
      <c r="J73" t="s">
        <v>111</v>
      </c>
      <c r="K73">
        <v>230</v>
      </c>
      <c r="L73" t="s">
        <v>13</v>
      </c>
    </row>
    <row r="74" spans="1:12" x14ac:dyDescent="0.35">
      <c r="A74" s="4">
        <v>256779414741</v>
      </c>
      <c r="B74" s="3">
        <v>45827</v>
      </c>
      <c r="C74" s="1">
        <v>11.6</v>
      </c>
      <c r="D74" s="1">
        <v>986.74</v>
      </c>
      <c r="E74" t="s">
        <v>115</v>
      </c>
      <c r="F74" t="s">
        <v>114</v>
      </c>
      <c r="G74" t="s">
        <v>11</v>
      </c>
      <c r="H74" s="2">
        <v>45992</v>
      </c>
      <c r="I74">
        <v>1</v>
      </c>
      <c r="J74" t="s">
        <v>10</v>
      </c>
      <c r="K74">
        <v>230</v>
      </c>
      <c r="L74" t="s">
        <v>13</v>
      </c>
    </row>
    <row r="75" spans="1:12" x14ac:dyDescent="0.35">
      <c r="A75" s="4">
        <v>246779413202</v>
      </c>
      <c r="B75" s="3">
        <v>45735</v>
      </c>
      <c r="C75" s="1">
        <v>0.78</v>
      </c>
      <c r="D75" s="1">
        <v>67.5</v>
      </c>
      <c r="E75" t="s">
        <v>117</v>
      </c>
      <c r="F75" t="s">
        <v>116</v>
      </c>
      <c r="G75" t="s">
        <v>11</v>
      </c>
      <c r="H75" s="2">
        <v>45809</v>
      </c>
      <c r="I75">
        <v>1</v>
      </c>
      <c r="J75" s="3">
        <v>45997</v>
      </c>
      <c r="K75">
        <v>230</v>
      </c>
      <c r="L75" t="s">
        <v>13</v>
      </c>
    </row>
    <row r="76" spans="1:12" x14ac:dyDescent="0.35">
      <c r="A76" s="4">
        <v>246779413024</v>
      </c>
      <c r="B76" s="3">
        <v>45735</v>
      </c>
      <c r="C76" s="1">
        <v>1.01</v>
      </c>
      <c r="D76" s="1">
        <v>87.91</v>
      </c>
      <c r="E76" t="s">
        <v>118</v>
      </c>
      <c r="F76" t="s">
        <v>116</v>
      </c>
      <c r="G76" t="s">
        <v>11</v>
      </c>
      <c r="H76" s="2">
        <v>45809</v>
      </c>
      <c r="I76">
        <v>1</v>
      </c>
      <c r="J76" t="s">
        <v>27</v>
      </c>
      <c r="K76">
        <v>230</v>
      </c>
      <c r="L76" t="s">
        <v>13</v>
      </c>
    </row>
    <row r="77" spans="1:12" x14ac:dyDescent="0.35">
      <c r="A77" s="4">
        <v>246779412994</v>
      </c>
      <c r="B77" s="3">
        <v>45735</v>
      </c>
      <c r="C77" s="1">
        <v>45.95</v>
      </c>
      <c r="D77" s="1">
        <v>3999.6</v>
      </c>
      <c r="E77" t="s">
        <v>119</v>
      </c>
      <c r="F77" t="s">
        <v>116</v>
      </c>
      <c r="G77" t="s">
        <v>11</v>
      </c>
      <c r="H77" s="2">
        <v>45809</v>
      </c>
      <c r="I77">
        <v>1</v>
      </c>
      <c r="J77" t="s">
        <v>27</v>
      </c>
      <c r="K77">
        <v>230</v>
      </c>
      <c r="L77" t="s">
        <v>13</v>
      </c>
    </row>
    <row r="78" spans="1:12" x14ac:dyDescent="0.35">
      <c r="A78" s="4">
        <v>246779413023</v>
      </c>
      <c r="B78" s="3">
        <v>45735</v>
      </c>
      <c r="C78" s="1">
        <v>1.84</v>
      </c>
      <c r="D78" s="1">
        <v>160.16</v>
      </c>
      <c r="E78" t="s">
        <v>120</v>
      </c>
      <c r="F78" t="s">
        <v>116</v>
      </c>
      <c r="G78" t="s">
        <v>11</v>
      </c>
      <c r="H78" s="2">
        <v>45809</v>
      </c>
      <c r="I78">
        <v>1</v>
      </c>
      <c r="J78" t="s">
        <v>27</v>
      </c>
      <c r="K78">
        <v>230</v>
      </c>
      <c r="L78" t="s">
        <v>13</v>
      </c>
    </row>
    <row r="79" spans="1:12" x14ac:dyDescent="0.35">
      <c r="A79" s="4">
        <v>246779410081</v>
      </c>
      <c r="B79" s="3">
        <v>45707</v>
      </c>
      <c r="C79" s="1">
        <v>1.05</v>
      </c>
      <c r="D79" s="1">
        <v>90.87</v>
      </c>
      <c r="E79" t="s">
        <v>122</v>
      </c>
      <c r="F79" t="s">
        <v>121</v>
      </c>
      <c r="G79" t="s">
        <v>11</v>
      </c>
      <c r="H79" s="2">
        <v>45809</v>
      </c>
      <c r="I79">
        <v>1</v>
      </c>
      <c r="J79" t="s">
        <v>27</v>
      </c>
      <c r="K79">
        <v>230</v>
      </c>
      <c r="L79" t="s">
        <v>13</v>
      </c>
    </row>
    <row r="80" spans="1:12" x14ac:dyDescent="0.35">
      <c r="A80" s="4">
        <v>256779418433</v>
      </c>
      <c r="B80" s="3">
        <v>45948</v>
      </c>
      <c r="C80" s="1">
        <v>7.03</v>
      </c>
      <c r="D80" s="1">
        <v>623.28</v>
      </c>
      <c r="E80" t="s">
        <v>124</v>
      </c>
      <c r="F80" t="s">
        <v>123</v>
      </c>
      <c r="G80" t="s">
        <v>11</v>
      </c>
      <c r="H80" s="2">
        <v>45992</v>
      </c>
      <c r="I80">
        <v>1</v>
      </c>
      <c r="J80" t="s">
        <v>45</v>
      </c>
      <c r="K80">
        <v>230</v>
      </c>
      <c r="L80" t="s">
        <v>13</v>
      </c>
    </row>
    <row r="81" spans="1:12" x14ac:dyDescent="0.35">
      <c r="A81" s="4">
        <v>256779418424</v>
      </c>
      <c r="B81" s="3">
        <v>45948</v>
      </c>
      <c r="C81" s="1">
        <v>26.69</v>
      </c>
      <c r="D81" s="1">
        <v>2366.3200000000002</v>
      </c>
      <c r="E81" t="s">
        <v>125</v>
      </c>
      <c r="F81" t="s">
        <v>123</v>
      </c>
      <c r="G81" t="s">
        <v>11</v>
      </c>
      <c r="H81" s="2">
        <v>45992</v>
      </c>
      <c r="I81">
        <v>1</v>
      </c>
      <c r="J81" t="s">
        <v>45</v>
      </c>
      <c r="K81">
        <v>230</v>
      </c>
      <c r="L81" t="s">
        <v>13</v>
      </c>
    </row>
    <row r="82" spans="1:12" x14ac:dyDescent="0.35">
      <c r="A82" s="4">
        <v>256779417597</v>
      </c>
      <c r="B82" s="3">
        <v>45918</v>
      </c>
      <c r="C82" s="1">
        <v>21.1</v>
      </c>
      <c r="D82" s="1">
        <v>1849.46</v>
      </c>
      <c r="E82" t="s">
        <v>127</v>
      </c>
      <c r="F82" t="s">
        <v>126</v>
      </c>
      <c r="G82" t="s">
        <v>11</v>
      </c>
      <c r="H82" s="2">
        <v>45931</v>
      </c>
      <c r="I82">
        <v>1</v>
      </c>
      <c r="J82" t="s">
        <v>17</v>
      </c>
      <c r="K82">
        <v>230</v>
      </c>
      <c r="L82" t="s">
        <v>13</v>
      </c>
    </row>
    <row r="83" spans="1:12" x14ac:dyDescent="0.35">
      <c r="A83" s="4">
        <v>256779417580</v>
      </c>
      <c r="B83" s="3">
        <v>45918</v>
      </c>
      <c r="C83" s="1">
        <v>3.69</v>
      </c>
      <c r="D83" s="1">
        <v>3.69</v>
      </c>
      <c r="E83" t="s">
        <v>128</v>
      </c>
      <c r="F83" t="s">
        <v>126</v>
      </c>
      <c r="G83" t="s">
        <v>11</v>
      </c>
      <c r="H83" s="2">
        <v>45962</v>
      </c>
      <c r="I83">
        <v>1</v>
      </c>
      <c r="J83" s="3">
        <v>45972</v>
      </c>
      <c r="K83">
        <v>230</v>
      </c>
      <c r="L83" t="s">
        <v>13</v>
      </c>
    </row>
    <row r="84" spans="1:12" x14ac:dyDescent="0.35">
      <c r="A84" s="4">
        <v>256779417517</v>
      </c>
      <c r="B84" s="3">
        <v>45918</v>
      </c>
      <c r="C84" s="1">
        <v>0.09</v>
      </c>
      <c r="D84" s="1">
        <v>7.89</v>
      </c>
      <c r="E84" t="s">
        <v>129</v>
      </c>
      <c r="F84" t="s">
        <v>126</v>
      </c>
      <c r="G84" t="s">
        <v>11</v>
      </c>
      <c r="H84" s="2">
        <v>45962</v>
      </c>
      <c r="I84">
        <v>1</v>
      </c>
      <c r="J84" s="3">
        <v>45972</v>
      </c>
      <c r="K84">
        <v>230</v>
      </c>
      <c r="L84" t="s">
        <v>13</v>
      </c>
    </row>
    <row r="85" spans="1:12" x14ac:dyDescent="0.35">
      <c r="A85" s="4">
        <v>256779417557</v>
      </c>
      <c r="B85" s="3">
        <v>45918</v>
      </c>
      <c r="C85" s="1">
        <v>14.52</v>
      </c>
      <c r="D85" s="1">
        <v>1272.71</v>
      </c>
      <c r="E85" t="s">
        <v>130</v>
      </c>
      <c r="F85" t="s">
        <v>126</v>
      </c>
      <c r="G85" t="s">
        <v>11</v>
      </c>
      <c r="H85" s="2">
        <v>45962</v>
      </c>
      <c r="I85">
        <v>1</v>
      </c>
      <c r="J85" s="3">
        <v>45972</v>
      </c>
      <c r="K85">
        <v>230</v>
      </c>
      <c r="L85" t="s">
        <v>13</v>
      </c>
    </row>
    <row r="86" spans="1:12" x14ac:dyDescent="0.35">
      <c r="A86" s="4" t="s">
        <v>455</v>
      </c>
      <c r="B86" s="3">
        <v>45918</v>
      </c>
      <c r="C86" s="1">
        <v>3.69</v>
      </c>
      <c r="D86" s="1">
        <v>323.44</v>
      </c>
      <c r="E86" t="s">
        <v>132</v>
      </c>
      <c r="F86" t="s">
        <v>126</v>
      </c>
      <c r="G86" t="s">
        <v>11</v>
      </c>
      <c r="H86" s="2">
        <v>46023</v>
      </c>
      <c r="I86">
        <v>1</v>
      </c>
      <c r="J86" t="s">
        <v>47</v>
      </c>
      <c r="K86">
        <v>230</v>
      </c>
      <c r="L86" t="s">
        <v>13</v>
      </c>
    </row>
    <row r="87" spans="1:12" x14ac:dyDescent="0.35">
      <c r="A87" s="4">
        <v>256779415474</v>
      </c>
      <c r="B87" s="3">
        <v>45856</v>
      </c>
      <c r="C87" s="1">
        <v>12.17</v>
      </c>
      <c r="D87" s="1">
        <v>1046.49</v>
      </c>
      <c r="E87" t="s">
        <v>134</v>
      </c>
      <c r="F87" t="s">
        <v>133</v>
      </c>
      <c r="G87" t="s">
        <v>11</v>
      </c>
      <c r="H87" s="2">
        <v>45931</v>
      </c>
      <c r="I87">
        <v>1</v>
      </c>
      <c r="J87" t="s">
        <v>17</v>
      </c>
      <c r="K87">
        <v>230</v>
      </c>
      <c r="L87" t="s">
        <v>13</v>
      </c>
    </row>
    <row r="88" spans="1:12" x14ac:dyDescent="0.35">
      <c r="A88" s="4">
        <v>256779415442</v>
      </c>
      <c r="B88" s="3">
        <v>45856</v>
      </c>
      <c r="C88" s="1">
        <v>0.03</v>
      </c>
      <c r="D88" s="1">
        <v>2.58</v>
      </c>
      <c r="E88" t="s">
        <v>135</v>
      </c>
      <c r="F88" t="s">
        <v>133</v>
      </c>
      <c r="G88" t="s">
        <v>11</v>
      </c>
      <c r="H88" s="2">
        <v>45931</v>
      </c>
      <c r="I88">
        <v>1</v>
      </c>
      <c r="J88" t="s">
        <v>17</v>
      </c>
      <c r="K88">
        <v>230</v>
      </c>
      <c r="L88" t="s">
        <v>13</v>
      </c>
    </row>
    <row r="89" spans="1:12" x14ac:dyDescent="0.35">
      <c r="A89" s="4">
        <v>256779415453</v>
      </c>
      <c r="B89" s="3">
        <v>45856</v>
      </c>
      <c r="C89" s="1">
        <v>5.87</v>
      </c>
      <c r="D89" s="1">
        <v>504.76</v>
      </c>
      <c r="E89" t="s">
        <v>136</v>
      </c>
      <c r="F89" t="s">
        <v>133</v>
      </c>
      <c r="G89" t="s">
        <v>11</v>
      </c>
      <c r="H89" s="2">
        <v>45931</v>
      </c>
      <c r="I89">
        <v>1</v>
      </c>
      <c r="J89" t="s">
        <v>17</v>
      </c>
      <c r="K89">
        <v>230</v>
      </c>
      <c r="L89" t="s">
        <v>13</v>
      </c>
    </row>
    <row r="90" spans="1:12" x14ac:dyDescent="0.35">
      <c r="A90" s="4">
        <v>256779415517</v>
      </c>
      <c r="B90" s="3">
        <v>45856</v>
      </c>
      <c r="C90" s="1">
        <v>2.33</v>
      </c>
      <c r="D90" s="1">
        <v>200.36</v>
      </c>
      <c r="E90" t="s">
        <v>137</v>
      </c>
      <c r="F90" t="s">
        <v>133</v>
      </c>
      <c r="G90" t="s">
        <v>11</v>
      </c>
      <c r="H90" s="2">
        <v>45931</v>
      </c>
      <c r="I90">
        <v>1</v>
      </c>
      <c r="J90" t="s">
        <v>17</v>
      </c>
      <c r="K90">
        <v>230</v>
      </c>
      <c r="L90" t="s">
        <v>13</v>
      </c>
    </row>
    <row r="91" spans="1:12" x14ac:dyDescent="0.35">
      <c r="A91" s="4">
        <v>256779415426</v>
      </c>
      <c r="B91" s="3">
        <v>45856</v>
      </c>
      <c r="C91" s="1">
        <v>9.2899999999999991</v>
      </c>
      <c r="D91" s="1">
        <v>798.84</v>
      </c>
      <c r="E91" t="s">
        <v>138</v>
      </c>
      <c r="F91" t="s">
        <v>133</v>
      </c>
      <c r="G91" t="s">
        <v>11</v>
      </c>
      <c r="H91" s="2">
        <v>45931</v>
      </c>
      <c r="I91">
        <v>1</v>
      </c>
      <c r="J91" t="s">
        <v>17</v>
      </c>
      <c r="K91">
        <v>230</v>
      </c>
      <c r="L91" t="s">
        <v>13</v>
      </c>
    </row>
    <row r="92" spans="1:12" x14ac:dyDescent="0.35">
      <c r="A92" s="4">
        <v>256779414431</v>
      </c>
      <c r="B92" s="3">
        <v>45826</v>
      </c>
      <c r="C92" s="1">
        <v>1.05</v>
      </c>
      <c r="D92" s="1">
        <v>89.32</v>
      </c>
      <c r="E92" t="s">
        <v>140</v>
      </c>
      <c r="F92" t="s">
        <v>139</v>
      </c>
      <c r="G92" t="s">
        <v>11</v>
      </c>
      <c r="H92" s="2">
        <v>45962</v>
      </c>
      <c r="I92">
        <v>1</v>
      </c>
      <c r="J92" t="s">
        <v>12</v>
      </c>
      <c r="K92">
        <v>230</v>
      </c>
      <c r="L92" t="s">
        <v>13</v>
      </c>
    </row>
    <row r="93" spans="1:12" x14ac:dyDescent="0.35">
      <c r="A93" s="4">
        <v>246779411742</v>
      </c>
      <c r="B93" s="3">
        <v>45733</v>
      </c>
      <c r="C93" s="1">
        <v>0.47</v>
      </c>
      <c r="D93" s="1">
        <v>40.909999999999997</v>
      </c>
      <c r="E93" t="s">
        <v>142</v>
      </c>
      <c r="F93" t="s">
        <v>141</v>
      </c>
      <c r="G93" t="s">
        <v>11</v>
      </c>
      <c r="H93" s="2">
        <v>45809</v>
      </c>
      <c r="I93">
        <v>1</v>
      </c>
      <c r="J93" s="3">
        <v>45967</v>
      </c>
      <c r="K93">
        <v>230</v>
      </c>
      <c r="L93" t="s">
        <v>13</v>
      </c>
    </row>
    <row r="94" spans="1:12" x14ac:dyDescent="0.35">
      <c r="A94" s="4">
        <v>246779411601</v>
      </c>
      <c r="B94" s="3">
        <v>45733</v>
      </c>
      <c r="C94" s="1">
        <v>0.47</v>
      </c>
      <c r="D94" s="1">
        <v>40.909999999999997</v>
      </c>
      <c r="E94" t="s">
        <v>144</v>
      </c>
      <c r="F94" t="s">
        <v>141</v>
      </c>
      <c r="G94" t="s">
        <v>11</v>
      </c>
      <c r="H94" s="2">
        <v>45809</v>
      </c>
      <c r="I94">
        <v>1</v>
      </c>
      <c r="J94" s="3">
        <v>45997</v>
      </c>
      <c r="K94">
        <v>230</v>
      </c>
      <c r="L94" t="s">
        <v>13</v>
      </c>
    </row>
    <row r="95" spans="1:12" x14ac:dyDescent="0.35">
      <c r="A95" s="4">
        <v>246779411717</v>
      </c>
      <c r="B95" s="3">
        <v>45733</v>
      </c>
      <c r="C95" s="1">
        <v>0.91</v>
      </c>
      <c r="D95" s="1">
        <v>79.209999999999994</v>
      </c>
      <c r="E95" t="s">
        <v>145</v>
      </c>
      <c r="F95" t="s">
        <v>141</v>
      </c>
      <c r="G95" t="s">
        <v>11</v>
      </c>
      <c r="H95" s="2">
        <v>45809</v>
      </c>
      <c r="I95">
        <v>1</v>
      </c>
      <c r="J95" s="3">
        <v>45997</v>
      </c>
      <c r="K95">
        <v>230</v>
      </c>
      <c r="L95" t="s">
        <v>13</v>
      </c>
    </row>
    <row r="96" spans="1:12" x14ac:dyDescent="0.35">
      <c r="A96" s="4">
        <v>246779411913</v>
      </c>
      <c r="B96" s="3">
        <v>45733</v>
      </c>
      <c r="C96" s="1">
        <v>0.56999999999999995</v>
      </c>
      <c r="D96" s="1">
        <v>49.61</v>
      </c>
      <c r="E96" t="s">
        <v>146</v>
      </c>
      <c r="F96" t="s">
        <v>141</v>
      </c>
      <c r="G96" t="s">
        <v>11</v>
      </c>
      <c r="H96" s="2">
        <v>45809</v>
      </c>
      <c r="I96">
        <v>1</v>
      </c>
      <c r="J96" s="3">
        <v>45997</v>
      </c>
      <c r="K96">
        <v>230</v>
      </c>
      <c r="L96" t="s">
        <v>13</v>
      </c>
    </row>
    <row r="97" spans="1:12" x14ac:dyDescent="0.35">
      <c r="A97" s="4">
        <v>246779411740</v>
      </c>
      <c r="B97" s="3">
        <v>45733</v>
      </c>
      <c r="C97" s="1">
        <v>0.46</v>
      </c>
      <c r="D97" s="1">
        <v>40.04</v>
      </c>
      <c r="E97" t="s">
        <v>147</v>
      </c>
      <c r="F97" t="s">
        <v>141</v>
      </c>
      <c r="G97" t="s">
        <v>11</v>
      </c>
      <c r="H97" s="2">
        <v>45809</v>
      </c>
      <c r="I97">
        <v>1</v>
      </c>
      <c r="J97" s="3">
        <v>45997</v>
      </c>
      <c r="K97">
        <v>230</v>
      </c>
      <c r="L97" t="s">
        <v>13</v>
      </c>
    </row>
    <row r="98" spans="1:12" x14ac:dyDescent="0.35">
      <c r="A98" s="4">
        <v>246779412111</v>
      </c>
      <c r="B98" s="3">
        <v>45733</v>
      </c>
      <c r="C98" s="1">
        <v>8.41</v>
      </c>
      <c r="D98" s="1">
        <v>732.03</v>
      </c>
      <c r="E98" t="s">
        <v>148</v>
      </c>
      <c r="F98" t="s">
        <v>141</v>
      </c>
      <c r="G98" t="s">
        <v>11</v>
      </c>
      <c r="H98" s="2">
        <v>45809</v>
      </c>
      <c r="I98">
        <v>1</v>
      </c>
      <c r="J98" s="3">
        <v>45997</v>
      </c>
      <c r="K98">
        <v>230</v>
      </c>
      <c r="L98" t="s">
        <v>13</v>
      </c>
    </row>
    <row r="99" spans="1:12" x14ac:dyDescent="0.35">
      <c r="A99" s="4">
        <v>246779411722</v>
      </c>
      <c r="B99" s="3">
        <v>45733</v>
      </c>
      <c r="C99" s="1">
        <v>0.8</v>
      </c>
      <c r="D99" s="1">
        <v>69.63</v>
      </c>
      <c r="E99" t="s">
        <v>149</v>
      </c>
      <c r="F99" t="s">
        <v>141</v>
      </c>
      <c r="G99" t="s">
        <v>11</v>
      </c>
      <c r="H99" s="2">
        <v>45809</v>
      </c>
      <c r="I99">
        <v>1</v>
      </c>
      <c r="J99" s="3">
        <v>45997</v>
      </c>
      <c r="K99">
        <v>230</v>
      </c>
      <c r="L99" t="s">
        <v>13</v>
      </c>
    </row>
    <row r="100" spans="1:12" x14ac:dyDescent="0.35">
      <c r="A100" s="4">
        <v>246779412041</v>
      </c>
      <c r="B100" s="3">
        <v>45733</v>
      </c>
      <c r="C100" s="1">
        <v>0.67</v>
      </c>
      <c r="D100" s="1">
        <v>58.32</v>
      </c>
      <c r="E100" t="s">
        <v>150</v>
      </c>
      <c r="F100" t="s">
        <v>141</v>
      </c>
      <c r="G100" t="s">
        <v>11</v>
      </c>
      <c r="H100" s="2">
        <v>45809</v>
      </c>
      <c r="I100">
        <v>1</v>
      </c>
      <c r="J100" s="3">
        <v>45997</v>
      </c>
      <c r="K100">
        <v>230</v>
      </c>
      <c r="L100" t="s">
        <v>13</v>
      </c>
    </row>
    <row r="101" spans="1:12" x14ac:dyDescent="0.35">
      <c r="A101" s="4">
        <v>246779411898</v>
      </c>
      <c r="B101" s="3">
        <v>45733</v>
      </c>
      <c r="C101" s="1">
        <v>0.14000000000000001</v>
      </c>
      <c r="D101" s="1">
        <v>12.19</v>
      </c>
      <c r="E101" t="s">
        <v>151</v>
      </c>
      <c r="F101" t="s">
        <v>141</v>
      </c>
      <c r="G101" t="s">
        <v>11</v>
      </c>
      <c r="H101" s="2">
        <v>45809</v>
      </c>
      <c r="I101">
        <v>1</v>
      </c>
      <c r="J101" s="3">
        <v>45997</v>
      </c>
      <c r="K101">
        <v>230</v>
      </c>
      <c r="L101" t="s">
        <v>13</v>
      </c>
    </row>
    <row r="102" spans="1:12" x14ac:dyDescent="0.35">
      <c r="A102" s="4">
        <v>246779411729</v>
      </c>
      <c r="B102" s="3">
        <v>45733</v>
      </c>
      <c r="C102" s="1">
        <v>0.69</v>
      </c>
      <c r="D102" s="1">
        <v>60.06</v>
      </c>
      <c r="E102" t="s">
        <v>152</v>
      </c>
      <c r="F102" t="s">
        <v>141</v>
      </c>
      <c r="G102" t="s">
        <v>11</v>
      </c>
      <c r="H102" s="2">
        <v>45809</v>
      </c>
      <c r="I102">
        <v>1</v>
      </c>
      <c r="J102" s="3">
        <v>45997</v>
      </c>
      <c r="K102">
        <v>230</v>
      </c>
      <c r="L102" t="s">
        <v>13</v>
      </c>
    </row>
    <row r="103" spans="1:12" x14ac:dyDescent="0.35">
      <c r="A103" s="4">
        <v>246779411737</v>
      </c>
      <c r="B103" s="3">
        <v>45733</v>
      </c>
      <c r="C103" s="1">
        <v>0.56999999999999995</v>
      </c>
      <c r="D103" s="1">
        <v>49.61</v>
      </c>
      <c r="E103" t="s">
        <v>153</v>
      </c>
      <c r="F103" t="s">
        <v>141</v>
      </c>
      <c r="G103" t="s">
        <v>11</v>
      </c>
      <c r="H103" s="2">
        <v>45809</v>
      </c>
      <c r="I103">
        <v>1</v>
      </c>
      <c r="J103" s="3">
        <v>45997</v>
      </c>
      <c r="K103">
        <v>230</v>
      </c>
      <c r="L103" t="s">
        <v>13</v>
      </c>
    </row>
    <row r="104" spans="1:12" x14ac:dyDescent="0.35">
      <c r="A104" s="4">
        <v>246779411595</v>
      </c>
      <c r="B104" s="3">
        <v>45733</v>
      </c>
      <c r="C104" s="1">
        <v>1.03</v>
      </c>
      <c r="D104" s="1">
        <v>89.65</v>
      </c>
      <c r="E104" t="s">
        <v>154</v>
      </c>
      <c r="F104" t="s">
        <v>141</v>
      </c>
      <c r="G104" t="s">
        <v>11</v>
      </c>
      <c r="H104" s="2">
        <v>45809</v>
      </c>
      <c r="I104">
        <v>1</v>
      </c>
      <c r="J104" s="3">
        <v>45997</v>
      </c>
      <c r="K104">
        <v>230</v>
      </c>
      <c r="L104" t="s">
        <v>13</v>
      </c>
    </row>
    <row r="105" spans="1:12" x14ac:dyDescent="0.35">
      <c r="A105" s="4">
        <v>246779411727</v>
      </c>
      <c r="B105" s="3">
        <v>45733</v>
      </c>
      <c r="C105" s="1">
        <v>0.34</v>
      </c>
      <c r="D105" s="1">
        <v>29.59</v>
      </c>
      <c r="E105" t="s">
        <v>155</v>
      </c>
      <c r="F105" t="s">
        <v>141</v>
      </c>
      <c r="G105" t="s">
        <v>11</v>
      </c>
      <c r="H105" s="2">
        <v>45809</v>
      </c>
      <c r="I105">
        <v>1</v>
      </c>
      <c r="J105" s="3">
        <v>45997</v>
      </c>
      <c r="K105">
        <v>230</v>
      </c>
      <c r="L105" t="s">
        <v>13</v>
      </c>
    </row>
    <row r="106" spans="1:12" x14ac:dyDescent="0.35">
      <c r="A106" s="4">
        <v>246779411736</v>
      </c>
      <c r="B106" s="3">
        <v>45733</v>
      </c>
      <c r="C106" s="1">
        <v>0.46</v>
      </c>
      <c r="D106" s="1">
        <v>40.04</v>
      </c>
      <c r="E106" t="s">
        <v>156</v>
      </c>
      <c r="F106" t="s">
        <v>141</v>
      </c>
      <c r="G106" t="s">
        <v>11</v>
      </c>
      <c r="H106" s="2">
        <v>45809</v>
      </c>
      <c r="I106">
        <v>1</v>
      </c>
      <c r="J106" s="3">
        <v>45997</v>
      </c>
      <c r="K106">
        <v>230</v>
      </c>
      <c r="L106" t="s">
        <v>13</v>
      </c>
    </row>
    <row r="107" spans="1:12" x14ac:dyDescent="0.35">
      <c r="A107" s="4">
        <v>246779411732</v>
      </c>
      <c r="B107" s="3">
        <v>45733</v>
      </c>
      <c r="C107" s="1">
        <v>0.56999999999999995</v>
      </c>
      <c r="D107" s="1">
        <v>49.61</v>
      </c>
      <c r="E107" t="s">
        <v>157</v>
      </c>
      <c r="F107" t="s">
        <v>141</v>
      </c>
      <c r="G107" t="s">
        <v>11</v>
      </c>
      <c r="H107" s="2">
        <v>45809</v>
      </c>
      <c r="I107">
        <v>1</v>
      </c>
      <c r="J107" s="3">
        <v>45997</v>
      </c>
      <c r="K107">
        <v>230</v>
      </c>
      <c r="L107" t="s">
        <v>13</v>
      </c>
    </row>
    <row r="108" spans="1:12" x14ac:dyDescent="0.35">
      <c r="A108" s="4">
        <v>246779411899</v>
      </c>
      <c r="B108" s="3">
        <v>45733</v>
      </c>
      <c r="C108" s="1">
        <v>1.25</v>
      </c>
      <c r="D108" s="1">
        <v>108.8</v>
      </c>
      <c r="E108" t="s">
        <v>158</v>
      </c>
      <c r="F108" t="s">
        <v>141</v>
      </c>
      <c r="G108" t="s">
        <v>11</v>
      </c>
      <c r="H108" s="2">
        <v>45809</v>
      </c>
      <c r="I108">
        <v>1</v>
      </c>
      <c r="J108" s="3">
        <v>45997</v>
      </c>
      <c r="K108">
        <v>230</v>
      </c>
      <c r="L108" t="s">
        <v>13</v>
      </c>
    </row>
    <row r="109" spans="1:12" x14ac:dyDescent="0.35">
      <c r="A109" s="4">
        <v>246779411914</v>
      </c>
      <c r="B109" s="3">
        <v>45733</v>
      </c>
      <c r="C109" s="1">
        <v>5.2</v>
      </c>
      <c r="D109" s="1">
        <v>452.62</v>
      </c>
      <c r="E109" t="s">
        <v>159</v>
      </c>
      <c r="F109" t="s">
        <v>141</v>
      </c>
      <c r="G109" t="s">
        <v>11</v>
      </c>
      <c r="H109" s="2">
        <v>45809</v>
      </c>
      <c r="I109">
        <v>1</v>
      </c>
      <c r="J109" s="3">
        <v>45997</v>
      </c>
      <c r="K109">
        <v>230</v>
      </c>
      <c r="L109" t="s">
        <v>13</v>
      </c>
    </row>
    <row r="110" spans="1:12" x14ac:dyDescent="0.35">
      <c r="A110" s="4">
        <v>246779411895</v>
      </c>
      <c r="B110" s="3">
        <v>45733</v>
      </c>
      <c r="C110" s="1">
        <v>0.09</v>
      </c>
      <c r="D110" s="1">
        <v>7.83</v>
      </c>
      <c r="E110" t="s">
        <v>160</v>
      </c>
      <c r="F110" t="s">
        <v>141</v>
      </c>
      <c r="G110" t="s">
        <v>11</v>
      </c>
      <c r="H110" s="2">
        <v>45809</v>
      </c>
      <c r="I110">
        <v>1</v>
      </c>
      <c r="J110" s="3">
        <v>45997</v>
      </c>
      <c r="K110">
        <v>230</v>
      </c>
      <c r="L110" t="s">
        <v>13</v>
      </c>
    </row>
    <row r="111" spans="1:12" x14ac:dyDescent="0.35">
      <c r="A111" s="4">
        <v>246779411723</v>
      </c>
      <c r="B111" s="3">
        <v>45733</v>
      </c>
      <c r="C111" s="1">
        <v>0.91</v>
      </c>
      <c r="D111" s="1">
        <v>79.209999999999994</v>
      </c>
      <c r="E111" t="s">
        <v>161</v>
      </c>
      <c r="F111" t="s">
        <v>141</v>
      </c>
      <c r="G111" t="s">
        <v>11</v>
      </c>
      <c r="H111" s="2">
        <v>45809</v>
      </c>
      <c r="I111">
        <v>1</v>
      </c>
      <c r="J111" s="3">
        <v>45997</v>
      </c>
      <c r="K111">
        <v>230</v>
      </c>
      <c r="L111" t="s">
        <v>13</v>
      </c>
    </row>
    <row r="112" spans="1:12" x14ac:dyDescent="0.35">
      <c r="A112" s="4">
        <v>246779411897</v>
      </c>
      <c r="B112" s="3">
        <v>45733</v>
      </c>
      <c r="C112" s="1">
        <v>0.45</v>
      </c>
      <c r="D112" s="1">
        <v>39.17</v>
      </c>
      <c r="E112" t="s">
        <v>162</v>
      </c>
      <c r="F112" t="s">
        <v>141</v>
      </c>
      <c r="G112" t="s">
        <v>11</v>
      </c>
      <c r="H112" s="2">
        <v>45809</v>
      </c>
      <c r="I112">
        <v>1</v>
      </c>
      <c r="J112" s="3">
        <v>45997</v>
      </c>
      <c r="K112">
        <v>230</v>
      </c>
      <c r="L112" t="s">
        <v>13</v>
      </c>
    </row>
    <row r="113" spans="1:12" x14ac:dyDescent="0.35">
      <c r="A113" s="4">
        <v>246779412038</v>
      </c>
      <c r="B113" s="3">
        <v>45733</v>
      </c>
      <c r="C113" s="1">
        <v>0.67</v>
      </c>
      <c r="D113" s="1">
        <v>58.32</v>
      </c>
      <c r="E113" t="s">
        <v>163</v>
      </c>
      <c r="F113" t="s">
        <v>141</v>
      </c>
      <c r="G113" t="s">
        <v>11</v>
      </c>
      <c r="H113" s="2">
        <v>45809</v>
      </c>
      <c r="I113">
        <v>1</v>
      </c>
      <c r="J113" s="3">
        <v>45997</v>
      </c>
      <c r="K113">
        <v>230</v>
      </c>
      <c r="L113" t="s">
        <v>13</v>
      </c>
    </row>
    <row r="114" spans="1:12" x14ac:dyDescent="0.35">
      <c r="A114" s="4">
        <v>246779411909</v>
      </c>
      <c r="B114" s="3">
        <v>45733</v>
      </c>
      <c r="C114" s="1">
        <v>0.56999999999999995</v>
      </c>
      <c r="D114" s="1">
        <v>49.61</v>
      </c>
      <c r="E114" t="s">
        <v>164</v>
      </c>
      <c r="F114" t="s">
        <v>141</v>
      </c>
      <c r="G114" t="s">
        <v>11</v>
      </c>
      <c r="H114" s="2">
        <v>45809</v>
      </c>
      <c r="I114">
        <v>1</v>
      </c>
      <c r="J114" s="3">
        <v>45997</v>
      </c>
      <c r="K114">
        <v>230</v>
      </c>
      <c r="L114" t="s">
        <v>13</v>
      </c>
    </row>
    <row r="115" spans="1:12" x14ac:dyDescent="0.35">
      <c r="A115" s="4">
        <v>246779412042</v>
      </c>
      <c r="B115" s="3">
        <v>45733</v>
      </c>
      <c r="C115" s="1">
        <v>0.34</v>
      </c>
      <c r="D115" s="1">
        <v>29.59</v>
      </c>
      <c r="E115" t="s">
        <v>165</v>
      </c>
      <c r="F115" t="s">
        <v>141</v>
      </c>
      <c r="G115" t="s">
        <v>11</v>
      </c>
      <c r="H115" s="2">
        <v>45809</v>
      </c>
      <c r="I115">
        <v>1</v>
      </c>
      <c r="J115" s="3">
        <v>45997</v>
      </c>
      <c r="K115">
        <v>230</v>
      </c>
      <c r="L115" t="s">
        <v>13</v>
      </c>
    </row>
    <row r="116" spans="1:12" x14ac:dyDescent="0.35">
      <c r="A116" s="4">
        <v>246779411900</v>
      </c>
      <c r="B116" s="3">
        <v>45733</v>
      </c>
      <c r="C116" s="1">
        <v>1.48</v>
      </c>
      <c r="D116" s="1">
        <v>128.82</v>
      </c>
      <c r="E116" t="s">
        <v>166</v>
      </c>
      <c r="F116" t="s">
        <v>141</v>
      </c>
      <c r="G116" t="s">
        <v>11</v>
      </c>
      <c r="H116" s="2">
        <v>45809</v>
      </c>
      <c r="I116">
        <v>1</v>
      </c>
      <c r="J116" s="3">
        <v>45997</v>
      </c>
      <c r="K116">
        <v>230</v>
      </c>
      <c r="L116" t="s">
        <v>13</v>
      </c>
    </row>
    <row r="117" spans="1:12" x14ac:dyDescent="0.35">
      <c r="A117" s="4">
        <v>246779412048</v>
      </c>
      <c r="B117" s="3">
        <v>45733</v>
      </c>
      <c r="C117" s="1">
        <v>0.46</v>
      </c>
      <c r="D117" s="1">
        <v>40.04</v>
      </c>
      <c r="E117" t="s">
        <v>167</v>
      </c>
      <c r="F117" t="s">
        <v>141</v>
      </c>
      <c r="G117" t="s">
        <v>11</v>
      </c>
      <c r="H117" s="2">
        <v>45809</v>
      </c>
      <c r="I117">
        <v>1</v>
      </c>
      <c r="J117" s="3">
        <v>45997</v>
      </c>
      <c r="K117">
        <v>230</v>
      </c>
      <c r="L117" t="s">
        <v>13</v>
      </c>
    </row>
    <row r="118" spans="1:12" x14ac:dyDescent="0.35">
      <c r="A118" s="4">
        <v>246779412046</v>
      </c>
      <c r="B118" s="3">
        <v>45733</v>
      </c>
      <c r="C118" s="1">
        <v>0.34</v>
      </c>
      <c r="D118" s="1">
        <v>29.59</v>
      </c>
      <c r="E118" t="s">
        <v>168</v>
      </c>
      <c r="F118" t="s">
        <v>141</v>
      </c>
      <c r="G118" t="s">
        <v>11</v>
      </c>
      <c r="H118" s="2">
        <v>45809</v>
      </c>
      <c r="I118">
        <v>1</v>
      </c>
      <c r="J118" s="3">
        <v>45997</v>
      </c>
      <c r="K118">
        <v>230</v>
      </c>
      <c r="L118" t="s">
        <v>13</v>
      </c>
    </row>
    <row r="119" spans="1:12" x14ac:dyDescent="0.35">
      <c r="A119" s="4">
        <v>246779411597</v>
      </c>
      <c r="B119" s="3">
        <v>45733</v>
      </c>
      <c r="C119" s="1">
        <v>1.1499999999999999</v>
      </c>
      <c r="D119" s="1">
        <v>100.1</v>
      </c>
      <c r="E119" t="s">
        <v>169</v>
      </c>
      <c r="F119" t="s">
        <v>141</v>
      </c>
      <c r="G119" t="s">
        <v>11</v>
      </c>
      <c r="H119" s="2">
        <v>45809</v>
      </c>
      <c r="I119">
        <v>1</v>
      </c>
      <c r="J119" s="3">
        <v>45997</v>
      </c>
      <c r="K119">
        <v>230</v>
      </c>
      <c r="L119" t="s">
        <v>13</v>
      </c>
    </row>
    <row r="120" spans="1:12" x14ac:dyDescent="0.35">
      <c r="A120" s="4">
        <v>246779411637</v>
      </c>
      <c r="B120" s="3">
        <v>45733</v>
      </c>
      <c r="C120" s="1">
        <v>8.59</v>
      </c>
      <c r="D120" s="1">
        <v>747.69</v>
      </c>
      <c r="E120" t="s">
        <v>170</v>
      </c>
      <c r="F120" t="s">
        <v>141</v>
      </c>
      <c r="G120" t="s">
        <v>11</v>
      </c>
      <c r="H120" s="2">
        <v>45809</v>
      </c>
      <c r="I120">
        <v>1</v>
      </c>
      <c r="J120" s="3">
        <v>45997</v>
      </c>
      <c r="K120">
        <v>230</v>
      </c>
      <c r="L120" t="s">
        <v>13</v>
      </c>
    </row>
    <row r="121" spans="1:12" x14ac:dyDescent="0.35">
      <c r="A121" s="4">
        <v>246779411721</v>
      </c>
      <c r="B121" s="3">
        <v>45733</v>
      </c>
      <c r="C121" s="1">
        <v>10.51</v>
      </c>
      <c r="D121" s="1">
        <v>914.82</v>
      </c>
      <c r="E121" t="s">
        <v>171</v>
      </c>
      <c r="F121" t="s">
        <v>141</v>
      </c>
      <c r="G121" t="s">
        <v>11</v>
      </c>
      <c r="H121" s="2">
        <v>45809</v>
      </c>
      <c r="I121">
        <v>1</v>
      </c>
      <c r="J121" s="3">
        <v>45997</v>
      </c>
      <c r="K121">
        <v>230</v>
      </c>
      <c r="L121" t="s">
        <v>13</v>
      </c>
    </row>
    <row r="122" spans="1:12" x14ac:dyDescent="0.35">
      <c r="A122" s="4">
        <v>246779411720</v>
      </c>
      <c r="B122" s="3">
        <v>45733</v>
      </c>
      <c r="C122" s="1">
        <v>0.34</v>
      </c>
      <c r="D122" s="1">
        <v>29.59</v>
      </c>
      <c r="E122" t="s">
        <v>172</v>
      </c>
      <c r="F122" t="s">
        <v>141</v>
      </c>
      <c r="G122" t="s">
        <v>11</v>
      </c>
      <c r="H122" s="2">
        <v>45809</v>
      </c>
      <c r="I122">
        <v>1</v>
      </c>
      <c r="J122" s="3">
        <v>45997</v>
      </c>
      <c r="K122">
        <v>230</v>
      </c>
      <c r="L122" t="s">
        <v>13</v>
      </c>
    </row>
    <row r="123" spans="1:12" x14ac:dyDescent="0.35">
      <c r="A123" s="4">
        <v>246779412043</v>
      </c>
      <c r="B123" s="3">
        <v>45733</v>
      </c>
      <c r="C123" s="1">
        <v>0.34</v>
      </c>
      <c r="D123" s="1">
        <v>29.59</v>
      </c>
      <c r="E123" t="s">
        <v>173</v>
      </c>
      <c r="F123" t="s">
        <v>141</v>
      </c>
      <c r="G123" t="s">
        <v>11</v>
      </c>
      <c r="H123" s="2">
        <v>45809</v>
      </c>
      <c r="I123">
        <v>1</v>
      </c>
      <c r="J123" s="3">
        <v>45997</v>
      </c>
      <c r="K123">
        <v>230</v>
      </c>
      <c r="L123" t="s">
        <v>13</v>
      </c>
    </row>
    <row r="124" spans="1:12" x14ac:dyDescent="0.35">
      <c r="A124" s="4">
        <v>246779411718</v>
      </c>
      <c r="B124" s="3">
        <v>45733</v>
      </c>
      <c r="C124" s="1">
        <v>0.46</v>
      </c>
      <c r="D124" s="1">
        <v>40.04</v>
      </c>
      <c r="E124" t="s">
        <v>174</v>
      </c>
      <c r="F124" t="s">
        <v>141</v>
      </c>
      <c r="G124" t="s">
        <v>11</v>
      </c>
      <c r="H124" s="2">
        <v>45809</v>
      </c>
      <c r="I124">
        <v>1</v>
      </c>
      <c r="J124" s="3">
        <v>45997</v>
      </c>
      <c r="K124">
        <v>230</v>
      </c>
      <c r="L124" t="s">
        <v>13</v>
      </c>
    </row>
    <row r="125" spans="1:12" x14ac:dyDescent="0.35">
      <c r="A125" s="4">
        <v>246779411896</v>
      </c>
      <c r="B125" s="3">
        <v>45733</v>
      </c>
      <c r="C125" s="1">
        <v>0.8</v>
      </c>
      <c r="D125" s="1">
        <v>69.63</v>
      </c>
      <c r="E125" t="s">
        <v>175</v>
      </c>
      <c r="F125" t="s">
        <v>141</v>
      </c>
      <c r="G125" t="s">
        <v>11</v>
      </c>
      <c r="H125" s="2">
        <v>45809</v>
      </c>
      <c r="I125">
        <v>1</v>
      </c>
      <c r="J125" s="3">
        <v>45997</v>
      </c>
      <c r="K125">
        <v>230</v>
      </c>
      <c r="L125" t="s">
        <v>13</v>
      </c>
    </row>
    <row r="126" spans="1:12" x14ac:dyDescent="0.35">
      <c r="A126" s="4">
        <v>246779411738</v>
      </c>
      <c r="B126" s="3">
        <v>45733</v>
      </c>
      <c r="C126" s="1">
        <v>0.56999999999999995</v>
      </c>
      <c r="D126" s="1">
        <v>49.61</v>
      </c>
      <c r="E126" t="s">
        <v>176</v>
      </c>
      <c r="F126" t="s">
        <v>141</v>
      </c>
      <c r="G126" t="s">
        <v>11</v>
      </c>
      <c r="H126" s="2">
        <v>45809</v>
      </c>
      <c r="I126">
        <v>1</v>
      </c>
      <c r="J126" s="3">
        <v>45997</v>
      </c>
      <c r="K126">
        <v>230</v>
      </c>
      <c r="L126" t="s">
        <v>13</v>
      </c>
    </row>
    <row r="127" spans="1:12" x14ac:dyDescent="0.35">
      <c r="A127" s="4">
        <v>246779411598</v>
      </c>
      <c r="B127" s="3">
        <v>45733</v>
      </c>
      <c r="C127" s="1">
        <v>1.83</v>
      </c>
      <c r="D127" s="1">
        <v>159.29</v>
      </c>
      <c r="E127" t="s">
        <v>177</v>
      </c>
      <c r="F127" t="s">
        <v>141</v>
      </c>
      <c r="G127" t="s">
        <v>11</v>
      </c>
      <c r="H127" s="2">
        <v>45809</v>
      </c>
      <c r="I127">
        <v>1</v>
      </c>
      <c r="J127" s="3">
        <v>45997</v>
      </c>
      <c r="K127">
        <v>230</v>
      </c>
      <c r="L127" t="s">
        <v>13</v>
      </c>
    </row>
    <row r="128" spans="1:12" x14ac:dyDescent="0.35">
      <c r="A128" s="4">
        <v>246779411903</v>
      </c>
      <c r="B128" s="3">
        <v>45733</v>
      </c>
      <c r="C128" s="1">
        <v>7.0000000000000007E-2</v>
      </c>
      <c r="D128" s="1">
        <v>6.09</v>
      </c>
      <c r="E128" t="s">
        <v>178</v>
      </c>
      <c r="F128" t="s">
        <v>141</v>
      </c>
      <c r="G128" t="s">
        <v>11</v>
      </c>
      <c r="H128" s="2">
        <v>45809</v>
      </c>
      <c r="I128">
        <v>1</v>
      </c>
      <c r="J128" s="3">
        <v>45997</v>
      </c>
      <c r="K128">
        <v>230</v>
      </c>
      <c r="L128" t="s">
        <v>13</v>
      </c>
    </row>
    <row r="129" spans="1:12" x14ac:dyDescent="0.35">
      <c r="A129" s="4">
        <v>246779411593</v>
      </c>
      <c r="B129" s="3">
        <v>45733</v>
      </c>
      <c r="C129" s="1">
        <v>0.8</v>
      </c>
      <c r="D129" s="1">
        <v>69.63</v>
      </c>
      <c r="E129" t="s">
        <v>179</v>
      </c>
      <c r="F129" t="s">
        <v>141</v>
      </c>
      <c r="G129" t="s">
        <v>11</v>
      </c>
      <c r="H129" s="2">
        <v>45809</v>
      </c>
      <c r="I129">
        <v>1</v>
      </c>
      <c r="J129" s="3">
        <v>45997</v>
      </c>
      <c r="K129">
        <v>230</v>
      </c>
      <c r="L129" t="s">
        <v>13</v>
      </c>
    </row>
    <row r="130" spans="1:12" x14ac:dyDescent="0.35">
      <c r="A130" s="4">
        <v>246779411915</v>
      </c>
      <c r="B130" s="3">
        <v>45733</v>
      </c>
      <c r="C130" s="1">
        <v>0.46</v>
      </c>
      <c r="D130" s="1">
        <v>40.04</v>
      </c>
      <c r="E130" t="s">
        <v>180</v>
      </c>
      <c r="F130" t="s">
        <v>141</v>
      </c>
      <c r="G130" t="s">
        <v>11</v>
      </c>
      <c r="H130" s="2">
        <v>45809</v>
      </c>
      <c r="I130">
        <v>1</v>
      </c>
      <c r="J130" s="3">
        <v>45997</v>
      </c>
      <c r="K130">
        <v>230</v>
      </c>
      <c r="L130" t="s">
        <v>13</v>
      </c>
    </row>
    <row r="131" spans="1:12" x14ac:dyDescent="0.35">
      <c r="A131" s="4">
        <v>246779411739</v>
      </c>
      <c r="B131" s="3">
        <v>45733</v>
      </c>
      <c r="C131" s="1">
        <v>0.69</v>
      </c>
      <c r="D131" s="1">
        <v>60.06</v>
      </c>
      <c r="E131" t="s">
        <v>181</v>
      </c>
      <c r="F131" t="s">
        <v>141</v>
      </c>
      <c r="G131" t="s">
        <v>11</v>
      </c>
      <c r="H131" s="2">
        <v>45809</v>
      </c>
      <c r="I131">
        <v>1</v>
      </c>
      <c r="J131" s="3">
        <v>45997</v>
      </c>
      <c r="K131">
        <v>230</v>
      </c>
      <c r="L131" t="s">
        <v>13</v>
      </c>
    </row>
    <row r="132" spans="1:12" x14ac:dyDescent="0.35">
      <c r="A132" s="4">
        <v>246779412040</v>
      </c>
      <c r="B132" s="3">
        <v>45733</v>
      </c>
      <c r="C132" s="1">
        <v>0.34</v>
      </c>
      <c r="D132" s="1">
        <v>29.59</v>
      </c>
      <c r="E132" t="s">
        <v>182</v>
      </c>
      <c r="F132" t="s">
        <v>141</v>
      </c>
      <c r="G132" t="s">
        <v>11</v>
      </c>
      <c r="H132" s="2">
        <v>45809</v>
      </c>
      <c r="I132">
        <v>1</v>
      </c>
      <c r="J132" s="3">
        <v>45997</v>
      </c>
      <c r="K132">
        <v>230</v>
      </c>
      <c r="L132" t="s">
        <v>13</v>
      </c>
    </row>
    <row r="133" spans="1:12" x14ac:dyDescent="0.35">
      <c r="A133" s="4">
        <v>246779412045</v>
      </c>
      <c r="B133" s="3">
        <v>45733</v>
      </c>
      <c r="C133" s="1">
        <v>4.5999999999999996</v>
      </c>
      <c r="D133" s="1">
        <v>400.4</v>
      </c>
      <c r="E133" t="s">
        <v>183</v>
      </c>
      <c r="F133" t="s">
        <v>141</v>
      </c>
      <c r="G133" t="s">
        <v>11</v>
      </c>
      <c r="H133" s="2">
        <v>45809</v>
      </c>
      <c r="I133">
        <v>1</v>
      </c>
      <c r="J133" s="3">
        <v>45997</v>
      </c>
      <c r="K133">
        <v>230</v>
      </c>
      <c r="L133" t="s">
        <v>13</v>
      </c>
    </row>
    <row r="134" spans="1:12" x14ac:dyDescent="0.35">
      <c r="A134" s="4">
        <v>246779411596</v>
      </c>
      <c r="B134" s="3">
        <v>45733</v>
      </c>
      <c r="C134" s="1">
        <v>1.49</v>
      </c>
      <c r="D134" s="1">
        <v>129.69</v>
      </c>
      <c r="E134" t="s">
        <v>184</v>
      </c>
      <c r="F134" t="s">
        <v>141</v>
      </c>
      <c r="G134" t="s">
        <v>11</v>
      </c>
      <c r="H134" s="2">
        <v>45809</v>
      </c>
      <c r="I134">
        <v>1</v>
      </c>
      <c r="J134" s="3">
        <v>45997</v>
      </c>
      <c r="K134">
        <v>230</v>
      </c>
      <c r="L134" t="s">
        <v>13</v>
      </c>
    </row>
    <row r="135" spans="1:12" x14ac:dyDescent="0.35">
      <c r="A135" s="4">
        <v>246779411733</v>
      </c>
      <c r="B135" s="3">
        <v>45733</v>
      </c>
      <c r="C135" s="1">
        <v>0.34</v>
      </c>
      <c r="D135" s="1">
        <v>29.59</v>
      </c>
      <c r="E135" t="s">
        <v>185</v>
      </c>
      <c r="F135" t="s">
        <v>141</v>
      </c>
      <c r="G135" t="s">
        <v>11</v>
      </c>
      <c r="H135" s="2">
        <v>45809</v>
      </c>
      <c r="I135">
        <v>1</v>
      </c>
      <c r="J135" s="3">
        <v>45997</v>
      </c>
      <c r="K135">
        <v>230</v>
      </c>
      <c r="L135" t="s">
        <v>13</v>
      </c>
    </row>
    <row r="136" spans="1:12" x14ac:dyDescent="0.35">
      <c r="A136" s="4">
        <v>246779411594</v>
      </c>
      <c r="B136" s="3">
        <v>45733</v>
      </c>
      <c r="C136" s="1">
        <v>0.34</v>
      </c>
      <c r="D136" s="1">
        <v>29.59</v>
      </c>
      <c r="E136" t="s">
        <v>186</v>
      </c>
      <c r="F136" t="s">
        <v>141</v>
      </c>
      <c r="G136" t="s">
        <v>11</v>
      </c>
      <c r="H136" s="2">
        <v>45809</v>
      </c>
      <c r="I136">
        <v>1</v>
      </c>
      <c r="J136" s="3">
        <v>45997</v>
      </c>
      <c r="K136">
        <v>230</v>
      </c>
      <c r="L136" t="s">
        <v>13</v>
      </c>
    </row>
    <row r="137" spans="1:12" x14ac:dyDescent="0.35">
      <c r="A137" s="4">
        <v>246779411734</v>
      </c>
      <c r="B137" s="3">
        <v>45733</v>
      </c>
      <c r="C137" s="1">
        <v>0.46</v>
      </c>
      <c r="D137" s="1">
        <v>40.04</v>
      </c>
      <c r="E137" t="s">
        <v>187</v>
      </c>
      <c r="F137" t="s">
        <v>141</v>
      </c>
      <c r="G137" t="s">
        <v>11</v>
      </c>
      <c r="H137" s="2">
        <v>45809</v>
      </c>
      <c r="I137">
        <v>1</v>
      </c>
      <c r="J137" s="3">
        <v>45997</v>
      </c>
      <c r="K137">
        <v>230</v>
      </c>
      <c r="L137" t="s">
        <v>13</v>
      </c>
    </row>
    <row r="138" spans="1:12" x14ac:dyDescent="0.35">
      <c r="A138" s="4">
        <v>246779411741</v>
      </c>
      <c r="B138" s="3">
        <v>45733</v>
      </c>
      <c r="C138" s="1">
        <v>4.8</v>
      </c>
      <c r="D138" s="1">
        <v>417.8</v>
      </c>
      <c r="E138" t="s">
        <v>188</v>
      </c>
      <c r="F138" t="s">
        <v>141</v>
      </c>
      <c r="G138" t="s">
        <v>11</v>
      </c>
      <c r="H138" s="2">
        <v>45809</v>
      </c>
      <c r="I138">
        <v>1</v>
      </c>
      <c r="J138" s="3">
        <v>45997</v>
      </c>
      <c r="K138">
        <v>230</v>
      </c>
      <c r="L138" t="s">
        <v>13</v>
      </c>
    </row>
    <row r="139" spans="1:12" x14ac:dyDescent="0.35">
      <c r="A139" s="4">
        <v>246779411902</v>
      </c>
      <c r="B139" s="3">
        <v>45733</v>
      </c>
      <c r="C139" s="1">
        <v>0.04</v>
      </c>
      <c r="D139" s="1">
        <v>3.48</v>
      </c>
      <c r="E139" t="s">
        <v>189</v>
      </c>
      <c r="F139" t="s">
        <v>141</v>
      </c>
      <c r="G139" t="s">
        <v>11</v>
      </c>
      <c r="H139" s="2">
        <v>45809</v>
      </c>
      <c r="I139">
        <v>1</v>
      </c>
      <c r="J139" s="3">
        <v>45997</v>
      </c>
      <c r="K139">
        <v>230</v>
      </c>
      <c r="L139" t="s">
        <v>13</v>
      </c>
    </row>
    <row r="140" spans="1:12" x14ac:dyDescent="0.35">
      <c r="A140" s="4">
        <v>246779411910</v>
      </c>
      <c r="B140" s="3">
        <v>45733</v>
      </c>
      <c r="C140" s="1">
        <v>0.56999999999999995</v>
      </c>
      <c r="D140" s="1">
        <v>49.61</v>
      </c>
      <c r="E140" t="s">
        <v>190</v>
      </c>
      <c r="F140" t="s">
        <v>141</v>
      </c>
      <c r="G140" t="s">
        <v>11</v>
      </c>
      <c r="H140" s="2">
        <v>45809</v>
      </c>
      <c r="I140">
        <v>1</v>
      </c>
      <c r="J140" s="3">
        <v>45997</v>
      </c>
      <c r="K140">
        <v>230</v>
      </c>
      <c r="L140" t="s">
        <v>13</v>
      </c>
    </row>
    <row r="141" spans="1:12" x14ac:dyDescent="0.35">
      <c r="A141" s="4">
        <v>246779411600</v>
      </c>
      <c r="B141" s="3">
        <v>45733</v>
      </c>
      <c r="C141" s="1">
        <v>0.05</v>
      </c>
      <c r="D141" s="1">
        <v>4.3499999999999996</v>
      </c>
      <c r="E141" t="s">
        <v>191</v>
      </c>
      <c r="F141" t="s">
        <v>141</v>
      </c>
      <c r="G141" t="s">
        <v>11</v>
      </c>
      <c r="H141" s="2">
        <v>45809</v>
      </c>
      <c r="I141">
        <v>1</v>
      </c>
      <c r="J141" s="3">
        <v>45997</v>
      </c>
      <c r="K141">
        <v>230</v>
      </c>
      <c r="L141" t="s">
        <v>13</v>
      </c>
    </row>
    <row r="142" spans="1:12" x14ac:dyDescent="0.35">
      <c r="A142" s="4">
        <v>246779411907</v>
      </c>
      <c r="B142" s="3">
        <v>45733</v>
      </c>
      <c r="C142" s="1">
        <v>0.34</v>
      </c>
      <c r="D142" s="1">
        <v>29.59</v>
      </c>
      <c r="E142" t="s">
        <v>192</v>
      </c>
      <c r="F142" t="s">
        <v>141</v>
      </c>
      <c r="G142" t="s">
        <v>11</v>
      </c>
      <c r="H142" s="2">
        <v>45809</v>
      </c>
      <c r="I142">
        <v>1</v>
      </c>
      <c r="J142" s="3">
        <v>45997</v>
      </c>
      <c r="K142">
        <v>230</v>
      </c>
      <c r="L142" t="s">
        <v>13</v>
      </c>
    </row>
    <row r="143" spans="1:12" x14ac:dyDescent="0.35">
      <c r="A143" s="4">
        <v>246779412044</v>
      </c>
      <c r="B143" s="3">
        <v>45733</v>
      </c>
      <c r="C143" s="1">
        <v>0.61</v>
      </c>
      <c r="D143" s="1">
        <v>53.1</v>
      </c>
      <c r="E143" t="s">
        <v>193</v>
      </c>
      <c r="F143" t="s">
        <v>141</v>
      </c>
      <c r="G143" t="s">
        <v>11</v>
      </c>
      <c r="H143" s="2">
        <v>45809</v>
      </c>
      <c r="I143">
        <v>1</v>
      </c>
      <c r="J143" s="3">
        <v>45997</v>
      </c>
      <c r="K143">
        <v>230</v>
      </c>
      <c r="L143" t="s">
        <v>13</v>
      </c>
    </row>
    <row r="144" spans="1:12" x14ac:dyDescent="0.35">
      <c r="A144" s="4">
        <v>246779411724</v>
      </c>
      <c r="B144" s="3">
        <v>45733</v>
      </c>
      <c r="C144" s="1">
        <v>1.37</v>
      </c>
      <c r="D144" s="1">
        <v>119.25</v>
      </c>
      <c r="E144" t="s">
        <v>194</v>
      </c>
      <c r="F144" t="s">
        <v>141</v>
      </c>
      <c r="G144" t="s">
        <v>11</v>
      </c>
      <c r="H144" s="2">
        <v>45809</v>
      </c>
      <c r="I144">
        <v>1</v>
      </c>
      <c r="J144" s="3">
        <v>45997</v>
      </c>
      <c r="K144">
        <v>230</v>
      </c>
      <c r="L144" t="s">
        <v>13</v>
      </c>
    </row>
    <row r="145" spans="1:12" x14ac:dyDescent="0.35">
      <c r="A145" s="4">
        <v>246779411726</v>
      </c>
      <c r="B145" s="3">
        <v>45733</v>
      </c>
      <c r="C145" s="1">
        <v>0.56999999999999995</v>
      </c>
      <c r="D145" s="1">
        <v>49.61</v>
      </c>
      <c r="E145" t="s">
        <v>195</v>
      </c>
      <c r="F145" t="s">
        <v>141</v>
      </c>
      <c r="G145" t="s">
        <v>11</v>
      </c>
      <c r="H145" s="2">
        <v>45809</v>
      </c>
      <c r="I145">
        <v>1</v>
      </c>
      <c r="J145" s="3">
        <v>45997</v>
      </c>
      <c r="K145">
        <v>230</v>
      </c>
      <c r="L145" t="s">
        <v>13</v>
      </c>
    </row>
    <row r="146" spans="1:12" x14ac:dyDescent="0.35">
      <c r="A146" s="4">
        <v>246779411599</v>
      </c>
      <c r="B146" s="3">
        <v>45733</v>
      </c>
      <c r="C146" s="1">
        <v>0.76</v>
      </c>
      <c r="D146" s="1">
        <v>66.150000000000006</v>
      </c>
      <c r="E146" t="s">
        <v>196</v>
      </c>
      <c r="F146" t="s">
        <v>141</v>
      </c>
      <c r="G146" t="s">
        <v>11</v>
      </c>
      <c r="H146" s="2">
        <v>45809</v>
      </c>
      <c r="I146">
        <v>1</v>
      </c>
      <c r="J146" s="3">
        <v>45997</v>
      </c>
      <c r="K146">
        <v>230</v>
      </c>
      <c r="L146" t="s">
        <v>13</v>
      </c>
    </row>
    <row r="147" spans="1:12" x14ac:dyDescent="0.35">
      <c r="A147" s="4">
        <v>246779411735</v>
      </c>
      <c r="B147" s="3">
        <v>45733</v>
      </c>
      <c r="C147" s="1">
        <v>9.59</v>
      </c>
      <c r="D147" s="1">
        <v>834.74</v>
      </c>
      <c r="E147" t="s">
        <v>197</v>
      </c>
      <c r="F147" t="s">
        <v>141</v>
      </c>
      <c r="G147" t="s">
        <v>11</v>
      </c>
      <c r="H147" s="2">
        <v>45809</v>
      </c>
      <c r="I147">
        <v>1</v>
      </c>
      <c r="J147" s="3">
        <v>45997</v>
      </c>
      <c r="K147">
        <v>230</v>
      </c>
      <c r="L147" t="s">
        <v>13</v>
      </c>
    </row>
    <row r="148" spans="1:12" x14ac:dyDescent="0.35">
      <c r="A148" s="4">
        <v>246779411725</v>
      </c>
      <c r="B148" s="3">
        <v>45733</v>
      </c>
      <c r="C148" s="1">
        <v>0.46</v>
      </c>
      <c r="D148" s="1">
        <v>40.04</v>
      </c>
      <c r="E148" t="s">
        <v>198</v>
      </c>
      <c r="F148" t="s">
        <v>141</v>
      </c>
      <c r="G148" t="s">
        <v>11</v>
      </c>
      <c r="H148" s="2">
        <v>45809</v>
      </c>
      <c r="I148">
        <v>1</v>
      </c>
      <c r="J148" s="3">
        <v>45997</v>
      </c>
      <c r="K148">
        <v>230</v>
      </c>
      <c r="L148" t="s">
        <v>13</v>
      </c>
    </row>
    <row r="149" spans="1:12" x14ac:dyDescent="0.35">
      <c r="A149" s="4">
        <v>246779411911</v>
      </c>
      <c r="B149" s="3">
        <v>45733</v>
      </c>
      <c r="C149" s="1">
        <v>0.6</v>
      </c>
      <c r="D149" s="1">
        <v>52.23</v>
      </c>
      <c r="E149" t="s">
        <v>199</v>
      </c>
      <c r="F149" t="s">
        <v>141</v>
      </c>
      <c r="G149" t="s">
        <v>11</v>
      </c>
      <c r="H149" s="2">
        <v>45809</v>
      </c>
      <c r="I149">
        <v>1</v>
      </c>
      <c r="J149" s="3">
        <v>45997</v>
      </c>
      <c r="K149">
        <v>230</v>
      </c>
      <c r="L149" t="s">
        <v>13</v>
      </c>
    </row>
    <row r="150" spans="1:12" x14ac:dyDescent="0.35">
      <c r="A150" s="4">
        <v>246779411901</v>
      </c>
      <c r="B150" s="3">
        <v>45733</v>
      </c>
      <c r="C150" s="1">
        <v>0.26</v>
      </c>
      <c r="D150" s="1">
        <v>22.63</v>
      </c>
      <c r="E150" t="s">
        <v>200</v>
      </c>
      <c r="F150" t="s">
        <v>141</v>
      </c>
      <c r="G150" t="s">
        <v>11</v>
      </c>
      <c r="H150" s="2">
        <v>45809</v>
      </c>
      <c r="I150">
        <v>1</v>
      </c>
      <c r="J150" s="3">
        <v>45997</v>
      </c>
      <c r="K150">
        <v>230</v>
      </c>
      <c r="L150" t="s">
        <v>13</v>
      </c>
    </row>
    <row r="151" spans="1:12" x14ac:dyDescent="0.35">
      <c r="A151" s="4">
        <v>246779411905</v>
      </c>
      <c r="B151" s="3">
        <v>45733</v>
      </c>
      <c r="C151" s="1">
        <v>0.14000000000000001</v>
      </c>
      <c r="D151" s="1">
        <v>12.19</v>
      </c>
      <c r="E151" t="s">
        <v>201</v>
      </c>
      <c r="F151" t="s">
        <v>141</v>
      </c>
      <c r="G151" t="s">
        <v>11</v>
      </c>
      <c r="H151" s="2">
        <v>45809</v>
      </c>
      <c r="I151">
        <v>1</v>
      </c>
      <c r="J151" s="3">
        <v>45997</v>
      </c>
      <c r="K151">
        <v>230</v>
      </c>
      <c r="L151" t="s">
        <v>13</v>
      </c>
    </row>
    <row r="152" spans="1:12" x14ac:dyDescent="0.35">
      <c r="A152" s="4">
        <v>246779411731</v>
      </c>
      <c r="B152" s="3">
        <v>45733</v>
      </c>
      <c r="C152" s="1">
        <v>0.46</v>
      </c>
      <c r="D152" s="1">
        <v>40.04</v>
      </c>
      <c r="E152" t="s">
        <v>202</v>
      </c>
      <c r="F152" t="s">
        <v>141</v>
      </c>
      <c r="G152" t="s">
        <v>11</v>
      </c>
      <c r="H152" s="2">
        <v>45809</v>
      </c>
      <c r="I152">
        <v>1</v>
      </c>
      <c r="J152" s="3">
        <v>45997</v>
      </c>
      <c r="K152">
        <v>230</v>
      </c>
      <c r="L152" t="s">
        <v>13</v>
      </c>
    </row>
    <row r="153" spans="1:12" x14ac:dyDescent="0.35">
      <c r="A153" s="4">
        <v>246779411719</v>
      </c>
      <c r="B153" s="3">
        <v>45733</v>
      </c>
      <c r="C153" s="1">
        <v>0.56999999999999995</v>
      </c>
      <c r="D153" s="1">
        <v>49.61</v>
      </c>
      <c r="E153" t="s">
        <v>203</v>
      </c>
      <c r="F153" t="s">
        <v>141</v>
      </c>
      <c r="G153" t="s">
        <v>11</v>
      </c>
      <c r="H153" s="2">
        <v>45809</v>
      </c>
      <c r="I153">
        <v>1</v>
      </c>
      <c r="J153" s="3">
        <v>45997</v>
      </c>
      <c r="K153">
        <v>230</v>
      </c>
      <c r="L153" t="s">
        <v>13</v>
      </c>
    </row>
    <row r="154" spans="1:12" x14ac:dyDescent="0.35">
      <c r="A154" s="4">
        <v>246779411906</v>
      </c>
      <c r="B154" s="3">
        <v>45733</v>
      </c>
      <c r="C154" s="1">
        <v>0.68</v>
      </c>
      <c r="D154" s="1">
        <v>59.19</v>
      </c>
      <c r="E154" t="s">
        <v>204</v>
      </c>
      <c r="F154" t="s">
        <v>141</v>
      </c>
      <c r="G154" t="s">
        <v>11</v>
      </c>
      <c r="H154" s="2">
        <v>45809</v>
      </c>
      <c r="I154">
        <v>1</v>
      </c>
      <c r="J154" s="3">
        <v>45997</v>
      </c>
      <c r="K154">
        <v>230</v>
      </c>
      <c r="L154" t="s">
        <v>13</v>
      </c>
    </row>
    <row r="155" spans="1:12" x14ac:dyDescent="0.35">
      <c r="A155" s="4">
        <v>246779411728</v>
      </c>
      <c r="B155" s="3">
        <v>45733</v>
      </c>
      <c r="C155" s="1">
        <v>0.23</v>
      </c>
      <c r="D155" s="1">
        <v>20.02</v>
      </c>
      <c r="E155" t="s">
        <v>205</v>
      </c>
      <c r="F155" t="s">
        <v>141</v>
      </c>
      <c r="G155" t="s">
        <v>11</v>
      </c>
      <c r="H155" s="2">
        <v>45809</v>
      </c>
      <c r="I155">
        <v>1</v>
      </c>
      <c r="J155" s="3">
        <v>45997</v>
      </c>
      <c r="K155">
        <v>230</v>
      </c>
      <c r="L155" t="s">
        <v>13</v>
      </c>
    </row>
    <row r="156" spans="1:12" x14ac:dyDescent="0.35">
      <c r="A156" s="4">
        <v>246779411904</v>
      </c>
      <c r="B156" s="3">
        <v>45733</v>
      </c>
      <c r="C156" s="1">
        <v>1.18</v>
      </c>
      <c r="D156" s="1">
        <v>102.71</v>
      </c>
      <c r="E156" t="s">
        <v>206</v>
      </c>
      <c r="F156" t="s">
        <v>141</v>
      </c>
      <c r="G156" t="s">
        <v>11</v>
      </c>
      <c r="H156" s="2">
        <v>45809</v>
      </c>
      <c r="I156">
        <v>1</v>
      </c>
      <c r="J156" s="3">
        <v>45997</v>
      </c>
      <c r="K156">
        <v>230</v>
      </c>
      <c r="L156" t="s">
        <v>13</v>
      </c>
    </row>
    <row r="157" spans="1:12" x14ac:dyDescent="0.35">
      <c r="A157" s="4">
        <v>246779411912</v>
      </c>
      <c r="B157" s="3">
        <v>45733</v>
      </c>
      <c r="C157" s="1">
        <v>0.23</v>
      </c>
      <c r="D157" s="1">
        <v>20.02</v>
      </c>
      <c r="E157" t="s">
        <v>207</v>
      </c>
      <c r="F157" t="s">
        <v>141</v>
      </c>
      <c r="G157" t="s">
        <v>11</v>
      </c>
      <c r="H157" s="2">
        <v>45809</v>
      </c>
      <c r="I157">
        <v>1</v>
      </c>
      <c r="J157" s="3">
        <v>45997</v>
      </c>
      <c r="K157">
        <v>230</v>
      </c>
      <c r="L157" t="s">
        <v>13</v>
      </c>
    </row>
    <row r="158" spans="1:12" x14ac:dyDescent="0.35">
      <c r="A158" s="4">
        <v>246779412032</v>
      </c>
      <c r="B158" s="3">
        <v>45733</v>
      </c>
      <c r="C158" s="1">
        <v>0.67</v>
      </c>
      <c r="D158" s="1">
        <v>58.32</v>
      </c>
      <c r="E158" t="s">
        <v>208</v>
      </c>
      <c r="F158" t="s">
        <v>141</v>
      </c>
      <c r="G158" t="s">
        <v>11</v>
      </c>
      <c r="H158" s="2">
        <v>45809</v>
      </c>
      <c r="I158">
        <v>1</v>
      </c>
      <c r="J158" s="3">
        <v>45997</v>
      </c>
      <c r="K158">
        <v>230</v>
      </c>
      <c r="L158" t="s">
        <v>13</v>
      </c>
    </row>
    <row r="159" spans="1:12" x14ac:dyDescent="0.35">
      <c r="A159" s="4">
        <v>246779412037</v>
      </c>
      <c r="B159" s="3">
        <v>45733</v>
      </c>
      <c r="C159" s="1">
        <v>0.9</v>
      </c>
      <c r="D159" s="1">
        <v>78.34</v>
      </c>
      <c r="E159" t="s">
        <v>209</v>
      </c>
      <c r="F159" t="s">
        <v>141</v>
      </c>
      <c r="G159" t="s">
        <v>11</v>
      </c>
      <c r="H159" s="2">
        <v>45809</v>
      </c>
      <c r="I159">
        <v>1</v>
      </c>
      <c r="J159" s="3">
        <v>45997</v>
      </c>
      <c r="K159">
        <v>230</v>
      </c>
      <c r="L159" t="s">
        <v>13</v>
      </c>
    </row>
    <row r="160" spans="1:12" x14ac:dyDescent="0.35">
      <c r="A160" s="4">
        <v>246779412030</v>
      </c>
      <c r="B160" s="3">
        <v>45733</v>
      </c>
      <c r="C160" s="1">
        <v>0.34</v>
      </c>
      <c r="D160" s="1">
        <v>29.59</v>
      </c>
      <c r="E160" t="s">
        <v>210</v>
      </c>
      <c r="F160" t="s">
        <v>141</v>
      </c>
      <c r="G160" t="s">
        <v>11</v>
      </c>
      <c r="H160" s="2">
        <v>45809</v>
      </c>
      <c r="I160">
        <v>1</v>
      </c>
      <c r="J160" s="3">
        <v>45997</v>
      </c>
      <c r="K160">
        <v>230</v>
      </c>
      <c r="L160" t="s">
        <v>13</v>
      </c>
    </row>
    <row r="161" spans="1:12" x14ac:dyDescent="0.35">
      <c r="A161" s="4">
        <v>246779412034</v>
      </c>
      <c r="B161" s="3">
        <v>45733</v>
      </c>
      <c r="C161" s="1">
        <v>0.67</v>
      </c>
      <c r="D161" s="1">
        <v>58.32</v>
      </c>
      <c r="E161" t="s">
        <v>211</v>
      </c>
      <c r="F161" t="s">
        <v>141</v>
      </c>
      <c r="G161" t="s">
        <v>11</v>
      </c>
      <c r="H161" s="2">
        <v>45809</v>
      </c>
      <c r="I161">
        <v>1</v>
      </c>
      <c r="J161" s="3">
        <v>45997</v>
      </c>
      <c r="K161">
        <v>230</v>
      </c>
      <c r="L161" t="s">
        <v>13</v>
      </c>
    </row>
    <row r="162" spans="1:12" x14ac:dyDescent="0.35">
      <c r="A162" s="4">
        <v>246779412039</v>
      </c>
      <c r="B162" s="3">
        <v>45733</v>
      </c>
      <c r="C162" s="1">
        <v>1.1200000000000001</v>
      </c>
      <c r="D162" s="1">
        <v>97.49</v>
      </c>
      <c r="E162" t="s">
        <v>212</v>
      </c>
      <c r="F162" t="s">
        <v>141</v>
      </c>
      <c r="G162" t="s">
        <v>11</v>
      </c>
      <c r="H162" s="2">
        <v>45809</v>
      </c>
      <c r="I162">
        <v>1</v>
      </c>
      <c r="J162" s="3">
        <v>45997</v>
      </c>
      <c r="K162">
        <v>230</v>
      </c>
      <c r="L162" t="s">
        <v>13</v>
      </c>
    </row>
    <row r="163" spans="1:12" x14ac:dyDescent="0.35">
      <c r="A163" s="4">
        <v>246779412036</v>
      </c>
      <c r="B163" s="3">
        <v>45733</v>
      </c>
      <c r="C163" s="1">
        <v>0.56000000000000005</v>
      </c>
      <c r="D163" s="1">
        <v>48.74</v>
      </c>
      <c r="E163" t="s">
        <v>213</v>
      </c>
      <c r="F163" t="s">
        <v>141</v>
      </c>
      <c r="G163" t="s">
        <v>11</v>
      </c>
      <c r="H163" s="2">
        <v>45809</v>
      </c>
      <c r="I163">
        <v>1</v>
      </c>
      <c r="J163" s="3">
        <v>45997</v>
      </c>
      <c r="K163">
        <v>230</v>
      </c>
      <c r="L163" t="s">
        <v>13</v>
      </c>
    </row>
    <row r="164" spans="1:12" x14ac:dyDescent="0.35">
      <c r="A164" s="4">
        <v>246779412028</v>
      </c>
      <c r="B164" s="3">
        <v>45733</v>
      </c>
      <c r="C164" s="1">
        <v>0.56000000000000005</v>
      </c>
      <c r="D164" s="1">
        <v>48.74</v>
      </c>
      <c r="E164" t="s">
        <v>214</v>
      </c>
      <c r="F164" t="s">
        <v>141</v>
      </c>
      <c r="G164" t="s">
        <v>11</v>
      </c>
      <c r="H164" s="2">
        <v>45809</v>
      </c>
      <c r="I164">
        <v>1</v>
      </c>
      <c r="J164" s="3">
        <v>45997</v>
      </c>
      <c r="K164">
        <v>230</v>
      </c>
      <c r="L164" t="s">
        <v>13</v>
      </c>
    </row>
    <row r="165" spans="1:12" x14ac:dyDescent="0.35">
      <c r="A165" s="4">
        <v>246779412031</v>
      </c>
      <c r="B165" s="3">
        <v>45733</v>
      </c>
      <c r="C165" s="1">
        <v>0.56000000000000005</v>
      </c>
      <c r="D165" s="1">
        <v>48.74</v>
      </c>
      <c r="E165" t="s">
        <v>215</v>
      </c>
      <c r="F165" t="s">
        <v>141</v>
      </c>
      <c r="G165" t="s">
        <v>11</v>
      </c>
      <c r="H165" s="2">
        <v>45809</v>
      </c>
      <c r="I165">
        <v>1</v>
      </c>
      <c r="J165" s="3">
        <v>45997</v>
      </c>
      <c r="K165">
        <v>230</v>
      </c>
      <c r="L165" t="s">
        <v>13</v>
      </c>
    </row>
    <row r="166" spans="1:12" x14ac:dyDescent="0.35">
      <c r="A166" s="4">
        <v>246779412029</v>
      </c>
      <c r="B166" s="3">
        <v>45733</v>
      </c>
      <c r="C166" s="1">
        <v>0.45</v>
      </c>
      <c r="D166" s="1">
        <v>39.17</v>
      </c>
      <c r="E166" t="s">
        <v>216</v>
      </c>
      <c r="F166" t="s">
        <v>141</v>
      </c>
      <c r="G166" t="s">
        <v>11</v>
      </c>
      <c r="H166" s="2">
        <v>45809</v>
      </c>
      <c r="I166">
        <v>1</v>
      </c>
      <c r="J166" s="3">
        <v>45997</v>
      </c>
      <c r="K166">
        <v>230</v>
      </c>
      <c r="L166" t="s">
        <v>13</v>
      </c>
    </row>
    <row r="167" spans="1:12" x14ac:dyDescent="0.35">
      <c r="A167" s="4">
        <v>246779412035</v>
      </c>
      <c r="B167" s="3">
        <v>45733</v>
      </c>
      <c r="C167" s="1">
        <v>1.46</v>
      </c>
      <c r="D167" s="1">
        <v>127.08</v>
      </c>
      <c r="E167" t="s">
        <v>217</v>
      </c>
      <c r="F167" t="s">
        <v>141</v>
      </c>
      <c r="G167" t="s">
        <v>11</v>
      </c>
      <c r="H167" s="2">
        <v>45809</v>
      </c>
      <c r="I167">
        <v>1</v>
      </c>
      <c r="J167" s="3">
        <v>45997</v>
      </c>
      <c r="K167">
        <v>230</v>
      </c>
      <c r="L167" t="s">
        <v>13</v>
      </c>
    </row>
    <row r="168" spans="1:12" x14ac:dyDescent="0.35">
      <c r="A168" s="4">
        <v>246779411973</v>
      </c>
      <c r="B168" s="3">
        <v>45733</v>
      </c>
      <c r="C168" s="1">
        <v>8.52</v>
      </c>
      <c r="D168" s="1">
        <v>741.6</v>
      </c>
      <c r="E168" t="s">
        <v>218</v>
      </c>
      <c r="F168" t="s">
        <v>141</v>
      </c>
      <c r="G168" t="s">
        <v>11</v>
      </c>
      <c r="H168" s="2">
        <v>45809</v>
      </c>
      <c r="I168">
        <v>1</v>
      </c>
      <c r="J168" t="s">
        <v>27</v>
      </c>
      <c r="K168">
        <v>230</v>
      </c>
      <c r="L168" t="s">
        <v>13</v>
      </c>
    </row>
    <row r="169" spans="1:12" x14ac:dyDescent="0.35">
      <c r="A169" s="4">
        <v>246779412047</v>
      </c>
      <c r="B169" s="3">
        <v>45733</v>
      </c>
      <c r="C169" s="1">
        <v>0.56000000000000005</v>
      </c>
      <c r="D169" s="1">
        <v>48.74</v>
      </c>
      <c r="E169" t="s">
        <v>219</v>
      </c>
      <c r="F169" t="s">
        <v>141</v>
      </c>
      <c r="G169" t="s">
        <v>11</v>
      </c>
      <c r="H169" s="2">
        <v>45809</v>
      </c>
      <c r="I169">
        <v>1</v>
      </c>
      <c r="J169" t="s">
        <v>27</v>
      </c>
      <c r="K169">
        <v>230</v>
      </c>
      <c r="L169" t="s">
        <v>13</v>
      </c>
    </row>
    <row r="170" spans="1:12" x14ac:dyDescent="0.35">
      <c r="A170" s="4">
        <v>246779411908</v>
      </c>
      <c r="B170" s="3">
        <v>45733</v>
      </c>
      <c r="C170" s="1">
        <v>0.56999999999999995</v>
      </c>
      <c r="D170" s="1">
        <v>49.61</v>
      </c>
      <c r="E170" t="s">
        <v>220</v>
      </c>
      <c r="F170" t="s">
        <v>141</v>
      </c>
      <c r="G170" t="s">
        <v>11</v>
      </c>
      <c r="H170" s="2">
        <v>45809</v>
      </c>
      <c r="I170">
        <v>1</v>
      </c>
      <c r="J170" t="s">
        <v>27</v>
      </c>
      <c r="K170">
        <v>230</v>
      </c>
      <c r="L170" t="s">
        <v>13</v>
      </c>
    </row>
    <row r="171" spans="1:12" x14ac:dyDescent="0.35">
      <c r="A171" s="4">
        <v>246779412033</v>
      </c>
      <c r="B171" s="3">
        <v>45733</v>
      </c>
      <c r="C171" s="1">
        <v>0.45</v>
      </c>
      <c r="D171" s="1">
        <v>39.17</v>
      </c>
      <c r="E171" t="s">
        <v>221</v>
      </c>
      <c r="F171" t="s">
        <v>141</v>
      </c>
      <c r="G171" t="s">
        <v>11</v>
      </c>
      <c r="H171" s="2">
        <v>45809</v>
      </c>
      <c r="I171">
        <v>1</v>
      </c>
      <c r="J171" t="s">
        <v>27</v>
      </c>
      <c r="K171">
        <v>230</v>
      </c>
      <c r="L171" t="s">
        <v>13</v>
      </c>
    </row>
    <row r="172" spans="1:12" x14ac:dyDescent="0.35">
      <c r="A172" s="4">
        <v>246779411789</v>
      </c>
      <c r="B172" s="3">
        <v>45733</v>
      </c>
      <c r="C172" s="1">
        <v>8.56</v>
      </c>
      <c r="D172" s="1">
        <v>745.08</v>
      </c>
      <c r="E172" t="s">
        <v>222</v>
      </c>
      <c r="F172" t="s">
        <v>141</v>
      </c>
      <c r="G172" t="s">
        <v>11</v>
      </c>
      <c r="H172" s="2">
        <v>45962</v>
      </c>
      <c r="I172">
        <v>1</v>
      </c>
      <c r="J172" t="s">
        <v>12</v>
      </c>
      <c r="K172">
        <v>230</v>
      </c>
      <c r="L172" t="s">
        <v>13</v>
      </c>
    </row>
    <row r="173" spans="1:12" x14ac:dyDescent="0.35">
      <c r="A173" s="4">
        <v>246779411730</v>
      </c>
      <c r="B173" s="3">
        <v>45733</v>
      </c>
      <c r="C173" s="1">
        <v>0.23</v>
      </c>
      <c r="D173" s="1">
        <v>20.02</v>
      </c>
      <c r="E173" t="s">
        <v>223</v>
      </c>
      <c r="F173" t="s">
        <v>141</v>
      </c>
      <c r="G173" t="s">
        <v>11</v>
      </c>
      <c r="H173" s="2">
        <v>45962</v>
      </c>
      <c r="I173">
        <v>1</v>
      </c>
      <c r="J173" t="s">
        <v>12</v>
      </c>
      <c r="K173">
        <v>230</v>
      </c>
      <c r="L173" t="s">
        <v>13</v>
      </c>
    </row>
    <row r="174" spans="1:12" x14ac:dyDescent="0.35">
      <c r="A174" s="4">
        <v>256779412012</v>
      </c>
      <c r="B174" s="3">
        <v>45763</v>
      </c>
      <c r="C174" s="1">
        <v>0</v>
      </c>
      <c r="D174" s="1">
        <v>22</v>
      </c>
      <c r="E174" t="s">
        <v>225</v>
      </c>
      <c r="F174" t="s">
        <v>224</v>
      </c>
      <c r="G174" t="s">
        <v>59</v>
      </c>
      <c r="H174" s="2">
        <v>45809</v>
      </c>
      <c r="I174">
        <v>1</v>
      </c>
      <c r="J174" s="3">
        <v>45997</v>
      </c>
      <c r="K174">
        <v>230</v>
      </c>
      <c r="L174" t="s">
        <v>13</v>
      </c>
    </row>
    <row r="175" spans="1:12" x14ac:dyDescent="0.35">
      <c r="A175" s="4">
        <v>256779412053</v>
      </c>
      <c r="B175" s="3">
        <v>45763</v>
      </c>
      <c r="C175" s="1">
        <v>19.72</v>
      </c>
      <c r="D175" s="1">
        <v>1690.54</v>
      </c>
      <c r="E175" t="s">
        <v>226</v>
      </c>
      <c r="F175" t="s">
        <v>224</v>
      </c>
      <c r="G175" t="s">
        <v>11</v>
      </c>
      <c r="H175" s="2">
        <v>45809</v>
      </c>
      <c r="I175">
        <v>1</v>
      </c>
      <c r="J175" t="s">
        <v>27</v>
      </c>
      <c r="K175">
        <v>230</v>
      </c>
      <c r="L175" t="s">
        <v>13</v>
      </c>
    </row>
    <row r="176" spans="1:12" x14ac:dyDescent="0.35">
      <c r="A176" s="4">
        <v>256779411969</v>
      </c>
      <c r="B176" s="3">
        <v>45763</v>
      </c>
      <c r="C176" s="1">
        <v>1.58</v>
      </c>
      <c r="D176" s="1">
        <v>135.44999999999999</v>
      </c>
      <c r="E176" t="s">
        <v>227</v>
      </c>
      <c r="F176" t="s">
        <v>224</v>
      </c>
      <c r="G176" t="s">
        <v>11</v>
      </c>
      <c r="H176" s="2">
        <v>45809</v>
      </c>
      <c r="I176">
        <v>1</v>
      </c>
      <c r="J176" t="s">
        <v>27</v>
      </c>
      <c r="K176">
        <v>230</v>
      </c>
      <c r="L176" t="s">
        <v>13</v>
      </c>
    </row>
    <row r="177" spans="1:12" x14ac:dyDescent="0.35">
      <c r="A177" s="4">
        <v>256779412092</v>
      </c>
      <c r="B177" s="3">
        <v>45763</v>
      </c>
      <c r="C177" s="1">
        <v>5.78</v>
      </c>
      <c r="D177" s="1">
        <v>495.5</v>
      </c>
      <c r="E177" t="s">
        <v>228</v>
      </c>
      <c r="F177" t="s">
        <v>224</v>
      </c>
      <c r="G177" t="s">
        <v>11</v>
      </c>
      <c r="H177" s="2">
        <v>45809</v>
      </c>
      <c r="I177">
        <v>1</v>
      </c>
      <c r="J177" t="s">
        <v>27</v>
      </c>
      <c r="K177">
        <v>230</v>
      </c>
      <c r="L177" t="s">
        <v>13</v>
      </c>
    </row>
    <row r="178" spans="1:12" x14ac:dyDescent="0.35">
      <c r="A178" s="4">
        <v>256779412123</v>
      </c>
      <c r="B178" s="3">
        <v>45763</v>
      </c>
      <c r="C178" s="1">
        <v>66.36</v>
      </c>
      <c r="D178" s="1">
        <v>5688.84</v>
      </c>
      <c r="E178" t="s">
        <v>229</v>
      </c>
      <c r="F178" t="s">
        <v>224</v>
      </c>
      <c r="G178" t="s">
        <v>11</v>
      </c>
      <c r="H178" s="2">
        <v>45809</v>
      </c>
      <c r="I178">
        <v>1</v>
      </c>
      <c r="J178" t="s">
        <v>27</v>
      </c>
      <c r="K178">
        <v>230</v>
      </c>
      <c r="L178" t="s">
        <v>13</v>
      </c>
    </row>
    <row r="179" spans="1:12" x14ac:dyDescent="0.35">
      <c r="A179" s="4">
        <v>256779412091</v>
      </c>
      <c r="B179" s="3">
        <v>45763</v>
      </c>
      <c r="C179" s="1">
        <v>1.93</v>
      </c>
      <c r="D179" s="1">
        <v>165.45</v>
      </c>
      <c r="E179" t="s">
        <v>230</v>
      </c>
      <c r="F179" t="s">
        <v>224</v>
      </c>
      <c r="G179" t="s">
        <v>11</v>
      </c>
      <c r="H179" s="2">
        <v>45809</v>
      </c>
      <c r="I179">
        <v>1</v>
      </c>
      <c r="J179" t="s">
        <v>27</v>
      </c>
      <c r="K179">
        <v>230</v>
      </c>
      <c r="L179" t="s">
        <v>13</v>
      </c>
    </row>
    <row r="180" spans="1:12" x14ac:dyDescent="0.35">
      <c r="A180" s="4">
        <v>256779411867</v>
      </c>
      <c r="B180" s="3">
        <v>45763</v>
      </c>
      <c r="C180" s="1">
        <v>5.9</v>
      </c>
      <c r="D180" s="1">
        <v>505.79</v>
      </c>
      <c r="E180" t="s">
        <v>231</v>
      </c>
      <c r="F180" t="s">
        <v>224</v>
      </c>
      <c r="G180" t="s">
        <v>11</v>
      </c>
      <c r="H180" s="2">
        <v>45901</v>
      </c>
      <c r="I180">
        <v>1</v>
      </c>
      <c r="J180" t="s">
        <v>55</v>
      </c>
      <c r="K180">
        <v>230</v>
      </c>
      <c r="L180" t="s">
        <v>13</v>
      </c>
    </row>
    <row r="181" spans="1:12" x14ac:dyDescent="0.35">
      <c r="A181" s="4">
        <v>256779411970</v>
      </c>
      <c r="B181" s="3">
        <v>45763</v>
      </c>
      <c r="C181" s="1">
        <v>0.17</v>
      </c>
      <c r="D181" s="1">
        <v>14.57</v>
      </c>
      <c r="E181" t="s">
        <v>232</v>
      </c>
      <c r="F181" t="s">
        <v>224</v>
      </c>
      <c r="G181" t="s">
        <v>11</v>
      </c>
      <c r="H181" s="2">
        <v>45931</v>
      </c>
      <c r="I181">
        <v>1</v>
      </c>
      <c r="J181" t="s">
        <v>17</v>
      </c>
      <c r="K181">
        <v>230</v>
      </c>
      <c r="L181" t="s">
        <v>13</v>
      </c>
    </row>
    <row r="182" spans="1:12" x14ac:dyDescent="0.35">
      <c r="A182" s="4">
        <v>256779411468</v>
      </c>
      <c r="B182" s="3">
        <v>45762</v>
      </c>
      <c r="C182" s="1">
        <v>0.53</v>
      </c>
      <c r="D182" s="1">
        <v>45.44</v>
      </c>
      <c r="E182" t="s">
        <v>234</v>
      </c>
      <c r="F182" t="s">
        <v>233</v>
      </c>
      <c r="G182" t="s">
        <v>11</v>
      </c>
      <c r="H182" s="2">
        <v>45809</v>
      </c>
      <c r="I182">
        <v>1</v>
      </c>
      <c r="J182" s="3">
        <v>45997</v>
      </c>
      <c r="K182">
        <v>230</v>
      </c>
      <c r="L182" t="s">
        <v>13</v>
      </c>
    </row>
    <row r="183" spans="1:12" x14ac:dyDescent="0.35">
      <c r="A183" s="4">
        <v>256779411467</v>
      </c>
      <c r="B183" s="3">
        <v>45762</v>
      </c>
      <c r="C183" s="1">
        <v>0.71</v>
      </c>
      <c r="D183" s="1">
        <v>60.87</v>
      </c>
      <c r="E183" t="s">
        <v>235</v>
      </c>
      <c r="F183" t="s">
        <v>233</v>
      </c>
      <c r="G183" t="s">
        <v>11</v>
      </c>
      <c r="H183" s="2">
        <v>45901</v>
      </c>
      <c r="I183">
        <v>1</v>
      </c>
      <c r="J183" t="s">
        <v>55</v>
      </c>
      <c r="K183">
        <v>230</v>
      </c>
      <c r="L183" t="s">
        <v>13</v>
      </c>
    </row>
    <row r="184" spans="1:12" x14ac:dyDescent="0.35">
      <c r="A184" s="4">
        <v>256779411465</v>
      </c>
      <c r="B184" s="3">
        <v>45762</v>
      </c>
      <c r="C184" s="1">
        <v>0.65</v>
      </c>
      <c r="D184" s="1">
        <v>55.72</v>
      </c>
      <c r="E184" t="s">
        <v>236</v>
      </c>
      <c r="F184" t="s">
        <v>233</v>
      </c>
      <c r="G184" t="s">
        <v>11</v>
      </c>
      <c r="H184" s="2">
        <v>45992</v>
      </c>
      <c r="I184">
        <v>1</v>
      </c>
      <c r="J184" t="s">
        <v>45</v>
      </c>
      <c r="K184">
        <v>230</v>
      </c>
      <c r="L184" t="s">
        <v>13</v>
      </c>
    </row>
    <row r="185" spans="1:12" x14ac:dyDescent="0.35">
      <c r="A185" s="4">
        <v>256779411466</v>
      </c>
      <c r="B185" s="3">
        <v>45762</v>
      </c>
      <c r="C185" s="1">
        <v>0.71</v>
      </c>
      <c r="D185" s="1">
        <v>60.87</v>
      </c>
      <c r="E185" t="s">
        <v>237</v>
      </c>
      <c r="F185" t="s">
        <v>233</v>
      </c>
      <c r="G185" t="s">
        <v>11</v>
      </c>
      <c r="H185" s="2">
        <v>45992</v>
      </c>
      <c r="I185">
        <v>1</v>
      </c>
      <c r="J185" t="s">
        <v>45</v>
      </c>
      <c r="K185">
        <v>230</v>
      </c>
      <c r="L185" t="s">
        <v>13</v>
      </c>
    </row>
    <row r="186" spans="1:12" x14ac:dyDescent="0.35">
      <c r="A186" s="4">
        <v>256779411463</v>
      </c>
      <c r="B186" s="3">
        <v>45762</v>
      </c>
      <c r="C186" s="1">
        <v>0.47</v>
      </c>
      <c r="D186" s="1">
        <v>40.29</v>
      </c>
      <c r="E186" t="s">
        <v>238</v>
      </c>
      <c r="F186" t="s">
        <v>233</v>
      </c>
      <c r="G186" t="s">
        <v>11</v>
      </c>
      <c r="H186" s="2">
        <v>45992</v>
      </c>
      <c r="I186">
        <v>1</v>
      </c>
      <c r="J186" t="s">
        <v>45</v>
      </c>
      <c r="K186">
        <v>230</v>
      </c>
      <c r="L186" t="s">
        <v>13</v>
      </c>
    </row>
    <row r="187" spans="1:12" x14ac:dyDescent="0.35">
      <c r="A187" s="4">
        <v>246779411414</v>
      </c>
      <c r="B187" s="3">
        <v>45730</v>
      </c>
      <c r="C187" s="1">
        <v>0.56999999999999995</v>
      </c>
      <c r="D187" s="1">
        <v>49.61</v>
      </c>
      <c r="E187" t="s">
        <v>240</v>
      </c>
      <c r="F187" t="s">
        <v>239</v>
      </c>
      <c r="G187" t="s">
        <v>11</v>
      </c>
      <c r="H187" s="2">
        <v>45809</v>
      </c>
      <c r="I187">
        <v>1</v>
      </c>
      <c r="J187" s="3">
        <v>45997</v>
      </c>
      <c r="K187">
        <v>230</v>
      </c>
      <c r="L187" t="s">
        <v>13</v>
      </c>
    </row>
    <row r="188" spans="1:12" x14ac:dyDescent="0.35">
      <c r="A188" s="4">
        <v>246779411408</v>
      </c>
      <c r="B188" s="3">
        <v>45730</v>
      </c>
      <c r="C188" s="1">
        <v>0.8</v>
      </c>
      <c r="D188" s="1">
        <v>69.63</v>
      </c>
      <c r="E188" t="s">
        <v>241</v>
      </c>
      <c r="F188" t="s">
        <v>239</v>
      </c>
      <c r="G188" t="s">
        <v>11</v>
      </c>
      <c r="H188" s="2">
        <v>45809</v>
      </c>
      <c r="I188">
        <v>1</v>
      </c>
      <c r="J188" s="3">
        <v>45997</v>
      </c>
      <c r="K188">
        <v>230</v>
      </c>
      <c r="L188" t="s">
        <v>13</v>
      </c>
    </row>
    <row r="189" spans="1:12" x14ac:dyDescent="0.35">
      <c r="A189" s="4">
        <v>246779411413</v>
      </c>
      <c r="B189" s="3">
        <v>45730</v>
      </c>
      <c r="C189" s="1">
        <v>0.8</v>
      </c>
      <c r="D189" s="1">
        <v>69.63</v>
      </c>
      <c r="E189" t="s">
        <v>242</v>
      </c>
      <c r="F189" t="s">
        <v>239</v>
      </c>
      <c r="G189" t="s">
        <v>11</v>
      </c>
      <c r="H189" s="2">
        <v>45809</v>
      </c>
      <c r="I189">
        <v>1</v>
      </c>
      <c r="J189" s="3">
        <v>45997</v>
      </c>
      <c r="K189">
        <v>230</v>
      </c>
      <c r="L189" t="s">
        <v>13</v>
      </c>
    </row>
    <row r="190" spans="1:12" x14ac:dyDescent="0.35">
      <c r="A190" s="4">
        <v>246779411410</v>
      </c>
      <c r="B190" s="3">
        <v>45730</v>
      </c>
      <c r="C190" s="1">
        <v>0.8</v>
      </c>
      <c r="D190" s="1">
        <v>69.63</v>
      </c>
      <c r="E190" t="s">
        <v>243</v>
      </c>
      <c r="F190" t="s">
        <v>239</v>
      </c>
      <c r="G190" t="s">
        <v>11</v>
      </c>
      <c r="H190" s="2">
        <v>45809</v>
      </c>
      <c r="I190">
        <v>1</v>
      </c>
      <c r="J190" s="3">
        <v>45997</v>
      </c>
      <c r="K190">
        <v>230</v>
      </c>
      <c r="L190" t="s">
        <v>13</v>
      </c>
    </row>
    <row r="191" spans="1:12" x14ac:dyDescent="0.35">
      <c r="A191" s="4">
        <v>246779411416</v>
      </c>
      <c r="B191" s="3">
        <v>45730</v>
      </c>
      <c r="C191" s="1">
        <v>2.29</v>
      </c>
      <c r="D191" s="1">
        <v>199.33</v>
      </c>
      <c r="E191" t="s">
        <v>244</v>
      </c>
      <c r="F191" t="s">
        <v>239</v>
      </c>
      <c r="G191" t="s">
        <v>11</v>
      </c>
      <c r="H191" s="2">
        <v>45809</v>
      </c>
      <c r="I191">
        <v>1</v>
      </c>
      <c r="J191" s="3">
        <v>45997</v>
      </c>
      <c r="K191">
        <v>230</v>
      </c>
      <c r="L191" t="s">
        <v>13</v>
      </c>
    </row>
    <row r="192" spans="1:12" x14ac:dyDescent="0.35">
      <c r="A192" s="4">
        <v>246779411409</v>
      </c>
      <c r="B192" s="3">
        <v>45730</v>
      </c>
      <c r="C192" s="1">
        <v>4.99</v>
      </c>
      <c r="D192" s="1">
        <v>434.34</v>
      </c>
      <c r="E192" t="s">
        <v>245</v>
      </c>
      <c r="F192" t="s">
        <v>239</v>
      </c>
      <c r="G192" t="s">
        <v>11</v>
      </c>
      <c r="H192" s="2">
        <v>45809</v>
      </c>
      <c r="I192">
        <v>1</v>
      </c>
      <c r="J192" s="3">
        <v>45997</v>
      </c>
      <c r="K192">
        <v>230</v>
      </c>
      <c r="L192" t="s">
        <v>13</v>
      </c>
    </row>
    <row r="193" spans="1:12" x14ac:dyDescent="0.35">
      <c r="A193" s="4">
        <v>246779411411</v>
      </c>
      <c r="B193" s="3">
        <v>45730</v>
      </c>
      <c r="C193" s="1">
        <v>0.92</v>
      </c>
      <c r="D193" s="1">
        <v>80.08</v>
      </c>
      <c r="E193" t="s">
        <v>246</v>
      </c>
      <c r="F193" t="s">
        <v>239</v>
      </c>
      <c r="G193" t="s">
        <v>11</v>
      </c>
      <c r="H193" s="2">
        <v>45809</v>
      </c>
      <c r="I193">
        <v>1</v>
      </c>
      <c r="J193" s="3">
        <v>45997</v>
      </c>
      <c r="K193">
        <v>230</v>
      </c>
      <c r="L193" t="s">
        <v>13</v>
      </c>
    </row>
    <row r="194" spans="1:12" x14ac:dyDescent="0.35">
      <c r="A194" s="4">
        <v>246779411418</v>
      </c>
      <c r="B194" s="3">
        <v>45730</v>
      </c>
      <c r="C194" s="1">
        <v>6.25</v>
      </c>
      <c r="D194" s="1">
        <v>544.02</v>
      </c>
      <c r="E194" t="s">
        <v>247</v>
      </c>
      <c r="F194" t="s">
        <v>239</v>
      </c>
      <c r="G194" t="s">
        <v>11</v>
      </c>
      <c r="H194" s="2">
        <v>45809</v>
      </c>
      <c r="I194">
        <v>1</v>
      </c>
      <c r="J194" s="3">
        <v>45997</v>
      </c>
      <c r="K194">
        <v>230</v>
      </c>
      <c r="L194" t="s">
        <v>13</v>
      </c>
    </row>
    <row r="195" spans="1:12" x14ac:dyDescent="0.35">
      <c r="A195" s="4">
        <v>246779411415</v>
      </c>
      <c r="B195" s="3">
        <v>45730</v>
      </c>
      <c r="C195" s="1">
        <v>0.46</v>
      </c>
      <c r="D195" s="1">
        <v>40.04</v>
      </c>
      <c r="E195" t="s">
        <v>248</v>
      </c>
      <c r="F195" t="s">
        <v>239</v>
      </c>
      <c r="G195" t="s">
        <v>11</v>
      </c>
      <c r="H195" s="2">
        <v>45809</v>
      </c>
      <c r="I195">
        <v>1</v>
      </c>
      <c r="J195" s="3">
        <v>45997</v>
      </c>
      <c r="K195">
        <v>230</v>
      </c>
      <c r="L195" t="s">
        <v>13</v>
      </c>
    </row>
    <row r="196" spans="1:12" x14ac:dyDescent="0.35">
      <c r="A196" s="4">
        <v>246779411419</v>
      </c>
      <c r="B196" s="3">
        <v>45730</v>
      </c>
      <c r="C196" s="1">
        <v>0.47</v>
      </c>
      <c r="D196" s="1">
        <v>40.909999999999997</v>
      </c>
      <c r="E196" t="s">
        <v>249</v>
      </c>
      <c r="F196" t="s">
        <v>239</v>
      </c>
      <c r="G196" t="s">
        <v>11</v>
      </c>
      <c r="H196" s="2">
        <v>45809</v>
      </c>
      <c r="I196">
        <v>1</v>
      </c>
      <c r="J196" s="3">
        <v>45997</v>
      </c>
      <c r="K196">
        <v>230</v>
      </c>
      <c r="L196" t="s">
        <v>13</v>
      </c>
    </row>
    <row r="197" spans="1:12" x14ac:dyDescent="0.35">
      <c r="A197" s="4">
        <v>246779411417</v>
      </c>
      <c r="B197" s="3">
        <v>45730</v>
      </c>
      <c r="C197" s="1">
        <v>1.37</v>
      </c>
      <c r="D197" s="1">
        <v>119.25</v>
      </c>
      <c r="E197" t="s">
        <v>250</v>
      </c>
      <c r="F197" t="s">
        <v>239</v>
      </c>
      <c r="G197" t="s">
        <v>11</v>
      </c>
      <c r="H197" s="2">
        <v>45809</v>
      </c>
      <c r="I197">
        <v>1</v>
      </c>
      <c r="J197" s="3">
        <v>45997</v>
      </c>
      <c r="K197">
        <v>230</v>
      </c>
      <c r="L197" t="s">
        <v>13</v>
      </c>
    </row>
    <row r="198" spans="1:12" x14ac:dyDescent="0.35">
      <c r="A198" s="4">
        <v>246779411407</v>
      </c>
      <c r="B198" s="3">
        <v>45730</v>
      </c>
      <c r="C198" s="1">
        <v>1.1399999999999999</v>
      </c>
      <c r="D198" s="1">
        <v>99.23</v>
      </c>
      <c r="E198" t="s">
        <v>251</v>
      </c>
      <c r="F198" t="s">
        <v>239</v>
      </c>
      <c r="G198" t="s">
        <v>11</v>
      </c>
      <c r="H198" s="2">
        <v>45809</v>
      </c>
      <c r="I198">
        <v>1</v>
      </c>
      <c r="J198" s="3">
        <v>45997</v>
      </c>
      <c r="K198">
        <v>230</v>
      </c>
      <c r="L198" t="s">
        <v>13</v>
      </c>
    </row>
    <row r="199" spans="1:12" x14ac:dyDescent="0.35">
      <c r="A199" s="4">
        <v>246779411412</v>
      </c>
      <c r="B199" s="3">
        <v>45730</v>
      </c>
      <c r="C199" s="1">
        <v>0.4</v>
      </c>
      <c r="D199" s="1">
        <v>34.82</v>
      </c>
      <c r="E199" t="s">
        <v>252</v>
      </c>
      <c r="F199" t="s">
        <v>239</v>
      </c>
      <c r="G199" t="s">
        <v>11</v>
      </c>
      <c r="H199" s="2">
        <v>45809</v>
      </c>
      <c r="I199">
        <v>1</v>
      </c>
      <c r="J199" s="3">
        <v>45997</v>
      </c>
      <c r="K199">
        <v>230</v>
      </c>
      <c r="L199" t="s">
        <v>13</v>
      </c>
    </row>
    <row r="200" spans="1:12" x14ac:dyDescent="0.35">
      <c r="A200" s="4" t="s">
        <v>456</v>
      </c>
      <c r="B200" s="3">
        <v>45730</v>
      </c>
      <c r="C200" s="1">
        <v>4.99</v>
      </c>
      <c r="D200" s="1">
        <v>434.34</v>
      </c>
      <c r="E200" t="s">
        <v>255</v>
      </c>
      <c r="F200" t="s">
        <v>239</v>
      </c>
      <c r="G200" t="s">
        <v>11</v>
      </c>
      <c r="H200" s="2">
        <v>45839</v>
      </c>
      <c r="I200">
        <v>1</v>
      </c>
      <c r="J200" t="s">
        <v>254</v>
      </c>
      <c r="K200">
        <v>230</v>
      </c>
      <c r="L200" t="s">
        <v>13</v>
      </c>
    </row>
    <row r="201" spans="1:12" x14ac:dyDescent="0.35">
      <c r="A201" s="4">
        <v>246779411312</v>
      </c>
      <c r="B201" s="3">
        <v>45729</v>
      </c>
      <c r="C201" s="1">
        <v>0.54</v>
      </c>
      <c r="D201" s="1">
        <v>47</v>
      </c>
      <c r="E201" t="s">
        <v>256</v>
      </c>
      <c r="F201" s="3">
        <v>45995</v>
      </c>
      <c r="G201" t="s">
        <v>11</v>
      </c>
      <c r="H201" s="2">
        <v>45809</v>
      </c>
      <c r="I201">
        <v>1</v>
      </c>
      <c r="J201" s="3">
        <v>45997</v>
      </c>
      <c r="K201">
        <v>230</v>
      </c>
      <c r="L201" t="s">
        <v>13</v>
      </c>
    </row>
    <row r="202" spans="1:12" x14ac:dyDescent="0.35">
      <c r="A202" s="4">
        <v>256779415317</v>
      </c>
      <c r="B202" s="3">
        <v>45937</v>
      </c>
      <c r="C202" s="1">
        <v>4</v>
      </c>
      <c r="D202" s="1">
        <v>353.88</v>
      </c>
      <c r="E202" t="s">
        <v>257</v>
      </c>
      <c r="F202" s="3">
        <v>45908</v>
      </c>
      <c r="G202" t="s">
        <v>11</v>
      </c>
      <c r="H202" s="2">
        <v>45901</v>
      </c>
      <c r="I202">
        <v>1</v>
      </c>
      <c r="J202" t="s">
        <v>55</v>
      </c>
      <c r="K202">
        <v>230</v>
      </c>
      <c r="L202" t="s">
        <v>13</v>
      </c>
    </row>
    <row r="203" spans="1:12" x14ac:dyDescent="0.35">
      <c r="A203" s="4">
        <v>256779415346</v>
      </c>
      <c r="B203" s="3">
        <v>45937</v>
      </c>
      <c r="C203" s="1">
        <v>0.35</v>
      </c>
      <c r="D203" s="1">
        <v>30.96</v>
      </c>
      <c r="E203" t="s">
        <v>258</v>
      </c>
      <c r="F203" s="3">
        <v>45908</v>
      </c>
      <c r="G203" t="s">
        <v>11</v>
      </c>
      <c r="H203" s="2">
        <v>45901</v>
      </c>
      <c r="I203">
        <v>1</v>
      </c>
      <c r="J203" t="s">
        <v>55</v>
      </c>
      <c r="K203">
        <v>230</v>
      </c>
      <c r="L203" t="s">
        <v>13</v>
      </c>
    </row>
    <row r="204" spans="1:12" x14ac:dyDescent="0.35">
      <c r="A204" s="4">
        <v>256779415339</v>
      </c>
      <c r="B204" s="3">
        <v>45937</v>
      </c>
      <c r="C204" s="1">
        <v>0.55000000000000004</v>
      </c>
      <c r="D204" s="1">
        <v>48.66</v>
      </c>
      <c r="E204" t="s">
        <v>259</v>
      </c>
      <c r="F204" s="3">
        <v>45908</v>
      </c>
      <c r="G204" t="s">
        <v>11</v>
      </c>
      <c r="H204" s="2">
        <v>45901</v>
      </c>
      <c r="I204">
        <v>1</v>
      </c>
      <c r="J204" t="s">
        <v>55</v>
      </c>
      <c r="K204">
        <v>230</v>
      </c>
      <c r="L204" t="s">
        <v>13</v>
      </c>
    </row>
    <row r="205" spans="1:12" x14ac:dyDescent="0.35">
      <c r="A205" s="4">
        <v>256779415371</v>
      </c>
      <c r="B205" s="3">
        <v>45937</v>
      </c>
      <c r="C205" s="1">
        <v>0.87</v>
      </c>
      <c r="D205" s="1">
        <v>76.97</v>
      </c>
      <c r="E205" t="s">
        <v>260</v>
      </c>
      <c r="F205" s="3">
        <v>45908</v>
      </c>
      <c r="G205" t="s">
        <v>11</v>
      </c>
      <c r="H205" s="2">
        <v>45901</v>
      </c>
      <c r="I205">
        <v>1</v>
      </c>
      <c r="J205" t="s">
        <v>55</v>
      </c>
      <c r="K205">
        <v>230</v>
      </c>
      <c r="L205" t="s">
        <v>13</v>
      </c>
    </row>
    <row r="206" spans="1:12" x14ac:dyDescent="0.35">
      <c r="A206" s="4">
        <v>256779415338</v>
      </c>
      <c r="B206" s="3">
        <v>45937</v>
      </c>
      <c r="C206" s="1">
        <v>0.25</v>
      </c>
      <c r="D206" s="1">
        <v>22.12</v>
      </c>
      <c r="E206" t="s">
        <v>261</v>
      </c>
      <c r="F206" s="3">
        <v>45908</v>
      </c>
      <c r="G206" t="s">
        <v>11</v>
      </c>
      <c r="H206" s="2">
        <v>45901</v>
      </c>
      <c r="I206">
        <v>1</v>
      </c>
      <c r="J206" t="s">
        <v>55</v>
      </c>
      <c r="K206">
        <v>230</v>
      </c>
      <c r="L206" t="s">
        <v>13</v>
      </c>
    </row>
    <row r="207" spans="1:12" x14ac:dyDescent="0.35">
      <c r="A207" s="4">
        <v>256779415359</v>
      </c>
      <c r="B207" s="3">
        <v>45937</v>
      </c>
      <c r="C207" s="1">
        <v>4</v>
      </c>
      <c r="D207" s="1">
        <v>353.88</v>
      </c>
      <c r="E207" t="s">
        <v>262</v>
      </c>
      <c r="F207" s="3">
        <v>45908</v>
      </c>
      <c r="G207" t="s">
        <v>11</v>
      </c>
      <c r="H207" s="2">
        <v>45901</v>
      </c>
      <c r="I207">
        <v>1</v>
      </c>
      <c r="J207" t="s">
        <v>55</v>
      </c>
      <c r="K207">
        <v>230</v>
      </c>
      <c r="L207" t="s">
        <v>13</v>
      </c>
    </row>
    <row r="208" spans="1:12" x14ac:dyDescent="0.35">
      <c r="A208" s="4">
        <v>256779415381</v>
      </c>
      <c r="B208" s="3">
        <v>45937</v>
      </c>
      <c r="C208" s="1">
        <v>1.2</v>
      </c>
      <c r="D208" s="1">
        <v>106.16</v>
      </c>
      <c r="E208" t="s">
        <v>263</v>
      </c>
      <c r="F208" s="3">
        <v>45908</v>
      </c>
      <c r="G208" t="s">
        <v>11</v>
      </c>
      <c r="H208" s="2">
        <v>45901</v>
      </c>
      <c r="I208">
        <v>1</v>
      </c>
      <c r="J208" t="s">
        <v>55</v>
      </c>
      <c r="K208">
        <v>230</v>
      </c>
      <c r="L208" t="s">
        <v>13</v>
      </c>
    </row>
    <row r="209" spans="1:12" x14ac:dyDescent="0.35">
      <c r="A209" s="4">
        <v>256779415391</v>
      </c>
      <c r="B209" s="3">
        <v>45937</v>
      </c>
      <c r="C209" s="1">
        <v>16.399999999999999</v>
      </c>
      <c r="D209" s="1">
        <v>1450.91</v>
      </c>
      <c r="E209" t="s">
        <v>264</v>
      </c>
      <c r="F209" s="3">
        <v>45908</v>
      </c>
      <c r="G209" t="s">
        <v>11</v>
      </c>
      <c r="H209" s="2">
        <v>45901</v>
      </c>
      <c r="I209">
        <v>1</v>
      </c>
      <c r="J209" t="s">
        <v>55</v>
      </c>
      <c r="K209">
        <v>230</v>
      </c>
      <c r="L209" t="s">
        <v>13</v>
      </c>
    </row>
    <row r="210" spans="1:12" x14ac:dyDescent="0.35">
      <c r="A210" s="4">
        <v>256779415358</v>
      </c>
      <c r="B210" s="3">
        <v>45937</v>
      </c>
      <c r="C210" s="1">
        <v>1.92</v>
      </c>
      <c r="D210" s="1">
        <v>169.86</v>
      </c>
      <c r="E210" t="s">
        <v>265</v>
      </c>
      <c r="F210" s="3">
        <v>45908</v>
      </c>
      <c r="G210" t="s">
        <v>11</v>
      </c>
      <c r="H210" s="2">
        <v>45901</v>
      </c>
      <c r="I210">
        <v>1</v>
      </c>
      <c r="J210" t="s">
        <v>55</v>
      </c>
      <c r="K210">
        <v>230</v>
      </c>
      <c r="L210" t="s">
        <v>13</v>
      </c>
    </row>
    <row r="211" spans="1:12" x14ac:dyDescent="0.35">
      <c r="A211" s="4">
        <v>256779415305</v>
      </c>
      <c r="B211" s="3">
        <v>45937</v>
      </c>
      <c r="C211" s="1">
        <v>0.6</v>
      </c>
      <c r="D211" s="1">
        <v>53.08</v>
      </c>
      <c r="E211" t="s">
        <v>266</v>
      </c>
      <c r="F211" s="3">
        <v>45908</v>
      </c>
      <c r="G211" t="s">
        <v>11</v>
      </c>
      <c r="H211" s="2">
        <v>45901</v>
      </c>
      <c r="I211">
        <v>1</v>
      </c>
      <c r="J211" t="s">
        <v>55</v>
      </c>
      <c r="K211">
        <v>230</v>
      </c>
      <c r="L211" t="s">
        <v>13</v>
      </c>
    </row>
    <row r="212" spans="1:12" x14ac:dyDescent="0.35">
      <c r="A212" s="4">
        <v>256779415345</v>
      </c>
      <c r="B212" s="3">
        <v>45937</v>
      </c>
      <c r="C212" s="1">
        <v>0.5</v>
      </c>
      <c r="D212" s="1">
        <v>44.24</v>
      </c>
      <c r="E212" t="s">
        <v>267</v>
      </c>
      <c r="F212" s="3">
        <v>45908</v>
      </c>
      <c r="G212" t="s">
        <v>11</v>
      </c>
      <c r="H212" s="2">
        <v>45901</v>
      </c>
      <c r="I212">
        <v>1</v>
      </c>
      <c r="J212" t="s">
        <v>55</v>
      </c>
      <c r="K212">
        <v>230</v>
      </c>
      <c r="L212" t="s">
        <v>13</v>
      </c>
    </row>
    <row r="213" spans="1:12" x14ac:dyDescent="0.35">
      <c r="A213" s="4">
        <v>256779415300</v>
      </c>
      <c r="B213" s="3">
        <v>45937</v>
      </c>
      <c r="C213" s="1">
        <v>0.48</v>
      </c>
      <c r="D213" s="1">
        <v>42.47</v>
      </c>
      <c r="E213" t="s">
        <v>268</v>
      </c>
      <c r="F213" s="3">
        <v>45908</v>
      </c>
      <c r="G213" t="s">
        <v>11</v>
      </c>
      <c r="H213" s="2">
        <v>45901</v>
      </c>
      <c r="I213">
        <v>1</v>
      </c>
      <c r="J213" t="s">
        <v>55</v>
      </c>
      <c r="K213">
        <v>230</v>
      </c>
      <c r="L213" t="s">
        <v>13</v>
      </c>
    </row>
    <row r="214" spans="1:12" x14ac:dyDescent="0.35">
      <c r="A214" s="4">
        <v>256779415352</v>
      </c>
      <c r="B214" s="3">
        <v>45937</v>
      </c>
      <c r="C214" s="1">
        <v>3.12</v>
      </c>
      <c r="D214" s="1">
        <v>276.02999999999997</v>
      </c>
      <c r="E214" t="s">
        <v>269</v>
      </c>
      <c r="F214" s="3">
        <v>45908</v>
      </c>
      <c r="G214" t="s">
        <v>11</v>
      </c>
      <c r="H214" s="2">
        <v>45901</v>
      </c>
      <c r="I214">
        <v>1</v>
      </c>
      <c r="J214" t="s">
        <v>55</v>
      </c>
      <c r="K214">
        <v>230</v>
      </c>
      <c r="L214" t="s">
        <v>13</v>
      </c>
    </row>
    <row r="215" spans="1:12" x14ac:dyDescent="0.35">
      <c r="A215" s="4">
        <v>256779415304</v>
      </c>
      <c r="B215" s="3">
        <v>45937</v>
      </c>
      <c r="C215" s="1">
        <v>0.6</v>
      </c>
      <c r="D215" s="1">
        <v>53.08</v>
      </c>
      <c r="E215" t="s">
        <v>270</v>
      </c>
      <c r="F215" s="3">
        <v>45908</v>
      </c>
      <c r="G215" t="s">
        <v>11</v>
      </c>
      <c r="H215" s="2">
        <v>45901</v>
      </c>
      <c r="I215">
        <v>1</v>
      </c>
      <c r="J215" t="s">
        <v>55</v>
      </c>
      <c r="K215">
        <v>230</v>
      </c>
      <c r="L215" t="s">
        <v>13</v>
      </c>
    </row>
    <row r="216" spans="1:12" x14ac:dyDescent="0.35">
      <c r="A216" s="4">
        <v>256779415379</v>
      </c>
      <c r="B216" s="3">
        <v>45937</v>
      </c>
      <c r="C216" s="1">
        <v>4.66</v>
      </c>
      <c r="D216" s="1">
        <v>412.27</v>
      </c>
      <c r="E216" t="s">
        <v>271</v>
      </c>
      <c r="F216" s="3">
        <v>45908</v>
      </c>
      <c r="G216" t="s">
        <v>11</v>
      </c>
      <c r="H216" s="2">
        <v>45901</v>
      </c>
      <c r="I216">
        <v>1</v>
      </c>
      <c r="J216" t="s">
        <v>55</v>
      </c>
      <c r="K216">
        <v>230</v>
      </c>
      <c r="L216" t="s">
        <v>13</v>
      </c>
    </row>
    <row r="217" spans="1:12" x14ac:dyDescent="0.35">
      <c r="A217" s="4">
        <v>256779415303</v>
      </c>
      <c r="B217" s="3">
        <v>45937</v>
      </c>
      <c r="C217" s="1">
        <v>2</v>
      </c>
      <c r="D217" s="1">
        <v>176.94</v>
      </c>
      <c r="E217" t="s">
        <v>272</v>
      </c>
      <c r="F217" s="3">
        <v>45908</v>
      </c>
      <c r="G217" t="s">
        <v>11</v>
      </c>
      <c r="H217" s="2">
        <v>45901</v>
      </c>
      <c r="I217">
        <v>1</v>
      </c>
      <c r="J217" t="s">
        <v>55</v>
      </c>
      <c r="K217">
        <v>230</v>
      </c>
      <c r="L217" t="s">
        <v>13</v>
      </c>
    </row>
    <row r="218" spans="1:12" x14ac:dyDescent="0.35">
      <c r="A218" s="4">
        <v>256779415377</v>
      </c>
      <c r="B218" s="3">
        <v>45937</v>
      </c>
      <c r="C218" s="1">
        <v>1</v>
      </c>
      <c r="D218" s="1">
        <v>88.47</v>
      </c>
      <c r="E218" t="s">
        <v>273</v>
      </c>
      <c r="F218" s="3">
        <v>45908</v>
      </c>
      <c r="G218" t="s">
        <v>11</v>
      </c>
      <c r="H218" s="2">
        <v>45901</v>
      </c>
      <c r="I218">
        <v>1</v>
      </c>
      <c r="J218" t="s">
        <v>55</v>
      </c>
      <c r="K218">
        <v>230</v>
      </c>
      <c r="L218" t="s">
        <v>13</v>
      </c>
    </row>
    <row r="219" spans="1:12" x14ac:dyDescent="0.35">
      <c r="A219" s="4">
        <v>256779415392</v>
      </c>
      <c r="B219" s="3">
        <v>45937</v>
      </c>
      <c r="C219" s="1">
        <v>4</v>
      </c>
      <c r="D219" s="1">
        <v>353.88</v>
      </c>
      <c r="E219" t="s">
        <v>274</v>
      </c>
      <c r="F219" s="3">
        <v>45908</v>
      </c>
      <c r="G219" t="s">
        <v>11</v>
      </c>
      <c r="H219" s="2">
        <v>45901</v>
      </c>
      <c r="I219">
        <v>1</v>
      </c>
      <c r="J219" t="s">
        <v>55</v>
      </c>
      <c r="K219">
        <v>230</v>
      </c>
      <c r="L219" t="s">
        <v>13</v>
      </c>
    </row>
    <row r="220" spans="1:12" x14ac:dyDescent="0.35">
      <c r="A220" s="4">
        <v>256779415393</v>
      </c>
      <c r="B220" s="3">
        <v>45937</v>
      </c>
      <c r="C220" s="1">
        <v>1.2</v>
      </c>
      <c r="D220" s="1">
        <v>106.16</v>
      </c>
      <c r="E220" t="s">
        <v>275</v>
      </c>
      <c r="F220" s="3">
        <v>45908</v>
      </c>
      <c r="G220" t="s">
        <v>11</v>
      </c>
      <c r="H220" s="2">
        <v>45901</v>
      </c>
      <c r="I220">
        <v>1</v>
      </c>
      <c r="J220" t="s">
        <v>55</v>
      </c>
      <c r="K220">
        <v>230</v>
      </c>
      <c r="L220" t="s">
        <v>13</v>
      </c>
    </row>
    <row r="221" spans="1:12" x14ac:dyDescent="0.35">
      <c r="A221" s="4">
        <v>256779415362</v>
      </c>
      <c r="B221" s="3">
        <v>45937</v>
      </c>
      <c r="C221" s="1">
        <v>0.06</v>
      </c>
      <c r="D221" s="1">
        <v>5.31</v>
      </c>
      <c r="E221" t="s">
        <v>276</v>
      </c>
      <c r="F221" s="3">
        <v>45908</v>
      </c>
      <c r="G221" t="s">
        <v>11</v>
      </c>
      <c r="H221" s="2">
        <v>45901</v>
      </c>
      <c r="I221">
        <v>1</v>
      </c>
      <c r="J221" t="s">
        <v>55</v>
      </c>
      <c r="K221">
        <v>230</v>
      </c>
      <c r="L221" t="s">
        <v>13</v>
      </c>
    </row>
    <row r="222" spans="1:12" x14ac:dyDescent="0.35">
      <c r="A222" s="4">
        <v>256779415315</v>
      </c>
      <c r="B222" s="3">
        <v>45937</v>
      </c>
      <c r="C222" s="1">
        <v>2.4</v>
      </c>
      <c r="D222" s="1">
        <v>212.33</v>
      </c>
      <c r="E222" t="s">
        <v>277</v>
      </c>
      <c r="F222" s="3">
        <v>45908</v>
      </c>
      <c r="G222" t="s">
        <v>11</v>
      </c>
      <c r="H222" s="2">
        <v>45901</v>
      </c>
      <c r="I222">
        <v>1</v>
      </c>
      <c r="J222" t="s">
        <v>55</v>
      </c>
      <c r="K222">
        <v>230</v>
      </c>
      <c r="L222" t="s">
        <v>13</v>
      </c>
    </row>
    <row r="223" spans="1:12" x14ac:dyDescent="0.35">
      <c r="A223" s="4">
        <v>256779415378</v>
      </c>
      <c r="B223" s="3">
        <v>45937</v>
      </c>
      <c r="C223" s="1">
        <v>2.4</v>
      </c>
      <c r="D223" s="1">
        <v>212.33</v>
      </c>
      <c r="E223" t="s">
        <v>278</v>
      </c>
      <c r="F223" s="3">
        <v>45908</v>
      </c>
      <c r="G223" t="s">
        <v>11</v>
      </c>
      <c r="H223" s="2">
        <v>45901</v>
      </c>
      <c r="I223">
        <v>1</v>
      </c>
      <c r="J223" t="s">
        <v>55</v>
      </c>
      <c r="K223">
        <v>230</v>
      </c>
      <c r="L223" t="s">
        <v>13</v>
      </c>
    </row>
    <row r="224" spans="1:12" x14ac:dyDescent="0.35">
      <c r="A224" s="4">
        <v>256779415356</v>
      </c>
      <c r="B224" s="3">
        <v>45937</v>
      </c>
      <c r="C224" s="1">
        <v>1.44</v>
      </c>
      <c r="D224" s="1">
        <v>127.4</v>
      </c>
      <c r="E224" t="s">
        <v>279</v>
      </c>
      <c r="F224" s="3">
        <v>45908</v>
      </c>
      <c r="G224" t="s">
        <v>11</v>
      </c>
      <c r="H224" s="2">
        <v>45901</v>
      </c>
      <c r="I224">
        <v>1</v>
      </c>
      <c r="J224" t="s">
        <v>55</v>
      </c>
      <c r="K224">
        <v>230</v>
      </c>
      <c r="L224" t="s">
        <v>13</v>
      </c>
    </row>
    <row r="225" spans="1:12" x14ac:dyDescent="0.35">
      <c r="A225" s="4">
        <v>256779415383</v>
      </c>
      <c r="B225" s="3">
        <v>45937</v>
      </c>
      <c r="C225" s="1">
        <v>3.12</v>
      </c>
      <c r="D225" s="1">
        <v>276.02999999999997</v>
      </c>
      <c r="E225" t="s">
        <v>280</v>
      </c>
      <c r="F225" s="3">
        <v>45908</v>
      </c>
      <c r="G225" t="s">
        <v>11</v>
      </c>
      <c r="H225" s="2">
        <v>45901</v>
      </c>
      <c r="I225">
        <v>1</v>
      </c>
      <c r="J225" t="s">
        <v>55</v>
      </c>
      <c r="K225">
        <v>230</v>
      </c>
      <c r="L225" t="s">
        <v>13</v>
      </c>
    </row>
    <row r="226" spans="1:12" x14ac:dyDescent="0.35">
      <c r="A226" s="4">
        <v>256779415375</v>
      </c>
      <c r="B226" s="3">
        <v>45937</v>
      </c>
      <c r="C226" s="1">
        <v>7.2</v>
      </c>
      <c r="D226" s="1">
        <v>636.98</v>
      </c>
      <c r="E226" t="s">
        <v>281</v>
      </c>
      <c r="F226" s="3">
        <v>45908</v>
      </c>
      <c r="G226" t="s">
        <v>11</v>
      </c>
      <c r="H226" s="2">
        <v>45901</v>
      </c>
      <c r="I226">
        <v>1</v>
      </c>
      <c r="J226" t="s">
        <v>55</v>
      </c>
      <c r="K226">
        <v>230</v>
      </c>
      <c r="L226" t="s">
        <v>13</v>
      </c>
    </row>
    <row r="227" spans="1:12" x14ac:dyDescent="0.35">
      <c r="A227" s="4">
        <v>256779415373</v>
      </c>
      <c r="B227" s="3">
        <v>45937</v>
      </c>
      <c r="C227" s="1">
        <v>0.05</v>
      </c>
      <c r="D227" s="1">
        <v>4.42</v>
      </c>
      <c r="E227" t="s">
        <v>282</v>
      </c>
      <c r="F227" s="3">
        <v>45908</v>
      </c>
      <c r="G227" t="s">
        <v>11</v>
      </c>
      <c r="H227" s="2">
        <v>45901</v>
      </c>
      <c r="I227">
        <v>1</v>
      </c>
      <c r="J227" t="s">
        <v>55</v>
      </c>
      <c r="K227">
        <v>230</v>
      </c>
      <c r="L227" t="s">
        <v>13</v>
      </c>
    </row>
    <row r="228" spans="1:12" x14ac:dyDescent="0.35">
      <c r="A228" s="4">
        <v>256779415342</v>
      </c>
      <c r="B228" s="3">
        <v>45937</v>
      </c>
      <c r="C228" s="1">
        <v>0.05</v>
      </c>
      <c r="D228" s="1">
        <v>4.42</v>
      </c>
      <c r="E228" t="s">
        <v>283</v>
      </c>
      <c r="F228" s="3">
        <v>45908</v>
      </c>
      <c r="G228" t="s">
        <v>11</v>
      </c>
      <c r="H228" s="2">
        <v>45901</v>
      </c>
      <c r="I228">
        <v>1</v>
      </c>
      <c r="J228" t="s">
        <v>55</v>
      </c>
      <c r="K228">
        <v>230</v>
      </c>
      <c r="L228" t="s">
        <v>13</v>
      </c>
    </row>
    <row r="229" spans="1:12" x14ac:dyDescent="0.35">
      <c r="A229" s="4">
        <v>256779415372</v>
      </c>
      <c r="B229" s="3">
        <v>45937</v>
      </c>
      <c r="C229" s="1">
        <v>3.11</v>
      </c>
      <c r="D229" s="1">
        <v>275.14</v>
      </c>
      <c r="E229" t="s">
        <v>284</v>
      </c>
      <c r="F229" s="3">
        <v>45908</v>
      </c>
      <c r="G229" t="s">
        <v>11</v>
      </c>
      <c r="H229" s="2">
        <v>45901</v>
      </c>
      <c r="I229">
        <v>1</v>
      </c>
      <c r="J229" t="s">
        <v>55</v>
      </c>
      <c r="K229">
        <v>230</v>
      </c>
      <c r="L229" t="s">
        <v>13</v>
      </c>
    </row>
    <row r="230" spans="1:12" x14ac:dyDescent="0.35">
      <c r="A230" s="4">
        <v>256779415369</v>
      </c>
      <c r="B230" s="3">
        <v>45937</v>
      </c>
      <c r="C230" s="1">
        <v>0.06</v>
      </c>
      <c r="D230" s="1">
        <v>5.31</v>
      </c>
      <c r="E230" t="s">
        <v>285</v>
      </c>
      <c r="F230" s="3">
        <v>45908</v>
      </c>
      <c r="G230" t="s">
        <v>11</v>
      </c>
      <c r="H230" s="2">
        <v>45901</v>
      </c>
      <c r="I230">
        <v>1</v>
      </c>
      <c r="J230" t="s">
        <v>55</v>
      </c>
      <c r="K230">
        <v>230</v>
      </c>
      <c r="L230" t="s">
        <v>13</v>
      </c>
    </row>
    <row r="231" spans="1:12" x14ac:dyDescent="0.35">
      <c r="A231" s="4">
        <v>256779415361</v>
      </c>
      <c r="B231" s="3">
        <v>45937</v>
      </c>
      <c r="C231" s="1">
        <v>1.35</v>
      </c>
      <c r="D231" s="1">
        <v>119.43</v>
      </c>
      <c r="E231" t="s">
        <v>286</v>
      </c>
      <c r="F231" s="3">
        <v>45908</v>
      </c>
      <c r="G231" t="s">
        <v>11</v>
      </c>
      <c r="H231" s="2">
        <v>45901</v>
      </c>
      <c r="I231">
        <v>1</v>
      </c>
      <c r="J231" t="s">
        <v>55</v>
      </c>
      <c r="K231">
        <v>230</v>
      </c>
      <c r="L231" t="s">
        <v>13</v>
      </c>
    </row>
    <row r="232" spans="1:12" x14ac:dyDescent="0.35">
      <c r="A232" s="4">
        <v>256779415306</v>
      </c>
      <c r="B232" s="3">
        <v>45937</v>
      </c>
      <c r="C232" s="1">
        <v>0.6</v>
      </c>
      <c r="D232" s="1">
        <v>53.08</v>
      </c>
      <c r="E232" t="s">
        <v>287</v>
      </c>
      <c r="F232" s="3">
        <v>45908</v>
      </c>
      <c r="G232" t="s">
        <v>11</v>
      </c>
      <c r="H232" s="2">
        <v>45901</v>
      </c>
      <c r="I232">
        <v>1</v>
      </c>
      <c r="J232" t="s">
        <v>55</v>
      </c>
      <c r="K232">
        <v>230</v>
      </c>
      <c r="L232" t="s">
        <v>13</v>
      </c>
    </row>
    <row r="233" spans="1:12" x14ac:dyDescent="0.35">
      <c r="A233" s="4">
        <v>256779415333</v>
      </c>
      <c r="B233" s="3">
        <v>45937</v>
      </c>
      <c r="C233" s="1">
        <v>0.45</v>
      </c>
      <c r="D233" s="1">
        <v>39.81</v>
      </c>
      <c r="E233" t="s">
        <v>288</v>
      </c>
      <c r="F233" s="3">
        <v>45908</v>
      </c>
      <c r="G233" t="s">
        <v>11</v>
      </c>
      <c r="H233" s="2">
        <v>45901</v>
      </c>
      <c r="I233">
        <v>1</v>
      </c>
      <c r="J233" t="s">
        <v>55</v>
      </c>
      <c r="K233">
        <v>230</v>
      </c>
      <c r="L233" t="s">
        <v>13</v>
      </c>
    </row>
    <row r="234" spans="1:12" x14ac:dyDescent="0.35">
      <c r="A234" s="4">
        <v>256779415298</v>
      </c>
      <c r="B234" s="3">
        <v>45937</v>
      </c>
      <c r="C234" s="1">
        <v>0.48</v>
      </c>
      <c r="D234" s="1">
        <v>42.47</v>
      </c>
      <c r="E234" t="s">
        <v>289</v>
      </c>
      <c r="F234" s="3">
        <v>45908</v>
      </c>
      <c r="G234" t="s">
        <v>11</v>
      </c>
      <c r="H234" s="2">
        <v>45901</v>
      </c>
      <c r="I234">
        <v>1</v>
      </c>
      <c r="J234" t="s">
        <v>55</v>
      </c>
      <c r="K234">
        <v>230</v>
      </c>
      <c r="L234" t="s">
        <v>13</v>
      </c>
    </row>
    <row r="235" spans="1:12" x14ac:dyDescent="0.35">
      <c r="A235" s="4">
        <v>256779415386</v>
      </c>
      <c r="B235" s="3">
        <v>45937</v>
      </c>
      <c r="C235" s="1">
        <v>0.15</v>
      </c>
      <c r="D235" s="1">
        <v>13.27</v>
      </c>
      <c r="E235" t="s">
        <v>290</v>
      </c>
      <c r="F235" s="3">
        <v>45908</v>
      </c>
      <c r="G235" t="s">
        <v>11</v>
      </c>
      <c r="H235" s="2">
        <v>45901</v>
      </c>
      <c r="I235">
        <v>1</v>
      </c>
      <c r="J235" t="s">
        <v>55</v>
      </c>
      <c r="K235">
        <v>230</v>
      </c>
      <c r="L235" t="s">
        <v>13</v>
      </c>
    </row>
    <row r="236" spans="1:12" x14ac:dyDescent="0.35">
      <c r="A236" s="4">
        <v>256779415336</v>
      </c>
      <c r="B236" s="3">
        <v>45937</v>
      </c>
      <c r="C236" s="1">
        <v>0.1</v>
      </c>
      <c r="D236" s="1">
        <v>8.85</v>
      </c>
      <c r="E236" t="s">
        <v>291</v>
      </c>
      <c r="F236" s="3">
        <v>45908</v>
      </c>
      <c r="G236" t="s">
        <v>11</v>
      </c>
      <c r="H236" s="2">
        <v>45901</v>
      </c>
      <c r="I236">
        <v>1</v>
      </c>
      <c r="J236" t="s">
        <v>55</v>
      </c>
      <c r="K236">
        <v>230</v>
      </c>
      <c r="L236" t="s">
        <v>13</v>
      </c>
    </row>
    <row r="237" spans="1:12" x14ac:dyDescent="0.35">
      <c r="A237" s="4">
        <v>256779415341</v>
      </c>
      <c r="B237" s="3">
        <v>45937</v>
      </c>
      <c r="C237" s="1">
        <v>0.3</v>
      </c>
      <c r="D237" s="1">
        <v>26.54</v>
      </c>
      <c r="E237" t="s">
        <v>292</v>
      </c>
      <c r="F237" s="3">
        <v>45908</v>
      </c>
      <c r="G237" t="s">
        <v>11</v>
      </c>
      <c r="H237" s="2">
        <v>45901</v>
      </c>
      <c r="I237">
        <v>1</v>
      </c>
      <c r="J237" t="s">
        <v>55</v>
      </c>
      <c r="K237">
        <v>230</v>
      </c>
      <c r="L237" t="s">
        <v>13</v>
      </c>
    </row>
    <row r="238" spans="1:12" x14ac:dyDescent="0.35">
      <c r="A238" s="4">
        <v>256779415380</v>
      </c>
      <c r="B238" s="3">
        <v>45937</v>
      </c>
      <c r="C238" s="1">
        <v>4</v>
      </c>
      <c r="D238" s="1">
        <v>353.88</v>
      </c>
      <c r="E238" t="s">
        <v>293</v>
      </c>
      <c r="F238" s="3">
        <v>45908</v>
      </c>
      <c r="G238" t="s">
        <v>11</v>
      </c>
      <c r="H238" s="2">
        <v>45901</v>
      </c>
      <c r="I238">
        <v>1</v>
      </c>
      <c r="J238" t="s">
        <v>55</v>
      </c>
      <c r="K238">
        <v>230</v>
      </c>
      <c r="L238" t="s">
        <v>13</v>
      </c>
    </row>
    <row r="239" spans="1:12" x14ac:dyDescent="0.35">
      <c r="A239" s="4">
        <v>256779415318</v>
      </c>
      <c r="B239" s="3">
        <v>45937</v>
      </c>
      <c r="C239" s="1">
        <v>5.09</v>
      </c>
      <c r="D239" s="1">
        <v>450.31</v>
      </c>
      <c r="E239" t="s">
        <v>294</v>
      </c>
      <c r="F239" s="3">
        <v>45908</v>
      </c>
      <c r="G239" t="s">
        <v>11</v>
      </c>
      <c r="H239" s="2">
        <v>45901</v>
      </c>
      <c r="I239">
        <v>1</v>
      </c>
      <c r="J239" t="s">
        <v>55</v>
      </c>
      <c r="K239">
        <v>230</v>
      </c>
      <c r="L239" t="s">
        <v>13</v>
      </c>
    </row>
    <row r="240" spans="1:12" x14ac:dyDescent="0.35">
      <c r="A240" s="4">
        <v>256779415384</v>
      </c>
      <c r="B240" s="3">
        <v>45937</v>
      </c>
      <c r="C240" s="1">
        <v>7</v>
      </c>
      <c r="D240" s="1">
        <v>619.29</v>
      </c>
      <c r="E240" t="s">
        <v>295</v>
      </c>
      <c r="F240" s="3">
        <v>45908</v>
      </c>
      <c r="G240" t="s">
        <v>11</v>
      </c>
      <c r="H240" s="2">
        <v>45901</v>
      </c>
      <c r="I240">
        <v>1</v>
      </c>
      <c r="J240" t="s">
        <v>55</v>
      </c>
      <c r="K240">
        <v>230</v>
      </c>
      <c r="L240" t="s">
        <v>13</v>
      </c>
    </row>
    <row r="241" spans="1:12" x14ac:dyDescent="0.35">
      <c r="A241" s="4">
        <v>256779415344</v>
      </c>
      <c r="B241" s="3">
        <v>45937</v>
      </c>
      <c r="C241" s="1">
        <v>0.5</v>
      </c>
      <c r="D241" s="1">
        <v>44.24</v>
      </c>
      <c r="E241" t="s">
        <v>296</v>
      </c>
      <c r="F241" s="3">
        <v>45908</v>
      </c>
      <c r="G241" t="s">
        <v>11</v>
      </c>
      <c r="H241" s="2">
        <v>45901</v>
      </c>
      <c r="I241">
        <v>1</v>
      </c>
      <c r="J241" t="s">
        <v>55</v>
      </c>
      <c r="K241">
        <v>230</v>
      </c>
      <c r="L241" t="s">
        <v>13</v>
      </c>
    </row>
    <row r="242" spans="1:12" x14ac:dyDescent="0.35">
      <c r="A242" s="4">
        <v>256779415382</v>
      </c>
      <c r="B242" s="3">
        <v>45937</v>
      </c>
      <c r="C242" s="1">
        <v>2.35</v>
      </c>
      <c r="D242" s="1">
        <v>207.9</v>
      </c>
      <c r="E242" t="s">
        <v>297</v>
      </c>
      <c r="F242" s="3">
        <v>45908</v>
      </c>
      <c r="G242" t="s">
        <v>11</v>
      </c>
      <c r="H242" s="2">
        <v>45901</v>
      </c>
      <c r="I242">
        <v>1</v>
      </c>
      <c r="J242" t="s">
        <v>55</v>
      </c>
      <c r="K242">
        <v>230</v>
      </c>
      <c r="L242" t="s">
        <v>13</v>
      </c>
    </row>
    <row r="243" spans="1:12" x14ac:dyDescent="0.35">
      <c r="A243" s="4">
        <v>256779415314</v>
      </c>
      <c r="B243" s="3">
        <v>45937</v>
      </c>
      <c r="C243" s="1">
        <v>3.58</v>
      </c>
      <c r="D243" s="1">
        <v>316.72000000000003</v>
      </c>
      <c r="E243" t="s">
        <v>298</v>
      </c>
      <c r="F243" s="3">
        <v>45908</v>
      </c>
      <c r="G243" t="s">
        <v>11</v>
      </c>
      <c r="H243" s="2">
        <v>45901</v>
      </c>
      <c r="I243">
        <v>1</v>
      </c>
      <c r="J243" t="s">
        <v>55</v>
      </c>
      <c r="K243">
        <v>230</v>
      </c>
      <c r="L243" t="s">
        <v>13</v>
      </c>
    </row>
    <row r="244" spans="1:12" x14ac:dyDescent="0.35">
      <c r="A244" s="4">
        <v>256779415355</v>
      </c>
      <c r="B244" s="3">
        <v>45937</v>
      </c>
      <c r="C244" s="1">
        <v>0.43</v>
      </c>
      <c r="D244" s="1">
        <v>38.04</v>
      </c>
      <c r="E244" t="s">
        <v>299</v>
      </c>
      <c r="F244" s="3">
        <v>45908</v>
      </c>
      <c r="G244" t="s">
        <v>11</v>
      </c>
      <c r="H244" s="2">
        <v>45901</v>
      </c>
      <c r="I244">
        <v>1</v>
      </c>
      <c r="J244" t="s">
        <v>55</v>
      </c>
      <c r="K244">
        <v>230</v>
      </c>
      <c r="L244" t="s">
        <v>13</v>
      </c>
    </row>
    <row r="245" spans="1:12" x14ac:dyDescent="0.35">
      <c r="A245" s="4">
        <v>256779415376</v>
      </c>
      <c r="B245" s="3">
        <v>45937</v>
      </c>
      <c r="C245" s="1">
        <v>1.2</v>
      </c>
      <c r="D245" s="1">
        <v>106.16</v>
      </c>
      <c r="E245" t="s">
        <v>300</v>
      </c>
      <c r="F245" s="3">
        <v>45908</v>
      </c>
      <c r="G245" t="s">
        <v>11</v>
      </c>
      <c r="H245" s="2">
        <v>45901</v>
      </c>
      <c r="I245">
        <v>1</v>
      </c>
      <c r="J245" t="s">
        <v>55</v>
      </c>
      <c r="K245">
        <v>230</v>
      </c>
      <c r="L245" t="s">
        <v>13</v>
      </c>
    </row>
    <row r="246" spans="1:12" x14ac:dyDescent="0.35">
      <c r="A246" s="4">
        <v>256779415334</v>
      </c>
      <c r="B246" s="3">
        <v>45937</v>
      </c>
      <c r="C246" s="1">
        <v>0.45</v>
      </c>
      <c r="D246" s="1">
        <v>39.81</v>
      </c>
      <c r="E246" t="s">
        <v>301</v>
      </c>
      <c r="F246" s="3">
        <v>45908</v>
      </c>
      <c r="G246" t="s">
        <v>11</v>
      </c>
      <c r="H246" s="2">
        <v>45901</v>
      </c>
      <c r="I246">
        <v>1</v>
      </c>
      <c r="J246" t="s">
        <v>55</v>
      </c>
      <c r="K246">
        <v>230</v>
      </c>
      <c r="L246" t="s">
        <v>13</v>
      </c>
    </row>
    <row r="247" spans="1:12" x14ac:dyDescent="0.35">
      <c r="A247" s="4">
        <v>256779415337</v>
      </c>
      <c r="B247" s="3">
        <v>45937</v>
      </c>
      <c r="C247" s="1">
        <v>0.35</v>
      </c>
      <c r="D247" s="1">
        <v>30.96</v>
      </c>
      <c r="E247" t="s">
        <v>302</v>
      </c>
      <c r="F247" s="3">
        <v>45908</v>
      </c>
      <c r="G247" t="s">
        <v>11</v>
      </c>
      <c r="H247" s="2">
        <v>45901</v>
      </c>
      <c r="I247">
        <v>1</v>
      </c>
      <c r="J247" t="s">
        <v>55</v>
      </c>
      <c r="K247">
        <v>230</v>
      </c>
      <c r="L247" t="s">
        <v>13</v>
      </c>
    </row>
    <row r="248" spans="1:12" x14ac:dyDescent="0.35">
      <c r="A248" s="4">
        <v>256779415357</v>
      </c>
      <c r="B248" s="3">
        <v>45937</v>
      </c>
      <c r="C248" s="1">
        <v>4.1500000000000004</v>
      </c>
      <c r="D248" s="1">
        <v>367.15</v>
      </c>
      <c r="E248" t="s">
        <v>303</v>
      </c>
      <c r="F248" s="3">
        <v>45908</v>
      </c>
      <c r="G248" t="s">
        <v>11</v>
      </c>
      <c r="H248" s="2">
        <v>45901</v>
      </c>
      <c r="I248">
        <v>1</v>
      </c>
      <c r="J248" t="s">
        <v>55</v>
      </c>
      <c r="K248">
        <v>230</v>
      </c>
      <c r="L248" t="s">
        <v>13</v>
      </c>
    </row>
    <row r="249" spans="1:12" x14ac:dyDescent="0.35">
      <c r="A249" s="4">
        <v>256779415340</v>
      </c>
      <c r="B249" s="3">
        <v>45937</v>
      </c>
      <c r="C249" s="1">
        <v>0.52</v>
      </c>
      <c r="D249" s="1">
        <v>46</v>
      </c>
      <c r="E249" t="s">
        <v>304</v>
      </c>
      <c r="F249" s="3">
        <v>45908</v>
      </c>
      <c r="G249" t="s">
        <v>11</v>
      </c>
      <c r="H249" s="2">
        <v>45901</v>
      </c>
      <c r="I249">
        <v>1</v>
      </c>
      <c r="J249" t="s">
        <v>55</v>
      </c>
      <c r="K249">
        <v>230</v>
      </c>
      <c r="L249" t="s">
        <v>13</v>
      </c>
    </row>
    <row r="250" spans="1:12" x14ac:dyDescent="0.35">
      <c r="A250" s="4">
        <v>256779415343</v>
      </c>
      <c r="B250" s="3">
        <v>45937</v>
      </c>
      <c r="C250" s="1">
        <v>0.02</v>
      </c>
      <c r="D250" s="1">
        <v>1.77</v>
      </c>
      <c r="E250" t="s">
        <v>305</v>
      </c>
      <c r="F250" s="3">
        <v>45908</v>
      </c>
      <c r="G250" t="s">
        <v>11</v>
      </c>
      <c r="H250" s="2">
        <v>45901</v>
      </c>
      <c r="I250">
        <v>1</v>
      </c>
      <c r="J250" t="s">
        <v>55</v>
      </c>
      <c r="K250">
        <v>230</v>
      </c>
      <c r="L250" t="s">
        <v>13</v>
      </c>
    </row>
    <row r="251" spans="1:12" x14ac:dyDescent="0.35">
      <c r="A251" s="4">
        <v>256779415308</v>
      </c>
      <c r="B251" s="3">
        <v>45937</v>
      </c>
      <c r="C251" s="1">
        <v>0.6</v>
      </c>
      <c r="D251" s="1">
        <v>53.08</v>
      </c>
      <c r="E251" t="s">
        <v>306</v>
      </c>
      <c r="F251" s="3">
        <v>45908</v>
      </c>
      <c r="G251" t="s">
        <v>11</v>
      </c>
      <c r="H251" s="2">
        <v>45901</v>
      </c>
      <c r="I251">
        <v>1</v>
      </c>
      <c r="J251" t="s">
        <v>55</v>
      </c>
      <c r="K251">
        <v>230</v>
      </c>
      <c r="L251" t="s">
        <v>13</v>
      </c>
    </row>
    <row r="252" spans="1:12" x14ac:dyDescent="0.35">
      <c r="A252" s="4">
        <v>256779415310</v>
      </c>
      <c r="B252" s="3">
        <v>45937</v>
      </c>
      <c r="C252" s="1">
        <v>0.6</v>
      </c>
      <c r="D252" s="1">
        <v>53.08</v>
      </c>
      <c r="E252" t="s">
        <v>307</v>
      </c>
      <c r="F252" s="3">
        <v>45908</v>
      </c>
      <c r="G252" t="s">
        <v>11</v>
      </c>
      <c r="H252" s="2">
        <v>45901</v>
      </c>
      <c r="I252">
        <v>1</v>
      </c>
      <c r="J252" t="s">
        <v>55</v>
      </c>
      <c r="K252">
        <v>230</v>
      </c>
      <c r="L252" t="s">
        <v>13</v>
      </c>
    </row>
    <row r="253" spans="1:12" x14ac:dyDescent="0.35">
      <c r="A253" s="4">
        <v>256779415349</v>
      </c>
      <c r="B253" s="3">
        <v>45937</v>
      </c>
      <c r="C253" s="1">
        <v>0.55000000000000004</v>
      </c>
      <c r="D253" s="1">
        <v>48.66</v>
      </c>
      <c r="E253" t="s">
        <v>308</v>
      </c>
      <c r="F253" s="3">
        <v>45908</v>
      </c>
      <c r="G253" t="s">
        <v>11</v>
      </c>
      <c r="H253" s="2">
        <v>45901</v>
      </c>
      <c r="I253">
        <v>1</v>
      </c>
      <c r="J253" t="s">
        <v>55</v>
      </c>
      <c r="K253">
        <v>230</v>
      </c>
      <c r="L253" t="s">
        <v>13</v>
      </c>
    </row>
    <row r="254" spans="1:12" x14ac:dyDescent="0.35">
      <c r="A254" s="4">
        <v>256779415295</v>
      </c>
      <c r="B254" s="3">
        <v>45937</v>
      </c>
      <c r="C254" s="1">
        <v>0.48</v>
      </c>
      <c r="D254" s="1">
        <v>42.47</v>
      </c>
      <c r="E254" t="s">
        <v>309</v>
      </c>
      <c r="F254" s="3">
        <v>45908</v>
      </c>
      <c r="G254" t="s">
        <v>11</v>
      </c>
      <c r="H254" s="2">
        <v>45901</v>
      </c>
      <c r="I254">
        <v>1</v>
      </c>
      <c r="J254" t="s">
        <v>55</v>
      </c>
      <c r="K254">
        <v>230</v>
      </c>
      <c r="L254" t="s">
        <v>13</v>
      </c>
    </row>
    <row r="255" spans="1:12" x14ac:dyDescent="0.35">
      <c r="A255" s="4">
        <v>256779415389</v>
      </c>
      <c r="B255" s="3">
        <v>45937</v>
      </c>
      <c r="C255" s="1">
        <v>3.41</v>
      </c>
      <c r="D255" s="1">
        <v>301.68</v>
      </c>
      <c r="E255" t="s">
        <v>310</v>
      </c>
      <c r="F255" s="3">
        <v>45908</v>
      </c>
      <c r="G255" t="s">
        <v>11</v>
      </c>
      <c r="H255" s="2">
        <v>45901</v>
      </c>
      <c r="I255">
        <v>1</v>
      </c>
      <c r="J255" t="s">
        <v>55</v>
      </c>
      <c r="K255">
        <v>230</v>
      </c>
      <c r="L255" t="s">
        <v>13</v>
      </c>
    </row>
    <row r="256" spans="1:12" x14ac:dyDescent="0.35">
      <c r="A256" s="4">
        <v>256779415388</v>
      </c>
      <c r="B256" s="3">
        <v>45937</v>
      </c>
      <c r="C256" s="1">
        <v>45.23</v>
      </c>
      <c r="D256" s="1">
        <v>4001.5</v>
      </c>
      <c r="E256" t="s">
        <v>311</v>
      </c>
      <c r="F256" s="3">
        <v>45908</v>
      </c>
      <c r="G256" t="s">
        <v>11</v>
      </c>
      <c r="H256" s="2">
        <v>45901</v>
      </c>
      <c r="I256">
        <v>1</v>
      </c>
      <c r="J256" t="s">
        <v>55</v>
      </c>
      <c r="K256">
        <v>230</v>
      </c>
      <c r="L256" t="s">
        <v>13</v>
      </c>
    </row>
    <row r="257" spans="1:12" x14ac:dyDescent="0.35">
      <c r="A257" s="4">
        <v>256779415348</v>
      </c>
      <c r="B257" s="3">
        <v>45937</v>
      </c>
      <c r="C257" s="1">
        <v>0.15</v>
      </c>
      <c r="D257" s="1">
        <v>13.27</v>
      </c>
      <c r="E257" t="s">
        <v>312</v>
      </c>
      <c r="F257" s="3">
        <v>45908</v>
      </c>
      <c r="G257" t="s">
        <v>11</v>
      </c>
      <c r="H257" s="2">
        <v>45901</v>
      </c>
      <c r="I257">
        <v>1</v>
      </c>
      <c r="J257" t="s">
        <v>55</v>
      </c>
      <c r="K257">
        <v>230</v>
      </c>
      <c r="L257" t="s">
        <v>13</v>
      </c>
    </row>
    <row r="258" spans="1:12" x14ac:dyDescent="0.35">
      <c r="A258" s="4">
        <v>256779415390</v>
      </c>
      <c r="B258" s="3">
        <v>45937</v>
      </c>
      <c r="C258" s="1">
        <v>2.2200000000000002</v>
      </c>
      <c r="D258" s="1">
        <v>196.4</v>
      </c>
      <c r="E258" t="s">
        <v>313</v>
      </c>
      <c r="F258" s="3">
        <v>45908</v>
      </c>
      <c r="G258" t="s">
        <v>11</v>
      </c>
      <c r="H258" s="2">
        <v>45901</v>
      </c>
      <c r="I258">
        <v>1</v>
      </c>
      <c r="J258" t="s">
        <v>55</v>
      </c>
      <c r="K258">
        <v>230</v>
      </c>
      <c r="L258" t="s">
        <v>13</v>
      </c>
    </row>
    <row r="259" spans="1:12" x14ac:dyDescent="0.35">
      <c r="A259" s="4">
        <v>256779415395</v>
      </c>
      <c r="B259" s="3">
        <v>45937</v>
      </c>
      <c r="C259" s="1">
        <v>4.1100000000000003</v>
      </c>
      <c r="D259" s="1">
        <v>363.61</v>
      </c>
      <c r="E259" t="s">
        <v>314</v>
      </c>
      <c r="F259" s="3">
        <v>45908</v>
      </c>
      <c r="G259" t="s">
        <v>11</v>
      </c>
      <c r="H259" s="2">
        <v>45901</v>
      </c>
      <c r="I259">
        <v>1</v>
      </c>
      <c r="J259" t="s">
        <v>55</v>
      </c>
      <c r="K259">
        <v>230</v>
      </c>
      <c r="L259" t="s">
        <v>13</v>
      </c>
    </row>
    <row r="260" spans="1:12" x14ac:dyDescent="0.35">
      <c r="A260" s="4">
        <v>256779415326</v>
      </c>
      <c r="B260" s="3">
        <v>45937</v>
      </c>
      <c r="C260" s="1">
        <v>3.7</v>
      </c>
      <c r="D260" s="1">
        <v>327.33999999999997</v>
      </c>
      <c r="E260" t="s">
        <v>315</v>
      </c>
      <c r="F260" s="3">
        <v>45908</v>
      </c>
      <c r="G260" t="s">
        <v>11</v>
      </c>
      <c r="H260" s="2">
        <v>45901</v>
      </c>
      <c r="I260">
        <v>1</v>
      </c>
      <c r="J260" t="s">
        <v>55</v>
      </c>
      <c r="K260">
        <v>230</v>
      </c>
      <c r="L260" t="s">
        <v>13</v>
      </c>
    </row>
    <row r="261" spans="1:12" x14ac:dyDescent="0.35">
      <c r="A261" s="4">
        <v>256779415350</v>
      </c>
      <c r="B261" s="3">
        <v>45937</v>
      </c>
      <c r="C261" s="1">
        <v>0.45</v>
      </c>
      <c r="D261" s="1">
        <v>39.81</v>
      </c>
      <c r="E261" t="s">
        <v>316</v>
      </c>
      <c r="F261" s="3">
        <v>45908</v>
      </c>
      <c r="G261" t="s">
        <v>11</v>
      </c>
      <c r="H261" s="2">
        <v>45901</v>
      </c>
      <c r="I261">
        <v>1</v>
      </c>
      <c r="J261" t="s">
        <v>55</v>
      </c>
      <c r="K261">
        <v>230</v>
      </c>
      <c r="L261" t="s">
        <v>13</v>
      </c>
    </row>
    <row r="262" spans="1:12" x14ac:dyDescent="0.35">
      <c r="A262" s="4">
        <v>256779415394</v>
      </c>
      <c r="B262" s="3">
        <v>45937</v>
      </c>
      <c r="C262" s="1">
        <v>1.92</v>
      </c>
      <c r="D262" s="1">
        <v>169.86</v>
      </c>
      <c r="E262" t="s">
        <v>317</v>
      </c>
      <c r="F262" s="3">
        <v>45908</v>
      </c>
      <c r="G262" t="s">
        <v>11</v>
      </c>
      <c r="H262" s="2">
        <v>45901</v>
      </c>
      <c r="I262">
        <v>1</v>
      </c>
      <c r="J262" t="s">
        <v>55</v>
      </c>
      <c r="K262">
        <v>230</v>
      </c>
      <c r="L262" t="s">
        <v>13</v>
      </c>
    </row>
    <row r="263" spans="1:12" x14ac:dyDescent="0.35">
      <c r="A263" s="4">
        <v>256779415360</v>
      </c>
      <c r="B263" s="3">
        <v>45937</v>
      </c>
      <c r="C263" s="1">
        <v>1.2</v>
      </c>
      <c r="D263" s="1">
        <v>106.16</v>
      </c>
      <c r="E263" t="s">
        <v>318</v>
      </c>
      <c r="F263" s="3">
        <v>45908</v>
      </c>
      <c r="G263" t="s">
        <v>11</v>
      </c>
      <c r="H263" s="2">
        <v>45901</v>
      </c>
      <c r="I263">
        <v>1</v>
      </c>
      <c r="J263" t="s">
        <v>55</v>
      </c>
      <c r="K263">
        <v>230</v>
      </c>
      <c r="L263" t="s">
        <v>13</v>
      </c>
    </row>
    <row r="264" spans="1:12" x14ac:dyDescent="0.35">
      <c r="A264" s="4">
        <v>256779415294</v>
      </c>
      <c r="B264" s="3">
        <v>45937</v>
      </c>
      <c r="C264" s="1">
        <v>0.48</v>
      </c>
      <c r="D264" s="1">
        <v>42.47</v>
      </c>
      <c r="E264" t="s">
        <v>319</v>
      </c>
      <c r="F264" s="3">
        <v>45908</v>
      </c>
      <c r="G264" t="s">
        <v>11</v>
      </c>
      <c r="H264" s="2">
        <v>45901</v>
      </c>
      <c r="I264">
        <v>1</v>
      </c>
      <c r="J264" t="s">
        <v>55</v>
      </c>
      <c r="K264">
        <v>230</v>
      </c>
      <c r="L264" t="s">
        <v>13</v>
      </c>
    </row>
    <row r="265" spans="1:12" x14ac:dyDescent="0.35">
      <c r="A265" s="4">
        <v>256779415370</v>
      </c>
      <c r="B265" s="3">
        <v>45937</v>
      </c>
      <c r="C265" s="1">
        <v>1.44</v>
      </c>
      <c r="D265" s="1">
        <v>127.4</v>
      </c>
      <c r="E265" t="s">
        <v>320</v>
      </c>
      <c r="F265" s="3">
        <v>45908</v>
      </c>
      <c r="G265" t="s">
        <v>11</v>
      </c>
      <c r="H265" s="2">
        <v>45901</v>
      </c>
      <c r="I265">
        <v>1</v>
      </c>
      <c r="J265" t="s">
        <v>55</v>
      </c>
      <c r="K265">
        <v>230</v>
      </c>
      <c r="L265" t="s">
        <v>13</v>
      </c>
    </row>
    <row r="266" spans="1:12" x14ac:dyDescent="0.35">
      <c r="A266" s="4">
        <v>256779415335</v>
      </c>
      <c r="B266" s="3">
        <v>45937</v>
      </c>
      <c r="C266" s="1">
        <v>0.5</v>
      </c>
      <c r="D266" s="1">
        <v>44.24</v>
      </c>
      <c r="E266" t="s">
        <v>321</v>
      </c>
      <c r="F266" s="3">
        <v>45908</v>
      </c>
      <c r="G266" t="s">
        <v>11</v>
      </c>
      <c r="H266" s="2">
        <v>45901</v>
      </c>
      <c r="I266">
        <v>1</v>
      </c>
      <c r="J266" t="s">
        <v>55</v>
      </c>
      <c r="K266">
        <v>230</v>
      </c>
      <c r="L266" t="s">
        <v>13</v>
      </c>
    </row>
    <row r="267" spans="1:12" x14ac:dyDescent="0.35">
      <c r="A267" s="4">
        <v>256779415364</v>
      </c>
      <c r="B267" s="3">
        <v>45937</v>
      </c>
      <c r="C267" s="1">
        <v>4</v>
      </c>
      <c r="D267" s="1">
        <v>353.88</v>
      </c>
      <c r="E267" t="s">
        <v>322</v>
      </c>
      <c r="F267" s="3">
        <v>45908</v>
      </c>
      <c r="G267" t="s">
        <v>11</v>
      </c>
      <c r="H267" s="2">
        <v>45901</v>
      </c>
      <c r="I267">
        <v>1</v>
      </c>
      <c r="J267" t="s">
        <v>55</v>
      </c>
      <c r="K267">
        <v>230</v>
      </c>
      <c r="L267" t="s">
        <v>13</v>
      </c>
    </row>
    <row r="268" spans="1:12" x14ac:dyDescent="0.35">
      <c r="A268" s="4">
        <v>256779415299</v>
      </c>
      <c r="B268" s="3">
        <v>45937</v>
      </c>
      <c r="C268" s="1">
        <v>0.48</v>
      </c>
      <c r="D268" s="1">
        <v>42.47</v>
      </c>
      <c r="E268" t="s">
        <v>323</v>
      </c>
      <c r="F268" s="3">
        <v>45908</v>
      </c>
      <c r="G268" t="s">
        <v>11</v>
      </c>
      <c r="H268" s="2">
        <v>45901</v>
      </c>
      <c r="I268">
        <v>1</v>
      </c>
      <c r="J268" t="s">
        <v>55</v>
      </c>
      <c r="K268">
        <v>230</v>
      </c>
      <c r="L268" t="s">
        <v>13</v>
      </c>
    </row>
    <row r="269" spans="1:12" x14ac:dyDescent="0.35">
      <c r="A269" s="4">
        <v>256779415307</v>
      </c>
      <c r="B269" s="3">
        <v>45937</v>
      </c>
      <c r="C269" s="1">
        <v>0.6</v>
      </c>
      <c r="D269" s="1">
        <v>53.08</v>
      </c>
      <c r="E269" t="s">
        <v>324</v>
      </c>
      <c r="F269" s="3">
        <v>45908</v>
      </c>
      <c r="G269" t="s">
        <v>11</v>
      </c>
      <c r="H269" s="2">
        <v>45901</v>
      </c>
      <c r="I269">
        <v>1</v>
      </c>
      <c r="J269" t="s">
        <v>55</v>
      </c>
      <c r="K269">
        <v>230</v>
      </c>
      <c r="L269" t="s">
        <v>13</v>
      </c>
    </row>
    <row r="270" spans="1:12" x14ac:dyDescent="0.35">
      <c r="A270" s="4">
        <v>256779415347</v>
      </c>
      <c r="B270" s="3">
        <v>45937</v>
      </c>
      <c r="C270" s="1">
        <v>0.4</v>
      </c>
      <c r="D270" s="1">
        <v>35.39</v>
      </c>
      <c r="E270" t="s">
        <v>325</v>
      </c>
      <c r="F270" s="3">
        <v>45908</v>
      </c>
      <c r="G270" t="s">
        <v>11</v>
      </c>
      <c r="H270" s="2">
        <v>45901</v>
      </c>
      <c r="I270">
        <v>1</v>
      </c>
      <c r="J270" t="s">
        <v>55</v>
      </c>
      <c r="K270">
        <v>230</v>
      </c>
      <c r="L270" t="s">
        <v>13</v>
      </c>
    </row>
    <row r="271" spans="1:12" x14ac:dyDescent="0.35">
      <c r="A271" s="4">
        <v>256779415316</v>
      </c>
      <c r="B271" s="3">
        <v>45937</v>
      </c>
      <c r="C271" s="1">
        <v>1.2</v>
      </c>
      <c r="D271" s="1">
        <v>106.16</v>
      </c>
      <c r="E271" t="s">
        <v>326</v>
      </c>
      <c r="F271" s="3">
        <v>45908</v>
      </c>
      <c r="G271" t="s">
        <v>11</v>
      </c>
      <c r="H271" s="2">
        <v>45901</v>
      </c>
      <c r="I271">
        <v>1</v>
      </c>
      <c r="J271" t="s">
        <v>55</v>
      </c>
      <c r="K271">
        <v>230</v>
      </c>
      <c r="L271" t="s">
        <v>13</v>
      </c>
    </row>
    <row r="272" spans="1:12" x14ac:dyDescent="0.35">
      <c r="A272" s="4">
        <v>256779415297</v>
      </c>
      <c r="B272" s="3">
        <v>45937</v>
      </c>
      <c r="C272" s="1">
        <v>0.48</v>
      </c>
      <c r="D272" s="1">
        <v>42.47</v>
      </c>
      <c r="E272" t="s">
        <v>327</v>
      </c>
      <c r="F272" s="3">
        <v>45908</v>
      </c>
      <c r="G272" t="s">
        <v>11</v>
      </c>
      <c r="H272" s="2">
        <v>45901</v>
      </c>
      <c r="I272">
        <v>1</v>
      </c>
      <c r="J272" t="s">
        <v>55</v>
      </c>
      <c r="K272">
        <v>230</v>
      </c>
      <c r="L272" t="s">
        <v>13</v>
      </c>
    </row>
    <row r="273" spans="1:12" x14ac:dyDescent="0.35">
      <c r="A273" s="4">
        <v>256779415292</v>
      </c>
      <c r="B273" s="3">
        <v>45937</v>
      </c>
      <c r="C273" s="1">
        <v>0.48</v>
      </c>
      <c r="D273" s="1">
        <v>42.47</v>
      </c>
      <c r="E273" t="s">
        <v>328</v>
      </c>
      <c r="F273" s="3">
        <v>45908</v>
      </c>
      <c r="G273" t="s">
        <v>11</v>
      </c>
      <c r="H273" s="2">
        <v>45901</v>
      </c>
      <c r="I273">
        <v>1</v>
      </c>
      <c r="J273" t="s">
        <v>55</v>
      </c>
      <c r="K273">
        <v>230</v>
      </c>
      <c r="L273" t="s">
        <v>13</v>
      </c>
    </row>
    <row r="274" spans="1:12" x14ac:dyDescent="0.35">
      <c r="A274" s="4">
        <v>256779415353</v>
      </c>
      <c r="B274" s="3">
        <v>45937</v>
      </c>
      <c r="C274" s="1">
        <v>4</v>
      </c>
      <c r="D274" s="1">
        <v>353.88</v>
      </c>
      <c r="E274" t="s">
        <v>329</v>
      </c>
      <c r="F274" s="3">
        <v>45908</v>
      </c>
      <c r="G274" t="s">
        <v>11</v>
      </c>
      <c r="H274" s="2">
        <v>45931</v>
      </c>
      <c r="I274">
        <v>1</v>
      </c>
      <c r="J274" t="s">
        <v>17</v>
      </c>
      <c r="K274">
        <v>230</v>
      </c>
      <c r="L274" t="s">
        <v>13</v>
      </c>
    </row>
    <row r="275" spans="1:12" x14ac:dyDescent="0.35">
      <c r="A275" s="4">
        <v>256779415330</v>
      </c>
      <c r="B275" s="3">
        <v>45937</v>
      </c>
      <c r="C275" s="1">
        <v>0.45</v>
      </c>
      <c r="D275" s="1">
        <v>39.81</v>
      </c>
      <c r="E275" t="s">
        <v>330</v>
      </c>
      <c r="F275" s="3">
        <v>45908</v>
      </c>
      <c r="G275" t="s">
        <v>11</v>
      </c>
      <c r="H275" s="2">
        <v>45931</v>
      </c>
      <c r="I275">
        <v>1</v>
      </c>
      <c r="J275" t="s">
        <v>17</v>
      </c>
      <c r="K275">
        <v>230</v>
      </c>
      <c r="L275" t="s">
        <v>13</v>
      </c>
    </row>
    <row r="276" spans="1:12" x14ac:dyDescent="0.35">
      <c r="A276" s="4">
        <v>256779415366</v>
      </c>
      <c r="B276" s="3">
        <v>45937</v>
      </c>
      <c r="C276" s="1">
        <v>3.84</v>
      </c>
      <c r="D276" s="1">
        <v>339.72</v>
      </c>
      <c r="E276" t="s">
        <v>331</v>
      </c>
      <c r="F276" s="3">
        <v>45908</v>
      </c>
      <c r="G276" t="s">
        <v>11</v>
      </c>
      <c r="H276" s="2">
        <v>45931</v>
      </c>
      <c r="I276">
        <v>1</v>
      </c>
      <c r="J276" t="s">
        <v>17</v>
      </c>
      <c r="K276">
        <v>230</v>
      </c>
      <c r="L276" t="s">
        <v>13</v>
      </c>
    </row>
    <row r="277" spans="1:12" x14ac:dyDescent="0.35">
      <c r="A277" s="4">
        <v>256779415311</v>
      </c>
      <c r="B277" s="3">
        <v>45937</v>
      </c>
      <c r="C277" s="1">
        <v>1.55</v>
      </c>
      <c r="D277" s="1">
        <v>137.13</v>
      </c>
      <c r="E277" t="s">
        <v>332</v>
      </c>
      <c r="F277" s="3">
        <v>45908</v>
      </c>
      <c r="G277" t="s">
        <v>11</v>
      </c>
      <c r="H277" s="2">
        <v>45931</v>
      </c>
      <c r="I277">
        <v>1</v>
      </c>
      <c r="J277" t="s">
        <v>17</v>
      </c>
      <c r="K277">
        <v>230</v>
      </c>
      <c r="L277" t="s">
        <v>13</v>
      </c>
    </row>
    <row r="278" spans="1:12" x14ac:dyDescent="0.35">
      <c r="A278" s="4">
        <v>256779415320</v>
      </c>
      <c r="B278" s="3">
        <v>45937</v>
      </c>
      <c r="C278" s="1">
        <v>0.25</v>
      </c>
      <c r="D278" s="1">
        <v>22.12</v>
      </c>
      <c r="E278" t="s">
        <v>333</v>
      </c>
      <c r="F278" s="3">
        <v>45908</v>
      </c>
      <c r="G278" t="s">
        <v>11</v>
      </c>
      <c r="H278" s="2">
        <v>45931</v>
      </c>
      <c r="I278">
        <v>1</v>
      </c>
      <c r="J278" t="s">
        <v>17</v>
      </c>
      <c r="K278">
        <v>230</v>
      </c>
      <c r="L278" t="s">
        <v>13</v>
      </c>
    </row>
    <row r="279" spans="1:12" x14ac:dyDescent="0.35">
      <c r="A279" s="4">
        <v>256779415329</v>
      </c>
      <c r="B279" s="3">
        <v>45937</v>
      </c>
      <c r="C279" s="1">
        <v>0.55000000000000004</v>
      </c>
      <c r="D279" s="1">
        <v>48.66</v>
      </c>
      <c r="E279" t="s">
        <v>334</v>
      </c>
      <c r="F279" s="3">
        <v>45908</v>
      </c>
      <c r="G279" t="s">
        <v>11</v>
      </c>
      <c r="H279" s="2">
        <v>45931</v>
      </c>
      <c r="I279">
        <v>1</v>
      </c>
      <c r="J279" t="s">
        <v>17</v>
      </c>
      <c r="K279">
        <v>230</v>
      </c>
      <c r="L279" t="s">
        <v>13</v>
      </c>
    </row>
    <row r="280" spans="1:12" x14ac:dyDescent="0.35">
      <c r="A280" s="4">
        <v>256779415327</v>
      </c>
      <c r="B280" s="3">
        <v>45937</v>
      </c>
      <c r="C280" s="1">
        <v>0.4</v>
      </c>
      <c r="D280" s="1">
        <v>35.39</v>
      </c>
      <c r="E280" t="s">
        <v>335</v>
      </c>
      <c r="F280" s="3">
        <v>45908</v>
      </c>
      <c r="G280" t="s">
        <v>11</v>
      </c>
      <c r="H280" s="2">
        <v>45931</v>
      </c>
      <c r="I280">
        <v>1</v>
      </c>
      <c r="J280" t="s">
        <v>17</v>
      </c>
      <c r="K280">
        <v>230</v>
      </c>
      <c r="L280" t="s">
        <v>13</v>
      </c>
    </row>
    <row r="281" spans="1:12" x14ac:dyDescent="0.35">
      <c r="A281" s="4">
        <v>256779415367</v>
      </c>
      <c r="B281" s="3">
        <v>45937</v>
      </c>
      <c r="C281" s="1">
        <v>4</v>
      </c>
      <c r="D281" s="1">
        <v>353.88</v>
      </c>
      <c r="E281" t="s">
        <v>336</v>
      </c>
      <c r="F281" s="3">
        <v>45908</v>
      </c>
      <c r="G281" t="s">
        <v>11</v>
      </c>
      <c r="H281" s="2">
        <v>45931</v>
      </c>
      <c r="I281">
        <v>1</v>
      </c>
      <c r="J281" t="s">
        <v>17</v>
      </c>
      <c r="K281">
        <v>230</v>
      </c>
      <c r="L281" t="s">
        <v>13</v>
      </c>
    </row>
    <row r="282" spans="1:12" x14ac:dyDescent="0.35">
      <c r="A282" s="4">
        <v>256779415368</v>
      </c>
      <c r="B282" s="3">
        <v>45937</v>
      </c>
      <c r="C282" s="1">
        <v>1.2</v>
      </c>
      <c r="D282" s="1">
        <v>106.16</v>
      </c>
      <c r="E282" t="s">
        <v>337</v>
      </c>
      <c r="F282" s="3">
        <v>45908</v>
      </c>
      <c r="G282" t="s">
        <v>11</v>
      </c>
      <c r="H282" s="2">
        <v>45931</v>
      </c>
      <c r="I282">
        <v>1</v>
      </c>
      <c r="J282" t="s">
        <v>17</v>
      </c>
      <c r="K282">
        <v>230</v>
      </c>
      <c r="L282" t="s">
        <v>13</v>
      </c>
    </row>
    <row r="283" spans="1:12" x14ac:dyDescent="0.35">
      <c r="A283" s="4">
        <v>256779415312</v>
      </c>
      <c r="B283" s="3">
        <v>45937</v>
      </c>
      <c r="C283" s="1">
        <v>4</v>
      </c>
      <c r="D283" s="1">
        <v>353.88</v>
      </c>
      <c r="E283" t="s">
        <v>338</v>
      </c>
      <c r="F283" s="3">
        <v>45908</v>
      </c>
      <c r="G283" t="s">
        <v>11</v>
      </c>
      <c r="H283" s="2">
        <v>45931</v>
      </c>
      <c r="I283">
        <v>1</v>
      </c>
      <c r="J283" t="s">
        <v>17</v>
      </c>
      <c r="K283">
        <v>230</v>
      </c>
      <c r="L283" t="s">
        <v>13</v>
      </c>
    </row>
    <row r="284" spans="1:12" x14ac:dyDescent="0.35">
      <c r="A284" s="4">
        <v>256779415301</v>
      </c>
      <c r="B284" s="3">
        <v>45937</v>
      </c>
      <c r="C284" s="1">
        <v>0.6</v>
      </c>
      <c r="D284" s="1">
        <v>53.08</v>
      </c>
      <c r="E284" t="s">
        <v>339</v>
      </c>
      <c r="F284" s="3">
        <v>45908</v>
      </c>
      <c r="G284" t="s">
        <v>11</v>
      </c>
      <c r="H284" s="2">
        <v>45931</v>
      </c>
      <c r="I284">
        <v>1</v>
      </c>
      <c r="J284" t="s">
        <v>17</v>
      </c>
      <c r="K284">
        <v>230</v>
      </c>
      <c r="L284" t="s">
        <v>13</v>
      </c>
    </row>
    <row r="285" spans="1:12" x14ac:dyDescent="0.35">
      <c r="A285" s="4">
        <v>256779415324</v>
      </c>
      <c r="B285" s="3">
        <v>45937</v>
      </c>
      <c r="C285" s="1">
        <v>2.93</v>
      </c>
      <c r="D285" s="1">
        <v>259.22000000000003</v>
      </c>
      <c r="E285" t="s">
        <v>340</v>
      </c>
      <c r="F285" s="3">
        <v>45908</v>
      </c>
      <c r="G285" t="s">
        <v>11</v>
      </c>
      <c r="H285" s="2">
        <v>45931</v>
      </c>
      <c r="I285">
        <v>1</v>
      </c>
      <c r="J285" t="s">
        <v>17</v>
      </c>
      <c r="K285">
        <v>230</v>
      </c>
      <c r="L285" t="s">
        <v>13</v>
      </c>
    </row>
    <row r="286" spans="1:12" x14ac:dyDescent="0.35">
      <c r="A286" s="4">
        <v>256779415322</v>
      </c>
      <c r="B286" s="3">
        <v>45937</v>
      </c>
      <c r="C286" s="1">
        <v>3.84</v>
      </c>
      <c r="D286" s="1">
        <v>339.72</v>
      </c>
      <c r="E286" t="s">
        <v>341</v>
      </c>
      <c r="F286" s="3">
        <v>45908</v>
      </c>
      <c r="G286" t="s">
        <v>11</v>
      </c>
      <c r="H286" s="2">
        <v>45931</v>
      </c>
      <c r="I286">
        <v>1</v>
      </c>
      <c r="J286" t="s">
        <v>17</v>
      </c>
      <c r="K286">
        <v>230</v>
      </c>
      <c r="L286" t="s">
        <v>13</v>
      </c>
    </row>
    <row r="287" spans="1:12" x14ac:dyDescent="0.35">
      <c r="A287" s="4">
        <v>256779415354</v>
      </c>
      <c r="B287" s="3">
        <v>45937</v>
      </c>
      <c r="C287" s="1">
        <v>1.2</v>
      </c>
      <c r="D287" s="1">
        <v>106.16</v>
      </c>
      <c r="E287" t="s">
        <v>342</v>
      </c>
      <c r="F287" s="3">
        <v>45908</v>
      </c>
      <c r="G287" t="s">
        <v>11</v>
      </c>
      <c r="H287" s="2">
        <v>45931</v>
      </c>
      <c r="I287">
        <v>1</v>
      </c>
      <c r="J287" t="s">
        <v>17</v>
      </c>
      <c r="K287">
        <v>230</v>
      </c>
      <c r="L287" t="s">
        <v>13</v>
      </c>
    </row>
    <row r="288" spans="1:12" x14ac:dyDescent="0.35">
      <c r="A288" s="4">
        <v>256779415351</v>
      </c>
      <c r="B288" s="3">
        <v>45937</v>
      </c>
      <c r="C288" s="1">
        <v>0.34</v>
      </c>
      <c r="D288" s="1">
        <v>29.24</v>
      </c>
      <c r="E288" t="s">
        <v>343</v>
      </c>
      <c r="F288" s="3">
        <v>45908</v>
      </c>
      <c r="G288" t="s">
        <v>11</v>
      </c>
      <c r="H288" s="2">
        <v>45931</v>
      </c>
      <c r="I288">
        <v>1</v>
      </c>
      <c r="J288" t="s">
        <v>17</v>
      </c>
      <c r="K288">
        <v>230</v>
      </c>
      <c r="L288" t="s">
        <v>13</v>
      </c>
    </row>
    <row r="289" spans="1:12" x14ac:dyDescent="0.35">
      <c r="A289" s="4">
        <v>256779415365</v>
      </c>
      <c r="B289" s="3">
        <v>45937</v>
      </c>
      <c r="C289" s="1">
        <v>6.26</v>
      </c>
      <c r="D289" s="1">
        <v>553.82000000000005</v>
      </c>
      <c r="E289" t="s">
        <v>344</v>
      </c>
      <c r="F289" s="3">
        <v>45908</v>
      </c>
      <c r="G289" t="s">
        <v>11</v>
      </c>
      <c r="H289" s="2">
        <v>45931</v>
      </c>
      <c r="I289">
        <v>1</v>
      </c>
      <c r="J289" t="s">
        <v>17</v>
      </c>
      <c r="K289">
        <v>230</v>
      </c>
      <c r="L289" t="s">
        <v>13</v>
      </c>
    </row>
    <row r="290" spans="1:12" x14ac:dyDescent="0.35">
      <c r="A290" s="4">
        <v>256779415323</v>
      </c>
      <c r="B290" s="3">
        <v>45937</v>
      </c>
      <c r="C290" s="1">
        <v>4.24</v>
      </c>
      <c r="D290" s="1">
        <v>375.11</v>
      </c>
      <c r="E290" t="s">
        <v>345</v>
      </c>
      <c r="F290" s="3">
        <v>45908</v>
      </c>
      <c r="G290" t="s">
        <v>11</v>
      </c>
      <c r="H290" s="2">
        <v>45931</v>
      </c>
      <c r="I290">
        <v>1</v>
      </c>
      <c r="J290" t="s">
        <v>17</v>
      </c>
      <c r="K290">
        <v>230</v>
      </c>
      <c r="L290" t="s">
        <v>13</v>
      </c>
    </row>
    <row r="291" spans="1:12" x14ac:dyDescent="0.35">
      <c r="A291" s="4">
        <v>256779415387</v>
      </c>
      <c r="B291" s="3">
        <v>45937</v>
      </c>
      <c r="C291" s="1">
        <v>1.42</v>
      </c>
      <c r="D291" s="1">
        <v>122.11</v>
      </c>
      <c r="E291" t="s">
        <v>346</v>
      </c>
      <c r="F291" s="3">
        <v>45908</v>
      </c>
      <c r="G291" t="s">
        <v>11</v>
      </c>
      <c r="H291" s="2">
        <v>45931</v>
      </c>
      <c r="I291">
        <v>1</v>
      </c>
      <c r="J291" t="s">
        <v>17</v>
      </c>
      <c r="K291">
        <v>230</v>
      </c>
      <c r="L291" t="s">
        <v>13</v>
      </c>
    </row>
    <row r="292" spans="1:12" x14ac:dyDescent="0.35">
      <c r="A292" s="4">
        <v>256779415289</v>
      </c>
      <c r="B292" s="3">
        <v>45937</v>
      </c>
      <c r="C292" s="1">
        <v>5</v>
      </c>
      <c r="D292" s="1">
        <v>442.35</v>
      </c>
      <c r="E292" t="s">
        <v>347</v>
      </c>
      <c r="F292" s="3">
        <v>45908</v>
      </c>
      <c r="G292" t="s">
        <v>11</v>
      </c>
      <c r="H292" s="2">
        <v>45931</v>
      </c>
      <c r="I292">
        <v>1</v>
      </c>
      <c r="J292" t="s">
        <v>17</v>
      </c>
      <c r="K292">
        <v>230</v>
      </c>
      <c r="L292" t="s">
        <v>13</v>
      </c>
    </row>
    <row r="293" spans="1:12" x14ac:dyDescent="0.35">
      <c r="A293" s="4">
        <v>256779415302</v>
      </c>
      <c r="B293" s="3">
        <v>45937</v>
      </c>
      <c r="C293" s="1">
        <v>0.6</v>
      </c>
      <c r="D293" s="1">
        <v>53.08</v>
      </c>
      <c r="E293" t="s">
        <v>348</v>
      </c>
      <c r="F293" s="3">
        <v>45908</v>
      </c>
      <c r="G293" t="s">
        <v>11</v>
      </c>
      <c r="H293" s="2">
        <v>45931</v>
      </c>
      <c r="I293">
        <v>1</v>
      </c>
      <c r="J293" t="s">
        <v>17</v>
      </c>
      <c r="K293">
        <v>230</v>
      </c>
      <c r="L293" t="s">
        <v>13</v>
      </c>
    </row>
    <row r="294" spans="1:12" x14ac:dyDescent="0.35">
      <c r="A294" s="4">
        <v>256779415313</v>
      </c>
      <c r="B294" s="3">
        <v>45937</v>
      </c>
      <c r="C294" s="1">
        <v>1.2</v>
      </c>
      <c r="D294" s="1">
        <v>106.16</v>
      </c>
      <c r="E294" t="s">
        <v>349</v>
      </c>
      <c r="F294" s="3">
        <v>45908</v>
      </c>
      <c r="G294" t="s">
        <v>11</v>
      </c>
      <c r="H294" s="2">
        <v>45931</v>
      </c>
      <c r="I294">
        <v>1</v>
      </c>
      <c r="J294" t="s">
        <v>17</v>
      </c>
      <c r="K294">
        <v>230</v>
      </c>
      <c r="L294" t="s">
        <v>13</v>
      </c>
    </row>
    <row r="295" spans="1:12" x14ac:dyDescent="0.35">
      <c r="A295" s="4">
        <v>256779415309</v>
      </c>
      <c r="B295" s="3">
        <v>45937</v>
      </c>
      <c r="C295" s="1">
        <v>0.6</v>
      </c>
      <c r="D295" s="1">
        <v>53.08</v>
      </c>
      <c r="E295" t="s">
        <v>350</v>
      </c>
      <c r="F295" s="3">
        <v>45908</v>
      </c>
      <c r="G295" t="s">
        <v>11</v>
      </c>
      <c r="H295" s="2">
        <v>45931</v>
      </c>
      <c r="I295">
        <v>1</v>
      </c>
      <c r="J295" t="s">
        <v>17</v>
      </c>
      <c r="K295">
        <v>230</v>
      </c>
      <c r="L295" t="s">
        <v>13</v>
      </c>
    </row>
    <row r="296" spans="1:12" x14ac:dyDescent="0.35">
      <c r="A296" s="4">
        <v>256779415325</v>
      </c>
      <c r="B296" s="3">
        <v>45937</v>
      </c>
      <c r="C296" s="1">
        <v>3.84</v>
      </c>
      <c r="D296" s="1">
        <v>339.72</v>
      </c>
      <c r="E296" t="s">
        <v>351</v>
      </c>
      <c r="F296" s="3">
        <v>45908</v>
      </c>
      <c r="G296" t="s">
        <v>11</v>
      </c>
      <c r="H296" s="2">
        <v>45931</v>
      </c>
      <c r="I296">
        <v>1</v>
      </c>
      <c r="J296" t="s">
        <v>17</v>
      </c>
      <c r="K296">
        <v>230</v>
      </c>
      <c r="L296" t="s">
        <v>13</v>
      </c>
    </row>
    <row r="297" spans="1:12" x14ac:dyDescent="0.35">
      <c r="A297" s="4">
        <v>256779415331</v>
      </c>
      <c r="B297" s="3">
        <v>45937</v>
      </c>
      <c r="C297" s="1">
        <v>0.45</v>
      </c>
      <c r="D297" s="1">
        <v>39.81</v>
      </c>
      <c r="E297" t="s">
        <v>352</v>
      </c>
      <c r="F297" s="3">
        <v>45908</v>
      </c>
      <c r="G297" t="s">
        <v>11</v>
      </c>
      <c r="H297" s="2">
        <v>45931</v>
      </c>
      <c r="I297">
        <v>1</v>
      </c>
      <c r="J297" t="s">
        <v>17</v>
      </c>
      <c r="K297">
        <v>230</v>
      </c>
      <c r="L297" t="s">
        <v>13</v>
      </c>
    </row>
    <row r="298" spans="1:12" x14ac:dyDescent="0.35">
      <c r="A298" s="4">
        <v>256779415290</v>
      </c>
      <c r="B298" s="3">
        <v>45937</v>
      </c>
      <c r="C298" s="1">
        <v>0.48</v>
      </c>
      <c r="D298" s="1">
        <v>42.47</v>
      </c>
      <c r="E298" t="s">
        <v>353</v>
      </c>
      <c r="F298" s="3">
        <v>45908</v>
      </c>
      <c r="G298" t="s">
        <v>11</v>
      </c>
      <c r="H298" s="2">
        <v>45931</v>
      </c>
      <c r="I298">
        <v>1</v>
      </c>
      <c r="J298" t="s">
        <v>17</v>
      </c>
      <c r="K298">
        <v>230</v>
      </c>
      <c r="L298" t="s">
        <v>13</v>
      </c>
    </row>
    <row r="299" spans="1:12" x14ac:dyDescent="0.35">
      <c r="A299" s="4">
        <v>256779415319</v>
      </c>
      <c r="B299" s="3">
        <v>45937</v>
      </c>
      <c r="C299" s="1">
        <v>2.8</v>
      </c>
      <c r="D299" s="1">
        <v>247.72</v>
      </c>
      <c r="E299" t="s">
        <v>355</v>
      </c>
      <c r="F299" s="3">
        <v>45908</v>
      </c>
      <c r="G299" t="s">
        <v>11</v>
      </c>
      <c r="H299" s="2">
        <v>45962</v>
      </c>
      <c r="I299">
        <v>1</v>
      </c>
      <c r="J299" t="s">
        <v>354</v>
      </c>
      <c r="K299">
        <v>230</v>
      </c>
      <c r="L299" t="s">
        <v>13</v>
      </c>
    </row>
    <row r="300" spans="1:12" x14ac:dyDescent="0.35">
      <c r="A300" s="4">
        <v>256779415332</v>
      </c>
      <c r="B300" s="3">
        <v>45937</v>
      </c>
      <c r="C300" s="1">
        <v>0.05</v>
      </c>
      <c r="D300" s="1">
        <v>4.42</v>
      </c>
      <c r="E300" t="s">
        <v>356</v>
      </c>
      <c r="F300" s="3">
        <v>45908</v>
      </c>
      <c r="G300" t="s">
        <v>11</v>
      </c>
      <c r="H300" s="2">
        <v>45992</v>
      </c>
      <c r="I300">
        <v>1</v>
      </c>
      <c r="J300" t="s">
        <v>10</v>
      </c>
      <c r="K300">
        <v>230</v>
      </c>
      <c r="L300" t="s">
        <v>13</v>
      </c>
    </row>
    <row r="301" spans="1:12" x14ac:dyDescent="0.35">
      <c r="A301" s="4">
        <v>256779415328</v>
      </c>
      <c r="B301" s="3">
        <v>45937</v>
      </c>
      <c r="C301" s="1">
        <v>0.45</v>
      </c>
      <c r="D301" s="1">
        <v>39.81</v>
      </c>
      <c r="E301" t="s">
        <v>357</v>
      </c>
      <c r="F301" s="3">
        <v>45908</v>
      </c>
      <c r="G301" t="s">
        <v>11</v>
      </c>
      <c r="H301" s="2">
        <v>45992</v>
      </c>
      <c r="I301">
        <v>1</v>
      </c>
      <c r="J301" t="s">
        <v>10</v>
      </c>
      <c r="K301">
        <v>230</v>
      </c>
      <c r="L301" t="s">
        <v>13</v>
      </c>
    </row>
    <row r="302" spans="1:12" x14ac:dyDescent="0.35">
      <c r="A302" s="4">
        <v>256779415321</v>
      </c>
      <c r="B302" s="3">
        <v>45937</v>
      </c>
      <c r="C302" s="1">
        <v>4.25</v>
      </c>
      <c r="D302" s="1">
        <v>376</v>
      </c>
      <c r="E302" t="s">
        <v>358</v>
      </c>
      <c r="F302" s="3">
        <v>45908</v>
      </c>
      <c r="G302" t="s">
        <v>11</v>
      </c>
      <c r="H302" s="2">
        <v>46023</v>
      </c>
      <c r="I302">
        <v>1</v>
      </c>
      <c r="J302" t="s">
        <v>67</v>
      </c>
      <c r="K302">
        <v>230</v>
      </c>
      <c r="L302" t="s">
        <v>13</v>
      </c>
    </row>
    <row r="303" spans="1:12" x14ac:dyDescent="0.35">
      <c r="A303" s="4">
        <v>256779414359</v>
      </c>
      <c r="B303" s="3">
        <v>45936</v>
      </c>
      <c r="C303" s="1">
        <v>1.87</v>
      </c>
      <c r="D303" s="1">
        <v>159.07</v>
      </c>
      <c r="E303" t="s">
        <v>360</v>
      </c>
      <c r="F303" s="3">
        <v>45937</v>
      </c>
      <c r="G303" t="s">
        <v>11</v>
      </c>
      <c r="H303" s="2">
        <v>46023</v>
      </c>
      <c r="I303">
        <v>1</v>
      </c>
      <c r="J303" t="s">
        <v>67</v>
      </c>
      <c r="K303">
        <v>230</v>
      </c>
      <c r="L303" t="s">
        <v>13</v>
      </c>
    </row>
    <row r="304" spans="1:12" x14ac:dyDescent="0.35">
      <c r="A304" s="4">
        <v>256779414358</v>
      </c>
      <c r="B304" s="3">
        <v>45936</v>
      </c>
      <c r="C304" s="1">
        <v>46.79</v>
      </c>
      <c r="D304" s="1">
        <v>3980.15</v>
      </c>
      <c r="E304" t="s">
        <v>361</v>
      </c>
      <c r="F304" s="3">
        <v>45937</v>
      </c>
      <c r="G304" t="s">
        <v>11</v>
      </c>
      <c r="H304" s="2">
        <v>46023</v>
      </c>
      <c r="I304">
        <v>1</v>
      </c>
      <c r="J304" t="s">
        <v>67</v>
      </c>
      <c r="K304">
        <v>230</v>
      </c>
      <c r="L304" t="s">
        <v>13</v>
      </c>
    </row>
    <row r="305" spans="1:12" x14ac:dyDescent="0.35">
      <c r="A305" s="4">
        <v>256779414360</v>
      </c>
      <c r="B305" s="3">
        <v>45936</v>
      </c>
      <c r="C305" s="1">
        <v>1.03</v>
      </c>
      <c r="D305" s="1">
        <v>87.62</v>
      </c>
      <c r="E305" t="s">
        <v>362</v>
      </c>
      <c r="F305" s="3">
        <v>45937</v>
      </c>
      <c r="G305" t="s">
        <v>11</v>
      </c>
      <c r="H305" s="2">
        <v>46023</v>
      </c>
      <c r="I305">
        <v>1</v>
      </c>
      <c r="J305" t="s">
        <v>67</v>
      </c>
      <c r="K305">
        <v>230</v>
      </c>
      <c r="L305" t="s">
        <v>13</v>
      </c>
    </row>
    <row r="306" spans="1:12" x14ac:dyDescent="0.35">
      <c r="A306" s="4">
        <v>256779413148</v>
      </c>
      <c r="B306" s="3">
        <v>45935</v>
      </c>
      <c r="C306" s="1">
        <v>0</v>
      </c>
      <c r="D306" s="1">
        <v>88</v>
      </c>
      <c r="E306" t="s">
        <v>363</v>
      </c>
      <c r="F306" s="3">
        <v>45906</v>
      </c>
      <c r="G306" t="s">
        <v>59</v>
      </c>
      <c r="H306" s="2">
        <v>45962</v>
      </c>
      <c r="I306">
        <v>1</v>
      </c>
      <c r="J306" t="s">
        <v>12</v>
      </c>
      <c r="K306">
        <v>230</v>
      </c>
      <c r="L306" t="s">
        <v>13</v>
      </c>
    </row>
    <row r="307" spans="1:12" x14ac:dyDescent="0.35">
      <c r="A307" s="4">
        <v>256779413146</v>
      </c>
      <c r="B307" s="3">
        <v>45935</v>
      </c>
      <c r="C307" s="1">
        <v>0</v>
      </c>
      <c r="D307" s="1">
        <v>4000</v>
      </c>
      <c r="E307" t="s">
        <v>364</v>
      </c>
      <c r="F307" s="3">
        <v>45906</v>
      </c>
      <c r="G307" t="s">
        <v>59</v>
      </c>
      <c r="H307" s="2">
        <v>45962</v>
      </c>
      <c r="I307">
        <v>1</v>
      </c>
      <c r="J307" t="s">
        <v>12</v>
      </c>
      <c r="K307">
        <v>230</v>
      </c>
      <c r="L307" t="s">
        <v>13</v>
      </c>
    </row>
    <row r="308" spans="1:12" x14ac:dyDescent="0.35">
      <c r="A308" s="4">
        <v>256779413147</v>
      </c>
      <c r="B308" s="3">
        <v>45935</v>
      </c>
      <c r="C308" s="1">
        <v>0</v>
      </c>
      <c r="D308" s="1">
        <v>160</v>
      </c>
      <c r="E308" t="s">
        <v>365</v>
      </c>
      <c r="F308" s="3">
        <v>45906</v>
      </c>
      <c r="G308" t="s">
        <v>59</v>
      </c>
      <c r="H308" s="2">
        <v>45962</v>
      </c>
      <c r="I308">
        <v>1</v>
      </c>
      <c r="J308" t="s">
        <v>12</v>
      </c>
      <c r="K308">
        <v>230</v>
      </c>
      <c r="L308" t="s">
        <v>13</v>
      </c>
    </row>
    <row r="309" spans="1:12" x14ac:dyDescent="0.35">
      <c r="A309" s="4">
        <v>256779413250</v>
      </c>
      <c r="B309" s="3">
        <v>45935</v>
      </c>
      <c r="C309" s="1">
        <v>8.4700000000000006</v>
      </c>
      <c r="D309" s="1">
        <v>723.12</v>
      </c>
      <c r="E309" t="s">
        <v>366</v>
      </c>
      <c r="F309" s="3">
        <v>45906</v>
      </c>
      <c r="G309" t="s">
        <v>11</v>
      </c>
      <c r="H309" s="2">
        <v>45962</v>
      </c>
      <c r="I309">
        <v>1</v>
      </c>
      <c r="J309" t="s">
        <v>12</v>
      </c>
      <c r="K309">
        <v>230</v>
      </c>
      <c r="L309" t="s">
        <v>13</v>
      </c>
    </row>
    <row r="310" spans="1:12" x14ac:dyDescent="0.35">
      <c r="A310" s="4">
        <v>256779413240</v>
      </c>
      <c r="B310" s="3">
        <v>45935</v>
      </c>
      <c r="C310" s="1">
        <v>8.48</v>
      </c>
      <c r="D310" s="1">
        <v>723.98</v>
      </c>
      <c r="E310" t="s">
        <v>367</v>
      </c>
      <c r="F310" s="3">
        <v>45906</v>
      </c>
      <c r="G310" t="s">
        <v>11</v>
      </c>
      <c r="H310" s="2">
        <v>45962</v>
      </c>
      <c r="I310">
        <v>1</v>
      </c>
      <c r="J310" t="s">
        <v>12</v>
      </c>
      <c r="K310">
        <v>230</v>
      </c>
      <c r="L310" t="s">
        <v>13</v>
      </c>
    </row>
    <row r="311" spans="1:12" x14ac:dyDescent="0.35">
      <c r="A311" s="4">
        <v>256779419995</v>
      </c>
      <c r="B311" s="3">
        <v>45912</v>
      </c>
      <c r="C311" s="1">
        <v>3.74</v>
      </c>
      <c r="D311" s="1">
        <v>333.44</v>
      </c>
      <c r="E311" t="s">
        <v>368</v>
      </c>
      <c r="F311" s="3">
        <v>46235</v>
      </c>
      <c r="G311" t="s">
        <v>11</v>
      </c>
      <c r="H311" s="2">
        <v>46023</v>
      </c>
      <c r="I311">
        <v>1</v>
      </c>
      <c r="J311" t="s">
        <v>48</v>
      </c>
      <c r="K311">
        <v>230</v>
      </c>
      <c r="L311" t="s">
        <v>13</v>
      </c>
    </row>
    <row r="312" spans="1:12" x14ac:dyDescent="0.35">
      <c r="A312" s="4">
        <v>256779419858</v>
      </c>
      <c r="B312" s="3">
        <v>45881</v>
      </c>
      <c r="C312" s="1">
        <v>2.95</v>
      </c>
      <c r="D312" s="1">
        <v>263.01</v>
      </c>
      <c r="E312" t="s">
        <v>369</v>
      </c>
      <c r="F312" s="3">
        <v>46204</v>
      </c>
      <c r="G312" t="s">
        <v>11</v>
      </c>
      <c r="H312" s="2">
        <v>46023</v>
      </c>
      <c r="I312">
        <v>1</v>
      </c>
      <c r="J312" t="s">
        <v>48</v>
      </c>
      <c r="K312">
        <v>230</v>
      </c>
      <c r="L312" t="s">
        <v>13</v>
      </c>
    </row>
    <row r="313" spans="1:12" x14ac:dyDescent="0.35">
      <c r="A313" s="4">
        <v>256779416442</v>
      </c>
      <c r="B313" s="3">
        <v>45877</v>
      </c>
      <c r="C313" s="1">
        <v>21.06</v>
      </c>
      <c r="D313" s="1">
        <v>1824.45</v>
      </c>
      <c r="E313" t="s">
        <v>370</v>
      </c>
      <c r="F313" s="3">
        <v>45847</v>
      </c>
      <c r="G313" t="s">
        <v>11</v>
      </c>
      <c r="H313" s="2">
        <v>45931</v>
      </c>
      <c r="I313">
        <v>1</v>
      </c>
      <c r="J313" t="s">
        <v>20</v>
      </c>
      <c r="K313">
        <v>230</v>
      </c>
      <c r="L313" t="s">
        <v>13</v>
      </c>
    </row>
    <row r="314" spans="1:12" x14ac:dyDescent="0.35">
      <c r="A314" s="4">
        <v>256779416169</v>
      </c>
      <c r="B314" s="3">
        <v>45877</v>
      </c>
      <c r="C314" s="1">
        <v>5.14</v>
      </c>
      <c r="D314" s="1">
        <v>445.28</v>
      </c>
      <c r="E314" t="s">
        <v>371</v>
      </c>
      <c r="F314" s="3">
        <v>45847</v>
      </c>
      <c r="G314" t="s">
        <v>11</v>
      </c>
      <c r="H314" s="2">
        <v>45931</v>
      </c>
      <c r="I314">
        <v>1</v>
      </c>
      <c r="J314" t="s">
        <v>20</v>
      </c>
      <c r="K314">
        <v>230</v>
      </c>
      <c r="L314" t="s">
        <v>13</v>
      </c>
    </row>
    <row r="315" spans="1:12" x14ac:dyDescent="0.35">
      <c r="A315" s="4">
        <v>256779416214</v>
      </c>
      <c r="B315" s="3">
        <v>45877</v>
      </c>
      <c r="C315" s="1">
        <v>4.24</v>
      </c>
      <c r="D315" s="1">
        <v>367.31</v>
      </c>
      <c r="E315" t="s">
        <v>372</v>
      </c>
      <c r="F315" s="3">
        <v>45847</v>
      </c>
      <c r="G315" t="s">
        <v>11</v>
      </c>
      <c r="H315" s="2">
        <v>45931</v>
      </c>
      <c r="I315">
        <v>1</v>
      </c>
      <c r="J315" t="s">
        <v>20</v>
      </c>
      <c r="K315">
        <v>230</v>
      </c>
      <c r="L315" t="s">
        <v>13</v>
      </c>
    </row>
    <row r="316" spans="1:12" x14ac:dyDescent="0.35">
      <c r="A316" s="4">
        <v>256779416454</v>
      </c>
      <c r="B316" s="3">
        <v>45877</v>
      </c>
      <c r="C316" s="1">
        <v>8.2200000000000006</v>
      </c>
      <c r="D316" s="1">
        <v>712.11</v>
      </c>
      <c r="E316" t="s">
        <v>373</v>
      </c>
      <c r="F316" s="3">
        <v>45847</v>
      </c>
      <c r="G316" t="s">
        <v>11</v>
      </c>
      <c r="H316" s="2">
        <v>45931</v>
      </c>
      <c r="I316">
        <v>1</v>
      </c>
      <c r="J316" t="s">
        <v>20</v>
      </c>
      <c r="K316">
        <v>230</v>
      </c>
      <c r="L316" t="s">
        <v>13</v>
      </c>
    </row>
    <row r="317" spans="1:12" x14ac:dyDescent="0.35">
      <c r="A317" s="4">
        <v>256779416255</v>
      </c>
      <c r="B317" s="3">
        <v>45877</v>
      </c>
      <c r="C317" s="1">
        <v>7.84</v>
      </c>
      <c r="D317" s="1">
        <v>679.19</v>
      </c>
      <c r="E317" t="s">
        <v>374</v>
      </c>
      <c r="F317" s="3">
        <v>45847</v>
      </c>
      <c r="G317" t="s">
        <v>11</v>
      </c>
      <c r="H317" s="2">
        <v>45931</v>
      </c>
      <c r="I317">
        <v>1</v>
      </c>
      <c r="J317" t="s">
        <v>20</v>
      </c>
      <c r="K317">
        <v>230</v>
      </c>
      <c r="L317" t="s">
        <v>13</v>
      </c>
    </row>
    <row r="318" spans="1:12" x14ac:dyDescent="0.35">
      <c r="A318" s="4">
        <v>256779416096</v>
      </c>
      <c r="B318" s="3">
        <v>45877</v>
      </c>
      <c r="C318" s="1">
        <v>147.72999999999999</v>
      </c>
      <c r="D318" s="1">
        <v>12797.98</v>
      </c>
      <c r="E318" t="s">
        <v>375</v>
      </c>
      <c r="F318" s="3">
        <v>45847</v>
      </c>
      <c r="G318" t="s">
        <v>11</v>
      </c>
      <c r="H318" s="2">
        <v>45931</v>
      </c>
      <c r="I318">
        <v>1</v>
      </c>
      <c r="J318" t="s">
        <v>20</v>
      </c>
      <c r="K318">
        <v>230</v>
      </c>
      <c r="L318" t="s">
        <v>13</v>
      </c>
    </row>
    <row r="319" spans="1:12" x14ac:dyDescent="0.35">
      <c r="A319" s="4">
        <v>256779416137</v>
      </c>
      <c r="B319" s="3">
        <v>45877</v>
      </c>
      <c r="C319" s="1">
        <v>1.1000000000000001</v>
      </c>
      <c r="D319" s="1">
        <v>95.29</v>
      </c>
      <c r="E319" t="s">
        <v>378</v>
      </c>
      <c r="F319" s="3">
        <v>45847</v>
      </c>
      <c r="G319" t="s">
        <v>11</v>
      </c>
      <c r="H319" s="2">
        <v>45962</v>
      </c>
      <c r="I319">
        <v>1</v>
      </c>
      <c r="J319" t="s">
        <v>377</v>
      </c>
      <c r="K319">
        <v>230</v>
      </c>
      <c r="L319" t="s">
        <v>13</v>
      </c>
    </row>
    <row r="320" spans="1:12" x14ac:dyDescent="0.35">
      <c r="A320" s="4">
        <v>256779418176</v>
      </c>
      <c r="B320" s="3">
        <v>45848</v>
      </c>
      <c r="C320" s="1">
        <v>12.78</v>
      </c>
      <c r="D320" s="1">
        <v>1133.07</v>
      </c>
      <c r="E320" t="s">
        <v>379</v>
      </c>
      <c r="F320" s="3">
        <v>45819</v>
      </c>
      <c r="G320" t="s">
        <v>11</v>
      </c>
      <c r="H320" s="2">
        <v>46023</v>
      </c>
      <c r="I320">
        <v>1</v>
      </c>
      <c r="J320" t="s">
        <v>67</v>
      </c>
      <c r="K320">
        <v>230</v>
      </c>
      <c r="L320" t="s">
        <v>13</v>
      </c>
    </row>
    <row r="321" spans="1:12" x14ac:dyDescent="0.35">
      <c r="A321" s="4">
        <v>256779419983</v>
      </c>
      <c r="B321" s="3">
        <v>45820</v>
      </c>
      <c r="C321" s="1">
        <v>1.1100000000000001</v>
      </c>
      <c r="D321" s="1">
        <v>98.96</v>
      </c>
      <c r="E321" t="s">
        <v>380</v>
      </c>
      <c r="F321" s="3">
        <v>46143</v>
      </c>
      <c r="G321" t="s">
        <v>11</v>
      </c>
      <c r="H321" s="2">
        <v>46023</v>
      </c>
      <c r="I321">
        <v>1</v>
      </c>
      <c r="J321" t="s">
        <v>48</v>
      </c>
      <c r="K321">
        <v>230</v>
      </c>
      <c r="L321" t="s">
        <v>13</v>
      </c>
    </row>
    <row r="322" spans="1:12" x14ac:dyDescent="0.35">
      <c r="A322" s="4">
        <v>256779418006</v>
      </c>
      <c r="B322" s="3">
        <v>45818</v>
      </c>
      <c r="C322" s="1">
        <v>93.34</v>
      </c>
      <c r="D322" s="1">
        <v>8275.48</v>
      </c>
      <c r="E322" t="s">
        <v>381</v>
      </c>
      <c r="F322" s="3">
        <v>45788</v>
      </c>
      <c r="G322" t="s">
        <v>11</v>
      </c>
      <c r="H322" s="2">
        <v>46023</v>
      </c>
      <c r="I322">
        <v>1</v>
      </c>
      <c r="J322" t="s">
        <v>67</v>
      </c>
      <c r="K322">
        <v>230</v>
      </c>
      <c r="L322" t="s">
        <v>13</v>
      </c>
    </row>
    <row r="323" spans="1:12" x14ac:dyDescent="0.35">
      <c r="A323" s="4">
        <v>246779410904</v>
      </c>
      <c r="B323" s="3">
        <v>45811</v>
      </c>
      <c r="C323" s="1">
        <v>33.32</v>
      </c>
      <c r="D323" s="1">
        <v>2900.25</v>
      </c>
      <c r="E323" t="s">
        <v>382</v>
      </c>
      <c r="F323" s="3">
        <v>45781</v>
      </c>
      <c r="G323" t="s">
        <v>11</v>
      </c>
      <c r="H323" s="2">
        <v>45809</v>
      </c>
      <c r="I323">
        <v>1</v>
      </c>
      <c r="J323" s="3">
        <v>45997</v>
      </c>
      <c r="K323">
        <v>230</v>
      </c>
      <c r="L323" t="s">
        <v>13</v>
      </c>
    </row>
    <row r="324" spans="1:12" x14ac:dyDescent="0.35">
      <c r="A324" s="4">
        <v>246779410882</v>
      </c>
      <c r="B324" s="3">
        <v>45811</v>
      </c>
      <c r="C324" s="1">
        <v>44.65</v>
      </c>
      <c r="D324" s="1">
        <v>3886.44</v>
      </c>
      <c r="E324" t="s">
        <v>383</v>
      </c>
      <c r="F324" s="3">
        <v>45781</v>
      </c>
      <c r="G324" t="s">
        <v>11</v>
      </c>
      <c r="H324" s="2">
        <v>45809</v>
      </c>
      <c r="I324">
        <v>1</v>
      </c>
      <c r="J324" t="s">
        <v>27</v>
      </c>
      <c r="K324">
        <v>230</v>
      </c>
      <c r="L324" t="s">
        <v>13</v>
      </c>
    </row>
    <row r="325" spans="1:12" x14ac:dyDescent="0.35">
      <c r="A325" s="4">
        <v>256779419908</v>
      </c>
      <c r="B325" s="3">
        <v>45789</v>
      </c>
      <c r="C325" s="1">
        <v>7.52</v>
      </c>
      <c r="D325" s="1">
        <v>670.44</v>
      </c>
      <c r="E325" t="s">
        <v>384</v>
      </c>
      <c r="F325" s="3">
        <v>46113</v>
      </c>
      <c r="G325" t="s">
        <v>11</v>
      </c>
      <c r="H325" s="2">
        <v>46023</v>
      </c>
      <c r="I325">
        <v>1</v>
      </c>
      <c r="J325" t="s">
        <v>48</v>
      </c>
      <c r="K325">
        <v>230</v>
      </c>
      <c r="L325" t="s">
        <v>13</v>
      </c>
    </row>
    <row r="326" spans="1:12" x14ac:dyDescent="0.35">
      <c r="A326" s="4">
        <v>256779419808</v>
      </c>
      <c r="B326" s="3">
        <v>45789</v>
      </c>
      <c r="C326" s="1">
        <v>0.56000000000000005</v>
      </c>
      <c r="D326" s="1">
        <v>49.93</v>
      </c>
      <c r="E326" t="s">
        <v>385</v>
      </c>
      <c r="F326" s="3">
        <v>46113</v>
      </c>
      <c r="G326" t="s">
        <v>11</v>
      </c>
      <c r="H326" s="2">
        <v>46023</v>
      </c>
      <c r="I326">
        <v>1</v>
      </c>
      <c r="J326" t="s">
        <v>48</v>
      </c>
      <c r="K326">
        <v>230</v>
      </c>
      <c r="L326" t="s">
        <v>13</v>
      </c>
    </row>
    <row r="327" spans="1:12" x14ac:dyDescent="0.35">
      <c r="A327" s="4">
        <v>256779419211</v>
      </c>
      <c r="B327" s="3">
        <v>45788</v>
      </c>
      <c r="C327" s="1">
        <v>0.56000000000000005</v>
      </c>
      <c r="D327" s="1">
        <v>49.42</v>
      </c>
      <c r="E327" t="s">
        <v>386</v>
      </c>
      <c r="F327" s="3">
        <v>45789</v>
      </c>
      <c r="G327" t="s">
        <v>11</v>
      </c>
      <c r="H327" s="2">
        <v>45992</v>
      </c>
      <c r="I327">
        <v>1</v>
      </c>
      <c r="J327" t="s">
        <v>45</v>
      </c>
      <c r="K327">
        <v>230</v>
      </c>
      <c r="L327" t="s">
        <v>13</v>
      </c>
    </row>
    <row r="328" spans="1:12" x14ac:dyDescent="0.35">
      <c r="A328" s="4">
        <v>256779419165</v>
      </c>
      <c r="B328" s="3">
        <v>45788</v>
      </c>
      <c r="C328" s="1">
        <v>3.83</v>
      </c>
      <c r="D328" s="1">
        <v>338.01</v>
      </c>
      <c r="E328" t="s">
        <v>388</v>
      </c>
      <c r="F328" s="3">
        <v>45789</v>
      </c>
      <c r="G328" t="s">
        <v>11</v>
      </c>
      <c r="H328" s="2">
        <v>45992</v>
      </c>
      <c r="I328">
        <v>1</v>
      </c>
      <c r="J328" t="s">
        <v>387</v>
      </c>
      <c r="K328">
        <v>230</v>
      </c>
      <c r="L328" t="s">
        <v>13</v>
      </c>
    </row>
    <row r="329" spans="1:12" x14ac:dyDescent="0.35">
      <c r="A329" s="4">
        <v>256779419192</v>
      </c>
      <c r="B329" s="3">
        <v>45788</v>
      </c>
      <c r="C329" s="1">
        <v>3.44</v>
      </c>
      <c r="D329" s="1">
        <v>303.58999999999997</v>
      </c>
      <c r="E329" t="s">
        <v>389</v>
      </c>
      <c r="F329" s="3">
        <v>45789</v>
      </c>
      <c r="G329" t="s">
        <v>11</v>
      </c>
      <c r="H329" s="2">
        <v>45992</v>
      </c>
      <c r="I329">
        <v>1</v>
      </c>
      <c r="J329" t="s">
        <v>387</v>
      </c>
      <c r="K329">
        <v>230</v>
      </c>
      <c r="L329" t="s">
        <v>13</v>
      </c>
    </row>
    <row r="330" spans="1:12" x14ac:dyDescent="0.35">
      <c r="A330" s="4">
        <v>256779418777</v>
      </c>
      <c r="B330" s="3">
        <v>45788</v>
      </c>
      <c r="C330" s="1">
        <v>45.45</v>
      </c>
      <c r="D330" s="1">
        <v>4011.08</v>
      </c>
      <c r="E330" t="s">
        <v>390</v>
      </c>
      <c r="F330" s="3">
        <v>45789</v>
      </c>
      <c r="G330" t="s">
        <v>11</v>
      </c>
      <c r="H330" s="2">
        <v>45992</v>
      </c>
      <c r="I330">
        <v>1</v>
      </c>
      <c r="J330" t="s">
        <v>387</v>
      </c>
      <c r="K330">
        <v>230</v>
      </c>
      <c r="L330" t="s">
        <v>13</v>
      </c>
    </row>
    <row r="331" spans="1:12" x14ac:dyDescent="0.35">
      <c r="A331" s="4">
        <v>256779418779</v>
      </c>
      <c r="B331" s="3">
        <v>45788</v>
      </c>
      <c r="C331" s="1">
        <v>1</v>
      </c>
      <c r="D331" s="1">
        <v>88.25</v>
      </c>
      <c r="E331" t="s">
        <v>391</v>
      </c>
      <c r="F331" s="3">
        <v>45789</v>
      </c>
      <c r="G331" t="s">
        <v>11</v>
      </c>
      <c r="H331" s="2">
        <v>45992</v>
      </c>
      <c r="I331">
        <v>1</v>
      </c>
      <c r="J331" t="s">
        <v>387</v>
      </c>
      <c r="K331">
        <v>230</v>
      </c>
      <c r="L331" t="s">
        <v>13</v>
      </c>
    </row>
    <row r="332" spans="1:12" x14ac:dyDescent="0.35">
      <c r="A332" s="4">
        <v>256779418778</v>
      </c>
      <c r="B332" s="3">
        <v>45788</v>
      </c>
      <c r="C332" s="1">
        <v>1.82</v>
      </c>
      <c r="D332" s="1">
        <v>160.62</v>
      </c>
      <c r="E332" t="s">
        <v>392</v>
      </c>
      <c r="F332" s="3">
        <v>45789</v>
      </c>
      <c r="G332" t="s">
        <v>11</v>
      </c>
      <c r="H332" s="2">
        <v>46023</v>
      </c>
      <c r="I332">
        <v>1</v>
      </c>
      <c r="J332" t="s">
        <v>67</v>
      </c>
      <c r="K332">
        <v>230</v>
      </c>
      <c r="L332" t="s">
        <v>13</v>
      </c>
    </row>
    <row r="333" spans="1:12" x14ac:dyDescent="0.35">
      <c r="A333" s="4">
        <v>256779418892</v>
      </c>
      <c r="B333" s="3">
        <v>45788</v>
      </c>
      <c r="C333" s="1">
        <v>33.68</v>
      </c>
      <c r="D333" s="1">
        <v>2972.35</v>
      </c>
      <c r="E333" t="s">
        <v>393</v>
      </c>
      <c r="F333" s="3">
        <v>45789</v>
      </c>
      <c r="G333" t="s">
        <v>11</v>
      </c>
      <c r="H333" s="2">
        <v>46023</v>
      </c>
      <c r="I333">
        <v>1</v>
      </c>
      <c r="J333" t="s">
        <v>67</v>
      </c>
      <c r="K333">
        <v>230</v>
      </c>
      <c r="L333" t="s">
        <v>13</v>
      </c>
    </row>
    <row r="334" spans="1:12" x14ac:dyDescent="0.35">
      <c r="A334" s="4">
        <v>256779418904</v>
      </c>
      <c r="B334" s="3">
        <v>45788</v>
      </c>
      <c r="C334" s="1">
        <v>25.48</v>
      </c>
      <c r="D334" s="1">
        <v>2248.6799999999998</v>
      </c>
      <c r="E334" t="s">
        <v>394</v>
      </c>
      <c r="F334" s="3">
        <v>45789</v>
      </c>
      <c r="G334" t="s">
        <v>11</v>
      </c>
      <c r="H334" s="2">
        <v>46023</v>
      </c>
      <c r="I334">
        <v>1</v>
      </c>
      <c r="J334" t="s">
        <v>67</v>
      </c>
      <c r="K334">
        <v>230</v>
      </c>
      <c r="L334" t="s">
        <v>13</v>
      </c>
    </row>
    <row r="335" spans="1:12" x14ac:dyDescent="0.35">
      <c r="A335" s="4">
        <v>256779417971</v>
      </c>
      <c r="B335" s="3">
        <v>45787</v>
      </c>
      <c r="C335" s="1">
        <v>1.9</v>
      </c>
      <c r="D335" s="1">
        <v>168.45</v>
      </c>
      <c r="E335" t="s">
        <v>396</v>
      </c>
      <c r="F335" s="3">
        <v>45758</v>
      </c>
      <c r="G335" t="s">
        <v>11</v>
      </c>
      <c r="H335" s="2">
        <v>45992</v>
      </c>
      <c r="I335">
        <v>1</v>
      </c>
      <c r="J335" t="s">
        <v>395</v>
      </c>
      <c r="K335">
        <v>230</v>
      </c>
      <c r="L335" t="s">
        <v>13</v>
      </c>
    </row>
    <row r="336" spans="1:12" x14ac:dyDescent="0.35">
      <c r="A336" s="4">
        <v>256779417875</v>
      </c>
      <c r="B336" s="3">
        <v>45787</v>
      </c>
      <c r="C336" s="1">
        <v>45.36</v>
      </c>
      <c r="D336" s="1">
        <v>4021.59</v>
      </c>
      <c r="E336" t="s">
        <v>397</v>
      </c>
      <c r="F336" s="3">
        <v>45758</v>
      </c>
      <c r="G336" t="s">
        <v>11</v>
      </c>
      <c r="H336" s="2">
        <v>45992</v>
      </c>
      <c r="I336">
        <v>1</v>
      </c>
      <c r="J336" t="s">
        <v>45</v>
      </c>
      <c r="K336">
        <v>230</v>
      </c>
      <c r="L336" t="s">
        <v>13</v>
      </c>
    </row>
    <row r="337" spans="1:12" x14ac:dyDescent="0.35">
      <c r="A337" s="4">
        <v>256779417876</v>
      </c>
      <c r="B337" s="3">
        <v>45787</v>
      </c>
      <c r="C337" s="1">
        <v>1.81</v>
      </c>
      <c r="D337" s="1">
        <v>160.47</v>
      </c>
      <c r="E337" t="s">
        <v>398</v>
      </c>
      <c r="F337" s="3">
        <v>45758</v>
      </c>
      <c r="G337" t="s">
        <v>11</v>
      </c>
      <c r="H337" s="2">
        <v>45992</v>
      </c>
      <c r="I337">
        <v>1</v>
      </c>
      <c r="J337" t="s">
        <v>45</v>
      </c>
      <c r="K337">
        <v>230</v>
      </c>
      <c r="L337" t="s">
        <v>13</v>
      </c>
    </row>
    <row r="338" spans="1:12" x14ac:dyDescent="0.35">
      <c r="A338" s="4">
        <v>256779417931</v>
      </c>
      <c r="B338" s="3">
        <v>45787</v>
      </c>
      <c r="C338" s="1">
        <v>5.78</v>
      </c>
      <c r="D338" s="1">
        <v>512.45000000000005</v>
      </c>
      <c r="E338" t="s">
        <v>399</v>
      </c>
      <c r="F338" s="3">
        <v>45758</v>
      </c>
      <c r="G338" t="s">
        <v>11</v>
      </c>
      <c r="H338" s="2">
        <v>45992</v>
      </c>
      <c r="I338">
        <v>1</v>
      </c>
      <c r="J338" t="s">
        <v>45</v>
      </c>
      <c r="K338">
        <v>230</v>
      </c>
      <c r="L338" t="s">
        <v>13</v>
      </c>
    </row>
    <row r="339" spans="1:12" x14ac:dyDescent="0.35">
      <c r="A339" s="4">
        <v>256779418391</v>
      </c>
      <c r="B339" s="3">
        <v>45787</v>
      </c>
      <c r="C339" s="1">
        <v>0.77</v>
      </c>
      <c r="D339" s="1">
        <v>68.27</v>
      </c>
      <c r="E339" t="s">
        <v>400</v>
      </c>
      <c r="F339" s="3">
        <v>45758</v>
      </c>
      <c r="G339" t="s">
        <v>11</v>
      </c>
      <c r="H339" s="2">
        <v>45992</v>
      </c>
      <c r="I339">
        <v>1</v>
      </c>
      <c r="J339" t="s">
        <v>45</v>
      </c>
      <c r="K339">
        <v>230</v>
      </c>
      <c r="L339" t="s">
        <v>13</v>
      </c>
    </row>
    <row r="340" spans="1:12" x14ac:dyDescent="0.35">
      <c r="A340" s="4">
        <v>256779417877</v>
      </c>
      <c r="B340" s="3">
        <v>45787</v>
      </c>
      <c r="C340" s="1">
        <v>1</v>
      </c>
      <c r="D340" s="1">
        <v>88.66</v>
      </c>
      <c r="E340" t="s">
        <v>401</v>
      </c>
      <c r="F340" s="3">
        <v>45758</v>
      </c>
      <c r="G340" t="s">
        <v>11</v>
      </c>
      <c r="H340" s="2">
        <v>45992</v>
      </c>
      <c r="I340">
        <v>1</v>
      </c>
      <c r="J340" t="s">
        <v>45</v>
      </c>
      <c r="K340">
        <v>230</v>
      </c>
      <c r="L340" t="s">
        <v>13</v>
      </c>
    </row>
    <row r="341" spans="1:12" x14ac:dyDescent="0.35">
      <c r="A341" s="4">
        <v>256779417892</v>
      </c>
      <c r="B341" s="3">
        <v>45787</v>
      </c>
      <c r="C341" s="1">
        <v>1.17</v>
      </c>
      <c r="D341" s="1">
        <v>103.73</v>
      </c>
      <c r="E341" t="s">
        <v>402</v>
      </c>
      <c r="F341" s="3">
        <v>45758</v>
      </c>
      <c r="G341" t="s">
        <v>11</v>
      </c>
      <c r="H341" s="2">
        <v>45992</v>
      </c>
      <c r="I341">
        <v>1</v>
      </c>
      <c r="J341" t="s">
        <v>45</v>
      </c>
      <c r="K341">
        <v>230</v>
      </c>
      <c r="L341" t="s">
        <v>13</v>
      </c>
    </row>
    <row r="342" spans="1:12" x14ac:dyDescent="0.35">
      <c r="A342" s="4">
        <v>256779419972</v>
      </c>
      <c r="B342" s="3">
        <v>45759</v>
      </c>
      <c r="C342" s="1">
        <v>0.99</v>
      </c>
      <c r="D342" s="1">
        <v>88.26</v>
      </c>
      <c r="E342" t="s">
        <v>404</v>
      </c>
      <c r="F342" s="3">
        <v>46082</v>
      </c>
      <c r="G342" t="s">
        <v>11</v>
      </c>
      <c r="H342" s="2">
        <v>46023</v>
      </c>
      <c r="I342">
        <v>1</v>
      </c>
      <c r="J342" t="s">
        <v>48</v>
      </c>
      <c r="K342">
        <v>230</v>
      </c>
      <c r="L342" t="s">
        <v>13</v>
      </c>
    </row>
    <row r="343" spans="1:12" x14ac:dyDescent="0.35">
      <c r="A343" s="4">
        <v>256779419970</v>
      </c>
      <c r="B343" s="3">
        <v>45759</v>
      </c>
      <c r="C343" s="1">
        <v>45.1</v>
      </c>
      <c r="D343" s="1">
        <v>4020.88</v>
      </c>
      <c r="E343" t="s">
        <v>405</v>
      </c>
      <c r="F343" s="3">
        <v>46082</v>
      </c>
      <c r="G343" t="s">
        <v>11</v>
      </c>
      <c r="H343" s="2">
        <v>46023</v>
      </c>
      <c r="I343">
        <v>1</v>
      </c>
      <c r="J343" t="s">
        <v>48</v>
      </c>
      <c r="K343">
        <v>230</v>
      </c>
      <c r="L343" t="s">
        <v>13</v>
      </c>
    </row>
    <row r="344" spans="1:12" x14ac:dyDescent="0.35">
      <c r="A344" s="4">
        <v>256779419971</v>
      </c>
      <c r="B344" s="3">
        <v>45759</v>
      </c>
      <c r="C344" s="1">
        <v>1.8</v>
      </c>
      <c r="D344" s="1">
        <v>160.47999999999999</v>
      </c>
      <c r="E344" t="s">
        <v>406</v>
      </c>
      <c r="F344" s="3">
        <v>46082</v>
      </c>
      <c r="G344" t="s">
        <v>11</v>
      </c>
      <c r="H344" s="2">
        <v>46023</v>
      </c>
      <c r="I344">
        <v>1</v>
      </c>
      <c r="J344" t="s">
        <v>48</v>
      </c>
      <c r="K344">
        <v>230</v>
      </c>
      <c r="L344" t="s">
        <v>13</v>
      </c>
    </row>
    <row r="345" spans="1:12" x14ac:dyDescent="0.35">
      <c r="A345" s="4">
        <v>256779416909</v>
      </c>
      <c r="B345" s="3">
        <v>45757</v>
      </c>
      <c r="C345" s="1">
        <v>19.79</v>
      </c>
      <c r="D345" s="1">
        <v>1754.57</v>
      </c>
      <c r="E345" t="s">
        <v>407</v>
      </c>
      <c r="F345" s="3">
        <v>45727</v>
      </c>
      <c r="G345" t="s">
        <v>11</v>
      </c>
      <c r="H345" s="2">
        <v>45992</v>
      </c>
      <c r="I345">
        <v>1</v>
      </c>
      <c r="J345" t="s">
        <v>10</v>
      </c>
      <c r="K345">
        <v>230</v>
      </c>
      <c r="L345" t="s">
        <v>13</v>
      </c>
    </row>
    <row r="346" spans="1:12" x14ac:dyDescent="0.35">
      <c r="A346" s="4">
        <v>256779417137</v>
      </c>
      <c r="B346" s="3">
        <v>45756</v>
      </c>
      <c r="C346" s="1">
        <v>8.1999999999999993</v>
      </c>
      <c r="D346" s="1">
        <v>718.75</v>
      </c>
      <c r="E346" t="s">
        <v>408</v>
      </c>
      <c r="F346" s="3">
        <v>45757</v>
      </c>
      <c r="G346" t="s">
        <v>11</v>
      </c>
      <c r="H346" s="2">
        <v>45931</v>
      </c>
      <c r="I346">
        <v>1</v>
      </c>
      <c r="J346" t="s">
        <v>17</v>
      </c>
      <c r="K346">
        <v>230</v>
      </c>
      <c r="L346" t="s">
        <v>13</v>
      </c>
    </row>
    <row r="347" spans="1:12" x14ac:dyDescent="0.35">
      <c r="A347" s="4">
        <v>256779417134</v>
      </c>
      <c r="B347" s="3">
        <v>45756</v>
      </c>
      <c r="C347" s="1">
        <v>10.73</v>
      </c>
      <c r="D347" s="1">
        <v>940.51</v>
      </c>
      <c r="E347" t="s">
        <v>409</v>
      </c>
      <c r="F347" s="3">
        <v>45757</v>
      </c>
      <c r="G347" t="s">
        <v>11</v>
      </c>
      <c r="H347" s="2">
        <v>45931</v>
      </c>
      <c r="I347">
        <v>1</v>
      </c>
      <c r="J347" t="s">
        <v>17</v>
      </c>
      <c r="K347">
        <v>230</v>
      </c>
      <c r="L347" t="s">
        <v>13</v>
      </c>
    </row>
    <row r="348" spans="1:12" x14ac:dyDescent="0.35">
      <c r="A348" s="4">
        <v>256779417200</v>
      </c>
      <c r="B348" s="3">
        <v>45756</v>
      </c>
      <c r="C348" s="1">
        <v>2.0099999999999998</v>
      </c>
      <c r="D348" s="1">
        <v>176.18</v>
      </c>
      <c r="E348" t="s">
        <v>410</v>
      </c>
      <c r="F348" s="3">
        <v>45757</v>
      </c>
      <c r="G348" t="s">
        <v>11</v>
      </c>
      <c r="H348" s="2">
        <v>45931</v>
      </c>
      <c r="I348">
        <v>1</v>
      </c>
      <c r="J348" t="s">
        <v>17</v>
      </c>
      <c r="K348">
        <v>230</v>
      </c>
      <c r="L348" t="s">
        <v>13</v>
      </c>
    </row>
    <row r="349" spans="1:12" x14ac:dyDescent="0.35">
      <c r="A349" s="4">
        <v>256779417238</v>
      </c>
      <c r="B349" s="3">
        <v>45756</v>
      </c>
      <c r="C349" s="1">
        <v>12.18</v>
      </c>
      <c r="D349" s="1">
        <v>1067.5999999999999</v>
      </c>
      <c r="E349" t="s">
        <v>411</v>
      </c>
      <c r="F349" s="3">
        <v>45757</v>
      </c>
      <c r="G349" t="s">
        <v>11</v>
      </c>
      <c r="H349" s="2">
        <v>45931</v>
      </c>
      <c r="I349">
        <v>1</v>
      </c>
      <c r="J349" t="s">
        <v>17</v>
      </c>
      <c r="K349">
        <v>230</v>
      </c>
      <c r="L349" t="s">
        <v>13</v>
      </c>
    </row>
    <row r="350" spans="1:12" x14ac:dyDescent="0.35">
      <c r="A350" s="4">
        <v>256779417257</v>
      </c>
      <c r="B350" s="3">
        <v>45756</v>
      </c>
      <c r="C350" s="1">
        <v>0.46</v>
      </c>
      <c r="D350" s="1">
        <v>40.32</v>
      </c>
      <c r="E350" t="s">
        <v>412</v>
      </c>
      <c r="F350" s="3">
        <v>45757</v>
      </c>
      <c r="G350" t="s">
        <v>11</v>
      </c>
      <c r="H350" s="2">
        <v>45962</v>
      </c>
      <c r="I350">
        <v>1</v>
      </c>
      <c r="J350" s="3">
        <v>45972</v>
      </c>
      <c r="K350">
        <v>230</v>
      </c>
      <c r="L350" t="s">
        <v>13</v>
      </c>
    </row>
    <row r="351" spans="1:12" x14ac:dyDescent="0.35">
      <c r="A351" s="4">
        <v>256779417350</v>
      </c>
      <c r="B351" s="3">
        <v>45756</v>
      </c>
      <c r="C351" s="1">
        <v>1</v>
      </c>
      <c r="D351" s="1">
        <v>87.65</v>
      </c>
      <c r="E351" t="s">
        <v>413</v>
      </c>
      <c r="F351" s="3">
        <v>45757</v>
      </c>
      <c r="G351" t="s">
        <v>11</v>
      </c>
      <c r="H351" s="2">
        <v>45962</v>
      </c>
      <c r="I351">
        <v>1</v>
      </c>
      <c r="J351" s="3">
        <v>45972</v>
      </c>
      <c r="K351">
        <v>230</v>
      </c>
      <c r="L351" t="s">
        <v>13</v>
      </c>
    </row>
    <row r="352" spans="1:12" x14ac:dyDescent="0.35">
      <c r="A352" s="4">
        <v>256779417349</v>
      </c>
      <c r="B352" s="3">
        <v>45756</v>
      </c>
      <c r="C352" s="1">
        <v>1.83</v>
      </c>
      <c r="D352" s="1">
        <v>160.4</v>
      </c>
      <c r="E352" t="s">
        <v>414</v>
      </c>
      <c r="F352" s="3">
        <v>45757</v>
      </c>
      <c r="G352" t="s">
        <v>11</v>
      </c>
      <c r="H352" s="2">
        <v>45962</v>
      </c>
      <c r="I352">
        <v>1</v>
      </c>
      <c r="J352" s="3">
        <v>45972</v>
      </c>
      <c r="K352">
        <v>230</v>
      </c>
      <c r="L352" t="s">
        <v>13</v>
      </c>
    </row>
    <row r="353" spans="1:12" x14ac:dyDescent="0.35">
      <c r="A353" s="4">
        <v>256779417348</v>
      </c>
      <c r="B353" s="3">
        <v>45756</v>
      </c>
      <c r="C353" s="1">
        <v>45.71</v>
      </c>
      <c r="D353" s="1">
        <v>4006.57</v>
      </c>
      <c r="E353" t="s">
        <v>415</v>
      </c>
      <c r="F353" s="3">
        <v>45757</v>
      </c>
      <c r="G353" t="s">
        <v>11</v>
      </c>
      <c r="H353" s="2">
        <v>45962</v>
      </c>
      <c r="I353">
        <v>1</v>
      </c>
      <c r="J353" s="3">
        <v>45972</v>
      </c>
      <c r="K353">
        <v>230</v>
      </c>
      <c r="L353" t="s">
        <v>13</v>
      </c>
    </row>
    <row r="354" spans="1:12" x14ac:dyDescent="0.35">
      <c r="A354" s="4">
        <v>256779417158</v>
      </c>
      <c r="B354" s="3">
        <v>45756</v>
      </c>
      <c r="C354" s="1">
        <v>2.2000000000000002</v>
      </c>
      <c r="D354" s="1">
        <v>192.83</v>
      </c>
      <c r="E354" t="s">
        <v>416</v>
      </c>
      <c r="F354" s="3">
        <v>45757</v>
      </c>
      <c r="G354" t="s">
        <v>11</v>
      </c>
      <c r="H354" s="2">
        <v>45962</v>
      </c>
      <c r="I354">
        <v>1</v>
      </c>
      <c r="J354" s="3">
        <v>45972</v>
      </c>
      <c r="K354">
        <v>230</v>
      </c>
      <c r="L354" t="s">
        <v>13</v>
      </c>
    </row>
    <row r="355" spans="1:12" x14ac:dyDescent="0.35">
      <c r="A355" s="4">
        <v>256779417317</v>
      </c>
      <c r="B355" s="3">
        <v>45756</v>
      </c>
      <c r="C355" s="1">
        <v>3.42</v>
      </c>
      <c r="D355" s="1">
        <v>299.77</v>
      </c>
      <c r="E355" t="s">
        <v>417</v>
      </c>
      <c r="F355" s="3">
        <v>45757</v>
      </c>
      <c r="G355" t="s">
        <v>11</v>
      </c>
      <c r="H355" s="2">
        <v>45992</v>
      </c>
      <c r="I355">
        <v>1</v>
      </c>
      <c r="J355" t="s">
        <v>45</v>
      </c>
      <c r="K355">
        <v>230</v>
      </c>
      <c r="L355" t="s">
        <v>13</v>
      </c>
    </row>
    <row r="356" spans="1:12" x14ac:dyDescent="0.35">
      <c r="A356" s="4">
        <v>256779417280</v>
      </c>
      <c r="B356" s="3">
        <v>45756</v>
      </c>
      <c r="C356" s="1">
        <v>5</v>
      </c>
      <c r="D356" s="1">
        <v>438.26</v>
      </c>
      <c r="E356" t="s">
        <v>418</v>
      </c>
      <c r="F356" s="3">
        <v>45757</v>
      </c>
      <c r="G356" t="s">
        <v>11</v>
      </c>
      <c r="H356" s="2">
        <v>45992</v>
      </c>
      <c r="I356">
        <v>1</v>
      </c>
      <c r="J356" t="s">
        <v>45</v>
      </c>
      <c r="K356">
        <v>230</v>
      </c>
      <c r="L356" t="s">
        <v>13</v>
      </c>
    </row>
    <row r="357" spans="1:12" x14ac:dyDescent="0.35">
      <c r="A357" s="4">
        <v>256779415270</v>
      </c>
      <c r="B357" s="3">
        <v>45754</v>
      </c>
      <c r="C357" s="1">
        <v>8.42</v>
      </c>
      <c r="D357" s="1">
        <v>744.92</v>
      </c>
      <c r="E357" t="s">
        <v>419</v>
      </c>
      <c r="F357" s="3">
        <v>45724</v>
      </c>
      <c r="G357" t="s">
        <v>11</v>
      </c>
      <c r="H357" s="2">
        <v>45901</v>
      </c>
      <c r="I357">
        <v>1</v>
      </c>
      <c r="J357" t="s">
        <v>55</v>
      </c>
      <c r="K357">
        <v>230</v>
      </c>
      <c r="L357" t="s">
        <v>13</v>
      </c>
    </row>
    <row r="358" spans="1:12" x14ac:dyDescent="0.35">
      <c r="A358" s="4">
        <v>256779415209</v>
      </c>
      <c r="B358" s="3">
        <v>45754</v>
      </c>
      <c r="C358" s="1">
        <v>1.27</v>
      </c>
      <c r="D358" s="1">
        <v>112.36</v>
      </c>
      <c r="E358" t="s">
        <v>420</v>
      </c>
      <c r="F358" s="3">
        <v>45724</v>
      </c>
      <c r="G358" t="s">
        <v>11</v>
      </c>
      <c r="H358" s="2">
        <v>45901</v>
      </c>
      <c r="I358">
        <v>1</v>
      </c>
      <c r="J358" t="s">
        <v>55</v>
      </c>
      <c r="K358">
        <v>230</v>
      </c>
      <c r="L358" t="s">
        <v>13</v>
      </c>
    </row>
    <row r="359" spans="1:12" x14ac:dyDescent="0.35">
      <c r="A359" s="4">
        <v>256779415208</v>
      </c>
      <c r="B359" s="3">
        <v>45754</v>
      </c>
      <c r="C359" s="1">
        <v>3.67</v>
      </c>
      <c r="D359" s="1">
        <v>324.68</v>
      </c>
      <c r="E359" t="s">
        <v>421</v>
      </c>
      <c r="F359" s="3">
        <v>45724</v>
      </c>
      <c r="G359" t="s">
        <v>11</v>
      </c>
      <c r="H359" s="2">
        <v>45901</v>
      </c>
      <c r="I359">
        <v>1</v>
      </c>
      <c r="J359" t="s">
        <v>55</v>
      </c>
      <c r="K359">
        <v>230</v>
      </c>
      <c r="L359" t="s">
        <v>13</v>
      </c>
    </row>
    <row r="360" spans="1:12" x14ac:dyDescent="0.35">
      <c r="A360" s="4">
        <v>256779415210</v>
      </c>
      <c r="B360" s="3">
        <v>45754</v>
      </c>
      <c r="C360" s="1">
        <v>192.59</v>
      </c>
      <c r="D360" s="1">
        <v>17038.439999999999</v>
      </c>
      <c r="E360" t="s">
        <v>422</v>
      </c>
      <c r="F360" s="3">
        <v>45724</v>
      </c>
      <c r="G360" t="s">
        <v>11</v>
      </c>
      <c r="H360" s="2">
        <v>45901</v>
      </c>
      <c r="I360">
        <v>1</v>
      </c>
      <c r="J360" t="s">
        <v>55</v>
      </c>
      <c r="K360">
        <v>230</v>
      </c>
      <c r="L360" t="s">
        <v>13</v>
      </c>
    </row>
    <row r="361" spans="1:12" x14ac:dyDescent="0.35">
      <c r="A361" s="4">
        <v>256779415012</v>
      </c>
      <c r="B361" s="3">
        <v>45754</v>
      </c>
      <c r="C361" s="1">
        <v>3.68</v>
      </c>
      <c r="D361" s="1">
        <v>316.44</v>
      </c>
      <c r="E361" t="s">
        <v>423</v>
      </c>
      <c r="F361" s="3">
        <v>45724</v>
      </c>
      <c r="G361" t="s">
        <v>11</v>
      </c>
      <c r="H361" s="2">
        <v>45931</v>
      </c>
      <c r="I361">
        <v>1</v>
      </c>
      <c r="J361" t="s">
        <v>17</v>
      </c>
      <c r="K361">
        <v>230</v>
      </c>
      <c r="L361" t="s">
        <v>13</v>
      </c>
    </row>
    <row r="362" spans="1:12" x14ac:dyDescent="0.35">
      <c r="A362" s="4">
        <v>256779415261</v>
      </c>
      <c r="B362" s="3">
        <v>45754</v>
      </c>
      <c r="C362" s="1">
        <v>5.85</v>
      </c>
      <c r="D362" s="1">
        <v>503.04</v>
      </c>
      <c r="E362" t="s">
        <v>424</v>
      </c>
      <c r="F362" s="3">
        <v>45724</v>
      </c>
      <c r="G362" t="s">
        <v>11</v>
      </c>
      <c r="H362" s="2">
        <v>45931</v>
      </c>
      <c r="I362">
        <v>1</v>
      </c>
      <c r="J362" t="s">
        <v>17</v>
      </c>
      <c r="K362">
        <v>230</v>
      </c>
      <c r="L362" t="s">
        <v>13</v>
      </c>
    </row>
    <row r="363" spans="1:12" x14ac:dyDescent="0.35">
      <c r="A363" s="4">
        <v>256779414859</v>
      </c>
      <c r="B363" s="3">
        <v>45754</v>
      </c>
      <c r="C363" s="1">
        <v>6.37</v>
      </c>
      <c r="D363" s="1">
        <v>547.75</v>
      </c>
      <c r="E363" t="s">
        <v>425</v>
      </c>
      <c r="F363" s="3">
        <v>45724</v>
      </c>
      <c r="G363" t="s">
        <v>11</v>
      </c>
      <c r="H363" s="2">
        <v>45962</v>
      </c>
      <c r="I363">
        <v>1</v>
      </c>
      <c r="J363" s="3">
        <v>45972</v>
      </c>
      <c r="K363">
        <v>230</v>
      </c>
      <c r="L363" t="s">
        <v>13</v>
      </c>
    </row>
    <row r="364" spans="1:12" x14ac:dyDescent="0.35">
      <c r="A364" s="4">
        <v>256779414917</v>
      </c>
      <c r="B364" s="3">
        <v>45754</v>
      </c>
      <c r="C364" s="1">
        <v>1.86</v>
      </c>
      <c r="D364" s="1">
        <v>159.94</v>
      </c>
      <c r="E364" t="s">
        <v>427</v>
      </c>
      <c r="F364" s="3">
        <v>45724</v>
      </c>
      <c r="G364" t="s">
        <v>11</v>
      </c>
      <c r="H364" s="2">
        <v>46023</v>
      </c>
      <c r="I364">
        <v>1</v>
      </c>
      <c r="J364" t="s">
        <v>67</v>
      </c>
      <c r="K364">
        <v>230</v>
      </c>
      <c r="L364" t="s">
        <v>13</v>
      </c>
    </row>
    <row r="365" spans="1:12" x14ac:dyDescent="0.35">
      <c r="A365" s="4">
        <v>256779414918</v>
      </c>
      <c r="B365" s="3">
        <v>45754</v>
      </c>
      <c r="C365" s="1">
        <v>1.02</v>
      </c>
      <c r="D365" s="1">
        <v>87.71</v>
      </c>
      <c r="E365" t="s">
        <v>428</v>
      </c>
      <c r="F365" s="3">
        <v>45724</v>
      </c>
      <c r="G365" t="s">
        <v>11</v>
      </c>
      <c r="H365" s="2">
        <v>46023</v>
      </c>
      <c r="I365">
        <v>1</v>
      </c>
      <c r="J365" t="s">
        <v>67</v>
      </c>
      <c r="K365">
        <v>230</v>
      </c>
      <c r="L365" t="s">
        <v>13</v>
      </c>
    </row>
    <row r="366" spans="1:12" x14ac:dyDescent="0.35">
      <c r="A366" s="4">
        <v>256779414916</v>
      </c>
      <c r="B366" s="3">
        <v>45754</v>
      </c>
      <c r="C366" s="1">
        <v>46.51</v>
      </c>
      <c r="D366" s="1">
        <v>3999.37</v>
      </c>
      <c r="E366" t="s">
        <v>429</v>
      </c>
      <c r="F366" s="3">
        <v>45724</v>
      </c>
      <c r="G366" t="s">
        <v>11</v>
      </c>
      <c r="H366" s="2">
        <v>46023</v>
      </c>
      <c r="I366">
        <v>1</v>
      </c>
      <c r="J366" t="s">
        <v>67</v>
      </c>
      <c r="K366">
        <v>230</v>
      </c>
      <c r="L366" t="s">
        <v>13</v>
      </c>
    </row>
    <row r="367" spans="1:12" x14ac:dyDescent="0.35">
      <c r="A367" s="4">
        <v>256779410818</v>
      </c>
      <c r="B367" s="3">
        <v>45751</v>
      </c>
      <c r="C367" s="1">
        <v>0</v>
      </c>
      <c r="D367" s="1">
        <v>25</v>
      </c>
      <c r="E367" t="s">
        <v>430</v>
      </c>
      <c r="F367" s="3">
        <v>45752</v>
      </c>
      <c r="G367" t="s">
        <v>59</v>
      </c>
      <c r="H367" s="2">
        <v>45809</v>
      </c>
      <c r="I367">
        <v>1</v>
      </c>
      <c r="J367" s="3">
        <v>45997</v>
      </c>
      <c r="K367">
        <v>230</v>
      </c>
      <c r="L367" t="s">
        <v>13</v>
      </c>
    </row>
    <row r="368" spans="1:12" x14ac:dyDescent="0.35">
      <c r="A368" s="4">
        <v>256779410801</v>
      </c>
      <c r="B368" s="3">
        <v>45751</v>
      </c>
      <c r="C368" s="1">
        <v>56.59</v>
      </c>
      <c r="D368" s="1">
        <v>4851.29</v>
      </c>
      <c r="E368" t="s">
        <v>431</v>
      </c>
      <c r="F368" s="3">
        <v>45752</v>
      </c>
      <c r="G368" t="s">
        <v>11</v>
      </c>
      <c r="H368" s="2">
        <v>45809</v>
      </c>
      <c r="I368">
        <v>1</v>
      </c>
      <c r="J368" t="s">
        <v>27</v>
      </c>
      <c r="K368">
        <v>230</v>
      </c>
      <c r="L368" t="s">
        <v>13</v>
      </c>
    </row>
    <row r="369" spans="1:12" x14ac:dyDescent="0.35">
      <c r="A369" s="4">
        <v>246779410826</v>
      </c>
      <c r="B369" s="3">
        <v>45750</v>
      </c>
      <c r="C369" s="1">
        <v>0.06</v>
      </c>
      <c r="D369" s="1">
        <v>5.22</v>
      </c>
      <c r="E369" t="s">
        <v>432</v>
      </c>
      <c r="F369" s="3">
        <v>45720</v>
      </c>
      <c r="G369" t="s">
        <v>11</v>
      </c>
      <c r="H369" s="2">
        <v>45809</v>
      </c>
      <c r="I369">
        <v>1</v>
      </c>
      <c r="J369" s="3">
        <v>45997</v>
      </c>
      <c r="K369">
        <v>230</v>
      </c>
      <c r="L369" t="s">
        <v>13</v>
      </c>
    </row>
    <row r="370" spans="1:12" x14ac:dyDescent="0.35">
      <c r="A370" s="4">
        <v>246779410743</v>
      </c>
      <c r="B370" s="3">
        <v>45750</v>
      </c>
      <c r="C370" s="1">
        <v>0.06</v>
      </c>
      <c r="D370" s="1">
        <v>5.22</v>
      </c>
      <c r="E370" t="s">
        <v>433</v>
      </c>
      <c r="F370" s="3">
        <v>45720</v>
      </c>
      <c r="G370" t="s">
        <v>11</v>
      </c>
      <c r="H370" s="2">
        <v>45809</v>
      </c>
      <c r="I370">
        <v>1</v>
      </c>
      <c r="J370" t="s">
        <v>27</v>
      </c>
      <c r="K370">
        <v>230</v>
      </c>
      <c r="L370" t="s">
        <v>13</v>
      </c>
    </row>
    <row r="371" spans="1:12" x14ac:dyDescent="0.35">
      <c r="A371" s="4">
        <v>246779410665</v>
      </c>
      <c r="B371" s="3">
        <v>45750</v>
      </c>
      <c r="C371" s="1">
        <v>7.0000000000000007E-2</v>
      </c>
      <c r="D371" s="1">
        <v>6.09</v>
      </c>
      <c r="E371" t="s">
        <v>434</v>
      </c>
      <c r="F371" s="3">
        <v>45720</v>
      </c>
      <c r="G371" t="s">
        <v>11</v>
      </c>
      <c r="H371" s="2">
        <v>45992</v>
      </c>
      <c r="I371">
        <v>1</v>
      </c>
      <c r="J371" t="s">
        <v>10</v>
      </c>
      <c r="K371">
        <v>230</v>
      </c>
      <c r="L371" t="s">
        <v>13</v>
      </c>
    </row>
    <row r="372" spans="1:12" x14ac:dyDescent="0.35">
      <c r="A372" s="4">
        <v>256779419122</v>
      </c>
      <c r="B372" s="3">
        <v>45727</v>
      </c>
      <c r="C372" s="1">
        <v>13.41</v>
      </c>
      <c r="D372" s="1">
        <v>1188.92</v>
      </c>
      <c r="E372" t="s">
        <v>435</v>
      </c>
      <c r="F372" s="3">
        <v>45728</v>
      </c>
      <c r="G372" t="s">
        <v>11</v>
      </c>
      <c r="H372" s="2">
        <v>45992</v>
      </c>
      <c r="I372">
        <v>1</v>
      </c>
      <c r="J372" t="s">
        <v>387</v>
      </c>
      <c r="K372">
        <v>230</v>
      </c>
      <c r="L372" t="s">
        <v>13</v>
      </c>
    </row>
    <row r="373" spans="1:12" x14ac:dyDescent="0.35">
      <c r="A373" s="4">
        <v>256779410262</v>
      </c>
      <c r="B373" s="3">
        <v>45720</v>
      </c>
      <c r="C373" s="1">
        <v>0</v>
      </c>
      <c r="D373" s="1">
        <v>2</v>
      </c>
      <c r="E373" t="s">
        <v>436</v>
      </c>
      <c r="F373" s="3">
        <v>45721</v>
      </c>
      <c r="G373" t="s">
        <v>59</v>
      </c>
      <c r="H373" s="2">
        <v>45809</v>
      </c>
      <c r="I373">
        <v>1</v>
      </c>
      <c r="J373" s="3">
        <v>45997</v>
      </c>
      <c r="K373">
        <v>230</v>
      </c>
      <c r="L373" t="s">
        <v>13</v>
      </c>
    </row>
    <row r="374" spans="1:12" x14ac:dyDescent="0.35">
      <c r="A374" s="4">
        <v>256779410263</v>
      </c>
      <c r="B374" s="3">
        <v>45720</v>
      </c>
      <c r="C374" s="1">
        <v>0</v>
      </c>
      <c r="D374" s="1">
        <v>2</v>
      </c>
      <c r="E374" t="s">
        <v>437</v>
      </c>
      <c r="F374" s="3">
        <v>45721</v>
      </c>
      <c r="G374" t="s">
        <v>59</v>
      </c>
      <c r="H374" s="2">
        <v>45809</v>
      </c>
      <c r="I374">
        <v>1</v>
      </c>
      <c r="J374" s="3">
        <v>45997</v>
      </c>
      <c r="K374">
        <v>230</v>
      </c>
      <c r="L374" t="s">
        <v>13</v>
      </c>
    </row>
    <row r="375" spans="1:12" x14ac:dyDescent="0.35">
      <c r="A375" s="4">
        <v>256779410196</v>
      </c>
      <c r="B375" s="3">
        <v>45720</v>
      </c>
      <c r="C375" s="1">
        <v>4.93</v>
      </c>
      <c r="D375" s="1">
        <v>422.63</v>
      </c>
      <c r="E375" t="s">
        <v>438</v>
      </c>
      <c r="F375" s="3">
        <v>45721</v>
      </c>
      <c r="G375" t="s">
        <v>11</v>
      </c>
      <c r="H375" s="2">
        <v>45809</v>
      </c>
      <c r="I375">
        <v>1</v>
      </c>
      <c r="J375" t="s">
        <v>27</v>
      </c>
      <c r="K375">
        <v>230</v>
      </c>
      <c r="L375" t="s">
        <v>13</v>
      </c>
    </row>
    <row r="376" spans="1:12" x14ac:dyDescent="0.35">
      <c r="A376" s="4">
        <v>256779410303</v>
      </c>
      <c r="B376" s="3">
        <v>45720</v>
      </c>
      <c r="C376" s="1">
        <v>1.83</v>
      </c>
      <c r="D376" s="1">
        <v>156.88</v>
      </c>
      <c r="E376" t="s">
        <v>439</v>
      </c>
      <c r="F376" s="3">
        <v>45721</v>
      </c>
      <c r="G376" t="s">
        <v>11</v>
      </c>
      <c r="H376" s="2">
        <v>45809</v>
      </c>
      <c r="I376">
        <v>1</v>
      </c>
      <c r="J376" t="s">
        <v>27</v>
      </c>
      <c r="K376">
        <v>230</v>
      </c>
      <c r="L376" t="s">
        <v>13</v>
      </c>
    </row>
    <row r="377" spans="1:12" x14ac:dyDescent="0.35">
      <c r="A377" s="4">
        <v>256779410304</v>
      </c>
      <c r="B377" s="3">
        <v>45720</v>
      </c>
      <c r="C377" s="1">
        <v>1.01</v>
      </c>
      <c r="D377" s="1">
        <v>86.58</v>
      </c>
      <c r="E377" t="s">
        <v>440</v>
      </c>
      <c r="F377" s="3">
        <v>45721</v>
      </c>
      <c r="G377" t="s">
        <v>11</v>
      </c>
      <c r="H377" s="2">
        <v>45809</v>
      </c>
      <c r="I377">
        <v>1</v>
      </c>
      <c r="J377" t="s">
        <v>27</v>
      </c>
      <c r="K377">
        <v>230</v>
      </c>
      <c r="L377" t="s">
        <v>13</v>
      </c>
    </row>
    <row r="378" spans="1:12" x14ac:dyDescent="0.35">
      <c r="A378" s="4">
        <v>246779410413</v>
      </c>
      <c r="B378" s="3">
        <v>45719</v>
      </c>
      <c r="C378" s="1">
        <v>13.88</v>
      </c>
      <c r="D378" s="1">
        <v>1208.1500000000001</v>
      </c>
      <c r="E378" t="s">
        <v>441</v>
      </c>
      <c r="F378" s="3">
        <v>45692</v>
      </c>
      <c r="G378" t="s">
        <v>11</v>
      </c>
      <c r="H378" s="2">
        <v>45809</v>
      </c>
      <c r="I378">
        <v>1</v>
      </c>
      <c r="J378" s="3">
        <v>45997</v>
      </c>
      <c r="K378">
        <v>230</v>
      </c>
      <c r="L378" t="s">
        <v>13</v>
      </c>
    </row>
    <row r="379" spans="1:12" x14ac:dyDescent="0.35">
      <c r="A379" s="4">
        <v>246779410436</v>
      </c>
      <c r="B379" s="3">
        <v>45719</v>
      </c>
      <c r="C379" s="1">
        <v>26.65</v>
      </c>
      <c r="D379" s="1">
        <v>2319.6799999999998</v>
      </c>
      <c r="E379" t="s">
        <v>442</v>
      </c>
      <c r="F379" s="3">
        <v>45692</v>
      </c>
      <c r="G379" t="s">
        <v>11</v>
      </c>
      <c r="H379" s="2">
        <v>45809</v>
      </c>
      <c r="I379">
        <v>1</v>
      </c>
      <c r="J379" s="3">
        <v>45997</v>
      </c>
      <c r="K379">
        <v>230</v>
      </c>
      <c r="L379" t="s">
        <v>13</v>
      </c>
    </row>
    <row r="380" spans="1:12" x14ac:dyDescent="0.35">
      <c r="A380" s="4">
        <v>246779410389</v>
      </c>
      <c r="B380" s="3">
        <v>45719</v>
      </c>
      <c r="C380" s="1">
        <v>10.84</v>
      </c>
      <c r="D380" s="1">
        <v>943.54</v>
      </c>
      <c r="E380" t="s">
        <v>443</v>
      </c>
      <c r="F380" s="3">
        <v>45692</v>
      </c>
      <c r="G380" t="s">
        <v>11</v>
      </c>
      <c r="H380" s="2">
        <v>45809</v>
      </c>
      <c r="I380">
        <v>1</v>
      </c>
      <c r="J380" s="3">
        <v>45997</v>
      </c>
      <c r="K380">
        <v>230</v>
      </c>
      <c r="L380" t="s">
        <v>13</v>
      </c>
    </row>
    <row r="381" spans="1:12" x14ac:dyDescent="0.35">
      <c r="A381" s="4">
        <v>256779413972</v>
      </c>
      <c r="B381" s="3">
        <v>45694</v>
      </c>
      <c r="C381" s="1">
        <v>0</v>
      </c>
      <c r="D381" s="1">
        <v>6</v>
      </c>
      <c r="E381" t="s">
        <v>444</v>
      </c>
      <c r="F381" s="3">
        <v>45695</v>
      </c>
      <c r="G381" t="s">
        <v>59</v>
      </c>
      <c r="H381" s="2">
        <v>45962</v>
      </c>
      <c r="I381">
        <v>1</v>
      </c>
      <c r="J381" t="s">
        <v>12</v>
      </c>
      <c r="K381">
        <v>230</v>
      </c>
      <c r="L381" t="s">
        <v>13</v>
      </c>
    </row>
    <row r="382" spans="1:12" x14ac:dyDescent="0.35">
      <c r="A382" s="4">
        <v>256779413931</v>
      </c>
      <c r="B382" s="3">
        <v>45694</v>
      </c>
      <c r="C382" s="1">
        <v>7.9</v>
      </c>
      <c r="D382" s="1">
        <v>672.01</v>
      </c>
      <c r="E382" t="s">
        <v>445</v>
      </c>
      <c r="F382" s="3">
        <v>45695</v>
      </c>
      <c r="G382" t="s">
        <v>11</v>
      </c>
      <c r="H382" s="2">
        <v>45962</v>
      </c>
      <c r="I382">
        <v>1</v>
      </c>
      <c r="J382" t="s">
        <v>12</v>
      </c>
      <c r="K382">
        <v>230</v>
      </c>
      <c r="L382" t="s">
        <v>13</v>
      </c>
    </row>
    <row r="383" spans="1:12" x14ac:dyDescent="0.35">
      <c r="A383" s="4">
        <v>256779416030</v>
      </c>
      <c r="B383" s="3">
        <v>45665</v>
      </c>
      <c r="C383" s="1">
        <v>1.02</v>
      </c>
      <c r="D383" s="1">
        <v>88.36</v>
      </c>
      <c r="E383" t="s">
        <v>447</v>
      </c>
      <c r="F383" t="s">
        <v>446</v>
      </c>
      <c r="G383" t="s">
        <v>11</v>
      </c>
      <c r="H383" s="2">
        <v>45992</v>
      </c>
      <c r="I383">
        <v>1</v>
      </c>
      <c r="J383" t="s">
        <v>45</v>
      </c>
      <c r="K383">
        <v>230</v>
      </c>
      <c r="L383" t="s">
        <v>13</v>
      </c>
    </row>
    <row r="384" spans="1:12" x14ac:dyDescent="0.35">
      <c r="A384" s="4">
        <v>256779416028</v>
      </c>
      <c r="B384" s="3">
        <v>45665</v>
      </c>
      <c r="C384" s="1">
        <v>46.5</v>
      </c>
      <c r="D384" s="1">
        <v>4028.34</v>
      </c>
      <c r="E384" t="s">
        <v>448</v>
      </c>
      <c r="F384" t="s">
        <v>446</v>
      </c>
      <c r="G384" t="s">
        <v>11</v>
      </c>
      <c r="H384" s="2">
        <v>45992</v>
      </c>
      <c r="I384">
        <v>1</v>
      </c>
      <c r="J384" t="s">
        <v>45</v>
      </c>
      <c r="K384">
        <v>230</v>
      </c>
      <c r="L384" t="s">
        <v>13</v>
      </c>
    </row>
    <row r="385" spans="1:12" x14ac:dyDescent="0.35">
      <c r="A385" s="4">
        <v>256779416029</v>
      </c>
      <c r="B385" s="3">
        <v>45665</v>
      </c>
      <c r="C385" s="1">
        <v>1.86</v>
      </c>
      <c r="D385" s="1">
        <v>161.13</v>
      </c>
      <c r="E385" t="s">
        <v>449</v>
      </c>
      <c r="F385" t="s">
        <v>446</v>
      </c>
      <c r="G385" t="s">
        <v>11</v>
      </c>
      <c r="H385" s="2">
        <v>45992</v>
      </c>
      <c r="I385">
        <v>1</v>
      </c>
      <c r="J385" t="s">
        <v>45</v>
      </c>
      <c r="K385">
        <v>230</v>
      </c>
      <c r="L385" t="s">
        <v>13</v>
      </c>
    </row>
  </sheetData>
  <autoFilter ref="A2:L385" xr:uid="{11A41F37-A914-4C23-A10D-E6DBEE316555}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CC2C1-9205-42B4-9658-8603B7A9E285}">
  <dimension ref="B2:M319"/>
  <sheetViews>
    <sheetView topLeftCell="A2" workbookViewId="0">
      <selection activeCell="B2" sqref="B2"/>
    </sheetView>
  </sheetViews>
  <sheetFormatPr defaultRowHeight="14.5" x14ac:dyDescent="0.35"/>
  <cols>
    <col min="2" max="2" width="15.36328125" bestFit="1" customWidth="1"/>
    <col min="3" max="3" width="10.54296875" bestFit="1" customWidth="1"/>
    <col min="4" max="5" width="10.81640625" bestFit="1" customWidth="1"/>
    <col min="6" max="6" width="24.08984375" bestFit="1" customWidth="1"/>
    <col min="7" max="7" width="10.54296875" bestFit="1" customWidth="1"/>
    <col min="8" max="8" width="4.453125" bestFit="1" customWidth="1"/>
    <col min="10" max="10" width="6.54296875" bestFit="1" customWidth="1"/>
    <col min="11" max="11" width="10.54296875" bestFit="1" customWidth="1"/>
    <col min="12" max="12" width="7.81640625" bestFit="1" customWidth="1"/>
    <col min="13" max="13" width="13.453125" bestFit="1" customWidth="1"/>
  </cols>
  <sheetData>
    <row r="2" spans="2:13" x14ac:dyDescent="0.35">
      <c r="B2" t="s">
        <v>451</v>
      </c>
      <c r="C2" t="s">
        <v>452</v>
      </c>
      <c r="D2" s="1" t="s">
        <v>453</v>
      </c>
      <c r="E2" s="1" t="s">
        <v>0</v>
      </c>
      <c r="F2" t="s">
        <v>1</v>
      </c>
      <c r="G2" t="s">
        <v>2</v>
      </c>
      <c r="H2" t="s">
        <v>3</v>
      </c>
      <c r="I2" t="s">
        <v>4</v>
      </c>
      <c r="J2" t="s">
        <v>5</v>
      </c>
      <c r="K2" t="s">
        <v>6</v>
      </c>
      <c r="L2" t="s">
        <v>7</v>
      </c>
      <c r="M2" t="s">
        <v>8</v>
      </c>
    </row>
    <row r="3" spans="2:13" x14ac:dyDescent="0.35">
      <c r="B3" s="4">
        <v>256779413908</v>
      </c>
      <c r="C3" s="3">
        <v>45805</v>
      </c>
      <c r="D3" s="1">
        <v>0</v>
      </c>
      <c r="E3" s="1">
        <v>-11858.12</v>
      </c>
      <c r="F3" t="s">
        <v>15</v>
      </c>
      <c r="G3" t="s">
        <v>9</v>
      </c>
      <c r="H3" t="s">
        <v>11</v>
      </c>
      <c r="I3" s="2">
        <v>45962</v>
      </c>
      <c r="J3">
        <v>66</v>
      </c>
      <c r="K3" t="s">
        <v>12</v>
      </c>
      <c r="L3">
        <v>271</v>
      </c>
      <c r="M3" t="s">
        <v>13</v>
      </c>
    </row>
    <row r="4" spans="2:13" x14ac:dyDescent="0.35">
      <c r="B4" s="4">
        <v>256779415989</v>
      </c>
      <c r="C4" s="3">
        <v>45863</v>
      </c>
      <c r="D4" s="1">
        <v>0</v>
      </c>
      <c r="E4" s="1">
        <v>-664.99</v>
      </c>
      <c r="F4" t="s">
        <v>15</v>
      </c>
      <c r="G4" t="s">
        <v>16</v>
      </c>
      <c r="H4" t="s">
        <v>11</v>
      </c>
      <c r="I4" s="2">
        <v>45931</v>
      </c>
      <c r="J4">
        <v>82</v>
      </c>
      <c r="K4" t="s">
        <v>20</v>
      </c>
      <c r="L4">
        <v>271</v>
      </c>
      <c r="M4" t="s">
        <v>13</v>
      </c>
    </row>
    <row r="5" spans="2:13" x14ac:dyDescent="0.35">
      <c r="B5" s="4">
        <v>256779416007</v>
      </c>
      <c r="C5" s="3">
        <v>45863</v>
      </c>
      <c r="D5" s="1">
        <v>0</v>
      </c>
      <c r="E5" s="1">
        <v>-934.03</v>
      </c>
      <c r="F5" t="s">
        <v>15</v>
      </c>
      <c r="G5" t="s">
        <v>16</v>
      </c>
      <c r="H5" t="s">
        <v>11</v>
      </c>
      <c r="I5" s="2">
        <v>45931</v>
      </c>
      <c r="J5">
        <v>84</v>
      </c>
      <c r="K5" t="s">
        <v>20</v>
      </c>
      <c r="L5">
        <v>271</v>
      </c>
      <c r="M5" t="s">
        <v>13</v>
      </c>
    </row>
    <row r="6" spans="2:13" x14ac:dyDescent="0.35">
      <c r="B6" s="4">
        <v>256779412776</v>
      </c>
      <c r="C6" s="3">
        <v>45771</v>
      </c>
      <c r="D6" s="1">
        <v>0</v>
      </c>
      <c r="E6" s="1">
        <v>-2124.59</v>
      </c>
      <c r="F6" t="s">
        <v>15</v>
      </c>
      <c r="G6" t="s">
        <v>21</v>
      </c>
      <c r="H6" t="s">
        <v>11</v>
      </c>
      <c r="I6" s="2">
        <v>45962</v>
      </c>
      <c r="J6">
        <v>58</v>
      </c>
      <c r="K6" t="s">
        <v>12</v>
      </c>
      <c r="L6">
        <v>271</v>
      </c>
      <c r="M6" t="s">
        <v>13</v>
      </c>
    </row>
    <row r="7" spans="2:13" x14ac:dyDescent="0.35">
      <c r="B7" s="4">
        <v>256779417801</v>
      </c>
      <c r="C7" s="3">
        <v>45922</v>
      </c>
      <c r="D7" s="1">
        <v>0</v>
      </c>
      <c r="E7" s="1">
        <v>-2799.24</v>
      </c>
      <c r="F7" t="s">
        <v>15</v>
      </c>
      <c r="G7" t="s">
        <v>23</v>
      </c>
      <c r="H7" t="s">
        <v>11</v>
      </c>
      <c r="I7" s="2">
        <v>45931</v>
      </c>
      <c r="J7">
        <v>64</v>
      </c>
      <c r="K7" t="s">
        <v>20</v>
      </c>
      <c r="L7">
        <v>271</v>
      </c>
      <c r="M7" t="s">
        <v>13</v>
      </c>
    </row>
    <row r="8" spans="2:13" x14ac:dyDescent="0.35">
      <c r="B8" s="4">
        <v>256779412524</v>
      </c>
      <c r="C8" s="3">
        <v>45769</v>
      </c>
      <c r="D8" s="1">
        <v>0</v>
      </c>
      <c r="E8" s="1">
        <v>-9.39</v>
      </c>
      <c r="F8" t="s">
        <v>15</v>
      </c>
      <c r="G8" t="s">
        <v>26</v>
      </c>
      <c r="H8" t="s">
        <v>11</v>
      </c>
      <c r="I8" s="2">
        <v>45809</v>
      </c>
      <c r="J8">
        <v>14</v>
      </c>
      <c r="K8" t="s">
        <v>27</v>
      </c>
      <c r="L8">
        <v>271</v>
      </c>
      <c r="M8" t="s">
        <v>13</v>
      </c>
    </row>
    <row r="9" spans="2:13" x14ac:dyDescent="0.35">
      <c r="B9" s="4">
        <v>256779412529</v>
      </c>
      <c r="C9" s="3">
        <v>45769</v>
      </c>
      <c r="D9" s="1">
        <v>0</v>
      </c>
      <c r="E9" s="1">
        <v>-7.61</v>
      </c>
      <c r="F9" t="s">
        <v>15</v>
      </c>
      <c r="G9" t="s">
        <v>26</v>
      </c>
      <c r="H9" t="s">
        <v>11</v>
      </c>
      <c r="I9" s="2">
        <v>45809</v>
      </c>
      <c r="J9">
        <v>16</v>
      </c>
      <c r="K9" t="s">
        <v>27</v>
      </c>
      <c r="L9">
        <v>271</v>
      </c>
      <c r="M9" t="s">
        <v>13</v>
      </c>
    </row>
    <row r="10" spans="2:13" x14ac:dyDescent="0.35">
      <c r="B10" s="4">
        <v>256779412536</v>
      </c>
      <c r="C10" s="3">
        <v>45769</v>
      </c>
      <c r="D10" s="1">
        <v>0</v>
      </c>
      <c r="E10" s="1">
        <v>-9.5299999999999994</v>
      </c>
      <c r="F10" t="s">
        <v>15</v>
      </c>
      <c r="G10" t="s">
        <v>26</v>
      </c>
      <c r="H10" t="s">
        <v>11</v>
      </c>
      <c r="I10" s="2">
        <v>45809</v>
      </c>
      <c r="J10">
        <v>18</v>
      </c>
      <c r="K10" t="s">
        <v>27</v>
      </c>
      <c r="L10">
        <v>271</v>
      </c>
      <c r="M10" t="s">
        <v>13</v>
      </c>
    </row>
    <row r="11" spans="2:13" x14ac:dyDescent="0.35">
      <c r="B11" s="4">
        <v>256779412537</v>
      </c>
      <c r="C11" s="3">
        <v>45769</v>
      </c>
      <c r="D11" s="1">
        <v>0</v>
      </c>
      <c r="E11" s="1">
        <v>-104.86</v>
      </c>
      <c r="F11" t="s">
        <v>15</v>
      </c>
      <c r="G11" t="s">
        <v>26</v>
      </c>
      <c r="H11" t="s">
        <v>11</v>
      </c>
      <c r="I11" s="2">
        <v>45809</v>
      </c>
      <c r="J11">
        <v>20</v>
      </c>
      <c r="K11" t="s">
        <v>27</v>
      </c>
      <c r="L11">
        <v>271</v>
      </c>
      <c r="M11" t="s">
        <v>13</v>
      </c>
    </row>
    <row r="12" spans="2:13" x14ac:dyDescent="0.35">
      <c r="B12" s="4">
        <v>256779412579</v>
      </c>
      <c r="C12" s="3">
        <v>45769</v>
      </c>
      <c r="D12" s="1">
        <v>0</v>
      </c>
      <c r="E12" s="1">
        <v>-14.83</v>
      </c>
      <c r="F12" t="s">
        <v>15</v>
      </c>
      <c r="G12" t="s">
        <v>26</v>
      </c>
      <c r="H12" t="s">
        <v>11</v>
      </c>
      <c r="I12" s="2">
        <v>45809</v>
      </c>
      <c r="J12">
        <v>22</v>
      </c>
      <c r="K12" t="s">
        <v>27</v>
      </c>
      <c r="L12">
        <v>271</v>
      </c>
      <c r="M12" t="s">
        <v>13</v>
      </c>
    </row>
    <row r="13" spans="2:13" x14ac:dyDescent="0.35">
      <c r="B13" s="4">
        <v>256779412586</v>
      </c>
      <c r="C13" s="3">
        <v>45769</v>
      </c>
      <c r="D13" s="1">
        <v>0</v>
      </c>
      <c r="E13" s="1">
        <v>-13.25</v>
      </c>
      <c r="F13" t="s">
        <v>15</v>
      </c>
      <c r="G13" t="s">
        <v>26</v>
      </c>
      <c r="H13" t="s">
        <v>11</v>
      </c>
      <c r="I13" s="2">
        <v>45809</v>
      </c>
      <c r="J13">
        <v>24</v>
      </c>
      <c r="K13" t="s">
        <v>27</v>
      </c>
      <c r="L13">
        <v>271</v>
      </c>
      <c r="M13" t="s">
        <v>13</v>
      </c>
    </row>
    <row r="14" spans="2:13" x14ac:dyDescent="0.35">
      <c r="B14" s="4">
        <v>256779412563</v>
      </c>
      <c r="C14" s="3">
        <v>45769</v>
      </c>
      <c r="D14" s="1">
        <v>0</v>
      </c>
      <c r="E14" s="1">
        <v>-6.94</v>
      </c>
      <c r="F14" t="s">
        <v>15</v>
      </c>
      <c r="G14" t="s">
        <v>26</v>
      </c>
      <c r="H14" t="s">
        <v>11</v>
      </c>
      <c r="I14" s="2">
        <v>45809</v>
      </c>
      <c r="J14">
        <v>48</v>
      </c>
      <c r="K14" t="s">
        <v>27</v>
      </c>
      <c r="L14">
        <v>271</v>
      </c>
      <c r="M14" t="s">
        <v>13</v>
      </c>
    </row>
    <row r="15" spans="2:13" x14ac:dyDescent="0.35">
      <c r="B15" s="4">
        <v>256779412576</v>
      </c>
      <c r="C15" s="3">
        <v>45769</v>
      </c>
      <c r="D15" s="1">
        <v>0</v>
      </c>
      <c r="E15" s="1">
        <v>-11.84</v>
      </c>
      <c r="F15" t="s">
        <v>15</v>
      </c>
      <c r="G15" t="s">
        <v>26</v>
      </c>
      <c r="H15" t="s">
        <v>11</v>
      </c>
      <c r="I15" s="2">
        <v>45809</v>
      </c>
      <c r="J15">
        <v>52</v>
      </c>
      <c r="K15" t="s">
        <v>27</v>
      </c>
      <c r="L15">
        <v>271</v>
      </c>
      <c r="M15" t="s">
        <v>13</v>
      </c>
    </row>
    <row r="16" spans="2:13" x14ac:dyDescent="0.35">
      <c r="B16" s="4">
        <v>256779412577</v>
      </c>
      <c r="C16" s="3">
        <v>45769</v>
      </c>
      <c r="D16" s="1">
        <v>0</v>
      </c>
      <c r="E16" s="1">
        <v>-11.84</v>
      </c>
      <c r="F16" t="s">
        <v>15</v>
      </c>
      <c r="G16" t="s">
        <v>26</v>
      </c>
      <c r="H16" t="s">
        <v>11</v>
      </c>
      <c r="I16" s="2">
        <v>45809</v>
      </c>
      <c r="J16">
        <v>54</v>
      </c>
      <c r="K16" t="s">
        <v>27</v>
      </c>
      <c r="L16">
        <v>271</v>
      </c>
      <c r="M16" t="s">
        <v>13</v>
      </c>
    </row>
    <row r="17" spans="2:13" x14ac:dyDescent="0.35">
      <c r="B17" s="4">
        <v>256779412580</v>
      </c>
      <c r="C17" s="3">
        <v>45769</v>
      </c>
      <c r="D17" s="1">
        <v>0</v>
      </c>
      <c r="E17" s="1">
        <v>-10.42</v>
      </c>
      <c r="F17" t="s">
        <v>15</v>
      </c>
      <c r="G17" t="s">
        <v>26</v>
      </c>
      <c r="H17" t="s">
        <v>11</v>
      </c>
      <c r="I17" s="2">
        <v>45809</v>
      </c>
      <c r="J17">
        <v>56</v>
      </c>
      <c r="K17" t="s">
        <v>27</v>
      </c>
      <c r="L17">
        <v>271</v>
      </c>
      <c r="M17" t="s">
        <v>13</v>
      </c>
    </row>
    <row r="18" spans="2:13" x14ac:dyDescent="0.35">
      <c r="B18" s="4">
        <v>256779412562</v>
      </c>
      <c r="C18" s="3">
        <v>45769</v>
      </c>
      <c r="D18" s="1">
        <v>0</v>
      </c>
      <c r="E18" s="1">
        <v>-14.06</v>
      </c>
      <c r="F18" t="s">
        <v>15</v>
      </c>
      <c r="G18" t="s">
        <v>26</v>
      </c>
      <c r="H18" t="s">
        <v>11</v>
      </c>
      <c r="I18" s="2">
        <v>45809</v>
      </c>
      <c r="J18">
        <v>66</v>
      </c>
      <c r="K18" t="s">
        <v>27</v>
      </c>
      <c r="L18">
        <v>271</v>
      </c>
      <c r="M18" t="s">
        <v>13</v>
      </c>
    </row>
    <row r="19" spans="2:13" x14ac:dyDescent="0.35">
      <c r="B19" s="4">
        <v>256779412564</v>
      </c>
      <c r="C19" s="3">
        <v>45769</v>
      </c>
      <c r="D19" s="1">
        <v>0</v>
      </c>
      <c r="E19" s="1">
        <v>-14.2</v>
      </c>
      <c r="F19" t="s">
        <v>15</v>
      </c>
      <c r="G19" t="s">
        <v>26</v>
      </c>
      <c r="H19" t="s">
        <v>11</v>
      </c>
      <c r="I19" s="2">
        <v>45809</v>
      </c>
      <c r="J19">
        <v>70</v>
      </c>
      <c r="K19" t="s">
        <v>27</v>
      </c>
      <c r="L19">
        <v>271</v>
      </c>
      <c r="M19" t="s">
        <v>13</v>
      </c>
    </row>
    <row r="20" spans="2:13" x14ac:dyDescent="0.35">
      <c r="B20" s="4">
        <v>256779412570</v>
      </c>
      <c r="C20" s="3">
        <v>45769</v>
      </c>
      <c r="D20" s="1">
        <v>0</v>
      </c>
      <c r="E20" s="1">
        <v>-11.15</v>
      </c>
      <c r="F20" t="s">
        <v>15</v>
      </c>
      <c r="G20" t="s">
        <v>26</v>
      </c>
      <c r="H20" t="s">
        <v>11</v>
      </c>
      <c r="I20" s="2">
        <v>45809</v>
      </c>
      <c r="J20">
        <v>72</v>
      </c>
      <c r="K20" t="s">
        <v>27</v>
      </c>
      <c r="L20">
        <v>271</v>
      </c>
      <c r="M20" t="s">
        <v>13</v>
      </c>
    </row>
    <row r="21" spans="2:13" x14ac:dyDescent="0.35">
      <c r="B21" s="4">
        <v>256779412581</v>
      </c>
      <c r="C21" s="3">
        <v>45769</v>
      </c>
      <c r="D21" s="1">
        <v>0</v>
      </c>
      <c r="E21" s="1">
        <v>-13.25</v>
      </c>
      <c r="F21" t="s">
        <v>15</v>
      </c>
      <c r="G21" t="s">
        <v>26</v>
      </c>
      <c r="H21" t="s">
        <v>11</v>
      </c>
      <c r="I21" s="2">
        <v>45809</v>
      </c>
      <c r="J21">
        <v>74</v>
      </c>
      <c r="K21" t="s">
        <v>27</v>
      </c>
      <c r="L21">
        <v>271</v>
      </c>
      <c r="M21" t="s">
        <v>13</v>
      </c>
    </row>
    <row r="22" spans="2:13" x14ac:dyDescent="0.35">
      <c r="B22" s="4">
        <v>256779412585</v>
      </c>
      <c r="C22" s="3">
        <v>45769</v>
      </c>
      <c r="D22" s="1">
        <v>0</v>
      </c>
      <c r="E22" s="1">
        <v>-12.54</v>
      </c>
      <c r="F22" t="s">
        <v>15</v>
      </c>
      <c r="G22" t="s">
        <v>26</v>
      </c>
      <c r="H22" t="s">
        <v>11</v>
      </c>
      <c r="I22" s="2">
        <v>45809</v>
      </c>
      <c r="J22">
        <v>78</v>
      </c>
      <c r="K22" t="s">
        <v>27</v>
      </c>
      <c r="L22">
        <v>271</v>
      </c>
      <c r="M22" t="s">
        <v>13</v>
      </c>
    </row>
    <row r="23" spans="2:13" x14ac:dyDescent="0.35">
      <c r="B23" s="4">
        <v>256779412583</v>
      </c>
      <c r="C23" s="3">
        <v>45769</v>
      </c>
      <c r="D23" s="1">
        <v>0</v>
      </c>
      <c r="E23" s="1">
        <v>-13.59</v>
      </c>
      <c r="F23" t="s">
        <v>15</v>
      </c>
      <c r="G23" t="s">
        <v>26</v>
      </c>
      <c r="H23" t="s">
        <v>11</v>
      </c>
      <c r="I23" s="2">
        <v>45809</v>
      </c>
      <c r="J23">
        <v>104</v>
      </c>
      <c r="K23" t="s">
        <v>27</v>
      </c>
      <c r="L23">
        <v>271</v>
      </c>
      <c r="M23" t="s">
        <v>13</v>
      </c>
    </row>
    <row r="24" spans="2:13" x14ac:dyDescent="0.35">
      <c r="B24" s="4">
        <v>256779418474</v>
      </c>
      <c r="C24" s="3">
        <v>45951</v>
      </c>
      <c r="D24" s="1">
        <v>0</v>
      </c>
      <c r="E24" s="1">
        <v>-1591.62</v>
      </c>
      <c r="F24" t="s">
        <v>15</v>
      </c>
      <c r="G24" t="s">
        <v>44</v>
      </c>
      <c r="H24" t="s">
        <v>11</v>
      </c>
      <c r="I24" s="2">
        <v>46023</v>
      </c>
      <c r="J24">
        <v>78</v>
      </c>
      <c r="K24" t="s">
        <v>47</v>
      </c>
      <c r="L24">
        <v>271</v>
      </c>
      <c r="M24" t="s">
        <v>13</v>
      </c>
    </row>
    <row r="25" spans="2:13" x14ac:dyDescent="0.35">
      <c r="B25" s="4">
        <v>256779418474</v>
      </c>
      <c r="C25" s="3">
        <v>45951</v>
      </c>
      <c r="D25" s="1">
        <v>0</v>
      </c>
      <c r="E25" s="1">
        <v>-14.27</v>
      </c>
      <c r="F25" t="s">
        <v>15</v>
      </c>
      <c r="G25" t="s">
        <v>44</v>
      </c>
      <c r="H25" t="s">
        <v>11</v>
      </c>
      <c r="I25" s="2">
        <v>46023</v>
      </c>
      <c r="J25">
        <v>80</v>
      </c>
      <c r="K25" t="s">
        <v>47</v>
      </c>
      <c r="L25">
        <v>271</v>
      </c>
      <c r="M25" t="s">
        <v>13</v>
      </c>
    </row>
    <row r="26" spans="2:13" x14ac:dyDescent="0.35">
      <c r="B26" s="4">
        <v>256779418474</v>
      </c>
      <c r="C26" s="3">
        <v>45951</v>
      </c>
      <c r="D26" s="1">
        <v>0</v>
      </c>
      <c r="E26" s="1">
        <v>-31.65</v>
      </c>
      <c r="F26" t="s">
        <v>15</v>
      </c>
      <c r="G26" t="s">
        <v>44</v>
      </c>
      <c r="H26" t="s">
        <v>11</v>
      </c>
      <c r="I26" s="2">
        <v>46023</v>
      </c>
      <c r="J26">
        <v>82</v>
      </c>
      <c r="K26" t="s">
        <v>47</v>
      </c>
      <c r="L26">
        <v>271</v>
      </c>
      <c r="M26" t="s">
        <v>13</v>
      </c>
    </row>
    <row r="27" spans="2:13" x14ac:dyDescent="0.35">
      <c r="B27" s="4">
        <v>256779413391</v>
      </c>
      <c r="C27" s="3">
        <v>45798</v>
      </c>
      <c r="D27" s="1">
        <v>0</v>
      </c>
      <c r="E27" s="1">
        <v>-815.41</v>
      </c>
      <c r="F27" t="s">
        <v>15</v>
      </c>
      <c r="G27" t="s">
        <v>50</v>
      </c>
      <c r="H27" t="s">
        <v>11</v>
      </c>
      <c r="I27" s="2">
        <v>45901</v>
      </c>
      <c r="J27">
        <v>64</v>
      </c>
      <c r="K27" t="s">
        <v>55</v>
      </c>
      <c r="L27">
        <v>271</v>
      </c>
      <c r="M27" t="s">
        <v>13</v>
      </c>
    </row>
    <row r="28" spans="2:13" x14ac:dyDescent="0.35">
      <c r="B28" s="4">
        <v>256779413392</v>
      </c>
      <c r="C28" s="3">
        <v>45798</v>
      </c>
      <c r="D28" s="1">
        <v>0</v>
      </c>
      <c r="E28" s="1">
        <v>-702.37</v>
      </c>
      <c r="F28" t="s">
        <v>15</v>
      </c>
      <c r="G28" t="s">
        <v>50</v>
      </c>
      <c r="H28" t="s">
        <v>11</v>
      </c>
      <c r="I28" s="2">
        <v>45901</v>
      </c>
      <c r="J28">
        <v>70</v>
      </c>
      <c r="K28" t="s">
        <v>55</v>
      </c>
      <c r="L28">
        <v>271</v>
      </c>
      <c r="M28" t="s">
        <v>13</v>
      </c>
    </row>
    <row r="29" spans="2:13" x14ac:dyDescent="0.35">
      <c r="B29" s="4">
        <v>256779412184</v>
      </c>
      <c r="C29" s="3">
        <v>45768</v>
      </c>
      <c r="D29" s="1">
        <v>0</v>
      </c>
      <c r="E29" s="1">
        <v>-23.98</v>
      </c>
      <c r="F29" t="s">
        <v>15</v>
      </c>
      <c r="G29" t="s">
        <v>58</v>
      </c>
      <c r="H29" t="s">
        <v>11</v>
      </c>
      <c r="I29" s="2">
        <v>45809</v>
      </c>
      <c r="J29">
        <v>42</v>
      </c>
      <c r="K29" t="s">
        <v>27</v>
      </c>
      <c r="L29">
        <v>271</v>
      </c>
      <c r="M29" t="s">
        <v>13</v>
      </c>
    </row>
    <row r="30" spans="2:13" x14ac:dyDescent="0.35">
      <c r="B30" s="4">
        <v>256779412185</v>
      </c>
      <c r="C30" s="3">
        <v>45768</v>
      </c>
      <c r="D30" s="1">
        <v>0</v>
      </c>
      <c r="E30" s="1">
        <v>-13.19</v>
      </c>
      <c r="F30" t="s">
        <v>15</v>
      </c>
      <c r="G30" t="s">
        <v>58</v>
      </c>
      <c r="H30" t="s">
        <v>11</v>
      </c>
      <c r="I30" s="2">
        <v>45809</v>
      </c>
      <c r="J30">
        <v>46</v>
      </c>
      <c r="K30" t="s">
        <v>27</v>
      </c>
      <c r="L30">
        <v>271</v>
      </c>
      <c r="M30" t="s">
        <v>13</v>
      </c>
    </row>
    <row r="31" spans="2:13" x14ac:dyDescent="0.35">
      <c r="B31" s="4">
        <v>256779412155</v>
      </c>
      <c r="C31" s="3">
        <v>45768</v>
      </c>
      <c r="D31" s="1">
        <v>0</v>
      </c>
      <c r="E31" s="1">
        <v>-599.66999999999996</v>
      </c>
      <c r="F31" t="s">
        <v>15</v>
      </c>
      <c r="G31" t="s">
        <v>58</v>
      </c>
      <c r="H31" t="s">
        <v>11</v>
      </c>
      <c r="I31" s="2">
        <v>45809</v>
      </c>
      <c r="J31">
        <v>84</v>
      </c>
      <c r="K31" t="s">
        <v>27</v>
      </c>
      <c r="L31">
        <v>271</v>
      </c>
      <c r="M31" t="s">
        <v>13</v>
      </c>
    </row>
    <row r="32" spans="2:13" x14ac:dyDescent="0.35">
      <c r="B32" s="4">
        <v>256779418653</v>
      </c>
      <c r="C32" s="3">
        <v>45950</v>
      </c>
      <c r="D32" s="1">
        <v>0</v>
      </c>
      <c r="E32" s="1">
        <v>-166.44</v>
      </c>
      <c r="F32" t="s">
        <v>15</v>
      </c>
      <c r="G32" t="s">
        <v>70</v>
      </c>
      <c r="H32" t="s">
        <v>11</v>
      </c>
      <c r="I32" s="2">
        <v>46023</v>
      </c>
      <c r="J32">
        <v>90</v>
      </c>
      <c r="K32" t="s">
        <v>47</v>
      </c>
      <c r="L32">
        <v>271</v>
      </c>
      <c r="M32" t="s">
        <v>13</v>
      </c>
    </row>
    <row r="33" spans="2:13" x14ac:dyDescent="0.35">
      <c r="B33" s="4">
        <v>256779418653</v>
      </c>
      <c r="C33" s="3">
        <v>45950</v>
      </c>
      <c r="D33" s="1">
        <v>0</v>
      </c>
      <c r="E33" s="1">
        <v>-330.56</v>
      </c>
      <c r="F33" t="s">
        <v>15</v>
      </c>
      <c r="G33" t="s">
        <v>70</v>
      </c>
      <c r="H33" t="s">
        <v>11</v>
      </c>
      <c r="I33" s="2">
        <v>46023</v>
      </c>
      <c r="J33">
        <v>92</v>
      </c>
      <c r="K33" t="s">
        <v>47</v>
      </c>
      <c r="L33">
        <v>271</v>
      </c>
      <c r="M33" t="s">
        <v>13</v>
      </c>
    </row>
    <row r="34" spans="2:13" x14ac:dyDescent="0.35">
      <c r="B34" s="4">
        <v>256779416869</v>
      </c>
      <c r="C34" s="3">
        <v>45889</v>
      </c>
      <c r="D34" s="1">
        <v>0</v>
      </c>
      <c r="E34" s="1">
        <v>-568.28</v>
      </c>
      <c r="F34" t="s">
        <v>15</v>
      </c>
      <c r="G34" t="s">
        <v>72</v>
      </c>
      <c r="H34" t="s">
        <v>11</v>
      </c>
      <c r="I34" s="2">
        <v>46023</v>
      </c>
      <c r="J34">
        <v>84</v>
      </c>
      <c r="K34" t="s">
        <v>47</v>
      </c>
      <c r="L34">
        <v>271</v>
      </c>
      <c r="M34" t="s">
        <v>13</v>
      </c>
    </row>
    <row r="35" spans="2:13" x14ac:dyDescent="0.35">
      <c r="B35" s="4">
        <v>256779416838</v>
      </c>
      <c r="C35" s="3">
        <v>45889</v>
      </c>
      <c r="D35" s="1">
        <v>0</v>
      </c>
      <c r="E35" s="1">
        <v>-3356.53</v>
      </c>
      <c r="F35" t="s">
        <v>15</v>
      </c>
      <c r="G35" t="s">
        <v>72</v>
      </c>
      <c r="H35" t="s">
        <v>11</v>
      </c>
      <c r="I35" s="2">
        <v>46023</v>
      </c>
      <c r="J35">
        <v>88</v>
      </c>
      <c r="K35" t="s">
        <v>47</v>
      </c>
      <c r="L35">
        <v>271</v>
      </c>
      <c r="M35" t="s">
        <v>13</v>
      </c>
    </row>
    <row r="36" spans="2:13" x14ac:dyDescent="0.35">
      <c r="B36" s="4">
        <v>246779413936</v>
      </c>
      <c r="C36" s="3">
        <v>45736</v>
      </c>
      <c r="D36" s="1">
        <v>0</v>
      </c>
      <c r="E36" s="1">
        <v>28.38</v>
      </c>
      <c r="F36" t="s">
        <v>15</v>
      </c>
      <c r="G36" t="s">
        <v>75</v>
      </c>
      <c r="H36" t="s">
        <v>11</v>
      </c>
      <c r="I36" s="2">
        <v>45809</v>
      </c>
      <c r="J36">
        <v>10</v>
      </c>
      <c r="K36" t="s">
        <v>27</v>
      </c>
      <c r="L36">
        <v>271</v>
      </c>
      <c r="M36" t="s">
        <v>13</v>
      </c>
    </row>
    <row r="37" spans="2:13" x14ac:dyDescent="0.35">
      <c r="B37" s="4">
        <v>246779413889</v>
      </c>
      <c r="C37" s="3">
        <v>45736</v>
      </c>
      <c r="D37" s="1">
        <v>0</v>
      </c>
      <c r="E37" s="1">
        <v>43.85</v>
      </c>
      <c r="F37" t="s">
        <v>15</v>
      </c>
      <c r="G37" t="s">
        <v>75</v>
      </c>
      <c r="H37" t="s">
        <v>11</v>
      </c>
      <c r="I37" s="2">
        <v>45809</v>
      </c>
      <c r="J37">
        <v>28</v>
      </c>
      <c r="K37" t="s">
        <v>27</v>
      </c>
      <c r="L37">
        <v>271</v>
      </c>
      <c r="M37" t="s">
        <v>13</v>
      </c>
    </row>
    <row r="38" spans="2:13" x14ac:dyDescent="0.35">
      <c r="B38" s="4">
        <v>246779413920</v>
      </c>
      <c r="C38" s="3">
        <v>45736</v>
      </c>
      <c r="D38" s="1">
        <v>0</v>
      </c>
      <c r="E38" s="1">
        <v>23.21</v>
      </c>
      <c r="F38" t="s">
        <v>15</v>
      </c>
      <c r="G38" t="s">
        <v>75</v>
      </c>
      <c r="H38" t="s">
        <v>11</v>
      </c>
      <c r="I38" s="2">
        <v>45809</v>
      </c>
      <c r="J38">
        <v>32</v>
      </c>
      <c r="K38" t="s">
        <v>27</v>
      </c>
      <c r="L38">
        <v>271</v>
      </c>
      <c r="M38" t="s">
        <v>13</v>
      </c>
    </row>
    <row r="39" spans="2:13" x14ac:dyDescent="0.35">
      <c r="B39" s="4">
        <v>246779413941</v>
      </c>
      <c r="C39" s="3">
        <v>45736</v>
      </c>
      <c r="D39" s="1">
        <v>0</v>
      </c>
      <c r="E39" s="1">
        <v>30.95</v>
      </c>
      <c r="F39" t="s">
        <v>15</v>
      </c>
      <c r="G39" t="s">
        <v>75</v>
      </c>
      <c r="H39" t="s">
        <v>11</v>
      </c>
      <c r="I39" s="2">
        <v>45809</v>
      </c>
      <c r="J39">
        <v>36</v>
      </c>
      <c r="K39" t="s">
        <v>27</v>
      </c>
      <c r="L39">
        <v>271</v>
      </c>
      <c r="M39" t="s">
        <v>13</v>
      </c>
    </row>
    <row r="40" spans="2:13" x14ac:dyDescent="0.35">
      <c r="B40" s="4">
        <v>246779413815</v>
      </c>
      <c r="C40" s="3">
        <v>45736</v>
      </c>
      <c r="D40" s="1">
        <v>0</v>
      </c>
      <c r="E40" s="1">
        <v>51.59</v>
      </c>
      <c r="F40" t="s">
        <v>15</v>
      </c>
      <c r="G40" t="s">
        <v>75</v>
      </c>
      <c r="H40" t="s">
        <v>11</v>
      </c>
      <c r="I40" s="2">
        <v>45809</v>
      </c>
      <c r="J40">
        <v>58</v>
      </c>
      <c r="K40" t="s">
        <v>27</v>
      </c>
      <c r="L40">
        <v>271</v>
      </c>
      <c r="M40" t="s">
        <v>13</v>
      </c>
    </row>
    <row r="41" spans="2:13" x14ac:dyDescent="0.35">
      <c r="B41" s="4">
        <v>246779414384</v>
      </c>
      <c r="C41" s="3">
        <v>45736</v>
      </c>
      <c r="D41" s="1">
        <v>0</v>
      </c>
      <c r="E41" s="1">
        <v>188.32</v>
      </c>
      <c r="F41" t="s">
        <v>15</v>
      </c>
      <c r="G41" t="s">
        <v>75</v>
      </c>
      <c r="H41" t="s">
        <v>11</v>
      </c>
      <c r="I41" s="2">
        <v>45809</v>
      </c>
      <c r="J41">
        <v>88</v>
      </c>
      <c r="K41" t="s">
        <v>27</v>
      </c>
      <c r="L41">
        <v>271</v>
      </c>
      <c r="M41" t="s">
        <v>13</v>
      </c>
    </row>
    <row r="42" spans="2:13" x14ac:dyDescent="0.35">
      <c r="B42" s="4">
        <v>246779413747</v>
      </c>
      <c r="C42" s="3">
        <v>45736</v>
      </c>
      <c r="D42" s="1">
        <v>0</v>
      </c>
      <c r="E42" s="1">
        <v>-4.34</v>
      </c>
      <c r="F42" t="s">
        <v>15</v>
      </c>
      <c r="G42" t="s">
        <v>75</v>
      </c>
      <c r="H42" t="s">
        <v>11</v>
      </c>
      <c r="I42" s="2">
        <v>45901</v>
      </c>
      <c r="J42">
        <v>58</v>
      </c>
      <c r="K42" t="s">
        <v>55</v>
      </c>
      <c r="L42">
        <v>271</v>
      </c>
      <c r="M42" t="s">
        <v>13</v>
      </c>
    </row>
    <row r="43" spans="2:13" x14ac:dyDescent="0.35">
      <c r="B43" s="4">
        <v>246779410227</v>
      </c>
      <c r="C43" s="3">
        <v>45708</v>
      </c>
      <c r="D43" s="1">
        <v>0</v>
      </c>
      <c r="E43" s="1">
        <v>1232.44</v>
      </c>
      <c r="F43" t="s">
        <v>15</v>
      </c>
      <c r="G43" t="s">
        <v>87</v>
      </c>
      <c r="H43" t="s">
        <v>11</v>
      </c>
      <c r="I43" s="2">
        <v>45809</v>
      </c>
      <c r="J43">
        <v>2</v>
      </c>
      <c r="K43" t="s">
        <v>27</v>
      </c>
      <c r="L43">
        <v>271</v>
      </c>
      <c r="M43" t="s">
        <v>13</v>
      </c>
    </row>
    <row r="44" spans="2:13" x14ac:dyDescent="0.35">
      <c r="B44" s="4">
        <v>246779410260</v>
      </c>
      <c r="C44" s="3">
        <v>45708</v>
      </c>
      <c r="D44" s="1">
        <v>0</v>
      </c>
      <c r="E44" s="1">
        <v>49.29</v>
      </c>
      <c r="F44" t="s">
        <v>15</v>
      </c>
      <c r="G44" t="s">
        <v>87</v>
      </c>
      <c r="H44" t="s">
        <v>11</v>
      </c>
      <c r="I44" s="2">
        <v>45809</v>
      </c>
      <c r="J44">
        <v>8</v>
      </c>
      <c r="K44" t="s">
        <v>27</v>
      </c>
      <c r="L44">
        <v>271</v>
      </c>
      <c r="M44" t="s">
        <v>13</v>
      </c>
    </row>
    <row r="45" spans="2:13" x14ac:dyDescent="0.35">
      <c r="B45" s="4">
        <v>246779410080</v>
      </c>
      <c r="C45" s="3">
        <v>45708</v>
      </c>
      <c r="D45" s="1">
        <v>0</v>
      </c>
      <c r="E45" s="1">
        <v>51.34</v>
      </c>
      <c r="F45" t="s">
        <v>15</v>
      </c>
      <c r="G45" t="s">
        <v>87</v>
      </c>
      <c r="H45" t="s">
        <v>11</v>
      </c>
      <c r="I45" s="2">
        <v>45809</v>
      </c>
      <c r="J45">
        <v>76</v>
      </c>
      <c r="K45" t="s">
        <v>27</v>
      </c>
      <c r="L45">
        <v>271</v>
      </c>
      <c r="M45" t="s">
        <v>13</v>
      </c>
    </row>
    <row r="46" spans="2:13" x14ac:dyDescent="0.35">
      <c r="B46" s="4">
        <v>246779410064</v>
      </c>
      <c r="C46" s="3">
        <v>45708</v>
      </c>
      <c r="D46" s="1">
        <v>0</v>
      </c>
      <c r="E46" s="1">
        <v>28.23</v>
      </c>
      <c r="F46" t="s">
        <v>15</v>
      </c>
      <c r="G46" t="s">
        <v>87</v>
      </c>
      <c r="H46" t="s">
        <v>11</v>
      </c>
      <c r="I46" s="2">
        <v>45809</v>
      </c>
      <c r="J46">
        <v>80</v>
      </c>
      <c r="K46" t="s">
        <v>27</v>
      </c>
      <c r="L46">
        <v>271</v>
      </c>
      <c r="M46" t="s">
        <v>13</v>
      </c>
    </row>
    <row r="47" spans="2:13" x14ac:dyDescent="0.35">
      <c r="B47" s="4">
        <v>246779410010</v>
      </c>
      <c r="C47" s="3">
        <v>45708</v>
      </c>
      <c r="D47" s="1">
        <v>0</v>
      </c>
      <c r="E47" s="1">
        <v>1283.51</v>
      </c>
      <c r="F47" t="s">
        <v>15</v>
      </c>
      <c r="G47" t="s">
        <v>87</v>
      </c>
      <c r="H47" t="s">
        <v>11</v>
      </c>
      <c r="I47" s="2">
        <v>45809</v>
      </c>
      <c r="J47">
        <v>92</v>
      </c>
      <c r="K47" t="s">
        <v>27</v>
      </c>
      <c r="L47">
        <v>271</v>
      </c>
      <c r="M47" t="s">
        <v>13</v>
      </c>
    </row>
    <row r="48" spans="2:13" x14ac:dyDescent="0.35">
      <c r="B48" s="4">
        <v>246779410063</v>
      </c>
      <c r="C48" s="3">
        <v>45708</v>
      </c>
      <c r="D48" s="1">
        <v>0</v>
      </c>
      <c r="E48" s="1">
        <v>51.34</v>
      </c>
      <c r="F48" t="s">
        <v>15</v>
      </c>
      <c r="G48" t="s">
        <v>87</v>
      </c>
      <c r="H48" t="s">
        <v>11</v>
      </c>
      <c r="I48" s="2">
        <v>45809</v>
      </c>
      <c r="J48">
        <v>98</v>
      </c>
      <c r="K48" t="s">
        <v>27</v>
      </c>
      <c r="L48">
        <v>271</v>
      </c>
      <c r="M48" t="s">
        <v>13</v>
      </c>
    </row>
    <row r="49" spans="2:13" x14ac:dyDescent="0.35">
      <c r="B49" s="4">
        <v>246779410030</v>
      </c>
      <c r="C49" s="3">
        <v>45708</v>
      </c>
      <c r="D49" s="1">
        <v>0</v>
      </c>
      <c r="E49" s="1">
        <v>1283.51</v>
      </c>
      <c r="F49" t="s">
        <v>15</v>
      </c>
      <c r="G49" t="s">
        <v>87</v>
      </c>
      <c r="H49" t="s">
        <v>11</v>
      </c>
      <c r="I49" s="2">
        <v>45809</v>
      </c>
      <c r="J49">
        <v>100</v>
      </c>
      <c r="K49" t="s">
        <v>27</v>
      </c>
      <c r="L49">
        <v>271</v>
      </c>
      <c r="M49" t="s">
        <v>13</v>
      </c>
    </row>
    <row r="50" spans="2:13" x14ac:dyDescent="0.35">
      <c r="B50" s="4">
        <v>246779410261</v>
      </c>
      <c r="C50" s="3">
        <v>45708</v>
      </c>
      <c r="D50" s="1">
        <v>0</v>
      </c>
      <c r="E50" s="1">
        <v>27.12</v>
      </c>
      <c r="F50" t="s">
        <v>15</v>
      </c>
      <c r="G50" t="s">
        <v>87</v>
      </c>
      <c r="H50" t="s">
        <v>11</v>
      </c>
      <c r="I50" s="2">
        <v>45809</v>
      </c>
      <c r="J50">
        <v>102</v>
      </c>
      <c r="K50" t="s">
        <v>27</v>
      </c>
      <c r="L50">
        <v>271</v>
      </c>
      <c r="M50" t="s">
        <v>13</v>
      </c>
    </row>
    <row r="51" spans="2:13" x14ac:dyDescent="0.35">
      <c r="B51" s="4">
        <v>246779410311</v>
      </c>
      <c r="C51" s="3">
        <v>45708</v>
      </c>
      <c r="D51" s="1">
        <v>0</v>
      </c>
      <c r="E51" s="1">
        <v>-197.88</v>
      </c>
      <c r="F51" t="s">
        <v>15</v>
      </c>
      <c r="G51" t="s">
        <v>87</v>
      </c>
      <c r="H51" t="s">
        <v>11</v>
      </c>
      <c r="I51" s="2">
        <v>45901</v>
      </c>
      <c r="J51">
        <v>2</v>
      </c>
      <c r="K51" t="s">
        <v>55</v>
      </c>
      <c r="L51">
        <v>271</v>
      </c>
      <c r="M51" t="s">
        <v>13</v>
      </c>
    </row>
    <row r="52" spans="2:13" x14ac:dyDescent="0.35">
      <c r="B52" s="4">
        <v>256779414741</v>
      </c>
      <c r="C52" s="3">
        <v>45827</v>
      </c>
      <c r="D52" s="1">
        <v>0</v>
      </c>
      <c r="E52" s="1">
        <v>-2742.45</v>
      </c>
      <c r="F52" t="s">
        <v>15</v>
      </c>
      <c r="G52" t="s">
        <v>114</v>
      </c>
      <c r="H52" t="s">
        <v>11</v>
      </c>
      <c r="I52" s="2">
        <v>45992</v>
      </c>
      <c r="J52">
        <v>86</v>
      </c>
      <c r="K52" t="s">
        <v>10</v>
      </c>
      <c r="L52">
        <v>271</v>
      </c>
      <c r="M52" t="s">
        <v>13</v>
      </c>
    </row>
    <row r="53" spans="2:13" x14ac:dyDescent="0.35">
      <c r="B53" s="4">
        <v>246779412994</v>
      </c>
      <c r="C53" s="3">
        <v>45735</v>
      </c>
      <c r="D53" s="1">
        <v>0</v>
      </c>
      <c r="E53" s="1">
        <v>2370.4299999999998</v>
      </c>
      <c r="F53" t="s">
        <v>15</v>
      </c>
      <c r="G53" t="s">
        <v>116</v>
      </c>
      <c r="H53" t="s">
        <v>11</v>
      </c>
      <c r="I53" s="2">
        <v>45809</v>
      </c>
      <c r="J53">
        <v>26</v>
      </c>
      <c r="K53" t="s">
        <v>27</v>
      </c>
      <c r="L53">
        <v>271</v>
      </c>
      <c r="M53" t="s">
        <v>13</v>
      </c>
    </row>
    <row r="54" spans="2:13" x14ac:dyDescent="0.35">
      <c r="B54" s="4">
        <v>246779413023</v>
      </c>
      <c r="C54" s="3">
        <v>45735</v>
      </c>
      <c r="D54" s="1">
        <v>0</v>
      </c>
      <c r="E54" s="1">
        <v>94.81</v>
      </c>
      <c r="F54" t="s">
        <v>15</v>
      </c>
      <c r="G54" t="s">
        <v>116</v>
      </c>
      <c r="H54" t="s">
        <v>11</v>
      </c>
      <c r="I54" s="2">
        <v>45809</v>
      </c>
      <c r="J54">
        <v>30</v>
      </c>
      <c r="K54" t="s">
        <v>27</v>
      </c>
      <c r="L54">
        <v>271</v>
      </c>
      <c r="M54" t="s">
        <v>13</v>
      </c>
    </row>
    <row r="55" spans="2:13" x14ac:dyDescent="0.35">
      <c r="B55" s="4">
        <v>246779413024</v>
      </c>
      <c r="C55" s="3">
        <v>45735</v>
      </c>
      <c r="D55" s="1">
        <v>0</v>
      </c>
      <c r="E55" s="1">
        <v>52.15</v>
      </c>
      <c r="F55" t="s">
        <v>15</v>
      </c>
      <c r="G55" t="s">
        <v>116</v>
      </c>
      <c r="H55" t="s">
        <v>11</v>
      </c>
      <c r="I55" s="2">
        <v>45809</v>
      </c>
      <c r="J55">
        <v>62</v>
      </c>
      <c r="K55" t="s">
        <v>27</v>
      </c>
      <c r="L55">
        <v>271</v>
      </c>
      <c r="M55" t="s">
        <v>13</v>
      </c>
    </row>
    <row r="56" spans="2:13" x14ac:dyDescent="0.35">
      <c r="B56" s="4">
        <v>246779410081</v>
      </c>
      <c r="C56" s="3">
        <v>45707</v>
      </c>
      <c r="D56" s="1">
        <v>0</v>
      </c>
      <c r="E56" s="1">
        <v>28.23</v>
      </c>
      <c r="F56" t="s">
        <v>15</v>
      </c>
      <c r="G56" t="s">
        <v>121</v>
      </c>
      <c r="H56" t="s">
        <v>11</v>
      </c>
      <c r="I56" s="2">
        <v>45809</v>
      </c>
      <c r="J56">
        <v>96</v>
      </c>
      <c r="K56" t="s">
        <v>27</v>
      </c>
      <c r="L56">
        <v>271</v>
      </c>
      <c r="M56" t="s">
        <v>13</v>
      </c>
    </row>
    <row r="57" spans="2:13" x14ac:dyDescent="0.35">
      <c r="B57" s="4">
        <v>256779417597</v>
      </c>
      <c r="C57" s="3">
        <v>45918</v>
      </c>
      <c r="D57" s="1">
        <v>0</v>
      </c>
      <c r="E57" s="1">
        <v>-621.04</v>
      </c>
      <c r="F57" t="s">
        <v>15</v>
      </c>
      <c r="G57" t="s">
        <v>126</v>
      </c>
      <c r="H57" t="s">
        <v>11</v>
      </c>
      <c r="I57" s="2">
        <v>45931</v>
      </c>
      <c r="J57">
        <v>68</v>
      </c>
      <c r="K57" t="s">
        <v>20</v>
      </c>
      <c r="L57">
        <v>271</v>
      </c>
      <c r="M57" t="s">
        <v>13</v>
      </c>
    </row>
    <row r="58" spans="2:13" x14ac:dyDescent="0.35">
      <c r="B58" s="4" t="s">
        <v>455</v>
      </c>
      <c r="C58" s="3">
        <v>45918</v>
      </c>
      <c r="D58" s="1">
        <v>0</v>
      </c>
      <c r="E58" s="1">
        <v>-718.94</v>
      </c>
      <c r="F58" t="s">
        <v>15</v>
      </c>
      <c r="G58" t="s">
        <v>126</v>
      </c>
      <c r="H58" t="s">
        <v>11</v>
      </c>
      <c r="I58" s="2">
        <v>46023</v>
      </c>
      <c r="J58">
        <v>104</v>
      </c>
      <c r="K58" t="s">
        <v>47</v>
      </c>
      <c r="L58">
        <v>271</v>
      </c>
      <c r="M58" t="s">
        <v>13</v>
      </c>
    </row>
    <row r="59" spans="2:13" x14ac:dyDescent="0.35">
      <c r="B59" s="4">
        <v>256779415442</v>
      </c>
      <c r="C59" s="3">
        <v>45856</v>
      </c>
      <c r="D59" s="1">
        <v>0</v>
      </c>
      <c r="E59" s="1">
        <v>-3.53</v>
      </c>
      <c r="F59" t="s">
        <v>15</v>
      </c>
      <c r="G59" t="s">
        <v>133</v>
      </c>
      <c r="H59" t="s">
        <v>11</v>
      </c>
      <c r="I59" s="2">
        <v>45931</v>
      </c>
      <c r="J59">
        <v>66</v>
      </c>
      <c r="K59" t="s">
        <v>20</v>
      </c>
      <c r="L59">
        <v>271</v>
      </c>
      <c r="M59" t="s">
        <v>13</v>
      </c>
    </row>
    <row r="60" spans="2:13" x14ac:dyDescent="0.35">
      <c r="B60" s="4">
        <v>256779415426</v>
      </c>
      <c r="C60" s="3">
        <v>45856</v>
      </c>
      <c r="D60" s="1">
        <v>0</v>
      </c>
      <c r="E60" s="1">
        <v>-1030.68</v>
      </c>
      <c r="F60" t="s">
        <v>15</v>
      </c>
      <c r="G60" t="s">
        <v>133</v>
      </c>
      <c r="H60" t="s">
        <v>11</v>
      </c>
      <c r="I60" s="2">
        <v>45931</v>
      </c>
      <c r="J60">
        <v>70</v>
      </c>
      <c r="K60" t="s">
        <v>20</v>
      </c>
      <c r="L60">
        <v>271</v>
      </c>
      <c r="M60" t="s">
        <v>13</v>
      </c>
    </row>
    <row r="61" spans="2:13" x14ac:dyDescent="0.35">
      <c r="B61" s="4">
        <v>256779415517</v>
      </c>
      <c r="C61" s="3">
        <v>45856</v>
      </c>
      <c r="D61" s="1">
        <v>0</v>
      </c>
      <c r="E61" s="1">
        <v>-258.92</v>
      </c>
      <c r="F61" t="s">
        <v>15</v>
      </c>
      <c r="G61" t="s">
        <v>133</v>
      </c>
      <c r="H61" t="s">
        <v>11</v>
      </c>
      <c r="I61" s="2">
        <v>45931</v>
      </c>
      <c r="J61">
        <v>72</v>
      </c>
      <c r="K61" t="s">
        <v>20</v>
      </c>
      <c r="L61">
        <v>271</v>
      </c>
      <c r="M61" t="s">
        <v>13</v>
      </c>
    </row>
    <row r="62" spans="2:13" x14ac:dyDescent="0.35">
      <c r="B62" s="4">
        <v>256779415453</v>
      </c>
      <c r="C62" s="3">
        <v>45856</v>
      </c>
      <c r="D62" s="1">
        <v>0</v>
      </c>
      <c r="E62" s="1">
        <v>-650.84</v>
      </c>
      <c r="F62" t="s">
        <v>15</v>
      </c>
      <c r="G62" t="s">
        <v>133</v>
      </c>
      <c r="H62" t="s">
        <v>11</v>
      </c>
      <c r="I62" s="2">
        <v>45931</v>
      </c>
      <c r="J62">
        <v>74</v>
      </c>
      <c r="K62" t="s">
        <v>20</v>
      </c>
      <c r="L62">
        <v>271</v>
      </c>
      <c r="M62" t="s">
        <v>13</v>
      </c>
    </row>
    <row r="63" spans="2:13" x14ac:dyDescent="0.35">
      <c r="B63" s="4">
        <v>256779415474</v>
      </c>
      <c r="C63" s="3">
        <v>45856</v>
      </c>
      <c r="D63" s="1">
        <v>0</v>
      </c>
      <c r="E63" s="1">
        <v>-1349.32</v>
      </c>
      <c r="F63" t="s">
        <v>15</v>
      </c>
      <c r="G63" t="s">
        <v>133</v>
      </c>
      <c r="H63" t="s">
        <v>11</v>
      </c>
      <c r="I63" s="2">
        <v>45931</v>
      </c>
      <c r="J63">
        <v>76</v>
      </c>
      <c r="K63" t="s">
        <v>20</v>
      </c>
      <c r="L63">
        <v>271</v>
      </c>
      <c r="M63" t="s">
        <v>13</v>
      </c>
    </row>
    <row r="64" spans="2:13" x14ac:dyDescent="0.35">
      <c r="B64" s="4">
        <v>256779414431</v>
      </c>
      <c r="C64" s="3">
        <v>45826</v>
      </c>
      <c r="D64" s="1">
        <v>0</v>
      </c>
      <c r="E64" s="1">
        <v>-209.97</v>
      </c>
      <c r="F64" t="s">
        <v>15</v>
      </c>
      <c r="G64" t="s">
        <v>139</v>
      </c>
      <c r="H64" t="s">
        <v>11</v>
      </c>
      <c r="I64" s="2">
        <v>45962</v>
      </c>
      <c r="J64">
        <v>60</v>
      </c>
      <c r="K64" t="s">
        <v>12</v>
      </c>
      <c r="L64">
        <v>271</v>
      </c>
      <c r="M64" t="s">
        <v>13</v>
      </c>
    </row>
    <row r="65" spans="2:13" x14ac:dyDescent="0.35">
      <c r="B65" s="4">
        <v>246779411973</v>
      </c>
      <c r="C65" s="3">
        <v>45733</v>
      </c>
      <c r="D65" s="1">
        <v>0</v>
      </c>
      <c r="E65" s="1">
        <v>439.66</v>
      </c>
      <c r="F65" t="s">
        <v>15</v>
      </c>
      <c r="G65" t="s">
        <v>141</v>
      </c>
      <c r="H65" t="s">
        <v>11</v>
      </c>
      <c r="I65" s="2">
        <v>45809</v>
      </c>
      <c r="J65">
        <v>4</v>
      </c>
      <c r="K65" t="s">
        <v>27</v>
      </c>
      <c r="L65">
        <v>271</v>
      </c>
      <c r="M65" t="s">
        <v>13</v>
      </c>
    </row>
    <row r="66" spans="2:13" x14ac:dyDescent="0.35">
      <c r="B66" s="4">
        <v>246779412033</v>
      </c>
      <c r="C66" s="3">
        <v>45733</v>
      </c>
      <c r="D66" s="1">
        <v>0</v>
      </c>
      <c r="E66" s="1">
        <v>23.13</v>
      </c>
      <c r="F66" t="s">
        <v>15</v>
      </c>
      <c r="G66" t="s">
        <v>141</v>
      </c>
      <c r="H66" t="s">
        <v>11</v>
      </c>
      <c r="I66" s="2">
        <v>45809</v>
      </c>
      <c r="J66">
        <v>6</v>
      </c>
      <c r="K66" t="s">
        <v>27</v>
      </c>
      <c r="L66">
        <v>271</v>
      </c>
      <c r="M66" t="s">
        <v>13</v>
      </c>
    </row>
    <row r="67" spans="2:13" x14ac:dyDescent="0.35">
      <c r="B67" s="4">
        <v>246779412047</v>
      </c>
      <c r="C67" s="3">
        <v>45733</v>
      </c>
      <c r="D67" s="1">
        <v>0</v>
      </c>
      <c r="E67" s="1">
        <v>28.93</v>
      </c>
      <c r="F67" t="s">
        <v>15</v>
      </c>
      <c r="G67" t="s">
        <v>141</v>
      </c>
      <c r="H67" t="s">
        <v>11</v>
      </c>
      <c r="I67" s="2">
        <v>45809</v>
      </c>
      <c r="J67">
        <v>86</v>
      </c>
      <c r="K67" t="s">
        <v>27</v>
      </c>
      <c r="L67">
        <v>271</v>
      </c>
      <c r="M67" t="s">
        <v>13</v>
      </c>
    </row>
    <row r="68" spans="2:13" x14ac:dyDescent="0.35">
      <c r="B68" s="4">
        <v>246779411908</v>
      </c>
      <c r="C68" s="3">
        <v>45733</v>
      </c>
      <c r="D68" s="1">
        <v>0</v>
      </c>
      <c r="E68" s="1">
        <v>29.32</v>
      </c>
      <c r="F68" t="s">
        <v>15</v>
      </c>
      <c r="G68" t="s">
        <v>141</v>
      </c>
      <c r="H68" t="s">
        <v>11</v>
      </c>
      <c r="I68" s="2">
        <v>45809</v>
      </c>
      <c r="J68">
        <v>94</v>
      </c>
      <c r="K68" t="s">
        <v>27</v>
      </c>
      <c r="L68">
        <v>271</v>
      </c>
      <c r="M68" t="s">
        <v>13</v>
      </c>
    </row>
    <row r="69" spans="2:13" x14ac:dyDescent="0.35">
      <c r="B69" s="4">
        <v>246779411730</v>
      </c>
      <c r="C69" s="3">
        <v>45733</v>
      </c>
      <c r="D69" s="1">
        <v>0</v>
      </c>
      <c r="E69" s="1">
        <v>-23.64</v>
      </c>
      <c r="F69" t="s">
        <v>15</v>
      </c>
      <c r="G69" t="s">
        <v>141</v>
      </c>
      <c r="H69" t="s">
        <v>11</v>
      </c>
      <c r="I69" s="2">
        <v>45962</v>
      </c>
      <c r="J69">
        <v>52</v>
      </c>
      <c r="K69" t="s">
        <v>12</v>
      </c>
      <c r="L69">
        <v>271</v>
      </c>
      <c r="M69" t="s">
        <v>13</v>
      </c>
    </row>
    <row r="70" spans="2:13" x14ac:dyDescent="0.35">
      <c r="B70" s="4">
        <v>246779411789</v>
      </c>
      <c r="C70" s="3">
        <v>45733</v>
      </c>
      <c r="D70" s="1">
        <v>0</v>
      </c>
      <c r="E70" s="1">
        <v>-886.24</v>
      </c>
      <c r="F70" t="s">
        <v>15</v>
      </c>
      <c r="G70" t="s">
        <v>141</v>
      </c>
      <c r="H70" t="s">
        <v>11</v>
      </c>
      <c r="I70" s="2">
        <v>45962</v>
      </c>
      <c r="J70">
        <v>54</v>
      </c>
      <c r="K70" t="s">
        <v>12</v>
      </c>
      <c r="L70">
        <v>271</v>
      </c>
      <c r="M70" t="s">
        <v>13</v>
      </c>
    </row>
    <row r="71" spans="2:13" x14ac:dyDescent="0.35">
      <c r="B71" s="4">
        <v>256779412092</v>
      </c>
      <c r="C71" s="3">
        <v>45763</v>
      </c>
      <c r="D71" s="1">
        <v>0</v>
      </c>
      <c r="E71" s="1">
        <v>-74.400000000000006</v>
      </c>
      <c r="F71" t="s">
        <v>15</v>
      </c>
      <c r="G71" t="s">
        <v>224</v>
      </c>
      <c r="H71" t="s">
        <v>11</v>
      </c>
      <c r="I71" s="2">
        <v>45809</v>
      </c>
      <c r="J71">
        <v>38</v>
      </c>
      <c r="K71" t="s">
        <v>27</v>
      </c>
      <c r="L71">
        <v>271</v>
      </c>
      <c r="M71" t="s">
        <v>13</v>
      </c>
    </row>
    <row r="72" spans="2:13" x14ac:dyDescent="0.35">
      <c r="B72" s="4">
        <v>256779412053</v>
      </c>
      <c r="C72" s="3">
        <v>45763</v>
      </c>
      <c r="D72" s="1">
        <v>0</v>
      </c>
      <c r="E72" s="1">
        <v>-253.67</v>
      </c>
      <c r="F72" t="s">
        <v>15</v>
      </c>
      <c r="G72" t="s">
        <v>224</v>
      </c>
      <c r="H72" t="s">
        <v>11</v>
      </c>
      <c r="I72" s="2">
        <v>45809</v>
      </c>
      <c r="J72">
        <v>44</v>
      </c>
      <c r="K72" t="s">
        <v>27</v>
      </c>
      <c r="L72">
        <v>271</v>
      </c>
      <c r="M72" t="s">
        <v>13</v>
      </c>
    </row>
    <row r="73" spans="2:13" x14ac:dyDescent="0.35">
      <c r="B73" s="4">
        <v>256779412091</v>
      </c>
      <c r="C73" s="3">
        <v>45763</v>
      </c>
      <c r="D73" s="1">
        <v>0</v>
      </c>
      <c r="E73" s="1">
        <v>-24.8</v>
      </c>
      <c r="F73" t="s">
        <v>15</v>
      </c>
      <c r="G73" t="s">
        <v>224</v>
      </c>
      <c r="H73" t="s">
        <v>11</v>
      </c>
      <c r="I73" s="2">
        <v>45809</v>
      </c>
      <c r="J73">
        <v>64</v>
      </c>
      <c r="K73" t="s">
        <v>27</v>
      </c>
      <c r="L73">
        <v>271</v>
      </c>
      <c r="M73" t="s">
        <v>13</v>
      </c>
    </row>
    <row r="74" spans="2:13" x14ac:dyDescent="0.35">
      <c r="B74" s="4">
        <v>256779412123</v>
      </c>
      <c r="C74" s="3">
        <v>45763</v>
      </c>
      <c r="D74" s="1">
        <v>0</v>
      </c>
      <c r="E74" s="1">
        <v>-853.75</v>
      </c>
      <c r="F74" t="s">
        <v>15</v>
      </c>
      <c r="G74" t="s">
        <v>224</v>
      </c>
      <c r="H74" t="s">
        <v>11</v>
      </c>
      <c r="I74" s="2">
        <v>45809</v>
      </c>
      <c r="J74">
        <v>68</v>
      </c>
      <c r="K74" t="s">
        <v>27</v>
      </c>
      <c r="L74">
        <v>271</v>
      </c>
      <c r="M74" t="s">
        <v>13</v>
      </c>
    </row>
    <row r="75" spans="2:13" x14ac:dyDescent="0.35">
      <c r="B75" s="4">
        <v>256779411969</v>
      </c>
      <c r="C75" s="3">
        <v>45763</v>
      </c>
      <c r="D75" s="1">
        <v>0</v>
      </c>
      <c r="E75" s="1">
        <v>-20.350000000000001</v>
      </c>
      <c r="F75" t="s">
        <v>15</v>
      </c>
      <c r="G75" t="s">
        <v>224</v>
      </c>
      <c r="H75" t="s">
        <v>11</v>
      </c>
      <c r="I75" s="2">
        <v>45809</v>
      </c>
      <c r="J75">
        <v>82</v>
      </c>
      <c r="K75" t="s">
        <v>27</v>
      </c>
      <c r="L75">
        <v>271</v>
      </c>
      <c r="M75" t="s">
        <v>13</v>
      </c>
    </row>
    <row r="76" spans="2:13" x14ac:dyDescent="0.35">
      <c r="B76" s="4">
        <v>256779411867</v>
      </c>
      <c r="C76" s="3">
        <v>45763</v>
      </c>
      <c r="D76" s="1">
        <v>0</v>
      </c>
      <c r="E76" s="1">
        <v>-847.79</v>
      </c>
      <c r="F76" t="s">
        <v>15</v>
      </c>
      <c r="G76" t="s">
        <v>224</v>
      </c>
      <c r="H76" t="s">
        <v>11</v>
      </c>
      <c r="I76" s="2">
        <v>45901</v>
      </c>
      <c r="J76">
        <v>4</v>
      </c>
      <c r="K76" t="s">
        <v>55</v>
      </c>
      <c r="L76">
        <v>271</v>
      </c>
      <c r="M76" t="s">
        <v>13</v>
      </c>
    </row>
    <row r="77" spans="2:13" x14ac:dyDescent="0.35">
      <c r="B77" s="4">
        <v>256779411867</v>
      </c>
      <c r="C77" s="3">
        <v>45763</v>
      </c>
      <c r="D77" s="1">
        <v>0</v>
      </c>
      <c r="E77" s="1">
        <v>117.64</v>
      </c>
      <c r="F77" t="s">
        <v>15</v>
      </c>
      <c r="G77" t="s">
        <v>224</v>
      </c>
      <c r="H77" t="s">
        <v>11</v>
      </c>
      <c r="I77" s="2">
        <v>45931</v>
      </c>
      <c r="J77">
        <v>2</v>
      </c>
      <c r="K77" t="s">
        <v>20</v>
      </c>
      <c r="L77">
        <v>271</v>
      </c>
      <c r="M77" t="s">
        <v>13</v>
      </c>
    </row>
    <row r="78" spans="2:13" x14ac:dyDescent="0.35">
      <c r="B78" s="4">
        <v>256779411970</v>
      </c>
      <c r="C78" s="3">
        <v>45763</v>
      </c>
      <c r="D78" s="1">
        <v>0</v>
      </c>
      <c r="E78" s="1">
        <v>-21.43</v>
      </c>
      <c r="F78" t="s">
        <v>15</v>
      </c>
      <c r="G78" t="s">
        <v>224</v>
      </c>
      <c r="H78" t="s">
        <v>11</v>
      </c>
      <c r="I78" s="2">
        <v>45931</v>
      </c>
      <c r="J78">
        <v>22</v>
      </c>
      <c r="K78" t="s">
        <v>20</v>
      </c>
      <c r="L78">
        <v>271</v>
      </c>
      <c r="M78" t="s">
        <v>13</v>
      </c>
    </row>
    <row r="79" spans="2:13" x14ac:dyDescent="0.35">
      <c r="B79" s="4">
        <v>256779411867</v>
      </c>
      <c r="C79" s="3">
        <v>45763</v>
      </c>
      <c r="D79" s="1">
        <v>0</v>
      </c>
      <c r="E79" s="1">
        <v>-260.83</v>
      </c>
      <c r="F79" t="s">
        <v>15</v>
      </c>
      <c r="G79" t="s">
        <v>224</v>
      </c>
      <c r="H79" t="s">
        <v>11</v>
      </c>
      <c r="I79" s="2">
        <v>45962</v>
      </c>
      <c r="J79">
        <v>2</v>
      </c>
      <c r="K79" t="s">
        <v>12</v>
      </c>
      <c r="L79">
        <v>271</v>
      </c>
      <c r="M79" t="s">
        <v>13</v>
      </c>
    </row>
    <row r="80" spans="2:13" x14ac:dyDescent="0.35">
      <c r="B80" s="4">
        <v>256779411867</v>
      </c>
      <c r="C80" s="3">
        <v>45763</v>
      </c>
      <c r="D80" s="1">
        <v>0</v>
      </c>
      <c r="E80" s="1">
        <v>-212.77</v>
      </c>
      <c r="F80" t="s">
        <v>15</v>
      </c>
      <c r="G80" t="s">
        <v>224</v>
      </c>
      <c r="H80" t="s">
        <v>11</v>
      </c>
      <c r="I80" s="2">
        <v>45992</v>
      </c>
      <c r="J80">
        <v>2</v>
      </c>
      <c r="K80" t="s">
        <v>10</v>
      </c>
      <c r="L80">
        <v>271</v>
      </c>
      <c r="M80" t="s">
        <v>13</v>
      </c>
    </row>
    <row r="81" spans="2:13" x14ac:dyDescent="0.35">
      <c r="B81" s="4">
        <v>256779411867</v>
      </c>
      <c r="C81" s="3">
        <v>45763</v>
      </c>
      <c r="D81" s="1">
        <v>0</v>
      </c>
      <c r="E81" s="1">
        <v>-503.02</v>
      </c>
      <c r="F81" t="s">
        <v>15</v>
      </c>
      <c r="G81" t="s">
        <v>224</v>
      </c>
      <c r="H81" t="s">
        <v>11</v>
      </c>
      <c r="I81" s="2">
        <v>46023</v>
      </c>
      <c r="J81">
        <v>2</v>
      </c>
      <c r="K81" t="s">
        <v>47</v>
      </c>
      <c r="L81">
        <v>271</v>
      </c>
      <c r="M81" t="s">
        <v>13</v>
      </c>
    </row>
    <row r="82" spans="2:13" x14ac:dyDescent="0.35">
      <c r="B82" s="4">
        <v>256779411467</v>
      </c>
      <c r="C82" s="3">
        <v>45762</v>
      </c>
      <c r="D82" s="1">
        <v>0</v>
      </c>
      <c r="E82" s="1">
        <v>-101.74</v>
      </c>
      <c r="F82" t="s">
        <v>15</v>
      </c>
      <c r="G82" t="s">
        <v>233</v>
      </c>
      <c r="H82" t="s">
        <v>11</v>
      </c>
      <c r="I82" s="2">
        <v>45901</v>
      </c>
      <c r="J82">
        <v>52</v>
      </c>
      <c r="K82" t="s">
        <v>55</v>
      </c>
      <c r="L82">
        <v>271</v>
      </c>
      <c r="M82" t="s">
        <v>13</v>
      </c>
    </row>
    <row r="83" spans="2:13" x14ac:dyDescent="0.35">
      <c r="B83" s="4">
        <v>256779411467</v>
      </c>
      <c r="C83" s="3">
        <v>45762</v>
      </c>
      <c r="D83" s="1">
        <v>0</v>
      </c>
      <c r="E83" s="1">
        <v>14.12</v>
      </c>
      <c r="F83" t="s">
        <v>15</v>
      </c>
      <c r="G83" t="s">
        <v>233</v>
      </c>
      <c r="H83" t="s">
        <v>11</v>
      </c>
      <c r="I83" s="2">
        <v>45931</v>
      </c>
      <c r="J83">
        <v>10</v>
      </c>
      <c r="K83" t="s">
        <v>20</v>
      </c>
      <c r="L83">
        <v>271</v>
      </c>
      <c r="M83" t="s">
        <v>13</v>
      </c>
    </row>
    <row r="84" spans="2:13" x14ac:dyDescent="0.35">
      <c r="B84" s="4">
        <v>256779411467</v>
      </c>
      <c r="C84" s="3">
        <v>45762</v>
      </c>
      <c r="D84" s="1">
        <v>0</v>
      </c>
      <c r="E84" s="1">
        <v>-31.3</v>
      </c>
      <c r="F84" t="s">
        <v>15</v>
      </c>
      <c r="G84" t="s">
        <v>233</v>
      </c>
      <c r="H84" t="s">
        <v>11</v>
      </c>
      <c r="I84" s="2">
        <v>45962</v>
      </c>
      <c r="J84">
        <v>16</v>
      </c>
      <c r="K84" t="s">
        <v>12</v>
      </c>
      <c r="L84">
        <v>271</v>
      </c>
      <c r="M84" t="s">
        <v>13</v>
      </c>
    </row>
    <row r="85" spans="2:13" x14ac:dyDescent="0.35">
      <c r="B85" s="4">
        <v>256779411467</v>
      </c>
      <c r="C85" s="3">
        <v>45762</v>
      </c>
      <c r="D85" s="1">
        <v>0</v>
      </c>
      <c r="E85" s="1">
        <v>-25.53</v>
      </c>
      <c r="F85" t="s">
        <v>15</v>
      </c>
      <c r="G85" t="s">
        <v>233</v>
      </c>
      <c r="H85" t="s">
        <v>11</v>
      </c>
      <c r="I85" s="2">
        <v>45992</v>
      </c>
      <c r="J85">
        <v>16</v>
      </c>
      <c r="K85" t="s">
        <v>10</v>
      </c>
      <c r="L85">
        <v>271</v>
      </c>
      <c r="M85" t="s">
        <v>13</v>
      </c>
    </row>
    <row r="86" spans="2:13" x14ac:dyDescent="0.35">
      <c r="B86" s="4">
        <v>256779411466</v>
      </c>
      <c r="C86" s="3">
        <v>45762</v>
      </c>
      <c r="D86" s="1">
        <v>0</v>
      </c>
      <c r="E86" s="1">
        <v>-144.44999999999999</v>
      </c>
      <c r="F86" t="s">
        <v>15</v>
      </c>
      <c r="G86" t="s">
        <v>233</v>
      </c>
      <c r="H86" t="s">
        <v>11</v>
      </c>
      <c r="I86" s="2">
        <v>45992</v>
      </c>
      <c r="J86">
        <v>50</v>
      </c>
      <c r="K86" t="s">
        <v>10</v>
      </c>
      <c r="L86">
        <v>271</v>
      </c>
      <c r="M86" t="s">
        <v>13</v>
      </c>
    </row>
    <row r="87" spans="2:13" x14ac:dyDescent="0.35">
      <c r="B87" s="4">
        <v>256779411465</v>
      </c>
      <c r="C87" s="3">
        <v>45762</v>
      </c>
      <c r="D87" s="1">
        <v>0</v>
      </c>
      <c r="E87" s="1">
        <v>-132.41</v>
      </c>
      <c r="F87" t="s">
        <v>15</v>
      </c>
      <c r="G87" t="s">
        <v>233</v>
      </c>
      <c r="H87" t="s">
        <v>11</v>
      </c>
      <c r="I87" s="2">
        <v>45992</v>
      </c>
      <c r="J87">
        <v>52</v>
      </c>
      <c r="K87" t="s">
        <v>10</v>
      </c>
      <c r="L87">
        <v>271</v>
      </c>
      <c r="M87" t="s">
        <v>13</v>
      </c>
    </row>
    <row r="88" spans="2:13" x14ac:dyDescent="0.35">
      <c r="B88" s="4">
        <v>256779411463</v>
      </c>
      <c r="C88" s="3">
        <v>45762</v>
      </c>
      <c r="D88" s="1">
        <v>0</v>
      </c>
      <c r="E88" s="1">
        <v>-96.3</v>
      </c>
      <c r="F88" t="s">
        <v>15</v>
      </c>
      <c r="G88" t="s">
        <v>233</v>
      </c>
      <c r="H88" t="s">
        <v>11</v>
      </c>
      <c r="I88" s="2">
        <v>45992</v>
      </c>
      <c r="J88">
        <v>66</v>
      </c>
      <c r="K88" t="s">
        <v>10</v>
      </c>
      <c r="L88">
        <v>271</v>
      </c>
      <c r="M88" t="s">
        <v>13</v>
      </c>
    </row>
    <row r="89" spans="2:13" x14ac:dyDescent="0.35">
      <c r="B89" s="4">
        <v>256779411467</v>
      </c>
      <c r="C89" s="3">
        <v>45762</v>
      </c>
      <c r="D89" s="1">
        <v>0</v>
      </c>
      <c r="E89" s="1">
        <v>-60.36</v>
      </c>
      <c r="F89" t="s">
        <v>15</v>
      </c>
      <c r="G89" t="s">
        <v>233</v>
      </c>
      <c r="H89" t="s">
        <v>11</v>
      </c>
      <c r="I89" s="2">
        <v>46023</v>
      </c>
      <c r="J89">
        <v>16</v>
      </c>
      <c r="K89" t="s">
        <v>47</v>
      </c>
      <c r="L89">
        <v>271</v>
      </c>
      <c r="M89" t="s">
        <v>13</v>
      </c>
    </row>
    <row r="90" spans="2:13" x14ac:dyDescent="0.35">
      <c r="B90" s="4">
        <v>256779411466</v>
      </c>
      <c r="C90" s="3">
        <v>45762</v>
      </c>
      <c r="D90" s="1">
        <v>0</v>
      </c>
      <c r="E90" s="1">
        <v>-60.36</v>
      </c>
      <c r="F90" t="s">
        <v>15</v>
      </c>
      <c r="G90" t="s">
        <v>233</v>
      </c>
      <c r="H90" t="s">
        <v>11</v>
      </c>
      <c r="I90" s="2">
        <v>46023</v>
      </c>
      <c r="J90">
        <v>46</v>
      </c>
      <c r="K90" t="s">
        <v>47</v>
      </c>
      <c r="L90">
        <v>271</v>
      </c>
      <c r="M90" t="s">
        <v>13</v>
      </c>
    </row>
    <row r="91" spans="2:13" x14ac:dyDescent="0.35">
      <c r="B91" s="4">
        <v>256779411465</v>
      </c>
      <c r="C91" s="3">
        <v>45762</v>
      </c>
      <c r="D91" s="1">
        <v>0</v>
      </c>
      <c r="E91" s="1">
        <v>-55.33</v>
      </c>
      <c r="F91" t="s">
        <v>15</v>
      </c>
      <c r="G91" t="s">
        <v>233</v>
      </c>
      <c r="H91" t="s">
        <v>11</v>
      </c>
      <c r="I91" s="2">
        <v>46023</v>
      </c>
      <c r="J91">
        <v>48</v>
      </c>
      <c r="K91" t="s">
        <v>47</v>
      </c>
      <c r="L91">
        <v>271</v>
      </c>
      <c r="M91" t="s">
        <v>13</v>
      </c>
    </row>
    <row r="92" spans="2:13" x14ac:dyDescent="0.35">
      <c r="B92" s="4">
        <v>256779411463</v>
      </c>
      <c r="C92" s="3">
        <v>45762</v>
      </c>
      <c r="D92" s="1">
        <v>0</v>
      </c>
      <c r="E92" s="1">
        <v>-40.25</v>
      </c>
      <c r="F92" t="s">
        <v>15</v>
      </c>
      <c r="G92" t="s">
        <v>233</v>
      </c>
      <c r="H92" t="s">
        <v>11</v>
      </c>
      <c r="I92" s="2">
        <v>46023</v>
      </c>
      <c r="J92">
        <v>50</v>
      </c>
      <c r="K92" t="s">
        <v>47</v>
      </c>
      <c r="L92">
        <v>271</v>
      </c>
      <c r="M92" t="s">
        <v>13</v>
      </c>
    </row>
    <row r="93" spans="2:13" x14ac:dyDescent="0.35">
      <c r="B93" s="4">
        <v>256779415389</v>
      </c>
      <c r="C93" s="3">
        <v>45937</v>
      </c>
      <c r="D93" s="1">
        <v>0</v>
      </c>
      <c r="E93" s="1">
        <v>-31.68</v>
      </c>
      <c r="F93" t="s">
        <v>15</v>
      </c>
      <c r="G93" s="3">
        <v>45908</v>
      </c>
      <c r="H93" t="s">
        <v>11</v>
      </c>
      <c r="I93" s="2">
        <v>45901</v>
      </c>
      <c r="J93">
        <v>6</v>
      </c>
      <c r="K93" t="s">
        <v>55</v>
      </c>
      <c r="L93">
        <v>271</v>
      </c>
      <c r="M93" t="s">
        <v>13</v>
      </c>
    </row>
    <row r="94" spans="2:13" x14ac:dyDescent="0.35">
      <c r="B94" s="4">
        <v>256779415346</v>
      </c>
      <c r="C94" s="3">
        <v>45937</v>
      </c>
      <c r="D94" s="1">
        <v>0</v>
      </c>
      <c r="E94" s="1">
        <v>-3.24</v>
      </c>
      <c r="F94" t="s">
        <v>15</v>
      </c>
      <c r="G94" s="3">
        <v>45908</v>
      </c>
      <c r="H94" t="s">
        <v>11</v>
      </c>
      <c r="I94" s="2">
        <v>45901</v>
      </c>
      <c r="J94">
        <v>8</v>
      </c>
      <c r="K94" t="s">
        <v>55</v>
      </c>
      <c r="L94">
        <v>271</v>
      </c>
      <c r="M94" t="s">
        <v>13</v>
      </c>
    </row>
    <row r="95" spans="2:13" x14ac:dyDescent="0.35">
      <c r="B95" s="4">
        <v>256779415350</v>
      </c>
      <c r="C95" s="3">
        <v>45937</v>
      </c>
      <c r="D95" s="1">
        <v>0</v>
      </c>
      <c r="E95" s="1">
        <v>-4.17</v>
      </c>
      <c r="F95" t="s">
        <v>15</v>
      </c>
      <c r="G95" s="3">
        <v>45908</v>
      </c>
      <c r="H95" t="s">
        <v>11</v>
      </c>
      <c r="I95" s="2">
        <v>45901</v>
      </c>
      <c r="J95">
        <v>10</v>
      </c>
      <c r="K95" t="s">
        <v>55</v>
      </c>
      <c r="L95">
        <v>271</v>
      </c>
      <c r="M95" t="s">
        <v>13</v>
      </c>
    </row>
    <row r="96" spans="2:13" x14ac:dyDescent="0.35">
      <c r="B96" s="4">
        <v>256779415316</v>
      </c>
      <c r="C96" s="3">
        <v>45937</v>
      </c>
      <c r="D96" s="1">
        <v>0</v>
      </c>
      <c r="E96" s="1">
        <v>-11.14</v>
      </c>
      <c r="F96" t="s">
        <v>15</v>
      </c>
      <c r="G96" s="3">
        <v>45908</v>
      </c>
      <c r="H96" t="s">
        <v>11</v>
      </c>
      <c r="I96" s="2">
        <v>45901</v>
      </c>
      <c r="J96">
        <v>12</v>
      </c>
      <c r="K96" t="s">
        <v>55</v>
      </c>
      <c r="L96">
        <v>271</v>
      </c>
      <c r="M96" t="s">
        <v>13</v>
      </c>
    </row>
    <row r="97" spans="2:13" x14ac:dyDescent="0.35">
      <c r="B97" s="4">
        <v>256779415355</v>
      </c>
      <c r="C97" s="3">
        <v>45937</v>
      </c>
      <c r="D97" s="1">
        <v>0</v>
      </c>
      <c r="E97" s="1">
        <v>-3.97</v>
      </c>
      <c r="F97" t="s">
        <v>15</v>
      </c>
      <c r="G97" s="3">
        <v>45908</v>
      </c>
      <c r="H97" t="s">
        <v>11</v>
      </c>
      <c r="I97" s="2">
        <v>45901</v>
      </c>
      <c r="J97">
        <v>14</v>
      </c>
      <c r="K97" t="s">
        <v>55</v>
      </c>
      <c r="L97">
        <v>271</v>
      </c>
      <c r="M97" t="s">
        <v>13</v>
      </c>
    </row>
    <row r="98" spans="2:13" x14ac:dyDescent="0.35">
      <c r="B98" s="4">
        <v>256779415303</v>
      </c>
      <c r="C98" s="3">
        <v>45937</v>
      </c>
      <c r="D98" s="1">
        <v>0</v>
      </c>
      <c r="E98" s="1">
        <v>-18.57</v>
      </c>
      <c r="F98" t="s">
        <v>15</v>
      </c>
      <c r="G98" s="3">
        <v>45908</v>
      </c>
      <c r="H98" t="s">
        <v>11</v>
      </c>
      <c r="I98" s="2">
        <v>45901</v>
      </c>
      <c r="J98">
        <v>18</v>
      </c>
      <c r="K98" t="s">
        <v>55</v>
      </c>
      <c r="L98">
        <v>271</v>
      </c>
      <c r="M98" t="s">
        <v>13</v>
      </c>
    </row>
    <row r="99" spans="2:13" x14ac:dyDescent="0.35">
      <c r="B99" s="4">
        <v>256779415333</v>
      </c>
      <c r="C99" s="3">
        <v>45937</v>
      </c>
      <c r="D99" s="1">
        <v>0</v>
      </c>
      <c r="E99" s="1">
        <v>-4.17</v>
      </c>
      <c r="F99" t="s">
        <v>15</v>
      </c>
      <c r="G99" s="3">
        <v>45908</v>
      </c>
      <c r="H99" t="s">
        <v>11</v>
      </c>
      <c r="I99" s="2">
        <v>45901</v>
      </c>
      <c r="J99">
        <v>20</v>
      </c>
      <c r="K99" t="s">
        <v>55</v>
      </c>
      <c r="L99">
        <v>271</v>
      </c>
      <c r="M99" t="s">
        <v>13</v>
      </c>
    </row>
    <row r="100" spans="2:13" x14ac:dyDescent="0.35">
      <c r="B100" s="4">
        <v>256779415304</v>
      </c>
      <c r="C100" s="3">
        <v>45937</v>
      </c>
      <c r="D100" s="1">
        <v>0</v>
      </c>
      <c r="E100" s="1">
        <v>-5.57</v>
      </c>
      <c r="F100" t="s">
        <v>15</v>
      </c>
      <c r="G100" s="3">
        <v>45908</v>
      </c>
      <c r="H100" t="s">
        <v>11</v>
      </c>
      <c r="I100" s="2">
        <v>45901</v>
      </c>
      <c r="J100">
        <v>22</v>
      </c>
      <c r="K100" t="s">
        <v>55</v>
      </c>
      <c r="L100">
        <v>271</v>
      </c>
      <c r="M100" t="s">
        <v>13</v>
      </c>
    </row>
    <row r="101" spans="2:13" x14ac:dyDescent="0.35">
      <c r="B101" s="4">
        <v>256779415377</v>
      </c>
      <c r="C101" s="3">
        <v>45937</v>
      </c>
      <c r="D101" s="1">
        <v>0</v>
      </c>
      <c r="E101" s="1">
        <v>-9.2899999999999991</v>
      </c>
      <c r="F101" t="s">
        <v>15</v>
      </c>
      <c r="G101" s="3">
        <v>45908</v>
      </c>
      <c r="H101" t="s">
        <v>11</v>
      </c>
      <c r="I101" s="2">
        <v>45901</v>
      </c>
      <c r="J101">
        <v>24</v>
      </c>
      <c r="K101" t="s">
        <v>55</v>
      </c>
      <c r="L101">
        <v>271</v>
      </c>
      <c r="M101" t="s">
        <v>13</v>
      </c>
    </row>
    <row r="102" spans="2:13" x14ac:dyDescent="0.35">
      <c r="B102" s="4">
        <v>256779415298</v>
      </c>
      <c r="C102" s="3">
        <v>45937</v>
      </c>
      <c r="D102" s="1">
        <v>0</v>
      </c>
      <c r="E102" s="1">
        <v>-4.46</v>
      </c>
      <c r="F102" t="s">
        <v>15</v>
      </c>
      <c r="G102" s="3">
        <v>45908</v>
      </c>
      <c r="H102" t="s">
        <v>11</v>
      </c>
      <c r="I102" s="2">
        <v>45901</v>
      </c>
      <c r="J102">
        <v>28</v>
      </c>
      <c r="K102" t="s">
        <v>55</v>
      </c>
      <c r="L102">
        <v>271</v>
      </c>
      <c r="M102" t="s">
        <v>13</v>
      </c>
    </row>
    <row r="103" spans="2:13" x14ac:dyDescent="0.35">
      <c r="B103" s="4">
        <v>256779415380</v>
      </c>
      <c r="C103" s="3">
        <v>45937</v>
      </c>
      <c r="D103" s="1">
        <v>0</v>
      </c>
      <c r="E103" s="1">
        <v>-37.14</v>
      </c>
      <c r="F103" t="s">
        <v>15</v>
      </c>
      <c r="G103" s="3">
        <v>45908</v>
      </c>
      <c r="H103" t="s">
        <v>11</v>
      </c>
      <c r="I103" s="2">
        <v>45901</v>
      </c>
      <c r="J103">
        <v>30</v>
      </c>
      <c r="K103" t="s">
        <v>55</v>
      </c>
      <c r="L103">
        <v>271</v>
      </c>
      <c r="M103" t="s">
        <v>13</v>
      </c>
    </row>
    <row r="104" spans="2:13" x14ac:dyDescent="0.35">
      <c r="B104" s="4">
        <v>256779415341</v>
      </c>
      <c r="C104" s="3">
        <v>45937</v>
      </c>
      <c r="D104" s="1">
        <v>0</v>
      </c>
      <c r="E104" s="1">
        <v>-2.78</v>
      </c>
      <c r="F104" t="s">
        <v>15</v>
      </c>
      <c r="G104" s="3">
        <v>45908</v>
      </c>
      <c r="H104" t="s">
        <v>11</v>
      </c>
      <c r="I104" s="2">
        <v>45901</v>
      </c>
      <c r="J104">
        <v>32</v>
      </c>
      <c r="K104" t="s">
        <v>55</v>
      </c>
      <c r="L104">
        <v>271</v>
      </c>
      <c r="M104" t="s">
        <v>13</v>
      </c>
    </row>
    <row r="105" spans="2:13" x14ac:dyDescent="0.35">
      <c r="B105" s="4">
        <v>256779415359</v>
      </c>
      <c r="C105" s="3">
        <v>45937</v>
      </c>
      <c r="D105" s="1">
        <v>0</v>
      </c>
      <c r="E105" s="1">
        <v>-37.14</v>
      </c>
      <c r="F105" t="s">
        <v>15</v>
      </c>
      <c r="G105" s="3">
        <v>45908</v>
      </c>
      <c r="H105" t="s">
        <v>11</v>
      </c>
      <c r="I105" s="2">
        <v>45901</v>
      </c>
      <c r="J105">
        <v>34</v>
      </c>
      <c r="K105" t="s">
        <v>55</v>
      </c>
      <c r="L105">
        <v>271</v>
      </c>
      <c r="M105" t="s">
        <v>13</v>
      </c>
    </row>
    <row r="106" spans="2:13" x14ac:dyDescent="0.35">
      <c r="B106" s="4">
        <v>256779415338</v>
      </c>
      <c r="C106" s="3">
        <v>45937</v>
      </c>
      <c r="D106" s="1">
        <v>0</v>
      </c>
      <c r="E106" s="1">
        <v>-2.3199999999999998</v>
      </c>
      <c r="F106" t="s">
        <v>15</v>
      </c>
      <c r="G106" s="3">
        <v>45908</v>
      </c>
      <c r="H106" t="s">
        <v>11</v>
      </c>
      <c r="I106" s="2">
        <v>45901</v>
      </c>
      <c r="J106">
        <v>36</v>
      </c>
      <c r="K106" t="s">
        <v>55</v>
      </c>
      <c r="L106">
        <v>271</v>
      </c>
      <c r="M106" t="s">
        <v>13</v>
      </c>
    </row>
    <row r="107" spans="2:13" x14ac:dyDescent="0.35">
      <c r="B107" s="4">
        <v>256779415344</v>
      </c>
      <c r="C107" s="3">
        <v>45937</v>
      </c>
      <c r="D107" s="1">
        <v>0</v>
      </c>
      <c r="E107" s="1">
        <v>-4.6500000000000004</v>
      </c>
      <c r="F107" t="s">
        <v>15</v>
      </c>
      <c r="G107" s="3">
        <v>45908</v>
      </c>
      <c r="H107" t="s">
        <v>11</v>
      </c>
      <c r="I107" s="2">
        <v>45901</v>
      </c>
      <c r="J107">
        <v>38</v>
      </c>
      <c r="K107" t="s">
        <v>55</v>
      </c>
      <c r="L107">
        <v>271</v>
      </c>
      <c r="M107" t="s">
        <v>13</v>
      </c>
    </row>
    <row r="108" spans="2:13" x14ac:dyDescent="0.35">
      <c r="B108" s="4">
        <v>256779415345</v>
      </c>
      <c r="C108" s="3">
        <v>45937</v>
      </c>
      <c r="D108" s="1">
        <v>0</v>
      </c>
      <c r="E108" s="1">
        <v>-4.6500000000000004</v>
      </c>
      <c r="F108" t="s">
        <v>15</v>
      </c>
      <c r="G108" s="3">
        <v>45908</v>
      </c>
      <c r="H108" t="s">
        <v>11</v>
      </c>
      <c r="I108" s="2">
        <v>45901</v>
      </c>
      <c r="J108">
        <v>40</v>
      </c>
      <c r="K108" t="s">
        <v>55</v>
      </c>
      <c r="L108">
        <v>271</v>
      </c>
      <c r="M108" t="s">
        <v>13</v>
      </c>
    </row>
    <row r="109" spans="2:13" x14ac:dyDescent="0.35">
      <c r="B109" s="4">
        <v>256779415388</v>
      </c>
      <c r="C109" s="3">
        <v>45937</v>
      </c>
      <c r="D109" s="1">
        <v>0</v>
      </c>
      <c r="E109" s="1">
        <v>-420</v>
      </c>
      <c r="F109" t="s">
        <v>15</v>
      </c>
      <c r="G109" s="3">
        <v>45908</v>
      </c>
      <c r="H109" t="s">
        <v>11</v>
      </c>
      <c r="I109" s="2">
        <v>45901</v>
      </c>
      <c r="J109">
        <v>42</v>
      </c>
      <c r="K109" t="s">
        <v>55</v>
      </c>
      <c r="L109">
        <v>271</v>
      </c>
      <c r="M109" t="s">
        <v>13</v>
      </c>
    </row>
    <row r="110" spans="2:13" x14ac:dyDescent="0.35">
      <c r="B110" s="4">
        <v>256779415310</v>
      </c>
      <c r="C110" s="3">
        <v>45937</v>
      </c>
      <c r="D110" s="1">
        <v>0</v>
      </c>
      <c r="E110" s="1">
        <v>-5.57</v>
      </c>
      <c r="F110" t="s">
        <v>15</v>
      </c>
      <c r="G110" s="3">
        <v>45908</v>
      </c>
      <c r="H110" t="s">
        <v>11</v>
      </c>
      <c r="I110" s="2">
        <v>45901</v>
      </c>
      <c r="J110">
        <v>44</v>
      </c>
      <c r="K110" t="s">
        <v>55</v>
      </c>
      <c r="L110">
        <v>271</v>
      </c>
      <c r="M110" t="s">
        <v>13</v>
      </c>
    </row>
    <row r="111" spans="2:13" x14ac:dyDescent="0.35">
      <c r="B111" s="4">
        <v>256779415379</v>
      </c>
      <c r="C111" s="3">
        <v>45937</v>
      </c>
      <c r="D111" s="1">
        <v>0</v>
      </c>
      <c r="E111" s="1">
        <v>-43.29</v>
      </c>
      <c r="F111" t="s">
        <v>15</v>
      </c>
      <c r="G111" s="3">
        <v>45908</v>
      </c>
      <c r="H111" t="s">
        <v>11</v>
      </c>
      <c r="I111" s="2">
        <v>45901</v>
      </c>
      <c r="J111">
        <v>46</v>
      </c>
      <c r="K111" t="s">
        <v>55</v>
      </c>
      <c r="L111">
        <v>271</v>
      </c>
      <c r="M111" t="s">
        <v>13</v>
      </c>
    </row>
    <row r="112" spans="2:13" x14ac:dyDescent="0.35">
      <c r="B112" s="4">
        <v>256779415384</v>
      </c>
      <c r="C112" s="3">
        <v>45937</v>
      </c>
      <c r="D112" s="1">
        <v>0</v>
      </c>
      <c r="E112" s="1">
        <v>-65</v>
      </c>
      <c r="F112" t="s">
        <v>15</v>
      </c>
      <c r="G112" s="3">
        <v>45908</v>
      </c>
      <c r="H112" t="s">
        <v>11</v>
      </c>
      <c r="I112" s="2">
        <v>45901</v>
      </c>
      <c r="J112">
        <v>48</v>
      </c>
      <c r="K112" t="s">
        <v>55</v>
      </c>
      <c r="L112">
        <v>271</v>
      </c>
      <c r="M112" t="s">
        <v>13</v>
      </c>
    </row>
    <row r="113" spans="2:13" x14ac:dyDescent="0.35">
      <c r="B113" s="4">
        <v>256779415339</v>
      </c>
      <c r="C113" s="3">
        <v>45937</v>
      </c>
      <c r="D113" s="1">
        <v>0</v>
      </c>
      <c r="E113" s="1">
        <v>-5.09</v>
      </c>
      <c r="F113" t="s">
        <v>15</v>
      </c>
      <c r="G113" s="3">
        <v>45908</v>
      </c>
      <c r="H113" t="s">
        <v>11</v>
      </c>
      <c r="I113" s="2">
        <v>45901</v>
      </c>
      <c r="J113">
        <v>50</v>
      </c>
      <c r="K113" t="s">
        <v>55</v>
      </c>
      <c r="L113">
        <v>271</v>
      </c>
      <c r="M113" t="s">
        <v>13</v>
      </c>
    </row>
    <row r="114" spans="2:13" x14ac:dyDescent="0.35">
      <c r="B114" s="4">
        <v>256779415393</v>
      </c>
      <c r="C114" s="3">
        <v>45937</v>
      </c>
      <c r="D114" s="1">
        <v>0</v>
      </c>
      <c r="E114" s="1">
        <v>-11.14</v>
      </c>
      <c r="F114" t="s">
        <v>15</v>
      </c>
      <c r="G114" s="3">
        <v>45908</v>
      </c>
      <c r="H114" t="s">
        <v>11</v>
      </c>
      <c r="I114" s="2">
        <v>45901</v>
      </c>
      <c r="J114">
        <v>54</v>
      </c>
      <c r="K114" t="s">
        <v>55</v>
      </c>
      <c r="L114">
        <v>271</v>
      </c>
      <c r="M114" t="s">
        <v>13</v>
      </c>
    </row>
    <row r="115" spans="2:13" x14ac:dyDescent="0.35">
      <c r="B115" s="4">
        <v>256779415357</v>
      </c>
      <c r="C115" s="3">
        <v>45937</v>
      </c>
      <c r="D115" s="1">
        <v>0</v>
      </c>
      <c r="E115" s="1">
        <v>-38.49</v>
      </c>
      <c r="F115" t="s">
        <v>15</v>
      </c>
      <c r="G115" s="3">
        <v>45908</v>
      </c>
      <c r="H115" t="s">
        <v>11</v>
      </c>
      <c r="I115" s="2">
        <v>45901</v>
      </c>
      <c r="J115">
        <v>56</v>
      </c>
      <c r="K115" t="s">
        <v>55</v>
      </c>
      <c r="L115">
        <v>271</v>
      </c>
      <c r="M115" t="s">
        <v>13</v>
      </c>
    </row>
    <row r="116" spans="2:13" x14ac:dyDescent="0.35">
      <c r="B116" s="4">
        <v>256779415300</v>
      </c>
      <c r="C116" s="3">
        <v>45937</v>
      </c>
      <c r="D116" s="1">
        <v>0</v>
      </c>
      <c r="E116" s="1">
        <v>-4.46</v>
      </c>
      <c r="F116" t="s">
        <v>15</v>
      </c>
      <c r="G116" s="3">
        <v>45908</v>
      </c>
      <c r="H116" t="s">
        <v>11</v>
      </c>
      <c r="I116" s="2">
        <v>45901</v>
      </c>
      <c r="J116">
        <v>60</v>
      </c>
      <c r="K116" t="s">
        <v>55</v>
      </c>
      <c r="L116">
        <v>271</v>
      </c>
      <c r="M116" t="s">
        <v>13</v>
      </c>
    </row>
    <row r="117" spans="2:13" x14ac:dyDescent="0.35">
      <c r="B117" s="4">
        <v>256779415375</v>
      </c>
      <c r="C117" s="3">
        <v>45937</v>
      </c>
      <c r="D117" s="1">
        <v>0</v>
      </c>
      <c r="E117" s="1">
        <v>-66.849999999999994</v>
      </c>
      <c r="F117" t="s">
        <v>15</v>
      </c>
      <c r="G117" s="3">
        <v>45908</v>
      </c>
      <c r="H117" t="s">
        <v>11</v>
      </c>
      <c r="I117" s="2">
        <v>45901</v>
      </c>
      <c r="J117">
        <v>62</v>
      </c>
      <c r="K117" t="s">
        <v>55</v>
      </c>
      <c r="L117">
        <v>271</v>
      </c>
      <c r="M117" t="s">
        <v>13</v>
      </c>
    </row>
    <row r="118" spans="2:13" x14ac:dyDescent="0.35">
      <c r="B118" s="4">
        <v>256779415349</v>
      </c>
      <c r="C118" s="3">
        <v>45937</v>
      </c>
      <c r="D118" s="1">
        <v>0</v>
      </c>
      <c r="E118" s="1">
        <v>-5.0999999999999996</v>
      </c>
      <c r="F118" t="s">
        <v>15</v>
      </c>
      <c r="G118" s="3">
        <v>45908</v>
      </c>
      <c r="H118" t="s">
        <v>11</v>
      </c>
      <c r="I118" s="2">
        <v>45901</v>
      </c>
      <c r="J118">
        <v>66</v>
      </c>
      <c r="K118" t="s">
        <v>55</v>
      </c>
      <c r="L118">
        <v>271</v>
      </c>
      <c r="M118" t="s">
        <v>13</v>
      </c>
    </row>
    <row r="119" spans="2:13" x14ac:dyDescent="0.35">
      <c r="B119" s="4">
        <v>256779415308</v>
      </c>
      <c r="C119" s="3">
        <v>45937</v>
      </c>
      <c r="D119" s="1">
        <v>0</v>
      </c>
      <c r="E119" s="1">
        <v>-5.57</v>
      </c>
      <c r="F119" t="s">
        <v>15</v>
      </c>
      <c r="G119" s="3">
        <v>45908</v>
      </c>
      <c r="H119" t="s">
        <v>11</v>
      </c>
      <c r="I119" s="2">
        <v>45901</v>
      </c>
      <c r="J119">
        <v>68</v>
      </c>
      <c r="K119" t="s">
        <v>55</v>
      </c>
      <c r="L119">
        <v>271</v>
      </c>
      <c r="M119" t="s">
        <v>13</v>
      </c>
    </row>
    <row r="120" spans="2:13" x14ac:dyDescent="0.35">
      <c r="B120" s="4">
        <v>256779415360</v>
      </c>
      <c r="C120" s="3">
        <v>45937</v>
      </c>
      <c r="D120" s="1">
        <v>0</v>
      </c>
      <c r="E120" s="1">
        <v>-11.14</v>
      </c>
      <c r="F120" t="s">
        <v>15</v>
      </c>
      <c r="G120" s="3">
        <v>45908</v>
      </c>
      <c r="H120" t="s">
        <v>11</v>
      </c>
      <c r="I120" s="2">
        <v>45901</v>
      </c>
      <c r="J120">
        <v>72</v>
      </c>
      <c r="K120" t="s">
        <v>55</v>
      </c>
      <c r="L120">
        <v>271</v>
      </c>
      <c r="M120" t="s">
        <v>13</v>
      </c>
    </row>
    <row r="121" spans="2:13" x14ac:dyDescent="0.35">
      <c r="B121" s="4">
        <v>256779415318</v>
      </c>
      <c r="C121" s="3">
        <v>45937</v>
      </c>
      <c r="D121" s="1">
        <v>0</v>
      </c>
      <c r="E121" s="1">
        <v>-47.28</v>
      </c>
      <c r="F121" t="s">
        <v>15</v>
      </c>
      <c r="G121" s="3">
        <v>45908</v>
      </c>
      <c r="H121" t="s">
        <v>11</v>
      </c>
      <c r="I121" s="2">
        <v>45901</v>
      </c>
      <c r="J121">
        <v>74</v>
      </c>
      <c r="K121" t="s">
        <v>55</v>
      </c>
      <c r="L121">
        <v>271</v>
      </c>
      <c r="M121" t="s">
        <v>13</v>
      </c>
    </row>
    <row r="122" spans="2:13" x14ac:dyDescent="0.35">
      <c r="B122" s="4">
        <v>256779415378</v>
      </c>
      <c r="C122" s="3">
        <v>45937</v>
      </c>
      <c r="D122" s="1">
        <v>0</v>
      </c>
      <c r="E122" s="1">
        <v>-22.29</v>
      </c>
      <c r="F122" t="s">
        <v>15</v>
      </c>
      <c r="G122" s="3">
        <v>45908</v>
      </c>
      <c r="H122" t="s">
        <v>11</v>
      </c>
      <c r="I122" s="2">
        <v>45901</v>
      </c>
      <c r="J122">
        <v>76</v>
      </c>
      <c r="K122" t="s">
        <v>55</v>
      </c>
      <c r="L122">
        <v>271</v>
      </c>
      <c r="M122" t="s">
        <v>13</v>
      </c>
    </row>
    <row r="123" spans="2:13" x14ac:dyDescent="0.35">
      <c r="B123" s="4">
        <v>256779415391</v>
      </c>
      <c r="C123" s="3">
        <v>45937</v>
      </c>
      <c r="D123" s="1">
        <v>0</v>
      </c>
      <c r="E123" s="1">
        <v>-152.30000000000001</v>
      </c>
      <c r="F123" t="s">
        <v>15</v>
      </c>
      <c r="G123" s="3">
        <v>45908</v>
      </c>
      <c r="H123" t="s">
        <v>11</v>
      </c>
      <c r="I123" s="2">
        <v>45901</v>
      </c>
      <c r="J123">
        <v>78</v>
      </c>
      <c r="K123" t="s">
        <v>55</v>
      </c>
      <c r="L123">
        <v>271</v>
      </c>
      <c r="M123" t="s">
        <v>13</v>
      </c>
    </row>
    <row r="124" spans="2:13" x14ac:dyDescent="0.35">
      <c r="B124" s="4">
        <v>256779415334</v>
      </c>
      <c r="C124" s="3">
        <v>45937</v>
      </c>
      <c r="D124" s="1">
        <v>0</v>
      </c>
      <c r="E124" s="1">
        <v>-4.17</v>
      </c>
      <c r="F124" t="s">
        <v>15</v>
      </c>
      <c r="G124" s="3">
        <v>45908</v>
      </c>
      <c r="H124" t="s">
        <v>11</v>
      </c>
      <c r="I124" s="2">
        <v>45901</v>
      </c>
      <c r="J124">
        <v>80</v>
      </c>
      <c r="K124" t="s">
        <v>55</v>
      </c>
      <c r="L124">
        <v>271</v>
      </c>
      <c r="M124" t="s">
        <v>13</v>
      </c>
    </row>
    <row r="125" spans="2:13" x14ac:dyDescent="0.35">
      <c r="B125" s="4">
        <v>256779415371</v>
      </c>
      <c r="C125" s="3">
        <v>45937</v>
      </c>
      <c r="D125" s="1">
        <v>0</v>
      </c>
      <c r="E125" s="1">
        <v>-8.0500000000000007</v>
      </c>
      <c r="F125" t="s">
        <v>15</v>
      </c>
      <c r="G125" s="3">
        <v>45908</v>
      </c>
      <c r="H125" t="s">
        <v>11</v>
      </c>
      <c r="I125" s="2">
        <v>45901</v>
      </c>
      <c r="J125">
        <v>82</v>
      </c>
      <c r="K125" t="s">
        <v>55</v>
      </c>
      <c r="L125">
        <v>271</v>
      </c>
      <c r="M125" t="s">
        <v>13</v>
      </c>
    </row>
    <row r="126" spans="2:13" x14ac:dyDescent="0.35">
      <c r="B126" s="4">
        <v>256779415315</v>
      </c>
      <c r="C126" s="3">
        <v>45937</v>
      </c>
      <c r="D126" s="1">
        <v>0</v>
      </c>
      <c r="E126" s="1">
        <v>-22.29</v>
      </c>
      <c r="F126" t="s">
        <v>15</v>
      </c>
      <c r="G126" s="3">
        <v>45908</v>
      </c>
      <c r="H126" t="s">
        <v>11</v>
      </c>
      <c r="I126" s="2">
        <v>45901</v>
      </c>
      <c r="J126">
        <v>84</v>
      </c>
      <c r="K126" t="s">
        <v>55</v>
      </c>
      <c r="L126">
        <v>271</v>
      </c>
      <c r="M126" t="s">
        <v>13</v>
      </c>
    </row>
    <row r="127" spans="2:13" x14ac:dyDescent="0.35">
      <c r="B127" s="4">
        <v>256779415305</v>
      </c>
      <c r="C127" s="3">
        <v>45937</v>
      </c>
      <c r="D127" s="1">
        <v>0</v>
      </c>
      <c r="E127" s="1">
        <v>-5.57</v>
      </c>
      <c r="F127" t="s">
        <v>15</v>
      </c>
      <c r="G127" s="3">
        <v>45908</v>
      </c>
      <c r="H127" t="s">
        <v>11</v>
      </c>
      <c r="I127" s="2">
        <v>45901</v>
      </c>
      <c r="J127">
        <v>86</v>
      </c>
      <c r="K127" t="s">
        <v>55</v>
      </c>
      <c r="L127">
        <v>271</v>
      </c>
      <c r="M127" t="s">
        <v>13</v>
      </c>
    </row>
    <row r="128" spans="2:13" x14ac:dyDescent="0.35">
      <c r="B128" s="4">
        <v>256779415356</v>
      </c>
      <c r="C128" s="3">
        <v>45937</v>
      </c>
      <c r="D128" s="1">
        <v>0</v>
      </c>
      <c r="E128" s="1">
        <v>-13.37</v>
      </c>
      <c r="F128" t="s">
        <v>15</v>
      </c>
      <c r="G128" s="3">
        <v>45908</v>
      </c>
      <c r="H128" t="s">
        <v>11</v>
      </c>
      <c r="I128" s="2">
        <v>45901</v>
      </c>
      <c r="J128">
        <v>88</v>
      </c>
      <c r="K128" t="s">
        <v>55</v>
      </c>
      <c r="L128">
        <v>271</v>
      </c>
      <c r="M128" t="s">
        <v>13</v>
      </c>
    </row>
    <row r="129" spans="2:13" x14ac:dyDescent="0.35">
      <c r="B129" s="4">
        <v>256779415383</v>
      </c>
      <c r="C129" s="3">
        <v>45937</v>
      </c>
      <c r="D129" s="1">
        <v>0</v>
      </c>
      <c r="E129" s="1">
        <v>-28.93</v>
      </c>
      <c r="F129" t="s">
        <v>15</v>
      </c>
      <c r="G129" s="3">
        <v>45908</v>
      </c>
      <c r="H129" t="s">
        <v>11</v>
      </c>
      <c r="I129" s="2">
        <v>45901</v>
      </c>
      <c r="J129">
        <v>90</v>
      </c>
      <c r="K129" t="s">
        <v>55</v>
      </c>
      <c r="L129">
        <v>271</v>
      </c>
      <c r="M129" t="s">
        <v>13</v>
      </c>
    </row>
    <row r="130" spans="2:13" x14ac:dyDescent="0.35">
      <c r="B130" s="4">
        <v>256779415372</v>
      </c>
      <c r="C130" s="3">
        <v>45937</v>
      </c>
      <c r="D130" s="1">
        <v>0</v>
      </c>
      <c r="E130" s="1">
        <v>-28.85</v>
      </c>
      <c r="F130" t="s">
        <v>15</v>
      </c>
      <c r="G130" s="3">
        <v>45908</v>
      </c>
      <c r="H130" t="s">
        <v>11</v>
      </c>
      <c r="I130" s="2">
        <v>45901</v>
      </c>
      <c r="J130">
        <v>92</v>
      </c>
      <c r="K130" t="s">
        <v>55</v>
      </c>
      <c r="L130">
        <v>271</v>
      </c>
      <c r="M130" t="s">
        <v>13</v>
      </c>
    </row>
    <row r="131" spans="2:13" x14ac:dyDescent="0.35">
      <c r="B131" s="4">
        <v>256779415361</v>
      </c>
      <c r="C131" s="3">
        <v>45937</v>
      </c>
      <c r="D131" s="1">
        <v>0</v>
      </c>
      <c r="E131" s="1">
        <v>-12.53</v>
      </c>
      <c r="F131" t="s">
        <v>15</v>
      </c>
      <c r="G131" s="3">
        <v>45908</v>
      </c>
      <c r="H131" t="s">
        <v>11</v>
      </c>
      <c r="I131" s="2">
        <v>45901</v>
      </c>
      <c r="J131">
        <v>94</v>
      </c>
      <c r="K131" t="s">
        <v>55</v>
      </c>
      <c r="L131">
        <v>271</v>
      </c>
      <c r="M131" t="s">
        <v>13</v>
      </c>
    </row>
    <row r="132" spans="2:13" x14ac:dyDescent="0.35">
      <c r="B132" s="4">
        <v>256779415317</v>
      </c>
      <c r="C132" s="3">
        <v>45937</v>
      </c>
      <c r="D132" s="1">
        <v>0</v>
      </c>
      <c r="E132" s="1">
        <v>-37.14</v>
      </c>
      <c r="F132" t="s">
        <v>15</v>
      </c>
      <c r="G132" s="3">
        <v>45908</v>
      </c>
      <c r="H132" t="s">
        <v>11</v>
      </c>
      <c r="I132" s="2">
        <v>45901</v>
      </c>
      <c r="J132">
        <v>96</v>
      </c>
      <c r="K132" t="s">
        <v>55</v>
      </c>
      <c r="L132">
        <v>271</v>
      </c>
      <c r="M132" t="s">
        <v>13</v>
      </c>
    </row>
    <row r="133" spans="2:13" x14ac:dyDescent="0.35">
      <c r="B133" s="4">
        <v>256779415394</v>
      </c>
      <c r="C133" s="3">
        <v>45937</v>
      </c>
      <c r="D133" s="1">
        <v>0</v>
      </c>
      <c r="E133" s="1">
        <v>-17.829999999999998</v>
      </c>
      <c r="F133" t="s">
        <v>15</v>
      </c>
      <c r="G133" s="3">
        <v>45908</v>
      </c>
      <c r="H133" t="s">
        <v>11</v>
      </c>
      <c r="I133" s="2">
        <v>45901</v>
      </c>
      <c r="J133">
        <v>98</v>
      </c>
      <c r="K133" t="s">
        <v>55</v>
      </c>
      <c r="L133">
        <v>271</v>
      </c>
      <c r="M133" t="s">
        <v>13</v>
      </c>
    </row>
    <row r="134" spans="2:13" x14ac:dyDescent="0.35">
      <c r="B134" s="4">
        <v>256779415314</v>
      </c>
      <c r="C134" s="3">
        <v>45937</v>
      </c>
      <c r="D134" s="1">
        <v>0</v>
      </c>
      <c r="E134" s="1">
        <v>-33.26</v>
      </c>
      <c r="F134" t="s">
        <v>15</v>
      </c>
      <c r="G134" s="3">
        <v>45908</v>
      </c>
      <c r="H134" t="s">
        <v>11</v>
      </c>
      <c r="I134" s="2">
        <v>45901</v>
      </c>
      <c r="J134">
        <v>100</v>
      </c>
      <c r="K134" t="s">
        <v>55</v>
      </c>
      <c r="L134">
        <v>271</v>
      </c>
      <c r="M134" t="s">
        <v>13</v>
      </c>
    </row>
    <row r="135" spans="2:13" x14ac:dyDescent="0.35">
      <c r="B135" s="4">
        <v>256779415352</v>
      </c>
      <c r="C135" s="3">
        <v>45937</v>
      </c>
      <c r="D135" s="1">
        <v>0</v>
      </c>
      <c r="E135" s="1">
        <v>-28.96</v>
      </c>
      <c r="F135" t="s">
        <v>15</v>
      </c>
      <c r="G135" s="3">
        <v>45908</v>
      </c>
      <c r="H135" t="s">
        <v>11</v>
      </c>
      <c r="I135" s="2">
        <v>45901</v>
      </c>
      <c r="J135">
        <v>102</v>
      </c>
      <c r="K135" t="s">
        <v>55</v>
      </c>
      <c r="L135">
        <v>271</v>
      </c>
      <c r="M135" t="s">
        <v>13</v>
      </c>
    </row>
    <row r="136" spans="2:13" x14ac:dyDescent="0.35">
      <c r="B136" s="4">
        <v>256779415342</v>
      </c>
      <c r="C136" s="3">
        <v>45937</v>
      </c>
      <c r="D136" s="1">
        <v>0</v>
      </c>
      <c r="E136" s="1">
        <v>-0.46</v>
      </c>
      <c r="F136" t="s">
        <v>15</v>
      </c>
      <c r="G136" s="3">
        <v>45908</v>
      </c>
      <c r="H136" t="s">
        <v>11</v>
      </c>
      <c r="I136" s="2">
        <v>45901</v>
      </c>
      <c r="J136">
        <v>106</v>
      </c>
      <c r="K136" t="s">
        <v>55</v>
      </c>
      <c r="L136">
        <v>271</v>
      </c>
      <c r="M136" t="s">
        <v>13</v>
      </c>
    </row>
    <row r="137" spans="2:13" x14ac:dyDescent="0.35">
      <c r="B137" s="4">
        <v>256779415376</v>
      </c>
      <c r="C137" s="3">
        <v>45937</v>
      </c>
      <c r="D137" s="1">
        <v>0</v>
      </c>
      <c r="E137" s="1">
        <v>-11.14</v>
      </c>
      <c r="F137" t="s">
        <v>15</v>
      </c>
      <c r="G137" s="3">
        <v>45908</v>
      </c>
      <c r="H137" t="s">
        <v>11</v>
      </c>
      <c r="I137" s="2">
        <v>45901</v>
      </c>
      <c r="J137">
        <v>108</v>
      </c>
      <c r="K137" t="s">
        <v>55</v>
      </c>
      <c r="L137">
        <v>271</v>
      </c>
      <c r="M137" t="s">
        <v>13</v>
      </c>
    </row>
    <row r="138" spans="2:13" x14ac:dyDescent="0.35">
      <c r="B138" s="4">
        <v>256779415336</v>
      </c>
      <c r="C138" s="3">
        <v>45937</v>
      </c>
      <c r="D138" s="1">
        <v>0</v>
      </c>
      <c r="E138" s="1">
        <v>-0.93</v>
      </c>
      <c r="F138" t="s">
        <v>15</v>
      </c>
      <c r="G138" s="3">
        <v>45908</v>
      </c>
      <c r="H138" t="s">
        <v>11</v>
      </c>
      <c r="I138" s="2">
        <v>45901</v>
      </c>
      <c r="J138">
        <v>110</v>
      </c>
      <c r="K138" t="s">
        <v>55</v>
      </c>
      <c r="L138">
        <v>271</v>
      </c>
      <c r="M138" t="s">
        <v>13</v>
      </c>
    </row>
    <row r="139" spans="2:13" x14ac:dyDescent="0.35">
      <c r="B139" s="4">
        <v>256779415382</v>
      </c>
      <c r="C139" s="3">
        <v>45937</v>
      </c>
      <c r="D139" s="1">
        <v>0</v>
      </c>
      <c r="E139" s="1">
        <v>-21.84</v>
      </c>
      <c r="F139" t="s">
        <v>15</v>
      </c>
      <c r="G139" s="3">
        <v>45908</v>
      </c>
      <c r="H139" t="s">
        <v>11</v>
      </c>
      <c r="I139" s="2">
        <v>45901</v>
      </c>
      <c r="J139">
        <v>114</v>
      </c>
      <c r="K139" t="s">
        <v>55</v>
      </c>
      <c r="L139">
        <v>271</v>
      </c>
      <c r="M139" t="s">
        <v>13</v>
      </c>
    </row>
    <row r="140" spans="2:13" x14ac:dyDescent="0.35">
      <c r="B140" s="4">
        <v>256779415295</v>
      </c>
      <c r="C140" s="3">
        <v>45937</v>
      </c>
      <c r="D140" s="1">
        <v>0</v>
      </c>
      <c r="E140" s="1">
        <v>-4.46</v>
      </c>
      <c r="F140" t="s">
        <v>15</v>
      </c>
      <c r="G140" s="3">
        <v>45908</v>
      </c>
      <c r="H140" t="s">
        <v>11</v>
      </c>
      <c r="I140" s="2">
        <v>45901</v>
      </c>
      <c r="J140">
        <v>116</v>
      </c>
      <c r="K140" t="s">
        <v>55</v>
      </c>
      <c r="L140">
        <v>271</v>
      </c>
      <c r="M140" t="s">
        <v>13</v>
      </c>
    </row>
    <row r="141" spans="2:13" x14ac:dyDescent="0.35">
      <c r="B141" s="4">
        <v>256779415326</v>
      </c>
      <c r="C141" s="3">
        <v>45937</v>
      </c>
      <c r="D141" s="1">
        <v>0</v>
      </c>
      <c r="E141" s="1">
        <v>-34.369999999999997</v>
      </c>
      <c r="F141" t="s">
        <v>15</v>
      </c>
      <c r="G141" s="3">
        <v>45908</v>
      </c>
      <c r="H141" t="s">
        <v>11</v>
      </c>
      <c r="I141" s="2">
        <v>45901</v>
      </c>
      <c r="J141">
        <v>118</v>
      </c>
      <c r="K141" t="s">
        <v>55</v>
      </c>
      <c r="L141">
        <v>271</v>
      </c>
      <c r="M141" t="s">
        <v>13</v>
      </c>
    </row>
    <row r="142" spans="2:13" x14ac:dyDescent="0.35">
      <c r="B142" s="4">
        <v>256779415306</v>
      </c>
      <c r="C142" s="3">
        <v>45937</v>
      </c>
      <c r="D142" s="1">
        <v>0</v>
      </c>
      <c r="E142" s="1">
        <v>-5.57</v>
      </c>
      <c r="F142" t="s">
        <v>15</v>
      </c>
      <c r="G142" s="3">
        <v>45908</v>
      </c>
      <c r="H142" t="s">
        <v>11</v>
      </c>
      <c r="I142" s="2">
        <v>45901</v>
      </c>
      <c r="J142">
        <v>120</v>
      </c>
      <c r="K142" t="s">
        <v>55</v>
      </c>
      <c r="L142">
        <v>271</v>
      </c>
      <c r="M142" t="s">
        <v>13</v>
      </c>
    </row>
    <row r="143" spans="2:13" x14ac:dyDescent="0.35">
      <c r="B143" s="4">
        <v>256779415390</v>
      </c>
      <c r="C143" s="3">
        <v>45937</v>
      </c>
      <c r="D143" s="1">
        <v>0</v>
      </c>
      <c r="E143" s="1">
        <v>-20.6</v>
      </c>
      <c r="F143" t="s">
        <v>15</v>
      </c>
      <c r="G143" s="3">
        <v>45908</v>
      </c>
      <c r="H143" t="s">
        <v>11</v>
      </c>
      <c r="I143" s="2">
        <v>45901</v>
      </c>
      <c r="J143">
        <v>122</v>
      </c>
      <c r="K143" t="s">
        <v>55</v>
      </c>
      <c r="L143">
        <v>271</v>
      </c>
      <c r="M143" t="s">
        <v>13</v>
      </c>
    </row>
    <row r="144" spans="2:13" x14ac:dyDescent="0.35">
      <c r="B144" s="4">
        <v>256779415340</v>
      </c>
      <c r="C144" s="3">
        <v>45937</v>
      </c>
      <c r="D144" s="1">
        <v>0</v>
      </c>
      <c r="E144" s="1">
        <v>-4.8</v>
      </c>
      <c r="F144" t="s">
        <v>15</v>
      </c>
      <c r="G144" s="3">
        <v>45908</v>
      </c>
      <c r="H144" t="s">
        <v>11</v>
      </c>
      <c r="I144" s="2">
        <v>45901</v>
      </c>
      <c r="J144">
        <v>124</v>
      </c>
      <c r="K144" t="s">
        <v>55</v>
      </c>
      <c r="L144">
        <v>271</v>
      </c>
      <c r="M144" t="s">
        <v>13</v>
      </c>
    </row>
    <row r="145" spans="2:13" x14ac:dyDescent="0.35">
      <c r="B145" s="4">
        <v>256779415343</v>
      </c>
      <c r="C145" s="3">
        <v>45937</v>
      </c>
      <c r="D145" s="1">
        <v>0</v>
      </c>
      <c r="E145" s="1">
        <v>-0.19</v>
      </c>
      <c r="F145" t="s">
        <v>15</v>
      </c>
      <c r="G145" s="3">
        <v>45908</v>
      </c>
      <c r="H145" t="s">
        <v>11</v>
      </c>
      <c r="I145" s="2">
        <v>45901</v>
      </c>
      <c r="J145">
        <v>126</v>
      </c>
      <c r="K145" t="s">
        <v>55</v>
      </c>
      <c r="L145">
        <v>271</v>
      </c>
      <c r="M145" t="s">
        <v>13</v>
      </c>
    </row>
    <row r="146" spans="2:13" x14ac:dyDescent="0.35">
      <c r="B146" s="4">
        <v>256779415395</v>
      </c>
      <c r="C146" s="3">
        <v>45937</v>
      </c>
      <c r="D146" s="1">
        <v>0</v>
      </c>
      <c r="E146" s="1">
        <v>-38.200000000000003</v>
      </c>
      <c r="F146" t="s">
        <v>15</v>
      </c>
      <c r="G146" s="3">
        <v>45908</v>
      </c>
      <c r="H146" t="s">
        <v>11</v>
      </c>
      <c r="I146" s="2">
        <v>45901</v>
      </c>
      <c r="J146">
        <v>128</v>
      </c>
      <c r="K146" t="s">
        <v>55</v>
      </c>
      <c r="L146">
        <v>271</v>
      </c>
      <c r="M146" t="s">
        <v>13</v>
      </c>
    </row>
    <row r="147" spans="2:13" x14ac:dyDescent="0.35">
      <c r="B147" s="4">
        <v>256779415381</v>
      </c>
      <c r="C147" s="3">
        <v>45937</v>
      </c>
      <c r="D147" s="1">
        <v>0</v>
      </c>
      <c r="E147" s="1">
        <v>-11.14</v>
      </c>
      <c r="F147" t="s">
        <v>15</v>
      </c>
      <c r="G147" s="3">
        <v>45908</v>
      </c>
      <c r="H147" t="s">
        <v>11</v>
      </c>
      <c r="I147" s="2">
        <v>45901</v>
      </c>
      <c r="J147">
        <v>130</v>
      </c>
      <c r="K147" t="s">
        <v>55</v>
      </c>
      <c r="L147">
        <v>271</v>
      </c>
      <c r="M147" t="s">
        <v>13</v>
      </c>
    </row>
    <row r="148" spans="2:13" x14ac:dyDescent="0.35">
      <c r="B148" s="4">
        <v>256779415392</v>
      </c>
      <c r="C148" s="3">
        <v>45937</v>
      </c>
      <c r="D148" s="1">
        <v>0</v>
      </c>
      <c r="E148" s="1">
        <v>-37.14</v>
      </c>
      <c r="F148" t="s">
        <v>15</v>
      </c>
      <c r="G148" s="3">
        <v>45908</v>
      </c>
      <c r="H148" t="s">
        <v>11</v>
      </c>
      <c r="I148" s="2">
        <v>45901</v>
      </c>
      <c r="J148">
        <v>132</v>
      </c>
      <c r="K148" t="s">
        <v>55</v>
      </c>
      <c r="L148">
        <v>271</v>
      </c>
      <c r="M148" t="s">
        <v>13</v>
      </c>
    </row>
    <row r="149" spans="2:13" x14ac:dyDescent="0.35">
      <c r="B149" s="4">
        <v>256779415358</v>
      </c>
      <c r="C149" s="3">
        <v>45937</v>
      </c>
      <c r="D149" s="1">
        <v>0</v>
      </c>
      <c r="E149" s="1">
        <v>-17.829999999999998</v>
      </c>
      <c r="F149" t="s">
        <v>15</v>
      </c>
      <c r="G149" s="3">
        <v>45908</v>
      </c>
      <c r="H149" t="s">
        <v>11</v>
      </c>
      <c r="I149" s="2">
        <v>45901</v>
      </c>
      <c r="J149">
        <v>134</v>
      </c>
      <c r="K149" t="s">
        <v>55</v>
      </c>
      <c r="L149">
        <v>271</v>
      </c>
      <c r="M149" t="s">
        <v>13</v>
      </c>
    </row>
    <row r="150" spans="2:13" x14ac:dyDescent="0.35">
      <c r="B150" s="4">
        <v>256779415337</v>
      </c>
      <c r="C150" s="3">
        <v>45937</v>
      </c>
      <c r="D150" s="1">
        <v>0</v>
      </c>
      <c r="E150" s="1">
        <v>-3.24</v>
      </c>
      <c r="F150" t="s">
        <v>15</v>
      </c>
      <c r="G150" s="3">
        <v>45908</v>
      </c>
      <c r="H150" t="s">
        <v>11</v>
      </c>
      <c r="I150" s="2">
        <v>45901</v>
      </c>
      <c r="J150">
        <v>136</v>
      </c>
      <c r="K150" t="s">
        <v>55</v>
      </c>
      <c r="L150">
        <v>271</v>
      </c>
      <c r="M150" t="s">
        <v>13</v>
      </c>
    </row>
    <row r="151" spans="2:13" x14ac:dyDescent="0.35">
      <c r="B151" s="4">
        <v>256779415362</v>
      </c>
      <c r="C151" s="3">
        <v>45937</v>
      </c>
      <c r="D151" s="1">
        <v>0</v>
      </c>
      <c r="E151" s="1">
        <v>-0.56000000000000005</v>
      </c>
      <c r="F151" t="s">
        <v>15</v>
      </c>
      <c r="G151" s="3">
        <v>45908</v>
      </c>
      <c r="H151" t="s">
        <v>11</v>
      </c>
      <c r="I151" s="2">
        <v>45901</v>
      </c>
      <c r="J151">
        <v>138</v>
      </c>
      <c r="K151" t="s">
        <v>55</v>
      </c>
      <c r="L151">
        <v>271</v>
      </c>
      <c r="M151" t="s">
        <v>13</v>
      </c>
    </row>
    <row r="152" spans="2:13" x14ac:dyDescent="0.35">
      <c r="B152" s="4">
        <v>256779415373</v>
      </c>
      <c r="C152" s="3">
        <v>45937</v>
      </c>
      <c r="D152" s="1">
        <v>0</v>
      </c>
      <c r="E152" s="1">
        <v>-0.48</v>
      </c>
      <c r="F152" t="s">
        <v>15</v>
      </c>
      <c r="G152" s="3">
        <v>45908</v>
      </c>
      <c r="H152" t="s">
        <v>11</v>
      </c>
      <c r="I152" s="2">
        <v>45901</v>
      </c>
      <c r="J152">
        <v>140</v>
      </c>
      <c r="K152" t="s">
        <v>55</v>
      </c>
      <c r="L152">
        <v>271</v>
      </c>
      <c r="M152" t="s">
        <v>13</v>
      </c>
    </row>
    <row r="153" spans="2:13" x14ac:dyDescent="0.35">
      <c r="B153" s="4">
        <v>256779415386</v>
      </c>
      <c r="C153" s="3">
        <v>45937</v>
      </c>
      <c r="D153" s="1">
        <v>0</v>
      </c>
      <c r="E153" s="1">
        <v>-1.39</v>
      </c>
      <c r="F153" t="s">
        <v>15</v>
      </c>
      <c r="G153" s="3">
        <v>45908</v>
      </c>
      <c r="H153" t="s">
        <v>11</v>
      </c>
      <c r="I153" s="2">
        <v>45901</v>
      </c>
      <c r="J153">
        <v>142</v>
      </c>
      <c r="K153" t="s">
        <v>55</v>
      </c>
      <c r="L153">
        <v>271</v>
      </c>
      <c r="M153" t="s">
        <v>13</v>
      </c>
    </row>
    <row r="154" spans="2:13" x14ac:dyDescent="0.35">
      <c r="B154" s="4">
        <v>256779415348</v>
      </c>
      <c r="C154" s="3">
        <v>45937</v>
      </c>
      <c r="D154" s="1">
        <v>0</v>
      </c>
      <c r="E154" s="1">
        <v>-1.39</v>
      </c>
      <c r="F154" t="s">
        <v>15</v>
      </c>
      <c r="G154" s="3">
        <v>45908</v>
      </c>
      <c r="H154" t="s">
        <v>11</v>
      </c>
      <c r="I154" s="2">
        <v>45901</v>
      </c>
      <c r="J154">
        <v>144</v>
      </c>
      <c r="K154" t="s">
        <v>55</v>
      </c>
      <c r="L154">
        <v>271</v>
      </c>
      <c r="M154" t="s">
        <v>13</v>
      </c>
    </row>
    <row r="155" spans="2:13" x14ac:dyDescent="0.35">
      <c r="B155" s="4">
        <v>256779415369</v>
      </c>
      <c r="C155" s="3">
        <v>45937</v>
      </c>
      <c r="D155" s="1">
        <v>0</v>
      </c>
      <c r="E155" s="1">
        <v>-0.56000000000000005</v>
      </c>
      <c r="F155" t="s">
        <v>15</v>
      </c>
      <c r="G155" s="3">
        <v>45908</v>
      </c>
      <c r="H155" t="s">
        <v>11</v>
      </c>
      <c r="I155" s="2">
        <v>45901</v>
      </c>
      <c r="J155">
        <v>146</v>
      </c>
      <c r="K155" t="s">
        <v>55</v>
      </c>
      <c r="L155">
        <v>271</v>
      </c>
      <c r="M155" t="s">
        <v>13</v>
      </c>
    </row>
    <row r="156" spans="2:13" x14ac:dyDescent="0.35">
      <c r="B156" s="4">
        <v>256779415364</v>
      </c>
      <c r="C156" s="3">
        <v>45937</v>
      </c>
      <c r="D156" s="1">
        <v>0</v>
      </c>
      <c r="E156" s="1">
        <v>-37.14</v>
      </c>
      <c r="F156" t="s">
        <v>15</v>
      </c>
      <c r="G156" s="3">
        <v>45908</v>
      </c>
      <c r="H156" t="s">
        <v>11</v>
      </c>
      <c r="I156" s="2">
        <v>45901</v>
      </c>
      <c r="J156">
        <v>148</v>
      </c>
      <c r="K156" t="s">
        <v>55</v>
      </c>
      <c r="L156">
        <v>271</v>
      </c>
      <c r="M156" t="s">
        <v>13</v>
      </c>
    </row>
    <row r="157" spans="2:13" x14ac:dyDescent="0.35">
      <c r="B157" s="4">
        <v>256779415299</v>
      </c>
      <c r="C157" s="3">
        <v>45937</v>
      </c>
      <c r="D157" s="1">
        <v>0</v>
      </c>
      <c r="E157" s="1">
        <v>-4.46</v>
      </c>
      <c r="F157" t="s">
        <v>15</v>
      </c>
      <c r="G157" s="3">
        <v>45908</v>
      </c>
      <c r="H157" t="s">
        <v>11</v>
      </c>
      <c r="I157" s="2">
        <v>45901</v>
      </c>
      <c r="J157">
        <v>150</v>
      </c>
      <c r="K157" t="s">
        <v>55</v>
      </c>
      <c r="L157">
        <v>271</v>
      </c>
      <c r="M157" t="s">
        <v>13</v>
      </c>
    </row>
    <row r="158" spans="2:13" x14ac:dyDescent="0.35">
      <c r="B158" s="4">
        <v>256779415335</v>
      </c>
      <c r="C158" s="3">
        <v>45937</v>
      </c>
      <c r="D158" s="1">
        <v>0</v>
      </c>
      <c r="E158" s="1">
        <v>-4.6500000000000004</v>
      </c>
      <c r="F158" t="s">
        <v>15</v>
      </c>
      <c r="G158" s="3">
        <v>45908</v>
      </c>
      <c r="H158" t="s">
        <v>11</v>
      </c>
      <c r="I158" s="2">
        <v>45901</v>
      </c>
      <c r="J158">
        <v>152</v>
      </c>
      <c r="K158" t="s">
        <v>55</v>
      </c>
      <c r="L158">
        <v>271</v>
      </c>
      <c r="M158" t="s">
        <v>13</v>
      </c>
    </row>
    <row r="159" spans="2:13" x14ac:dyDescent="0.35">
      <c r="B159" s="4">
        <v>256779415292</v>
      </c>
      <c r="C159" s="3">
        <v>45937</v>
      </c>
      <c r="D159" s="1">
        <v>0</v>
      </c>
      <c r="E159" s="1">
        <v>-4.46</v>
      </c>
      <c r="F159" t="s">
        <v>15</v>
      </c>
      <c r="G159" s="3">
        <v>45908</v>
      </c>
      <c r="H159" t="s">
        <v>11</v>
      </c>
      <c r="I159" s="2">
        <v>45901</v>
      </c>
      <c r="J159">
        <v>154</v>
      </c>
      <c r="K159" t="s">
        <v>55</v>
      </c>
      <c r="L159">
        <v>271</v>
      </c>
      <c r="M159" t="s">
        <v>13</v>
      </c>
    </row>
    <row r="160" spans="2:13" x14ac:dyDescent="0.35">
      <c r="B160" s="4">
        <v>256779415370</v>
      </c>
      <c r="C160" s="3">
        <v>45937</v>
      </c>
      <c r="D160" s="1">
        <v>0</v>
      </c>
      <c r="E160" s="1">
        <v>-13.37</v>
      </c>
      <c r="F160" t="s">
        <v>15</v>
      </c>
      <c r="G160" s="3">
        <v>45908</v>
      </c>
      <c r="H160" t="s">
        <v>11</v>
      </c>
      <c r="I160" s="2">
        <v>45901</v>
      </c>
      <c r="J160">
        <v>156</v>
      </c>
      <c r="K160" t="s">
        <v>55</v>
      </c>
      <c r="L160">
        <v>271</v>
      </c>
      <c r="M160" t="s">
        <v>13</v>
      </c>
    </row>
    <row r="161" spans="2:13" x14ac:dyDescent="0.35">
      <c r="B161" s="4">
        <v>256779415294</v>
      </c>
      <c r="C161" s="3">
        <v>45937</v>
      </c>
      <c r="D161" s="1">
        <v>0</v>
      </c>
      <c r="E161" s="1">
        <v>-4.46</v>
      </c>
      <c r="F161" t="s">
        <v>15</v>
      </c>
      <c r="G161" s="3">
        <v>45908</v>
      </c>
      <c r="H161" t="s">
        <v>11</v>
      </c>
      <c r="I161" s="2">
        <v>45901</v>
      </c>
      <c r="J161">
        <v>158</v>
      </c>
      <c r="K161" t="s">
        <v>55</v>
      </c>
      <c r="L161">
        <v>271</v>
      </c>
      <c r="M161" t="s">
        <v>13</v>
      </c>
    </row>
    <row r="162" spans="2:13" x14ac:dyDescent="0.35">
      <c r="B162" s="4">
        <v>256779415307</v>
      </c>
      <c r="C162" s="3">
        <v>45937</v>
      </c>
      <c r="D162" s="1">
        <v>0</v>
      </c>
      <c r="E162" s="1">
        <v>-5.57</v>
      </c>
      <c r="F162" t="s">
        <v>15</v>
      </c>
      <c r="G162" s="3">
        <v>45908</v>
      </c>
      <c r="H162" t="s">
        <v>11</v>
      </c>
      <c r="I162" s="2">
        <v>45901</v>
      </c>
      <c r="J162">
        <v>160</v>
      </c>
      <c r="K162" t="s">
        <v>55</v>
      </c>
      <c r="L162">
        <v>271</v>
      </c>
      <c r="M162" t="s">
        <v>13</v>
      </c>
    </row>
    <row r="163" spans="2:13" x14ac:dyDescent="0.35">
      <c r="B163" s="4">
        <v>256779415347</v>
      </c>
      <c r="C163" s="3">
        <v>45937</v>
      </c>
      <c r="D163" s="1">
        <v>0</v>
      </c>
      <c r="E163" s="1">
        <v>-3.72</v>
      </c>
      <c r="F163" t="s">
        <v>15</v>
      </c>
      <c r="G163" s="3">
        <v>45908</v>
      </c>
      <c r="H163" t="s">
        <v>11</v>
      </c>
      <c r="I163" s="2">
        <v>45901</v>
      </c>
      <c r="J163">
        <v>162</v>
      </c>
      <c r="K163" t="s">
        <v>55</v>
      </c>
      <c r="L163">
        <v>271</v>
      </c>
      <c r="M163" t="s">
        <v>13</v>
      </c>
    </row>
    <row r="164" spans="2:13" x14ac:dyDescent="0.35">
      <c r="B164" s="4">
        <v>256779415297</v>
      </c>
      <c r="C164" s="3">
        <v>45937</v>
      </c>
      <c r="D164" s="1">
        <v>0</v>
      </c>
      <c r="E164" s="1">
        <v>-4.46</v>
      </c>
      <c r="F164" t="s">
        <v>15</v>
      </c>
      <c r="G164" s="3">
        <v>45908</v>
      </c>
      <c r="H164" t="s">
        <v>11</v>
      </c>
      <c r="I164" s="2">
        <v>45901</v>
      </c>
      <c r="J164">
        <v>164</v>
      </c>
      <c r="K164" t="s">
        <v>55</v>
      </c>
      <c r="L164">
        <v>271</v>
      </c>
      <c r="M164" t="s">
        <v>13</v>
      </c>
    </row>
    <row r="165" spans="2:13" x14ac:dyDescent="0.35">
      <c r="B165" s="4">
        <v>256779415303</v>
      </c>
      <c r="C165" s="3">
        <v>45937</v>
      </c>
      <c r="D165" s="1">
        <v>0</v>
      </c>
      <c r="E165" s="1">
        <v>39.880000000000003</v>
      </c>
      <c r="F165" t="s">
        <v>15</v>
      </c>
      <c r="G165" s="3">
        <v>45908</v>
      </c>
      <c r="H165" t="s">
        <v>11</v>
      </c>
      <c r="I165" s="2">
        <v>45931</v>
      </c>
      <c r="J165">
        <v>4</v>
      </c>
      <c r="K165" t="s">
        <v>20</v>
      </c>
      <c r="L165">
        <v>271</v>
      </c>
      <c r="M165" t="s">
        <v>13</v>
      </c>
    </row>
    <row r="166" spans="2:13" x14ac:dyDescent="0.35">
      <c r="B166" s="4">
        <v>256779415304</v>
      </c>
      <c r="C166" s="3">
        <v>45937</v>
      </c>
      <c r="D166" s="1">
        <v>0</v>
      </c>
      <c r="E166" s="1">
        <v>11.96</v>
      </c>
      <c r="F166" t="s">
        <v>15</v>
      </c>
      <c r="G166" s="3">
        <v>45908</v>
      </c>
      <c r="H166" t="s">
        <v>11</v>
      </c>
      <c r="I166" s="2">
        <v>45931</v>
      </c>
      <c r="J166">
        <v>6</v>
      </c>
      <c r="K166" t="s">
        <v>20</v>
      </c>
      <c r="L166">
        <v>271</v>
      </c>
      <c r="M166" t="s">
        <v>13</v>
      </c>
    </row>
    <row r="167" spans="2:13" x14ac:dyDescent="0.35">
      <c r="B167" s="4">
        <v>256779415339</v>
      </c>
      <c r="C167" s="3">
        <v>45937</v>
      </c>
      <c r="D167" s="1">
        <v>0</v>
      </c>
      <c r="E167" s="1">
        <v>10.92</v>
      </c>
      <c r="F167" t="s">
        <v>15</v>
      </c>
      <c r="G167" s="3">
        <v>45908</v>
      </c>
      <c r="H167" t="s">
        <v>11</v>
      </c>
      <c r="I167" s="2">
        <v>45931</v>
      </c>
      <c r="J167">
        <v>8</v>
      </c>
      <c r="K167" t="s">
        <v>20</v>
      </c>
      <c r="L167">
        <v>271</v>
      </c>
      <c r="M167" t="s">
        <v>13</v>
      </c>
    </row>
    <row r="168" spans="2:13" x14ac:dyDescent="0.35">
      <c r="B168" s="4">
        <v>256779415308</v>
      </c>
      <c r="C168" s="3">
        <v>45937</v>
      </c>
      <c r="D168" s="1">
        <v>0</v>
      </c>
      <c r="E168" s="1">
        <v>11.96</v>
      </c>
      <c r="F168" t="s">
        <v>15</v>
      </c>
      <c r="G168" s="3">
        <v>45908</v>
      </c>
      <c r="H168" t="s">
        <v>11</v>
      </c>
      <c r="I168" s="2">
        <v>45931</v>
      </c>
      <c r="J168">
        <v>12</v>
      </c>
      <c r="K168" t="s">
        <v>20</v>
      </c>
      <c r="L168">
        <v>271</v>
      </c>
      <c r="M168" t="s">
        <v>13</v>
      </c>
    </row>
    <row r="169" spans="2:13" x14ac:dyDescent="0.35">
      <c r="B169" s="4">
        <v>256779415305</v>
      </c>
      <c r="C169" s="3">
        <v>45937</v>
      </c>
      <c r="D169" s="1">
        <v>0</v>
      </c>
      <c r="E169" s="1">
        <v>11.96</v>
      </c>
      <c r="F169" t="s">
        <v>15</v>
      </c>
      <c r="G169" s="3">
        <v>45908</v>
      </c>
      <c r="H169" t="s">
        <v>11</v>
      </c>
      <c r="I169" s="2">
        <v>45931</v>
      </c>
      <c r="J169">
        <v>14</v>
      </c>
      <c r="K169" t="s">
        <v>20</v>
      </c>
      <c r="L169">
        <v>271</v>
      </c>
      <c r="M169" t="s">
        <v>13</v>
      </c>
    </row>
    <row r="170" spans="2:13" x14ac:dyDescent="0.35">
      <c r="B170" s="4">
        <v>256779415306</v>
      </c>
      <c r="C170" s="3">
        <v>45937</v>
      </c>
      <c r="D170" s="1">
        <v>0</v>
      </c>
      <c r="E170" s="1">
        <v>11.96</v>
      </c>
      <c r="F170" t="s">
        <v>15</v>
      </c>
      <c r="G170" s="3">
        <v>45908</v>
      </c>
      <c r="H170" t="s">
        <v>11</v>
      </c>
      <c r="I170" s="2">
        <v>45931</v>
      </c>
      <c r="J170">
        <v>16</v>
      </c>
      <c r="K170" t="s">
        <v>20</v>
      </c>
      <c r="L170">
        <v>271</v>
      </c>
      <c r="M170" t="s">
        <v>13</v>
      </c>
    </row>
    <row r="171" spans="2:13" x14ac:dyDescent="0.35">
      <c r="B171" s="4">
        <v>256779415307</v>
      </c>
      <c r="C171" s="3">
        <v>45937</v>
      </c>
      <c r="D171" s="1">
        <v>0</v>
      </c>
      <c r="E171" s="1">
        <v>11.96</v>
      </c>
      <c r="F171" t="s">
        <v>15</v>
      </c>
      <c r="G171" s="3">
        <v>45908</v>
      </c>
      <c r="H171" t="s">
        <v>11</v>
      </c>
      <c r="I171" s="2">
        <v>45931</v>
      </c>
      <c r="J171">
        <v>18</v>
      </c>
      <c r="K171" t="s">
        <v>20</v>
      </c>
      <c r="L171">
        <v>271</v>
      </c>
      <c r="M171" t="s">
        <v>13</v>
      </c>
    </row>
    <row r="172" spans="2:13" x14ac:dyDescent="0.35">
      <c r="B172" s="4">
        <v>256779415312</v>
      </c>
      <c r="C172" s="3">
        <v>45937</v>
      </c>
      <c r="D172" s="1">
        <v>0</v>
      </c>
      <c r="E172" s="1">
        <v>42.62</v>
      </c>
      <c r="F172" t="s">
        <v>15</v>
      </c>
      <c r="G172" s="3">
        <v>45908</v>
      </c>
      <c r="H172" t="s">
        <v>11</v>
      </c>
      <c r="I172" s="2">
        <v>45931</v>
      </c>
      <c r="J172">
        <v>20</v>
      </c>
      <c r="K172" t="s">
        <v>20</v>
      </c>
      <c r="L172">
        <v>271</v>
      </c>
      <c r="M172" t="s">
        <v>13</v>
      </c>
    </row>
    <row r="173" spans="2:13" x14ac:dyDescent="0.35">
      <c r="B173" s="4">
        <v>256779415327</v>
      </c>
      <c r="C173" s="3">
        <v>45937</v>
      </c>
      <c r="D173" s="1">
        <v>0</v>
      </c>
      <c r="E173" s="1">
        <v>4.26</v>
      </c>
      <c r="F173" t="s">
        <v>15</v>
      </c>
      <c r="G173" s="3">
        <v>45908</v>
      </c>
      <c r="H173" t="s">
        <v>11</v>
      </c>
      <c r="I173" s="2">
        <v>45931</v>
      </c>
      <c r="J173">
        <v>24</v>
      </c>
      <c r="K173" t="s">
        <v>20</v>
      </c>
      <c r="L173">
        <v>271</v>
      </c>
      <c r="M173" t="s">
        <v>13</v>
      </c>
    </row>
    <row r="174" spans="2:13" x14ac:dyDescent="0.35">
      <c r="B174" s="4">
        <v>256779415351</v>
      </c>
      <c r="C174" s="3">
        <v>45937</v>
      </c>
      <c r="D174" s="1">
        <v>0</v>
      </c>
      <c r="E174" s="1">
        <v>-37.78</v>
      </c>
      <c r="F174" t="s">
        <v>15</v>
      </c>
      <c r="G174" s="3">
        <v>45908</v>
      </c>
      <c r="H174" t="s">
        <v>11</v>
      </c>
      <c r="I174" s="2">
        <v>45931</v>
      </c>
      <c r="J174">
        <v>26</v>
      </c>
      <c r="K174" t="s">
        <v>20</v>
      </c>
      <c r="L174">
        <v>271</v>
      </c>
      <c r="M174" t="s">
        <v>13</v>
      </c>
    </row>
    <row r="175" spans="2:13" x14ac:dyDescent="0.35">
      <c r="B175" s="4">
        <v>256779415324</v>
      </c>
      <c r="C175" s="3">
        <v>45937</v>
      </c>
      <c r="D175" s="1">
        <v>0</v>
      </c>
      <c r="E175" s="1">
        <v>31.25</v>
      </c>
      <c r="F175" t="s">
        <v>15</v>
      </c>
      <c r="G175" s="3">
        <v>45908</v>
      </c>
      <c r="H175" t="s">
        <v>11</v>
      </c>
      <c r="I175" s="2">
        <v>45931</v>
      </c>
      <c r="J175">
        <v>28</v>
      </c>
      <c r="K175" t="s">
        <v>20</v>
      </c>
      <c r="L175">
        <v>271</v>
      </c>
      <c r="M175" t="s">
        <v>13</v>
      </c>
    </row>
    <row r="176" spans="2:13" x14ac:dyDescent="0.35">
      <c r="B176" s="4">
        <v>256779415322</v>
      </c>
      <c r="C176" s="3">
        <v>45937</v>
      </c>
      <c r="D176" s="1">
        <v>0</v>
      </c>
      <c r="E176" s="1">
        <v>40.92</v>
      </c>
      <c r="F176" t="s">
        <v>15</v>
      </c>
      <c r="G176" s="3">
        <v>45908</v>
      </c>
      <c r="H176" t="s">
        <v>11</v>
      </c>
      <c r="I176" s="2">
        <v>45931</v>
      </c>
      <c r="J176">
        <v>30</v>
      </c>
      <c r="K176" t="s">
        <v>20</v>
      </c>
      <c r="L176">
        <v>271</v>
      </c>
      <c r="M176" t="s">
        <v>13</v>
      </c>
    </row>
    <row r="177" spans="2:13" x14ac:dyDescent="0.35">
      <c r="B177" s="4">
        <v>256779415366</v>
      </c>
      <c r="C177" s="3">
        <v>45937</v>
      </c>
      <c r="D177" s="1">
        <v>0</v>
      </c>
      <c r="E177" s="1">
        <v>40.92</v>
      </c>
      <c r="F177" t="s">
        <v>15</v>
      </c>
      <c r="G177" s="3">
        <v>45908</v>
      </c>
      <c r="H177" t="s">
        <v>11</v>
      </c>
      <c r="I177" s="2">
        <v>45931</v>
      </c>
      <c r="J177">
        <v>32</v>
      </c>
      <c r="K177" t="s">
        <v>20</v>
      </c>
      <c r="L177">
        <v>271</v>
      </c>
      <c r="M177" t="s">
        <v>13</v>
      </c>
    </row>
    <row r="178" spans="2:13" x14ac:dyDescent="0.35">
      <c r="B178" s="4">
        <v>256779415365</v>
      </c>
      <c r="C178" s="3">
        <v>45937</v>
      </c>
      <c r="D178" s="1">
        <v>0</v>
      </c>
      <c r="E178" s="1">
        <v>66.7</v>
      </c>
      <c r="F178" t="s">
        <v>15</v>
      </c>
      <c r="G178" s="3">
        <v>45908</v>
      </c>
      <c r="H178" t="s">
        <v>11</v>
      </c>
      <c r="I178" s="2">
        <v>45931</v>
      </c>
      <c r="J178">
        <v>34</v>
      </c>
      <c r="K178" t="s">
        <v>20</v>
      </c>
      <c r="L178">
        <v>271</v>
      </c>
      <c r="M178" t="s">
        <v>13</v>
      </c>
    </row>
    <row r="179" spans="2:13" x14ac:dyDescent="0.35">
      <c r="B179" s="4">
        <v>256779415311</v>
      </c>
      <c r="C179" s="3">
        <v>45937</v>
      </c>
      <c r="D179" s="1">
        <v>0</v>
      </c>
      <c r="E179" s="1">
        <v>16.510000000000002</v>
      </c>
      <c r="F179" t="s">
        <v>15</v>
      </c>
      <c r="G179" s="3">
        <v>45908</v>
      </c>
      <c r="H179" t="s">
        <v>11</v>
      </c>
      <c r="I179" s="2">
        <v>45931</v>
      </c>
      <c r="J179">
        <v>36</v>
      </c>
      <c r="K179" t="s">
        <v>20</v>
      </c>
      <c r="L179">
        <v>271</v>
      </c>
      <c r="M179" t="s">
        <v>13</v>
      </c>
    </row>
    <row r="180" spans="2:13" x14ac:dyDescent="0.35">
      <c r="B180" s="4">
        <v>256779415368</v>
      </c>
      <c r="C180" s="3">
        <v>45937</v>
      </c>
      <c r="D180" s="1">
        <v>0</v>
      </c>
      <c r="E180" s="1">
        <v>12.79</v>
      </c>
      <c r="F180" t="s">
        <v>15</v>
      </c>
      <c r="G180" s="3">
        <v>45908</v>
      </c>
      <c r="H180" t="s">
        <v>11</v>
      </c>
      <c r="I180" s="2">
        <v>45931</v>
      </c>
      <c r="J180">
        <v>38</v>
      </c>
      <c r="K180" t="s">
        <v>20</v>
      </c>
      <c r="L180">
        <v>271</v>
      </c>
      <c r="M180" t="s">
        <v>13</v>
      </c>
    </row>
    <row r="181" spans="2:13" x14ac:dyDescent="0.35">
      <c r="B181" s="4">
        <v>256779415320</v>
      </c>
      <c r="C181" s="3">
        <v>45937</v>
      </c>
      <c r="D181" s="1">
        <v>0</v>
      </c>
      <c r="E181" s="1">
        <v>2.67</v>
      </c>
      <c r="F181" t="s">
        <v>15</v>
      </c>
      <c r="G181" s="3">
        <v>45908</v>
      </c>
      <c r="H181" t="s">
        <v>11</v>
      </c>
      <c r="I181" s="2">
        <v>45931</v>
      </c>
      <c r="J181">
        <v>40</v>
      </c>
      <c r="K181" t="s">
        <v>20</v>
      </c>
      <c r="L181">
        <v>271</v>
      </c>
      <c r="M181" t="s">
        <v>13</v>
      </c>
    </row>
    <row r="182" spans="2:13" x14ac:dyDescent="0.35">
      <c r="B182" s="4">
        <v>256779415301</v>
      </c>
      <c r="C182" s="3">
        <v>45937</v>
      </c>
      <c r="D182" s="1">
        <v>0</v>
      </c>
      <c r="E182" s="1">
        <v>6.39</v>
      </c>
      <c r="F182" t="s">
        <v>15</v>
      </c>
      <c r="G182" s="3">
        <v>45908</v>
      </c>
      <c r="H182" t="s">
        <v>11</v>
      </c>
      <c r="I182" s="2">
        <v>45931</v>
      </c>
      <c r="J182">
        <v>42</v>
      </c>
      <c r="K182" t="s">
        <v>20</v>
      </c>
      <c r="L182">
        <v>271</v>
      </c>
      <c r="M182" t="s">
        <v>13</v>
      </c>
    </row>
    <row r="183" spans="2:13" x14ac:dyDescent="0.35">
      <c r="B183" s="4">
        <v>256779415329</v>
      </c>
      <c r="C183" s="3">
        <v>45937</v>
      </c>
      <c r="D183" s="1">
        <v>0</v>
      </c>
      <c r="E183" s="1">
        <v>5.86</v>
      </c>
      <c r="F183" t="s">
        <v>15</v>
      </c>
      <c r="G183" s="3">
        <v>45908</v>
      </c>
      <c r="H183" t="s">
        <v>11</v>
      </c>
      <c r="I183" s="2">
        <v>45931</v>
      </c>
      <c r="J183">
        <v>44</v>
      </c>
      <c r="K183" t="s">
        <v>20</v>
      </c>
      <c r="L183">
        <v>271</v>
      </c>
      <c r="M183" t="s">
        <v>13</v>
      </c>
    </row>
    <row r="184" spans="2:13" x14ac:dyDescent="0.35">
      <c r="B184" s="4">
        <v>256779415367</v>
      </c>
      <c r="C184" s="3">
        <v>45937</v>
      </c>
      <c r="D184" s="1">
        <v>0</v>
      </c>
      <c r="E184" s="1">
        <v>42.62</v>
      </c>
      <c r="F184" t="s">
        <v>15</v>
      </c>
      <c r="G184" s="3">
        <v>45908</v>
      </c>
      <c r="H184" t="s">
        <v>11</v>
      </c>
      <c r="I184" s="2">
        <v>45931</v>
      </c>
      <c r="J184">
        <v>46</v>
      </c>
      <c r="K184" t="s">
        <v>20</v>
      </c>
      <c r="L184">
        <v>271</v>
      </c>
      <c r="M184" t="s">
        <v>13</v>
      </c>
    </row>
    <row r="185" spans="2:13" x14ac:dyDescent="0.35">
      <c r="B185" s="4">
        <v>256779415353</v>
      </c>
      <c r="C185" s="3">
        <v>45937</v>
      </c>
      <c r="D185" s="1">
        <v>0</v>
      </c>
      <c r="E185" s="1">
        <v>42.62</v>
      </c>
      <c r="F185" t="s">
        <v>15</v>
      </c>
      <c r="G185" s="3">
        <v>45908</v>
      </c>
      <c r="H185" t="s">
        <v>11</v>
      </c>
      <c r="I185" s="2">
        <v>45931</v>
      </c>
      <c r="J185">
        <v>48</v>
      </c>
      <c r="K185" t="s">
        <v>20</v>
      </c>
      <c r="L185">
        <v>271</v>
      </c>
      <c r="M185" t="s">
        <v>13</v>
      </c>
    </row>
    <row r="186" spans="2:13" x14ac:dyDescent="0.35">
      <c r="B186" s="4">
        <v>256779415330</v>
      </c>
      <c r="C186" s="3">
        <v>45937</v>
      </c>
      <c r="D186" s="1">
        <v>0</v>
      </c>
      <c r="E186" s="1">
        <v>4.8</v>
      </c>
      <c r="F186" t="s">
        <v>15</v>
      </c>
      <c r="G186" s="3">
        <v>45908</v>
      </c>
      <c r="H186" t="s">
        <v>11</v>
      </c>
      <c r="I186" s="2">
        <v>45931</v>
      </c>
      <c r="J186">
        <v>50</v>
      </c>
      <c r="K186" t="s">
        <v>20</v>
      </c>
      <c r="L186">
        <v>271</v>
      </c>
      <c r="M186" t="s">
        <v>13</v>
      </c>
    </row>
    <row r="187" spans="2:13" x14ac:dyDescent="0.35">
      <c r="B187" s="4">
        <v>256779415354</v>
      </c>
      <c r="C187" s="3">
        <v>45937</v>
      </c>
      <c r="D187" s="1">
        <v>0</v>
      </c>
      <c r="E187" s="1">
        <v>12.79</v>
      </c>
      <c r="F187" t="s">
        <v>15</v>
      </c>
      <c r="G187" s="3">
        <v>45908</v>
      </c>
      <c r="H187" t="s">
        <v>11</v>
      </c>
      <c r="I187" s="2">
        <v>45931</v>
      </c>
      <c r="J187">
        <v>52</v>
      </c>
      <c r="K187" t="s">
        <v>20</v>
      </c>
      <c r="L187">
        <v>271</v>
      </c>
      <c r="M187" t="s">
        <v>13</v>
      </c>
    </row>
    <row r="188" spans="2:13" x14ac:dyDescent="0.35">
      <c r="B188" s="4">
        <v>256779415387</v>
      </c>
      <c r="C188" s="3">
        <v>45937</v>
      </c>
      <c r="D188" s="1">
        <v>0</v>
      </c>
      <c r="E188" s="1">
        <v>-157.24</v>
      </c>
      <c r="F188" t="s">
        <v>15</v>
      </c>
      <c r="G188" s="3">
        <v>45908</v>
      </c>
      <c r="H188" t="s">
        <v>11</v>
      </c>
      <c r="I188" s="2">
        <v>45931</v>
      </c>
      <c r="J188">
        <v>80</v>
      </c>
      <c r="K188" t="s">
        <v>20</v>
      </c>
      <c r="L188">
        <v>271</v>
      </c>
      <c r="M188" t="s">
        <v>13</v>
      </c>
    </row>
    <row r="189" spans="2:13" x14ac:dyDescent="0.35">
      <c r="B189" s="4">
        <v>256779415313</v>
      </c>
      <c r="C189" s="3">
        <v>45937</v>
      </c>
      <c r="D189" s="1">
        <v>0</v>
      </c>
      <c r="E189" s="1">
        <v>12.79</v>
      </c>
      <c r="F189" t="s">
        <v>15</v>
      </c>
      <c r="G189" s="3">
        <v>45908</v>
      </c>
      <c r="H189" t="s">
        <v>11</v>
      </c>
      <c r="I189" s="2">
        <v>45931</v>
      </c>
      <c r="J189">
        <v>86</v>
      </c>
      <c r="K189" t="s">
        <v>20</v>
      </c>
      <c r="L189">
        <v>271</v>
      </c>
      <c r="M189" t="s">
        <v>13</v>
      </c>
    </row>
    <row r="190" spans="2:13" x14ac:dyDescent="0.35">
      <c r="B190" s="4">
        <v>256779415323</v>
      </c>
      <c r="C190" s="3">
        <v>45937</v>
      </c>
      <c r="D190" s="1">
        <v>0</v>
      </c>
      <c r="E190" s="1">
        <v>45.12</v>
      </c>
      <c r="F190" t="s">
        <v>15</v>
      </c>
      <c r="G190" s="3">
        <v>45908</v>
      </c>
      <c r="H190" t="s">
        <v>11</v>
      </c>
      <c r="I190" s="2">
        <v>45931</v>
      </c>
      <c r="J190">
        <v>88</v>
      </c>
      <c r="K190" t="s">
        <v>20</v>
      </c>
      <c r="L190">
        <v>271</v>
      </c>
      <c r="M190" t="s">
        <v>13</v>
      </c>
    </row>
    <row r="191" spans="2:13" x14ac:dyDescent="0.35">
      <c r="B191" s="4">
        <v>256779415309</v>
      </c>
      <c r="C191" s="3">
        <v>45937</v>
      </c>
      <c r="D191" s="1">
        <v>0</v>
      </c>
      <c r="E191" s="1">
        <v>6.39</v>
      </c>
      <c r="F191" t="s">
        <v>15</v>
      </c>
      <c r="G191" s="3">
        <v>45908</v>
      </c>
      <c r="H191" t="s">
        <v>11</v>
      </c>
      <c r="I191" s="2">
        <v>45931</v>
      </c>
      <c r="J191">
        <v>90</v>
      </c>
      <c r="K191" t="s">
        <v>20</v>
      </c>
      <c r="L191">
        <v>271</v>
      </c>
      <c r="M191" t="s">
        <v>13</v>
      </c>
    </row>
    <row r="192" spans="2:13" x14ac:dyDescent="0.35">
      <c r="B192" s="4">
        <v>256779415302</v>
      </c>
      <c r="C192" s="3">
        <v>45937</v>
      </c>
      <c r="D192" s="1">
        <v>0</v>
      </c>
      <c r="E192" s="1">
        <v>6.39</v>
      </c>
      <c r="F192" t="s">
        <v>15</v>
      </c>
      <c r="G192" s="3">
        <v>45908</v>
      </c>
      <c r="H192" t="s">
        <v>11</v>
      </c>
      <c r="I192" s="2">
        <v>45931</v>
      </c>
      <c r="J192">
        <v>92</v>
      </c>
      <c r="K192" t="s">
        <v>20</v>
      </c>
      <c r="L192">
        <v>271</v>
      </c>
      <c r="M192" t="s">
        <v>13</v>
      </c>
    </row>
    <row r="193" spans="2:13" x14ac:dyDescent="0.35">
      <c r="B193" s="4">
        <v>256779415289</v>
      </c>
      <c r="C193" s="3">
        <v>45937</v>
      </c>
      <c r="D193" s="1">
        <v>0</v>
      </c>
      <c r="E193" s="1">
        <v>53.27</v>
      </c>
      <c r="F193" t="s">
        <v>15</v>
      </c>
      <c r="G193" s="3">
        <v>45908</v>
      </c>
      <c r="H193" t="s">
        <v>11</v>
      </c>
      <c r="I193" s="2">
        <v>45931</v>
      </c>
      <c r="J193">
        <v>94</v>
      </c>
      <c r="K193" t="s">
        <v>20</v>
      </c>
      <c r="L193">
        <v>271</v>
      </c>
      <c r="M193" t="s">
        <v>13</v>
      </c>
    </row>
    <row r="194" spans="2:13" x14ac:dyDescent="0.35">
      <c r="B194" s="4">
        <v>256779415325</v>
      </c>
      <c r="C194" s="3">
        <v>45937</v>
      </c>
      <c r="D194" s="1">
        <v>0</v>
      </c>
      <c r="E194" s="1">
        <v>40.92</v>
      </c>
      <c r="F194" t="s">
        <v>15</v>
      </c>
      <c r="G194" s="3">
        <v>45908</v>
      </c>
      <c r="H194" t="s">
        <v>11</v>
      </c>
      <c r="I194" s="2">
        <v>45931</v>
      </c>
      <c r="J194">
        <v>96</v>
      </c>
      <c r="K194" t="s">
        <v>20</v>
      </c>
      <c r="L194">
        <v>271</v>
      </c>
      <c r="M194" t="s">
        <v>13</v>
      </c>
    </row>
    <row r="195" spans="2:13" x14ac:dyDescent="0.35">
      <c r="B195" s="4">
        <v>256779415331</v>
      </c>
      <c r="C195" s="3">
        <v>45937</v>
      </c>
      <c r="D195" s="1">
        <v>0</v>
      </c>
      <c r="E195" s="1">
        <v>4.8</v>
      </c>
      <c r="F195" t="s">
        <v>15</v>
      </c>
      <c r="G195" s="3">
        <v>45908</v>
      </c>
      <c r="H195" t="s">
        <v>11</v>
      </c>
      <c r="I195" s="2">
        <v>45931</v>
      </c>
      <c r="J195">
        <v>98</v>
      </c>
      <c r="K195" t="s">
        <v>20</v>
      </c>
      <c r="L195">
        <v>271</v>
      </c>
      <c r="M195" t="s">
        <v>13</v>
      </c>
    </row>
    <row r="196" spans="2:13" x14ac:dyDescent="0.35">
      <c r="B196" s="4">
        <v>256779415290</v>
      </c>
      <c r="C196" s="3">
        <v>45937</v>
      </c>
      <c r="D196" s="1">
        <v>0</v>
      </c>
      <c r="E196" s="1">
        <v>5.1100000000000003</v>
      </c>
      <c r="F196" t="s">
        <v>15</v>
      </c>
      <c r="G196" s="3">
        <v>45908</v>
      </c>
      <c r="H196" t="s">
        <v>11</v>
      </c>
      <c r="I196" s="2">
        <v>45931</v>
      </c>
      <c r="J196">
        <v>100</v>
      </c>
      <c r="K196" t="s">
        <v>20</v>
      </c>
      <c r="L196">
        <v>271</v>
      </c>
      <c r="M196" t="s">
        <v>13</v>
      </c>
    </row>
    <row r="197" spans="2:13" x14ac:dyDescent="0.35">
      <c r="B197" s="4">
        <v>256779415303</v>
      </c>
      <c r="C197" s="3">
        <v>45937</v>
      </c>
      <c r="D197" s="1">
        <v>0</v>
      </c>
      <c r="E197" s="1">
        <v>-88.42</v>
      </c>
      <c r="F197" t="s">
        <v>15</v>
      </c>
      <c r="G197" s="3">
        <v>45908</v>
      </c>
      <c r="H197" t="s">
        <v>11</v>
      </c>
      <c r="I197" s="2">
        <v>45962</v>
      </c>
      <c r="J197">
        <v>4</v>
      </c>
      <c r="K197" t="s">
        <v>12</v>
      </c>
      <c r="L197">
        <v>271</v>
      </c>
      <c r="M197" t="s">
        <v>13</v>
      </c>
    </row>
    <row r="198" spans="2:13" x14ac:dyDescent="0.35">
      <c r="B198" s="4">
        <v>256779415304</v>
      </c>
      <c r="C198" s="3">
        <v>45937</v>
      </c>
      <c r="D198" s="1">
        <v>0</v>
      </c>
      <c r="E198" s="1">
        <v>-26.52</v>
      </c>
      <c r="F198" t="s">
        <v>15</v>
      </c>
      <c r="G198" s="3">
        <v>45908</v>
      </c>
      <c r="H198" t="s">
        <v>11</v>
      </c>
      <c r="I198" s="2">
        <v>45962</v>
      </c>
      <c r="J198">
        <v>6</v>
      </c>
      <c r="K198" t="s">
        <v>12</v>
      </c>
      <c r="L198">
        <v>271</v>
      </c>
      <c r="M198" t="s">
        <v>13</v>
      </c>
    </row>
    <row r="199" spans="2:13" x14ac:dyDescent="0.35">
      <c r="B199" s="4">
        <v>256779415385</v>
      </c>
      <c r="C199" s="3">
        <v>45937</v>
      </c>
      <c r="D199" s="1">
        <v>0</v>
      </c>
      <c r="E199" s="1">
        <v>-0.32</v>
      </c>
      <c r="F199" t="s">
        <v>15</v>
      </c>
      <c r="G199" s="3">
        <v>45908</v>
      </c>
      <c r="H199" t="s">
        <v>11</v>
      </c>
      <c r="I199" s="2">
        <v>45962</v>
      </c>
      <c r="J199">
        <v>8</v>
      </c>
      <c r="K199" t="s">
        <v>12</v>
      </c>
      <c r="L199">
        <v>271</v>
      </c>
      <c r="M199" t="s">
        <v>13</v>
      </c>
    </row>
    <row r="200" spans="2:13" x14ac:dyDescent="0.35">
      <c r="B200" s="4">
        <v>256779415293</v>
      </c>
      <c r="C200" s="3">
        <v>45937</v>
      </c>
      <c r="D200" s="1">
        <v>0</v>
      </c>
      <c r="E200" s="1">
        <v>-0.32</v>
      </c>
      <c r="F200" t="s">
        <v>15</v>
      </c>
      <c r="G200" s="3">
        <v>45908</v>
      </c>
      <c r="H200" t="s">
        <v>11</v>
      </c>
      <c r="I200" s="2">
        <v>45962</v>
      </c>
      <c r="J200">
        <v>10</v>
      </c>
      <c r="K200" t="s">
        <v>12</v>
      </c>
      <c r="L200">
        <v>271</v>
      </c>
      <c r="M200" t="s">
        <v>13</v>
      </c>
    </row>
    <row r="201" spans="2:13" x14ac:dyDescent="0.35">
      <c r="B201" s="4">
        <v>256779415374</v>
      </c>
      <c r="C201" s="3">
        <v>45937</v>
      </c>
      <c r="D201" s="1">
        <v>0</v>
      </c>
      <c r="E201" s="1">
        <v>-6.43</v>
      </c>
      <c r="F201" t="s">
        <v>15</v>
      </c>
      <c r="G201" s="3">
        <v>45908</v>
      </c>
      <c r="H201" t="s">
        <v>11</v>
      </c>
      <c r="I201" s="2">
        <v>45962</v>
      </c>
      <c r="J201">
        <v>12</v>
      </c>
      <c r="K201" t="s">
        <v>12</v>
      </c>
      <c r="L201">
        <v>271</v>
      </c>
      <c r="M201" t="s">
        <v>13</v>
      </c>
    </row>
    <row r="202" spans="2:13" x14ac:dyDescent="0.35">
      <c r="B202" s="4">
        <v>256779415339</v>
      </c>
      <c r="C202" s="3">
        <v>45937</v>
      </c>
      <c r="D202" s="1">
        <v>0</v>
      </c>
      <c r="E202" s="1">
        <v>-24.21</v>
      </c>
      <c r="F202" t="s">
        <v>15</v>
      </c>
      <c r="G202" s="3">
        <v>45908</v>
      </c>
      <c r="H202" t="s">
        <v>11</v>
      </c>
      <c r="I202" s="2">
        <v>45962</v>
      </c>
      <c r="J202">
        <v>14</v>
      </c>
      <c r="K202" t="s">
        <v>12</v>
      </c>
      <c r="L202">
        <v>271</v>
      </c>
      <c r="M202" t="s">
        <v>13</v>
      </c>
    </row>
    <row r="203" spans="2:13" x14ac:dyDescent="0.35">
      <c r="B203" s="4">
        <v>256779415308</v>
      </c>
      <c r="C203" s="3">
        <v>45937</v>
      </c>
      <c r="D203" s="1">
        <v>0</v>
      </c>
      <c r="E203" s="1">
        <v>-26.52</v>
      </c>
      <c r="F203" t="s">
        <v>15</v>
      </c>
      <c r="G203" s="3">
        <v>45908</v>
      </c>
      <c r="H203" t="s">
        <v>11</v>
      </c>
      <c r="I203" s="2">
        <v>45962</v>
      </c>
      <c r="J203">
        <v>18</v>
      </c>
      <c r="K203" t="s">
        <v>12</v>
      </c>
      <c r="L203">
        <v>271</v>
      </c>
      <c r="M203" t="s">
        <v>13</v>
      </c>
    </row>
    <row r="204" spans="2:13" x14ac:dyDescent="0.35">
      <c r="B204" s="4">
        <v>256779415305</v>
      </c>
      <c r="C204" s="3">
        <v>45937</v>
      </c>
      <c r="D204" s="1">
        <v>0</v>
      </c>
      <c r="E204" s="1">
        <v>-26.52</v>
      </c>
      <c r="F204" t="s">
        <v>15</v>
      </c>
      <c r="G204" s="3">
        <v>45908</v>
      </c>
      <c r="H204" t="s">
        <v>11</v>
      </c>
      <c r="I204" s="2">
        <v>45962</v>
      </c>
      <c r="J204">
        <v>20</v>
      </c>
      <c r="K204" t="s">
        <v>12</v>
      </c>
      <c r="L204">
        <v>271</v>
      </c>
      <c r="M204" t="s">
        <v>13</v>
      </c>
    </row>
    <row r="205" spans="2:13" x14ac:dyDescent="0.35">
      <c r="B205" s="4">
        <v>256779415306</v>
      </c>
      <c r="C205" s="3">
        <v>45937</v>
      </c>
      <c r="D205" s="1">
        <v>0</v>
      </c>
      <c r="E205" s="1">
        <v>-26.52</v>
      </c>
      <c r="F205" t="s">
        <v>15</v>
      </c>
      <c r="G205" s="3">
        <v>45908</v>
      </c>
      <c r="H205" t="s">
        <v>11</v>
      </c>
      <c r="I205" s="2">
        <v>45962</v>
      </c>
      <c r="J205">
        <v>22</v>
      </c>
      <c r="K205" t="s">
        <v>12</v>
      </c>
      <c r="L205">
        <v>271</v>
      </c>
      <c r="M205" t="s">
        <v>13</v>
      </c>
    </row>
    <row r="206" spans="2:13" x14ac:dyDescent="0.35">
      <c r="B206" s="4">
        <v>256779415307</v>
      </c>
      <c r="C206" s="3">
        <v>45937</v>
      </c>
      <c r="D206" s="1">
        <v>0</v>
      </c>
      <c r="E206" s="1">
        <v>-26.52</v>
      </c>
      <c r="F206" t="s">
        <v>15</v>
      </c>
      <c r="G206" s="3">
        <v>45908</v>
      </c>
      <c r="H206" t="s">
        <v>11</v>
      </c>
      <c r="I206" s="2">
        <v>45962</v>
      </c>
      <c r="J206">
        <v>24</v>
      </c>
      <c r="K206" t="s">
        <v>12</v>
      </c>
      <c r="L206">
        <v>271</v>
      </c>
      <c r="M206" t="s">
        <v>13</v>
      </c>
    </row>
    <row r="207" spans="2:13" x14ac:dyDescent="0.35">
      <c r="B207" s="4">
        <v>256779415291</v>
      </c>
      <c r="C207" s="3">
        <v>45937</v>
      </c>
      <c r="D207" s="1">
        <v>0</v>
      </c>
      <c r="E207" s="1">
        <v>-0.32</v>
      </c>
      <c r="F207" t="s">
        <v>15</v>
      </c>
      <c r="G207" s="3">
        <v>45908</v>
      </c>
      <c r="H207" t="s">
        <v>11</v>
      </c>
      <c r="I207" s="2">
        <v>45962</v>
      </c>
      <c r="J207">
        <v>26</v>
      </c>
      <c r="K207" t="s">
        <v>12</v>
      </c>
      <c r="L207">
        <v>271</v>
      </c>
      <c r="M207" t="s">
        <v>13</v>
      </c>
    </row>
    <row r="208" spans="2:13" x14ac:dyDescent="0.35">
      <c r="B208" s="4">
        <v>256779415319</v>
      </c>
      <c r="C208" s="3">
        <v>45937</v>
      </c>
      <c r="D208" s="1">
        <v>0</v>
      </c>
      <c r="E208" s="1">
        <v>-94.07</v>
      </c>
      <c r="F208" t="s">
        <v>15</v>
      </c>
      <c r="G208" s="3">
        <v>45908</v>
      </c>
      <c r="H208" t="s">
        <v>11</v>
      </c>
      <c r="I208" s="2">
        <v>45962</v>
      </c>
      <c r="J208">
        <v>48</v>
      </c>
      <c r="K208" t="s">
        <v>12</v>
      </c>
      <c r="L208">
        <v>271</v>
      </c>
      <c r="M208" t="s">
        <v>13</v>
      </c>
    </row>
    <row r="209" spans="2:13" x14ac:dyDescent="0.35">
      <c r="B209" s="4">
        <v>256779415303</v>
      </c>
      <c r="C209" s="3">
        <v>45937</v>
      </c>
      <c r="D209" s="1">
        <v>0</v>
      </c>
      <c r="E209" s="1">
        <v>-72.12</v>
      </c>
      <c r="F209" t="s">
        <v>15</v>
      </c>
      <c r="G209" s="3">
        <v>45908</v>
      </c>
      <c r="H209" t="s">
        <v>11</v>
      </c>
      <c r="I209" s="2">
        <v>45992</v>
      </c>
      <c r="J209">
        <v>4</v>
      </c>
      <c r="K209" t="s">
        <v>10</v>
      </c>
      <c r="L209">
        <v>271</v>
      </c>
      <c r="M209" t="s">
        <v>13</v>
      </c>
    </row>
    <row r="210" spans="2:13" x14ac:dyDescent="0.35">
      <c r="B210" s="4">
        <v>256779415304</v>
      </c>
      <c r="C210" s="3">
        <v>45937</v>
      </c>
      <c r="D210" s="1">
        <v>0</v>
      </c>
      <c r="E210" s="1">
        <v>-21.64</v>
      </c>
      <c r="F210" t="s">
        <v>15</v>
      </c>
      <c r="G210" s="3">
        <v>45908</v>
      </c>
      <c r="H210" t="s">
        <v>11</v>
      </c>
      <c r="I210" s="2">
        <v>45992</v>
      </c>
      <c r="J210">
        <v>6</v>
      </c>
      <c r="K210" t="s">
        <v>10</v>
      </c>
      <c r="L210">
        <v>271</v>
      </c>
      <c r="M210" t="s">
        <v>13</v>
      </c>
    </row>
    <row r="211" spans="2:13" x14ac:dyDescent="0.35">
      <c r="B211" s="4">
        <v>256779415385</v>
      </c>
      <c r="C211" s="3">
        <v>45937</v>
      </c>
      <c r="D211" s="1">
        <v>0</v>
      </c>
      <c r="E211" s="1">
        <v>-0.36</v>
      </c>
      <c r="F211" t="s">
        <v>15</v>
      </c>
      <c r="G211" s="3">
        <v>45908</v>
      </c>
      <c r="H211" t="s">
        <v>11</v>
      </c>
      <c r="I211" s="2">
        <v>45992</v>
      </c>
      <c r="J211">
        <v>8</v>
      </c>
      <c r="K211" t="s">
        <v>10</v>
      </c>
      <c r="L211">
        <v>271</v>
      </c>
      <c r="M211" t="s">
        <v>13</v>
      </c>
    </row>
    <row r="212" spans="2:13" x14ac:dyDescent="0.35">
      <c r="B212" s="4">
        <v>256779415293</v>
      </c>
      <c r="C212" s="3">
        <v>45937</v>
      </c>
      <c r="D212" s="1">
        <v>0</v>
      </c>
      <c r="E212" s="1">
        <v>-0.36</v>
      </c>
      <c r="F212" t="s">
        <v>15</v>
      </c>
      <c r="G212" s="3">
        <v>45908</v>
      </c>
      <c r="H212" t="s">
        <v>11</v>
      </c>
      <c r="I212" s="2">
        <v>45992</v>
      </c>
      <c r="J212">
        <v>10</v>
      </c>
      <c r="K212" t="s">
        <v>10</v>
      </c>
      <c r="L212">
        <v>271</v>
      </c>
      <c r="M212" t="s">
        <v>13</v>
      </c>
    </row>
    <row r="213" spans="2:13" x14ac:dyDescent="0.35">
      <c r="B213" s="4">
        <v>256779415374</v>
      </c>
      <c r="C213" s="3">
        <v>45937</v>
      </c>
      <c r="D213" s="1">
        <v>0</v>
      </c>
      <c r="E213" s="1">
        <v>-6.91</v>
      </c>
      <c r="F213" t="s">
        <v>15</v>
      </c>
      <c r="G213" s="3">
        <v>45908</v>
      </c>
      <c r="H213" t="s">
        <v>11</v>
      </c>
      <c r="I213" s="2">
        <v>45992</v>
      </c>
      <c r="J213">
        <v>12</v>
      </c>
      <c r="K213" t="s">
        <v>10</v>
      </c>
      <c r="L213">
        <v>271</v>
      </c>
      <c r="M213" t="s">
        <v>13</v>
      </c>
    </row>
    <row r="214" spans="2:13" x14ac:dyDescent="0.35">
      <c r="B214" s="4">
        <v>256779415339</v>
      </c>
      <c r="C214" s="3">
        <v>45937</v>
      </c>
      <c r="D214" s="1">
        <v>0</v>
      </c>
      <c r="E214" s="1">
        <v>-19.760000000000002</v>
      </c>
      <c r="F214" t="s">
        <v>15</v>
      </c>
      <c r="G214" s="3">
        <v>45908</v>
      </c>
      <c r="H214" t="s">
        <v>11</v>
      </c>
      <c r="I214" s="2">
        <v>45992</v>
      </c>
      <c r="J214">
        <v>14</v>
      </c>
      <c r="K214" t="s">
        <v>10</v>
      </c>
      <c r="L214">
        <v>271</v>
      </c>
      <c r="M214" t="s">
        <v>13</v>
      </c>
    </row>
    <row r="215" spans="2:13" x14ac:dyDescent="0.35">
      <c r="B215" s="4">
        <v>256779415308</v>
      </c>
      <c r="C215" s="3">
        <v>45937</v>
      </c>
      <c r="D215" s="1">
        <v>0</v>
      </c>
      <c r="E215" s="1">
        <v>-21.64</v>
      </c>
      <c r="F215" t="s">
        <v>15</v>
      </c>
      <c r="G215" s="3">
        <v>45908</v>
      </c>
      <c r="H215" t="s">
        <v>11</v>
      </c>
      <c r="I215" s="2">
        <v>45992</v>
      </c>
      <c r="J215">
        <v>18</v>
      </c>
      <c r="K215" t="s">
        <v>10</v>
      </c>
      <c r="L215">
        <v>271</v>
      </c>
      <c r="M215" t="s">
        <v>13</v>
      </c>
    </row>
    <row r="216" spans="2:13" x14ac:dyDescent="0.35">
      <c r="B216" s="4">
        <v>256779415305</v>
      </c>
      <c r="C216" s="3">
        <v>45937</v>
      </c>
      <c r="D216" s="1">
        <v>0</v>
      </c>
      <c r="E216" s="1">
        <v>-21.64</v>
      </c>
      <c r="F216" t="s">
        <v>15</v>
      </c>
      <c r="G216" s="3">
        <v>45908</v>
      </c>
      <c r="H216" t="s">
        <v>11</v>
      </c>
      <c r="I216" s="2">
        <v>45992</v>
      </c>
      <c r="J216">
        <v>20</v>
      </c>
      <c r="K216" t="s">
        <v>10</v>
      </c>
      <c r="L216">
        <v>271</v>
      </c>
      <c r="M216" t="s">
        <v>13</v>
      </c>
    </row>
    <row r="217" spans="2:13" x14ac:dyDescent="0.35">
      <c r="B217" s="4">
        <v>256779415306</v>
      </c>
      <c r="C217" s="3">
        <v>45937</v>
      </c>
      <c r="D217" s="1">
        <v>0</v>
      </c>
      <c r="E217" s="1">
        <v>-21.64</v>
      </c>
      <c r="F217" t="s">
        <v>15</v>
      </c>
      <c r="G217" s="3">
        <v>45908</v>
      </c>
      <c r="H217" t="s">
        <v>11</v>
      </c>
      <c r="I217" s="2">
        <v>45992</v>
      </c>
      <c r="J217">
        <v>22</v>
      </c>
      <c r="K217" t="s">
        <v>10</v>
      </c>
      <c r="L217">
        <v>271</v>
      </c>
      <c r="M217" t="s">
        <v>13</v>
      </c>
    </row>
    <row r="218" spans="2:13" x14ac:dyDescent="0.35">
      <c r="B218" s="4">
        <v>256779415307</v>
      </c>
      <c r="C218" s="3">
        <v>45937</v>
      </c>
      <c r="D218" s="1">
        <v>0</v>
      </c>
      <c r="E218" s="1">
        <v>-21.64</v>
      </c>
      <c r="F218" t="s">
        <v>15</v>
      </c>
      <c r="G218" s="3">
        <v>45908</v>
      </c>
      <c r="H218" t="s">
        <v>11</v>
      </c>
      <c r="I218" s="2">
        <v>45992</v>
      </c>
      <c r="J218">
        <v>24</v>
      </c>
      <c r="K218" t="s">
        <v>10</v>
      </c>
      <c r="L218">
        <v>271</v>
      </c>
      <c r="M218" t="s">
        <v>13</v>
      </c>
    </row>
    <row r="219" spans="2:13" x14ac:dyDescent="0.35">
      <c r="B219" s="4">
        <v>256779415291</v>
      </c>
      <c r="C219" s="3">
        <v>45937</v>
      </c>
      <c r="D219" s="1">
        <v>0</v>
      </c>
      <c r="E219" s="1">
        <v>-0.36</v>
      </c>
      <c r="F219" t="s">
        <v>15</v>
      </c>
      <c r="G219" s="3">
        <v>45908</v>
      </c>
      <c r="H219" t="s">
        <v>11</v>
      </c>
      <c r="I219" s="2">
        <v>45992</v>
      </c>
      <c r="J219">
        <v>26</v>
      </c>
      <c r="K219" t="s">
        <v>10</v>
      </c>
      <c r="L219">
        <v>271</v>
      </c>
      <c r="M219" t="s">
        <v>13</v>
      </c>
    </row>
    <row r="220" spans="2:13" x14ac:dyDescent="0.35">
      <c r="B220" s="4">
        <v>256779415332</v>
      </c>
      <c r="C220" s="3">
        <v>45937</v>
      </c>
      <c r="D220" s="1">
        <v>0</v>
      </c>
      <c r="E220" s="1">
        <v>-3.47</v>
      </c>
      <c r="F220" t="s">
        <v>15</v>
      </c>
      <c r="G220" s="3">
        <v>45908</v>
      </c>
      <c r="H220" t="s">
        <v>11</v>
      </c>
      <c r="I220" s="2">
        <v>45992</v>
      </c>
      <c r="J220">
        <v>78</v>
      </c>
      <c r="K220" t="s">
        <v>10</v>
      </c>
      <c r="L220">
        <v>271</v>
      </c>
      <c r="M220" t="s">
        <v>13</v>
      </c>
    </row>
    <row r="221" spans="2:13" x14ac:dyDescent="0.35">
      <c r="B221" s="4">
        <v>256779415328</v>
      </c>
      <c r="C221" s="3">
        <v>45937</v>
      </c>
      <c r="D221" s="1">
        <v>0</v>
      </c>
      <c r="E221" s="1">
        <v>-31.32</v>
      </c>
      <c r="F221" t="s">
        <v>15</v>
      </c>
      <c r="G221" s="3">
        <v>45908</v>
      </c>
      <c r="H221" t="s">
        <v>11</v>
      </c>
      <c r="I221" s="2">
        <v>45992</v>
      </c>
      <c r="J221">
        <v>80</v>
      </c>
      <c r="K221" t="s">
        <v>10</v>
      </c>
      <c r="L221">
        <v>271</v>
      </c>
      <c r="M221" t="s">
        <v>13</v>
      </c>
    </row>
    <row r="222" spans="2:13" x14ac:dyDescent="0.35">
      <c r="B222" s="4">
        <v>256779415303</v>
      </c>
      <c r="C222" s="3">
        <v>45937</v>
      </c>
      <c r="D222" s="1">
        <v>0</v>
      </c>
      <c r="E222" s="1">
        <v>-170.52</v>
      </c>
      <c r="F222" t="s">
        <v>15</v>
      </c>
      <c r="G222" s="3">
        <v>45908</v>
      </c>
      <c r="H222" t="s">
        <v>11</v>
      </c>
      <c r="I222" s="2">
        <v>46023</v>
      </c>
      <c r="J222">
        <v>4</v>
      </c>
      <c r="K222" t="s">
        <v>47</v>
      </c>
      <c r="L222">
        <v>271</v>
      </c>
      <c r="M222" t="s">
        <v>13</v>
      </c>
    </row>
    <row r="223" spans="2:13" x14ac:dyDescent="0.35">
      <c r="B223" s="4">
        <v>256779415304</v>
      </c>
      <c r="C223" s="3">
        <v>45937</v>
      </c>
      <c r="D223" s="1">
        <v>0</v>
      </c>
      <c r="E223" s="1">
        <v>-51.15</v>
      </c>
      <c r="F223" t="s">
        <v>15</v>
      </c>
      <c r="G223" s="3">
        <v>45908</v>
      </c>
      <c r="H223" t="s">
        <v>11</v>
      </c>
      <c r="I223" s="2">
        <v>46023</v>
      </c>
      <c r="J223">
        <v>6</v>
      </c>
      <c r="K223" t="s">
        <v>47</v>
      </c>
      <c r="L223">
        <v>271</v>
      </c>
      <c r="M223" t="s">
        <v>13</v>
      </c>
    </row>
    <row r="224" spans="2:13" x14ac:dyDescent="0.35">
      <c r="B224" s="4">
        <v>256779415385</v>
      </c>
      <c r="C224" s="3">
        <v>45937</v>
      </c>
      <c r="D224" s="1">
        <v>0</v>
      </c>
      <c r="E224" s="1">
        <v>-0.83</v>
      </c>
      <c r="F224" t="s">
        <v>15</v>
      </c>
      <c r="G224" s="3">
        <v>45908</v>
      </c>
      <c r="H224" t="s">
        <v>11</v>
      </c>
      <c r="I224" s="2">
        <v>46023</v>
      </c>
      <c r="J224">
        <v>8</v>
      </c>
      <c r="K224" t="s">
        <v>47</v>
      </c>
      <c r="L224">
        <v>271</v>
      </c>
      <c r="M224" t="s">
        <v>13</v>
      </c>
    </row>
    <row r="225" spans="2:13" x14ac:dyDescent="0.35">
      <c r="B225" s="4">
        <v>256779415293</v>
      </c>
      <c r="C225" s="3">
        <v>45937</v>
      </c>
      <c r="D225" s="1">
        <v>0</v>
      </c>
      <c r="E225" s="1">
        <v>-0.83</v>
      </c>
      <c r="F225" t="s">
        <v>15</v>
      </c>
      <c r="G225" s="3">
        <v>45908</v>
      </c>
      <c r="H225" t="s">
        <v>11</v>
      </c>
      <c r="I225" s="2">
        <v>46023</v>
      </c>
      <c r="J225">
        <v>10</v>
      </c>
      <c r="K225" t="s">
        <v>47</v>
      </c>
      <c r="L225">
        <v>271</v>
      </c>
      <c r="M225" t="s">
        <v>13</v>
      </c>
    </row>
    <row r="226" spans="2:13" x14ac:dyDescent="0.35">
      <c r="B226" s="4">
        <v>256779415374</v>
      </c>
      <c r="C226" s="3">
        <v>45937</v>
      </c>
      <c r="D226" s="1">
        <v>0</v>
      </c>
      <c r="E226" s="1">
        <v>-16.34</v>
      </c>
      <c r="F226" t="s">
        <v>15</v>
      </c>
      <c r="G226" s="3">
        <v>45908</v>
      </c>
      <c r="H226" t="s">
        <v>11</v>
      </c>
      <c r="I226" s="2">
        <v>46023</v>
      </c>
      <c r="J226">
        <v>12</v>
      </c>
      <c r="K226" t="s">
        <v>47</v>
      </c>
      <c r="L226">
        <v>271</v>
      </c>
      <c r="M226" t="s">
        <v>13</v>
      </c>
    </row>
    <row r="227" spans="2:13" x14ac:dyDescent="0.35">
      <c r="B227" s="4">
        <v>256779415339</v>
      </c>
      <c r="C227" s="3">
        <v>45937</v>
      </c>
      <c r="D227" s="1">
        <v>0</v>
      </c>
      <c r="E227" s="1">
        <v>-46.7</v>
      </c>
      <c r="F227" t="s">
        <v>15</v>
      </c>
      <c r="G227" s="3">
        <v>45908</v>
      </c>
      <c r="H227" t="s">
        <v>11</v>
      </c>
      <c r="I227" s="2">
        <v>46023</v>
      </c>
      <c r="J227">
        <v>14</v>
      </c>
      <c r="K227" t="s">
        <v>47</v>
      </c>
      <c r="L227">
        <v>271</v>
      </c>
      <c r="M227" t="s">
        <v>13</v>
      </c>
    </row>
    <row r="228" spans="2:13" x14ac:dyDescent="0.35">
      <c r="B228" s="4">
        <v>256779415308</v>
      </c>
      <c r="C228" s="3">
        <v>45937</v>
      </c>
      <c r="D228" s="1">
        <v>0</v>
      </c>
      <c r="E228" s="1">
        <v>-51.15</v>
      </c>
      <c r="F228" t="s">
        <v>15</v>
      </c>
      <c r="G228" s="3">
        <v>45908</v>
      </c>
      <c r="H228" t="s">
        <v>11</v>
      </c>
      <c r="I228" s="2">
        <v>46023</v>
      </c>
      <c r="J228">
        <v>18</v>
      </c>
      <c r="K228" t="s">
        <v>47</v>
      </c>
      <c r="L228">
        <v>271</v>
      </c>
      <c r="M228" t="s">
        <v>13</v>
      </c>
    </row>
    <row r="229" spans="2:13" x14ac:dyDescent="0.35">
      <c r="B229" s="4">
        <v>256779415305</v>
      </c>
      <c r="C229" s="3">
        <v>45937</v>
      </c>
      <c r="D229" s="1">
        <v>0</v>
      </c>
      <c r="E229" s="1">
        <v>-51.15</v>
      </c>
      <c r="F229" t="s">
        <v>15</v>
      </c>
      <c r="G229" s="3">
        <v>45908</v>
      </c>
      <c r="H229" t="s">
        <v>11</v>
      </c>
      <c r="I229" s="2">
        <v>46023</v>
      </c>
      <c r="J229">
        <v>20</v>
      </c>
      <c r="K229" t="s">
        <v>47</v>
      </c>
      <c r="L229">
        <v>271</v>
      </c>
      <c r="M229" t="s">
        <v>13</v>
      </c>
    </row>
    <row r="230" spans="2:13" x14ac:dyDescent="0.35">
      <c r="B230" s="4">
        <v>256779415306</v>
      </c>
      <c r="C230" s="3">
        <v>45937</v>
      </c>
      <c r="D230" s="1">
        <v>0</v>
      </c>
      <c r="E230" s="1">
        <v>-51.15</v>
      </c>
      <c r="F230" t="s">
        <v>15</v>
      </c>
      <c r="G230" s="3">
        <v>45908</v>
      </c>
      <c r="H230" t="s">
        <v>11</v>
      </c>
      <c r="I230" s="2">
        <v>46023</v>
      </c>
      <c r="J230">
        <v>22</v>
      </c>
      <c r="K230" t="s">
        <v>47</v>
      </c>
      <c r="L230">
        <v>271</v>
      </c>
      <c r="M230" t="s">
        <v>13</v>
      </c>
    </row>
    <row r="231" spans="2:13" x14ac:dyDescent="0.35">
      <c r="B231" s="4">
        <v>256779415307</v>
      </c>
      <c r="C231" s="3">
        <v>45937</v>
      </c>
      <c r="D231" s="1">
        <v>0</v>
      </c>
      <c r="E231" s="1">
        <v>-51.15</v>
      </c>
      <c r="F231" t="s">
        <v>15</v>
      </c>
      <c r="G231" s="3">
        <v>45908</v>
      </c>
      <c r="H231" t="s">
        <v>11</v>
      </c>
      <c r="I231" s="2">
        <v>46023</v>
      </c>
      <c r="J231">
        <v>24</v>
      </c>
      <c r="K231" t="s">
        <v>47</v>
      </c>
      <c r="L231">
        <v>271</v>
      </c>
      <c r="M231" t="s">
        <v>13</v>
      </c>
    </row>
    <row r="232" spans="2:13" x14ac:dyDescent="0.35">
      <c r="B232" s="4">
        <v>256779415291</v>
      </c>
      <c r="C232" s="3">
        <v>45937</v>
      </c>
      <c r="D232" s="1">
        <v>0</v>
      </c>
      <c r="E232" s="1">
        <v>-0.83</v>
      </c>
      <c r="F232" t="s">
        <v>15</v>
      </c>
      <c r="G232" s="3">
        <v>45908</v>
      </c>
      <c r="H232" t="s">
        <v>11</v>
      </c>
      <c r="I232" s="2">
        <v>46023</v>
      </c>
      <c r="J232">
        <v>26</v>
      </c>
      <c r="K232" t="s">
        <v>47</v>
      </c>
      <c r="L232">
        <v>271</v>
      </c>
      <c r="M232" t="s">
        <v>13</v>
      </c>
    </row>
    <row r="233" spans="2:13" x14ac:dyDescent="0.35">
      <c r="B233" s="4">
        <v>256779415321</v>
      </c>
      <c r="C233" s="3">
        <v>45937</v>
      </c>
      <c r="D233" s="1">
        <v>0</v>
      </c>
      <c r="E233" s="1">
        <v>-658.22</v>
      </c>
      <c r="F233" t="s">
        <v>15</v>
      </c>
      <c r="G233" s="3">
        <v>45908</v>
      </c>
      <c r="H233" t="s">
        <v>11</v>
      </c>
      <c r="I233" s="2">
        <v>46023</v>
      </c>
      <c r="J233">
        <v>54</v>
      </c>
      <c r="K233" t="s">
        <v>47</v>
      </c>
      <c r="L233">
        <v>271</v>
      </c>
      <c r="M233" t="s">
        <v>13</v>
      </c>
    </row>
    <row r="234" spans="2:13" x14ac:dyDescent="0.35">
      <c r="B234" s="4">
        <v>256779414358</v>
      </c>
      <c r="C234" s="3">
        <v>45936</v>
      </c>
      <c r="D234" s="1">
        <v>0</v>
      </c>
      <c r="E234" s="1">
        <v>-15054.92</v>
      </c>
      <c r="F234" t="s">
        <v>15</v>
      </c>
      <c r="G234" s="3">
        <v>45937</v>
      </c>
      <c r="H234" t="s">
        <v>11</v>
      </c>
      <c r="I234" s="2">
        <v>46023</v>
      </c>
      <c r="J234">
        <v>58</v>
      </c>
      <c r="K234" t="s">
        <v>47</v>
      </c>
      <c r="L234">
        <v>271</v>
      </c>
      <c r="M234" t="s">
        <v>13</v>
      </c>
    </row>
    <row r="235" spans="2:13" x14ac:dyDescent="0.35">
      <c r="B235" s="4">
        <v>256779414359</v>
      </c>
      <c r="C235" s="3">
        <v>45936</v>
      </c>
      <c r="D235" s="1">
        <v>0</v>
      </c>
      <c r="E235" s="1">
        <v>-602.22</v>
      </c>
      <c r="F235" t="s">
        <v>15</v>
      </c>
      <c r="G235" s="3">
        <v>45937</v>
      </c>
      <c r="H235" t="s">
        <v>11</v>
      </c>
      <c r="I235" s="2">
        <v>46023</v>
      </c>
      <c r="J235">
        <v>60</v>
      </c>
      <c r="K235" t="s">
        <v>47</v>
      </c>
      <c r="L235">
        <v>271</v>
      </c>
      <c r="M235" t="s">
        <v>13</v>
      </c>
    </row>
    <row r="236" spans="2:13" x14ac:dyDescent="0.35">
      <c r="B236" s="4">
        <v>256779414360</v>
      </c>
      <c r="C236" s="3">
        <v>45936</v>
      </c>
      <c r="D236" s="1">
        <v>0</v>
      </c>
      <c r="E236" s="1">
        <v>-331.22</v>
      </c>
      <c r="F236" t="s">
        <v>15</v>
      </c>
      <c r="G236" s="3">
        <v>45937</v>
      </c>
      <c r="H236" t="s">
        <v>11</v>
      </c>
      <c r="I236" s="2">
        <v>46023</v>
      </c>
      <c r="J236">
        <v>66</v>
      </c>
      <c r="K236" t="s">
        <v>47</v>
      </c>
      <c r="L236">
        <v>271</v>
      </c>
      <c r="M236" t="s">
        <v>13</v>
      </c>
    </row>
    <row r="237" spans="2:13" x14ac:dyDescent="0.35">
      <c r="B237" s="4">
        <v>256779413240</v>
      </c>
      <c r="C237" s="3">
        <v>45935</v>
      </c>
      <c r="D237" s="1">
        <v>0</v>
      </c>
      <c r="E237" s="1">
        <v>-1570.91</v>
      </c>
      <c r="F237" t="s">
        <v>15</v>
      </c>
      <c r="G237" s="3">
        <v>45906</v>
      </c>
      <c r="H237" t="s">
        <v>11</v>
      </c>
      <c r="I237" s="2">
        <v>45962</v>
      </c>
      <c r="J237">
        <v>56</v>
      </c>
      <c r="K237" t="s">
        <v>12</v>
      </c>
      <c r="L237">
        <v>271</v>
      </c>
      <c r="M237" t="s">
        <v>13</v>
      </c>
    </row>
    <row r="238" spans="2:13" x14ac:dyDescent="0.35">
      <c r="B238" s="4">
        <v>256779413250</v>
      </c>
      <c r="C238" s="3">
        <v>45935</v>
      </c>
      <c r="D238" s="1">
        <v>0</v>
      </c>
      <c r="E238" s="1">
        <v>-1568.11</v>
      </c>
      <c r="F238" t="s">
        <v>15</v>
      </c>
      <c r="G238" s="3">
        <v>45906</v>
      </c>
      <c r="H238" t="s">
        <v>11</v>
      </c>
      <c r="I238" s="2">
        <v>45962</v>
      </c>
      <c r="J238">
        <v>64</v>
      </c>
      <c r="K238" t="s">
        <v>12</v>
      </c>
      <c r="L238">
        <v>271</v>
      </c>
      <c r="M238" t="s">
        <v>13</v>
      </c>
    </row>
    <row r="239" spans="2:13" x14ac:dyDescent="0.35">
      <c r="B239" s="4">
        <v>256779419995</v>
      </c>
      <c r="C239" s="3">
        <v>45912</v>
      </c>
      <c r="D239" s="1">
        <v>0</v>
      </c>
      <c r="E239" s="1">
        <v>-454.22</v>
      </c>
      <c r="F239" t="s">
        <v>15</v>
      </c>
      <c r="G239" s="3">
        <v>46235</v>
      </c>
      <c r="H239" t="s">
        <v>11</v>
      </c>
      <c r="I239" s="2">
        <v>46023</v>
      </c>
      <c r="J239">
        <v>70</v>
      </c>
      <c r="K239" t="s">
        <v>47</v>
      </c>
      <c r="L239">
        <v>271</v>
      </c>
      <c r="M239" t="s">
        <v>13</v>
      </c>
    </row>
    <row r="240" spans="2:13" x14ac:dyDescent="0.35">
      <c r="B240" s="4">
        <v>256779419858</v>
      </c>
      <c r="C240" s="3">
        <v>45881</v>
      </c>
      <c r="D240" s="1">
        <v>0</v>
      </c>
      <c r="E240" s="1">
        <v>-290.25</v>
      </c>
      <c r="F240" t="s">
        <v>15</v>
      </c>
      <c r="G240" s="3">
        <v>46204</v>
      </c>
      <c r="H240" t="s">
        <v>11</v>
      </c>
      <c r="I240" s="2">
        <v>46023</v>
      </c>
      <c r="J240">
        <v>72</v>
      </c>
      <c r="K240" t="s">
        <v>47</v>
      </c>
      <c r="L240">
        <v>271</v>
      </c>
      <c r="M240" t="s">
        <v>13</v>
      </c>
    </row>
    <row r="241" spans="2:13" x14ac:dyDescent="0.35">
      <c r="B241" s="4">
        <v>256779419858</v>
      </c>
      <c r="C241" s="3">
        <v>45881</v>
      </c>
      <c r="D241" s="1">
        <v>0</v>
      </c>
      <c r="E241" s="1">
        <v>-67.33</v>
      </c>
      <c r="F241" t="s">
        <v>15</v>
      </c>
      <c r="G241" s="3">
        <v>46204</v>
      </c>
      <c r="H241" t="s">
        <v>11</v>
      </c>
      <c r="I241" s="2">
        <v>46023</v>
      </c>
      <c r="J241">
        <v>74</v>
      </c>
      <c r="K241" t="s">
        <v>47</v>
      </c>
      <c r="L241">
        <v>271</v>
      </c>
      <c r="M241" t="s">
        <v>13</v>
      </c>
    </row>
    <row r="242" spans="2:13" x14ac:dyDescent="0.35">
      <c r="B242" s="4">
        <v>256779416255</v>
      </c>
      <c r="C242" s="3">
        <v>45877</v>
      </c>
      <c r="D242" s="1">
        <v>0</v>
      </c>
      <c r="E242" s="1">
        <v>-622.98</v>
      </c>
      <c r="F242" t="s">
        <v>15</v>
      </c>
      <c r="G242" s="3">
        <v>45847</v>
      </c>
      <c r="H242" t="s">
        <v>11</v>
      </c>
      <c r="I242" s="2">
        <v>45931</v>
      </c>
      <c r="J242">
        <v>102</v>
      </c>
      <c r="K242" t="s">
        <v>20</v>
      </c>
      <c r="L242">
        <v>271</v>
      </c>
      <c r="M242" t="s">
        <v>13</v>
      </c>
    </row>
    <row r="243" spans="2:13" x14ac:dyDescent="0.35">
      <c r="B243" s="4">
        <v>256779416169</v>
      </c>
      <c r="C243" s="3">
        <v>45877</v>
      </c>
      <c r="D243" s="1">
        <v>0</v>
      </c>
      <c r="E243" s="1">
        <v>-408.43</v>
      </c>
      <c r="F243" t="s">
        <v>15</v>
      </c>
      <c r="G243" s="3">
        <v>45847</v>
      </c>
      <c r="H243" t="s">
        <v>11</v>
      </c>
      <c r="I243" s="2">
        <v>45931</v>
      </c>
      <c r="J243">
        <v>104</v>
      </c>
      <c r="K243" t="s">
        <v>20</v>
      </c>
      <c r="L243">
        <v>271</v>
      </c>
      <c r="M243" t="s">
        <v>13</v>
      </c>
    </row>
    <row r="244" spans="2:13" x14ac:dyDescent="0.35">
      <c r="B244" s="4">
        <v>256779416442</v>
      </c>
      <c r="C244" s="3">
        <v>45877</v>
      </c>
      <c r="D244" s="1">
        <v>0</v>
      </c>
      <c r="E244" s="1">
        <v>-1673.46</v>
      </c>
      <c r="F244" t="s">
        <v>15</v>
      </c>
      <c r="G244" s="3">
        <v>45847</v>
      </c>
      <c r="H244" t="s">
        <v>11</v>
      </c>
      <c r="I244" s="2">
        <v>45931</v>
      </c>
      <c r="J244">
        <v>106</v>
      </c>
      <c r="K244" t="s">
        <v>20</v>
      </c>
      <c r="L244">
        <v>271</v>
      </c>
      <c r="M244" t="s">
        <v>13</v>
      </c>
    </row>
    <row r="245" spans="2:13" x14ac:dyDescent="0.35">
      <c r="B245" s="4">
        <v>256779416214</v>
      </c>
      <c r="C245" s="3">
        <v>45877</v>
      </c>
      <c r="D245" s="1">
        <v>0</v>
      </c>
      <c r="E245" s="1">
        <v>-336.91</v>
      </c>
      <c r="F245" t="s">
        <v>15</v>
      </c>
      <c r="G245" s="3">
        <v>45847</v>
      </c>
      <c r="H245" t="s">
        <v>11</v>
      </c>
      <c r="I245" s="2">
        <v>45931</v>
      </c>
      <c r="J245">
        <v>108</v>
      </c>
      <c r="K245" t="s">
        <v>20</v>
      </c>
      <c r="L245">
        <v>271</v>
      </c>
      <c r="M245" t="s">
        <v>13</v>
      </c>
    </row>
    <row r="246" spans="2:13" x14ac:dyDescent="0.35">
      <c r="B246" s="4">
        <v>256779416454</v>
      </c>
      <c r="C246" s="3">
        <v>45877</v>
      </c>
      <c r="D246" s="1">
        <v>0</v>
      </c>
      <c r="E246" s="1">
        <v>-653.17999999999995</v>
      </c>
      <c r="F246" t="s">
        <v>15</v>
      </c>
      <c r="G246" s="3">
        <v>45847</v>
      </c>
      <c r="H246" t="s">
        <v>11</v>
      </c>
      <c r="I246" s="2">
        <v>45931</v>
      </c>
      <c r="J246">
        <v>110</v>
      </c>
      <c r="K246" t="s">
        <v>20</v>
      </c>
      <c r="L246">
        <v>271</v>
      </c>
      <c r="M246" t="s">
        <v>13</v>
      </c>
    </row>
    <row r="247" spans="2:13" x14ac:dyDescent="0.35">
      <c r="B247" s="4">
        <v>256779416096</v>
      </c>
      <c r="C247" s="3">
        <v>45877</v>
      </c>
      <c r="D247" s="1">
        <v>0</v>
      </c>
      <c r="E247" s="1">
        <v>-11738.6</v>
      </c>
      <c r="F247" t="s">
        <v>15</v>
      </c>
      <c r="G247" s="3">
        <v>45847</v>
      </c>
      <c r="H247" t="s">
        <v>11</v>
      </c>
      <c r="I247" s="2">
        <v>45931</v>
      </c>
      <c r="J247">
        <v>112</v>
      </c>
      <c r="K247" t="s">
        <v>20</v>
      </c>
      <c r="L247">
        <v>271</v>
      </c>
      <c r="M247" t="s">
        <v>13</v>
      </c>
    </row>
    <row r="248" spans="2:13" x14ac:dyDescent="0.35">
      <c r="B248" s="4">
        <v>256779416255</v>
      </c>
      <c r="C248" s="3">
        <v>45877</v>
      </c>
      <c r="D248" s="1">
        <v>0</v>
      </c>
      <c r="E248" s="1">
        <v>-346.59</v>
      </c>
      <c r="F248" t="s">
        <v>15</v>
      </c>
      <c r="G248" s="3">
        <v>45847</v>
      </c>
      <c r="H248" t="s">
        <v>11</v>
      </c>
      <c r="I248" s="2">
        <v>45962</v>
      </c>
      <c r="J248">
        <v>32</v>
      </c>
      <c r="K248" t="s">
        <v>12</v>
      </c>
      <c r="L248">
        <v>271</v>
      </c>
      <c r="M248" t="s">
        <v>13</v>
      </c>
    </row>
    <row r="249" spans="2:13" x14ac:dyDescent="0.35">
      <c r="B249" s="4">
        <v>256779416169</v>
      </c>
      <c r="C249" s="3">
        <v>45877</v>
      </c>
      <c r="D249" s="1">
        <v>0</v>
      </c>
      <c r="E249" s="1">
        <v>-227.23</v>
      </c>
      <c r="F249" t="s">
        <v>15</v>
      </c>
      <c r="G249" s="3">
        <v>45847</v>
      </c>
      <c r="H249" t="s">
        <v>11</v>
      </c>
      <c r="I249" s="2">
        <v>45962</v>
      </c>
      <c r="J249">
        <v>34</v>
      </c>
      <c r="K249" t="s">
        <v>12</v>
      </c>
      <c r="L249">
        <v>271</v>
      </c>
      <c r="M249" t="s">
        <v>13</v>
      </c>
    </row>
    <row r="250" spans="2:13" x14ac:dyDescent="0.35">
      <c r="B250" s="4">
        <v>256779416442</v>
      </c>
      <c r="C250" s="3">
        <v>45877</v>
      </c>
      <c r="D250" s="1">
        <v>0</v>
      </c>
      <c r="E250" s="1">
        <v>-931.02</v>
      </c>
      <c r="F250" t="s">
        <v>15</v>
      </c>
      <c r="G250" s="3">
        <v>45847</v>
      </c>
      <c r="H250" t="s">
        <v>11</v>
      </c>
      <c r="I250" s="2">
        <v>45962</v>
      </c>
      <c r="J250">
        <v>36</v>
      </c>
      <c r="K250" t="s">
        <v>12</v>
      </c>
      <c r="L250">
        <v>271</v>
      </c>
      <c r="M250" t="s">
        <v>13</v>
      </c>
    </row>
    <row r="251" spans="2:13" x14ac:dyDescent="0.35">
      <c r="B251" s="4">
        <v>256779416214</v>
      </c>
      <c r="C251" s="3">
        <v>45877</v>
      </c>
      <c r="D251" s="1">
        <v>0</v>
      </c>
      <c r="E251" s="1">
        <v>-187.45</v>
      </c>
      <c r="F251" t="s">
        <v>15</v>
      </c>
      <c r="G251" s="3">
        <v>45847</v>
      </c>
      <c r="H251" t="s">
        <v>11</v>
      </c>
      <c r="I251" s="2">
        <v>45962</v>
      </c>
      <c r="J251">
        <v>38</v>
      </c>
      <c r="K251" t="s">
        <v>12</v>
      </c>
      <c r="L251">
        <v>271</v>
      </c>
      <c r="M251" t="s">
        <v>13</v>
      </c>
    </row>
    <row r="252" spans="2:13" x14ac:dyDescent="0.35">
      <c r="B252" s="4">
        <v>256779416454</v>
      </c>
      <c r="C252" s="3">
        <v>45877</v>
      </c>
      <c r="D252" s="1">
        <v>0</v>
      </c>
      <c r="E252" s="1">
        <v>-363.39</v>
      </c>
      <c r="F252" t="s">
        <v>15</v>
      </c>
      <c r="G252" s="3">
        <v>45847</v>
      </c>
      <c r="H252" t="s">
        <v>11</v>
      </c>
      <c r="I252" s="2">
        <v>45962</v>
      </c>
      <c r="J252">
        <v>40</v>
      </c>
      <c r="K252" t="s">
        <v>12</v>
      </c>
      <c r="L252">
        <v>271</v>
      </c>
      <c r="M252" t="s">
        <v>13</v>
      </c>
    </row>
    <row r="253" spans="2:13" x14ac:dyDescent="0.35">
      <c r="B253" s="4">
        <v>256779416137</v>
      </c>
      <c r="C253" s="3">
        <v>45877</v>
      </c>
      <c r="D253" s="1">
        <v>0</v>
      </c>
      <c r="E253" s="1">
        <v>-136.03</v>
      </c>
      <c r="F253" t="s">
        <v>15</v>
      </c>
      <c r="G253" s="3">
        <v>45847</v>
      </c>
      <c r="H253" t="s">
        <v>11</v>
      </c>
      <c r="I253" s="2">
        <v>45962</v>
      </c>
      <c r="J253">
        <v>50</v>
      </c>
      <c r="K253" t="s">
        <v>12</v>
      </c>
      <c r="L253">
        <v>271</v>
      </c>
      <c r="M253" t="s">
        <v>13</v>
      </c>
    </row>
    <row r="254" spans="2:13" x14ac:dyDescent="0.35">
      <c r="B254" s="4">
        <v>256779416255</v>
      </c>
      <c r="C254" s="3">
        <v>45877</v>
      </c>
      <c r="D254" s="1">
        <v>0</v>
      </c>
      <c r="E254" s="1">
        <v>-282.73</v>
      </c>
      <c r="F254" t="s">
        <v>15</v>
      </c>
      <c r="G254" s="3">
        <v>45847</v>
      </c>
      <c r="H254" t="s">
        <v>11</v>
      </c>
      <c r="I254" s="2">
        <v>45992</v>
      </c>
      <c r="J254">
        <v>32</v>
      </c>
      <c r="K254" t="s">
        <v>10</v>
      </c>
      <c r="L254">
        <v>271</v>
      </c>
      <c r="M254" t="s">
        <v>13</v>
      </c>
    </row>
    <row r="255" spans="2:13" x14ac:dyDescent="0.35">
      <c r="B255" s="4">
        <v>256779416169</v>
      </c>
      <c r="C255" s="3">
        <v>45877</v>
      </c>
      <c r="D255" s="1">
        <v>0</v>
      </c>
      <c r="E255" s="1">
        <v>-185.36</v>
      </c>
      <c r="F255" t="s">
        <v>15</v>
      </c>
      <c r="G255" s="3">
        <v>45847</v>
      </c>
      <c r="H255" t="s">
        <v>11</v>
      </c>
      <c r="I255" s="2">
        <v>45992</v>
      </c>
      <c r="J255">
        <v>34</v>
      </c>
      <c r="K255" t="s">
        <v>10</v>
      </c>
      <c r="L255">
        <v>271</v>
      </c>
      <c r="M255" t="s">
        <v>13</v>
      </c>
    </row>
    <row r="256" spans="2:13" x14ac:dyDescent="0.35">
      <c r="B256" s="4">
        <v>256779416442</v>
      </c>
      <c r="C256" s="3">
        <v>45877</v>
      </c>
      <c r="D256" s="1">
        <v>0</v>
      </c>
      <c r="E256" s="1">
        <v>-759.48</v>
      </c>
      <c r="F256" t="s">
        <v>15</v>
      </c>
      <c r="G256" s="3">
        <v>45847</v>
      </c>
      <c r="H256" t="s">
        <v>11</v>
      </c>
      <c r="I256" s="2">
        <v>45992</v>
      </c>
      <c r="J256">
        <v>36</v>
      </c>
      <c r="K256" t="s">
        <v>10</v>
      </c>
      <c r="L256">
        <v>271</v>
      </c>
      <c r="M256" t="s">
        <v>13</v>
      </c>
    </row>
    <row r="257" spans="2:13" x14ac:dyDescent="0.35">
      <c r="B257" s="4">
        <v>256779416214</v>
      </c>
      <c r="C257" s="3">
        <v>45877</v>
      </c>
      <c r="D257" s="1">
        <v>0</v>
      </c>
      <c r="E257" s="1">
        <v>-152.9</v>
      </c>
      <c r="F257" t="s">
        <v>15</v>
      </c>
      <c r="G257" s="3">
        <v>45847</v>
      </c>
      <c r="H257" t="s">
        <v>11</v>
      </c>
      <c r="I257" s="2">
        <v>45992</v>
      </c>
      <c r="J257">
        <v>38</v>
      </c>
      <c r="K257" t="s">
        <v>10</v>
      </c>
      <c r="L257">
        <v>271</v>
      </c>
      <c r="M257" t="s">
        <v>13</v>
      </c>
    </row>
    <row r="258" spans="2:13" x14ac:dyDescent="0.35">
      <c r="B258" s="4">
        <v>256779416454</v>
      </c>
      <c r="C258" s="3">
        <v>45877</v>
      </c>
      <c r="D258" s="1">
        <v>0</v>
      </c>
      <c r="E258" s="1">
        <v>-296.44</v>
      </c>
      <c r="F258" t="s">
        <v>15</v>
      </c>
      <c r="G258" s="3">
        <v>45847</v>
      </c>
      <c r="H258" t="s">
        <v>11</v>
      </c>
      <c r="I258" s="2">
        <v>45992</v>
      </c>
      <c r="J258">
        <v>40</v>
      </c>
      <c r="K258" t="s">
        <v>10</v>
      </c>
      <c r="L258">
        <v>271</v>
      </c>
      <c r="M258" t="s">
        <v>13</v>
      </c>
    </row>
    <row r="259" spans="2:13" x14ac:dyDescent="0.35">
      <c r="B259" s="4">
        <v>256779416137</v>
      </c>
      <c r="C259" s="3">
        <v>45877</v>
      </c>
      <c r="D259" s="1">
        <v>0</v>
      </c>
      <c r="E259" s="1">
        <v>-39.67</v>
      </c>
      <c r="F259" t="s">
        <v>15</v>
      </c>
      <c r="G259" s="3">
        <v>45847</v>
      </c>
      <c r="H259" t="s">
        <v>11</v>
      </c>
      <c r="I259" s="2">
        <v>45992</v>
      </c>
      <c r="J259">
        <v>48</v>
      </c>
      <c r="K259" t="s">
        <v>10</v>
      </c>
      <c r="L259">
        <v>271</v>
      </c>
      <c r="M259" t="s">
        <v>13</v>
      </c>
    </row>
    <row r="260" spans="2:13" x14ac:dyDescent="0.35">
      <c r="B260" s="4">
        <v>256779416255</v>
      </c>
      <c r="C260" s="3">
        <v>45877</v>
      </c>
      <c r="D260" s="1">
        <v>0</v>
      </c>
      <c r="E260" s="1">
        <v>-668.43</v>
      </c>
      <c r="F260" t="s">
        <v>15</v>
      </c>
      <c r="G260" s="3">
        <v>45847</v>
      </c>
      <c r="H260" t="s">
        <v>11</v>
      </c>
      <c r="I260" s="2">
        <v>46023</v>
      </c>
      <c r="J260">
        <v>32</v>
      </c>
      <c r="K260" t="s">
        <v>47</v>
      </c>
      <c r="L260">
        <v>271</v>
      </c>
      <c r="M260" t="s">
        <v>13</v>
      </c>
    </row>
    <row r="261" spans="2:13" x14ac:dyDescent="0.35">
      <c r="B261" s="4">
        <v>256779416169</v>
      </c>
      <c r="C261" s="3">
        <v>45877</v>
      </c>
      <c r="D261" s="1">
        <v>0</v>
      </c>
      <c r="E261" s="1">
        <v>-438.24</v>
      </c>
      <c r="F261" t="s">
        <v>15</v>
      </c>
      <c r="G261" s="3">
        <v>45847</v>
      </c>
      <c r="H261" t="s">
        <v>11</v>
      </c>
      <c r="I261" s="2">
        <v>46023</v>
      </c>
      <c r="J261">
        <v>34</v>
      </c>
      <c r="K261" t="s">
        <v>47</v>
      </c>
      <c r="L261">
        <v>271</v>
      </c>
      <c r="M261" t="s">
        <v>13</v>
      </c>
    </row>
    <row r="262" spans="2:13" x14ac:dyDescent="0.35">
      <c r="B262" s="4">
        <v>256779416442</v>
      </c>
      <c r="C262" s="3">
        <v>45877</v>
      </c>
      <c r="D262" s="1">
        <v>0</v>
      </c>
      <c r="E262" s="1">
        <v>-1795.56</v>
      </c>
      <c r="F262" t="s">
        <v>15</v>
      </c>
      <c r="G262" s="3">
        <v>45847</v>
      </c>
      <c r="H262" t="s">
        <v>11</v>
      </c>
      <c r="I262" s="2">
        <v>46023</v>
      </c>
      <c r="J262">
        <v>36</v>
      </c>
      <c r="K262" t="s">
        <v>47</v>
      </c>
      <c r="L262">
        <v>271</v>
      </c>
      <c r="M262" t="s">
        <v>13</v>
      </c>
    </row>
    <row r="263" spans="2:13" x14ac:dyDescent="0.35">
      <c r="B263" s="4">
        <v>256779416214</v>
      </c>
      <c r="C263" s="3">
        <v>45877</v>
      </c>
      <c r="D263" s="1">
        <v>0</v>
      </c>
      <c r="E263" s="1">
        <v>-361.5</v>
      </c>
      <c r="F263" t="s">
        <v>15</v>
      </c>
      <c r="G263" s="3">
        <v>45847</v>
      </c>
      <c r="H263" t="s">
        <v>11</v>
      </c>
      <c r="I263" s="2">
        <v>46023</v>
      </c>
      <c r="J263">
        <v>38</v>
      </c>
      <c r="K263" t="s">
        <v>47</v>
      </c>
      <c r="L263">
        <v>271</v>
      </c>
      <c r="M263" t="s">
        <v>13</v>
      </c>
    </row>
    <row r="264" spans="2:13" x14ac:dyDescent="0.35">
      <c r="B264" s="4">
        <v>256779416454</v>
      </c>
      <c r="C264" s="3">
        <v>45877</v>
      </c>
      <c r="D264" s="1">
        <v>0</v>
      </c>
      <c r="E264" s="1">
        <v>-700.83</v>
      </c>
      <c r="F264" t="s">
        <v>15</v>
      </c>
      <c r="G264" s="3">
        <v>45847</v>
      </c>
      <c r="H264" t="s">
        <v>11</v>
      </c>
      <c r="I264" s="2">
        <v>46023</v>
      </c>
      <c r="J264">
        <v>40</v>
      </c>
      <c r="K264" t="s">
        <v>47</v>
      </c>
      <c r="L264">
        <v>271</v>
      </c>
      <c r="M264" t="s">
        <v>13</v>
      </c>
    </row>
    <row r="265" spans="2:13" x14ac:dyDescent="0.35">
      <c r="B265" s="4">
        <v>256779416137</v>
      </c>
      <c r="C265" s="3">
        <v>45877</v>
      </c>
      <c r="D265" s="1">
        <v>0</v>
      </c>
      <c r="E265" s="1">
        <v>-93.79</v>
      </c>
      <c r="F265" t="s">
        <v>15</v>
      </c>
      <c r="G265" s="3">
        <v>45847</v>
      </c>
      <c r="H265" t="s">
        <v>11</v>
      </c>
      <c r="I265" s="2">
        <v>46023</v>
      </c>
      <c r="J265">
        <v>44</v>
      </c>
      <c r="K265" t="s">
        <v>47</v>
      </c>
      <c r="L265">
        <v>271</v>
      </c>
      <c r="M265" t="s">
        <v>13</v>
      </c>
    </row>
    <row r="266" spans="2:13" x14ac:dyDescent="0.35">
      <c r="B266" s="4">
        <v>256779419983</v>
      </c>
      <c r="C266" s="3">
        <v>45820</v>
      </c>
      <c r="D266" s="1">
        <v>0</v>
      </c>
      <c r="E266" s="1">
        <v>-134.99</v>
      </c>
      <c r="F266" t="s">
        <v>15</v>
      </c>
      <c r="G266" s="3">
        <v>46143</v>
      </c>
      <c r="H266" t="s">
        <v>11</v>
      </c>
      <c r="I266" s="2">
        <v>46023</v>
      </c>
      <c r="J266">
        <v>98</v>
      </c>
      <c r="K266" t="s">
        <v>47</v>
      </c>
      <c r="L266">
        <v>271</v>
      </c>
      <c r="M266" t="s">
        <v>13</v>
      </c>
    </row>
    <row r="267" spans="2:13" x14ac:dyDescent="0.35">
      <c r="B267" s="4">
        <v>246779410882</v>
      </c>
      <c r="C267" s="3">
        <v>45811</v>
      </c>
      <c r="D267" s="1">
        <v>0</v>
      </c>
      <c r="E267" s="1">
        <v>2303.84</v>
      </c>
      <c r="F267" t="s">
        <v>15</v>
      </c>
      <c r="G267" s="3">
        <v>45781</v>
      </c>
      <c r="H267" t="s">
        <v>11</v>
      </c>
      <c r="I267" s="2">
        <v>45809</v>
      </c>
      <c r="J267">
        <v>50</v>
      </c>
      <c r="K267" t="s">
        <v>27</v>
      </c>
      <c r="L267">
        <v>271</v>
      </c>
      <c r="M267" t="s">
        <v>13</v>
      </c>
    </row>
    <row r="268" spans="2:13" x14ac:dyDescent="0.35">
      <c r="B268" s="4">
        <v>256779419908</v>
      </c>
      <c r="C268" s="3">
        <v>45789</v>
      </c>
      <c r="D268" s="1">
        <v>0</v>
      </c>
      <c r="E268" s="1">
        <v>-912.18</v>
      </c>
      <c r="F268" t="s">
        <v>15</v>
      </c>
      <c r="G268" s="3">
        <v>46113</v>
      </c>
      <c r="H268" t="s">
        <v>11</v>
      </c>
      <c r="I268" s="2">
        <v>46023</v>
      </c>
      <c r="J268">
        <v>76</v>
      </c>
      <c r="K268" t="s">
        <v>47</v>
      </c>
      <c r="L268">
        <v>271</v>
      </c>
      <c r="M268" t="s">
        <v>13</v>
      </c>
    </row>
    <row r="269" spans="2:13" x14ac:dyDescent="0.35">
      <c r="B269" s="4">
        <v>256779419808</v>
      </c>
      <c r="C269" s="3">
        <v>45789</v>
      </c>
      <c r="D269" s="1">
        <v>0</v>
      </c>
      <c r="E269" s="1">
        <v>-67.819999999999993</v>
      </c>
      <c r="F269" t="s">
        <v>15</v>
      </c>
      <c r="G269" s="3">
        <v>46113</v>
      </c>
      <c r="H269" t="s">
        <v>11</v>
      </c>
      <c r="I269" s="2">
        <v>46023</v>
      </c>
      <c r="J269">
        <v>94</v>
      </c>
      <c r="K269" t="s">
        <v>47</v>
      </c>
      <c r="L269">
        <v>271</v>
      </c>
      <c r="M269" t="s">
        <v>13</v>
      </c>
    </row>
    <row r="270" spans="2:13" x14ac:dyDescent="0.35">
      <c r="B270" s="4">
        <v>256779419165</v>
      </c>
      <c r="C270" s="3">
        <v>45788</v>
      </c>
      <c r="D270" s="1">
        <v>0</v>
      </c>
      <c r="E270" s="1">
        <v>-307.55</v>
      </c>
      <c r="F270" t="s">
        <v>15</v>
      </c>
      <c r="G270" s="3">
        <v>45789</v>
      </c>
      <c r="H270" t="s">
        <v>11</v>
      </c>
      <c r="I270" s="2">
        <v>45992</v>
      </c>
      <c r="J270">
        <v>68</v>
      </c>
      <c r="K270" t="s">
        <v>10</v>
      </c>
      <c r="L270">
        <v>271</v>
      </c>
      <c r="M270" t="s">
        <v>13</v>
      </c>
    </row>
    <row r="271" spans="2:13" x14ac:dyDescent="0.35">
      <c r="B271" s="4">
        <v>256779419192</v>
      </c>
      <c r="C271" s="3">
        <v>45788</v>
      </c>
      <c r="D271" s="1">
        <v>0</v>
      </c>
      <c r="E271" s="1">
        <v>-275.92</v>
      </c>
      <c r="F271" t="s">
        <v>15</v>
      </c>
      <c r="G271" s="3">
        <v>45789</v>
      </c>
      <c r="H271" t="s">
        <v>11</v>
      </c>
      <c r="I271" s="2">
        <v>45992</v>
      </c>
      <c r="J271">
        <v>70</v>
      </c>
      <c r="K271" t="s">
        <v>10</v>
      </c>
      <c r="L271">
        <v>271</v>
      </c>
      <c r="M271" t="s">
        <v>13</v>
      </c>
    </row>
    <row r="272" spans="2:13" x14ac:dyDescent="0.35">
      <c r="B272" s="4">
        <v>256779418777</v>
      </c>
      <c r="C272" s="3">
        <v>45788</v>
      </c>
      <c r="D272" s="1">
        <v>0</v>
      </c>
      <c r="E272" s="1">
        <v>-3648.54</v>
      </c>
      <c r="F272" t="s">
        <v>15</v>
      </c>
      <c r="G272" s="3">
        <v>45789</v>
      </c>
      <c r="H272" t="s">
        <v>11</v>
      </c>
      <c r="I272" s="2">
        <v>45992</v>
      </c>
      <c r="J272">
        <v>72</v>
      </c>
      <c r="K272" t="s">
        <v>10</v>
      </c>
      <c r="L272">
        <v>271</v>
      </c>
      <c r="M272" t="s">
        <v>13</v>
      </c>
    </row>
    <row r="273" spans="2:13" x14ac:dyDescent="0.35">
      <c r="B273" s="4">
        <v>256779418779</v>
      </c>
      <c r="C273" s="3">
        <v>45788</v>
      </c>
      <c r="D273" s="1">
        <v>0</v>
      </c>
      <c r="E273" s="1">
        <v>-80.27</v>
      </c>
      <c r="F273" t="s">
        <v>15</v>
      </c>
      <c r="G273" s="3">
        <v>45789</v>
      </c>
      <c r="H273" t="s">
        <v>11</v>
      </c>
      <c r="I273" s="2">
        <v>45992</v>
      </c>
      <c r="J273">
        <v>74</v>
      </c>
      <c r="K273" t="s">
        <v>10</v>
      </c>
      <c r="L273">
        <v>271</v>
      </c>
      <c r="M273" t="s">
        <v>13</v>
      </c>
    </row>
    <row r="274" spans="2:13" x14ac:dyDescent="0.35">
      <c r="B274" s="4">
        <v>256779418778</v>
      </c>
      <c r="C274" s="3">
        <v>45788</v>
      </c>
      <c r="D274" s="1">
        <v>0</v>
      </c>
      <c r="E274" s="1">
        <v>-300.95999999999998</v>
      </c>
      <c r="F274" t="s">
        <v>15</v>
      </c>
      <c r="G274" s="3">
        <v>45789</v>
      </c>
      <c r="H274" t="s">
        <v>11</v>
      </c>
      <c r="I274" s="2">
        <v>46023</v>
      </c>
      <c r="J274">
        <v>56</v>
      </c>
      <c r="K274" t="s">
        <v>47</v>
      </c>
      <c r="L274">
        <v>271</v>
      </c>
      <c r="M274" t="s">
        <v>13</v>
      </c>
    </row>
    <row r="275" spans="2:13" x14ac:dyDescent="0.35">
      <c r="B275" s="4">
        <v>256779417875</v>
      </c>
      <c r="C275" s="3">
        <v>45787</v>
      </c>
      <c r="D275" s="1">
        <v>0</v>
      </c>
      <c r="E275" s="1">
        <v>-2736.39</v>
      </c>
      <c r="F275" t="s">
        <v>15</v>
      </c>
      <c r="G275" s="3">
        <v>45758</v>
      </c>
      <c r="H275" t="s">
        <v>11</v>
      </c>
      <c r="I275" s="2">
        <v>45992</v>
      </c>
      <c r="J275">
        <v>60</v>
      </c>
      <c r="K275" t="s">
        <v>10</v>
      </c>
      <c r="L275">
        <v>271</v>
      </c>
      <c r="M275" t="s">
        <v>13</v>
      </c>
    </row>
    <row r="276" spans="2:13" x14ac:dyDescent="0.35">
      <c r="B276" s="4">
        <v>256779417876</v>
      </c>
      <c r="C276" s="3">
        <v>45787</v>
      </c>
      <c r="D276" s="1">
        <v>0</v>
      </c>
      <c r="E276" s="1">
        <v>-109.46</v>
      </c>
      <c r="F276" t="s">
        <v>15</v>
      </c>
      <c r="G276" s="3">
        <v>45758</v>
      </c>
      <c r="H276" t="s">
        <v>11</v>
      </c>
      <c r="I276" s="2">
        <v>45992</v>
      </c>
      <c r="J276">
        <v>62</v>
      </c>
      <c r="K276" t="s">
        <v>10</v>
      </c>
      <c r="L276">
        <v>271</v>
      </c>
      <c r="M276" t="s">
        <v>13</v>
      </c>
    </row>
    <row r="277" spans="2:13" x14ac:dyDescent="0.35">
      <c r="B277" s="4">
        <v>256779417877</v>
      </c>
      <c r="C277" s="3">
        <v>45787</v>
      </c>
      <c r="D277" s="1">
        <v>0</v>
      </c>
      <c r="E277" s="1">
        <v>-60.2</v>
      </c>
      <c r="F277" t="s">
        <v>15</v>
      </c>
      <c r="G277" s="3">
        <v>45758</v>
      </c>
      <c r="H277" t="s">
        <v>11</v>
      </c>
      <c r="I277" s="2">
        <v>45992</v>
      </c>
      <c r="J277">
        <v>64</v>
      </c>
      <c r="K277" t="s">
        <v>10</v>
      </c>
      <c r="L277">
        <v>271</v>
      </c>
      <c r="M277" t="s">
        <v>13</v>
      </c>
    </row>
    <row r="278" spans="2:13" x14ac:dyDescent="0.35">
      <c r="B278" s="4">
        <v>256779419971</v>
      </c>
      <c r="C278" s="3">
        <v>45759</v>
      </c>
      <c r="D278" s="1">
        <v>0</v>
      </c>
      <c r="E278" s="1">
        <v>-218.85</v>
      </c>
      <c r="F278" t="s">
        <v>15</v>
      </c>
      <c r="G278" s="3">
        <v>46082</v>
      </c>
      <c r="H278" t="s">
        <v>11</v>
      </c>
      <c r="I278" s="2">
        <v>46023</v>
      </c>
      <c r="J278">
        <v>86</v>
      </c>
      <c r="K278" t="s">
        <v>47</v>
      </c>
      <c r="L278">
        <v>271</v>
      </c>
      <c r="M278" t="s">
        <v>13</v>
      </c>
    </row>
    <row r="279" spans="2:13" x14ac:dyDescent="0.35">
      <c r="B279" s="4">
        <v>256779419972</v>
      </c>
      <c r="C279" s="3">
        <v>45759</v>
      </c>
      <c r="D279" s="1">
        <v>0</v>
      </c>
      <c r="E279" s="1">
        <v>-120.38</v>
      </c>
      <c r="F279" t="s">
        <v>15</v>
      </c>
      <c r="G279" s="3">
        <v>46082</v>
      </c>
      <c r="H279" t="s">
        <v>11</v>
      </c>
      <c r="I279" s="2">
        <v>46023</v>
      </c>
      <c r="J279">
        <v>96</v>
      </c>
      <c r="K279" t="s">
        <v>47</v>
      </c>
      <c r="L279">
        <v>271</v>
      </c>
      <c r="M279" t="s">
        <v>13</v>
      </c>
    </row>
    <row r="280" spans="2:13" x14ac:dyDescent="0.35">
      <c r="B280" s="4">
        <v>256779419970</v>
      </c>
      <c r="C280" s="3">
        <v>45759</v>
      </c>
      <c r="D280" s="1">
        <v>0</v>
      </c>
      <c r="E280" s="1">
        <v>-5471.08</v>
      </c>
      <c r="F280" t="s">
        <v>15</v>
      </c>
      <c r="G280" s="3">
        <v>46082</v>
      </c>
      <c r="H280" t="s">
        <v>11</v>
      </c>
      <c r="I280" s="2">
        <v>46023</v>
      </c>
      <c r="J280">
        <v>100</v>
      </c>
      <c r="K280" t="s">
        <v>47</v>
      </c>
      <c r="L280">
        <v>271</v>
      </c>
      <c r="M280" t="s">
        <v>13</v>
      </c>
    </row>
    <row r="281" spans="2:13" x14ac:dyDescent="0.35">
      <c r="B281" s="4">
        <v>256779416909</v>
      </c>
      <c r="C281" s="3">
        <v>45757</v>
      </c>
      <c r="D281" s="1">
        <v>0</v>
      </c>
      <c r="E281" s="1">
        <v>-1194.02</v>
      </c>
      <c r="F281" t="s">
        <v>15</v>
      </c>
      <c r="G281" s="3">
        <v>45727</v>
      </c>
      <c r="H281" t="s">
        <v>11</v>
      </c>
      <c r="I281" s="2">
        <v>45992</v>
      </c>
      <c r="J281">
        <v>84</v>
      </c>
      <c r="K281" t="s">
        <v>10</v>
      </c>
      <c r="L281">
        <v>271</v>
      </c>
      <c r="M281" t="s">
        <v>13</v>
      </c>
    </row>
    <row r="282" spans="2:13" x14ac:dyDescent="0.35">
      <c r="B282" s="4">
        <v>256779417134</v>
      </c>
      <c r="C282" s="3">
        <v>45756</v>
      </c>
      <c r="D282" s="1">
        <v>0</v>
      </c>
      <c r="E282" s="1">
        <v>-315.77</v>
      </c>
      <c r="F282" t="s">
        <v>15</v>
      </c>
      <c r="G282" s="3">
        <v>45757</v>
      </c>
      <c r="H282" t="s">
        <v>11</v>
      </c>
      <c r="I282" s="2">
        <v>45931</v>
      </c>
      <c r="J282">
        <v>54</v>
      </c>
      <c r="K282" t="s">
        <v>20</v>
      </c>
      <c r="L282">
        <v>271</v>
      </c>
      <c r="M282" t="s">
        <v>13</v>
      </c>
    </row>
    <row r="283" spans="2:13" x14ac:dyDescent="0.35">
      <c r="B283" s="4">
        <v>256779417200</v>
      </c>
      <c r="C283" s="3">
        <v>45756</v>
      </c>
      <c r="D283" s="1">
        <v>0</v>
      </c>
      <c r="E283" s="1">
        <v>-59.31</v>
      </c>
      <c r="F283" t="s">
        <v>15</v>
      </c>
      <c r="G283" s="3">
        <v>45757</v>
      </c>
      <c r="H283" t="s">
        <v>11</v>
      </c>
      <c r="I283" s="2">
        <v>45931</v>
      </c>
      <c r="J283">
        <v>56</v>
      </c>
      <c r="K283" t="s">
        <v>20</v>
      </c>
      <c r="L283">
        <v>271</v>
      </c>
      <c r="M283" t="s">
        <v>13</v>
      </c>
    </row>
    <row r="284" spans="2:13" x14ac:dyDescent="0.35">
      <c r="B284" s="4">
        <v>256779417238</v>
      </c>
      <c r="C284" s="3">
        <v>45756</v>
      </c>
      <c r="D284" s="1">
        <v>0</v>
      </c>
      <c r="E284" s="1">
        <v>-358.34</v>
      </c>
      <c r="F284" t="s">
        <v>15</v>
      </c>
      <c r="G284" s="3">
        <v>45757</v>
      </c>
      <c r="H284" t="s">
        <v>11</v>
      </c>
      <c r="I284" s="2">
        <v>45931</v>
      </c>
      <c r="J284">
        <v>58</v>
      </c>
      <c r="K284" t="s">
        <v>20</v>
      </c>
      <c r="L284">
        <v>271</v>
      </c>
      <c r="M284" t="s">
        <v>13</v>
      </c>
    </row>
    <row r="285" spans="2:13" x14ac:dyDescent="0.35">
      <c r="B285" s="4">
        <v>256779417137</v>
      </c>
      <c r="C285" s="3">
        <v>45756</v>
      </c>
      <c r="D285" s="1">
        <v>0</v>
      </c>
      <c r="E285" s="1">
        <v>-241.22</v>
      </c>
      <c r="F285" t="s">
        <v>15</v>
      </c>
      <c r="G285" s="3">
        <v>45757</v>
      </c>
      <c r="H285" t="s">
        <v>11</v>
      </c>
      <c r="I285" s="2">
        <v>45931</v>
      </c>
      <c r="J285">
        <v>62</v>
      </c>
      <c r="K285" t="s">
        <v>20</v>
      </c>
      <c r="L285">
        <v>271</v>
      </c>
      <c r="M285" t="s">
        <v>13</v>
      </c>
    </row>
    <row r="286" spans="2:13" x14ac:dyDescent="0.35">
      <c r="B286" s="4">
        <v>256779417349</v>
      </c>
      <c r="C286" s="3">
        <v>45756</v>
      </c>
      <c r="D286" s="1">
        <v>0</v>
      </c>
      <c r="E286" s="1">
        <v>-134.63</v>
      </c>
      <c r="F286" t="s">
        <v>15</v>
      </c>
      <c r="G286" s="3">
        <v>45757</v>
      </c>
      <c r="H286" t="s">
        <v>11</v>
      </c>
      <c r="I286" s="2">
        <v>45962</v>
      </c>
      <c r="J286">
        <v>42</v>
      </c>
      <c r="K286" t="s">
        <v>12</v>
      </c>
      <c r="L286">
        <v>271</v>
      </c>
      <c r="M286" t="s">
        <v>13</v>
      </c>
    </row>
    <row r="287" spans="2:13" x14ac:dyDescent="0.35">
      <c r="B287" s="4">
        <v>256779417350</v>
      </c>
      <c r="C287" s="3">
        <v>45756</v>
      </c>
      <c r="D287" s="1">
        <v>0</v>
      </c>
      <c r="E287" s="1">
        <v>-73.63</v>
      </c>
      <c r="F287" t="s">
        <v>15</v>
      </c>
      <c r="G287" s="3">
        <v>45757</v>
      </c>
      <c r="H287" t="s">
        <v>11</v>
      </c>
      <c r="I287" s="2">
        <v>45962</v>
      </c>
      <c r="J287">
        <v>44</v>
      </c>
      <c r="K287" t="s">
        <v>12</v>
      </c>
      <c r="L287">
        <v>271</v>
      </c>
      <c r="M287" t="s">
        <v>13</v>
      </c>
    </row>
    <row r="288" spans="2:13" x14ac:dyDescent="0.35">
      <c r="B288" s="4">
        <v>256779417348</v>
      </c>
      <c r="C288" s="3">
        <v>45756</v>
      </c>
      <c r="D288" s="1">
        <v>0</v>
      </c>
      <c r="E288" s="1">
        <v>-3365.85</v>
      </c>
      <c r="F288" t="s">
        <v>15</v>
      </c>
      <c r="G288" s="3">
        <v>45757</v>
      </c>
      <c r="H288" t="s">
        <v>11</v>
      </c>
      <c r="I288" s="2">
        <v>45962</v>
      </c>
      <c r="J288">
        <v>46</v>
      </c>
      <c r="K288" t="s">
        <v>12</v>
      </c>
      <c r="L288">
        <v>271</v>
      </c>
      <c r="M288" t="s">
        <v>13</v>
      </c>
    </row>
    <row r="289" spans="2:13" x14ac:dyDescent="0.35">
      <c r="B289" s="4">
        <v>256779417349</v>
      </c>
      <c r="C289" s="3">
        <v>45756</v>
      </c>
      <c r="D289" s="1">
        <v>0</v>
      </c>
      <c r="E289" s="1">
        <v>-65.92</v>
      </c>
      <c r="F289" t="s">
        <v>15</v>
      </c>
      <c r="G289" s="3">
        <v>45757</v>
      </c>
      <c r="H289" t="s">
        <v>11</v>
      </c>
      <c r="I289" s="2">
        <v>45992</v>
      </c>
      <c r="J289">
        <v>42</v>
      </c>
      <c r="K289" t="s">
        <v>10</v>
      </c>
      <c r="L289">
        <v>271</v>
      </c>
      <c r="M289" t="s">
        <v>13</v>
      </c>
    </row>
    <row r="290" spans="2:13" x14ac:dyDescent="0.35">
      <c r="B290" s="4">
        <v>256779417350</v>
      </c>
      <c r="C290" s="3">
        <v>45756</v>
      </c>
      <c r="D290" s="1">
        <v>0</v>
      </c>
      <c r="E290" s="1">
        <v>-36.07</v>
      </c>
      <c r="F290" t="s">
        <v>15</v>
      </c>
      <c r="G290" s="3">
        <v>45757</v>
      </c>
      <c r="H290" t="s">
        <v>11</v>
      </c>
      <c r="I290" s="2">
        <v>45992</v>
      </c>
      <c r="J290">
        <v>44</v>
      </c>
      <c r="K290" t="s">
        <v>10</v>
      </c>
      <c r="L290">
        <v>271</v>
      </c>
      <c r="M290" t="s">
        <v>13</v>
      </c>
    </row>
    <row r="291" spans="2:13" x14ac:dyDescent="0.35">
      <c r="B291" s="4">
        <v>256779417348</v>
      </c>
      <c r="C291" s="3">
        <v>45756</v>
      </c>
      <c r="D291" s="1">
        <v>0</v>
      </c>
      <c r="E291" s="1">
        <v>-1648.3</v>
      </c>
      <c r="F291" t="s">
        <v>15</v>
      </c>
      <c r="G291" s="3">
        <v>45757</v>
      </c>
      <c r="H291" t="s">
        <v>11</v>
      </c>
      <c r="I291" s="2">
        <v>45992</v>
      </c>
      <c r="J291">
        <v>46</v>
      </c>
      <c r="K291" t="s">
        <v>10</v>
      </c>
      <c r="L291">
        <v>271</v>
      </c>
      <c r="M291" t="s">
        <v>13</v>
      </c>
    </row>
    <row r="292" spans="2:13" x14ac:dyDescent="0.35">
      <c r="B292" s="4">
        <v>256779417350</v>
      </c>
      <c r="C292" s="3">
        <v>45756</v>
      </c>
      <c r="D292" s="1">
        <v>0</v>
      </c>
      <c r="E292" s="1">
        <v>-85.26</v>
      </c>
      <c r="F292" t="s">
        <v>15</v>
      </c>
      <c r="G292" s="3">
        <v>45757</v>
      </c>
      <c r="H292" t="s">
        <v>11</v>
      </c>
      <c r="I292" s="2">
        <v>46023</v>
      </c>
      <c r="J292">
        <v>42</v>
      </c>
      <c r="K292" t="s">
        <v>47</v>
      </c>
      <c r="L292">
        <v>271</v>
      </c>
      <c r="M292" t="s">
        <v>13</v>
      </c>
    </row>
    <row r="293" spans="2:13" x14ac:dyDescent="0.35">
      <c r="B293" s="4">
        <v>256779415209</v>
      </c>
      <c r="C293" s="3">
        <v>45754</v>
      </c>
      <c r="D293" s="1">
        <v>0</v>
      </c>
      <c r="E293" s="1">
        <v>-11.75</v>
      </c>
      <c r="F293" t="s">
        <v>15</v>
      </c>
      <c r="G293" s="3">
        <v>45724</v>
      </c>
      <c r="H293" t="s">
        <v>11</v>
      </c>
      <c r="I293" s="2">
        <v>45901</v>
      </c>
      <c r="J293">
        <v>16</v>
      </c>
      <c r="K293" t="s">
        <v>55</v>
      </c>
      <c r="L293">
        <v>271</v>
      </c>
      <c r="M293" t="s">
        <v>13</v>
      </c>
    </row>
    <row r="294" spans="2:13" x14ac:dyDescent="0.35">
      <c r="B294" s="4">
        <v>256779415270</v>
      </c>
      <c r="C294" s="3">
        <v>45754</v>
      </c>
      <c r="D294" s="1">
        <v>0</v>
      </c>
      <c r="E294" s="1">
        <v>-78.16</v>
      </c>
      <c r="F294" t="s">
        <v>15</v>
      </c>
      <c r="G294" s="3">
        <v>45724</v>
      </c>
      <c r="H294" t="s">
        <v>11</v>
      </c>
      <c r="I294" s="2">
        <v>45901</v>
      </c>
      <c r="J294">
        <v>26</v>
      </c>
      <c r="K294" t="s">
        <v>55</v>
      </c>
      <c r="L294">
        <v>271</v>
      </c>
      <c r="M294" t="s">
        <v>13</v>
      </c>
    </row>
    <row r="295" spans="2:13" x14ac:dyDescent="0.35">
      <c r="B295" s="4">
        <v>256779415208</v>
      </c>
      <c r="C295" s="3">
        <v>45754</v>
      </c>
      <c r="D295" s="1">
        <v>0</v>
      </c>
      <c r="E295" s="1">
        <v>-34.06</v>
      </c>
      <c r="F295" t="s">
        <v>15</v>
      </c>
      <c r="G295" s="3">
        <v>45724</v>
      </c>
      <c r="H295" t="s">
        <v>11</v>
      </c>
      <c r="I295" s="2">
        <v>45901</v>
      </c>
      <c r="J295">
        <v>104</v>
      </c>
      <c r="K295" t="s">
        <v>55</v>
      </c>
      <c r="L295">
        <v>271</v>
      </c>
      <c r="M295" t="s">
        <v>13</v>
      </c>
    </row>
    <row r="296" spans="2:13" x14ac:dyDescent="0.35">
      <c r="B296" s="4">
        <v>256779415210</v>
      </c>
      <c r="C296" s="3">
        <v>45754</v>
      </c>
      <c r="D296" s="1">
        <v>0</v>
      </c>
      <c r="E296" s="1">
        <v>-1788.28</v>
      </c>
      <c r="F296" t="s">
        <v>15</v>
      </c>
      <c r="G296" s="3">
        <v>45724</v>
      </c>
      <c r="H296" t="s">
        <v>11</v>
      </c>
      <c r="I296" s="2">
        <v>45901</v>
      </c>
      <c r="J296">
        <v>112</v>
      </c>
      <c r="K296" t="s">
        <v>55</v>
      </c>
      <c r="L296">
        <v>271</v>
      </c>
      <c r="M296" t="s">
        <v>13</v>
      </c>
    </row>
    <row r="297" spans="2:13" x14ac:dyDescent="0.35">
      <c r="B297" s="4">
        <v>256779415012</v>
      </c>
      <c r="C297" s="3">
        <v>45754</v>
      </c>
      <c r="D297" s="1">
        <v>0</v>
      </c>
      <c r="E297" s="1">
        <v>-408.07</v>
      </c>
      <c r="F297" t="s">
        <v>15</v>
      </c>
      <c r="G297" s="3">
        <v>45724</v>
      </c>
      <c r="H297" t="s">
        <v>11</v>
      </c>
      <c r="I297" s="2">
        <v>45931</v>
      </c>
      <c r="J297">
        <v>60</v>
      </c>
      <c r="K297" t="s">
        <v>20</v>
      </c>
      <c r="L297">
        <v>271</v>
      </c>
      <c r="M297" t="s">
        <v>13</v>
      </c>
    </row>
    <row r="298" spans="2:13" x14ac:dyDescent="0.35">
      <c r="B298" s="4">
        <v>256779415261</v>
      </c>
      <c r="C298" s="3">
        <v>45754</v>
      </c>
      <c r="D298" s="1">
        <v>0</v>
      </c>
      <c r="E298" s="1">
        <v>-648.16999999999996</v>
      </c>
      <c r="F298" t="s">
        <v>15</v>
      </c>
      <c r="G298" s="3">
        <v>45724</v>
      </c>
      <c r="H298" t="s">
        <v>11</v>
      </c>
      <c r="I298" s="2">
        <v>45931</v>
      </c>
      <c r="J298">
        <v>78</v>
      </c>
      <c r="K298" t="s">
        <v>20</v>
      </c>
      <c r="L298">
        <v>271</v>
      </c>
      <c r="M298" t="s">
        <v>13</v>
      </c>
    </row>
    <row r="299" spans="2:13" x14ac:dyDescent="0.35">
      <c r="B299" s="4">
        <v>256779415012</v>
      </c>
      <c r="C299" s="3">
        <v>45754</v>
      </c>
      <c r="D299" s="1">
        <v>0</v>
      </c>
      <c r="E299" s="1">
        <v>-162.69</v>
      </c>
      <c r="F299" t="s">
        <v>15</v>
      </c>
      <c r="G299" s="3">
        <v>45724</v>
      </c>
      <c r="H299" t="s">
        <v>11</v>
      </c>
      <c r="I299" s="2">
        <v>45962</v>
      </c>
      <c r="J299">
        <v>28</v>
      </c>
      <c r="K299" t="s">
        <v>12</v>
      </c>
      <c r="L299">
        <v>271</v>
      </c>
      <c r="M299" t="s">
        <v>13</v>
      </c>
    </row>
    <row r="300" spans="2:13" x14ac:dyDescent="0.35">
      <c r="B300" s="4">
        <v>256779415261</v>
      </c>
      <c r="C300" s="3">
        <v>45754</v>
      </c>
      <c r="D300" s="1">
        <v>0</v>
      </c>
      <c r="E300" s="1">
        <v>-258.39999999999998</v>
      </c>
      <c r="F300" t="s">
        <v>15</v>
      </c>
      <c r="G300" s="3">
        <v>45724</v>
      </c>
      <c r="H300" t="s">
        <v>11</v>
      </c>
      <c r="I300" s="2">
        <v>45962</v>
      </c>
      <c r="J300">
        <v>30</v>
      </c>
      <c r="K300" t="s">
        <v>12</v>
      </c>
      <c r="L300">
        <v>271</v>
      </c>
      <c r="M300" t="s">
        <v>13</v>
      </c>
    </row>
    <row r="301" spans="2:13" x14ac:dyDescent="0.35">
      <c r="B301" s="4">
        <v>256779415012</v>
      </c>
      <c r="C301" s="3">
        <v>45754</v>
      </c>
      <c r="D301" s="1">
        <v>0</v>
      </c>
      <c r="E301" s="1">
        <v>-132.71</v>
      </c>
      <c r="F301" t="s">
        <v>15</v>
      </c>
      <c r="G301" s="3">
        <v>45724</v>
      </c>
      <c r="H301" t="s">
        <v>11</v>
      </c>
      <c r="I301" s="2">
        <v>45992</v>
      </c>
      <c r="J301">
        <v>28</v>
      </c>
      <c r="K301" t="s">
        <v>10</v>
      </c>
      <c r="L301">
        <v>271</v>
      </c>
      <c r="M301" t="s">
        <v>13</v>
      </c>
    </row>
    <row r="302" spans="2:13" x14ac:dyDescent="0.35">
      <c r="B302" s="4">
        <v>256779415261</v>
      </c>
      <c r="C302" s="3">
        <v>45754</v>
      </c>
      <c r="D302" s="1">
        <v>0</v>
      </c>
      <c r="E302" s="1">
        <v>-210.79</v>
      </c>
      <c r="F302" t="s">
        <v>15</v>
      </c>
      <c r="G302" s="3">
        <v>45724</v>
      </c>
      <c r="H302" t="s">
        <v>11</v>
      </c>
      <c r="I302" s="2">
        <v>45992</v>
      </c>
      <c r="J302">
        <v>30</v>
      </c>
      <c r="K302" t="s">
        <v>10</v>
      </c>
      <c r="L302">
        <v>271</v>
      </c>
      <c r="M302" t="s">
        <v>13</v>
      </c>
    </row>
    <row r="303" spans="2:13" x14ac:dyDescent="0.35">
      <c r="B303" s="4">
        <v>256779415012</v>
      </c>
      <c r="C303" s="3">
        <v>45754</v>
      </c>
      <c r="D303" s="1">
        <v>0</v>
      </c>
      <c r="E303" s="1">
        <v>-313.75</v>
      </c>
      <c r="F303" t="s">
        <v>15</v>
      </c>
      <c r="G303" s="3">
        <v>45724</v>
      </c>
      <c r="H303" t="s">
        <v>11</v>
      </c>
      <c r="I303" s="2">
        <v>46023</v>
      </c>
      <c r="J303">
        <v>28</v>
      </c>
      <c r="K303" t="s">
        <v>47</v>
      </c>
      <c r="L303">
        <v>271</v>
      </c>
      <c r="M303" t="s">
        <v>13</v>
      </c>
    </row>
    <row r="304" spans="2:13" x14ac:dyDescent="0.35">
      <c r="B304" s="4">
        <v>256779415261</v>
      </c>
      <c r="C304" s="3">
        <v>45754</v>
      </c>
      <c r="D304" s="1">
        <v>0</v>
      </c>
      <c r="E304" s="1">
        <v>-498.35</v>
      </c>
      <c r="F304" t="s">
        <v>15</v>
      </c>
      <c r="G304" s="3">
        <v>45724</v>
      </c>
      <c r="H304" t="s">
        <v>11</v>
      </c>
      <c r="I304" s="2">
        <v>46023</v>
      </c>
      <c r="J304">
        <v>30</v>
      </c>
      <c r="K304" t="s">
        <v>47</v>
      </c>
      <c r="L304">
        <v>271</v>
      </c>
      <c r="M304" t="s">
        <v>13</v>
      </c>
    </row>
    <row r="305" spans="2:13" x14ac:dyDescent="0.35">
      <c r="B305" s="4">
        <v>256779414918</v>
      </c>
      <c r="C305" s="3">
        <v>45754</v>
      </c>
      <c r="D305" s="1">
        <v>0</v>
      </c>
      <c r="E305" s="1">
        <v>-282.85000000000002</v>
      </c>
      <c r="F305" t="s">
        <v>15</v>
      </c>
      <c r="G305" s="3">
        <v>45724</v>
      </c>
      <c r="H305" t="s">
        <v>11</v>
      </c>
      <c r="I305" s="2">
        <v>46023</v>
      </c>
      <c r="J305">
        <v>62</v>
      </c>
      <c r="K305" t="s">
        <v>47</v>
      </c>
      <c r="L305">
        <v>271</v>
      </c>
      <c r="M305" t="s">
        <v>13</v>
      </c>
    </row>
    <row r="306" spans="2:13" x14ac:dyDescent="0.35">
      <c r="B306" s="4">
        <v>256779414917</v>
      </c>
      <c r="C306" s="3">
        <v>45754</v>
      </c>
      <c r="D306" s="1">
        <v>0</v>
      </c>
      <c r="E306" s="1">
        <v>-514.26</v>
      </c>
      <c r="F306" t="s">
        <v>15</v>
      </c>
      <c r="G306" s="3">
        <v>45724</v>
      </c>
      <c r="H306" t="s">
        <v>11</v>
      </c>
      <c r="I306" s="2">
        <v>46023</v>
      </c>
      <c r="J306">
        <v>64</v>
      </c>
      <c r="K306" t="s">
        <v>47</v>
      </c>
      <c r="L306">
        <v>271</v>
      </c>
      <c r="M306" t="s">
        <v>13</v>
      </c>
    </row>
    <row r="307" spans="2:13" x14ac:dyDescent="0.35">
      <c r="B307" s="4">
        <v>256779414916</v>
      </c>
      <c r="C307" s="3">
        <v>45754</v>
      </c>
      <c r="D307" s="1">
        <v>0</v>
      </c>
      <c r="E307" s="1">
        <v>-12856.62</v>
      </c>
      <c r="F307" t="s">
        <v>15</v>
      </c>
      <c r="G307" s="3">
        <v>45724</v>
      </c>
      <c r="H307" t="s">
        <v>11</v>
      </c>
      <c r="I307" s="2">
        <v>46023</v>
      </c>
      <c r="J307">
        <v>68</v>
      </c>
      <c r="K307" t="s">
        <v>47</v>
      </c>
      <c r="L307">
        <v>271</v>
      </c>
      <c r="M307" t="s">
        <v>13</v>
      </c>
    </row>
    <row r="308" spans="2:13" x14ac:dyDescent="0.35">
      <c r="B308" s="4">
        <v>256779410801</v>
      </c>
      <c r="C308" s="3">
        <v>45751</v>
      </c>
      <c r="D308" s="1">
        <v>0</v>
      </c>
      <c r="E308" s="1">
        <v>-728</v>
      </c>
      <c r="F308" t="s">
        <v>15</v>
      </c>
      <c r="G308" s="3">
        <v>45752</v>
      </c>
      <c r="H308" t="s">
        <v>11</v>
      </c>
      <c r="I308" s="2">
        <v>45809</v>
      </c>
      <c r="J308">
        <v>12</v>
      </c>
      <c r="K308" t="s">
        <v>27</v>
      </c>
      <c r="L308">
        <v>271</v>
      </c>
      <c r="M308" t="s">
        <v>13</v>
      </c>
    </row>
    <row r="309" spans="2:13" x14ac:dyDescent="0.35">
      <c r="B309" s="4">
        <v>246779410743</v>
      </c>
      <c r="C309" s="3">
        <v>45750</v>
      </c>
      <c r="D309" s="1">
        <v>0</v>
      </c>
      <c r="E309" s="1">
        <v>3.1</v>
      </c>
      <c r="F309" t="s">
        <v>15</v>
      </c>
      <c r="G309" s="3">
        <v>45720</v>
      </c>
      <c r="H309" t="s">
        <v>11</v>
      </c>
      <c r="I309" s="2">
        <v>45809</v>
      </c>
      <c r="J309">
        <v>90</v>
      </c>
      <c r="K309" t="s">
        <v>27</v>
      </c>
      <c r="L309">
        <v>271</v>
      </c>
      <c r="M309" t="s">
        <v>13</v>
      </c>
    </row>
    <row r="310" spans="2:13" x14ac:dyDescent="0.35">
      <c r="B310" s="4">
        <v>246779410665</v>
      </c>
      <c r="C310" s="3">
        <v>45750</v>
      </c>
      <c r="D310" s="1">
        <v>0</v>
      </c>
      <c r="E310" s="1">
        <v>-9.8800000000000008</v>
      </c>
      <c r="F310" t="s">
        <v>15</v>
      </c>
      <c r="G310" s="3">
        <v>45720</v>
      </c>
      <c r="H310" t="s">
        <v>11</v>
      </c>
      <c r="I310" s="2">
        <v>45992</v>
      </c>
      <c r="J310">
        <v>82</v>
      </c>
      <c r="K310" t="s">
        <v>10</v>
      </c>
      <c r="L310">
        <v>271</v>
      </c>
      <c r="M310" t="s">
        <v>13</v>
      </c>
    </row>
    <row r="311" spans="2:13" x14ac:dyDescent="0.35">
      <c r="B311" s="4">
        <v>246779410665</v>
      </c>
      <c r="C311" s="3">
        <v>45750</v>
      </c>
      <c r="D311" s="1">
        <v>0</v>
      </c>
      <c r="E311" s="1">
        <v>-6.04</v>
      </c>
      <c r="F311" t="s">
        <v>15</v>
      </c>
      <c r="G311" s="3">
        <v>45720</v>
      </c>
      <c r="H311" t="s">
        <v>11</v>
      </c>
      <c r="I311" s="2">
        <v>46023</v>
      </c>
      <c r="J311">
        <v>52</v>
      </c>
      <c r="K311" t="s">
        <v>47</v>
      </c>
      <c r="L311">
        <v>271</v>
      </c>
      <c r="M311" t="s">
        <v>13</v>
      </c>
    </row>
    <row r="312" spans="2:13" x14ac:dyDescent="0.35">
      <c r="B312" s="4">
        <v>256779419122</v>
      </c>
      <c r="C312" s="3">
        <v>45727</v>
      </c>
      <c r="D312" s="1">
        <v>0</v>
      </c>
      <c r="E312" s="1">
        <v>-808.94</v>
      </c>
      <c r="F312" t="s">
        <v>15</v>
      </c>
      <c r="G312" s="3">
        <v>45728</v>
      </c>
      <c r="H312" t="s">
        <v>11</v>
      </c>
      <c r="I312" s="2">
        <v>45992</v>
      </c>
      <c r="J312">
        <v>76</v>
      </c>
      <c r="K312" t="s">
        <v>10</v>
      </c>
      <c r="L312">
        <v>271</v>
      </c>
      <c r="M312" t="s">
        <v>13</v>
      </c>
    </row>
    <row r="313" spans="2:13" x14ac:dyDescent="0.35">
      <c r="B313" s="4">
        <v>256779410196</v>
      </c>
      <c r="C313" s="3">
        <v>45720</v>
      </c>
      <c r="D313" s="1">
        <v>0</v>
      </c>
      <c r="E313" s="1">
        <v>-63.43</v>
      </c>
      <c r="F313" t="s">
        <v>15</v>
      </c>
      <c r="G313" s="3">
        <v>45721</v>
      </c>
      <c r="H313" t="s">
        <v>11</v>
      </c>
      <c r="I313" s="2">
        <v>45809</v>
      </c>
      <c r="J313">
        <v>34</v>
      </c>
      <c r="K313" t="s">
        <v>27</v>
      </c>
      <c r="L313">
        <v>271</v>
      </c>
      <c r="M313" t="s">
        <v>13</v>
      </c>
    </row>
    <row r="314" spans="2:13" x14ac:dyDescent="0.35">
      <c r="B314" s="4">
        <v>256779410303</v>
      </c>
      <c r="C314" s="3">
        <v>45720</v>
      </c>
      <c r="D314" s="1">
        <v>0</v>
      </c>
      <c r="E314" s="1">
        <v>-23.53</v>
      </c>
      <c r="F314" t="s">
        <v>15</v>
      </c>
      <c r="G314" s="3">
        <v>45721</v>
      </c>
      <c r="H314" t="s">
        <v>11</v>
      </c>
      <c r="I314" s="2">
        <v>45809</v>
      </c>
      <c r="J314">
        <v>40</v>
      </c>
      <c r="K314" t="s">
        <v>27</v>
      </c>
      <c r="L314">
        <v>271</v>
      </c>
      <c r="M314" t="s">
        <v>13</v>
      </c>
    </row>
    <row r="315" spans="2:13" x14ac:dyDescent="0.35">
      <c r="B315" s="4">
        <v>256779410304</v>
      </c>
      <c r="C315" s="3">
        <v>45720</v>
      </c>
      <c r="D315" s="1">
        <v>0</v>
      </c>
      <c r="E315" s="1">
        <v>-12.93</v>
      </c>
      <c r="F315" t="s">
        <v>15</v>
      </c>
      <c r="G315" s="3">
        <v>45721</v>
      </c>
      <c r="H315" t="s">
        <v>11</v>
      </c>
      <c r="I315" s="2">
        <v>45809</v>
      </c>
      <c r="J315">
        <v>60</v>
      </c>
      <c r="K315" t="s">
        <v>27</v>
      </c>
      <c r="L315">
        <v>271</v>
      </c>
      <c r="M315" t="s">
        <v>13</v>
      </c>
    </row>
    <row r="316" spans="2:13" x14ac:dyDescent="0.35">
      <c r="B316" s="4">
        <v>256779413931</v>
      </c>
      <c r="C316" s="3">
        <v>45694</v>
      </c>
      <c r="D316" s="1">
        <v>0</v>
      </c>
      <c r="E316" s="1">
        <v>-1584.45</v>
      </c>
      <c r="F316" t="s">
        <v>15</v>
      </c>
      <c r="G316" s="3">
        <v>45695</v>
      </c>
      <c r="H316" t="s">
        <v>11</v>
      </c>
      <c r="I316" s="2">
        <v>45962</v>
      </c>
      <c r="J316">
        <v>62</v>
      </c>
      <c r="K316" t="s">
        <v>12</v>
      </c>
      <c r="L316">
        <v>271</v>
      </c>
      <c r="M316" t="s">
        <v>13</v>
      </c>
    </row>
    <row r="317" spans="2:13" x14ac:dyDescent="0.35">
      <c r="B317" s="4">
        <v>256779416028</v>
      </c>
      <c r="C317" s="3">
        <v>45665</v>
      </c>
      <c r="D317" s="1">
        <v>0</v>
      </c>
      <c r="E317" s="1">
        <v>-7426.8</v>
      </c>
      <c r="F317" t="s">
        <v>15</v>
      </c>
      <c r="G317" t="s">
        <v>446</v>
      </c>
      <c r="H317" t="s">
        <v>11</v>
      </c>
      <c r="I317" s="2">
        <v>45992</v>
      </c>
      <c r="J317">
        <v>54</v>
      </c>
      <c r="K317" t="s">
        <v>10</v>
      </c>
      <c r="L317">
        <v>271</v>
      </c>
      <c r="M317" t="s">
        <v>13</v>
      </c>
    </row>
    <row r="318" spans="2:13" x14ac:dyDescent="0.35">
      <c r="B318" s="4">
        <v>256779416029</v>
      </c>
      <c r="C318" s="3">
        <v>45665</v>
      </c>
      <c r="D318" s="1">
        <v>0</v>
      </c>
      <c r="E318" s="1">
        <v>-297.06</v>
      </c>
      <c r="F318" t="s">
        <v>15</v>
      </c>
      <c r="G318" t="s">
        <v>446</v>
      </c>
      <c r="H318" t="s">
        <v>11</v>
      </c>
      <c r="I318" s="2">
        <v>45992</v>
      </c>
      <c r="J318">
        <v>56</v>
      </c>
      <c r="K318" t="s">
        <v>10</v>
      </c>
      <c r="L318">
        <v>271</v>
      </c>
      <c r="M318" t="s">
        <v>13</v>
      </c>
    </row>
    <row r="319" spans="2:13" x14ac:dyDescent="0.35">
      <c r="B319" s="4">
        <v>256779416030</v>
      </c>
      <c r="C319" s="3">
        <v>45665</v>
      </c>
      <c r="D319" s="1">
        <v>0</v>
      </c>
      <c r="E319" s="1">
        <v>-163.38</v>
      </c>
      <c r="F319" t="s">
        <v>15</v>
      </c>
      <c r="G319" t="s">
        <v>446</v>
      </c>
      <c r="H319" t="s">
        <v>11</v>
      </c>
      <c r="I319" s="2">
        <v>45992</v>
      </c>
      <c r="J319">
        <v>58</v>
      </c>
      <c r="K319" t="s">
        <v>10</v>
      </c>
      <c r="L319">
        <v>271</v>
      </c>
      <c r="M319" t="s">
        <v>13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000E6C-2D39-4BFA-BD43-7B1FD248EB5C}">
  <dimension ref="A3:I32"/>
  <sheetViews>
    <sheetView topLeftCell="A3" workbookViewId="0">
      <selection activeCell="C16" sqref="C16:I16"/>
      <pivotSelection pane="bottomRight" showHeader="1" extendable="1" axis="axisRow" dimension="2" start="11" min="11" max="12" activeRow="15" activeCol="2" previousRow="15" previousCol="2" click="1" r:id="rId1">
        <pivotArea dataOnly="0" outline="0" fieldPosition="0">
          <references count="1">
            <reference field="4" count="1">
              <x v="1"/>
            </reference>
          </references>
        </pivotArea>
      </pivotSelection>
    </sheetView>
  </sheetViews>
  <sheetFormatPr defaultRowHeight="14.5" x14ac:dyDescent="0.35"/>
  <cols>
    <col min="1" max="1" width="33.1796875" bestFit="1" customWidth="1"/>
    <col min="2" max="2" width="10.54296875" bestFit="1" customWidth="1"/>
    <col min="3" max="4" width="16.36328125" bestFit="1" customWidth="1"/>
    <col min="5" max="5" width="11.453125" bestFit="1" customWidth="1"/>
    <col min="6" max="6" width="10.81640625" bestFit="1" customWidth="1"/>
    <col min="7" max="7" width="7.81640625" bestFit="1" customWidth="1"/>
    <col min="8" max="8" width="11.453125" bestFit="1" customWidth="1"/>
    <col min="9" max="9" width="3" bestFit="1" customWidth="1"/>
  </cols>
  <sheetData>
    <row r="3" spans="1:9" x14ac:dyDescent="0.35">
      <c r="A3" s="5" t="s">
        <v>884</v>
      </c>
      <c r="D3" s="5" t="s">
        <v>502</v>
      </c>
    </row>
    <row r="4" spans="1:9" x14ac:dyDescent="0.35">
      <c r="A4" s="5" t="s">
        <v>494</v>
      </c>
      <c r="B4" s="5" t="s">
        <v>495</v>
      </c>
      <c r="C4" s="5" t="s">
        <v>503</v>
      </c>
      <c r="D4" t="s">
        <v>856</v>
      </c>
      <c r="E4" t="s">
        <v>512</v>
      </c>
      <c r="F4" t="s">
        <v>515</v>
      </c>
      <c r="G4" t="s">
        <v>858</v>
      </c>
      <c r="H4" t="s">
        <v>713</v>
      </c>
      <c r="I4" t="s">
        <v>859</v>
      </c>
    </row>
    <row r="5" spans="1:9" x14ac:dyDescent="0.35">
      <c r="A5" t="s">
        <v>487</v>
      </c>
      <c r="B5" t="s">
        <v>488</v>
      </c>
      <c r="C5" s="3" t="s">
        <v>458</v>
      </c>
      <c r="D5" s="6"/>
      <c r="E5" s="6"/>
      <c r="F5" s="6">
        <v>1514515.3300000003</v>
      </c>
      <c r="G5" s="6"/>
      <c r="H5" s="6"/>
      <c r="I5" s="6">
        <v>0</v>
      </c>
    </row>
    <row r="6" spans="1:9" x14ac:dyDescent="0.35">
      <c r="C6" s="3" t="s">
        <v>459</v>
      </c>
      <c r="D6" s="6"/>
      <c r="E6" s="6"/>
      <c r="F6" s="6">
        <v>1933380.6299999983</v>
      </c>
      <c r="G6" s="6"/>
      <c r="H6" s="6"/>
      <c r="I6" s="6"/>
    </row>
    <row r="7" spans="1:9" x14ac:dyDescent="0.35">
      <c r="B7" t="s">
        <v>489</v>
      </c>
      <c r="C7" s="3" t="s">
        <v>460</v>
      </c>
      <c r="D7" s="6">
        <v>0</v>
      </c>
      <c r="E7" s="6"/>
      <c r="F7" s="6">
        <v>2087965.7099999997</v>
      </c>
      <c r="G7" s="6"/>
      <c r="H7" s="6"/>
      <c r="I7" s="6"/>
    </row>
    <row r="8" spans="1:9" x14ac:dyDescent="0.35">
      <c r="C8" s="3" t="s">
        <v>461</v>
      </c>
      <c r="D8" s="6"/>
      <c r="E8" s="6">
        <v>-595574.40999999992</v>
      </c>
      <c r="F8" s="6">
        <v>1044919.9400000001</v>
      </c>
      <c r="G8" s="6"/>
      <c r="H8" s="6"/>
      <c r="I8" s="6"/>
    </row>
    <row r="9" spans="1:9" x14ac:dyDescent="0.35">
      <c r="C9" s="3" t="s">
        <v>462</v>
      </c>
      <c r="D9" s="6"/>
      <c r="E9" s="6"/>
      <c r="F9" s="6">
        <v>1761603.83</v>
      </c>
      <c r="G9" s="6"/>
      <c r="H9" s="6"/>
      <c r="I9" s="6"/>
    </row>
    <row r="10" spans="1:9" x14ac:dyDescent="0.35">
      <c r="B10" t="s">
        <v>490</v>
      </c>
      <c r="C10" s="3" t="s">
        <v>463</v>
      </c>
      <c r="D10" s="6"/>
      <c r="E10" s="6">
        <v>-1464659.3399999992</v>
      </c>
      <c r="F10" s="6">
        <v>2492881.4999999967</v>
      </c>
      <c r="G10" s="6"/>
      <c r="H10" s="6">
        <v>0</v>
      </c>
      <c r="I10" s="6"/>
    </row>
    <row r="11" spans="1:9" x14ac:dyDescent="0.35">
      <c r="C11" s="3" t="s">
        <v>464</v>
      </c>
      <c r="D11" s="6"/>
      <c r="E11" s="6">
        <v>-170239.97000000003</v>
      </c>
      <c r="F11" s="6">
        <v>1305423.0200000003</v>
      </c>
      <c r="G11" s="6"/>
      <c r="H11" s="6"/>
      <c r="I11" s="6"/>
    </row>
    <row r="12" spans="1:9" x14ac:dyDescent="0.35">
      <c r="C12" s="3" t="s">
        <v>465</v>
      </c>
      <c r="D12" s="6"/>
      <c r="E12" s="6"/>
      <c r="F12" s="6">
        <v>1564779.07</v>
      </c>
      <c r="G12" s="6">
        <v>1238.2200000000012</v>
      </c>
      <c r="H12" s="6"/>
      <c r="I12" s="6"/>
    </row>
    <row r="13" spans="1:9" x14ac:dyDescent="0.35">
      <c r="B13" t="s">
        <v>491</v>
      </c>
      <c r="C13" s="3" t="s">
        <v>466</v>
      </c>
      <c r="D13" s="6"/>
      <c r="E13" s="6">
        <v>-8361.3700000000008</v>
      </c>
      <c r="F13" s="6">
        <v>1113806.7000000002</v>
      </c>
      <c r="G13" s="6"/>
      <c r="H13" s="6">
        <v>-5850755.0899999999</v>
      </c>
      <c r="I13" s="6"/>
    </row>
    <row r="14" spans="1:9" x14ac:dyDescent="0.35">
      <c r="C14" s="3" t="s">
        <v>467</v>
      </c>
      <c r="D14" s="6"/>
      <c r="E14" s="6">
        <v>-405590.02</v>
      </c>
      <c r="F14" s="6">
        <v>1574052.6999999997</v>
      </c>
      <c r="G14" s="6"/>
      <c r="H14" s="6">
        <v>-1920293.1</v>
      </c>
      <c r="I14" s="6"/>
    </row>
    <row r="15" spans="1:9" x14ac:dyDescent="0.35">
      <c r="C15" s="3" t="s">
        <v>492</v>
      </c>
      <c r="D15" s="6"/>
      <c r="E15" s="6"/>
      <c r="F15" s="6">
        <v>282835.01</v>
      </c>
      <c r="G15" s="6"/>
      <c r="H15" s="6"/>
      <c r="I15" s="6"/>
    </row>
    <row r="16" spans="1:9" x14ac:dyDescent="0.35">
      <c r="A16" t="s">
        <v>493</v>
      </c>
      <c r="B16" t="s">
        <v>488</v>
      </c>
      <c r="C16" s="3" t="s">
        <v>457</v>
      </c>
      <c r="D16" s="6"/>
      <c r="E16" s="6">
        <v>-52265.329999999994</v>
      </c>
      <c r="F16" s="6">
        <v>831546.81000000017</v>
      </c>
      <c r="G16" s="6"/>
      <c r="H16" s="6">
        <v>-719881.09</v>
      </c>
      <c r="I16" s="6"/>
    </row>
    <row r="17" spans="5:8" x14ac:dyDescent="0.35">
      <c r="E17" s="7"/>
      <c r="F17" s="7"/>
      <c r="H17" s="7"/>
    </row>
    <row r="32" spans="5:8" x14ac:dyDescent="0.35">
      <c r="E32" s="7"/>
      <c r="F32" s="7"/>
      <c r="H32" s="7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8B1B64-4E73-48BC-97C6-484D59516472}">
  <dimension ref="A1"/>
  <sheetViews>
    <sheetView topLeftCell="A67" workbookViewId="0">
      <selection sqref="A1:A67"/>
    </sheetView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Ascendus DATA</vt:lpstr>
      <vt:lpstr>Summary </vt:lpstr>
      <vt:lpstr>Biling Reco</vt:lpstr>
      <vt:lpstr>Payment Reco</vt:lpstr>
      <vt:lpstr>Pivot data</vt:lpstr>
      <vt:lpstr>Invoices not in customer's Book</vt:lpstr>
      <vt:lpstr>CN Not in Customer's Books</vt:lpstr>
      <vt:lpstr>Foreign Exchange difference</vt:lpstr>
      <vt:lpstr>Ascendus</vt:lpstr>
      <vt:lpstr>Sheet12</vt:lpstr>
      <vt:lpstr>Sheet4</vt:lpstr>
      <vt:lpstr>CUSTOMER DATA</vt:lpstr>
      <vt:lpstr>Customer TDS</vt:lpstr>
      <vt:lpstr>Customer P matching</vt:lpstr>
      <vt:lpstr>Pivot</vt:lpstr>
      <vt:lpstr>26AS Reco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Neuroy Gonsalves</dc:creator>
  <cp:lastModifiedBy>Neuroy Gonsalves</cp:lastModifiedBy>
  <dcterms:created xsi:type="dcterms:W3CDTF">2026-02-05T09:42:39Z</dcterms:created>
  <dcterms:modified xsi:type="dcterms:W3CDTF">2026-04-06T10:15:37Z</dcterms:modified>
</cp:coreProperties>
</file>