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4. ASHLAND SINGAPORE PTE.LTD\"/>
    </mc:Choice>
  </mc:AlternateContent>
  <xr:revisionPtr revIDLastSave="0" documentId="13_ncr:1_{5ADD4ED3-008F-4F61-ACFF-93CA4173A449}" xr6:coauthVersionLast="47" xr6:coauthVersionMax="47" xr10:uidLastSave="{00000000-0000-0000-0000-000000000000}"/>
  <bookViews>
    <workbookView xWindow="-110" yWindow="-110" windowWidth="21820" windowHeight="14020" activeTab="1" xr2:uid="{3B02B1CC-5E66-4BDE-8225-7ED53ED5BBF8}"/>
  </bookViews>
  <sheets>
    <sheet name="Sheet4" sheetId="10" r:id="rId1"/>
    <sheet name="Invoice &amp; CN Not in Customer" sheetId="9" r:id="rId2"/>
    <sheet name="Ascendus Data" sheetId="2" r:id="rId3"/>
    <sheet name="Customer Data" sheetId="1" r:id="rId4"/>
    <sheet name="Summary" sheetId="8" r:id="rId5"/>
  </sheets>
  <definedNames>
    <definedName name="_xlnm._FilterDatabase" localSheetId="2" hidden="1">'Ascendus Data'!$A$1:$N$173</definedName>
    <definedName name="_xlnm._FilterDatabase" localSheetId="3" hidden="1">'Customer Data'!$A$1:$F$1</definedName>
    <definedName name="_xlnm._FilterDatabase" localSheetId="1" hidden="1">'Invoice &amp; CN Not in Customer'!$A$1:$I$101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2" i="9" l="1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38" i="1"/>
  <c r="C38" i="1"/>
  <c r="B9" i="8"/>
  <c r="B11" i="8" l="1"/>
  <c r="K164" i="2" l="1"/>
  <c r="L164" i="2" s="1"/>
  <c r="K162" i="2"/>
  <c r="L162" i="2" s="1"/>
  <c r="K146" i="2"/>
  <c r="L146" i="2" s="1"/>
  <c r="K145" i="2"/>
  <c r="L145" i="2" s="1"/>
  <c r="K86" i="2"/>
  <c r="L86" i="2" s="1"/>
  <c r="K85" i="2"/>
  <c r="L85" i="2" s="1"/>
  <c r="K84" i="2"/>
  <c r="L84" i="2" s="1"/>
  <c r="K83" i="2"/>
  <c r="L83" i="2" s="1"/>
  <c r="K82" i="2"/>
  <c r="L82" i="2" s="1"/>
  <c r="K77" i="2"/>
  <c r="L77" i="2" s="1"/>
  <c r="K76" i="2"/>
  <c r="L76" i="2" s="1"/>
  <c r="K75" i="2"/>
  <c r="L75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59" i="2" l="1"/>
  <c r="L59" i="2" s="1"/>
</calcChain>
</file>

<file path=xl/sharedStrings.xml><?xml version="1.0" encoding="utf-8"?>
<sst xmlns="http://schemas.openxmlformats.org/spreadsheetml/2006/main" count="1398" uniqueCount="143">
  <si>
    <t xml:space="preserve">Invoice Number </t>
  </si>
  <si>
    <t>Invoice date</t>
  </si>
  <si>
    <t>Invoice amount</t>
  </si>
  <si>
    <t>Paid amount</t>
  </si>
  <si>
    <t>Payment date</t>
  </si>
  <si>
    <t>Payment reference</t>
  </si>
  <si>
    <t>6779IV124000228</t>
  </si>
  <si>
    <t>6779IV124000226</t>
  </si>
  <si>
    <t>6779IV124000231</t>
  </si>
  <si>
    <t>6779IV124000233</t>
  </si>
  <si>
    <t>6779IV124000218</t>
  </si>
  <si>
    <t>6779IV124000225</t>
  </si>
  <si>
    <t>6779IV124000227</t>
  </si>
  <si>
    <t>6779IV124000230</t>
  </si>
  <si>
    <t>6779IV124000224</t>
  </si>
  <si>
    <t>6779IV124000219</t>
  </si>
  <si>
    <t>6779IV124000220</t>
  </si>
  <si>
    <t>6779IV124000221</t>
  </si>
  <si>
    <t>6779IV124000222</t>
  </si>
  <si>
    <t>6779IV124000223</t>
  </si>
  <si>
    <t>6779IV124000229</t>
  </si>
  <si>
    <t>6779IV124000232</t>
  </si>
  <si>
    <t>Document Number</t>
  </si>
  <si>
    <t>Document Type</t>
  </si>
  <si>
    <t>Document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</si>
  <si>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</si>
  <si>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</si>
  <si>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</si>
  <si>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</si>
  <si>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</si>
  <si>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</si>
  <si>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</si>
  <si>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Clearing Document</t>
  </si>
  <si>
    <t>DZ</t>
  </si>
  <si>
    <t>NA</t>
  </si>
  <si>
    <t/>
  </si>
  <si>
    <t>USD</t>
  </si>
  <si>
    <t>INR</t>
  </si>
  <si>
    <t>2025032700149723</t>
  </si>
  <si>
    <t>T54SWIC269689</t>
  </si>
  <si>
    <t>T54SWIC272479</t>
  </si>
  <si>
    <t>T54SWIC275719</t>
  </si>
  <si>
    <t>DY</t>
  </si>
  <si>
    <t>2025092500155370</t>
  </si>
  <si>
    <t>T54SWIC266807</t>
  </si>
  <si>
    <t>2025080700145596</t>
  </si>
  <si>
    <t>2025081100216291</t>
  </si>
  <si>
    <t>T54SWIC270700</t>
  </si>
  <si>
    <t>T54SWIC270928</t>
  </si>
  <si>
    <t>DR</t>
  </si>
  <si>
    <t>Outbound chgs - 16 - 31 Jul 25</t>
  </si>
  <si>
    <t>DG</t>
  </si>
  <si>
    <t>Credit note against -246779413895</t>
  </si>
  <si>
    <t>Storage charges for Jan 2025</t>
  </si>
  <si>
    <t>VAS Activity Charges for the month of December, 24</t>
  </si>
  <si>
    <t>VAS -1-15 Sept-25</t>
  </si>
  <si>
    <t>Weighment -1-15 Sept-25</t>
  </si>
  <si>
    <t>Storage 1-31 May-25,WH-9</t>
  </si>
  <si>
    <t>LCL Charges August 2024</t>
  </si>
  <si>
    <t>Storage 16-30 April-25-WH09</t>
  </si>
  <si>
    <t>Outbound Handling charges for Dec 2024</t>
  </si>
  <si>
    <t>Storage charges for March 2025</t>
  </si>
  <si>
    <t>VAS Activity Charges for the month of August, 24</t>
  </si>
  <si>
    <t>Outbound chgs - 16 - 30 Jun 25</t>
  </si>
  <si>
    <t>CN issued against 246779411359</t>
  </si>
  <si>
    <t>CN issued against 246779411360</t>
  </si>
  <si>
    <t>CN issued against 246779411361</t>
  </si>
  <si>
    <t>CN issued against 246779411362</t>
  </si>
  <si>
    <t>CN issued against 246779411363</t>
  </si>
  <si>
    <t>CN issued against 246779411364</t>
  </si>
  <si>
    <t>Storage 1-31 July -25,WH-9</t>
  </si>
  <si>
    <t>LCL Chgs - 16 - 31 JUL 25</t>
  </si>
  <si>
    <t>Outbound chgs - 16 - 31 MAY 25</t>
  </si>
  <si>
    <t>LCL Chgs - 16-31 MAY 25</t>
  </si>
  <si>
    <t>Credit note against 246779412149</t>
  </si>
  <si>
    <t>Credit note against 246779412148</t>
  </si>
  <si>
    <t>Credit note against 246779412150</t>
  </si>
  <si>
    <t>Credit note against 246779412151</t>
  </si>
  <si>
    <t>Credit note against 246779412152</t>
  </si>
  <si>
    <t>Credit note against 246779412153</t>
  </si>
  <si>
    <t>Credit note against 246779412296</t>
  </si>
  <si>
    <t>Credit note against 246779412297</t>
  </si>
  <si>
    <t>Credit note against 246779412298</t>
  </si>
  <si>
    <t>Credit note against 246779412299</t>
  </si>
  <si>
    <t>Credit note against 246779412300</t>
  </si>
  <si>
    <t>Credit note against 246779412301</t>
  </si>
  <si>
    <t>Outbound chgs - 16 - 30 Apr 25</t>
  </si>
  <si>
    <t>Inbound Handling charges for Sep 2024</t>
  </si>
  <si>
    <t>LCL charges for Sep 2024</t>
  </si>
  <si>
    <t>Inbound Handling charges for Nov 2024</t>
  </si>
  <si>
    <t>LCL Movement Charges for Nov 2024</t>
  </si>
  <si>
    <t>Outbound Handling charges for Feb 2025</t>
  </si>
  <si>
    <t>Outbound Handling charges for Sep 2024</t>
  </si>
  <si>
    <t>Outbound Handling charges for Oct 2024</t>
  </si>
  <si>
    <t>LCL Chgs - 16 - 30 NOV 25</t>
  </si>
  <si>
    <t>Storage Charges for Aug 2024</t>
  </si>
  <si>
    <t>Storage charges for Sept 2024</t>
  </si>
  <si>
    <t>Storage Charges for December 2024</t>
  </si>
  <si>
    <t>Storage charges for OCT 2024</t>
  </si>
  <si>
    <t>Credit note against -246779413885</t>
  </si>
  <si>
    <t>Credit note against -246779413847</t>
  </si>
  <si>
    <t>Credit note against -246779413849</t>
  </si>
  <si>
    <t>Credit note against -246779413851</t>
  </si>
  <si>
    <t>Credit note against -246779413859</t>
  </si>
  <si>
    <t>Credit note against -246779413909</t>
  </si>
  <si>
    <t>Credit note against -246779413915</t>
  </si>
  <si>
    <t>Credit note against -246779413929</t>
  </si>
  <si>
    <t>Credit note against -246779413965</t>
  </si>
  <si>
    <t>Credit note against -246779413882</t>
  </si>
  <si>
    <t>Credit note against -246779413934</t>
  </si>
  <si>
    <t>Credit note against -246779413848</t>
  </si>
  <si>
    <t>Credit note against -246779413854</t>
  </si>
  <si>
    <t>Storage 1-15 April-25</t>
  </si>
  <si>
    <t>Inbound Handling charges for 31 Mar 2025</t>
  </si>
  <si>
    <t>Outbound chgs - 16 - 30 Nov 25</t>
  </si>
  <si>
    <t>Storage -WH 09- 1-30 Nov 25</t>
  </si>
  <si>
    <t>LCL Chgs - 01 - 15 Apr 25</t>
  </si>
  <si>
    <t>Outbound chgs - 01 - 15 Apr 25</t>
  </si>
  <si>
    <t>VAS-16-30 Sept 25</t>
  </si>
  <si>
    <t>Storage 01-30 June-25,WH-9</t>
  </si>
  <si>
    <t>T54SWIC283327</t>
  </si>
  <si>
    <t>LCL Chgs - 16 - 31 OCT 25</t>
  </si>
  <si>
    <t>Storage -WH 09- 16-31 OCT 25</t>
  </si>
  <si>
    <t>2158404</t>
  </si>
  <si>
    <t>LCL Chgs - 16 - 31 DEC 25</t>
  </si>
  <si>
    <t>2158406</t>
  </si>
  <si>
    <t>Outbound chgs - 16 - 31 Dec 25</t>
  </si>
  <si>
    <t>2158408</t>
  </si>
  <si>
    <t>Storage -WH 09- 1-31 DEC 25</t>
  </si>
  <si>
    <t>Xlookup</t>
  </si>
  <si>
    <t>TDS</t>
  </si>
  <si>
    <t>c</t>
  </si>
  <si>
    <t>Reconciliation of Ledger as on 31st January 2026</t>
  </si>
  <si>
    <t>Particulars</t>
  </si>
  <si>
    <t>Amount in USD</t>
  </si>
  <si>
    <t>Add: TDS to be booked in Ascendus books</t>
  </si>
  <si>
    <t>Add: Invoices &amp; CN not recorded in customer books</t>
  </si>
  <si>
    <t>Less: Difference in Payment recorded in both books</t>
  </si>
  <si>
    <t>Less: Invoice not recorded in Ascendus Books</t>
  </si>
  <si>
    <t>Derived balance</t>
  </si>
  <si>
    <t>Balance as per Ascent</t>
  </si>
  <si>
    <t>Difference</t>
  </si>
  <si>
    <t>Balance as per Ashland Singapore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</si>
</sst>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/>
    </xf>
    <xf numFmtId="43" fontId="3" fillId="0" borderId="2" xfId="2" applyFont="1" applyBorder="1" applyAlignment="1">
      <alignment horizontal="center"/>
    </xf>
    <xf numFmtId="43" fontId="3" fillId="0" borderId="3" xfId="2" applyFont="1" applyBorder="1" applyAlignment="1">
      <alignment horizontal="center"/>
    </xf>
    <xf numFmtId="43" fontId="0" fillId="0" borderId="5" xfId="2" applyFont="1" applyBorder="1"/>
    <xf numFmtId="43" fontId="0" fillId="0" borderId="8" xfId="2" applyFont="1" applyBorder="1"/>
    <xf numFmtId="43" fontId="3" fillId="0" borderId="2" xfId="2" applyFont="1" applyBorder="1"/>
    <xf numFmtId="4" fontId="0" fillId="0" borderId="0" xfId="0" applyNumberFormat="1"/>
    <xf numFmtId="43" fontId="0" fillId="0" borderId="6" xfId="2" applyFont="1" applyBorder="1" applyAlignment="1">
      <alignment wrapText="1"/>
    </xf>
    <xf numFmtId="43" fontId="0" fillId="0" borderId="7" xfId="2" applyFont="1" applyBorder="1" applyAlignment="1">
      <alignment wrapText="1"/>
    </xf>
    <xf numFmtId="43" fontId="0" fillId="0" borderId="9" xfId="2" applyFont="1" applyBorder="1" applyAlignment="1">
      <alignment wrapText="1"/>
    </xf>
    <xf numFmtId="43" fontId="3" fillId="0" borderId="4" xfId="1" applyFont="1" applyBorder="1" applyAlignment="1">
      <alignment wrapText="1"/>
    </xf>
    <xf numFmtId="0" fontId="3" fillId="0" borderId="4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" fontId="0" fillId="2" borderId="1" xfId="0" applyNumberForma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4">
    <cellStyle name="Comma" xfId="1" builtinId="3"/>
    <cellStyle name="Comma 2" xfId="2" xr:uid="{9A699CBE-A543-442C-9F57-98062D97F998}"/>
    <cellStyle name="Normal" xfId="0" builtinId="0"/>
    <cellStyle name="Normal 2" xfId="3" xr:uid="{C1FDEDE0-1969-4BB2-8012-BC01E1BCA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5D34-BB7A-4569-B632-7AC1ECEC47A0}">
  <dimension ref="A1"/>
  <sheetViews>
    <sheetView workbookViewId="0">
      <selection sqref="A1:I44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CC80-4C8A-4800-8F5A-36CAF46EF54F}">
  <dimension ref="A1:I102"/>
  <sheetViews>
    <sheetView tabSelected="1" topLeftCell="A71" workbookViewId="0">
      <selection activeCell="F102" sqref="F10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9.453125" bestFit="1" customWidth="1"/>
    <col min="9" max="9" width="44.453125" bestFit="1" customWidth="1"/>
  </cols>
  <sheetData>
    <row r="1" spans="1:9" ht="58" x14ac:dyDescent="0.35">
      <c r="A1" s="31" t="s">
        <v>22</v>
      </c>
      <c r="B1" s="32" t="s">
        <v>23</v>
      </c>
      <c r="C1" s="31" t="s">
        <v>24</v>
      </c>
      <c r="D1" s="33" t="s">
        <v>26</v>
      </c>
      <c r="E1" s="32" t="s">
        <v>27</v>
      </c>
      <c r="F1" s="32" t="s">
        <v>28</v>
      </c>
      <c r="G1" s="32" t="s">
        <v>29</v>
      </c>
      <c r="H1" s="32" t="s">
        <v>30</v>
      </c>
      <c r="I1" s="31" t="s">
        <v>31</v>
      </c>
    </row>
    <row r="2" spans="1:9" x14ac:dyDescent="0.35">
      <c r="A2" s="12">
        <v>1800005707</v>
      </c>
      <c r="B2" s="9" t="s">
        <v>49</v>
      </c>
      <c r="C2" s="10">
        <v>45751</v>
      </c>
      <c r="D2" s="13">
        <v>256779410599</v>
      </c>
      <c r="E2" s="9" t="s">
        <v>36</v>
      </c>
      <c r="F2" s="11">
        <v>2.5499999999999998</v>
      </c>
      <c r="G2" s="9" t="s">
        <v>37</v>
      </c>
      <c r="H2" s="11">
        <v>221.65</v>
      </c>
      <c r="I2" s="9" t="s">
        <v>53</v>
      </c>
    </row>
    <row r="3" spans="1:9" x14ac:dyDescent="0.35">
      <c r="A3" s="12">
        <v>1800002328</v>
      </c>
      <c r="B3" s="9" t="s">
        <v>49</v>
      </c>
      <c r="C3" s="10">
        <v>45733</v>
      </c>
      <c r="D3" s="13">
        <v>246779411993</v>
      </c>
      <c r="E3" s="9" t="s">
        <v>36</v>
      </c>
      <c r="F3" s="11">
        <v>18.690000000000001</v>
      </c>
      <c r="G3" s="9" t="s">
        <v>37</v>
      </c>
      <c r="H3" s="11">
        <v>1620.26</v>
      </c>
      <c r="I3" s="9" t="s">
        <v>54</v>
      </c>
    </row>
    <row r="4" spans="1:9" x14ac:dyDescent="0.35">
      <c r="A4" s="12">
        <v>1800002329</v>
      </c>
      <c r="B4" s="9" t="s">
        <v>49</v>
      </c>
      <c r="C4" s="10">
        <v>45733</v>
      </c>
      <c r="D4" s="13">
        <v>246779411994</v>
      </c>
      <c r="E4" s="9" t="s">
        <v>36</v>
      </c>
      <c r="F4" s="11">
        <v>18.690000000000001</v>
      </c>
      <c r="G4" s="9" t="s">
        <v>37</v>
      </c>
      <c r="H4" s="11">
        <v>1620.26</v>
      </c>
      <c r="I4" s="9" t="s">
        <v>54</v>
      </c>
    </row>
    <row r="5" spans="1:9" x14ac:dyDescent="0.35">
      <c r="A5" s="12">
        <v>1800002330</v>
      </c>
      <c r="B5" s="9" t="s">
        <v>49</v>
      </c>
      <c r="C5" s="10">
        <v>45733</v>
      </c>
      <c r="D5" s="13">
        <v>246779411995</v>
      </c>
      <c r="E5" s="9" t="s">
        <v>36</v>
      </c>
      <c r="F5" s="11">
        <v>18.690000000000001</v>
      </c>
      <c r="G5" s="9" t="s">
        <v>37</v>
      </c>
      <c r="H5" s="11">
        <v>1620.26</v>
      </c>
      <c r="I5" s="9" t="s">
        <v>54</v>
      </c>
    </row>
    <row r="6" spans="1:9" x14ac:dyDescent="0.35">
      <c r="A6" s="12">
        <v>1800002331</v>
      </c>
      <c r="B6" s="9" t="s">
        <v>49</v>
      </c>
      <c r="C6" s="10">
        <v>45733</v>
      </c>
      <c r="D6" s="13">
        <v>246779411996</v>
      </c>
      <c r="E6" s="9" t="s">
        <v>36</v>
      </c>
      <c r="F6" s="11">
        <v>18.690000000000001</v>
      </c>
      <c r="G6" s="9" t="s">
        <v>37</v>
      </c>
      <c r="H6" s="11">
        <v>1620.26</v>
      </c>
      <c r="I6" s="9" t="s">
        <v>54</v>
      </c>
    </row>
    <row r="7" spans="1:9" x14ac:dyDescent="0.35">
      <c r="A7" s="12">
        <v>1800006091</v>
      </c>
      <c r="B7" s="9" t="s">
        <v>49</v>
      </c>
      <c r="C7" s="10">
        <v>45762</v>
      </c>
      <c r="D7" s="13">
        <v>256779410982</v>
      </c>
      <c r="E7" s="9" t="s">
        <v>36</v>
      </c>
      <c r="F7" s="11">
        <v>31.27</v>
      </c>
      <c r="G7" s="9" t="s">
        <v>37</v>
      </c>
      <c r="H7" s="11">
        <v>2718.05</v>
      </c>
      <c r="I7" s="9" t="s">
        <v>58</v>
      </c>
    </row>
    <row r="8" spans="1:9" x14ac:dyDescent="0.35">
      <c r="A8" s="12">
        <v>1800006938</v>
      </c>
      <c r="B8" s="9" t="s">
        <v>49</v>
      </c>
      <c r="C8" s="10">
        <v>45763</v>
      </c>
      <c r="D8" s="13">
        <v>256779411829</v>
      </c>
      <c r="E8" s="9" t="s">
        <v>36</v>
      </c>
      <c r="F8" s="11">
        <v>2.95</v>
      </c>
      <c r="G8" s="9" t="s">
        <v>37</v>
      </c>
      <c r="H8" s="11">
        <v>256.42</v>
      </c>
      <c r="I8" s="9" t="s">
        <v>60</v>
      </c>
    </row>
    <row r="9" spans="1:9" x14ac:dyDescent="0.35">
      <c r="A9" s="12">
        <v>1800004208</v>
      </c>
      <c r="B9" s="9" t="s">
        <v>49</v>
      </c>
      <c r="C9" s="10">
        <v>45736</v>
      </c>
      <c r="D9" s="13">
        <v>246779414076</v>
      </c>
      <c r="E9" s="9" t="s">
        <v>36</v>
      </c>
      <c r="F9" s="11">
        <v>4.87</v>
      </c>
      <c r="G9" s="9" t="s">
        <v>37</v>
      </c>
      <c r="H9" s="11">
        <v>422.19</v>
      </c>
      <c r="I9" s="9" t="s">
        <v>87</v>
      </c>
    </row>
    <row r="10" spans="1:9" x14ac:dyDescent="0.35">
      <c r="A10" s="12">
        <v>1800004209</v>
      </c>
      <c r="B10" s="9" t="s">
        <v>49</v>
      </c>
      <c r="C10" s="10">
        <v>45736</v>
      </c>
      <c r="D10" s="13">
        <v>246779414077</v>
      </c>
      <c r="E10" s="9" t="s">
        <v>36</v>
      </c>
      <c r="F10" s="11">
        <v>28.32</v>
      </c>
      <c r="G10" s="9" t="s">
        <v>37</v>
      </c>
      <c r="H10" s="11">
        <v>2455.1</v>
      </c>
      <c r="I10" s="9" t="s">
        <v>88</v>
      </c>
    </row>
    <row r="11" spans="1:9" x14ac:dyDescent="0.35">
      <c r="A11" s="12">
        <v>1800004471</v>
      </c>
      <c r="B11" s="9" t="s">
        <v>49</v>
      </c>
      <c r="C11" s="10">
        <v>45736</v>
      </c>
      <c r="D11" s="13">
        <v>246779414339</v>
      </c>
      <c r="E11" s="9" t="s">
        <v>36</v>
      </c>
      <c r="F11" s="11">
        <v>7.43</v>
      </c>
      <c r="G11" s="9" t="s">
        <v>37</v>
      </c>
      <c r="H11" s="11">
        <v>644.12</v>
      </c>
      <c r="I11" s="9" t="s">
        <v>89</v>
      </c>
    </row>
    <row r="12" spans="1:9" x14ac:dyDescent="0.35">
      <c r="A12" s="12">
        <v>1800004472</v>
      </c>
      <c r="B12" s="9" t="s">
        <v>49</v>
      </c>
      <c r="C12" s="10">
        <v>45736</v>
      </c>
      <c r="D12" s="13">
        <v>246779414340</v>
      </c>
      <c r="E12" s="9" t="s">
        <v>36</v>
      </c>
      <c r="F12" s="11">
        <v>28.32</v>
      </c>
      <c r="G12" s="9" t="s">
        <v>37</v>
      </c>
      <c r="H12" s="11">
        <v>2455.1</v>
      </c>
      <c r="I12" s="9" t="s">
        <v>90</v>
      </c>
    </row>
    <row r="13" spans="1:9" x14ac:dyDescent="0.35">
      <c r="A13" s="12">
        <v>1800004305</v>
      </c>
      <c r="B13" s="9" t="s">
        <v>49</v>
      </c>
      <c r="C13" s="10">
        <v>45736</v>
      </c>
      <c r="D13" s="13">
        <v>246779414173</v>
      </c>
      <c r="E13" s="9" t="s">
        <v>36</v>
      </c>
      <c r="F13" s="11">
        <v>2.95</v>
      </c>
      <c r="G13" s="9" t="s">
        <v>37</v>
      </c>
      <c r="H13" s="11">
        <v>255.74</v>
      </c>
      <c r="I13" s="9" t="s">
        <v>92</v>
      </c>
    </row>
    <row r="14" spans="1:9" x14ac:dyDescent="0.35">
      <c r="A14" s="12">
        <v>1800004685</v>
      </c>
      <c r="B14" s="9" t="s">
        <v>49</v>
      </c>
      <c r="C14" s="10">
        <v>45736</v>
      </c>
      <c r="D14" s="13">
        <v>246779414553</v>
      </c>
      <c r="E14" s="9" t="s">
        <v>36</v>
      </c>
      <c r="F14" s="11">
        <v>4.87</v>
      </c>
      <c r="G14" s="9" t="s">
        <v>37</v>
      </c>
      <c r="H14" s="11">
        <v>422.19</v>
      </c>
      <c r="I14" s="9" t="s">
        <v>93</v>
      </c>
    </row>
    <row r="15" spans="1:9" x14ac:dyDescent="0.35">
      <c r="A15" s="12">
        <v>1800007299</v>
      </c>
      <c r="B15" s="9" t="s">
        <v>49</v>
      </c>
      <c r="C15" s="10">
        <v>45768</v>
      </c>
      <c r="D15" s="13">
        <v>256779412190</v>
      </c>
      <c r="E15" s="9" t="s">
        <v>36</v>
      </c>
      <c r="F15" s="11">
        <v>1.91</v>
      </c>
      <c r="G15" s="9" t="s">
        <v>37</v>
      </c>
      <c r="H15" s="11">
        <v>166.02</v>
      </c>
      <c r="I15" s="9" t="s">
        <v>95</v>
      </c>
    </row>
    <row r="16" spans="1:9" x14ac:dyDescent="0.35">
      <c r="A16" s="12">
        <v>1800007458</v>
      </c>
      <c r="B16" s="9" t="s">
        <v>49</v>
      </c>
      <c r="C16" s="10">
        <v>45768</v>
      </c>
      <c r="D16" s="13">
        <v>256779412349</v>
      </c>
      <c r="E16" s="9" t="s">
        <v>36</v>
      </c>
      <c r="F16" s="11">
        <v>8.92</v>
      </c>
      <c r="G16" s="9" t="s">
        <v>37</v>
      </c>
      <c r="H16" s="11">
        <v>775.34</v>
      </c>
      <c r="I16" s="9" t="s">
        <v>96</v>
      </c>
    </row>
    <row r="17" spans="1:9" x14ac:dyDescent="0.35">
      <c r="A17" s="12">
        <v>1800007488</v>
      </c>
      <c r="B17" s="9" t="s">
        <v>49</v>
      </c>
      <c r="C17" s="10">
        <v>45768</v>
      </c>
      <c r="D17" s="13">
        <v>256779412379</v>
      </c>
      <c r="E17" s="9" t="s">
        <v>36</v>
      </c>
      <c r="F17" s="11">
        <v>11.79</v>
      </c>
      <c r="G17" s="9" t="s">
        <v>37</v>
      </c>
      <c r="H17" s="11">
        <v>1024.81</v>
      </c>
      <c r="I17" s="9" t="s">
        <v>97</v>
      </c>
    </row>
    <row r="18" spans="1:9" x14ac:dyDescent="0.35">
      <c r="A18" s="12">
        <v>1800002533</v>
      </c>
      <c r="B18" s="9" t="s">
        <v>49</v>
      </c>
      <c r="C18" s="10">
        <v>45734</v>
      </c>
      <c r="D18" s="13">
        <v>246779412400</v>
      </c>
      <c r="E18" s="9" t="s">
        <v>36</v>
      </c>
      <c r="F18" s="11">
        <v>8.2799999999999994</v>
      </c>
      <c r="G18" s="9" t="s">
        <v>37</v>
      </c>
      <c r="H18" s="11">
        <v>717.8</v>
      </c>
      <c r="I18" s="9" t="s">
        <v>98</v>
      </c>
    </row>
    <row r="19" spans="1:9" x14ac:dyDescent="0.35">
      <c r="A19" s="12">
        <v>1800002538</v>
      </c>
      <c r="B19" s="9" t="s">
        <v>49</v>
      </c>
      <c r="C19" s="10">
        <v>45734</v>
      </c>
      <c r="D19" s="13">
        <v>246779412405</v>
      </c>
      <c r="E19" s="9" t="s">
        <v>36</v>
      </c>
      <c r="F19" s="11">
        <v>9.56</v>
      </c>
      <c r="G19" s="9" t="s">
        <v>37</v>
      </c>
      <c r="H19" s="11">
        <v>828.77</v>
      </c>
      <c r="I19" s="9" t="s">
        <v>96</v>
      </c>
    </row>
    <row r="20" spans="1:9" x14ac:dyDescent="0.35">
      <c r="A20" s="12">
        <v>1800001491</v>
      </c>
      <c r="B20" s="9" t="s">
        <v>49</v>
      </c>
      <c r="C20" s="10">
        <v>45730</v>
      </c>
      <c r="D20" s="13">
        <v>246779412148</v>
      </c>
      <c r="E20" s="9" t="s">
        <v>36</v>
      </c>
      <c r="F20" s="11">
        <v>11.92</v>
      </c>
      <c r="G20" s="9" t="s">
        <v>37</v>
      </c>
      <c r="H20" s="11">
        <v>1033.3599999999999</v>
      </c>
      <c r="I20" s="9" t="s">
        <v>62</v>
      </c>
    </row>
    <row r="21" spans="1:9" x14ac:dyDescent="0.35">
      <c r="A21" s="12">
        <v>1800001492</v>
      </c>
      <c r="B21" s="9" t="s">
        <v>49</v>
      </c>
      <c r="C21" s="10">
        <v>45730</v>
      </c>
      <c r="D21" s="13">
        <v>246779412149</v>
      </c>
      <c r="E21" s="9" t="s">
        <v>36</v>
      </c>
      <c r="F21" s="11">
        <v>35.770000000000003</v>
      </c>
      <c r="G21" s="9" t="s">
        <v>37</v>
      </c>
      <c r="H21" s="11">
        <v>3100.95</v>
      </c>
      <c r="I21" s="9" t="s">
        <v>62</v>
      </c>
    </row>
    <row r="22" spans="1:9" x14ac:dyDescent="0.35">
      <c r="A22" s="12">
        <v>1800001493</v>
      </c>
      <c r="B22" s="9" t="s">
        <v>49</v>
      </c>
      <c r="C22" s="10">
        <v>45730</v>
      </c>
      <c r="D22" s="13">
        <v>246779412150</v>
      </c>
      <c r="E22" s="9" t="s">
        <v>36</v>
      </c>
      <c r="F22" s="11">
        <v>75.12</v>
      </c>
      <c r="G22" s="9" t="s">
        <v>37</v>
      </c>
      <c r="H22" s="11">
        <v>6512.25</v>
      </c>
      <c r="I22" s="9" t="s">
        <v>62</v>
      </c>
    </row>
    <row r="23" spans="1:9" x14ac:dyDescent="0.35">
      <c r="A23" s="12">
        <v>1800001494</v>
      </c>
      <c r="B23" s="9" t="s">
        <v>49</v>
      </c>
      <c r="C23" s="10">
        <v>45730</v>
      </c>
      <c r="D23" s="13">
        <v>246779412151</v>
      </c>
      <c r="E23" s="9" t="s">
        <v>36</v>
      </c>
      <c r="F23" s="11">
        <v>17.88</v>
      </c>
      <c r="G23" s="9" t="s">
        <v>37</v>
      </c>
      <c r="H23" s="11">
        <v>1550.04</v>
      </c>
      <c r="I23" s="9" t="s">
        <v>62</v>
      </c>
    </row>
    <row r="24" spans="1:9" x14ac:dyDescent="0.35">
      <c r="A24" s="12">
        <v>1800001495</v>
      </c>
      <c r="B24" s="9" t="s">
        <v>49</v>
      </c>
      <c r="C24" s="10">
        <v>45730</v>
      </c>
      <c r="D24" s="13">
        <v>246779412152</v>
      </c>
      <c r="E24" s="9" t="s">
        <v>36</v>
      </c>
      <c r="F24" s="11">
        <v>6.56</v>
      </c>
      <c r="G24" s="9" t="s">
        <v>37</v>
      </c>
      <c r="H24" s="11">
        <v>568.69000000000005</v>
      </c>
      <c r="I24" s="9" t="s">
        <v>62</v>
      </c>
    </row>
    <row r="25" spans="1:9" x14ac:dyDescent="0.35">
      <c r="A25" s="12">
        <v>1800001496</v>
      </c>
      <c r="B25" s="9" t="s">
        <v>49</v>
      </c>
      <c r="C25" s="10">
        <v>45730</v>
      </c>
      <c r="D25" s="13">
        <v>246779412153</v>
      </c>
      <c r="E25" s="9" t="s">
        <v>36</v>
      </c>
      <c r="F25" s="11">
        <v>23.85</v>
      </c>
      <c r="G25" s="9" t="s">
        <v>37</v>
      </c>
      <c r="H25" s="11">
        <v>2067.59</v>
      </c>
      <c r="I25" s="9" t="s">
        <v>62</v>
      </c>
    </row>
    <row r="26" spans="1:9" x14ac:dyDescent="0.35">
      <c r="A26" s="12">
        <v>1800001639</v>
      </c>
      <c r="B26" s="9" t="s">
        <v>49</v>
      </c>
      <c r="C26" s="10">
        <v>45730</v>
      </c>
      <c r="D26" s="13">
        <v>246779412296</v>
      </c>
      <c r="E26" s="9" t="s">
        <v>36</v>
      </c>
      <c r="F26" s="11">
        <v>11.92</v>
      </c>
      <c r="G26" s="9" t="s">
        <v>37</v>
      </c>
      <c r="H26" s="11">
        <v>1033.3599999999999</v>
      </c>
      <c r="I26" s="9" t="s">
        <v>62</v>
      </c>
    </row>
    <row r="27" spans="1:9" x14ac:dyDescent="0.35">
      <c r="A27" s="12">
        <v>1800001640</v>
      </c>
      <c r="B27" s="9" t="s">
        <v>49</v>
      </c>
      <c r="C27" s="10">
        <v>45730</v>
      </c>
      <c r="D27" s="13">
        <v>246779412297</v>
      </c>
      <c r="E27" s="9" t="s">
        <v>36</v>
      </c>
      <c r="F27" s="11">
        <v>35.770000000000003</v>
      </c>
      <c r="G27" s="9" t="s">
        <v>37</v>
      </c>
      <c r="H27" s="11">
        <v>3100.95</v>
      </c>
      <c r="I27" s="9" t="s">
        <v>62</v>
      </c>
    </row>
    <row r="28" spans="1:9" x14ac:dyDescent="0.35">
      <c r="A28" s="12">
        <v>1800001641</v>
      </c>
      <c r="B28" s="9" t="s">
        <v>49</v>
      </c>
      <c r="C28" s="10">
        <v>45730</v>
      </c>
      <c r="D28" s="13">
        <v>246779412298</v>
      </c>
      <c r="E28" s="9" t="s">
        <v>36</v>
      </c>
      <c r="F28" s="11">
        <v>75.12</v>
      </c>
      <c r="G28" s="9" t="s">
        <v>37</v>
      </c>
      <c r="H28" s="11">
        <v>6512.25</v>
      </c>
      <c r="I28" s="9" t="s">
        <v>62</v>
      </c>
    </row>
    <row r="29" spans="1:9" x14ac:dyDescent="0.35">
      <c r="A29" s="12">
        <v>1800001642</v>
      </c>
      <c r="B29" s="9" t="s">
        <v>49</v>
      </c>
      <c r="C29" s="10">
        <v>45730</v>
      </c>
      <c r="D29" s="13">
        <v>246779412299</v>
      </c>
      <c r="E29" s="9" t="s">
        <v>36</v>
      </c>
      <c r="F29" s="11">
        <v>17.88</v>
      </c>
      <c r="G29" s="9" t="s">
        <v>37</v>
      </c>
      <c r="H29" s="11">
        <v>1550.04</v>
      </c>
      <c r="I29" s="9" t="s">
        <v>62</v>
      </c>
    </row>
    <row r="30" spans="1:9" x14ac:dyDescent="0.35">
      <c r="A30" s="12">
        <v>1800001643</v>
      </c>
      <c r="B30" s="9" t="s">
        <v>49</v>
      </c>
      <c r="C30" s="10">
        <v>45730</v>
      </c>
      <c r="D30" s="13">
        <v>246779412300</v>
      </c>
      <c r="E30" s="9" t="s">
        <v>36</v>
      </c>
      <c r="F30" s="11">
        <v>6.56</v>
      </c>
      <c r="G30" s="9" t="s">
        <v>37</v>
      </c>
      <c r="H30" s="11">
        <v>568.69000000000005</v>
      </c>
      <c r="I30" s="9" t="s">
        <v>62</v>
      </c>
    </row>
    <row r="31" spans="1:9" x14ac:dyDescent="0.35">
      <c r="A31" s="12">
        <v>1800001644</v>
      </c>
      <c r="B31" s="9" t="s">
        <v>49</v>
      </c>
      <c r="C31" s="10">
        <v>45730</v>
      </c>
      <c r="D31" s="13">
        <v>246779412301</v>
      </c>
      <c r="E31" s="9" t="s">
        <v>36</v>
      </c>
      <c r="F31" s="11">
        <v>23.85</v>
      </c>
      <c r="G31" s="9" t="s">
        <v>37</v>
      </c>
      <c r="H31" s="11">
        <v>2067.59</v>
      </c>
      <c r="I31" s="9" t="s">
        <v>62</v>
      </c>
    </row>
    <row r="32" spans="1:9" x14ac:dyDescent="0.35">
      <c r="A32" s="12">
        <v>1800003991</v>
      </c>
      <c r="B32" s="9" t="s">
        <v>49</v>
      </c>
      <c r="C32" s="10">
        <v>45736</v>
      </c>
      <c r="D32" s="13">
        <v>246779413847</v>
      </c>
      <c r="E32" s="9" t="s">
        <v>36</v>
      </c>
      <c r="F32" s="11">
        <v>101.16</v>
      </c>
      <c r="G32" s="9" t="s">
        <v>37</v>
      </c>
      <c r="H32" s="11">
        <v>8769.69</v>
      </c>
      <c r="I32" s="9" t="s">
        <v>91</v>
      </c>
    </row>
    <row r="33" spans="1:9" x14ac:dyDescent="0.35">
      <c r="A33" s="12">
        <v>1800003993</v>
      </c>
      <c r="B33" s="9" t="s">
        <v>49</v>
      </c>
      <c r="C33" s="10">
        <v>45736</v>
      </c>
      <c r="D33" s="13">
        <v>246779413849</v>
      </c>
      <c r="E33" s="9" t="s">
        <v>36</v>
      </c>
      <c r="F33" s="11">
        <v>45.54</v>
      </c>
      <c r="G33" s="9" t="s">
        <v>37</v>
      </c>
      <c r="H33" s="11">
        <v>3947.92</v>
      </c>
      <c r="I33" s="9" t="s">
        <v>91</v>
      </c>
    </row>
    <row r="34" spans="1:9" x14ac:dyDescent="0.35">
      <c r="A34" s="12">
        <v>1800003995</v>
      </c>
      <c r="B34" s="9" t="s">
        <v>49</v>
      </c>
      <c r="C34" s="10">
        <v>45736</v>
      </c>
      <c r="D34" s="13">
        <v>246779413851</v>
      </c>
      <c r="E34" s="9" t="s">
        <v>36</v>
      </c>
      <c r="F34" s="11">
        <v>96.79</v>
      </c>
      <c r="G34" s="9" t="s">
        <v>37</v>
      </c>
      <c r="H34" s="11">
        <v>8390.85</v>
      </c>
      <c r="I34" s="9" t="s">
        <v>91</v>
      </c>
    </row>
    <row r="35" spans="1:9" x14ac:dyDescent="0.35">
      <c r="A35" s="12">
        <v>1800004003</v>
      </c>
      <c r="B35" s="9" t="s">
        <v>49</v>
      </c>
      <c r="C35" s="10">
        <v>45736</v>
      </c>
      <c r="D35" s="13">
        <v>246779413859</v>
      </c>
      <c r="E35" s="9" t="s">
        <v>36</v>
      </c>
      <c r="F35" s="11">
        <v>18.82</v>
      </c>
      <c r="G35" s="9" t="s">
        <v>37</v>
      </c>
      <c r="H35" s="11">
        <v>1631.53</v>
      </c>
      <c r="I35" s="9" t="s">
        <v>91</v>
      </c>
    </row>
    <row r="36" spans="1:9" x14ac:dyDescent="0.35">
      <c r="A36" s="12">
        <v>1800004026</v>
      </c>
      <c r="B36" s="9" t="s">
        <v>49</v>
      </c>
      <c r="C36" s="10">
        <v>45736</v>
      </c>
      <c r="D36" s="13">
        <v>246779413882</v>
      </c>
      <c r="E36" s="9" t="s">
        <v>36</v>
      </c>
      <c r="F36" s="11">
        <v>142.88999999999999</v>
      </c>
      <c r="G36" s="9" t="s">
        <v>37</v>
      </c>
      <c r="H36" s="11">
        <v>12387.31</v>
      </c>
      <c r="I36" s="9" t="s">
        <v>91</v>
      </c>
    </row>
    <row r="37" spans="1:9" x14ac:dyDescent="0.35">
      <c r="A37" s="12">
        <v>1800004053</v>
      </c>
      <c r="B37" s="9" t="s">
        <v>49</v>
      </c>
      <c r="C37" s="10">
        <v>45736</v>
      </c>
      <c r="D37" s="13">
        <v>246779413909</v>
      </c>
      <c r="E37" s="9" t="s">
        <v>36</v>
      </c>
      <c r="F37" s="11">
        <v>59</v>
      </c>
      <c r="G37" s="9" t="s">
        <v>37</v>
      </c>
      <c r="H37" s="11">
        <v>5114.78</v>
      </c>
      <c r="I37" s="9" t="s">
        <v>91</v>
      </c>
    </row>
    <row r="38" spans="1:9" x14ac:dyDescent="0.35">
      <c r="A38" s="12">
        <v>1800004059</v>
      </c>
      <c r="B38" s="9" t="s">
        <v>49</v>
      </c>
      <c r="C38" s="10">
        <v>45736</v>
      </c>
      <c r="D38" s="13">
        <v>246779413915</v>
      </c>
      <c r="E38" s="9" t="s">
        <v>36</v>
      </c>
      <c r="F38" s="11">
        <v>55.22</v>
      </c>
      <c r="G38" s="9" t="s">
        <v>37</v>
      </c>
      <c r="H38" s="11">
        <v>4787.09</v>
      </c>
      <c r="I38" s="9" t="s">
        <v>91</v>
      </c>
    </row>
    <row r="39" spans="1:9" x14ac:dyDescent="0.35">
      <c r="A39" s="12">
        <v>1800004073</v>
      </c>
      <c r="B39" s="9" t="s">
        <v>49</v>
      </c>
      <c r="C39" s="10">
        <v>45736</v>
      </c>
      <c r="D39" s="13">
        <v>246779413929</v>
      </c>
      <c r="E39" s="9" t="s">
        <v>36</v>
      </c>
      <c r="F39" s="11">
        <v>99.6</v>
      </c>
      <c r="G39" s="9" t="s">
        <v>37</v>
      </c>
      <c r="H39" s="11">
        <v>8634.4500000000007</v>
      </c>
      <c r="I39" s="9" t="s">
        <v>91</v>
      </c>
    </row>
    <row r="40" spans="1:9" x14ac:dyDescent="0.35">
      <c r="A40" s="12">
        <v>1800004109</v>
      </c>
      <c r="B40" s="9" t="s">
        <v>49</v>
      </c>
      <c r="C40" s="10">
        <v>45736</v>
      </c>
      <c r="D40" s="13">
        <v>246779413965</v>
      </c>
      <c r="E40" s="9" t="s">
        <v>36</v>
      </c>
      <c r="F40" s="11">
        <v>2.95</v>
      </c>
      <c r="G40" s="9" t="s">
        <v>37</v>
      </c>
      <c r="H40" s="11">
        <v>255.74</v>
      </c>
      <c r="I40" s="9" t="s">
        <v>91</v>
      </c>
    </row>
    <row r="41" spans="1:9" x14ac:dyDescent="0.35">
      <c r="A41" s="12">
        <v>1800004039</v>
      </c>
      <c r="B41" s="9" t="s">
        <v>49</v>
      </c>
      <c r="C41" s="10">
        <v>45736</v>
      </c>
      <c r="D41" s="13">
        <v>246779413895</v>
      </c>
      <c r="E41" s="9" t="s">
        <v>36</v>
      </c>
      <c r="F41" s="11">
        <v>14.75</v>
      </c>
      <c r="G41" s="9" t="s">
        <v>37</v>
      </c>
      <c r="H41" s="11">
        <v>1278.7</v>
      </c>
      <c r="I41" s="9" t="s">
        <v>91</v>
      </c>
    </row>
    <row r="42" spans="1:9" x14ac:dyDescent="0.35">
      <c r="A42" s="12">
        <v>1800004078</v>
      </c>
      <c r="B42" s="9" t="s">
        <v>49</v>
      </c>
      <c r="C42" s="10">
        <v>45736</v>
      </c>
      <c r="D42" s="13">
        <v>246779413934</v>
      </c>
      <c r="E42" s="9" t="s">
        <v>36</v>
      </c>
      <c r="F42" s="11">
        <v>110.29</v>
      </c>
      <c r="G42" s="9" t="s">
        <v>37</v>
      </c>
      <c r="H42" s="11">
        <v>9561.18</v>
      </c>
      <c r="I42" s="9" t="s">
        <v>91</v>
      </c>
    </row>
    <row r="43" spans="1:9" x14ac:dyDescent="0.35">
      <c r="A43" s="12">
        <v>1800003992</v>
      </c>
      <c r="B43" s="9" t="s">
        <v>49</v>
      </c>
      <c r="C43" s="10">
        <v>45736</v>
      </c>
      <c r="D43" s="13">
        <v>246779413848</v>
      </c>
      <c r="E43" s="9" t="s">
        <v>36</v>
      </c>
      <c r="F43" s="11">
        <v>52.32</v>
      </c>
      <c r="G43" s="9" t="s">
        <v>37</v>
      </c>
      <c r="H43" s="11">
        <v>4535.6899999999996</v>
      </c>
      <c r="I43" s="9" t="s">
        <v>91</v>
      </c>
    </row>
    <row r="44" spans="1:9" x14ac:dyDescent="0.35">
      <c r="A44" s="12">
        <v>1800003998</v>
      </c>
      <c r="B44" s="9" t="s">
        <v>49</v>
      </c>
      <c r="C44" s="10">
        <v>45736</v>
      </c>
      <c r="D44" s="13">
        <v>246779413854</v>
      </c>
      <c r="E44" s="9" t="s">
        <v>36</v>
      </c>
      <c r="F44" s="11">
        <v>12.39</v>
      </c>
      <c r="G44" s="9" t="s">
        <v>37</v>
      </c>
      <c r="H44" s="11">
        <v>1074.0999999999999</v>
      </c>
      <c r="I44" s="9" t="s">
        <v>91</v>
      </c>
    </row>
    <row r="45" spans="1:9" x14ac:dyDescent="0.35">
      <c r="A45" s="12">
        <v>1800004029</v>
      </c>
      <c r="B45" s="9" t="s">
        <v>49</v>
      </c>
      <c r="C45" s="10">
        <v>45736</v>
      </c>
      <c r="D45" s="13">
        <v>246779413885</v>
      </c>
      <c r="E45" s="9" t="s">
        <v>36</v>
      </c>
      <c r="F45" s="11">
        <v>138.87</v>
      </c>
      <c r="G45" s="9" t="s">
        <v>37</v>
      </c>
      <c r="H45" s="11">
        <v>12038.82</v>
      </c>
      <c r="I45" s="9" t="s">
        <v>91</v>
      </c>
    </row>
    <row r="46" spans="1:9" x14ac:dyDescent="0.35">
      <c r="A46" s="12">
        <v>1800012827</v>
      </c>
      <c r="B46" s="9" t="s">
        <v>49</v>
      </c>
      <c r="C46" s="10">
        <v>45917</v>
      </c>
      <c r="D46" s="13">
        <v>256779417461</v>
      </c>
      <c r="E46" s="9" t="s">
        <v>36</v>
      </c>
      <c r="F46" s="11">
        <v>31.72</v>
      </c>
      <c r="G46" s="9" t="s">
        <v>37</v>
      </c>
      <c r="H46" s="11">
        <v>2775.95</v>
      </c>
      <c r="I46" s="9" t="s">
        <v>55</v>
      </c>
    </row>
    <row r="47" spans="1:9" x14ac:dyDescent="0.35">
      <c r="A47" s="12">
        <v>1800012841</v>
      </c>
      <c r="B47" s="9" t="s">
        <v>49</v>
      </c>
      <c r="C47" s="10">
        <v>45917</v>
      </c>
      <c r="D47" s="13">
        <v>256779417475</v>
      </c>
      <c r="E47" s="9" t="s">
        <v>36</v>
      </c>
      <c r="F47" s="11">
        <v>13.59</v>
      </c>
      <c r="G47" s="9" t="s">
        <v>37</v>
      </c>
      <c r="H47" s="11">
        <v>1189.32</v>
      </c>
      <c r="I47" s="9" t="s">
        <v>56</v>
      </c>
    </row>
    <row r="48" spans="1:9" x14ac:dyDescent="0.35">
      <c r="A48" s="12">
        <v>1800001698</v>
      </c>
      <c r="B48" s="9" t="s">
        <v>49</v>
      </c>
      <c r="C48" s="10">
        <v>45730</v>
      </c>
      <c r="D48" s="13">
        <v>246779411363</v>
      </c>
      <c r="E48" s="9" t="s">
        <v>36</v>
      </c>
      <c r="F48" s="11">
        <v>6.56</v>
      </c>
      <c r="G48" s="9" t="s">
        <v>37</v>
      </c>
      <c r="H48" s="11">
        <v>568.69000000000005</v>
      </c>
      <c r="I48" s="9" t="s">
        <v>62</v>
      </c>
    </row>
    <row r="49" spans="1:9" x14ac:dyDescent="0.35">
      <c r="A49" s="12">
        <v>1800001699</v>
      </c>
      <c r="B49" s="9" t="s">
        <v>49</v>
      </c>
      <c r="C49" s="10">
        <v>45730</v>
      </c>
      <c r="D49" s="13">
        <v>246779411364</v>
      </c>
      <c r="E49" s="9" t="s">
        <v>36</v>
      </c>
      <c r="F49" s="11">
        <v>23.85</v>
      </c>
      <c r="G49" s="9" t="s">
        <v>37</v>
      </c>
      <c r="H49" s="11">
        <v>2067.59</v>
      </c>
      <c r="I49" s="9" t="s">
        <v>62</v>
      </c>
    </row>
    <row r="50" spans="1:9" x14ac:dyDescent="0.35">
      <c r="A50" s="12">
        <v>1800001694</v>
      </c>
      <c r="B50" s="9" t="s">
        <v>49</v>
      </c>
      <c r="C50" s="10">
        <v>45730</v>
      </c>
      <c r="D50" s="13">
        <v>246779411359</v>
      </c>
      <c r="E50" s="9" t="s">
        <v>36</v>
      </c>
      <c r="F50" s="11">
        <v>11.92</v>
      </c>
      <c r="G50" s="9" t="s">
        <v>37</v>
      </c>
      <c r="H50" s="11">
        <v>1033.3599999999999</v>
      </c>
      <c r="I50" s="9" t="s">
        <v>62</v>
      </c>
    </row>
    <row r="51" spans="1:9" x14ac:dyDescent="0.35">
      <c r="A51" s="12">
        <v>1800001695</v>
      </c>
      <c r="B51" s="9" t="s">
        <v>49</v>
      </c>
      <c r="C51" s="10">
        <v>45730</v>
      </c>
      <c r="D51" s="13">
        <v>246779411360</v>
      </c>
      <c r="E51" s="9" t="s">
        <v>36</v>
      </c>
      <c r="F51" s="11">
        <v>35.770000000000003</v>
      </c>
      <c r="G51" s="9" t="s">
        <v>37</v>
      </c>
      <c r="H51" s="11">
        <v>3100.95</v>
      </c>
      <c r="I51" s="9" t="s">
        <v>62</v>
      </c>
    </row>
    <row r="52" spans="1:9" x14ac:dyDescent="0.35">
      <c r="A52" s="12">
        <v>1800001696</v>
      </c>
      <c r="B52" s="9" t="s">
        <v>49</v>
      </c>
      <c r="C52" s="10">
        <v>45730</v>
      </c>
      <c r="D52" s="13">
        <v>246779411361</v>
      </c>
      <c r="E52" s="9" t="s">
        <v>36</v>
      </c>
      <c r="F52" s="11">
        <v>75.12</v>
      </c>
      <c r="G52" s="9" t="s">
        <v>37</v>
      </c>
      <c r="H52" s="11">
        <v>6512.25</v>
      </c>
      <c r="I52" s="9" t="s">
        <v>62</v>
      </c>
    </row>
    <row r="53" spans="1:9" x14ac:dyDescent="0.35">
      <c r="A53" s="12">
        <v>1800001697</v>
      </c>
      <c r="B53" s="9" t="s">
        <v>49</v>
      </c>
      <c r="C53" s="10">
        <v>45730</v>
      </c>
      <c r="D53" s="13">
        <v>246779411362</v>
      </c>
      <c r="E53" s="9" t="s">
        <v>36</v>
      </c>
      <c r="F53" s="11">
        <v>17.88</v>
      </c>
      <c r="G53" s="9" t="s">
        <v>37</v>
      </c>
      <c r="H53" s="11">
        <v>1550.04</v>
      </c>
      <c r="I53" s="9" t="s">
        <v>62</v>
      </c>
    </row>
    <row r="54" spans="1:9" x14ac:dyDescent="0.35">
      <c r="A54" s="12">
        <v>1800015172</v>
      </c>
      <c r="B54" s="9" t="s">
        <v>49</v>
      </c>
      <c r="C54" s="10">
        <v>45994</v>
      </c>
      <c r="D54" s="13">
        <v>256779419673</v>
      </c>
      <c r="E54" s="9" t="s">
        <v>36</v>
      </c>
      <c r="F54" s="11">
        <v>6.05</v>
      </c>
      <c r="G54" s="9" t="s">
        <v>37</v>
      </c>
      <c r="H54" s="11">
        <v>536.64</v>
      </c>
      <c r="I54" s="9" t="s">
        <v>115</v>
      </c>
    </row>
    <row r="55" spans="1:9" x14ac:dyDescent="0.35">
      <c r="A55" s="12">
        <v>1800013604</v>
      </c>
      <c r="B55" s="9" t="s">
        <v>49</v>
      </c>
      <c r="C55" s="10">
        <v>45937</v>
      </c>
      <c r="D55" s="13">
        <v>256779418128</v>
      </c>
      <c r="E55" s="9" t="s">
        <v>36</v>
      </c>
      <c r="F55" s="11">
        <v>24.78</v>
      </c>
      <c r="G55" s="9" t="s">
        <v>37</v>
      </c>
      <c r="H55" s="11">
        <v>2185.37</v>
      </c>
      <c r="I55" s="9" t="s">
        <v>118</v>
      </c>
    </row>
    <row r="56" spans="1:9" x14ac:dyDescent="0.35">
      <c r="A56" s="12">
        <v>1800016463</v>
      </c>
      <c r="B56" s="9" t="s">
        <v>49</v>
      </c>
      <c r="C56" s="10">
        <v>46028</v>
      </c>
      <c r="D56" s="13">
        <v>256779450508</v>
      </c>
      <c r="E56" s="9" t="s">
        <v>36</v>
      </c>
      <c r="F56" s="11">
        <v>33.75</v>
      </c>
      <c r="G56" s="9" t="s">
        <v>37</v>
      </c>
      <c r="H56" s="11">
        <v>3062.58</v>
      </c>
      <c r="I56" s="9" t="s">
        <v>124</v>
      </c>
    </row>
    <row r="57" spans="1:9" x14ac:dyDescent="0.35">
      <c r="A57" s="12">
        <v>1800016373</v>
      </c>
      <c r="B57" s="9" t="s">
        <v>49</v>
      </c>
      <c r="C57" s="10">
        <v>46034</v>
      </c>
      <c r="D57" s="13">
        <v>256779450540</v>
      </c>
      <c r="E57" s="9" t="s">
        <v>36</v>
      </c>
      <c r="F57" s="11">
        <v>2.95</v>
      </c>
      <c r="G57" s="9" t="s">
        <v>37</v>
      </c>
      <c r="H57" s="11">
        <v>267.69</v>
      </c>
      <c r="I57" s="9" t="s">
        <v>126</v>
      </c>
    </row>
    <row r="58" spans="1:9" x14ac:dyDescent="0.35">
      <c r="A58" s="12">
        <v>1800016709</v>
      </c>
      <c r="B58" s="9" t="s">
        <v>49</v>
      </c>
      <c r="C58" s="10">
        <v>46028</v>
      </c>
      <c r="D58" s="13">
        <v>256779450685</v>
      </c>
      <c r="E58" s="9" t="s">
        <v>36</v>
      </c>
      <c r="F58" s="11">
        <v>4.46</v>
      </c>
      <c r="G58" s="9" t="s">
        <v>37</v>
      </c>
      <c r="H58" s="11">
        <v>404.71</v>
      </c>
      <c r="I58" s="9" t="s">
        <v>128</v>
      </c>
    </row>
    <row r="59" spans="1:9" x14ac:dyDescent="0.35">
      <c r="A59" s="12">
        <v>1600000502</v>
      </c>
      <c r="B59" s="9" t="s">
        <v>51</v>
      </c>
      <c r="C59" s="10">
        <v>45791</v>
      </c>
      <c r="D59" s="13">
        <v>256779420211</v>
      </c>
      <c r="E59" s="9" t="s">
        <v>36</v>
      </c>
      <c r="F59" s="11">
        <v>-11.92</v>
      </c>
      <c r="G59" s="9" t="s">
        <v>37</v>
      </c>
      <c r="H59" s="11">
        <v>-1033.3599999999999</v>
      </c>
      <c r="I59" s="9" t="s">
        <v>75</v>
      </c>
    </row>
    <row r="60" spans="1:9" x14ac:dyDescent="0.35">
      <c r="A60" s="12">
        <v>1600000503</v>
      </c>
      <c r="B60" s="9" t="s">
        <v>51</v>
      </c>
      <c r="C60" s="10">
        <v>45791</v>
      </c>
      <c r="D60" s="13">
        <v>256779420212</v>
      </c>
      <c r="E60" s="9" t="s">
        <v>36</v>
      </c>
      <c r="F60" s="11">
        <v>-35.770000000000003</v>
      </c>
      <c r="G60" s="9" t="s">
        <v>37</v>
      </c>
      <c r="H60" s="11">
        <v>-3100.95</v>
      </c>
      <c r="I60" s="9" t="s">
        <v>74</v>
      </c>
    </row>
    <row r="61" spans="1:9" x14ac:dyDescent="0.35">
      <c r="A61" s="12">
        <v>1600000504</v>
      </c>
      <c r="B61" s="9" t="s">
        <v>51</v>
      </c>
      <c r="C61" s="10">
        <v>45791</v>
      </c>
      <c r="D61" s="13">
        <v>256779420213</v>
      </c>
      <c r="E61" s="9" t="s">
        <v>36</v>
      </c>
      <c r="F61" s="11">
        <v>-75.12</v>
      </c>
      <c r="G61" s="9" t="s">
        <v>37</v>
      </c>
      <c r="H61" s="11">
        <v>-6512.25</v>
      </c>
      <c r="I61" s="9" t="s">
        <v>76</v>
      </c>
    </row>
    <row r="62" spans="1:9" x14ac:dyDescent="0.35">
      <c r="A62" s="12">
        <v>1600000505</v>
      </c>
      <c r="B62" s="9" t="s">
        <v>51</v>
      </c>
      <c r="C62" s="10">
        <v>45791</v>
      </c>
      <c r="D62" s="13">
        <v>256779420214</v>
      </c>
      <c r="E62" s="9" t="s">
        <v>36</v>
      </c>
      <c r="F62" s="11">
        <v>-17.88</v>
      </c>
      <c r="G62" s="9" t="s">
        <v>37</v>
      </c>
      <c r="H62" s="11">
        <v>-1550.04</v>
      </c>
      <c r="I62" s="9" t="s">
        <v>77</v>
      </c>
    </row>
    <row r="63" spans="1:9" x14ac:dyDescent="0.35">
      <c r="A63" s="12">
        <v>1600000506</v>
      </c>
      <c r="B63" s="9" t="s">
        <v>51</v>
      </c>
      <c r="C63" s="10">
        <v>45791</v>
      </c>
      <c r="D63" s="13">
        <v>256779420215</v>
      </c>
      <c r="E63" s="9" t="s">
        <v>36</v>
      </c>
      <c r="F63" s="11">
        <v>-6.56</v>
      </c>
      <c r="G63" s="9" t="s">
        <v>37</v>
      </c>
      <c r="H63" s="11">
        <v>-568.69000000000005</v>
      </c>
      <c r="I63" s="9" t="s">
        <v>78</v>
      </c>
    </row>
    <row r="64" spans="1:9" x14ac:dyDescent="0.35">
      <c r="A64" s="12">
        <v>1600000507</v>
      </c>
      <c r="B64" s="9" t="s">
        <v>51</v>
      </c>
      <c r="C64" s="10">
        <v>45791</v>
      </c>
      <c r="D64" s="13">
        <v>256779420216</v>
      </c>
      <c r="E64" s="9" t="s">
        <v>36</v>
      </c>
      <c r="F64" s="11">
        <v>-23.85</v>
      </c>
      <c r="G64" s="9" t="s">
        <v>37</v>
      </c>
      <c r="H64" s="11">
        <v>-2067.59</v>
      </c>
      <c r="I64" s="9" t="s">
        <v>79</v>
      </c>
    </row>
    <row r="65" spans="1:9" x14ac:dyDescent="0.35">
      <c r="A65" s="12">
        <v>1600000638</v>
      </c>
      <c r="B65" s="9" t="s">
        <v>51</v>
      </c>
      <c r="C65" s="10">
        <v>45791</v>
      </c>
      <c r="D65" s="13">
        <v>256779420347</v>
      </c>
      <c r="E65" s="9" t="s">
        <v>36</v>
      </c>
      <c r="F65" s="11">
        <v>-11.92</v>
      </c>
      <c r="G65" s="9" t="s">
        <v>37</v>
      </c>
      <c r="H65" s="11">
        <v>-1033.3599999999999</v>
      </c>
      <c r="I65" s="9" t="s">
        <v>80</v>
      </c>
    </row>
    <row r="66" spans="1:9" x14ac:dyDescent="0.35">
      <c r="A66" s="12">
        <v>1600000639</v>
      </c>
      <c r="B66" s="9" t="s">
        <v>51</v>
      </c>
      <c r="C66" s="10">
        <v>45791</v>
      </c>
      <c r="D66" s="13">
        <v>256779420348</v>
      </c>
      <c r="E66" s="9" t="s">
        <v>36</v>
      </c>
      <c r="F66" s="11">
        <v>-35.770000000000003</v>
      </c>
      <c r="G66" s="9" t="s">
        <v>37</v>
      </c>
      <c r="H66" s="11">
        <v>-3100.95</v>
      </c>
      <c r="I66" s="9" t="s">
        <v>81</v>
      </c>
    </row>
    <row r="67" spans="1:9" x14ac:dyDescent="0.35">
      <c r="A67" s="12">
        <v>1600000640</v>
      </c>
      <c r="B67" s="9" t="s">
        <v>51</v>
      </c>
      <c r="C67" s="10">
        <v>45791</v>
      </c>
      <c r="D67" s="13">
        <v>256779420349</v>
      </c>
      <c r="E67" s="9" t="s">
        <v>36</v>
      </c>
      <c r="F67" s="11">
        <v>-75.12</v>
      </c>
      <c r="G67" s="9" t="s">
        <v>37</v>
      </c>
      <c r="H67" s="11">
        <v>-6512.25</v>
      </c>
      <c r="I67" s="9" t="s">
        <v>82</v>
      </c>
    </row>
    <row r="68" spans="1:9" x14ac:dyDescent="0.35">
      <c r="A68" s="12">
        <v>1600000641</v>
      </c>
      <c r="B68" s="9" t="s">
        <v>51</v>
      </c>
      <c r="C68" s="10">
        <v>45791</v>
      </c>
      <c r="D68" s="13">
        <v>256779420350</v>
      </c>
      <c r="E68" s="9" t="s">
        <v>36</v>
      </c>
      <c r="F68" s="11">
        <v>-17.88</v>
      </c>
      <c r="G68" s="9" t="s">
        <v>37</v>
      </c>
      <c r="H68" s="11">
        <v>-1550.04</v>
      </c>
      <c r="I68" s="9" t="s">
        <v>83</v>
      </c>
    </row>
    <row r="69" spans="1:9" x14ac:dyDescent="0.35">
      <c r="A69" s="12">
        <v>1600000642</v>
      </c>
      <c r="B69" s="9" t="s">
        <v>51</v>
      </c>
      <c r="C69" s="10">
        <v>45791</v>
      </c>
      <c r="D69" s="13">
        <v>256779420351</v>
      </c>
      <c r="E69" s="9" t="s">
        <v>36</v>
      </c>
      <c r="F69" s="11">
        <v>-6.56</v>
      </c>
      <c r="G69" s="9" t="s">
        <v>37</v>
      </c>
      <c r="H69" s="11">
        <v>-568.69000000000005</v>
      </c>
      <c r="I69" s="9" t="s">
        <v>84</v>
      </c>
    </row>
    <row r="70" spans="1:9" x14ac:dyDescent="0.35">
      <c r="A70" s="12">
        <v>1600000643</v>
      </c>
      <c r="B70" s="9" t="s">
        <v>51</v>
      </c>
      <c r="C70" s="10">
        <v>45791</v>
      </c>
      <c r="D70" s="13">
        <v>256779420352</v>
      </c>
      <c r="E70" s="9" t="s">
        <v>36</v>
      </c>
      <c r="F70" s="11">
        <v>-23.85</v>
      </c>
      <c r="G70" s="9" t="s">
        <v>37</v>
      </c>
      <c r="H70" s="11">
        <v>-2067.59</v>
      </c>
      <c r="I70" s="9" t="s">
        <v>85</v>
      </c>
    </row>
    <row r="71" spans="1:9" x14ac:dyDescent="0.35">
      <c r="A71" s="12">
        <v>1600002238</v>
      </c>
      <c r="B71" s="9" t="s">
        <v>51</v>
      </c>
      <c r="C71" s="10">
        <v>45919</v>
      </c>
      <c r="D71" s="13">
        <v>256779421793</v>
      </c>
      <c r="E71" s="9" t="s">
        <v>36</v>
      </c>
      <c r="F71" s="11">
        <v>-11.8</v>
      </c>
      <c r="G71" s="9" t="s">
        <v>37</v>
      </c>
      <c r="H71" s="11">
        <v>-1032.67</v>
      </c>
      <c r="I71" s="9" t="s">
        <v>52</v>
      </c>
    </row>
    <row r="72" spans="1:9" x14ac:dyDescent="0.35">
      <c r="A72" s="12">
        <v>1600002218</v>
      </c>
      <c r="B72" s="9" t="s">
        <v>51</v>
      </c>
      <c r="C72" s="10">
        <v>45919</v>
      </c>
      <c r="D72" s="13">
        <v>256779421773</v>
      </c>
      <c r="E72" s="9" t="s">
        <v>36</v>
      </c>
      <c r="F72" s="11">
        <v>-73.75</v>
      </c>
      <c r="G72" s="9" t="s">
        <v>37</v>
      </c>
      <c r="H72" s="11">
        <v>-6454.18</v>
      </c>
      <c r="I72" s="9" t="s">
        <v>100</v>
      </c>
    </row>
    <row r="73" spans="1:9" x14ac:dyDescent="0.35">
      <c r="A73" s="12">
        <v>1600002220</v>
      </c>
      <c r="B73" s="9" t="s">
        <v>51</v>
      </c>
      <c r="C73" s="10">
        <v>45919</v>
      </c>
      <c r="D73" s="13">
        <v>256779421775</v>
      </c>
      <c r="E73" s="9" t="s">
        <v>36</v>
      </c>
      <c r="F73" s="11">
        <v>-23.92</v>
      </c>
      <c r="G73" s="9" t="s">
        <v>37</v>
      </c>
      <c r="H73" s="11">
        <v>-2093.34</v>
      </c>
      <c r="I73" s="9" t="s">
        <v>101</v>
      </c>
    </row>
    <row r="74" spans="1:9" x14ac:dyDescent="0.35">
      <c r="A74" s="12">
        <v>1600002221</v>
      </c>
      <c r="B74" s="9" t="s">
        <v>51</v>
      </c>
      <c r="C74" s="10">
        <v>45919</v>
      </c>
      <c r="D74" s="13">
        <v>256779421776</v>
      </c>
      <c r="E74" s="9" t="s">
        <v>36</v>
      </c>
      <c r="F74" s="11">
        <v>-70.8</v>
      </c>
      <c r="G74" s="9" t="s">
        <v>37</v>
      </c>
      <c r="H74" s="11">
        <v>-6196.01</v>
      </c>
      <c r="I74" s="9" t="s">
        <v>102</v>
      </c>
    </row>
    <row r="75" spans="1:9" x14ac:dyDescent="0.35">
      <c r="A75" s="12">
        <v>1600002223</v>
      </c>
      <c r="B75" s="9" t="s">
        <v>51</v>
      </c>
      <c r="C75" s="10">
        <v>45919</v>
      </c>
      <c r="D75" s="13">
        <v>256779421778</v>
      </c>
      <c r="E75" s="9" t="s">
        <v>36</v>
      </c>
      <c r="F75" s="11">
        <v>-14.75</v>
      </c>
      <c r="G75" s="9" t="s">
        <v>37</v>
      </c>
      <c r="H75" s="11">
        <v>-1290.8399999999999</v>
      </c>
      <c r="I75" s="9" t="s">
        <v>103</v>
      </c>
    </row>
    <row r="76" spans="1:9" x14ac:dyDescent="0.35">
      <c r="A76" s="12">
        <v>1600002225</v>
      </c>
      <c r="B76" s="9" t="s">
        <v>51</v>
      </c>
      <c r="C76" s="10">
        <v>45919</v>
      </c>
      <c r="D76" s="13">
        <v>256779421780</v>
      </c>
      <c r="E76" s="9" t="s">
        <v>36</v>
      </c>
      <c r="F76" s="11">
        <v>-59</v>
      </c>
      <c r="G76" s="9" t="s">
        <v>37</v>
      </c>
      <c r="H76" s="11">
        <v>-5163.3500000000004</v>
      </c>
      <c r="I76" s="9" t="s">
        <v>104</v>
      </c>
    </row>
    <row r="77" spans="1:9" x14ac:dyDescent="0.35">
      <c r="A77" s="12">
        <v>1600002226</v>
      </c>
      <c r="B77" s="9" t="s">
        <v>51</v>
      </c>
      <c r="C77" s="10">
        <v>45919</v>
      </c>
      <c r="D77" s="13">
        <v>256779421781</v>
      </c>
      <c r="E77" s="9" t="s">
        <v>36</v>
      </c>
      <c r="F77" s="11">
        <v>-55.22</v>
      </c>
      <c r="G77" s="9" t="s">
        <v>37</v>
      </c>
      <c r="H77" s="11">
        <v>-4832.54</v>
      </c>
      <c r="I77" s="9" t="s">
        <v>105</v>
      </c>
    </row>
    <row r="78" spans="1:9" x14ac:dyDescent="0.35">
      <c r="A78" s="12">
        <v>1600002227</v>
      </c>
      <c r="B78" s="9" t="s">
        <v>51</v>
      </c>
      <c r="C78" s="10">
        <v>45919</v>
      </c>
      <c r="D78" s="13">
        <v>256779421782</v>
      </c>
      <c r="E78" s="9" t="s">
        <v>36</v>
      </c>
      <c r="F78" s="11">
        <v>-79.650000000000006</v>
      </c>
      <c r="G78" s="9" t="s">
        <v>37</v>
      </c>
      <c r="H78" s="11">
        <v>-6970.52</v>
      </c>
      <c r="I78" s="9" t="s">
        <v>106</v>
      </c>
    </row>
    <row r="79" spans="1:9" x14ac:dyDescent="0.35">
      <c r="A79" s="12">
        <v>1600002228</v>
      </c>
      <c r="B79" s="9" t="s">
        <v>51</v>
      </c>
      <c r="C79" s="10">
        <v>45919</v>
      </c>
      <c r="D79" s="13">
        <v>256779421783</v>
      </c>
      <c r="E79" s="9" t="s">
        <v>36</v>
      </c>
      <c r="F79" s="11">
        <v>-2.95</v>
      </c>
      <c r="G79" s="9" t="s">
        <v>37</v>
      </c>
      <c r="H79" s="11">
        <v>-258.17</v>
      </c>
      <c r="I79" s="9" t="s">
        <v>107</v>
      </c>
    </row>
    <row r="80" spans="1:9" x14ac:dyDescent="0.35">
      <c r="A80" s="12">
        <v>1600002229</v>
      </c>
      <c r="B80" s="9" t="s">
        <v>51</v>
      </c>
      <c r="C80" s="10">
        <v>45919</v>
      </c>
      <c r="D80" s="13">
        <v>256779421784</v>
      </c>
      <c r="E80" s="9" t="s">
        <v>36</v>
      </c>
      <c r="F80" s="11">
        <v>-27.41</v>
      </c>
      <c r="G80" s="9" t="s">
        <v>37</v>
      </c>
      <c r="H80" s="11">
        <v>-2398.77</v>
      </c>
      <c r="I80" s="9" t="s">
        <v>100</v>
      </c>
    </row>
    <row r="81" spans="1:9" x14ac:dyDescent="0.35">
      <c r="A81" s="12">
        <v>1600002231</v>
      </c>
      <c r="B81" s="9" t="s">
        <v>51</v>
      </c>
      <c r="C81" s="10">
        <v>45919</v>
      </c>
      <c r="D81" s="13">
        <v>256779421786</v>
      </c>
      <c r="E81" s="9" t="s">
        <v>36</v>
      </c>
      <c r="F81" s="11">
        <v>-21.62</v>
      </c>
      <c r="G81" s="9" t="s">
        <v>37</v>
      </c>
      <c r="H81" s="11">
        <v>-1892.06</v>
      </c>
      <c r="I81" s="9" t="s">
        <v>101</v>
      </c>
    </row>
    <row r="82" spans="1:9" x14ac:dyDescent="0.35">
      <c r="A82" s="12">
        <v>1600002232</v>
      </c>
      <c r="B82" s="9" t="s">
        <v>51</v>
      </c>
      <c r="C82" s="10">
        <v>45919</v>
      </c>
      <c r="D82" s="13">
        <v>256779421787</v>
      </c>
      <c r="E82" s="9" t="s">
        <v>36</v>
      </c>
      <c r="F82" s="11">
        <v>-25.99</v>
      </c>
      <c r="G82" s="9" t="s">
        <v>37</v>
      </c>
      <c r="H82" s="11">
        <v>-2274.5</v>
      </c>
      <c r="I82" s="9" t="s">
        <v>102</v>
      </c>
    </row>
    <row r="83" spans="1:9" x14ac:dyDescent="0.35">
      <c r="A83" s="12">
        <v>1600002234</v>
      </c>
      <c r="B83" s="9" t="s">
        <v>51</v>
      </c>
      <c r="C83" s="10">
        <v>45919</v>
      </c>
      <c r="D83" s="13">
        <v>256779421789</v>
      </c>
      <c r="E83" s="9" t="s">
        <v>36</v>
      </c>
      <c r="F83" s="11">
        <v>-4.07</v>
      </c>
      <c r="G83" s="9" t="s">
        <v>37</v>
      </c>
      <c r="H83" s="11">
        <v>-356.18</v>
      </c>
      <c r="I83" s="9" t="s">
        <v>103</v>
      </c>
    </row>
    <row r="84" spans="1:9" x14ac:dyDescent="0.35">
      <c r="A84" s="12">
        <v>1600002235</v>
      </c>
      <c r="B84" s="9" t="s">
        <v>51</v>
      </c>
      <c r="C84" s="10">
        <v>45919</v>
      </c>
      <c r="D84" s="13">
        <v>256779421790</v>
      </c>
      <c r="E84" s="9" t="s">
        <v>36</v>
      </c>
      <c r="F84" s="11">
        <v>-115.05</v>
      </c>
      <c r="G84" s="9" t="s">
        <v>37</v>
      </c>
      <c r="H84" s="11">
        <v>-10068.52</v>
      </c>
      <c r="I84" s="9" t="s">
        <v>108</v>
      </c>
    </row>
    <row r="85" spans="1:9" x14ac:dyDescent="0.35">
      <c r="A85" s="12">
        <v>1600002236</v>
      </c>
      <c r="B85" s="9" t="s">
        <v>51</v>
      </c>
      <c r="C85" s="10">
        <v>45919</v>
      </c>
      <c r="D85" s="13">
        <v>256779421791</v>
      </c>
      <c r="E85" s="9" t="s">
        <v>36</v>
      </c>
      <c r="F85" s="11">
        <v>-27.84</v>
      </c>
      <c r="G85" s="9" t="s">
        <v>37</v>
      </c>
      <c r="H85" s="11">
        <v>-2436.4</v>
      </c>
      <c r="I85" s="9" t="s">
        <v>108</v>
      </c>
    </row>
    <row r="86" spans="1:9" x14ac:dyDescent="0.35">
      <c r="A86" s="12">
        <v>1600002239</v>
      </c>
      <c r="B86" s="9" t="s">
        <v>51</v>
      </c>
      <c r="C86" s="10">
        <v>45919</v>
      </c>
      <c r="D86" s="13">
        <v>256779421794</v>
      </c>
      <c r="E86" s="9" t="s">
        <v>36</v>
      </c>
      <c r="F86" s="11">
        <v>-2.95</v>
      </c>
      <c r="G86" s="9" t="s">
        <v>37</v>
      </c>
      <c r="H86" s="11">
        <v>-258.17</v>
      </c>
      <c r="I86" s="9" t="s">
        <v>52</v>
      </c>
    </row>
    <row r="87" spans="1:9" x14ac:dyDescent="0.35">
      <c r="A87" s="12">
        <v>1600002240</v>
      </c>
      <c r="B87" s="9" t="s">
        <v>51</v>
      </c>
      <c r="C87" s="10">
        <v>45919</v>
      </c>
      <c r="D87" s="13">
        <v>256779421795</v>
      </c>
      <c r="E87" s="9" t="s">
        <v>36</v>
      </c>
      <c r="F87" s="11">
        <v>-19.95</v>
      </c>
      <c r="G87" s="9" t="s">
        <v>37</v>
      </c>
      <c r="H87" s="11">
        <v>-1745.91</v>
      </c>
      <c r="I87" s="9" t="s">
        <v>106</v>
      </c>
    </row>
    <row r="88" spans="1:9" x14ac:dyDescent="0.35">
      <c r="A88" s="12">
        <v>1600002241</v>
      </c>
      <c r="B88" s="9" t="s">
        <v>51</v>
      </c>
      <c r="C88" s="10">
        <v>45919</v>
      </c>
      <c r="D88" s="13">
        <v>256779421796</v>
      </c>
      <c r="E88" s="9" t="s">
        <v>36</v>
      </c>
      <c r="F88" s="11">
        <v>-88.5</v>
      </c>
      <c r="G88" s="9" t="s">
        <v>37</v>
      </c>
      <c r="H88" s="11">
        <v>-7745.02</v>
      </c>
      <c r="I88" s="9" t="s">
        <v>109</v>
      </c>
    </row>
    <row r="89" spans="1:9" x14ac:dyDescent="0.35">
      <c r="A89" s="12">
        <v>1600002242</v>
      </c>
      <c r="B89" s="9" t="s">
        <v>51</v>
      </c>
      <c r="C89" s="10">
        <v>45919</v>
      </c>
      <c r="D89" s="13">
        <v>256779421797</v>
      </c>
      <c r="E89" s="9" t="s">
        <v>36</v>
      </c>
      <c r="F89" s="11">
        <v>-21.79</v>
      </c>
      <c r="G89" s="9" t="s">
        <v>37</v>
      </c>
      <c r="H89" s="11">
        <v>-1906.94</v>
      </c>
      <c r="I89" s="9" t="s">
        <v>109</v>
      </c>
    </row>
    <row r="90" spans="1:9" x14ac:dyDescent="0.35">
      <c r="A90" s="12">
        <v>1600002219</v>
      </c>
      <c r="B90" s="9" t="s">
        <v>51</v>
      </c>
      <c r="C90" s="10">
        <v>45919</v>
      </c>
      <c r="D90" s="13">
        <v>256779421774</v>
      </c>
      <c r="E90" s="9" t="s">
        <v>36</v>
      </c>
      <c r="F90" s="11">
        <v>-38.35</v>
      </c>
      <c r="G90" s="9" t="s">
        <v>37</v>
      </c>
      <c r="H90" s="11">
        <v>-3356.17</v>
      </c>
      <c r="I90" s="9" t="s">
        <v>110</v>
      </c>
    </row>
    <row r="91" spans="1:9" x14ac:dyDescent="0.35">
      <c r="A91" s="12">
        <v>1600002222</v>
      </c>
      <c r="B91" s="9" t="s">
        <v>51</v>
      </c>
      <c r="C91" s="10">
        <v>45919</v>
      </c>
      <c r="D91" s="13">
        <v>256779421777</v>
      </c>
      <c r="E91" s="9" t="s">
        <v>36</v>
      </c>
      <c r="F91" s="11">
        <v>-8.85</v>
      </c>
      <c r="G91" s="9" t="s">
        <v>37</v>
      </c>
      <c r="H91" s="11">
        <v>-774.5</v>
      </c>
      <c r="I91" s="9" t="s">
        <v>111</v>
      </c>
    </row>
    <row r="92" spans="1:9" x14ac:dyDescent="0.35">
      <c r="A92" s="12">
        <v>1600002224</v>
      </c>
      <c r="B92" s="9" t="s">
        <v>51</v>
      </c>
      <c r="C92" s="10">
        <v>45919</v>
      </c>
      <c r="D92" s="13">
        <v>256779421779</v>
      </c>
      <c r="E92" s="9" t="s">
        <v>36</v>
      </c>
      <c r="F92" s="11">
        <v>-112.1</v>
      </c>
      <c r="G92" s="9" t="s">
        <v>37</v>
      </c>
      <c r="H92" s="11">
        <v>-9810.36</v>
      </c>
      <c r="I92" s="9" t="s">
        <v>99</v>
      </c>
    </row>
    <row r="93" spans="1:9" x14ac:dyDescent="0.35">
      <c r="A93" s="12">
        <v>1600002230</v>
      </c>
      <c r="B93" s="9" t="s">
        <v>51</v>
      </c>
      <c r="C93" s="10">
        <v>45919</v>
      </c>
      <c r="D93" s="13">
        <v>256779421785</v>
      </c>
      <c r="E93" s="9" t="s">
        <v>36</v>
      </c>
      <c r="F93" s="11">
        <v>-13.97</v>
      </c>
      <c r="G93" s="9" t="s">
        <v>37</v>
      </c>
      <c r="H93" s="11">
        <v>-1222.58</v>
      </c>
      <c r="I93" s="9" t="s">
        <v>110</v>
      </c>
    </row>
    <row r="94" spans="1:9" x14ac:dyDescent="0.35">
      <c r="A94" s="12">
        <v>1600002233</v>
      </c>
      <c r="B94" s="9" t="s">
        <v>51</v>
      </c>
      <c r="C94" s="10">
        <v>45919</v>
      </c>
      <c r="D94" s="13">
        <v>256779421788</v>
      </c>
      <c r="E94" s="9" t="s">
        <v>36</v>
      </c>
      <c r="F94" s="11">
        <v>-3.54</v>
      </c>
      <c r="G94" s="9" t="s">
        <v>37</v>
      </c>
      <c r="H94" s="11">
        <v>-309.8</v>
      </c>
      <c r="I94" s="9" t="s">
        <v>111</v>
      </c>
    </row>
    <row r="95" spans="1:9" x14ac:dyDescent="0.35">
      <c r="A95" s="12">
        <v>1600002518</v>
      </c>
      <c r="B95" s="9" t="s">
        <v>51</v>
      </c>
      <c r="C95" s="10">
        <v>45964</v>
      </c>
      <c r="D95" s="13">
        <v>256779422060</v>
      </c>
      <c r="E95" s="9" t="s">
        <v>36</v>
      </c>
      <c r="F95" s="11">
        <v>-11.92</v>
      </c>
      <c r="G95" s="9" t="s">
        <v>37</v>
      </c>
      <c r="H95" s="11">
        <v>-1049</v>
      </c>
      <c r="I95" s="9" t="s">
        <v>64</v>
      </c>
    </row>
    <row r="96" spans="1:9" x14ac:dyDescent="0.35">
      <c r="A96" s="12">
        <v>1600002519</v>
      </c>
      <c r="B96" s="9" t="s">
        <v>51</v>
      </c>
      <c r="C96" s="10">
        <v>45964</v>
      </c>
      <c r="D96" s="13">
        <v>256779422061</v>
      </c>
      <c r="E96" s="9" t="s">
        <v>36</v>
      </c>
      <c r="F96" s="11">
        <v>-35.770000000000003</v>
      </c>
      <c r="G96" s="9" t="s">
        <v>37</v>
      </c>
      <c r="H96" s="11">
        <v>-3147.88</v>
      </c>
      <c r="I96" s="9" t="s">
        <v>65</v>
      </c>
    </row>
    <row r="97" spans="1:9" x14ac:dyDescent="0.35">
      <c r="A97" s="12">
        <v>1600002520</v>
      </c>
      <c r="B97" s="9" t="s">
        <v>51</v>
      </c>
      <c r="C97" s="10">
        <v>45964</v>
      </c>
      <c r="D97" s="13">
        <v>256779422062</v>
      </c>
      <c r="E97" s="9" t="s">
        <v>36</v>
      </c>
      <c r="F97" s="11">
        <v>-75.12</v>
      </c>
      <c r="G97" s="9" t="s">
        <v>37</v>
      </c>
      <c r="H97" s="11">
        <v>-6610.81</v>
      </c>
      <c r="I97" s="9" t="s">
        <v>66</v>
      </c>
    </row>
    <row r="98" spans="1:9" x14ac:dyDescent="0.35">
      <c r="A98" s="12">
        <v>1600002521</v>
      </c>
      <c r="B98" s="9" t="s">
        <v>51</v>
      </c>
      <c r="C98" s="10">
        <v>45964</v>
      </c>
      <c r="D98" s="13">
        <v>256779422063</v>
      </c>
      <c r="E98" s="9" t="s">
        <v>36</v>
      </c>
      <c r="F98" s="11">
        <v>-17.88</v>
      </c>
      <c r="G98" s="9" t="s">
        <v>37</v>
      </c>
      <c r="H98" s="11">
        <v>-1573.5</v>
      </c>
      <c r="I98" s="9" t="s">
        <v>67</v>
      </c>
    </row>
    <row r="99" spans="1:9" x14ac:dyDescent="0.35">
      <c r="A99" s="12">
        <v>1600002522</v>
      </c>
      <c r="B99" s="9" t="s">
        <v>51</v>
      </c>
      <c r="C99" s="10">
        <v>45964</v>
      </c>
      <c r="D99" s="13">
        <v>256779422064</v>
      </c>
      <c r="E99" s="9" t="s">
        <v>36</v>
      </c>
      <c r="F99" s="11">
        <v>-6.56</v>
      </c>
      <c r="G99" s="9" t="s">
        <v>37</v>
      </c>
      <c r="H99" s="11">
        <v>-577.29999999999995</v>
      </c>
      <c r="I99" s="9" t="s">
        <v>68</v>
      </c>
    </row>
    <row r="100" spans="1:9" x14ac:dyDescent="0.35">
      <c r="A100" s="12">
        <v>1600002523</v>
      </c>
      <c r="B100" s="9" t="s">
        <v>51</v>
      </c>
      <c r="C100" s="10">
        <v>45964</v>
      </c>
      <c r="D100" s="13">
        <v>256779422065</v>
      </c>
      <c r="E100" s="9" t="s">
        <v>36</v>
      </c>
      <c r="F100" s="11">
        <v>-23.85</v>
      </c>
      <c r="G100" s="9" t="s">
        <v>37</v>
      </c>
      <c r="H100" s="11">
        <v>-2098.88</v>
      </c>
      <c r="I100" s="9" t="s">
        <v>69</v>
      </c>
    </row>
    <row r="101" spans="1:9" x14ac:dyDescent="0.35">
      <c r="A101" s="12">
        <v>1600002237</v>
      </c>
      <c r="B101" s="9" t="s">
        <v>51</v>
      </c>
      <c r="C101" s="10">
        <v>45919</v>
      </c>
      <c r="D101" s="13">
        <v>256779421792</v>
      </c>
      <c r="E101" s="9" t="s">
        <v>36</v>
      </c>
      <c r="F101" s="11">
        <v>-26.77</v>
      </c>
      <c r="G101" s="9" t="s">
        <v>37</v>
      </c>
      <c r="H101" s="11">
        <v>-2342.7600000000002</v>
      </c>
      <c r="I101" s="9" t="s">
        <v>99</v>
      </c>
    </row>
    <row r="102" spans="1:9" x14ac:dyDescent="0.35">
      <c r="F102" s="23">
        <f>SUM(F2:F101)</f>
        <v>346.04999999999956</v>
      </c>
    </row>
  </sheetData>
  <autoFilter ref="A1:I101" xr:uid="{E24CCC80-4C8A-4800-8F5A-36CAF46EF54F}">
    <sortState xmlns:xlrd2="http://schemas.microsoft.com/office/spreadsheetml/2017/richdata2" ref="A2:I101">
      <sortCondition descending="1" ref="B1:B1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1AE8-72E9-457C-A27F-8807DD351B72}">
  <sheetPr filterMode="1"/>
  <dimension ref="A1:N175"/>
  <sheetViews>
    <sheetView topLeftCell="D1" zoomScale="115" zoomScaleNormal="115" workbookViewId="0">
      <selection activeCell="O1" sqref="O1:O1048576"/>
    </sheetView>
  </sheetViews>
  <sheetFormatPr defaultRowHeight="14.5" x14ac:dyDescent="0.35"/>
  <cols>
    <col min="1" max="1" width="12.54296875" customWidth="1"/>
    <col min="2" max="2" width="4.7265625" customWidth="1"/>
    <col min="3" max="3" width="13.90625" bestFit="1" customWidth="1"/>
    <col min="4" max="4" width="17.1796875" customWidth="1"/>
    <col min="5" max="5" width="13.26953125" bestFit="1" customWidth="1"/>
    <col min="6" max="6" width="4" customWidth="1"/>
    <col min="7" max="7" width="9.453125" bestFit="1" customWidth="1"/>
    <col min="8" max="8" width="3.54296875" customWidth="1"/>
    <col min="9" max="9" width="9.453125" bestFit="1" customWidth="1"/>
    <col min="10" max="12" width="9.453125" customWidth="1"/>
    <col min="13" max="13" width="44.453125" bestFit="1" customWidth="1"/>
    <col min="14" max="14" width="16.7265625" bestFit="1" customWidth="1"/>
  </cols>
  <sheetData>
    <row r="1" spans="1:14" s="34" customFormat="1" ht="72.5" x14ac:dyDescent="0.35">
      <c r="A1" s="31" t="s">
        <v>22</v>
      </c>
      <c r="B1" s="32" t="s">
        <v>23</v>
      </c>
      <c r="C1" s="31" t="s">
        <v>24</v>
      </c>
      <c r="D1" s="31" t="s">
        <v>25</v>
      </c>
      <c r="E1" s="33" t="s">
        <v>26</v>
      </c>
      <c r="F1" s="32" t="s">
        <v>27</v>
      </c>
      <c r="G1" s="32" t="s">
        <v>28</v>
      </c>
      <c r="H1" s="32" t="s">
        <v>29</v>
      </c>
      <c r="I1" s="32" t="s">
        <v>30</v>
      </c>
      <c r="J1" s="32" t="s">
        <v>129</v>
      </c>
      <c r="K1" s="32"/>
      <c r="L1" s="32" t="s">
        <v>130</v>
      </c>
      <c r="M1" s="31" t="s">
        <v>31</v>
      </c>
      <c r="N1" s="31" t="s">
        <v>32</v>
      </c>
    </row>
    <row r="2" spans="1:14" hidden="1" x14ac:dyDescent="0.35">
      <c r="A2" s="12">
        <v>1400000032</v>
      </c>
      <c r="B2" s="9" t="s">
        <v>33</v>
      </c>
      <c r="C2" s="10">
        <v>45811</v>
      </c>
      <c r="D2" s="9">
        <v>2025032700149720</v>
      </c>
      <c r="E2" s="13" t="s">
        <v>35</v>
      </c>
      <c r="F2" s="9" t="s">
        <v>36</v>
      </c>
      <c r="G2" s="11">
        <v>-33.82</v>
      </c>
      <c r="H2" s="9" t="s">
        <v>37</v>
      </c>
      <c r="I2" s="11">
        <v>-2939.7</v>
      </c>
      <c r="J2" s="11" t="e">
        <f>_xlfn.XLOOKUP(E2,'Customer Data'!$A:$A,'Customer Data'!$C:$C,,0)</f>
        <v>#N/A</v>
      </c>
      <c r="K2" s="11"/>
      <c r="L2" s="11"/>
      <c r="M2" s="9" t="s">
        <v>38</v>
      </c>
      <c r="N2" s="12">
        <v>1400000032</v>
      </c>
    </row>
    <row r="3" spans="1:14" hidden="1" x14ac:dyDescent="0.35">
      <c r="A3" s="12">
        <v>1400000032</v>
      </c>
      <c r="B3" s="9" t="s">
        <v>33</v>
      </c>
      <c r="C3" s="10">
        <v>45811</v>
      </c>
      <c r="D3" s="9">
        <v>2025032700149720</v>
      </c>
      <c r="E3" s="13" t="s">
        <v>35</v>
      </c>
      <c r="F3" s="9" t="s">
        <v>36</v>
      </c>
      <c r="G3" s="11">
        <v>-194.93</v>
      </c>
      <c r="H3" s="9" t="s">
        <v>37</v>
      </c>
      <c r="I3" s="11">
        <v>-16904.64</v>
      </c>
      <c r="J3" s="11" t="e">
        <f>_xlfn.XLOOKUP(E3,'Customer Data'!$A:$A,'Customer Data'!$C:$C,,0)</f>
        <v>#N/A</v>
      </c>
      <c r="K3" s="11"/>
      <c r="L3" s="11"/>
      <c r="M3" s="9" t="s">
        <v>38</v>
      </c>
      <c r="N3" s="12">
        <v>1400000032</v>
      </c>
    </row>
    <row r="4" spans="1:14" x14ac:dyDescent="0.35">
      <c r="A4" s="12">
        <v>1800005707</v>
      </c>
      <c r="B4" s="9" t="s">
        <v>49</v>
      </c>
      <c r="C4" s="10">
        <v>45751</v>
      </c>
      <c r="D4" s="9" t="s">
        <v>34</v>
      </c>
      <c r="E4" s="13">
        <v>256779410599</v>
      </c>
      <c r="F4" s="9" t="s">
        <v>36</v>
      </c>
      <c r="G4" s="11">
        <v>2.5499999999999998</v>
      </c>
      <c r="H4" s="9" t="s">
        <v>37</v>
      </c>
      <c r="I4" s="11">
        <v>221.65</v>
      </c>
      <c r="J4" s="11" t="e">
        <f>_xlfn.XLOOKUP(E4,'Customer Data'!$A:$A,'Customer Data'!$C:$C,,0)</f>
        <v>#N/A</v>
      </c>
      <c r="K4" s="11"/>
      <c r="L4" s="11"/>
      <c r="M4" s="9" t="s">
        <v>53</v>
      </c>
      <c r="N4" s="12">
        <v>1400000032</v>
      </c>
    </row>
    <row r="5" spans="1:14" x14ac:dyDescent="0.35">
      <c r="A5" s="12">
        <v>1800002328</v>
      </c>
      <c r="B5" s="9" t="s">
        <v>49</v>
      </c>
      <c r="C5" s="10">
        <v>45733</v>
      </c>
      <c r="D5" s="9" t="s">
        <v>34</v>
      </c>
      <c r="E5" s="13">
        <v>246779411993</v>
      </c>
      <c r="F5" s="9" t="s">
        <v>36</v>
      </c>
      <c r="G5" s="11">
        <v>18.690000000000001</v>
      </c>
      <c r="H5" s="9" t="s">
        <v>37</v>
      </c>
      <c r="I5" s="11">
        <v>1620.26</v>
      </c>
      <c r="J5" s="11" t="e">
        <f>_xlfn.XLOOKUP(E5,'Customer Data'!$A:$A,'Customer Data'!$C:$C,,0)</f>
        <v>#N/A</v>
      </c>
      <c r="K5" s="11"/>
      <c r="L5" s="11"/>
      <c r="M5" s="9" t="s">
        <v>54</v>
      </c>
      <c r="N5" s="12">
        <v>1400000032</v>
      </c>
    </row>
    <row r="6" spans="1:14" x14ac:dyDescent="0.35">
      <c r="A6" s="12">
        <v>1800002329</v>
      </c>
      <c r="B6" s="9" t="s">
        <v>49</v>
      </c>
      <c r="C6" s="10">
        <v>45733</v>
      </c>
      <c r="D6" s="9" t="s">
        <v>34</v>
      </c>
      <c r="E6" s="13">
        <v>246779411994</v>
      </c>
      <c r="F6" s="9" t="s">
        <v>36</v>
      </c>
      <c r="G6" s="11">
        <v>18.690000000000001</v>
      </c>
      <c r="H6" s="9" t="s">
        <v>37</v>
      </c>
      <c r="I6" s="11">
        <v>1620.26</v>
      </c>
      <c r="J6" s="11" t="e">
        <f>_xlfn.XLOOKUP(E6,'Customer Data'!$A:$A,'Customer Data'!$C:$C,,0)</f>
        <v>#N/A</v>
      </c>
      <c r="K6" s="11"/>
      <c r="L6" s="11"/>
      <c r="M6" s="9" t="s">
        <v>54</v>
      </c>
      <c r="N6" s="12">
        <v>1400000032</v>
      </c>
    </row>
    <row r="7" spans="1:14" x14ac:dyDescent="0.35">
      <c r="A7" s="12">
        <v>1800002330</v>
      </c>
      <c r="B7" s="9" t="s">
        <v>49</v>
      </c>
      <c r="C7" s="10">
        <v>45733</v>
      </c>
      <c r="D7" s="9" t="s">
        <v>34</v>
      </c>
      <c r="E7" s="13">
        <v>246779411995</v>
      </c>
      <c r="F7" s="9" t="s">
        <v>36</v>
      </c>
      <c r="G7" s="11">
        <v>18.690000000000001</v>
      </c>
      <c r="H7" s="9" t="s">
        <v>37</v>
      </c>
      <c r="I7" s="11">
        <v>1620.26</v>
      </c>
      <c r="J7" s="11" t="e">
        <f>_xlfn.XLOOKUP(E7,'Customer Data'!$A:$A,'Customer Data'!$C:$C,,0)</f>
        <v>#N/A</v>
      </c>
      <c r="K7" s="11"/>
      <c r="L7" s="11"/>
      <c r="M7" s="9" t="s">
        <v>54</v>
      </c>
      <c r="N7" s="12">
        <v>1400000032</v>
      </c>
    </row>
    <row r="8" spans="1:14" x14ac:dyDescent="0.35">
      <c r="A8" s="12">
        <v>1800002331</v>
      </c>
      <c r="B8" s="9" t="s">
        <v>49</v>
      </c>
      <c r="C8" s="10">
        <v>45733</v>
      </c>
      <c r="D8" s="9" t="s">
        <v>34</v>
      </c>
      <c r="E8" s="13">
        <v>246779411996</v>
      </c>
      <c r="F8" s="9" t="s">
        <v>36</v>
      </c>
      <c r="G8" s="11">
        <v>18.690000000000001</v>
      </c>
      <c r="H8" s="9" t="s">
        <v>37</v>
      </c>
      <c r="I8" s="11">
        <v>1620.26</v>
      </c>
      <c r="J8" s="11" t="e">
        <f>_xlfn.XLOOKUP(E8,'Customer Data'!$A:$A,'Customer Data'!$C:$C,,0)</f>
        <v>#N/A</v>
      </c>
      <c r="K8" s="11"/>
      <c r="L8" s="11"/>
      <c r="M8" s="9" t="s">
        <v>54</v>
      </c>
      <c r="N8" s="12">
        <v>1400000032</v>
      </c>
    </row>
    <row r="9" spans="1:14" x14ac:dyDescent="0.35">
      <c r="A9" s="12">
        <v>1800006091</v>
      </c>
      <c r="B9" s="9" t="s">
        <v>49</v>
      </c>
      <c r="C9" s="10">
        <v>45762</v>
      </c>
      <c r="D9" s="9" t="s">
        <v>34</v>
      </c>
      <c r="E9" s="13">
        <v>256779410982</v>
      </c>
      <c r="F9" s="9" t="s">
        <v>36</v>
      </c>
      <c r="G9" s="11">
        <v>31.27</v>
      </c>
      <c r="H9" s="9" t="s">
        <v>37</v>
      </c>
      <c r="I9" s="11">
        <v>2718.05</v>
      </c>
      <c r="J9" s="11" t="e">
        <f>_xlfn.XLOOKUP(E9,'Customer Data'!$A:$A,'Customer Data'!$C:$C,,0)</f>
        <v>#N/A</v>
      </c>
      <c r="K9" s="11"/>
      <c r="L9" s="11"/>
      <c r="M9" s="9" t="s">
        <v>58</v>
      </c>
      <c r="N9" s="12">
        <v>1400000032</v>
      </c>
    </row>
    <row r="10" spans="1:14" x14ac:dyDescent="0.35">
      <c r="A10" s="12">
        <v>1800006938</v>
      </c>
      <c r="B10" s="9" t="s">
        <v>49</v>
      </c>
      <c r="C10" s="10">
        <v>45763</v>
      </c>
      <c r="D10" s="9" t="s">
        <v>34</v>
      </c>
      <c r="E10" s="13">
        <v>256779411829</v>
      </c>
      <c r="F10" s="9" t="s">
        <v>36</v>
      </c>
      <c r="G10" s="11">
        <v>2.95</v>
      </c>
      <c r="H10" s="9" t="s">
        <v>37</v>
      </c>
      <c r="I10" s="11">
        <v>256.42</v>
      </c>
      <c r="J10" s="11" t="e">
        <f>_xlfn.XLOOKUP(E10,'Customer Data'!$A:$A,'Customer Data'!$C:$C,,0)</f>
        <v>#N/A</v>
      </c>
      <c r="K10" s="11"/>
      <c r="L10" s="11"/>
      <c r="M10" s="9" t="s">
        <v>60</v>
      </c>
      <c r="N10" s="12">
        <v>1400000032</v>
      </c>
    </row>
    <row r="11" spans="1:14" x14ac:dyDescent="0.35">
      <c r="A11" s="12">
        <v>1800004208</v>
      </c>
      <c r="B11" s="9" t="s">
        <v>49</v>
      </c>
      <c r="C11" s="10">
        <v>45736</v>
      </c>
      <c r="D11" s="9" t="s">
        <v>34</v>
      </c>
      <c r="E11" s="13">
        <v>246779414076</v>
      </c>
      <c r="F11" s="9" t="s">
        <v>36</v>
      </c>
      <c r="G11" s="11">
        <v>4.87</v>
      </c>
      <c r="H11" s="9" t="s">
        <v>37</v>
      </c>
      <c r="I11" s="11">
        <v>422.19</v>
      </c>
      <c r="J11" s="11" t="e">
        <f>_xlfn.XLOOKUP(E11,'Customer Data'!$A:$A,'Customer Data'!$C:$C,,0)</f>
        <v>#N/A</v>
      </c>
      <c r="K11" s="11"/>
      <c r="L11" s="11"/>
      <c r="M11" s="9" t="s">
        <v>87</v>
      </c>
      <c r="N11" s="12">
        <v>1400000032</v>
      </c>
    </row>
    <row r="12" spans="1:14" x14ac:dyDescent="0.35">
      <c r="A12" s="12">
        <v>1800004209</v>
      </c>
      <c r="B12" s="9" t="s">
        <v>49</v>
      </c>
      <c r="C12" s="10">
        <v>45736</v>
      </c>
      <c r="D12" s="9" t="s">
        <v>34</v>
      </c>
      <c r="E12" s="13">
        <v>246779414077</v>
      </c>
      <c r="F12" s="9" t="s">
        <v>36</v>
      </c>
      <c r="G12" s="11">
        <v>28.32</v>
      </c>
      <c r="H12" s="9" t="s">
        <v>37</v>
      </c>
      <c r="I12" s="11">
        <v>2455.1</v>
      </c>
      <c r="J12" s="11" t="e">
        <f>_xlfn.XLOOKUP(E12,'Customer Data'!$A:$A,'Customer Data'!$C:$C,,0)</f>
        <v>#N/A</v>
      </c>
      <c r="K12" s="11"/>
      <c r="L12" s="11"/>
      <c r="M12" s="9" t="s">
        <v>88</v>
      </c>
      <c r="N12" s="12">
        <v>1400000032</v>
      </c>
    </row>
    <row r="13" spans="1:14" x14ac:dyDescent="0.35">
      <c r="A13" s="12">
        <v>1800004471</v>
      </c>
      <c r="B13" s="9" t="s">
        <v>49</v>
      </c>
      <c r="C13" s="10">
        <v>45736</v>
      </c>
      <c r="D13" s="9" t="s">
        <v>34</v>
      </c>
      <c r="E13" s="13">
        <v>246779414339</v>
      </c>
      <c r="F13" s="9" t="s">
        <v>36</v>
      </c>
      <c r="G13" s="11">
        <v>7.43</v>
      </c>
      <c r="H13" s="9" t="s">
        <v>37</v>
      </c>
      <c r="I13" s="11">
        <v>644.12</v>
      </c>
      <c r="J13" s="11" t="e">
        <f>_xlfn.XLOOKUP(E13,'Customer Data'!$A:$A,'Customer Data'!$C:$C,,0)</f>
        <v>#N/A</v>
      </c>
      <c r="K13" s="11"/>
      <c r="L13" s="11"/>
      <c r="M13" s="9" t="s">
        <v>89</v>
      </c>
      <c r="N13" s="12">
        <v>1400000032</v>
      </c>
    </row>
    <row r="14" spans="1:14" x14ac:dyDescent="0.35">
      <c r="A14" s="12">
        <v>1800004472</v>
      </c>
      <c r="B14" s="9" t="s">
        <v>49</v>
      </c>
      <c r="C14" s="10">
        <v>45736</v>
      </c>
      <c r="D14" s="9" t="s">
        <v>34</v>
      </c>
      <c r="E14" s="13">
        <v>246779414340</v>
      </c>
      <c r="F14" s="9" t="s">
        <v>36</v>
      </c>
      <c r="G14" s="11">
        <v>28.32</v>
      </c>
      <c r="H14" s="9" t="s">
        <v>37</v>
      </c>
      <c r="I14" s="11">
        <v>2455.1</v>
      </c>
      <c r="J14" s="11" t="e">
        <f>_xlfn.XLOOKUP(E14,'Customer Data'!$A:$A,'Customer Data'!$C:$C,,0)</f>
        <v>#N/A</v>
      </c>
      <c r="K14" s="11"/>
      <c r="L14" s="11"/>
      <c r="M14" s="9" t="s">
        <v>90</v>
      </c>
      <c r="N14" s="12">
        <v>1400000032</v>
      </c>
    </row>
    <row r="15" spans="1:14" x14ac:dyDescent="0.35">
      <c r="A15" s="12">
        <v>1800004305</v>
      </c>
      <c r="B15" s="9" t="s">
        <v>49</v>
      </c>
      <c r="C15" s="10">
        <v>45736</v>
      </c>
      <c r="D15" s="9" t="s">
        <v>34</v>
      </c>
      <c r="E15" s="13">
        <v>246779414173</v>
      </c>
      <c r="F15" s="9" t="s">
        <v>36</v>
      </c>
      <c r="G15" s="11">
        <v>2.95</v>
      </c>
      <c r="H15" s="9" t="s">
        <v>37</v>
      </c>
      <c r="I15" s="11">
        <v>255.74</v>
      </c>
      <c r="J15" s="11" t="e">
        <f>_xlfn.XLOOKUP(E15,'Customer Data'!$A:$A,'Customer Data'!$C:$C,,0)</f>
        <v>#N/A</v>
      </c>
      <c r="K15" s="11"/>
      <c r="L15" s="11"/>
      <c r="M15" s="9" t="s">
        <v>92</v>
      </c>
      <c r="N15" s="12">
        <v>1400000032</v>
      </c>
    </row>
    <row r="16" spans="1:14" x14ac:dyDescent="0.35">
      <c r="A16" s="12">
        <v>1800004685</v>
      </c>
      <c r="B16" s="9" t="s">
        <v>49</v>
      </c>
      <c r="C16" s="10">
        <v>45736</v>
      </c>
      <c r="D16" s="9" t="s">
        <v>34</v>
      </c>
      <c r="E16" s="13">
        <v>246779414553</v>
      </c>
      <c r="F16" s="9" t="s">
        <v>36</v>
      </c>
      <c r="G16" s="11">
        <v>4.87</v>
      </c>
      <c r="H16" s="9" t="s">
        <v>37</v>
      </c>
      <c r="I16" s="11">
        <v>422.19</v>
      </c>
      <c r="J16" s="11" t="e">
        <f>_xlfn.XLOOKUP(E16,'Customer Data'!$A:$A,'Customer Data'!$C:$C,,0)</f>
        <v>#N/A</v>
      </c>
      <c r="K16" s="11"/>
      <c r="L16" s="11"/>
      <c r="M16" s="9" t="s">
        <v>93</v>
      </c>
      <c r="N16" s="12">
        <v>1400000032</v>
      </c>
    </row>
    <row r="17" spans="1:14" x14ac:dyDescent="0.35">
      <c r="A17" s="12">
        <v>1800007299</v>
      </c>
      <c r="B17" s="9" t="s">
        <v>49</v>
      </c>
      <c r="C17" s="10">
        <v>45768</v>
      </c>
      <c r="D17" s="9" t="s">
        <v>34</v>
      </c>
      <c r="E17" s="13">
        <v>256779412190</v>
      </c>
      <c r="F17" s="9" t="s">
        <v>36</v>
      </c>
      <c r="G17" s="11">
        <v>1.91</v>
      </c>
      <c r="H17" s="9" t="s">
        <v>37</v>
      </c>
      <c r="I17" s="11">
        <v>166.02</v>
      </c>
      <c r="J17" s="11" t="e">
        <f>_xlfn.XLOOKUP(E17,'Customer Data'!$A:$A,'Customer Data'!$C:$C,,0)</f>
        <v>#N/A</v>
      </c>
      <c r="K17" s="11"/>
      <c r="L17" s="11"/>
      <c r="M17" s="9" t="s">
        <v>95</v>
      </c>
      <c r="N17" s="12">
        <v>1400000032</v>
      </c>
    </row>
    <row r="18" spans="1:14" x14ac:dyDescent="0.35">
      <c r="A18" s="12">
        <v>1800007458</v>
      </c>
      <c r="B18" s="9" t="s">
        <v>49</v>
      </c>
      <c r="C18" s="10">
        <v>45768</v>
      </c>
      <c r="D18" s="9" t="s">
        <v>34</v>
      </c>
      <c r="E18" s="13">
        <v>256779412349</v>
      </c>
      <c r="F18" s="9" t="s">
        <v>36</v>
      </c>
      <c r="G18" s="11">
        <v>8.92</v>
      </c>
      <c r="H18" s="9" t="s">
        <v>37</v>
      </c>
      <c r="I18" s="11">
        <v>775.34</v>
      </c>
      <c r="J18" s="11" t="e">
        <f>_xlfn.XLOOKUP(E18,'Customer Data'!$A:$A,'Customer Data'!$C:$C,,0)</f>
        <v>#N/A</v>
      </c>
      <c r="K18" s="11"/>
      <c r="L18" s="11"/>
      <c r="M18" s="9" t="s">
        <v>96</v>
      </c>
      <c r="N18" s="12">
        <v>1400000032</v>
      </c>
    </row>
    <row r="19" spans="1:14" x14ac:dyDescent="0.35">
      <c r="A19" s="12">
        <v>1800007488</v>
      </c>
      <c r="B19" s="9" t="s">
        <v>49</v>
      </c>
      <c r="C19" s="10">
        <v>45768</v>
      </c>
      <c r="D19" s="9" t="s">
        <v>34</v>
      </c>
      <c r="E19" s="13">
        <v>256779412379</v>
      </c>
      <c r="F19" s="9" t="s">
        <v>36</v>
      </c>
      <c r="G19" s="11">
        <v>11.79</v>
      </c>
      <c r="H19" s="9" t="s">
        <v>37</v>
      </c>
      <c r="I19" s="11">
        <v>1024.81</v>
      </c>
      <c r="J19" s="11" t="e">
        <f>_xlfn.XLOOKUP(E19,'Customer Data'!$A:$A,'Customer Data'!$C:$C,,0)</f>
        <v>#N/A</v>
      </c>
      <c r="K19" s="11"/>
      <c r="L19" s="11"/>
      <c r="M19" s="9" t="s">
        <v>97</v>
      </c>
      <c r="N19" s="12">
        <v>1400000032</v>
      </c>
    </row>
    <row r="20" spans="1:14" x14ac:dyDescent="0.35">
      <c r="A20" s="12">
        <v>1800002533</v>
      </c>
      <c r="B20" s="9" t="s">
        <v>49</v>
      </c>
      <c r="C20" s="10">
        <v>45734</v>
      </c>
      <c r="D20" s="9" t="s">
        <v>34</v>
      </c>
      <c r="E20" s="13">
        <v>246779412400</v>
      </c>
      <c r="F20" s="9" t="s">
        <v>36</v>
      </c>
      <c r="G20" s="11">
        <v>8.2799999999999994</v>
      </c>
      <c r="H20" s="9" t="s">
        <v>37</v>
      </c>
      <c r="I20" s="11">
        <v>717.8</v>
      </c>
      <c r="J20" s="11" t="e">
        <f>_xlfn.XLOOKUP(E20,'Customer Data'!$A:$A,'Customer Data'!$C:$C,,0)</f>
        <v>#N/A</v>
      </c>
      <c r="K20" s="11"/>
      <c r="L20" s="11"/>
      <c r="M20" s="9" t="s">
        <v>98</v>
      </c>
      <c r="N20" s="12">
        <v>1400000032</v>
      </c>
    </row>
    <row r="21" spans="1:14" x14ac:dyDescent="0.35">
      <c r="A21" s="12">
        <v>1800002538</v>
      </c>
      <c r="B21" s="9" t="s">
        <v>49</v>
      </c>
      <c r="C21" s="10">
        <v>45734</v>
      </c>
      <c r="D21" s="9" t="s">
        <v>34</v>
      </c>
      <c r="E21" s="13">
        <v>246779412405</v>
      </c>
      <c r="F21" s="9" t="s">
        <v>36</v>
      </c>
      <c r="G21" s="11">
        <v>9.56</v>
      </c>
      <c r="H21" s="9" t="s">
        <v>37</v>
      </c>
      <c r="I21" s="11">
        <v>828.77</v>
      </c>
      <c r="J21" s="11" t="e">
        <f>_xlfn.XLOOKUP(E21,'Customer Data'!$A:$A,'Customer Data'!$C:$C,,0)</f>
        <v>#N/A</v>
      </c>
      <c r="K21" s="11"/>
      <c r="L21" s="11"/>
      <c r="M21" s="9" t="s">
        <v>96</v>
      </c>
      <c r="N21" s="12">
        <v>1400000032</v>
      </c>
    </row>
    <row r="22" spans="1:14" hidden="1" x14ac:dyDescent="0.35">
      <c r="A22" s="12">
        <v>1400000503</v>
      </c>
      <c r="B22" s="9" t="s">
        <v>33</v>
      </c>
      <c r="C22" s="10">
        <v>45861</v>
      </c>
      <c r="D22" s="9" t="s">
        <v>34</v>
      </c>
      <c r="E22" s="13" t="s">
        <v>35</v>
      </c>
      <c r="F22" s="9" t="s">
        <v>36</v>
      </c>
      <c r="G22" s="11">
        <v>0</v>
      </c>
      <c r="H22" s="9" t="s">
        <v>37</v>
      </c>
      <c r="I22" s="11">
        <v>0</v>
      </c>
      <c r="J22" s="11" t="e">
        <f>_xlfn.XLOOKUP(E22,'Customer Data'!$A:$A,'Customer Data'!$C:$C,,0)</f>
        <v>#N/A</v>
      </c>
      <c r="K22" s="11"/>
      <c r="L22" s="11"/>
      <c r="M22" s="9" t="s">
        <v>35</v>
      </c>
      <c r="N22" s="12">
        <v>1400000503</v>
      </c>
    </row>
    <row r="23" spans="1:14" x14ac:dyDescent="0.35">
      <c r="A23" s="12">
        <v>1800001491</v>
      </c>
      <c r="B23" s="9" t="s">
        <v>49</v>
      </c>
      <c r="C23" s="10">
        <v>45730</v>
      </c>
      <c r="D23" s="9" t="s">
        <v>34</v>
      </c>
      <c r="E23" s="13">
        <v>246779412148</v>
      </c>
      <c r="F23" s="9" t="s">
        <v>36</v>
      </c>
      <c r="G23" s="11">
        <v>11.92</v>
      </c>
      <c r="H23" s="9" t="s">
        <v>37</v>
      </c>
      <c r="I23" s="11">
        <v>1033.3599999999999</v>
      </c>
      <c r="J23" s="11" t="e">
        <f>_xlfn.XLOOKUP(E23,'Customer Data'!$A:$A,'Customer Data'!$C:$C,,0)</f>
        <v>#N/A</v>
      </c>
      <c r="K23" s="11"/>
      <c r="L23" s="11"/>
      <c r="M23" s="9" t="s">
        <v>62</v>
      </c>
      <c r="N23" s="12">
        <v>1400000503</v>
      </c>
    </row>
    <row r="24" spans="1:14" x14ac:dyDescent="0.35">
      <c r="A24" s="12">
        <v>1600000502</v>
      </c>
      <c r="B24" s="9" t="s">
        <v>51</v>
      </c>
      <c r="C24" s="10">
        <v>45791</v>
      </c>
      <c r="D24" s="9" t="s">
        <v>34</v>
      </c>
      <c r="E24" s="13">
        <v>256779420211</v>
      </c>
      <c r="F24" s="9" t="s">
        <v>36</v>
      </c>
      <c r="G24" s="11">
        <v>-11.92</v>
      </c>
      <c r="H24" s="9" t="s">
        <v>37</v>
      </c>
      <c r="I24" s="11">
        <v>-1033.3599999999999</v>
      </c>
      <c r="J24" s="11" t="e">
        <f>_xlfn.XLOOKUP(E24,'Customer Data'!$A:$A,'Customer Data'!$C:$C,,0)</f>
        <v>#N/A</v>
      </c>
      <c r="K24" s="11"/>
      <c r="L24" s="11"/>
      <c r="M24" s="9" t="s">
        <v>75</v>
      </c>
      <c r="N24" s="12">
        <v>1400000503</v>
      </c>
    </row>
    <row r="25" spans="1:14" hidden="1" x14ac:dyDescent="0.35">
      <c r="A25" s="12">
        <v>1400000504</v>
      </c>
      <c r="B25" s="9" t="s">
        <v>33</v>
      </c>
      <c r="C25" s="10">
        <v>45861</v>
      </c>
      <c r="D25" s="9" t="s">
        <v>34</v>
      </c>
      <c r="E25" s="13" t="s">
        <v>35</v>
      </c>
      <c r="F25" s="9" t="s">
        <v>36</v>
      </c>
      <c r="G25" s="11">
        <v>0</v>
      </c>
      <c r="H25" s="9" t="s">
        <v>37</v>
      </c>
      <c r="I25" s="11">
        <v>0</v>
      </c>
      <c r="J25" s="11" t="e">
        <f>_xlfn.XLOOKUP(E25,'Customer Data'!$A:$A,'Customer Data'!$C:$C,,0)</f>
        <v>#N/A</v>
      </c>
      <c r="K25" s="11"/>
      <c r="L25" s="11"/>
      <c r="M25" s="9" t="s">
        <v>35</v>
      </c>
      <c r="N25" s="12">
        <v>1400000504</v>
      </c>
    </row>
    <row r="26" spans="1:14" x14ac:dyDescent="0.35">
      <c r="A26" s="12">
        <v>1800001492</v>
      </c>
      <c r="B26" s="9" t="s">
        <v>49</v>
      </c>
      <c r="C26" s="10">
        <v>45730</v>
      </c>
      <c r="D26" s="9" t="s">
        <v>34</v>
      </c>
      <c r="E26" s="13">
        <v>246779412149</v>
      </c>
      <c r="F26" s="9" t="s">
        <v>36</v>
      </c>
      <c r="G26" s="11">
        <v>35.770000000000003</v>
      </c>
      <c r="H26" s="9" t="s">
        <v>37</v>
      </c>
      <c r="I26" s="11">
        <v>3100.95</v>
      </c>
      <c r="J26" s="11" t="e">
        <f>_xlfn.XLOOKUP(E26,'Customer Data'!$A:$A,'Customer Data'!$C:$C,,0)</f>
        <v>#N/A</v>
      </c>
      <c r="K26" s="11"/>
      <c r="L26" s="11"/>
      <c r="M26" s="9" t="s">
        <v>62</v>
      </c>
      <c r="N26" s="12">
        <v>1400000504</v>
      </c>
    </row>
    <row r="27" spans="1:14" x14ac:dyDescent="0.35">
      <c r="A27" s="12">
        <v>1600000503</v>
      </c>
      <c r="B27" s="9" t="s">
        <v>51</v>
      </c>
      <c r="C27" s="10">
        <v>45791</v>
      </c>
      <c r="D27" s="9" t="s">
        <v>34</v>
      </c>
      <c r="E27" s="13">
        <v>256779420212</v>
      </c>
      <c r="F27" s="9" t="s">
        <v>36</v>
      </c>
      <c r="G27" s="11">
        <v>-35.770000000000003</v>
      </c>
      <c r="H27" s="9" t="s">
        <v>37</v>
      </c>
      <c r="I27" s="11">
        <v>-3100.95</v>
      </c>
      <c r="J27" s="11" t="e">
        <f>_xlfn.XLOOKUP(E27,'Customer Data'!$A:$A,'Customer Data'!$C:$C,,0)</f>
        <v>#N/A</v>
      </c>
      <c r="K27" s="11"/>
      <c r="L27" s="11"/>
      <c r="M27" s="9" t="s">
        <v>74</v>
      </c>
      <c r="N27" s="12">
        <v>1400000504</v>
      </c>
    </row>
    <row r="28" spans="1:14" hidden="1" x14ac:dyDescent="0.35">
      <c r="A28" s="12">
        <v>1400000505</v>
      </c>
      <c r="B28" s="9" t="s">
        <v>33</v>
      </c>
      <c r="C28" s="10">
        <v>45861</v>
      </c>
      <c r="D28" s="9" t="s">
        <v>34</v>
      </c>
      <c r="E28" s="13" t="s">
        <v>35</v>
      </c>
      <c r="F28" s="9" t="s">
        <v>36</v>
      </c>
      <c r="G28" s="11">
        <v>0</v>
      </c>
      <c r="H28" s="9" t="s">
        <v>37</v>
      </c>
      <c r="I28" s="11">
        <v>0</v>
      </c>
      <c r="J28" s="11" t="e">
        <f>_xlfn.XLOOKUP(E28,'Customer Data'!$A:$A,'Customer Data'!$C:$C,,0)</f>
        <v>#N/A</v>
      </c>
      <c r="K28" s="11"/>
      <c r="L28" s="11"/>
      <c r="M28" s="9" t="s">
        <v>35</v>
      </c>
      <c r="N28" s="12">
        <v>1400000505</v>
      </c>
    </row>
    <row r="29" spans="1:14" x14ac:dyDescent="0.35">
      <c r="A29" s="12">
        <v>1800001493</v>
      </c>
      <c r="B29" s="9" t="s">
        <v>49</v>
      </c>
      <c r="C29" s="10">
        <v>45730</v>
      </c>
      <c r="D29" s="9" t="s">
        <v>34</v>
      </c>
      <c r="E29" s="13">
        <v>246779412150</v>
      </c>
      <c r="F29" s="9" t="s">
        <v>36</v>
      </c>
      <c r="G29" s="11">
        <v>75.12</v>
      </c>
      <c r="H29" s="9" t="s">
        <v>37</v>
      </c>
      <c r="I29" s="11">
        <v>6512.25</v>
      </c>
      <c r="J29" s="11" t="e">
        <f>_xlfn.XLOOKUP(E29,'Customer Data'!$A:$A,'Customer Data'!$C:$C,,0)</f>
        <v>#N/A</v>
      </c>
      <c r="K29" s="11"/>
      <c r="L29" s="11"/>
      <c r="M29" s="9" t="s">
        <v>62</v>
      </c>
      <c r="N29" s="12">
        <v>1400000505</v>
      </c>
    </row>
    <row r="30" spans="1:14" x14ac:dyDescent="0.35">
      <c r="A30" s="12">
        <v>1600000504</v>
      </c>
      <c r="B30" s="9" t="s">
        <v>51</v>
      </c>
      <c r="C30" s="10">
        <v>45791</v>
      </c>
      <c r="D30" s="9" t="s">
        <v>34</v>
      </c>
      <c r="E30" s="13">
        <v>256779420213</v>
      </c>
      <c r="F30" s="9" t="s">
        <v>36</v>
      </c>
      <c r="G30" s="11">
        <v>-75.12</v>
      </c>
      <c r="H30" s="9" t="s">
        <v>37</v>
      </c>
      <c r="I30" s="11">
        <v>-6512.25</v>
      </c>
      <c r="J30" s="11" t="e">
        <f>_xlfn.XLOOKUP(E30,'Customer Data'!$A:$A,'Customer Data'!$C:$C,,0)</f>
        <v>#N/A</v>
      </c>
      <c r="K30" s="11"/>
      <c r="L30" s="11"/>
      <c r="M30" s="9" t="s">
        <v>76</v>
      </c>
      <c r="N30" s="12">
        <v>1400000505</v>
      </c>
    </row>
    <row r="31" spans="1:14" hidden="1" x14ac:dyDescent="0.35">
      <c r="A31" s="12">
        <v>1400000506</v>
      </c>
      <c r="B31" s="9" t="s">
        <v>33</v>
      </c>
      <c r="C31" s="10">
        <v>45861</v>
      </c>
      <c r="D31" s="9" t="s">
        <v>34</v>
      </c>
      <c r="E31" s="13" t="s">
        <v>35</v>
      </c>
      <c r="F31" s="9" t="s">
        <v>36</v>
      </c>
      <c r="G31" s="11">
        <v>0</v>
      </c>
      <c r="H31" s="9" t="s">
        <v>37</v>
      </c>
      <c r="I31" s="11">
        <v>0</v>
      </c>
      <c r="J31" s="11" t="e">
        <f>_xlfn.XLOOKUP(E31,'Customer Data'!$A:$A,'Customer Data'!$C:$C,,0)</f>
        <v>#N/A</v>
      </c>
      <c r="K31" s="11"/>
      <c r="L31" s="11"/>
      <c r="M31" s="9" t="s">
        <v>35</v>
      </c>
      <c r="N31" s="12">
        <v>1400000506</v>
      </c>
    </row>
    <row r="32" spans="1:14" x14ac:dyDescent="0.35">
      <c r="A32" s="12">
        <v>1800001494</v>
      </c>
      <c r="B32" s="9" t="s">
        <v>49</v>
      </c>
      <c r="C32" s="10">
        <v>45730</v>
      </c>
      <c r="D32" s="9" t="s">
        <v>34</v>
      </c>
      <c r="E32" s="13">
        <v>246779412151</v>
      </c>
      <c r="F32" s="9" t="s">
        <v>36</v>
      </c>
      <c r="G32" s="11">
        <v>17.88</v>
      </c>
      <c r="H32" s="9" t="s">
        <v>37</v>
      </c>
      <c r="I32" s="11">
        <v>1550.04</v>
      </c>
      <c r="J32" s="11" t="e">
        <f>_xlfn.XLOOKUP(E32,'Customer Data'!$A:$A,'Customer Data'!$C:$C,,0)</f>
        <v>#N/A</v>
      </c>
      <c r="K32" s="11"/>
      <c r="L32" s="11"/>
      <c r="M32" s="9" t="s">
        <v>62</v>
      </c>
      <c r="N32" s="12">
        <v>1400000506</v>
      </c>
    </row>
    <row r="33" spans="1:14" x14ac:dyDescent="0.35">
      <c r="A33" s="12">
        <v>1600000505</v>
      </c>
      <c r="B33" s="9" t="s">
        <v>51</v>
      </c>
      <c r="C33" s="10">
        <v>45791</v>
      </c>
      <c r="D33" s="9" t="s">
        <v>34</v>
      </c>
      <c r="E33" s="13">
        <v>256779420214</v>
      </c>
      <c r="F33" s="9" t="s">
        <v>36</v>
      </c>
      <c r="G33" s="11">
        <v>-17.88</v>
      </c>
      <c r="H33" s="9" t="s">
        <v>37</v>
      </c>
      <c r="I33" s="11">
        <v>-1550.04</v>
      </c>
      <c r="J33" s="11" t="e">
        <f>_xlfn.XLOOKUP(E33,'Customer Data'!$A:$A,'Customer Data'!$C:$C,,0)</f>
        <v>#N/A</v>
      </c>
      <c r="K33" s="11"/>
      <c r="L33" s="11"/>
      <c r="M33" s="9" t="s">
        <v>77</v>
      </c>
      <c r="N33" s="12">
        <v>1400000506</v>
      </c>
    </row>
    <row r="34" spans="1:14" hidden="1" x14ac:dyDescent="0.35">
      <c r="A34" s="12">
        <v>1400000507</v>
      </c>
      <c r="B34" s="9" t="s">
        <v>33</v>
      </c>
      <c r="C34" s="10">
        <v>45861</v>
      </c>
      <c r="D34" s="9" t="s">
        <v>34</v>
      </c>
      <c r="E34" s="13" t="s">
        <v>35</v>
      </c>
      <c r="F34" s="9" t="s">
        <v>36</v>
      </c>
      <c r="G34" s="11">
        <v>0</v>
      </c>
      <c r="H34" s="9" t="s">
        <v>37</v>
      </c>
      <c r="I34" s="11">
        <v>0</v>
      </c>
      <c r="J34" s="11" t="e">
        <f>_xlfn.XLOOKUP(E34,'Customer Data'!$A:$A,'Customer Data'!$C:$C,,0)</f>
        <v>#N/A</v>
      </c>
      <c r="K34" s="11"/>
      <c r="L34" s="11"/>
      <c r="M34" s="9" t="s">
        <v>35</v>
      </c>
      <c r="N34" s="12">
        <v>1400000507</v>
      </c>
    </row>
    <row r="35" spans="1:14" x14ac:dyDescent="0.35">
      <c r="A35" s="12">
        <v>1800001495</v>
      </c>
      <c r="B35" s="9" t="s">
        <v>49</v>
      </c>
      <c r="C35" s="10">
        <v>45730</v>
      </c>
      <c r="D35" s="9" t="s">
        <v>34</v>
      </c>
      <c r="E35" s="13">
        <v>246779412152</v>
      </c>
      <c r="F35" s="9" t="s">
        <v>36</v>
      </c>
      <c r="G35" s="11">
        <v>6.56</v>
      </c>
      <c r="H35" s="9" t="s">
        <v>37</v>
      </c>
      <c r="I35" s="11">
        <v>568.69000000000005</v>
      </c>
      <c r="J35" s="11" t="e">
        <f>_xlfn.XLOOKUP(E35,'Customer Data'!$A:$A,'Customer Data'!$C:$C,,0)</f>
        <v>#N/A</v>
      </c>
      <c r="K35" s="11"/>
      <c r="L35" s="11"/>
      <c r="M35" s="9" t="s">
        <v>62</v>
      </c>
      <c r="N35" s="12">
        <v>1400000507</v>
      </c>
    </row>
    <row r="36" spans="1:14" x14ac:dyDescent="0.35">
      <c r="A36" s="12">
        <v>1600000506</v>
      </c>
      <c r="B36" s="9" t="s">
        <v>51</v>
      </c>
      <c r="C36" s="10">
        <v>45791</v>
      </c>
      <c r="D36" s="9" t="s">
        <v>34</v>
      </c>
      <c r="E36" s="13">
        <v>256779420215</v>
      </c>
      <c r="F36" s="9" t="s">
        <v>36</v>
      </c>
      <c r="G36" s="11">
        <v>-6.56</v>
      </c>
      <c r="H36" s="9" t="s">
        <v>37</v>
      </c>
      <c r="I36" s="11">
        <v>-568.69000000000005</v>
      </c>
      <c r="J36" s="11" t="e">
        <f>_xlfn.XLOOKUP(E36,'Customer Data'!$A:$A,'Customer Data'!$C:$C,,0)</f>
        <v>#N/A</v>
      </c>
      <c r="K36" s="11"/>
      <c r="L36" s="11"/>
      <c r="M36" s="9" t="s">
        <v>78</v>
      </c>
      <c r="N36" s="12">
        <v>1400000507</v>
      </c>
    </row>
    <row r="37" spans="1:14" hidden="1" x14ac:dyDescent="0.35">
      <c r="A37" s="12">
        <v>1400000508</v>
      </c>
      <c r="B37" s="9" t="s">
        <v>33</v>
      </c>
      <c r="C37" s="10">
        <v>45861</v>
      </c>
      <c r="D37" s="9" t="s">
        <v>34</v>
      </c>
      <c r="E37" s="13" t="s">
        <v>35</v>
      </c>
      <c r="F37" s="9" t="s">
        <v>36</v>
      </c>
      <c r="G37" s="11">
        <v>0</v>
      </c>
      <c r="H37" s="9" t="s">
        <v>37</v>
      </c>
      <c r="I37" s="11">
        <v>0</v>
      </c>
      <c r="J37" s="11" t="e">
        <f>_xlfn.XLOOKUP(E37,'Customer Data'!$A:$A,'Customer Data'!$C:$C,,0)</f>
        <v>#N/A</v>
      </c>
      <c r="K37" s="11"/>
      <c r="L37" s="11"/>
      <c r="M37" s="9" t="s">
        <v>35</v>
      </c>
      <c r="N37" s="12">
        <v>1400000508</v>
      </c>
    </row>
    <row r="38" spans="1:14" x14ac:dyDescent="0.35">
      <c r="A38" s="12">
        <v>1800001496</v>
      </c>
      <c r="B38" s="9" t="s">
        <v>49</v>
      </c>
      <c r="C38" s="10">
        <v>45730</v>
      </c>
      <c r="D38" s="9" t="s">
        <v>34</v>
      </c>
      <c r="E38" s="13">
        <v>246779412153</v>
      </c>
      <c r="F38" s="9" t="s">
        <v>36</v>
      </c>
      <c r="G38" s="11">
        <v>23.85</v>
      </c>
      <c r="H38" s="9" t="s">
        <v>37</v>
      </c>
      <c r="I38" s="11">
        <v>2067.59</v>
      </c>
      <c r="J38" s="11" t="e">
        <f>_xlfn.XLOOKUP(E38,'Customer Data'!$A:$A,'Customer Data'!$C:$C,,0)</f>
        <v>#N/A</v>
      </c>
      <c r="K38" s="11"/>
      <c r="L38" s="11"/>
      <c r="M38" s="9" t="s">
        <v>62</v>
      </c>
      <c r="N38" s="12">
        <v>1400000508</v>
      </c>
    </row>
    <row r="39" spans="1:14" x14ac:dyDescent="0.35">
      <c r="A39" s="12">
        <v>1600000507</v>
      </c>
      <c r="B39" s="9" t="s">
        <v>51</v>
      </c>
      <c r="C39" s="10">
        <v>45791</v>
      </c>
      <c r="D39" s="9" t="s">
        <v>34</v>
      </c>
      <c r="E39" s="13">
        <v>256779420216</v>
      </c>
      <c r="F39" s="9" t="s">
        <v>36</v>
      </c>
      <c r="G39" s="11">
        <v>-23.85</v>
      </c>
      <c r="H39" s="9" t="s">
        <v>37</v>
      </c>
      <c r="I39" s="11">
        <v>-2067.59</v>
      </c>
      <c r="J39" s="11" t="e">
        <f>_xlfn.XLOOKUP(E39,'Customer Data'!$A:$A,'Customer Data'!$C:$C,,0)</f>
        <v>#N/A</v>
      </c>
      <c r="K39" s="11"/>
      <c r="L39" s="11"/>
      <c r="M39" s="9" t="s">
        <v>79</v>
      </c>
      <c r="N39" s="12">
        <v>1400000508</v>
      </c>
    </row>
    <row r="40" spans="1:14" hidden="1" x14ac:dyDescent="0.35">
      <c r="A40" s="12">
        <v>1400000509</v>
      </c>
      <c r="B40" s="9" t="s">
        <v>33</v>
      </c>
      <c r="C40" s="10">
        <v>45861</v>
      </c>
      <c r="D40" s="9" t="s">
        <v>34</v>
      </c>
      <c r="E40" s="13" t="s">
        <v>35</v>
      </c>
      <c r="F40" s="9" t="s">
        <v>36</v>
      </c>
      <c r="G40" s="11">
        <v>0</v>
      </c>
      <c r="H40" s="9" t="s">
        <v>37</v>
      </c>
      <c r="I40" s="11">
        <v>0</v>
      </c>
      <c r="J40" s="11" t="e">
        <f>_xlfn.XLOOKUP(E40,'Customer Data'!$A:$A,'Customer Data'!$C:$C,,0)</f>
        <v>#N/A</v>
      </c>
      <c r="K40" s="11"/>
      <c r="L40" s="11"/>
      <c r="M40" s="9" t="s">
        <v>35</v>
      </c>
      <c r="N40" s="12">
        <v>1400000509</v>
      </c>
    </row>
    <row r="41" spans="1:14" x14ac:dyDescent="0.35">
      <c r="A41" s="12">
        <v>1800001639</v>
      </c>
      <c r="B41" s="9" t="s">
        <v>49</v>
      </c>
      <c r="C41" s="10">
        <v>45730</v>
      </c>
      <c r="D41" s="9" t="s">
        <v>34</v>
      </c>
      <c r="E41" s="13">
        <v>246779412296</v>
      </c>
      <c r="F41" s="9" t="s">
        <v>36</v>
      </c>
      <c r="G41" s="11">
        <v>11.92</v>
      </c>
      <c r="H41" s="9" t="s">
        <v>37</v>
      </c>
      <c r="I41" s="11">
        <v>1033.3599999999999</v>
      </c>
      <c r="J41" s="11" t="e">
        <f>_xlfn.XLOOKUP(E41,'Customer Data'!$A:$A,'Customer Data'!$C:$C,,0)</f>
        <v>#N/A</v>
      </c>
      <c r="K41" s="11"/>
      <c r="L41" s="11"/>
      <c r="M41" s="9" t="s">
        <v>62</v>
      </c>
      <c r="N41" s="12">
        <v>1400000509</v>
      </c>
    </row>
    <row r="42" spans="1:14" x14ac:dyDescent="0.35">
      <c r="A42" s="12">
        <v>1600000638</v>
      </c>
      <c r="B42" s="9" t="s">
        <v>51</v>
      </c>
      <c r="C42" s="10">
        <v>45791</v>
      </c>
      <c r="D42" s="9" t="s">
        <v>34</v>
      </c>
      <c r="E42" s="13">
        <v>256779420347</v>
      </c>
      <c r="F42" s="9" t="s">
        <v>36</v>
      </c>
      <c r="G42" s="11">
        <v>-11.92</v>
      </c>
      <c r="H42" s="9" t="s">
        <v>37</v>
      </c>
      <c r="I42" s="11">
        <v>-1033.3599999999999</v>
      </c>
      <c r="J42" s="11" t="e">
        <f>_xlfn.XLOOKUP(E42,'Customer Data'!$A:$A,'Customer Data'!$C:$C,,0)</f>
        <v>#N/A</v>
      </c>
      <c r="K42" s="11"/>
      <c r="L42" s="11"/>
      <c r="M42" s="9" t="s">
        <v>80</v>
      </c>
      <c r="N42" s="12">
        <v>1400000509</v>
      </c>
    </row>
    <row r="43" spans="1:14" hidden="1" x14ac:dyDescent="0.35">
      <c r="A43" s="12">
        <v>1400000510</v>
      </c>
      <c r="B43" s="9" t="s">
        <v>33</v>
      </c>
      <c r="C43" s="10">
        <v>45861</v>
      </c>
      <c r="D43" s="9" t="s">
        <v>34</v>
      </c>
      <c r="E43" s="13" t="s">
        <v>35</v>
      </c>
      <c r="F43" s="9" t="s">
        <v>36</v>
      </c>
      <c r="G43" s="11">
        <v>0</v>
      </c>
      <c r="H43" s="9" t="s">
        <v>37</v>
      </c>
      <c r="I43" s="11">
        <v>0</v>
      </c>
      <c r="J43" s="11" t="e">
        <f>_xlfn.XLOOKUP(E43,'Customer Data'!$A:$A,'Customer Data'!$C:$C,,0)</f>
        <v>#N/A</v>
      </c>
      <c r="K43" s="11"/>
      <c r="L43" s="11"/>
      <c r="M43" s="9" t="s">
        <v>35</v>
      </c>
      <c r="N43" s="12">
        <v>1400000510</v>
      </c>
    </row>
    <row r="44" spans="1:14" x14ac:dyDescent="0.35">
      <c r="A44" s="12">
        <v>1800001640</v>
      </c>
      <c r="B44" s="9" t="s">
        <v>49</v>
      </c>
      <c r="C44" s="10">
        <v>45730</v>
      </c>
      <c r="D44" s="9" t="s">
        <v>34</v>
      </c>
      <c r="E44" s="13">
        <v>246779412297</v>
      </c>
      <c r="F44" s="9" t="s">
        <v>36</v>
      </c>
      <c r="G44" s="11">
        <v>35.770000000000003</v>
      </c>
      <c r="H44" s="9" t="s">
        <v>37</v>
      </c>
      <c r="I44" s="11">
        <v>3100.95</v>
      </c>
      <c r="J44" s="11" t="e">
        <f>_xlfn.XLOOKUP(E44,'Customer Data'!$A:$A,'Customer Data'!$C:$C,,0)</f>
        <v>#N/A</v>
      </c>
      <c r="K44" s="11"/>
      <c r="L44" s="11"/>
      <c r="M44" s="9" t="s">
        <v>62</v>
      </c>
      <c r="N44" s="12">
        <v>1400000510</v>
      </c>
    </row>
    <row r="45" spans="1:14" x14ac:dyDescent="0.35">
      <c r="A45" s="12">
        <v>1600000639</v>
      </c>
      <c r="B45" s="9" t="s">
        <v>51</v>
      </c>
      <c r="C45" s="10">
        <v>45791</v>
      </c>
      <c r="D45" s="9" t="s">
        <v>34</v>
      </c>
      <c r="E45" s="13">
        <v>256779420348</v>
      </c>
      <c r="F45" s="9" t="s">
        <v>36</v>
      </c>
      <c r="G45" s="11">
        <v>-35.770000000000003</v>
      </c>
      <c r="H45" s="9" t="s">
        <v>37</v>
      </c>
      <c r="I45" s="11">
        <v>-3100.95</v>
      </c>
      <c r="J45" s="11" t="e">
        <f>_xlfn.XLOOKUP(E45,'Customer Data'!$A:$A,'Customer Data'!$C:$C,,0)</f>
        <v>#N/A</v>
      </c>
      <c r="K45" s="11"/>
      <c r="L45" s="11"/>
      <c r="M45" s="9" t="s">
        <v>81</v>
      </c>
      <c r="N45" s="12">
        <v>1400000510</v>
      </c>
    </row>
    <row r="46" spans="1:14" hidden="1" x14ac:dyDescent="0.35">
      <c r="A46" s="12">
        <v>1400000511</v>
      </c>
      <c r="B46" s="9" t="s">
        <v>33</v>
      </c>
      <c r="C46" s="10">
        <v>45861</v>
      </c>
      <c r="D46" s="9" t="s">
        <v>34</v>
      </c>
      <c r="E46" s="13" t="s">
        <v>35</v>
      </c>
      <c r="F46" s="9" t="s">
        <v>36</v>
      </c>
      <c r="G46" s="11">
        <v>0</v>
      </c>
      <c r="H46" s="9" t="s">
        <v>37</v>
      </c>
      <c r="I46" s="11">
        <v>0</v>
      </c>
      <c r="J46" s="11" t="e">
        <f>_xlfn.XLOOKUP(E46,'Customer Data'!$A:$A,'Customer Data'!$C:$C,,0)</f>
        <v>#N/A</v>
      </c>
      <c r="K46" s="11"/>
      <c r="L46" s="11"/>
      <c r="M46" s="9" t="s">
        <v>35</v>
      </c>
      <c r="N46" s="12">
        <v>1400000511</v>
      </c>
    </row>
    <row r="47" spans="1:14" x14ac:dyDescent="0.35">
      <c r="A47" s="12">
        <v>1800001641</v>
      </c>
      <c r="B47" s="9" t="s">
        <v>49</v>
      </c>
      <c r="C47" s="10">
        <v>45730</v>
      </c>
      <c r="D47" s="9" t="s">
        <v>34</v>
      </c>
      <c r="E47" s="13">
        <v>246779412298</v>
      </c>
      <c r="F47" s="9" t="s">
        <v>36</v>
      </c>
      <c r="G47" s="11">
        <v>75.12</v>
      </c>
      <c r="H47" s="9" t="s">
        <v>37</v>
      </c>
      <c r="I47" s="11">
        <v>6512.25</v>
      </c>
      <c r="J47" s="11" t="e">
        <f>_xlfn.XLOOKUP(E47,'Customer Data'!$A:$A,'Customer Data'!$C:$C,,0)</f>
        <v>#N/A</v>
      </c>
      <c r="K47" s="11"/>
      <c r="L47" s="11"/>
      <c r="M47" s="9" t="s">
        <v>62</v>
      </c>
      <c r="N47" s="12">
        <v>1400000511</v>
      </c>
    </row>
    <row r="48" spans="1:14" x14ac:dyDescent="0.35">
      <c r="A48" s="12">
        <v>1600000640</v>
      </c>
      <c r="B48" s="9" t="s">
        <v>51</v>
      </c>
      <c r="C48" s="10">
        <v>45791</v>
      </c>
      <c r="D48" s="9" t="s">
        <v>34</v>
      </c>
      <c r="E48" s="13">
        <v>256779420349</v>
      </c>
      <c r="F48" s="9" t="s">
        <v>36</v>
      </c>
      <c r="G48" s="11">
        <v>-75.12</v>
      </c>
      <c r="H48" s="9" t="s">
        <v>37</v>
      </c>
      <c r="I48" s="11">
        <v>-6512.25</v>
      </c>
      <c r="J48" s="11" t="e">
        <f>_xlfn.XLOOKUP(E48,'Customer Data'!$A:$A,'Customer Data'!$C:$C,,0)</f>
        <v>#N/A</v>
      </c>
      <c r="K48" s="11"/>
      <c r="L48" s="11"/>
      <c r="M48" s="9" t="s">
        <v>82</v>
      </c>
      <c r="N48" s="12">
        <v>1400000511</v>
      </c>
    </row>
    <row r="49" spans="1:14" hidden="1" x14ac:dyDescent="0.35">
      <c r="A49" s="12">
        <v>1400000512</v>
      </c>
      <c r="B49" s="9" t="s">
        <v>33</v>
      </c>
      <c r="C49" s="10">
        <v>45861</v>
      </c>
      <c r="D49" s="9" t="s">
        <v>34</v>
      </c>
      <c r="E49" s="13" t="s">
        <v>35</v>
      </c>
      <c r="F49" s="9" t="s">
        <v>36</v>
      </c>
      <c r="G49" s="11">
        <v>0</v>
      </c>
      <c r="H49" s="9" t="s">
        <v>37</v>
      </c>
      <c r="I49" s="11">
        <v>0</v>
      </c>
      <c r="J49" s="11" t="e">
        <f>_xlfn.XLOOKUP(E49,'Customer Data'!$A:$A,'Customer Data'!$C:$C,,0)</f>
        <v>#N/A</v>
      </c>
      <c r="K49" s="11"/>
      <c r="L49" s="11"/>
      <c r="M49" s="9" t="s">
        <v>35</v>
      </c>
      <c r="N49" s="12">
        <v>1400000512</v>
      </c>
    </row>
    <row r="50" spans="1:14" x14ac:dyDescent="0.35">
      <c r="A50" s="12">
        <v>1800001642</v>
      </c>
      <c r="B50" s="9" t="s">
        <v>49</v>
      </c>
      <c r="C50" s="10">
        <v>45730</v>
      </c>
      <c r="D50" s="9" t="s">
        <v>34</v>
      </c>
      <c r="E50" s="13">
        <v>246779412299</v>
      </c>
      <c r="F50" s="9" t="s">
        <v>36</v>
      </c>
      <c r="G50" s="11">
        <v>17.88</v>
      </c>
      <c r="H50" s="9" t="s">
        <v>37</v>
      </c>
      <c r="I50" s="11">
        <v>1550.04</v>
      </c>
      <c r="J50" s="11" t="e">
        <f>_xlfn.XLOOKUP(E50,'Customer Data'!$A:$A,'Customer Data'!$C:$C,,0)</f>
        <v>#N/A</v>
      </c>
      <c r="K50" s="11"/>
      <c r="L50" s="11"/>
      <c r="M50" s="9" t="s">
        <v>62</v>
      </c>
      <c r="N50" s="12">
        <v>1400000512</v>
      </c>
    </row>
    <row r="51" spans="1:14" x14ac:dyDescent="0.35">
      <c r="A51" s="12">
        <v>1600000641</v>
      </c>
      <c r="B51" s="9" t="s">
        <v>51</v>
      </c>
      <c r="C51" s="10">
        <v>45791</v>
      </c>
      <c r="D51" s="9" t="s">
        <v>34</v>
      </c>
      <c r="E51" s="13">
        <v>256779420350</v>
      </c>
      <c r="F51" s="9" t="s">
        <v>36</v>
      </c>
      <c r="G51" s="11">
        <v>-17.88</v>
      </c>
      <c r="H51" s="9" t="s">
        <v>37</v>
      </c>
      <c r="I51" s="11">
        <v>-1550.04</v>
      </c>
      <c r="J51" s="11" t="e">
        <f>_xlfn.XLOOKUP(E51,'Customer Data'!$A:$A,'Customer Data'!$C:$C,,0)</f>
        <v>#N/A</v>
      </c>
      <c r="K51" s="11"/>
      <c r="L51" s="11"/>
      <c r="M51" s="9" t="s">
        <v>83</v>
      </c>
      <c r="N51" s="12">
        <v>1400000512</v>
      </c>
    </row>
    <row r="52" spans="1:14" hidden="1" x14ac:dyDescent="0.35">
      <c r="A52" s="12">
        <v>1400000513</v>
      </c>
      <c r="B52" s="9" t="s">
        <v>33</v>
      </c>
      <c r="C52" s="10">
        <v>45861</v>
      </c>
      <c r="D52" s="9" t="s">
        <v>34</v>
      </c>
      <c r="E52" s="13" t="s">
        <v>35</v>
      </c>
      <c r="F52" s="9" t="s">
        <v>36</v>
      </c>
      <c r="G52" s="11">
        <v>0</v>
      </c>
      <c r="H52" s="9" t="s">
        <v>37</v>
      </c>
      <c r="I52" s="11">
        <v>0</v>
      </c>
      <c r="J52" s="11" t="e">
        <f>_xlfn.XLOOKUP(E52,'Customer Data'!$A:$A,'Customer Data'!$C:$C,,0)</f>
        <v>#N/A</v>
      </c>
      <c r="K52" s="11"/>
      <c r="L52" s="11"/>
      <c r="M52" s="9" t="s">
        <v>35</v>
      </c>
      <c r="N52" s="12">
        <v>1400000513</v>
      </c>
    </row>
    <row r="53" spans="1:14" x14ac:dyDescent="0.35">
      <c r="A53" s="12">
        <v>1800001643</v>
      </c>
      <c r="B53" s="9" t="s">
        <v>49</v>
      </c>
      <c r="C53" s="10">
        <v>45730</v>
      </c>
      <c r="D53" s="9" t="s">
        <v>34</v>
      </c>
      <c r="E53" s="13">
        <v>246779412300</v>
      </c>
      <c r="F53" s="9" t="s">
        <v>36</v>
      </c>
      <c r="G53" s="11">
        <v>6.56</v>
      </c>
      <c r="H53" s="9" t="s">
        <v>37</v>
      </c>
      <c r="I53" s="11">
        <v>568.69000000000005</v>
      </c>
      <c r="J53" s="11" t="e">
        <f>_xlfn.XLOOKUP(E53,'Customer Data'!$A:$A,'Customer Data'!$C:$C,,0)</f>
        <v>#N/A</v>
      </c>
      <c r="K53" s="11"/>
      <c r="L53" s="11"/>
      <c r="M53" s="9" t="s">
        <v>62</v>
      </c>
      <c r="N53" s="12">
        <v>1400000513</v>
      </c>
    </row>
    <row r="54" spans="1:14" x14ac:dyDescent="0.35">
      <c r="A54" s="12">
        <v>1600000642</v>
      </c>
      <c r="B54" s="9" t="s">
        <v>51</v>
      </c>
      <c r="C54" s="10">
        <v>45791</v>
      </c>
      <c r="D54" s="9" t="s">
        <v>34</v>
      </c>
      <c r="E54" s="13">
        <v>256779420351</v>
      </c>
      <c r="F54" s="9" t="s">
        <v>36</v>
      </c>
      <c r="G54" s="11">
        <v>-6.56</v>
      </c>
      <c r="H54" s="9" t="s">
        <v>37</v>
      </c>
      <c r="I54" s="11">
        <v>-568.69000000000005</v>
      </c>
      <c r="J54" s="11" t="e">
        <f>_xlfn.XLOOKUP(E54,'Customer Data'!$A:$A,'Customer Data'!$C:$C,,0)</f>
        <v>#N/A</v>
      </c>
      <c r="K54" s="11"/>
      <c r="L54" s="11"/>
      <c r="M54" s="9" t="s">
        <v>84</v>
      </c>
      <c r="N54" s="12">
        <v>1400000513</v>
      </c>
    </row>
    <row r="55" spans="1:14" hidden="1" x14ac:dyDescent="0.35">
      <c r="A55" s="12">
        <v>1400000514</v>
      </c>
      <c r="B55" s="9" t="s">
        <v>33</v>
      </c>
      <c r="C55" s="10">
        <v>45861</v>
      </c>
      <c r="D55" s="9" t="s">
        <v>34</v>
      </c>
      <c r="E55" s="13" t="s">
        <v>35</v>
      </c>
      <c r="F55" s="9" t="s">
        <v>36</v>
      </c>
      <c r="G55" s="11">
        <v>0</v>
      </c>
      <c r="H55" s="9" t="s">
        <v>37</v>
      </c>
      <c r="I55" s="11">
        <v>0</v>
      </c>
      <c r="J55" s="11" t="e">
        <f>_xlfn.XLOOKUP(E55,'Customer Data'!$A:$A,'Customer Data'!$C:$C,,0)</f>
        <v>#N/A</v>
      </c>
      <c r="K55" s="11"/>
      <c r="L55" s="11"/>
      <c r="M55" s="9" t="s">
        <v>35</v>
      </c>
      <c r="N55" s="12">
        <v>1400000514</v>
      </c>
    </row>
    <row r="56" spans="1:14" x14ac:dyDescent="0.35">
      <c r="A56" s="12">
        <v>1800001644</v>
      </c>
      <c r="B56" s="9" t="s">
        <v>49</v>
      </c>
      <c r="C56" s="10">
        <v>45730</v>
      </c>
      <c r="D56" s="9" t="s">
        <v>34</v>
      </c>
      <c r="E56" s="13">
        <v>246779412301</v>
      </c>
      <c r="F56" s="9" t="s">
        <v>36</v>
      </c>
      <c r="G56" s="11">
        <v>23.85</v>
      </c>
      <c r="H56" s="9" t="s">
        <v>37</v>
      </c>
      <c r="I56" s="11">
        <v>2067.59</v>
      </c>
      <c r="J56" s="11" t="e">
        <f>_xlfn.XLOOKUP(E56,'Customer Data'!$A:$A,'Customer Data'!$C:$C,,0)</f>
        <v>#N/A</v>
      </c>
      <c r="K56" s="11"/>
      <c r="L56" s="11"/>
      <c r="M56" s="9" t="s">
        <v>62</v>
      </c>
      <c r="N56" s="12">
        <v>1400000514</v>
      </c>
    </row>
    <row r="57" spans="1:14" x14ac:dyDescent="0.35">
      <c r="A57" s="12">
        <v>1600000643</v>
      </c>
      <c r="B57" s="9" t="s">
        <v>51</v>
      </c>
      <c r="C57" s="10">
        <v>45791</v>
      </c>
      <c r="D57" s="9" t="s">
        <v>34</v>
      </c>
      <c r="E57" s="13">
        <v>256779420352</v>
      </c>
      <c r="F57" s="9" t="s">
        <v>36</v>
      </c>
      <c r="G57" s="11">
        <v>-23.85</v>
      </c>
      <c r="H57" s="9" t="s">
        <v>37</v>
      </c>
      <c r="I57" s="11">
        <v>-2067.59</v>
      </c>
      <c r="J57" s="11" t="e">
        <f>_xlfn.XLOOKUP(E57,'Customer Data'!$A:$A,'Customer Data'!$C:$C,,0)</f>
        <v>#N/A</v>
      </c>
      <c r="K57" s="11"/>
      <c r="L57" s="11"/>
      <c r="M57" s="9" t="s">
        <v>85</v>
      </c>
      <c r="N57" s="12">
        <v>1400000514</v>
      </c>
    </row>
    <row r="58" spans="1:14" hidden="1" x14ac:dyDescent="0.35">
      <c r="A58" s="12">
        <v>1400001519</v>
      </c>
      <c r="B58" s="9" t="s">
        <v>33</v>
      </c>
      <c r="C58" s="10">
        <v>45958</v>
      </c>
      <c r="D58" s="9" t="s">
        <v>47</v>
      </c>
      <c r="E58" s="13" t="s">
        <v>35</v>
      </c>
      <c r="F58" s="9" t="s">
        <v>36</v>
      </c>
      <c r="G58" s="11">
        <v>-31.2</v>
      </c>
      <c r="H58" s="9" t="s">
        <v>37</v>
      </c>
      <c r="I58" s="11">
        <v>-2683.22</v>
      </c>
      <c r="J58" s="11" t="e">
        <f>_xlfn.XLOOKUP(E58,'Customer Data'!$A:$A,'Customer Data'!$C:$C,,0)</f>
        <v>#N/A</v>
      </c>
      <c r="K58" s="11"/>
      <c r="L58" s="11"/>
      <c r="M58" s="9" t="s">
        <v>47</v>
      </c>
      <c r="N58" s="12">
        <v>1400001519</v>
      </c>
    </row>
    <row r="59" spans="1:14" hidden="1" x14ac:dyDescent="0.35">
      <c r="A59" s="12">
        <v>1800010233</v>
      </c>
      <c r="B59" s="9" t="s">
        <v>49</v>
      </c>
      <c r="C59" s="10">
        <v>45842</v>
      </c>
      <c r="D59" s="9" t="s">
        <v>34</v>
      </c>
      <c r="E59" s="13">
        <v>256779414993</v>
      </c>
      <c r="F59" s="9" t="s">
        <v>36</v>
      </c>
      <c r="G59" s="11">
        <v>31.2</v>
      </c>
      <c r="H59" s="9" t="s">
        <v>37</v>
      </c>
      <c r="I59" s="11">
        <v>2683.22</v>
      </c>
      <c r="J59" s="11">
        <f>_xlfn.XLOOKUP(E59,'Customer Data'!$A:$A,'Customer Data'!$C:$C,,0)</f>
        <v>40.090000000000003</v>
      </c>
      <c r="K59" s="11">
        <f>J59/118%</f>
        <v>33.974576271186443</v>
      </c>
      <c r="L59" s="11">
        <f>K59-G59</f>
        <v>2.7745762711864437</v>
      </c>
      <c r="M59" s="9" t="s">
        <v>63</v>
      </c>
      <c r="N59" s="12">
        <v>1400001519</v>
      </c>
    </row>
    <row r="60" spans="1:14" hidden="1" x14ac:dyDescent="0.35">
      <c r="A60" s="12">
        <v>1400001524</v>
      </c>
      <c r="B60" s="9" t="s">
        <v>33</v>
      </c>
      <c r="C60" s="10">
        <v>45958</v>
      </c>
      <c r="D60" s="9" t="s">
        <v>39</v>
      </c>
      <c r="E60" s="13" t="s">
        <v>35</v>
      </c>
      <c r="F60" s="9" t="s">
        <v>36</v>
      </c>
      <c r="G60" s="11">
        <v>-2.5499999999999998</v>
      </c>
      <c r="H60" s="9" t="s">
        <v>37</v>
      </c>
      <c r="I60" s="11">
        <v>-221.65</v>
      </c>
      <c r="J60" s="11" t="e">
        <f>_xlfn.XLOOKUP(E60,'Customer Data'!$A:$A,'Customer Data'!$C:$C,,0)</f>
        <v>#N/A</v>
      </c>
      <c r="K60" s="11"/>
      <c r="L60" s="11"/>
      <c r="M60" s="9" t="s">
        <v>39</v>
      </c>
      <c r="N60" s="12">
        <v>1400001524</v>
      </c>
    </row>
    <row r="61" spans="1:14" hidden="1" x14ac:dyDescent="0.35">
      <c r="A61" s="12">
        <v>1400001524</v>
      </c>
      <c r="B61" s="9" t="s">
        <v>33</v>
      </c>
      <c r="C61" s="10">
        <v>45958</v>
      </c>
      <c r="D61" s="9" t="s">
        <v>39</v>
      </c>
      <c r="E61" s="13" t="s">
        <v>35</v>
      </c>
      <c r="F61" s="9" t="s">
        <v>36</v>
      </c>
      <c r="G61" s="11">
        <v>-37.47</v>
      </c>
      <c r="H61" s="9" t="s">
        <v>37</v>
      </c>
      <c r="I61" s="11">
        <v>-3248.09</v>
      </c>
      <c r="J61" s="11" t="e">
        <f>_xlfn.XLOOKUP(E61,'Customer Data'!$A:$A,'Customer Data'!$C:$C,,0)</f>
        <v>#N/A</v>
      </c>
      <c r="K61" s="11"/>
      <c r="L61" s="11"/>
      <c r="M61" s="9" t="s">
        <v>39</v>
      </c>
      <c r="N61" s="12">
        <v>1400001524</v>
      </c>
    </row>
    <row r="62" spans="1:14" hidden="1" x14ac:dyDescent="0.35">
      <c r="A62" s="12">
        <v>1400001524</v>
      </c>
      <c r="B62" s="9" t="s">
        <v>33</v>
      </c>
      <c r="C62" s="10">
        <v>45958</v>
      </c>
      <c r="D62" s="9" t="s">
        <v>39</v>
      </c>
      <c r="E62" s="13" t="s">
        <v>35</v>
      </c>
      <c r="F62" s="9" t="s">
        <v>36</v>
      </c>
      <c r="G62" s="11">
        <v>-51.59</v>
      </c>
      <c r="H62" s="9" t="s">
        <v>37</v>
      </c>
      <c r="I62" s="11">
        <v>-4439.68</v>
      </c>
      <c r="J62" s="11" t="e">
        <f>_xlfn.XLOOKUP(E62,'Customer Data'!$A:$A,'Customer Data'!$C:$C,,0)</f>
        <v>#N/A</v>
      </c>
      <c r="K62" s="11"/>
      <c r="L62" s="11"/>
      <c r="M62" s="9" t="s">
        <v>39</v>
      </c>
      <c r="N62" s="12">
        <v>1400001524</v>
      </c>
    </row>
    <row r="63" spans="1:14" hidden="1" x14ac:dyDescent="0.35">
      <c r="A63" s="12">
        <v>1400001519</v>
      </c>
      <c r="B63" s="9" t="s">
        <v>33</v>
      </c>
      <c r="C63" s="10">
        <v>45958</v>
      </c>
      <c r="D63" s="9" t="s">
        <v>47</v>
      </c>
      <c r="E63" s="13" t="s">
        <v>35</v>
      </c>
      <c r="F63" s="9" t="s">
        <v>36</v>
      </c>
      <c r="G63" s="11">
        <v>-7.0000000000000007E-2</v>
      </c>
      <c r="H63" s="9" t="s">
        <v>37</v>
      </c>
      <c r="I63" s="11">
        <v>-6.02</v>
      </c>
      <c r="J63" s="11" t="e">
        <f>_xlfn.XLOOKUP(E63,'Customer Data'!$A:$A,'Customer Data'!$C:$C,,0)</f>
        <v>#N/A</v>
      </c>
      <c r="K63" s="11"/>
      <c r="L63" s="11"/>
      <c r="M63" s="9" t="s">
        <v>35</v>
      </c>
      <c r="N63" s="12">
        <v>1400001524</v>
      </c>
    </row>
    <row r="64" spans="1:14" hidden="1" x14ac:dyDescent="0.35">
      <c r="A64" s="12">
        <v>1400001521</v>
      </c>
      <c r="B64" s="9" t="s">
        <v>33</v>
      </c>
      <c r="C64" s="10">
        <v>45958</v>
      </c>
      <c r="D64" s="9" t="s">
        <v>48</v>
      </c>
      <c r="E64" s="13" t="s">
        <v>35</v>
      </c>
      <c r="F64" s="9" t="s">
        <v>36</v>
      </c>
      <c r="G64" s="11">
        <v>-40.67</v>
      </c>
      <c r="H64" s="9" t="s">
        <v>37</v>
      </c>
      <c r="I64" s="11">
        <v>-3498.84</v>
      </c>
      <c r="J64" s="11" t="e">
        <f>_xlfn.XLOOKUP(E64,'Customer Data'!$A:$A,'Customer Data'!$C:$C,,0)</f>
        <v>#N/A</v>
      </c>
      <c r="K64" s="11"/>
      <c r="L64" s="11"/>
      <c r="M64" s="9" t="s">
        <v>35</v>
      </c>
      <c r="N64" s="12">
        <v>1400001524</v>
      </c>
    </row>
    <row r="65" spans="1:14" hidden="1" x14ac:dyDescent="0.35">
      <c r="A65" s="12">
        <v>1400001522</v>
      </c>
      <c r="B65" s="9" t="s">
        <v>33</v>
      </c>
      <c r="C65" s="10">
        <v>45958</v>
      </c>
      <c r="D65" s="9" t="s">
        <v>44</v>
      </c>
      <c r="E65" s="13" t="s">
        <v>35</v>
      </c>
      <c r="F65" s="9" t="s">
        <v>36</v>
      </c>
      <c r="G65" s="11">
        <v>-2.5499999999999998</v>
      </c>
      <c r="H65" s="9" t="s">
        <v>37</v>
      </c>
      <c r="I65" s="11">
        <v>-218</v>
      </c>
      <c r="J65" s="11" t="e">
        <f>_xlfn.XLOOKUP(E65,'Customer Data'!$A:$A,'Customer Data'!$C:$C,,0)</f>
        <v>#N/A</v>
      </c>
      <c r="K65" s="11"/>
      <c r="L65" s="11"/>
      <c r="M65" s="9" t="s">
        <v>35</v>
      </c>
      <c r="N65" s="12">
        <v>1400001524</v>
      </c>
    </row>
    <row r="66" spans="1:14" hidden="1" x14ac:dyDescent="0.35">
      <c r="A66" s="12">
        <v>1800011670</v>
      </c>
      <c r="B66" s="9" t="s">
        <v>49</v>
      </c>
      <c r="C66" s="10">
        <v>45877</v>
      </c>
      <c r="D66" s="9" t="s">
        <v>34</v>
      </c>
      <c r="E66" s="13">
        <v>256779416188</v>
      </c>
      <c r="F66" s="9" t="s">
        <v>36</v>
      </c>
      <c r="G66" s="11">
        <v>11.95</v>
      </c>
      <c r="H66" s="9" t="s">
        <v>37</v>
      </c>
      <c r="I66" s="11">
        <v>1028.06</v>
      </c>
      <c r="J66" s="11">
        <f>_xlfn.XLOOKUP(E66,'Customer Data'!$A:$A,'Customer Data'!$C:$C,,0)</f>
        <v>15.35</v>
      </c>
      <c r="K66" s="11">
        <f t="shared" ref="K66:K71" si="0">J66/118%</f>
        <v>13.008474576271187</v>
      </c>
      <c r="L66" s="11">
        <f t="shared" ref="L66:L71" si="1">K66-G66</f>
        <v>1.0584745762711876</v>
      </c>
      <c r="M66" s="9" t="s">
        <v>50</v>
      </c>
      <c r="N66" s="12">
        <v>1400001524</v>
      </c>
    </row>
    <row r="67" spans="1:14" hidden="1" x14ac:dyDescent="0.35">
      <c r="A67" s="12">
        <v>1800005958</v>
      </c>
      <c r="B67" s="9" t="s">
        <v>49</v>
      </c>
      <c r="C67" s="10">
        <v>45763</v>
      </c>
      <c r="D67" s="9" t="s">
        <v>34</v>
      </c>
      <c r="E67" s="13">
        <v>256779410849</v>
      </c>
      <c r="F67" s="9" t="s">
        <v>36</v>
      </c>
      <c r="G67" s="11">
        <v>2.5499999999999998</v>
      </c>
      <c r="H67" s="9" t="s">
        <v>37</v>
      </c>
      <c r="I67" s="11">
        <v>221.65</v>
      </c>
      <c r="J67" s="11">
        <f>_xlfn.XLOOKUP(E67,'Customer Data'!$A:$A,'Customer Data'!$C:$C,,0)</f>
        <v>3.28</v>
      </c>
      <c r="K67" s="11">
        <f t="shared" si="0"/>
        <v>2.7796610169491527</v>
      </c>
      <c r="L67" s="11">
        <f t="shared" si="1"/>
        <v>0.22966101694915286</v>
      </c>
      <c r="M67" s="9" t="s">
        <v>61</v>
      </c>
      <c r="N67" s="12">
        <v>1400001524</v>
      </c>
    </row>
    <row r="68" spans="1:14" hidden="1" x14ac:dyDescent="0.35">
      <c r="A68" s="12">
        <v>1800011450</v>
      </c>
      <c r="B68" s="9" t="s">
        <v>49</v>
      </c>
      <c r="C68" s="10">
        <v>45877</v>
      </c>
      <c r="D68" s="9" t="s">
        <v>34</v>
      </c>
      <c r="E68" s="13">
        <v>256779416300</v>
      </c>
      <c r="F68" s="9" t="s">
        <v>36</v>
      </c>
      <c r="G68" s="11">
        <v>14.34</v>
      </c>
      <c r="H68" s="9" t="s">
        <v>37</v>
      </c>
      <c r="I68" s="11">
        <v>1233.67</v>
      </c>
      <c r="J68" s="11">
        <f>_xlfn.XLOOKUP(E68,'Customer Data'!$A:$A,'Customer Data'!$C:$C,,0)</f>
        <v>18.420000000000002</v>
      </c>
      <c r="K68" s="11">
        <f t="shared" si="0"/>
        <v>15.610169491525426</v>
      </c>
      <c r="L68" s="11">
        <f t="shared" si="1"/>
        <v>1.2701694915254258</v>
      </c>
      <c r="M68" s="9" t="s">
        <v>70</v>
      </c>
      <c r="N68" s="12">
        <v>1400001524</v>
      </c>
    </row>
    <row r="69" spans="1:14" hidden="1" x14ac:dyDescent="0.35">
      <c r="A69" s="12">
        <v>1800011759</v>
      </c>
      <c r="B69" s="9" t="s">
        <v>49</v>
      </c>
      <c r="C69" s="10">
        <v>45877</v>
      </c>
      <c r="D69" s="9" t="s">
        <v>34</v>
      </c>
      <c r="E69" s="13">
        <v>256779416150</v>
      </c>
      <c r="F69" s="9" t="s">
        <v>36</v>
      </c>
      <c r="G69" s="11">
        <v>68.59</v>
      </c>
      <c r="H69" s="9" t="s">
        <v>37</v>
      </c>
      <c r="I69" s="11">
        <v>5900.81</v>
      </c>
      <c r="J69" s="11">
        <f>_xlfn.XLOOKUP(E69,'Customer Data'!$A:$A,'Customer Data'!$C:$C,,0)</f>
        <v>88.09</v>
      </c>
      <c r="K69" s="11">
        <f t="shared" si="0"/>
        <v>74.652542372881356</v>
      </c>
      <c r="L69" s="11">
        <f t="shared" si="1"/>
        <v>6.062542372881353</v>
      </c>
      <c r="M69" s="9" t="s">
        <v>71</v>
      </c>
      <c r="N69" s="12">
        <v>1400001524</v>
      </c>
    </row>
    <row r="70" spans="1:14" hidden="1" x14ac:dyDescent="0.35">
      <c r="A70" s="12">
        <v>1800009416</v>
      </c>
      <c r="B70" s="9" t="s">
        <v>49</v>
      </c>
      <c r="C70" s="10">
        <v>45812</v>
      </c>
      <c r="D70" s="9" t="s">
        <v>34</v>
      </c>
      <c r="E70" s="13">
        <v>256779414180</v>
      </c>
      <c r="F70" s="9" t="s">
        <v>36</v>
      </c>
      <c r="G70" s="11">
        <v>6.2</v>
      </c>
      <c r="H70" s="9" t="s">
        <v>37</v>
      </c>
      <c r="I70" s="11">
        <v>530.04</v>
      </c>
      <c r="J70" s="11">
        <f>_xlfn.XLOOKUP(E70,'Customer Data'!$A:$A,'Customer Data'!$C:$C,,0)</f>
        <v>7.92</v>
      </c>
      <c r="K70" s="11">
        <f t="shared" si="0"/>
        <v>6.7118644067796609</v>
      </c>
      <c r="L70" s="11">
        <f t="shared" si="1"/>
        <v>0.51186440677966072</v>
      </c>
      <c r="M70" s="9" t="s">
        <v>72</v>
      </c>
      <c r="N70" s="12">
        <v>1400001524</v>
      </c>
    </row>
    <row r="71" spans="1:14" hidden="1" x14ac:dyDescent="0.35">
      <c r="A71" s="12">
        <v>1800007702</v>
      </c>
      <c r="B71" s="9" t="s">
        <v>49</v>
      </c>
      <c r="C71" s="10">
        <v>45769</v>
      </c>
      <c r="D71" s="9" t="s">
        <v>34</v>
      </c>
      <c r="E71" s="13">
        <v>256779412593</v>
      </c>
      <c r="F71" s="9" t="s">
        <v>36</v>
      </c>
      <c r="G71" s="11">
        <v>31.27</v>
      </c>
      <c r="H71" s="9" t="s">
        <v>37</v>
      </c>
      <c r="I71" s="11">
        <v>2718.05</v>
      </c>
      <c r="J71" s="11">
        <f>_xlfn.XLOOKUP(E71,'Customer Data'!$A:$A,'Customer Data'!$C:$C,,0)</f>
        <v>40.18</v>
      </c>
      <c r="K71" s="11">
        <f t="shared" si="0"/>
        <v>34.050847457627121</v>
      </c>
      <c r="L71" s="11">
        <f t="shared" si="1"/>
        <v>2.7808474576271216</v>
      </c>
      <c r="M71" s="9" t="s">
        <v>113</v>
      </c>
      <c r="N71" s="12">
        <v>1400001524</v>
      </c>
    </row>
    <row r="72" spans="1:14" hidden="1" x14ac:dyDescent="0.35">
      <c r="A72" s="12">
        <v>1400001526</v>
      </c>
      <c r="B72" s="9" t="s">
        <v>33</v>
      </c>
      <c r="C72" s="10">
        <v>45958</v>
      </c>
      <c r="D72" s="9" t="s">
        <v>40</v>
      </c>
      <c r="E72" s="13" t="s">
        <v>35</v>
      </c>
      <c r="F72" s="9" t="s">
        <v>36</v>
      </c>
      <c r="G72" s="11">
        <v>10.92</v>
      </c>
      <c r="H72" s="9" t="s">
        <v>37</v>
      </c>
      <c r="I72" s="11">
        <v>939.13</v>
      </c>
      <c r="J72" s="11" t="e">
        <f>_xlfn.XLOOKUP(E72,'Customer Data'!$A:$A,'Customer Data'!$C:$C,,0)</f>
        <v>#N/A</v>
      </c>
      <c r="K72" s="11"/>
      <c r="L72" s="11"/>
      <c r="M72" s="9" t="s">
        <v>40</v>
      </c>
      <c r="N72" s="12">
        <v>1400001526</v>
      </c>
    </row>
    <row r="73" spans="1:14" hidden="1" x14ac:dyDescent="0.35">
      <c r="A73" s="12">
        <v>1400001526</v>
      </c>
      <c r="B73" s="9" t="s">
        <v>33</v>
      </c>
      <c r="C73" s="10">
        <v>45958</v>
      </c>
      <c r="D73" s="9" t="s">
        <v>40</v>
      </c>
      <c r="E73" s="13" t="s">
        <v>35</v>
      </c>
      <c r="F73" s="9" t="s">
        <v>36</v>
      </c>
      <c r="G73" s="11">
        <v>-56.91</v>
      </c>
      <c r="H73" s="9" t="s">
        <v>37</v>
      </c>
      <c r="I73" s="11">
        <v>-4869.93</v>
      </c>
      <c r="J73" s="11" t="e">
        <f>_xlfn.XLOOKUP(E73,'Customer Data'!$A:$A,'Customer Data'!$C:$C,,0)</f>
        <v>#N/A</v>
      </c>
      <c r="K73" s="11"/>
      <c r="L73" s="11"/>
      <c r="M73" s="9" t="s">
        <v>40</v>
      </c>
      <c r="N73" s="12">
        <v>1400001526</v>
      </c>
    </row>
    <row r="74" spans="1:14" hidden="1" x14ac:dyDescent="0.35">
      <c r="A74" s="12">
        <v>1400001524</v>
      </c>
      <c r="B74" s="9" t="s">
        <v>33</v>
      </c>
      <c r="C74" s="10">
        <v>45958</v>
      </c>
      <c r="D74" s="9" t="s">
        <v>39</v>
      </c>
      <c r="E74" s="13" t="s">
        <v>35</v>
      </c>
      <c r="F74" s="9" t="s">
        <v>36</v>
      </c>
      <c r="G74" s="11">
        <v>-10.92</v>
      </c>
      <c r="H74" s="9" t="s">
        <v>37</v>
      </c>
      <c r="I74" s="11">
        <v>-939.13</v>
      </c>
      <c r="J74" s="11" t="e">
        <f>_xlfn.XLOOKUP(E74,'Customer Data'!$A:$A,'Customer Data'!$C:$C,,0)</f>
        <v>#N/A</v>
      </c>
      <c r="K74" s="11"/>
      <c r="L74" s="11"/>
      <c r="M74" s="9" t="s">
        <v>35</v>
      </c>
      <c r="N74" s="12">
        <v>1400001526</v>
      </c>
    </row>
    <row r="75" spans="1:14" hidden="1" x14ac:dyDescent="0.35">
      <c r="A75" s="12">
        <v>1800009527</v>
      </c>
      <c r="B75" s="9" t="s">
        <v>49</v>
      </c>
      <c r="C75" s="10">
        <v>45812</v>
      </c>
      <c r="D75" s="9" t="s">
        <v>34</v>
      </c>
      <c r="E75" s="13">
        <v>256779414291</v>
      </c>
      <c r="F75" s="9" t="s">
        <v>36</v>
      </c>
      <c r="G75" s="11">
        <v>51.73</v>
      </c>
      <c r="H75" s="9" t="s">
        <v>37</v>
      </c>
      <c r="I75" s="11">
        <v>4422.4399999999996</v>
      </c>
      <c r="J75" s="11">
        <f>_xlfn.XLOOKUP(E75,'Customer Data'!$A:$A,'Customer Data'!$C:$C,,0)</f>
        <v>66.099999999999994</v>
      </c>
      <c r="K75" s="11">
        <f t="shared" ref="K75:K77" si="2">J75/118%</f>
        <v>56.016949152542374</v>
      </c>
      <c r="L75" s="11">
        <f t="shared" ref="L75:L77" si="3">K75-G75</f>
        <v>4.2869491525423769</v>
      </c>
      <c r="M75" s="9" t="s">
        <v>73</v>
      </c>
      <c r="N75" s="12">
        <v>1400001526</v>
      </c>
    </row>
    <row r="76" spans="1:14" hidden="1" x14ac:dyDescent="0.35">
      <c r="A76" s="12">
        <v>1800008562</v>
      </c>
      <c r="B76" s="9" t="s">
        <v>49</v>
      </c>
      <c r="C76" s="10">
        <v>45793</v>
      </c>
      <c r="D76" s="9" t="s">
        <v>34</v>
      </c>
      <c r="E76" s="13">
        <v>256779413326</v>
      </c>
      <c r="F76" s="9" t="s">
        <v>36</v>
      </c>
      <c r="G76" s="11">
        <v>2.95</v>
      </c>
      <c r="H76" s="9" t="s">
        <v>37</v>
      </c>
      <c r="I76" s="11">
        <v>253.65</v>
      </c>
      <c r="J76" s="11">
        <f>_xlfn.XLOOKUP(E76,'Customer Data'!$A:$A,'Customer Data'!$C:$C,,0)</f>
        <v>3.79</v>
      </c>
      <c r="K76" s="11">
        <f t="shared" si="2"/>
        <v>3.2118644067796613</v>
      </c>
      <c r="L76" s="11">
        <f t="shared" si="3"/>
        <v>0.26186440677966116</v>
      </c>
      <c r="M76" s="9" t="s">
        <v>86</v>
      </c>
      <c r="N76" s="12">
        <v>1400001526</v>
      </c>
    </row>
    <row r="77" spans="1:14" hidden="1" x14ac:dyDescent="0.35">
      <c r="A77" s="12">
        <v>1800007829</v>
      </c>
      <c r="B77" s="9" t="s">
        <v>49</v>
      </c>
      <c r="C77" s="10">
        <v>45771</v>
      </c>
      <c r="D77" s="9" t="s">
        <v>34</v>
      </c>
      <c r="E77" s="13">
        <v>256779412720</v>
      </c>
      <c r="F77" s="9" t="s">
        <v>36</v>
      </c>
      <c r="G77" s="11">
        <v>2.23</v>
      </c>
      <c r="H77" s="9" t="s">
        <v>37</v>
      </c>
      <c r="I77" s="11">
        <v>193.84</v>
      </c>
      <c r="J77" s="11">
        <f>_xlfn.XLOOKUP(E77,'Customer Data'!$A:$A,'Customer Data'!$C:$C,,0)</f>
        <v>2.85</v>
      </c>
      <c r="K77" s="11">
        <f t="shared" si="2"/>
        <v>2.4152542372881358</v>
      </c>
      <c r="L77" s="11">
        <f t="shared" si="3"/>
        <v>0.18525423728813584</v>
      </c>
      <c r="M77" s="9" t="s">
        <v>112</v>
      </c>
      <c r="N77" s="12">
        <v>1400001526</v>
      </c>
    </row>
    <row r="78" spans="1:14" hidden="1" x14ac:dyDescent="0.35">
      <c r="A78" s="12">
        <v>1400001527</v>
      </c>
      <c r="B78" s="9" t="s">
        <v>33</v>
      </c>
      <c r="C78" s="10">
        <v>45958</v>
      </c>
      <c r="D78" s="9" t="s">
        <v>41</v>
      </c>
      <c r="E78" s="13" t="s">
        <v>35</v>
      </c>
      <c r="F78" s="9" t="s">
        <v>36</v>
      </c>
      <c r="G78" s="11">
        <v>23.44</v>
      </c>
      <c r="H78" s="9" t="s">
        <v>37</v>
      </c>
      <c r="I78" s="11">
        <v>2016.55</v>
      </c>
      <c r="J78" s="11" t="e">
        <f>_xlfn.XLOOKUP(E78,'Customer Data'!$A:$A,'Customer Data'!$C:$C,,0)</f>
        <v>#N/A</v>
      </c>
      <c r="K78" s="11"/>
      <c r="L78" s="11"/>
      <c r="M78" s="9" t="s">
        <v>41</v>
      </c>
      <c r="N78" s="12">
        <v>1400001527</v>
      </c>
    </row>
    <row r="79" spans="1:14" hidden="1" x14ac:dyDescent="0.35">
      <c r="A79" s="12">
        <v>1400001527</v>
      </c>
      <c r="B79" s="9" t="s">
        <v>33</v>
      </c>
      <c r="C79" s="10">
        <v>45958</v>
      </c>
      <c r="D79" s="9" t="s">
        <v>41</v>
      </c>
      <c r="E79" s="13" t="s">
        <v>35</v>
      </c>
      <c r="F79" s="9" t="s">
        <v>36</v>
      </c>
      <c r="G79" s="11">
        <v>-80.599999999999994</v>
      </c>
      <c r="H79" s="9" t="s">
        <v>37</v>
      </c>
      <c r="I79" s="11">
        <v>-6910.05</v>
      </c>
      <c r="J79" s="11" t="e">
        <f>_xlfn.XLOOKUP(E79,'Customer Data'!$A:$A,'Customer Data'!$C:$C,,0)</f>
        <v>#N/A</v>
      </c>
      <c r="K79" s="11"/>
      <c r="L79" s="11"/>
      <c r="M79" s="9" t="s">
        <v>41</v>
      </c>
      <c r="N79" s="12">
        <v>1400001527</v>
      </c>
    </row>
    <row r="80" spans="1:14" hidden="1" x14ac:dyDescent="0.35">
      <c r="A80" s="12">
        <v>1400001527</v>
      </c>
      <c r="B80" s="9" t="s">
        <v>33</v>
      </c>
      <c r="C80" s="10">
        <v>45958</v>
      </c>
      <c r="D80" s="9" t="s">
        <v>41</v>
      </c>
      <c r="E80" s="13" t="s">
        <v>35</v>
      </c>
      <c r="F80" s="9" t="s">
        <v>36</v>
      </c>
      <c r="G80" s="11">
        <v>-37.72</v>
      </c>
      <c r="H80" s="9" t="s">
        <v>37</v>
      </c>
      <c r="I80" s="11">
        <v>-3275.41</v>
      </c>
      <c r="J80" s="11" t="e">
        <f>_xlfn.XLOOKUP(E80,'Customer Data'!$A:$A,'Customer Data'!$C:$C,,0)</f>
        <v>#N/A</v>
      </c>
      <c r="K80" s="11"/>
      <c r="L80" s="11"/>
      <c r="M80" s="9" t="s">
        <v>41</v>
      </c>
      <c r="N80" s="12">
        <v>1400001527</v>
      </c>
    </row>
    <row r="81" spans="1:14" hidden="1" x14ac:dyDescent="0.35">
      <c r="A81" s="12">
        <v>1400001526</v>
      </c>
      <c r="B81" s="9" t="s">
        <v>33</v>
      </c>
      <c r="C81" s="10">
        <v>45958</v>
      </c>
      <c r="D81" s="9" t="s">
        <v>40</v>
      </c>
      <c r="E81" s="13" t="s">
        <v>35</v>
      </c>
      <c r="F81" s="9" t="s">
        <v>36</v>
      </c>
      <c r="G81" s="11">
        <v>-23.44</v>
      </c>
      <c r="H81" s="9" t="s">
        <v>37</v>
      </c>
      <c r="I81" s="11">
        <v>-2016.55</v>
      </c>
      <c r="J81" s="11" t="e">
        <f>_xlfn.XLOOKUP(E81,'Customer Data'!$A:$A,'Customer Data'!$C:$C,,0)</f>
        <v>#N/A</v>
      </c>
      <c r="K81" s="11"/>
      <c r="L81" s="11"/>
      <c r="M81" s="9" t="s">
        <v>35</v>
      </c>
      <c r="N81" s="12">
        <v>1400001527</v>
      </c>
    </row>
    <row r="82" spans="1:14" hidden="1" x14ac:dyDescent="0.35">
      <c r="A82" s="12">
        <v>1800009316</v>
      </c>
      <c r="B82" s="9" t="s">
        <v>49</v>
      </c>
      <c r="C82" s="10">
        <v>45813</v>
      </c>
      <c r="D82" s="9" t="s">
        <v>34</v>
      </c>
      <c r="E82" s="13">
        <v>256779414080</v>
      </c>
      <c r="F82" s="9" t="s">
        <v>36</v>
      </c>
      <c r="G82" s="11">
        <v>42.37</v>
      </c>
      <c r="H82" s="9" t="s">
        <v>37</v>
      </c>
      <c r="I82" s="11">
        <v>3622.24</v>
      </c>
      <c r="J82" s="11">
        <f>_xlfn.XLOOKUP(E82,'Customer Data'!$A:$A,'Customer Data'!$C:$C,,0)</f>
        <v>54.14</v>
      </c>
      <c r="K82" s="11">
        <f t="shared" ref="K82:K86" si="4">J82/118%</f>
        <v>45.881355932203391</v>
      </c>
      <c r="L82" s="11">
        <f t="shared" ref="L82:L86" si="5">K82-G82</f>
        <v>3.5113559322033936</v>
      </c>
      <c r="M82" s="9" t="s">
        <v>57</v>
      </c>
      <c r="N82" s="12">
        <v>1400001527</v>
      </c>
    </row>
    <row r="83" spans="1:14" hidden="1" x14ac:dyDescent="0.35">
      <c r="A83" s="12">
        <v>1800008807</v>
      </c>
      <c r="B83" s="9" t="s">
        <v>49</v>
      </c>
      <c r="C83" s="10">
        <v>45785</v>
      </c>
      <c r="D83" s="9" t="s">
        <v>34</v>
      </c>
      <c r="E83" s="13">
        <v>256779413571</v>
      </c>
      <c r="F83" s="9" t="s">
        <v>36</v>
      </c>
      <c r="G83" s="11">
        <v>3.5</v>
      </c>
      <c r="H83" s="9" t="s">
        <v>37</v>
      </c>
      <c r="I83" s="11">
        <v>300.94</v>
      </c>
      <c r="J83" s="11">
        <f>_xlfn.XLOOKUP(E83,'Customer Data'!$A:$A,'Customer Data'!$C:$C,,0)</f>
        <v>4.5</v>
      </c>
      <c r="K83" s="11">
        <f t="shared" si="4"/>
        <v>3.8135593220338984</v>
      </c>
      <c r="L83" s="11">
        <f t="shared" si="5"/>
        <v>0.31355932203389836</v>
      </c>
      <c r="M83" s="9" t="s">
        <v>59</v>
      </c>
      <c r="N83" s="12">
        <v>1400001527</v>
      </c>
    </row>
    <row r="84" spans="1:14" hidden="1" x14ac:dyDescent="0.35">
      <c r="A84" s="12">
        <v>1800007979</v>
      </c>
      <c r="B84" s="9" t="s">
        <v>49</v>
      </c>
      <c r="C84" s="10">
        <v>45770</v>
      </c>
      <c r="D84" s="9" t="s">
        <v>34</v>
      </c>
      <c r="E84" s="13">
        <v>256779412870</v>
      </c>
      <c r="F84" s="9" t="s">
        <v>36</v>
      </c>
      <c r="G84" s="11">
        <v>31.27</v>
      </c>
      <c r="H84" s="9" t="s">
        <v>37</v>
      </c>
      <c r="I84" s="11">
        <v>2718.05</v>
      </c>
      <c r="J84" s="11">
        <f>_xlfn.XLOOKUP(E84,'Customer Data'!$A:$A,'Customer Data'!$C:$C,,0)</f>
        <v>40.21</v>
      </c>
      <c r="K84" s="11">
        <f t="shared" si="4"/>
        <v>34.076271186440678</v>
      </c>
      <c r="L84" s="11">
        <f t="shared" si="5"/>
        <v>2.8062711864406786</v>
      </c>
      <c r="M84" s="9" t="s">
        <v>116</v>
      </c>
      <c r="N84" s="12">
        <v>1400001527</v>
      </c>
    </row>
    <row r="85" spans="1:14" hidden="1" x14ac:dyDescent="0.35">
      <c r="A85" s="12">
        <v>1800008008</v>
      </c>
      <c r="B85" s="9" t="s">
        <v>49</v>
      </c>
      <c r="C85" s="10">
        <v>45770</v>
      </c>
      <c r="D85" s="9" t="s">
        <v>34</v>
      </c>
      <c r="E85" s="13">
        <v>256779412899</v>
      </c>
      <c r="F85" s="9" t="s">
        <v>36</v>
      </c>
      <c r="G85" s="11">
        <v>2.95</v>
      </c>
      <c r="H85" s="9" t="s">
        <v>37</v>
      </c>
      <c r="I85" s="11">
        <v>256.42</v>
      </c>
      <c r="J85" s="11">
        <f>_xlfn.XLOOKUP(E85,'Customer Data'!$A:$A,'Customer Data'!$C:$C,,0)</f>
        <v>3.79</v>
      </c>
      <c r="K85" s="11">
        <f t="shared" si="4"/>
        <v>3.2118644067796613</v>
      </c>
      <c r="L85" s="11">
        <f t="shared" si="5"/>
        <v>0.26186440677966116</v>
      </c>
      <c r="M85" s="9" t="s">
        <v>117</v>
      </c>
      <c r="N85" s="12">
        <v>1400001527</v>
      </c>
    </row>
    <row r="86" spans="1:14" hidden="1" x14ac:dyDescent="0.35">
      <c r="A86" s="12">
        <v>1800010391</v>
      </c>
      <c r="B86" s="9" t="s">
        <v>49</v>
      </c>
      <c r="C86" s="10">
        <v>45843</v>
      </c>
      <c r="D86" s="9" t="s">
        <v>34</v>
      </c>
      <c r="E86" s="13">
        <v>256779415151</v>
      </c>
      <c r="F86" s="9" t="s">
        <v>36</v>
      </c>
      <c r="G86" s="11">
        <v>38.229999999999997</v>
      </c>
      <c r="H86" s="9" t="s">
        <v>37</v>
      </c>
      <c r="I86" s="11">
        <v>3287.81</v>
      </c>
      <c r="J86" s="11">
        <f>_xlfn.XLOOKUP(E86,'Customer Data'!$A:$A,'Customer Data'!$C:$C,,0)</f>
        <v>49.13</v>
      </c>
      <c r="K86" s="11">
        <f t="shared" si="4"/>
        <v>41.63559322033899</v>
      </c>
      <c r="L86" s="11">
        <f t="shared" si="5"/>
        <v>3.4055932203389929</v>
      </c>
      <c r="M86" s="9" t="s">
        <v>119</v>
      </c>
      <c r="N86" s="12">
        <v>1400001527</v>
      </c>
    </row>
    <row r="87" spans="1:14" hidden="1" x14ac:dyDescent="0.35">
      <c r="A87" s="12">
        <v>1400001535</v>
      </c>
      <c r="B87" s="9" t="s">
        <v>42</v>
      </c>
      <c r="C87" s="10">
        <v>45958</v>
      </c>
      <c r="D87" s="9" t="s">
        <v>35</v>
      </c>
      <c r="E87" s="13" t="s">
        <v>35</v>
      </c>
      <c r="F87" s="9" t="s">
        <v>37</v>
      </c>
      <c r="G87" s="11">
        <v>56152.82</v>
      </c>
      <c r="H87" s="9" t="s">
        <v>37</v>
      </c>
      <c r="I87" s="11">
        <v>55722.13</v>
      </c>
      <c r="J87" s="11" t="e">
        <f>_xlfn.XLOOKUP(E87,'Customer Data'!$A:$A,'Customer Data'!$C:$C,,0)</f>
        <v>#N/A</v>
      </c>
      <c r="K87" s="11"/>
      <c r="L87" s="11"/>
      <c r="M87" s="9" t="s">
        <v>35</v>
      </c>
      <c r="N87" s="12">
        <v>1400001535</v>
      </c>
    </row>
    <row r="88" spans="1:14" hidden="1" x14ac:dyDescent="0.35">
      <c r="A88" s="12">
        <v>1400001535</v>
      </c>
      <c r="B88" s="9" t="s">
        <v>42</v>
      </c>
      <c r="C88" s="10">
        <v>45958</v>
      </c>
      <c r="D88" s="9" t="s">
        <v>35</v>
      </c>
      <c r="E88" s="13" t="s">
        <v>35</v>
      </c>
      <c r="F88" s="9" t="s">
        <v>37</v>
      </c>
      <c r="G88" s="11">
        <v>-56152.82</v>
      </c>
      <c r="H88" s="9" t="s">
        <v>37</v>
      </c>
      <c r="I88" s="11">
        <v>-55198.06</v>
      </c>
      <c r="J88" s="11" t="e">
        <f>_xlfn.XLOOKUP(E88,'Customer Data'!$A:$A,'Customer Data'!$C:$C,,0)</f>
        <v>#N/A</v>
      </c>
      <c r="K88" s="11"/>
      <c r="L88" s="11"/>
      <c r="M88" s="9" t="s">
        <v>35</v>
      </c>
      <c r="N88" s="12">
        <v>1400001535</v>
      </c>
    </row>
    <row r="89" spans="1:14" x14ac:dyDescent="0.35">
      <c r="A89" s="12">
        <v>1600002238</v>
      </c>
      <c r="B89" s="9" t="s">
        <v>51</v>
      </c>
      <c r="C89" s="10">
        <v>45919</v>
      </c>
      <c r="D89" s="9" t="s">
        <v>34</v>
      </c>
      <c r="E89" s="13">
        <v>256779421793</v>
      </c>
      <c r="F89" s="9" t="s">
        <v>36</v>
      </c>
      <c r="G89" s="11">
        <v>-11.8</v>
      </c>
      <c r="H89" s="9" t="s">
        <v>37</v>
      </c>
      <c r="I89" s="11">
        <v>-1032.67</v>
      </c>
      <c r="J89" s="11" t="e">
        <f>_xlfn.XLOOKUP(E89,'Customer Data'!$A:$A,'Customer Data'!$C:$C,,0)</f>
        <v>#N/A</v>
      </c>
      <c r="K89" s="11"/>
      <c r="L89" s="11"/>
      <c r="M89" s="9" t="s">
        <v>52</v>
      </c>
      <c r="N89" s="12">
        <v>1400001535</v>
      </c>
    </row>
    <row r="90" spans="1:14" x14ac:dyDescent="0.35">
      <c r="A90" s="12">
        <v>1800003991</v>
      </c>
      <c r="B90" s="9" t="s">
        <v>49</v>
      </c>
      <c r="C90" s="10">
        <v>45736</v>
      </c>
      <c r="D90" s="9" t="s">
        <v>34</v>
      </c>
      <c r="E90" s="13">
        <v>246779413847</v>
      </c>
      <c r="F90" s="9" t="s">
        <v>36</v>
      </c>
      <c r="G90" s="11">
        <v>101.16</v>
      </c>
      <c r="H90" s="9" t="s">
        <v>37</v>
      </c>
      <c r="I90" s="11">
        <v>8769.69</v>
      </c>
      <c r="J90" s="11" t="e">
        <f>_xlfn.XLOOKUP(E90,'Customer Data'!$A:$A,'Customer Data'!$C:$C,,0)</f>
        <v>#N/A</v>
      </c>
      <c r="K90" s="11"/>
      <c r="L90" s="11"/>
      <c r="M90" s="9" t="s">
        <v>91</v>
      </c>
      <c r="N90" s="12">
        <v>1400001535</v>
      </c>
    </row>
    <row r="91" spans="1:14" x14ac:dyDescent="0.35">
      <c r="A91" s="12">
        <v>1800003993</v>
      </c>
      <c r="B91" s="9" t="s">
        <v>49</v>
      </c>
      <c r="C91" s="10">
        <v>45736</v>
      </c>
      <c r="D91" s="9" t="s">
        <v>34</v>
      </c>
      <c r="E91" s="13">
        <v>246779413849</v>
      </c>
      <c r="F91" s="9" t="s">
        <v>36</v>
      </c>
      <c r="G91" s="11">
        <v>45.54</v>
      </c>
      <c r="H91" s="9" t="s">
        <v>37</v>
      </c>
      <c r="I91" s="11">
        <v>3947.92</v>
      </c>
      <c r="J91" s="11" t="e">
        <f>_xlfn.XLOOKUP(E91,'Customer Data'!$A:$A,'Customer Data'!$C:$C,,0)</f>
        <v>#N/A</v>
      </c>
      <c r="K91" s="11"/>
      <c r="L91" s="11"/>
      <c r="M91" s="9" t="s">
        <v>91</v>
      </c>
      <c r="N91" s="12">
        <v>1400001535</v>
      </c>
    </row>
    <row r="92" spans="1:14" x14ac:dyDescent="0.35">
      <c r="A92" s="12">
        <v>1800003995</v>
      </c>
      <c r="B92" s="9" t="s">
        <v>49</v>
      </c>
      <c r="C92" s="10">
        <v>45736</v>
      </c>
      <c r="D92" s="9" t="s">
        <v>34</v>
      </c>
      <c r="E92" s="13">
        <v>246779413851</v>
      </c>
      <c r="F92" s="9" t="s">
        <v>36</v>
      </c>
      <c r="G92" s="11">
        <v>96.79</v>
      </c>
      <c r="H92" s="9" t="s">
        <v>37</v>
      </c>
      <c r="I92" s="11">
        <v>8390.85</v>
      </c>
      <c r="J92" s="11" t="e">
        <f>_xlfn.XLOOKUP(E92,'Customer Data'!$A:$A,'Customer Data'!$C:$C,,0)</f>
        <v>#N/A</v>
      </c>
      <c r="K92" s="11"/>
      <c r="L92" s="11"/>
      <c r="M92" s="9" t="s">
        <v>91</v>
      </c>
      <c r="N92" s="12">
        <v>1400001535</v>
      </c>
    </row>
    <row r="93" spans="1:14" x14ac:dyDescent="0.35">
      <c r="A93" s="12">
        <v>1800004003</v>
      </c>
      <c r="B93" s="9" t="s">
        <v>49</v>
      </c>
      <c r="C93" s="10">
        <v>45736</v>
      </c>
      <c r="D93" s="9" t="s">
        <v>34</v>
      </c>
      <c r="E93" s="13">
        <v>246779413859</v>
      </c>
      <c r="F93" s="9" t="s">
        <v>36</v>
      </c>
      <c r="G93" s="11">
        <v>18.82</v>
      </c>
      <c r="H93" s="9" t="s">
        <v>37</v>
      </c>
      <c r="I93" s="11">
        <v>1631.53</v>
      </c>
      <c r="J93" s="11" t="e">
        <f>_xlfn.XLOOKUP(E93,'Customer Data'!$A:$A,'Customer Data'!$C:$C,,0)</f>
        <v>#N/A</v>
      </c>
      <c r="K93" s="11"/>
      <c r="L93" s="11"/>
      <c r="M93" s="9" t="s">
        <v>91</v>
      </c>
      <c r="N93" s="12">
        <v>1400001535</v>
      </c>
    </row>
    <row r="94" spans="1:14" x14ac:dyDescent="0.35">
      <c r="A94" s="12">
        <v>1800004026</v>
      </c>
      <c r="B94" s="9" t="s">
        <v>49</v>
      </c>
      <c r="C94" s="10">
        <v>45736</v>
      </c>
      <c r="D94" s="9" t="s">
        <v>34</v>
      </c>
      <c r="E94" s="13">
        <v>246779413882</v>
      </c>
      <c r="F94" s="9" t="s">
        <v>36</v>
      </c>
      <c r="G94" s="11">
        <v>142.88999999999999</v>
      </c>
      <c r="H94" s="9" t="s">
        <v>37</v>
      </c>
      <c r="I94" s="11">
        <v>12387.31</v>
      </c>
      <c r="J94" s="11" t="e">
        <f>_xlfn.XLOOKUP(E94,'Customer Data'!$A:$A,'Customer Data'!$C:$C,,0)</f>
        <v>#N/A</v>
      </c>
      <c r="K94" s="11"/>
      <c r="L94" s="11"/>
      <c r="M94" s="9" t="s">
        <v>91</v>
      </c>
      <c r="N94" s="12">
        <v>1400001535</v>
      </c>
    </row>
    <row r="95" spans="1:14" x14ac:dyDescent="0.35">
      <c r="A95" s="12">
        <v>1800004053</v>
      </c>
      <c r="B95" s="9" t="s">
        <v>49</v>
      </c>
      <c r="C95" s="10">
        <v>45736</v>
      </c>
      <c r="D95" s="9" t="s">
        <v>34</v>
      </c>
      <c r="E95" s="13">
        <v>246779413909</v>
      </c>
      <c r="F95" s="9" t="s">
        <v>36</v>
      </c>
      <c r="G95" s="11">
        <v>59</v>
      </c>
      <c r="H95" s="9" t="s">
        <v>37</v>
      </c>
      <c r="I95" s="11">
        <v>5114.78</v>
      </c>
      <c r="J95" s="11" t="e">
        <f>_xlfn.XLOOKUP(E95,'Customer Data'!$A:$A,'Customer Data'!$C:$C,,0)</f>
        <v>#N/A</v>
      </c>
      <c r="K95" s="11"/>
      <c r="L95" s="11"/>
      <c r="M95" s="9" t="s">
        <v>91</v>
      </c>
      <c r="N95" s="12">
        <v>1400001535</v>
      </c>
    </row>
    <row r="96" spans="1:14" x14ac:dyDescent="0.35">
      <c r="A96" s="12">
        <v>1800004059</v>
      </c>
      <c r="B96" s="9" t="s">
        <v>49</v>
      </c>
      <c r="C96" s="10">
        <v>45736</v>
      </c>
      <c r="D96" s="9" t="s">
        <v>34</v>
      </c>
      <c r="E96" s="13">
        <v>246779413915</v>
      </c>
      <c r="F96" s="9" t="s">
        <v>36</v>
      </c>
      <c r="G96" s="11">
        <v>55.22</v>
      </c>
      <c r="H96" s="9" t="s">
        <v>37</v>
      </c>
      <c r="I96" s="11">
        <v>4787.09</v>
      </c>
      <c r="J96" s="11" t="e">
        <f>_xlfn.XLOOKUP(E96,'Customer Data'!$A:$A,'Customer Data'!$C:$C,,0)</f>
        <v>#N/A</v>
      </c>
      <c r="K96" s="11"/>
      <c r="L96" s="11"/>
      <c r="M96" s="9" t="s">
        <v>91</v>
      </c>
      <c r="N96" s="12">
        <v>1400001535</v>
      </c>
    </row>
    <row r="97" spans="1:14" x14ac:dyDescent="0.35">
      <c r="A97" s="12">
        <v>1800004073</v>
      </c>
      <c r="B97" s="9" t="s">
        <v>49</v>
      </c>
      <c r="C97" s="10">
        <v>45736</v>
      </c>
      <c r="D97" s="9" t="s">
        <v>34</v>
      </c>
      <c r="E97" s="13">
        <v>246779413929</v>
      </c>
      <c r="F97" s="9" t="s">
        <v>36</v>
      </c>
      <c r="G97" s="11">
        <v>99.6</v>
      </c>
      <c r="H97" s="9" t="s">
        <v>37</v>
      </c>
      <c r="I97" s="11">
        <v>8634.4500000000007</v>
      </c>
      <c r="J97" s="11" t="e">
        <f>_xlfn.XLOOKUP(E97,'Customer Data'!$A:$A,'Customer Data'!$C:$C,,0)</f>
        <v>#N/A</v>
      </c>
      <c r="K97" s="11"/>
      <c r="L97" s="11"/>
      <c r="M97" s="9" t="s">
        <v>91</v>
      </c>
      <c r="N97" s="12">
        <v>1400001535</v>
      </c>
    </row>
    <row r="98" spans="1:14" x14ac:dyDescent="0.35">
      <c r="A98" s="12">
        <v>1800004109</v>
      </c>
      <c r="B98" s="9" t="s">
        <v>49</v>
      </c>
      <c r="C98" s="10">
        <v>45736</v>
      </c>
      <c r="D98" s="9" t="s">
        <v>34</v>
      </c>
      <c r="E98" s="13">
        <v>246779413965</v>
      </c>
      <c r="F98" s="9" t="s">
        <v>36</v>
      </c>
      <c r="G98" s="11">
        <v>2.95</v>
      </c>
      <c r="H98" s="9" t="s">
        <v>37</v>
      </c>
      <c r="I98" s="11">
        <v>255.74</v>
      </c>
      <c r="J98" s="11" t="e">
        <f>_xlfn.XLOOKUP(E98,'Customer Data'!$A:$A,'Customer Data'!$C:$C,,0)</f>
        <v>#N/A</v>
      </c>
      <c r="K98" s="11"/>
      <c r="L98" s="11"/>
      <c r="M98" s="9" t="s">
        <v>91</v>
      </c>
      <c r="N98" s="12">
        <v>1400001535</v>
      </c>
    </row>
    <row r="99" spans="1:14" x14ac:dyDescent="0.35">
      <c r="A99" s="12">
        <v>1800004039</v>
      </c>
      <c r="B99" s="9" t="s">
        <v>49</v>
      </c>
      <c r="C99" s="10">
        <v>45736</v>
      </c>
      <c r="D99" s="9" t="s">
        <v>34</v>
      </c>
      <c r="E99" s="13">
        <v>246779413895</v>
      </c>
      <c r="F99" s="9" t="s">
        <v>36</v>
      </c>
      <c r="G99" s="11">
        <v>14.75</v>
      </c>
      <c r="H99" s="9" t="s">
        <v>37</v>
      </c>
      <c r="I99" s="11">
        <v>1278.7</v>
      </c>
      <c r="J99" s="11" t="e">
        <f>_xlfn.XLOOKUP(E99,'Customer Data'!$A:$A,'Customer Data'!$C:$C,,0)</f>
        <v>#N/A</v>
      </c>
      <c r="K99" s="11"/>
      <c r="L99" s="11"/>
      <c r="M99" s="9" t="s">
        <v>91</v>
      </c>
      <c r="N99" s="12">
        <v>1400001535</v>
      </c>
    </row>
    <row r="100" spans="1:14" x14ac:dyDescent="0.35">
      <c r="A100" s="12">
        <v>1600002218</v>
      </c>
      <c r="B100" s="9" t="s">
        <v>51</v>
      </c>
      <c r="C100" s="10">
        <v>45919</v>
      </c>
      <c r="D100" s="9" t="s">
        <v>34</v>
      </c>
      <c r="E100" s="13">
        <v>256779421773</v>
      </c>
      <c r="F100" s="9" t="s">
        <v>36</v>
      </c>
      <c r="G100" s="11">
        <v>-73.75</v>
      </c>
      <c r="H100" s="9" t="s">
        <v>37</v>
      </c>
      <c r="I100" s="11">
        <v>-6454.18</v>
      </c>
      <c r="J100" s="11" t="e">
        <f>_xlfn.XLOOKUP(E100,'Customer Data'!$A:$A,'Customer Data'!$C:$C,,0)</f>
        <v>#N/A</v>
      </c>
      <c r="K100" s="11"/>
      <c r="L100" s="11"/>
      <c r="M100" s="9" t="s">
        <v>100</v>
      </c>
      <c r="N100" s="12">
        <v>1400001535</v>
      </c>
    </row>
    <row r="101" spans="1:14" x14ac:dyDescent="0.35">
      <c r="A101" s="12">
        <v>1600002220</v>
      </c>
      <c r="B101" s="9" t="s">
        <v>51</v>
      </c>
      <c r="C101" s="10">
        <v>45919</v>
      </c>
      <c r="D101" s="9" t="s">
        <v>34</v>
      </c>
      <c r="E101" s="13">
        <v>256779421775</v>
      </c>
      <c r="F101" s="9" t="s">
        <v>36</v>
      </c>
      <c r="G101" s="11">
        <v>-23.92</v>
      </c>
      <c r="H101" s="9" t="s">
        <v>37</v>
      </c>
      <c r="I101" s="11">
        <v>-2093.34</v>
      </c>
      <c r="J101" s="11" t="e">
        <f>_xlfn.XLOOKUP(E101,'Customer Data'!$A:$A,'Customer Data'!$C:$C,,0)</f>
        <v>#N/A</v>
      </c>
      <c r="K101" s="11"/>
      <c r="L101" s="11"/>
      <c r="M101" s="9" t="s">
        <v>101</v>
      </c>
      <c r="N101" s="12">
        <v>1400001535</v>
      </c>
    </row>
    <row r="102" spans="1:14" x14ac:dyDescent="0.35">
      <c r="A102" s="12">
        <v>1600002221</v>
      </c>
      <c r="B102" s="9" t="s">
        <v>51</v>
      </c>
      <c r="C102" s="10">
        <v>45919</v>
      </c>
      <c r="D102" s="9" t="s">
        <v>34</v>
      </c>
      <c r="E102" s="13">
        <v>256779421776</v>
      </c>
      <c r="F102" s="9" t="s">
        <v>36</v>
      </c>
      <c r="G102" s="11">
        <v>-70.8</v>
      </c>
      <c r="H102" s="9" t="s">
        <v>37</v>
      </c>
      <c r="I102" s="11">
        <v>-6196.01</v>
      </c>
      <c r="J102" s="11" t="e">
        <f>_xlfn.XLOOKUP(E102,'Customer Data'!$A:$A,'Customer Data'!$C:$C,,0)</f>
        <v>#N/A</v>
      </c>
      <c r="K102" s="11"/>
      <c r="L102" s="11"/>
      <c r="M102" s="9" t="s">
        <v>102</v>
      </c>
      <c r="N102" s="12">
        <v>1400001535</v>
      </c>
    </row>
    <row r="103" spans="1:14" x14ac:dyDescent="0.35">
      <c r="A103" s="12">
        <v>1600002223</v>
      </c>
      <c r="B103" s="9" t="s">
        <v>51</v>
      </c>
      <c r="C103" s="10">
        <v>45919</v>
      </c>
      <c r="D103" s="9" t="s">
        <v>34</v>
      </c>
      <c r="E103" s="13">
        <v>256779421778</v>
      </c>
      <c r="F103" s="9" t="s">
        <v>36</v>
      </c>
      <c r="G103" s="11">
        <v>-14.75</v>
      </c>
      <c r="H103" s="9" t="s">
        <v>37</v>
      </c>
      <c r="I103" s="11">
        <v>-1290.8399999999999</v>
      </c>
      <c r="J103" s="11" t="e">
        <f>_xlfn.XLOOKUP(E103,'Customer Data'!$A:$A,'Customer Data'!$C:$C,,0)</f>
        <v>#N/A</v>
      </c>
      <c r="K103" s="11"/>
      <c r="L103" s="11"/>
      <c r="M103" s="9" t="s">
        <v>103</v>
      </c>
      <c r="N103" s="12">
        <v>1400001535</v>
      </c>
    </row>
    <row r="104" spans="1:14" x14ac:dyDescent="0.35">
      <c r="A104" s="12">
        <v>1600002225</v>
      </c>
      <c r="B104" s="9" t="s">
        <v>51</v>
      </c>
      <c r="C104" s="10">
        <v>45919</v>
      </c>
      <c r="D104" s="9" t="s">
        <v>34</v>
      </c>
      <c r="E104" s="13">
        <v>256779421780</v>
      </c>
      <c r="F104" s="9" t="s">
        <v>36</v>
      </c>
      <c r="G104" s="11">
        <v>-59</v>
      </c>
      <c r="H104" s="9" t="s">
        <v>37</v>
      </c>
      <c r="I104" s="11">
        <v>-5163.3500000000004</v>
      </c>
      <c r="J104" s="11" t="e">
        <f>_xlfn.XLOOKUP(E104,'Customer Data'!$A:$A,'Customer Data'!$C:$C,,0)</f>
        <v>#N/A</v>
      </c>
      <c r="K104" s="11"/>
      <c r="L104" s="11"/>
      <c r="M104" s="9" t="s">
        <v>104</v>
      </c>
      <c r="N104" s="12">
        <v>1400001535</v>
      </c>
    </row>
    <row r="105" spans="1:14" x14ac:dyDescent="0.35">
      <c r="A105" s="12">
        <v>1600002226</v>
      </c>
      <c r="B105" s="9" t="s">
        <v>51</v>
      </c>
      <c r="C105" s="10">
        <v>45919</v>
      </c>
      <c r="D105" s="9" t="s">
        <v>34</v>
      </c>
      <c r="E105" s="13">
        <v>256779421781</v>
      </c>
      <c r="F105" s="9" t="s">
        <v>36</v>
      </c>
      <c r="G105" s="11">
        <v>-55.22</v>
      </c>
      <c r="H105" s="9" t="s">
        <v>37</v>
      </c>
      <c r="I105" s="11">
        <v>-4832.54</v>
      </c>
      <c r="J105" s="11" t="e">
        <f>_xlfn.XLOOKUP(E105,'Customer Data'!$A:$A,'Customer Data'!$C:$C,,0)</f>
        <v>#N/A</v>
      </c>
      <c r="K105" s="11"/>
      <c r="L105" s="11"/>
      <c r="M105" s="9" t="s">
        <v>105</v>
      </c>
      <c r="N105" s="12">
        <v>1400001535</v>
      </c>
    </row>
    <row r="106" spans="1:14" x14ac:dyDescent="0.35">
      <c r="A106" s="12">
        <v>1600002227</v>
      </c>
      <c r="B106" s="9" t="s">
        <v>51</v>
      </c>
      <c r="C106" s="10">
        <v>45919</v>
      </c>
      <c r="D106" s="9" t="s">
        <v>34</v>
      </c>
      <c r="E106" s="13">
        <v>256779421782</v>
      </c>
      <c r="F106" s="9" t="s">
        <v>36</v>
      </c>
      <c r="G106" s="11">
        <v>-79.650000000000006</v>
      </c>
      <c r="H106" s="9" t="s">
        <v>37</v>
      </c>
      <c r="I106" s="11">
        <v>-6970.52</v>
      </c>
      <c r="J106" s="11" t="e">
        <f>_xlfn.XLOOKUP(E106,'Customer Data'!$A:$A,'Customer Data'!$C:$C,,0)</f>
        <v>#N/A</v>
      </c>
      <c r="K106" s="11"/>
      <c r="L106" s="11"/>
      <c r="M106" s="9" t="s">
        <v>106</v>
      </c>
      <c r="N106" s="12">
        <v>1400001535</v>
      </c>
    </row>
    <row r="107" spans="1:14" x14ac:dyDescent="0.35">
      <c r="A107" s="12">
        <v>1600002228</v>
      </c>
      <c r="B107" s="9" t="s">
        <v>51</v>
      </c>
      <c r="C107" s="10">
        <v>45919</v>
      </c>
      <c r="D107" s="9" t="s">
        <v>34</v>
      </c>
      <c r="E107" s="13">
        <v>256779421783</v>
      </c>
      <c r="F107" s="9" t="s">
        <v>36</v>
      </c>
      <c r="G107" s="11">
        <v>-2.95</v>
      </c>
      <c r="H107" s="9" t="s">
        <v>37</v>
      </c>
      <c r="I107" s="11">
        <v>-258.17</v>
      </c>
      <c r="J107" s="11" t="e">
        <f>_xlfn.XLOOKUP(E107,'Customer Data'!$A:$A,'Customer Data'!$C:$C,,0)</f>
        <v>#N/A</v>
      </c>
      <c r="K107" s="11"/>
      <c r="L107" s="11"/>
      <c r="M107" s="9" t="s">
        <v>107</v>
      </c>
      <c r="N107" s="12">
        <v>1400001535</v>
      </c>
    </row>
    <row r="108" spans="1:14" x14ac:dyDescent="0.35">
      <c r="A108" s="12">
        <v>1600002229</v>
      </c>
      <c r="B108" s="9" t="s">
        <v>51</v>
      </c>
      <c r="C108" s="10">
        <v>45919</v>
      </c>
      <c r="D108" s="9" t="s">
        <v>34</v>
      </c>
      <c r="E108" s="13">
        <v>256779421784</v>
      </c>
      <c r="F108" s="9" t="s">
        <v>36</v>
      </c>
      <c r="G108" s="11">
        <v>-27.41</v>
      </c>
      <c r="H108" s="9" t="s">
        <v>37</v>
      </c>
      <c r="I108" s="11">
        <v>-2398.77</v>
      </c>
      <c r="J108" s="11" t="e">
        <f>_xlfn.XLOOKUP(E108,'Customer Data'!$A:$A,'Customer Data'!$C:$C,,0)</f>
        <v>#N/A</v>
      </c>
      <c r="K108" s="11"/>
      <c r="L108" s="11"/>
      <c r="M108" s="9" t="s">
        <v>100</v>
      </c>
      <c r="N108" s="12">
        <v>1400001535</v>
      </c>
    </row>
    <row r="109" spans="1:14" x14ac:dyDescent="0.35">
      <c r="A109" s="12">
        <v>1600002231</v>
      </c>
      <c r="B109" s="9" t="s">
        <v>51</v>
      </c>
      <c r="C109" s="10">
        <v>45919</v>
      </c>
      <c r="D109" s="9" t="s">
        <v>34</v>
      </c>
      <c r="E109" s="13">
        <v>256779421786</v>
      </c>
      <c r="F109" s="9" t="s">
        <v>36</v>
      </c>
      <c r="G109" s="11">
        <v>-21.62</v>
      </c>
      <c r="H109" s="9" t="s">
        <v>37</v>
      </c>
      <c r="I109" s="11">
        <v>-1892.06</v>
      </c>
      <c r="J109" s="11" t="e">
        <f>_xlfn.XLOOKUP(E109,'Customer Data'!$A:$A,'Customer Data'!$C:$C,,0)</f>
        <v>#N/A</v>
      </c>
      <c r="K109" s="11"/>
      <c r="L109" s="11"/>
      <c r="M109" s="9" t="s">
        <v>101</v>
      </c>
      <c r="N109" s="12">
        <v>1400001535</v>
      </c>
    </row>
    <row r="110" spans="1:14" x14ac:dyDescent="0.35">
      <c r="A110" s="12">
        <v>1600002232</v>
      </c>
      <c r="B110" s="9" t="s">
        <v>51</v>
      </c>
      <c r="C110" s="10">
        <v>45919</v>
      </c>
      <c r="D110" s="9" t="s">
        <v>34</v>
      </c>
      <c r="E110" s="13">
        <v>256779421787</v>
      </c>
      <c r="F110" s="9" t="s">
        <v>36</v>
      </c>
      <c r="G110" s="11">
        <v>-25.99</v>
      </c>
      <c r="H110" s="9" t="s">
        <v>37</v>
      </c>
      <c r="I110" s="11">
        <v>-2274.5</v>
      </c>
      <c r="J110" s="11" t="e">
        <f>_xlfn.XLOOKUP(E110,'Customer Data'!$A:$A,'Customer Data'!$C:$C,,0)</f>
        <v>#N/A</v>
      </c>
      <c r="K110" s="11"/>
      <c r="L110" s="11"/>
      <c r="M110" s="9" t="s">
        <v>102</v>
      </c>
      <c r="N110" s="12">
        <v>1400001535</v>
      </c>
    </row>
    <row r="111" spans="1:14" x14ac:dyDescent="0.35">
      <c r="A111" s="12">
        <v>1600002234</v>
      </c>
      <c r="B111" s="9" t="s">
        <v>51</v>
      </c>
      <c r="C111" s="10">
        <v>45919</v>
      </c>
      <c r="D111" s="9" t="s">
        <v>34</v>
      </c>
      <c r="E111" s="13">
        <v>256779421789</v>
      </c>
      <c r="F111" s="9" t="s">
        <v>36</v>
      </c>
      <c r="G111" s="11">
        <v>-4.07</v>
      </c>
      <c r="H111" s="9" t="s">
        <v>37</v>
      </c>
      <c r="I111" s="11">
        <v>-356.18</v>
      </c>
      <c r="J111" s="11" t="e">
        <f>_xlfn.XLOOKUP(E111,'Customer Data'!$A:$A,'Customer Data'!$C:$C,,0)</f>
        <v>#N/A</v>
      </c>
      <c r="K111" s="11"/>
      <c r="L111" s="11"/>
      <c r="M111" s="9" t="s">
        <v>103</v>
      </c>
      <c r="N111" s="12">
        <v>1400001535</v>
      </c>
    </row>
    <row r="112" spans="1:14" x14ac:dyDescent="0.35">
      <c r="A112" s="12">
        <v>1600002235</v>
      </c>
      <c r="B112" s="9" t="s">
        <v>51</v>
      </c>
      <c r="C112" s="10">
        <v>45919</v>
      </c>
      <c r="D112" s="9" t="s">
        <v>34</v>
      </c>
      <c r="E112" s="13">
        <v>256779421790</v>
      </c>
      <c r="F112" s="9" t="s">
        <v>36</v>
      </c>
      <c r="G112" s="11">
        <v>-115.05</v>
      </c>
      <c r="H112" s="9" t="s">
        <v>37</v>
      </c>
      <c r="I112" s="11">
        <v>-10068.52</v>
      </c>
      <c r="J112" s="11" t="e">
        <f>_xlfn.XLOOKUP(E112,'Customer Data'!$A:$A,'Customer Data'!$C:$C,,0)</f>
        <v>#N/A</v>
      </c>
      <c r="K112" s="11"/>
      <c r="L112" s="11"/>
      <c r="M112" s="9" t="s">
        <v>108</v>
      </c>
      <c r="N112" s="12">
        <v>1400001535</v>
      </c>
    </row>
    <row r="113" spans="1:14" x14ac:dyDescent="0.35">
      <c r="A113" s="12">
        <v>1600002236</v>
      </c>
      <c r="B113" s="9" t="s">
        <v>51</v>
      </c>
      <c r="C113" s="10">
        <v>45919</v>
      </c>
      <c r="D113" s="9" t="s">
        <v>34</v>
      </c>
      <c r="E113" s="13">
        <v>256779421791</v>
      </c>
      <c r="F113" s="9" t="s">
        <v>36</v>
      </c>
      <c r="G113" s="11">
        <v>-27.84</v>
      </c>
      <c r="H113" s="9" t="s">
        <v>37</v>
      </c>
      <c r="I113" s="11">
        <v>-2436.4</v>
      </c>
      <c r="J113" s="11" t="e">
        <f>_xlfn.XLOOKUP(E113,'Customer Data'!$A:$A,'Customer Data'!$C:$C,,0)</f>
        <v>#N/A</v>
      </c>
      <c r="K113" s="11"/>
      <c r="L113" s="11"/>
      <c r="M113" s="9" t="s">
        <v>108</v>
      </c>
      <c r="N113" s="12">
        <v>1400001535</v>
      </c>
    </row>
    <row r="114" spans="1:14" x14ac:dyDescent="0.35">
      <c r="A114" s="12">
        <v>1600002239</v>
      </c>
      <c r="B114" s="9" t="s">
        <v>51</v>
      </c>
      <c r="C114" s="10">
        <v>45919</v>
      </c>
      <c r="D114" s="9" t="s">
        <v>34</v>
      </c>
      <c r="E114" s="13">
        <v>256779421794</v>
      </c>
      <c r="F114" s="9" t="s">
        <v>36</v>
      </c>
      <c r="G114" s="11">
        <v>-2.95</v>
      </c>
      <c r="H114" s="9" t="s">
        <v>37</v>
      </c>
      <c r="I114" s="11">
        <v>-258.17</v>
      </c>
      <c r="J114" s="11" t="e">
        <f>_xlfn.XLOOKUP(E114,'Customer Data'!$A:$A,'Customer Data'!$C:$C,,0)</f>
        <v>#N/A</v>
      </c>
      <c r="K114" s="11"/>
      <c r="L114" s="11"/>
      <c r="M114" s="9" t="s">
        <v>52</v>
      </c>
      <c r="N114" s="12">
        <v>1400001535</v>
      </c>
    </row>
    <row r="115" spans="1:14" x14ac:dyDescent="0.35">
      <c r="A115" s="12">
        <v>1600002240</v>
      </c>
      <c r="B115" s="9" t="s">
        <v>51</v>
      </c>
      <c r="C115" s="10">
        <v>45919</v>
      </c>
      <c r="D115" s="9" t="s">
        <v>34</v>
      </c>
      <c r="E115" s="13">
        <v>256779421795</v>
      </c>
      <c r="F115" s="9" t="s">
        <v>36</v>
      </c>
      <c r="G115" s="11">
        <v>-19.95</v>
      </c>
      <c r="H115" s="9" t="s">
        <v>37</v>
      </c>
      <c r="I115" s="11">
        <v>-1745.91</v>
      </c>
      <c r="J115" s="11" t="e">
        <f>_xlfn.XLOOKUP(E115,'Customer Data'!$A:$A,'Customer Data'!$C:$C,,0)</f>
        <v>#N/A</v>
      </c>
      <c r="K115" s="11"/>
      <c r="L115" s="11"/>
      <c r="M115" s="9" t="s">
        <v>106</v>
      </c>
      <c r="N115" s="12">
        <v>1400001535</v>
      </c>
    </row>
    <row r="116" spans="1:14" hidden="1" x14ac:dyDescent="0.35">
      <c r="A116" s="12">
        <v>1400001536</v>
      </c>
      <c r="B116" s="9" t="s">
        <v>42</v>
      </c>
      <c r="C116" s="10">
        <v>45959</v>
      </c>
      <c r="D116" s="9" t="s">
        <v>35</v>
      </c>
      <c r="E116" s="13" t="s">
        <v>35</v>
      </c>
      <c r="F116" s="9" t="s">
        <v>37</v>
      </c>
      <c r="G116" s="11">
        <v>9726.56</v>
      </c>
      <c r="H116" s="9" t="s">
        <v>37</v>
      </c>
      <c r="I116" s="11">
        <v>9651.9599999999991</v>
      </c>
      <c r="J116" s="11" t="e">
        <f>_xlfn.XLOOKUP(E116,'Customer Data'!$A:$A,'Customer Data'!$C:$C,,0)</f>
        <v>#N/A</v>
      </c>
      <c r="K116" s="11"/>
      <c r="L116" s="11"/>
      <c r="M116" s="9" t="s">
        <v>35</v>
      </c>
      <c r="N116" s="12">
        <v>1400001536</v>
      </c>
    </row>
    <row r="117" spans="1:14" hidden="1" x14ac:dyDescent="0.35">
      <c r="A117" s="12">
        <v>1400001536</v>
      </c>
      <c r="B117" s="9" t="s">
        <v>42</v>
      </c>
      <c r="C117" s="10">
        <v>45959</v>
      </c>
      <c r="D117" s="9" t="s">
        <v>35</v>
      </c>
      <c r="E117" s="13" t="s">
        <v>35</v>
      </c>
      <c r="F117" s="9" t="s">
        <v>37</v>
      </c>
      <c r="G117" s="11">
        <v>-9726.56</v>
      </c>
      <c r="H117" s="9" t="s">
        <v>37</v>
      </c>
      <c r="I117" s="11">
        <v>-9561.18</v>
      </c>
      <c r="J117" s="11" t="e">
        <f>_xlfn.XLOOKUP(E117,'Customer Data'!$A:$A,'Customer Data'!$C:$C,,0)</f>
        <v>#N/A</v>
      </c>
      <c r="K117" s="11"/>
      <c r="L117" s="11"/>
      <c r="M117" s="9" t="s">
        <v>35</v>
      </c>
      <c r="N117" s="12">
        <v>1400001536</v>
      </c>
    </row>
    <row r="118" spans="1:14" x14ac:dyDescent="0.35">
      <c r="A118" s="12">
        <v>1800004078</v>
      </c>
      <c r="B118" s="9" t="s">
        <v>49</v>
      </c>
      <c r="C118" s="10">
        <v>45736</v>
      </c>
      <c r="D118" s="9" t="s">
        <v>34</v>
      </c>
      <c r="E118" s="13">
        <v>246779413934</v>
      </c>
      <c r="F118" s="9" t="s">
        <v>36</v>
      </c>
      <c r="G118" s="11">
        <v>110.29</v>
      </c>
      <c r="H118" s="9" t="s">
        <v>37</v>
      </c>
      <c r="I118" s="11">
        <v>9561.18</v>
      </c>
      <c r="J118" s="11" t="e">
        <f>_xlfn.XLOOKUP(E118,'Customer Data'!$A:$A,'Customer Data'!$C:$C,,0)</f>
        <v>#N/A</v>
      </c>
      <c r="K118" s="11"/>
      <c r="L118" s="11"/>
      <c r="M118" s="9" t="s">
        <v>91</v>
      </c>
      <c r="N118" s="12">
        <v>1400001536</v>
      </c>
    </row>
    <row r="119" spans="1:14" x14ac:dyDescent="0.35">
      <c r="A119" s="12">
        <v>1600002241</v>
      </c>
      <c r="B119" s="9" t="s">
        <v>51</v>
      </c>
      <c r="C119" s="10">
        <v>45919</v>
      </c>
      <c r="D119" s="9" t="s">
        <v>34</v>
      </c>
      <c r="E119" s="13">
        <v>256779421796</v>
      </c>
      <c r="F119" s="9" t="s">
        <v>36</v>
      </c>
      <c r="G119" s="11">
        <v>-88.5</v>
      </c>
      <c r="H119" s="9" t="s">
        <v>37</v>
      </c>
      <c r="I119" s="11">
        <v>-7745.02</v>
      </c>
      <c r="J119" s="11" t="e">
        <f>_xlfn.XLOOKUP(E119,'Customer Data'!$A:$A,'Customer Data'!$C:$C,,0)</f>
        <v>#N/A</v>
      </c>
      <c r="K119" s="11"/>
      <c r="L119" s="11"/>
      <c r="M119" s="9" t="s">
        <v>109</v>
      </c>
      <c r="N119" s="12">
        <v>1400001536</v>
      </c>
    </row>
    <row r="120" spans="1:14" x14ac:dyDescent="0.35">
      <c r="A120" s="12">
        <v>1600002242</v>
      </c>
      <c r="B120" s="9" t="s">
        <v>51</v>
      </c>
      <c r="C120" s="10">
        <v>45919</v>
      </c>
      <c r="D120" s="9" t="s">
        <v>34</v>
      </c>
      <c r="E120" s="13">
        <v>256779421797</v>
      </c>
      <c r="F120" s="9" t="s">
        <v>36</v>
      </c>
      <c r="G120" s="11">
        <v>-21.79</v>
      </c>
      <c r="H120" s="9" t="s">
        <v>37</v>
      </c>
      <c r="I120" s="11">
        <v>-1906.94</v>
      </c>
      <c r="J120" s="11" t="e">
        <f>_xlfn.XLOOKUP(E120,'Customer Data'!$A:$A,'Customer Data'!$C:$C,,0)</f>
        <v>#N/A</v>
      </c>
      <c r="K120" s="11"/>
      <c r="L120" s="11"/>
      <c r="M120" s="9" t="s">
        <v>109</v>
      </c>
      <c r="N120" s="12">
        <v>1400001536</v>
      </c>
    </row>
    <row r="121" spans="1:14" hidden="1" x14ac:dyDescent="0.35">
      <c r="A121" s="12">
        <v>1400001537</v>
      </c>
      <c r="B121" s="9" t="s">
        <v>42</v>
      </c>
      <c r="C121" s="10">
        <v>45959</v>
      </c>
      <c r="D121" s="9" t="s">
        <v>35</v>
      </c>
      <c r="E121" s="13" t="s">
        <v>35</v>
      </c>
      <c r="F121" s="9" t="s">
        <v>37</v>
      </c>
      <c r="G121" s="11">
        <v>-2360.84</v>
      </c>
      <c r="H121" s="9" t="s">
        <v>37</v>
      </c>
      <c r="I121" s="11">
        <v>-2175.1999999999998</v>
      </c>
      <c r="J121" s="11" t="e">
        <f>_xlfn.XLOOKUP(E121,'Customer Data'!$A:$A,'Customer Data'!$C:$C,,0)</f>
        <v>#N/A</v>
      </c>
      <c r="K121" s="11"/>
      <c r="L121" s="11"/>
      <c r="M121" s="9" t="s">
        <v>35</v>
      </c>
      <c r="N121" s="12">
        <v>1400001537</v>
      </c>
    </row>
    <row r="122" spans="1:14" x14ac:dyDescent="0.35">
      <c r="A122" s="12">
        <v>1800003992</v>
      </c>
      <c r="B122" s="9" t="s">
        <v>49</v>
      </c>
      <c r="C122" s="10">
        <v>45736</v>
      </c>
      <c r="D122" s="9" t="s">
        <v>34</v>
      </c>
      <c r="E122" s="13">
        <v>246779413848</v>
      </c>
      <c r="F122" s="9" t="s">
        <v>36</v>
      </c>
      <c r="G122" s="11">
        <v>52.32</v>
      </c>
      <c r="H122" s="9" t="s">
        <v>37</v>
      </c>
      <c r="I122" s="11">
        <v>4535.6899999999996</v>
      </c>
      <c r="J122" s="11" t="e">
        <f>_xlfn.XLOOKUP(E122,'Customer Data'!$A:$A,'Customer Data'!$C:$C,,0)</f>
        <v>#N/A</v>
      </c>
      <c r="K122" s="11"/>
      <c r="L122" s="11"/>
      <c r="M122" s="9" t="s">
        <v>91</v>
      </c>
      <c r="N122" s="12">
        <v>1400001537</v>
      </c>
    </row>
    <row r="123" spans="1:14" x14ac:dyDescent="0.35">
      <c r="A123" s="12">
        <v>1800003998</v>
      </c>
      <c r="B123" s="9" t="s">
        <v>49</v>
      </c>
      <c r="C123" s="10">
        <v>45736</v>
      </c>
      <c r="D123" s="9" t="s">
        <v>34</v>
      </c>
      <c r="E123" s="13">
        <v>246779413854</v>
      </c>
      <c r="F123" s="9" t="s">
        <v>36</v>
      </c>
      <c r="G123" s="11">
        <v>12.39</v>
      </c>
      <c r="H123" s="9" t="s">
        <v>37</v>
      </c>
      <c r="I123" s="11">
        <v>1074.0999999999999</v>
      </c>
      <c r="J123" s="11" t="e">
        <f>_xlfn.XLOOKUP(E123,'Customer Data'!$A:$A,'Customer Data'!$C:$C,,0)</f>
        <v>#N/A</v>
      </c>
      <c r="K123" s="11"/>
      <c r="L123" s="11"/>
      <c r="M123" s="9" t="s">
        <v>91</v>
      </c>
      <c r="N123" s="12">
        <v>1400001537</v>
      </c>
    </row>
    <row r="124" spans="1:14" x14ac:dyDescent="0.35">
      <c r="A124" s="12">
        <v>1800004029</v>
      </c>
      <c r="B124" s="9" t="s">
        <v>49</v>
      </c>
      <c r="C124" s="10">
        <v>45736</v>
      </c>
      <c r="D124" s="9" t="s">
        <v>34</v>
      </c>
      <c r="E124" s="13">
        <v>246779413885</v>
      </c>
      <c r="F124" s="9" t="s">
        <v>36</v>
      </c>
      <c r="G124" s="11">
        <v>138.87</v>
      </c>
      <c r="H124" s="9" t="s">
        <v>37</v>
      </c>
      <c r="I124" s="11">
        <v>12038.82</v>
      </c>
      <c r="J124" s="11" t="e">
        <f>_xlfn.XLOOKUP(E124,'Customer Data'!$A:$A,'Customer Data'!$C:$C,,0)</f>
        <v>#N/A</v>
      </c>
      <c r="K124" s="11"/>
      <c r="L124" s="11"/>
      <c r="M124" s="9" t="s">
        <v>91</v>
      </c>
      <c r="N124" s="12">
        <v>1400001537</v>
      </c>
    </row>
    <row r="125" spans="1:14" x14ac:dyDescent="0.35">
      <c r="A125" s="12">
        <v>1600002219</v>
      </c>
      <c r="B125" s="9" t="s">
        <v>51</v>
      </c>
      <c r="C125" s="10">
        <v>45919</v>
      </c>
      <c r="D125" s="9" t="s">
        <v>34</v>
      </c>
      <c r="E125" s="13">
        <v>256779421774</v>
      </c>
      <c r="F125" s="9" t="s">
        <v>36</v>
      </c>
      <c r="G125" s="11">
        <v>-38.35</v>
      </c>
      <c r="H125" s="9" t="s">
        <v>37</v>
      </c>
      <c r="I125" s="11">
        <v>-3356.17</v>
      </c>
      <c r="J125" s="11" t="e">
        <f>_xlfn.XLOOKUP(E125,'Customer Data'!$A:$A,'Customer Data'!$C:$C,,0)</f>
        <v>#N/A</v>
      </c>
      <c r="K125" s="11"/>
      <c r="L125" s="11"/>
      <c r="M125" s="9" t="s">
        <v>110</v>
      </c>
      <c r="N125" s="12">
        <v>1400001537</v>
      </c>
    </row>
    <row r="126" spans="1:14" x14ac:dyDescent="0.35">
      <c r="A126" s="12">
        <v>1600002222</v>
      </c>
      <c r="B126" s="9" t="s">
        <v>51</v>
      </c>
      <c r="C126" s="10">
        <v>45919</v>
      </c>
      <c r="D126" s="9" t="s">
        <v>34</v>
      </c>
      <c r="E126" s="13">
        <v>256779421777</v>
      </c>
      <c r="F126" s="9" t="s">
        <v>36</v>
      </c>
      <c r="G126" s="11">
        <v>-8.85</v>
      </c>
      <c r="H126" s="9" t="s">
        <v>37</v>
      </c>
      <c r="I126" s="11">
        <v>-774.5</v>
      </c>
      <c r="J126" s="11" t="e">
        <f>_xlfn.XLOOKUP(E126,'Customer Data'!$A:$A,'Customer Data'!$C:$C,,0)</f>
        <v>#N/A</v>
      </c>
      <c r="K126" s="11"/>
      <c r="L126" s="11"/>
      <c r="M126" s="9" t="s">
        <v>111</v>
      </c>
      <c r="N126" s="12">
        <v>1400001537</v>
      </c>
    </row>
    <row r="127" spans="1:14" x14ac:dyDescent="0.35">
      <c r="A127" s="12">
        <v>1600002224</v>
      </c>
      <c r="B127" s="9" t="s">
        <v>51</v>
      </c>
      <c r="C127" s="10">
        <v>45919</v>
      </c>
      <c r="D127" s="9" t="s">
        <v>34</v>
      </c>
      <c r="E127" s="13">
        <v>256779421779</v>
      </c>
      <c r="F127" s="9" t="s">
        <v>36</v>
      </c>
      <c r="G127" s="11">
        <v>-112.1</v>
      </c>
      <c r="H127" s="9" t="s">
        <v>37</v>
      </c>
      <c r="I127" s="11">
        <v>-9810.36</v>
      </c>
      <c r="J127" s="11" t="e">
        <f>_xlfn.XLOOKUP(E127,'Customer Data'!$A:$A,'Customer Data'!$C:$C,,0)</f>
        <v>#N/A</v>
      </c>
      <c r="K127" s="11"/>
      <c r="L127" s="11"/>
      <c r="M127" s="9" t="s">
        <v>99</v>
      </c>
      <c r="N127" s="12">
        <v>1400001537</v>
      </c>
    </row>
    <row r="128" spans="1:14" x14ac:dyDescent="0.35">
      <c r="A128" s="12">
        <v>1600002230</v>
      </c>
      <c r="B128" s="9" t="s">
        <v>51</v>
      </c>
      <c r="C128" s="10">
        <v>45919</v>
      </c>
      <c r="D128" s="9" t="s">
        <v>34</v>
      </c>
      <c r="E128" s="13">
        <v>256779421785</v>
      </c>
      <c r="F128" s="9" t="s">
        <v>36</v>
      </c>
      <c r="G128" s="11">
        <v>-13.97</v>
      </c>
      <c r="H128" s="9" t="s">
        <v>37</v>
      </c>
      <c r="I128" s="11">
        <v>-1222.58</v>
      </c>
      <c r="J128" s="11" t="e">
        <f>_xlfn.XLOOKUP(E128,'Customer Data'!$A:$A,'Customer Data'!$C:$C,,0)</f>
        <v>#N/A</v>
      </c>
      <c r="K128" s="11"/>
      <c r="L128" s="11"/>
      <c r="M128" s="9" t="s">
        <v>110</v>
      </c>
      <c r="N128" s="12">
        <v>1400001537</v>
      </c>
    </row>
    <row r="129" spans="1:14" x14ac:dyDescent="0.35">
      <c r="A129" s="12">
        <v>1600002233</v>
      </c>
      <c r="B129" s="9" t="s">
        <v>51</v>
      </c>
      <c r="C129" s="10">
        <v>45919</v>
      </c>
      <c r="D129" s="9" t="s">
        <v>34</v>
      </c>
      <c r="E129" s="13">
        <v>256779421788</v>
      </c>
      <c r="F129" s="9" t="s">
        <v>36</v>
      </c>
      <c r="G129" s="11">
        <v>-3.54</v>
      </c>
      <c r="H129" s="9" t="s">
        <v>37</v>
      </c>
      <c r="I129" s="11">
        <v>-309.8</v>
      </c>
      <c r="J129" s="11" t="e">
        <f>_xlfn.XLOOKUP(E129,'Customer Data'!$A:$A,'Customer Data'!$C:$C,,0)</f>
        <v>#N/A</v>
      </c>
      <c r="K129" s="11"/>
      <c r="L129" s="11"/>
      <c r="M129" s="9" t="s">
        <v>111</v>
      </c>
      <c r="N129" s="12">
        <v>1400001537</v>
      </c>
    </row>
    <row r="130" spans="1:14" hidden="1" x14ac:dyDescent="0.35">
      <c r="A130" s="12">
        <v>1400001542</v>
      </c>
      <c r="B130" s="9" t="s">
        <v>33</v>
      </c>
      <c r="C130" s="10">
        <v>45931</v>
      </c>
      <c r="D130" s="9" t="s">
        <v>43</v>
      </c>
      <c r="E130" s="13" t="s">
        <v>35</v>
      </c>
      <c r="F130" s="9" t="s">
        <v>36</v>
      </c>
      <c r="G130" s="11">
        <v>94.88</v>
      </c>
      <c r="H130" s="9" t="s">
        <v>37</v>
      </c>
      <c r="I130" s="11">
        <v>8303.36</v>
      </c>
      <c r="J130" s="11" t="e">
        <f>_xlfn.XLOOKUP(E130,'Customer Data'!$A:$A,'Customer Data'!$C:$C,,0)</f>
        <v>#N/A</v>
      </c>
      <c r="K130" s="11"/>
      <c r="L130" s="11"/>
      <c r="M130" s="9" t="s">
        <v>35</v>
      </c>
      <c r="N130" s="12">
        <v>1400001542</v>
      </c>
    </row>
    <row r="131" spans="1:14" hidden="1" x14ac:dyDescent="0.35">
      <c r="A131" s="12">
        <v>1400001312</v>
      </c>
      <c r="B131" s="9" t="s">
        <v>33</v>
      </c>
      <c r="C131" s="10">
        <v>45931</v>
      </c>
      <c r="D131" s="9" t="s">
        <v>43</v>
      </c>
      <c r="E131" s="13" t="s">
        <v>35</v>
      </c>
      <c r="F131" s="9" t="s">
        <v>36</v>
      </c>
      <c r="G131" s="11">
        <v>-94.88</v>
      </c>
      <c r="H131" s="9" t="s">
        <v>37</v>
      </c>
      <c r="I131" s="11">
        <v>-8303.36</v>
      </c>
      <c r="J131" s="11" t="e">
        <f>_xlfn.XLOOKUP(E131,'Customer Data'!$A:$A,'Customer Data'!$C:$C,,0)</f>
        <v>#N/A</v>
      </c>
      <c r="K131" s="11"/>
      <c r="L131" s="11"/>
      <c r="M131" s="9" t="s">
        <v>35</v>
      </c>
      <c r="N131" s="12">
        <v>1400001542</v>
      </c>
    </row>
    <row r="132" spans="1:14" hidden="1" x14ac:dyDescent="0.35">
      <c r="A132" s="12">
        <v>1400001543</v>
      </c>
      <c r="B132" s="9" t="s">
        <v>33</v>
      </c>
      <c r="C132" s="10">
        <v>45887</v>
      </c>
      <c r="D132" s="9" t="s">
        <v>45</v>
      </c>
      <c r="E132" s="13" t="s">
        <v>35</v>
      </c>
      <c r="F132" s="9" t="s">
        <v>36</v>
      </c>
      <c r="G132" s="11">
        <v>31.27</v>
      </c>
      <c r="H132" s="9" t="s">
        <v>37</v>
      </c>
      <c r="I132" s="11">
        <v>2690.16</v>
      </c>
      <c r="J132" s="11" t="e">
        <f>_xlfn.XLOOKUP(E132,'Customer Data'!$A:$A,'Customer Data'!$C:$C,,0)</f>
        <v>#N/A</v>
      </c>
      <c r="K132" s="11"/>
      <c r="L132" s="11"/>
      <c r="M132" s="9" t="s">
        <v>35</v>
      </c>
      <c r="N132" s="12">
        <v>1400001543</v>
      </c>
    </row>
    <row r="133" spans="1:14" hidden="1" x14ac:dyDescent="0.35">
      <c r="A133" s="12">
        <v>1400000849</v>
      </c>
      <c r="B133" s="9" t="s">
        <v>33</v>
      </c>
      <c r="C133" s="10">
        <v>45887</v>
      </c>
      <c r="D133" s="9" t="s">
        <v>45</v>
      </c>
      <c r="E133" s="13" t="s">
        <v>35</v>
      </c>
      <c r="F133" s="9" t="s">
        <v>36</v>
      </c>
      <c r="G133" s="11">
        <v>-31.27</v>
      </c>
      <c r="H133" s="9" t="s">
        <v>37</v>
      </c>
      <c r="I133" s="11">
        <v>-2690.16</v>
      </c>
      <c r="J133" s="11" t="e">
        <f>_xlfn.XLOOKUP(E133,'Customer Data'!$A:$A,'Customer Data'!$C:$C,,0)</f>
        <v>#N/A</v>
      </c>
      <c r="K133" s="11"/>
      <c r="L133" s="11"/>
      <c r="M133" s="9" t="s">
        <v>35</v>
      </c>
      <c r="N133" s="12">
        <v>1400001543</v>
      </c>
    </row>
    <row r="134" spans="1:14" hidden="1" x14ac:dyDescent="0.35">
      <c r="A134" s="12">
        <v>1400001544</v>
      </c>
      <c r="B134" s="9" t="s">
        <v>33</v>
      </c>
      <c r="C134" s="10">
        <v>45887</v>
      </c>
      <c r="D134" s="9" t="s">
        <v>46</v>
      </c>
      <c r="E134" s="13" t="s">
        <v>35</v>
      </c>
      <c r="F134" s="9" t="s">
        <v>36</v>
      </c>
      <c r="G134" s="11">
        <v>40.67</v>
      </c>
      <c r="H134" s="9" t="s">
        <v>37</v>
      </c>
      <c r="I134" s="11">
        <v>3498.84</v>
      </c>
      <c r="J134" s="11" t="e">
        <f>_xlfn.XLOOKUP(E134,'Customer Data'!$A:$A,'Customer Data'!$C:$C,,0)</f>
        <v>#N/A</v>
      </c>
      <c r="K134" s="11"/>
      <c r="L134" s="11"/>
      <c r="M134" s="9" t="s">
        <v>35</v>
      </c>
      <c r="N134" s="12">
        <v>1400001544</v>
      </c>
    </row>
    <row r="135" spans="1:14" hidden="1" x14ac:dyDescent="0.35">
      <c r="A135" s="12">
        <v>1400000853</v>
      </c>
      <c r="B135" s="9" t="s">
        <v>33</v>
      </c>
      <c r="C135" s="10">
        <v>45887</v>
      </c>
      <c r="D135" s="9" t="s">
        <v>46</v>
      </c>
      <c r="E135" s="13" t="s">
        <v>35</v>
      </c>
      <c r="F135" s="9" t="s">
        <v>36</v>
      </c>
      <c r="G135" s="11">
        <v>-40.67</v>
      </c>
      <c r="H135" s="9" t="s">
        <v>37</v>
      </c>
      <c r="I135" s="11">
        <v>-3498.84</v>
      </c>
      <c r="J135" s="11" t="e">
        <f>_xlfn.XLOOKUP(E135,'Customer Data'!$A:$A,'Customer Data'!$C:$C,,0)</f>
        <v>#N/A</v>
      </c>
      <c r="K135" s="11"/>
      <c r="L135" s="11"/>
      <c r="M135" s="9" t="s">
        <v>35</v>
      </c>
      <c r="N135" s="12">
        <v>1400001544</v>
      </c>
    </row>
    <row r="136" spans="1:14" hidden="1" x14ac:dyDescent="0.35">
      <c r="A136" s="12">
        <v>1400001545</v>
      </c>
      <c r="B136" s="9" t="s">
        <v>33</v>
      </c>
      <c r="C136" s="10">
        <v>45890</v>
      </c>
      <c r="D136" s="9" t="s">
        <v>44</v>
      </c>
      <c r="E136" s="13" t="s">
        <v>35</v>
      </c>
      <c r="F136" s="9" t="s">
        <v>36</v>
      </c>
      <c r="G136" s="11">
        <v>2.5499999999999998</v>
      </c>
      <c r="H136" s="9" t="s">
        <v>37</v>
      </c>
      <c r="I136" s="11">
        <v>218</v>
      </c>
      <c r="J136" s="11" t="e">
        <f>_xlfn.XLOOKUP(E136,'Customer Data'!$A:$A,'Customer Data'!$C:$C,,0)</f>
        <v>#N/A</v>
      </c>
      <c r="K136" s="11"/>
      <c r="L136" s="11"/>
      <c r="M136" s="9" t="s">
        <v>35</v>
      </c>
      <c r="N136" s="12">
        <v>1400001545</v>
      </c>
    </row>
    <row r="137" spans="1:14" hidden="1" x14ac:dyDescent="0.35">
      <c r="A137" s="12">
        <v>1400000981</v>
      </c>
      <c r="B137" s="9" t="s">
        <v>33</v>
      </c>
      <c r="C137" s="10">
        <v>45890</v>
      </c>
      <c r="D137" s="9" t="s">
        <v>44</v>
      </c>
      <c r="E137" s="13" t="s">
        <v>35</v>
      </c>
      <c r="F137" s="9" t="s">
        <v>36</v>
      </c>
      <c r="G137" s="11">
        <v>-2.5499999999999998</v>
      </c>
      <c r="H137" s="9" t="s">
        <v>37</v>
      </c>
      <c r="I137" s="11">
        <v>-218</v>
      </c>
      <c r="J137" s="11" t="e">
        <f>_xlfn.XLOOKUP(E137,'Customer Data'!$A:$A,'Customer Data'!$C:$C,,0)</f>
        <v>#N/A</v>
      </c>
      <c r="K137" s="11"/>
      <c r="L137" s="11"/>
      <c r="M137" s="9" t="s">
        <v>35</v>
      </c>
      <c r="N137" s="12">
        <v>1400001545</v>
      </c>
    </row>
    <row r="138" spans="1:14" hidden="1" x14ac:dyDescent="0.35">
      <c r="A138" s="12">
        <v>1400001546</v>
      </c>
      <c r="B138" s="9" t="s">
        <v>33</v>
      </c>
      <c r="C138" s="10">
        <v>45890</v>
      </c>
      <c r="D138" s="9" t="s">
        <v>39</v>
      </c>
      <c r="E138" s="13" t="s">
        <v>35</v>
      </c>
      <c r="F138" s="9" t="s">
        <v>36</v>
      </c>
      <c r="G138" s="11">
        <v>102.53</v>
      </c>
      <c r="H138" s="9" t="s">
        <v>37</v>
      </c>
      <c r="I138" s="11">
        <v>8817.65</v>
      </c>
      <c r="J138" s="11" t="e">
        <f>_xlfn.XLOOKUP(E138,'Customer Data'!$A:$A,'Customer Data'!$C:$C,,0)</f>
        <v>#N/A</v>
      </c>
      <c r="K138" s="11"/>
      <c r="L138" s="11"/>
      <c r="M138" s="9" t="s">
        <v>35</v>
      </c>
      <c r="N138" s="12">
        <v>1400001546</v>
      </c>
    </row>
    <row r="139" spans="1:14" hidden="1" x14ac:dyDescent="0.35">
      <c r="A139" s="12">
        <v>1400000993</v>
      </c>
      <c r="B139" s="9" t="s">
        <v>33</v>
      </c>
      <c r="C139" s="10">
        <v>45890</v>
      </c>
      <c r="D139" s="9" t="s">
        <v>39</v>
      </c>
      <c r="E139" s="13" t="s">
        <v>35</v>
      </c>
      <c r="F139" s="9" t="s">
        <v>36</v>
      </c>
      <c r="G139" s="11">
        <v>-102.53</v>
      </c>
      <c r="H139" s="9" t="s">
        <v>37</v>
      </c>
      <c r="I139" s="11">
        <v>-8817.65</v>
      </c>
      <c r="J139" s="11" t="e">
        <f>_xlfn.XLOOKUP(E139,'Customer Data'!$A:$A,'Customer Data'!$C:$C,,0)</f>
        <v>#N/A</v>
      </c>
      <c r="K139" s="11"/>
      <c r="L139" s="11"/>
      <c r="M139" s="9" t="s">
        <v>35</v>
      </c>
      <c r="N139" s="12">
        <v>1400001546</v>
      </c>
    </row>
    <row r="140" spans="1:14" hidden="1" x14ac:dyDescent="0.35">
      <c r="A140" s="12">
        <v>1400001547</v>
      </c>
      <c r="B140" s="9" t="s">
        <v>33</v>
      </c>
      <c r="C140" s="10">
        <v>45897</v>
      </c>
      <c r="D140" s="9" t="s">
        <v>40</v>
      </c>
      <c r="E140" s="13" t="s">
        <v>35</v>
      </c>
      <c r="F140" s="9" t="s">
        <v>36</v>
      </c>
      <c r="G140" s="11">
        <v>69.430000000000007</v>
      </c>
      <c r="H140" s="9" t="s">
        <v>37</v>
      </c>
      <c r="I140" s="11">
        <v>5973.07</v>
      </c>
      <c r="J140" s="11" t="e">
        <f>_xlfn.XLOOKUP(E140,'Customer Data'!$A:$A,'Customer Data'!$C:$C,,0)</f>
        <v>#N/A</v>
      </c>
      <c r="K140" s="11"/>
      <c r="L140" s="11"/>
      <c r="M140" s="9" t="s">
        <v>35</v>
      </c>
      <c r="N140" s="12">
        <v>1400001547</v>
      </c>
    </row>
    <row r="141" spans="1:14" hidden="1" x14ac:dyDescent="0.35">
      <c r="A141" s="12">
        <v>1400001077</v>
      </c>
      <c r="B141" s="9" t="s">
        <v>33</v>
      </c>
      <c r="C141" s="10">
        <v>45897</v>
      </c>
      <c r="D141" s="9" t="s">
        <v>40</v>
      </c>
      <c r="E141" s="13" t="s">
        <v>35</v>
      </c>
      <c r="F141" s="9" t="s">
        <v>36</v>
      </c>
      <c r="G141" s="11">
        <v>-69.430000000000007</v>
      </c>
      <c r="H141" s="9" t="s">
        <v>37</v>
      </c>
      <c r="I141" s="11">
        <v>-5973.07</v>
      </c>
      <c r="J141" s="11" t="e">
        <f>_xlfn.XLOOKUP(E141,'Customer Data'!$A:$A,'Customer Data'!$C:$C,,0)</f>
        <v>#N/A</v>
      </c>
      <c r="K141" s="11"/>
      <c r="L141" s="11"/>
      <c r="M141" s="9" t="s">
        <v>35</v>
      </c>
      <c r="N141" s="12">
        <v>1400001547</v>
      </c>
    </row>
    <row r="142" spans="1:14" hidden="1" x14ac:dyDescent="0.35">
      <c r="A142" s="12">
        <v>1400002335</v>
      </c>
      <c r="B142" s="9" t="s">
        <v>42</v>
      </c>
      <c r="C142" s="10">
        <v>46024</v>
      </c>
      <c r="D142" s="9" t="s">
        <v>120</v>
      </c>
      <c r="E142" s="13" t="s">
        <v>35</v>
      </c>
      <c r="F142" s="9" t="s">
        <v>36</v>
      </c>
      <c r="G142" s="11">
        <v>31.91</v>
      </c>
      <c r="H142" s="9" t="s">
        <v>37</v>
      </c>
      <c r="I142" s="11">
        <v>2830.42</v>
      </c>
      <c r="J142" s="11" t="e">
        <f>_xlfn.XLOOKUP(E142,'Customer Data'!$A:$A,'Customer Data'!$C:$C,,0)</f>
        <v>#N/A</v>
      </c>
      <c r="K142" s="11"/>
      <c r="L142" s="11"/>
      <c r="M142" s="9" t="s">
        <v>35</v>
      </c>
      <c r="N142" s="12">
        <v>1400002335</v>
      </c>
    </row>
    <row r="143" spans="1:14" hidden="1" x14ac:dyDescent="0.35">
      <c r="A143" s="12">
        <v>1400002335</v>
      </c>
      <c r="B143" s="9" t="s">
        <v>42</v>
      </c>
      <c r="C143" s="10">
        <v>46024</v>
      </c>
      <c r="D143" s="9" t="s">
        <v>120</v>
      </c>
      <c r="E143" s="13" t="s">
        <v>35</v>
      </c>
      <c r="F143" s="9" t="s">
        <v>36</v>
      </c>
      <c r="G143" s="11">
        <v>-31.91</v>
      </c>
      <c r="H143" s="9" t="s">
        <v>37</v>
      </c>
      <c r="I143" s="11">
        <v>-2808.19</v>
      </c>
      <c r="J143" s="11" t="e">
        <f>_xlfn.XLOOKUP(E143,'Customer Data'!$A:$A,'Customer Data'!$C:$C,,0)</f>
        <v>#N/A</v>
      </c>
      <c r="K143" s="11"/>
      <c r="L143" s="11"/>
      <c r="M143" s="9" t="s">
        <v>35</v>
      </c>
      <c r="N143" s="12">
        <v>1400002335</v>
      </c>
    </row>
    <row r="144" spans="1:14" hidden="1" x14ac:dyDescent="0.35">
      <c r="A144" s="12">
        <v>1400002248</v>
      </c>
      <c r="B144" s="9" t="s">
        <v>33</v>
      </c>
      <c r="C144" s="10">
        <v>46011</v>
      </c>
      <c r="D144" s="9" t="s">
        <v>120</v>
      </c>
      <c r="E144" s="13" t="s">
        <v>35</v>
      </c>
      <c r="F144" s="9" t="s">
        <v>36</v>
      </c>
      <c r="G144" s="11">
        <v>-31.91</v>
      </c>
      <c r="H144" s="9" t="s">
        <v>37</v>
      </c>
      <c r="I144" s="11">
        <v>-2830.42</v>
      </c>
      <c r="J144" s="11" t="e">
        <f>_xlfn.XLOOKUP(E144,'Customer Data'!$A:$A,'Customer Data'!$C:$C,,0)</f>
        <v>#N/A</v>
      </c>
      <c r="K144" s="11"/>
      <c r="L144" s="11"/>
      <c r="M144" s="9" t="s">
        <v>35</v>
      </c>
      <c r="N144" s="12">
        <v>1400002335</v>
      </c>
    </row>
    <row r="145" spans="1:14" hidden="1" x14ac:dyDescent="0.35">
      <c r="A145" s="12">
        <v>1800014380</v>
      </c>
      <c r="B145" s="9" t="s">
        <v>49</v>
      </c>
      <c r="C145" s="10">
        <v>45964</v>
      </c>
      <c r="D145" s="9" t="s">
        <v>34</v>
      </c>
      <c r="E145" s="13">
        <v>256779419102</v>
      </c>
      <c r="F145" s="9" t="s">
        <v>36</v>
      </c>
      <c r="G145" s="11">
        <v>31.27</v>
      </c>
      <c r="H145" s="9" t="s">
        <v>37</v>
      </c>
      <c r="I145" s="11">
        <v>2751.87</v>
      </c>
      <c r="J145" s="11">
        <f>_xlfn.XLOOKUP(E145,'Customer Data'!$A:$A,'Customer Data'!$C:$C,,0)</f>
        <v>40.380000000000003</v>
      </c>
      <c r="K145" s="11">
        <f t="shared" ref="K145:K146" si="6">J145/118%</f>
        <v>34.220338983050851</v>
      </c>
      <c r="L145" s="11">
        <f t="shared" ref="L145:L146" si="7">K145-G145</f>
        <v>2.9503389830508517</v>
      </c>
      <c r="M145" s="9" t="s">
        <v>121</v>
      </c>
      <c r="N145" s="12">
        <v>1400002335</v>
      </c>
    </row>
    <row r="146" spans="1:14" hidden="1" x14ac:dyDescent="0.35">
      <c r="A146" s="12">
        <v>1800014422</v>
      </c>
      <c r="B146" s="9" t="s">
        <v>49</v>
      </c>
      <c r="C146" s="10">
        <v>45966</v>
      </c>
      <c r="D146" s="9" t="s">
        <v>34</v>
      </c>
      <c r="E146" s="13">
        <v>256779418939</v>
      </c>
      <c r="F146" s="9" t="s">
        <v>36</v>
      </c>
      <c r="G146" s="11">
        <v>0.64</v>
      </c>
      <c r="H146" s="9" t="s">
        <v>37</v>
      </c>
      <c r="I146" s="11">
        <v>56.32</v>
      </c>
      <c r="J146" s="11">
        <f>_xlfn.XLOOKUP(E146,'Customer Data'!$A:$A,'Customer Data'!$C:$C,,0)</f>
        <v>0.83</v>
      </c>
      <c r="K146" s="11">
        <f t="shared" si="6"/>
        <v>0.70338983050847459</v>
      </c>
      <c r="L146" s="11">
        <f t="shared" si="7"/>
        <v>6.3389830508474576E-2</v>
      </c>
      <c r="M146" s="9" t="s">
        <v>122</v>
      </c>
      <c r="N146" s="12">
        <v>1400002335</v>
      </c>
    </row>
    <row r="147" spans="1:14" hidden="1" x14ac:dyDescent="0.35">
      <c r="A147" s="12">
        <v>1400001537</v>
      </c>
      <c r="B147" s="9" t="s">
        <v>42</v>
      </c>
      <c r="C147" s="10">
        <v>45959</v>
      </c>
      <c r="D147" s="9" t="s">
        <v>35</v>
      </c>
      <c r="E147" s="13" t="s">
        <v>35</v>
      </c>
      <c r="F147" s="9" t="s">
        <v>37</v>
      </c>
      <c r="G147" s="11">
        <v>2360.84</v>
      </c>
      <c r="H147" s="9" t="s">
        <v>37</v>
      </c>
      <c r="I147" s="11">
        <v>2360.84</v>
      </c>
      <c r="J147" s="11" t="e">
        <f>_xlfn.XLOOKUP(E147,'Customer Data'!$A:$A,'Customer Data'!$C:$C,,0)</f>
        <v>#N/A</v>
      </c>
      <c r="K147" s="11"/>
      <c r="L147" s="11"/>
      <c r="M147" s="9" t="s">
        <v>35</v>
      </c>
      <c r="N147" s="9" t="s">
        <v>35</v>
      </c>
    </row>
    <row r="148" spans="1:14" x14ac:dyDescent="0.35">
      <c r="A148" s="12">
        <v>1800012827</v>
      </c>
      <c r="B148" s="9" t="s">
        <v>49</v>
      </c>
      <c r="C148" s="10">
        <v>45917</v>
      </c>
      <c r="D148" s="9" t="s">
        <v>34</v>
      </c>
      <c r="E148" s="13">
        <v>256779417461</v>
      </c>
      <c r="F148" s="9" t="s">
        <v>36</v>
      </c>
      <c r="G148" s="11">
        <v>31.72</v>
      </c>
      <c r="H148" s="9" t="s">
        <v>37</v>
      </c>
      <c r="I148" s="11">
        <v>2775.95</v>
      </c>
      <c r="J148" s="11" t="e">
        <f>_xlfn.XLOOKUP(E148,'Customer Data'!$A:$A,'Customer Data'!$C:$C,,0)</f>
        <v>#N/A</v>
      </c>
      <c r="K148" s="11"/>
      <c r="L148" s="11"/>
      <c r="M148" s="9" t="s">
        <v>55</v>
      </c>
      <c r="N148" s="9" t="s">
        <v>35</v>
      </c>
    </row>
    <row r="149" spans="1:14" x14ac:dyDescent="0.35">
      <c r="A149" s="12">
        <v>1800012841</v>
      </c>
      <c r="B149" s="9" t="s">
        <v>49</v>
      </c>
      <c r="C149" s="10">
        <v>45917</v>
      </c>
      <c r="D149" s="9" t="s">
        <v>34</v>
      </c>
      <c r="E149" s="13">
        <v>256779417475</v>
      </c>
      <c r="F149" s="9" t="s">
        <v>36</v>
      </c>
      <c r="G149" s="11">
        <v>13.59</v>
      </c>
      <c r="H149" s="9" t="s">
        <v>37</v>
      </c>
      <c r="I149" s="11">
        <v>1189.32</v>
      </c>
      <c r="J149" s="11" t="e">
        <f>_xlfn.XLOOKUP(E149,'Customer Data'!$A:$A,'Customer Data'!$C:$C,,0)</f>
        <v>#N/A</v>
      </c>
      <c r="K149" s="11"/>
      <c r="L149" s="11"/>
      <c r="M149" s="9" t="s">
        <v>56</v>
      </c>
      <c r="N149" s="9" t="s">
        <v>35</v>
      </c>
    </row>
    <row r="150" spans="1:14" x14ac:dyDescent="0.35">
      <c r="A150" s="12">
        <v>1800001698</v>
      </c>
      <c r="B150" s="9" t="s">
        <v>49</v>
      </c>
      <c r="C150" s="10">
        <v>45730</v>
      </c>
      <c r="D150" s="9" t="s">
        <v>34</v>
      </c>
      <c r="E150" s="13">
        <v>246779411363</v>
      </c>
      <c r="F150" s="9" t="s">
        <v>36</v>
      </c>
      <c r="G150" s="11">
        <v>6.56</v>
      </c>
      <c r="H150" s="9" t="s">
        <v>37</v>
      </c>
      <c r="I150" s="11">
        <v>568.69000000000005</v>
      </c>
      <c r="J150" s="11" t="e">
        <f>_xlfn.XLOOKUP(E150,'Customer Data'!$A:$A,'Customer Data'!$C:$C,,0)</f>
        <v>#N/A</v>
      </c>
      <c r="K150" s="11"/>
      <c r="L150" s="11"/>
      <c r="M150" s="9" t="s">
        <v>62</v>
      </c>
      <c r="N150" s="9" t="s">
        <v>35</v>
      </c>
    </row>
    <row r="151" spans="1:14" x14ac:dyDescent="0.35">
      <c r="A151" s="12">
        <v>1800001699</v>
      </c>
      <c r="B151" s="9" t="s">
        <v>49</v>
      </c>
      <c r="C151" s="10">
        <v>45730</v>
      </c>
      <c r="D151" s="9" t="s">
        <v>34</v>
      </c>
      <c r="E151" s="13">
        <v>246779411364</v>
      </c>
      <c r="F151" s="9" t="s">
        <v>36</v>
      </c>
      <c r="G151" s="11">
        <v>23.85</v>
      </c>
      <c r="H151" s="9" t="s">
        <v>37</v>
      </c>
      <c r="I151" s="11">
        <v>2067.59</v>
      </c>
      <c r="J151" s="11" t="e">
        <f>_xlfn.XLOOKUP(E151,'Customer Data'!$A:$A,'Customer Data'!$C:$C,,0)</f>
        <v>#N/A</v>
      </c>
      <c r="K151" s="11"/>
      <c r="L151" s="11"/>
      <c r="M151" s="9" t="s">
        <v>62</v>
      </c>
      <c r="N151" s="9" t="s">
        <v>35</v>
      </c>
    </row>
    <row r="152" spans="1:14" x14ac:dyDescent="0.35">
      <c r="A152" s="12">
        <v>1800001694</v>
      </c>
      <c r="B152" s="9" t="s">
        <v>49</v>
      </c>
      <c r="C152" s="10">
        <v>45730</v>
      </c>
      <c r="D152" s="9" t="s">
        <v>34</v>
      </c>
      <c r="E152" s="13">
        <v>246779411359</v>
      </c>
      <c r="F152" s="9" t="s">
        <v>36</v>
      </c>
      <c r="G152" s="11">
        <v>11.92</v>
      </c>
      <c r="H152" s="9" t="s">
        <v>37</v>
      </c>
      <c r="I152" s="11">
        <v>1033.3599999999999</v>
      </c>
      <c r="J152" s="11" t="e">
        <f>_xlfn.XLOOKUP(E152,'Customer Data'!$A:$A,'Customer Data'!$C:$C,,0)</f>
        <v>#N/A</v>
      </c>
      <c r="K152" s="11"/>
      <c r="L152" s="11"/>
      <c r="M152" s="9" t="s">
        <v>62</v>
      </c>
      <c r="N152" s="9" t="s">
        <v>35</v>
      </c>
    </row>
    <row r="153" spans="1:14" x14ac:dyDescent="0.35">
      <c r="A153" s="12">
        <v>1800001695</v>
      </c>
      <c r="B153" s="9" t="s">
        <v>49</v>
      </c>
      <c r="C153" s="10">
        <v>45730</v>
      </c>
      <c r="D153" s="9" t="s">
        <v>34</v>
      </c>
      <c r="E153" s="13">
        <v>246779411360</v>
      </c>
      <c r="F153" s="9" t="s">
        <v>36</v>
      </c>
      <c r="G153" s="11">
        <v>35.770000000000003</v>
      </c>
      <c r="H153" s="9" t="s">
        <v>37</v>
      </c>
      <c r="I153" s="11">
        <v>3100.95</v>
      </c>
      <c r="J153" s="11" t="e">
        <f>_xlfn.XLOOKUP(E153,'Customer Data'!$A:$A,'Customer Data'!$C:$C,,0)</f>
        <v>#N/A</v>
      </c>
      <c r="K153" s="11"/>
      <c r="L153" s="11"/>
      <c r="M153" s="9" t="s">
        <v>62</v>
      </c>
      <c r="N153" s="9" t="s">
        <v>35</v>
      </c>
    </row>
    <row r="154" spans="1:14" x14ac:dyDescent="0.35">
      <c r="A154" s="12">
        <v>1800001696</v>
      </c>
      <c r="B154" s="9" t="s">
        <v>49</v>
      </c>
      <c r="C154" s="10">
        <v>45730</v>
      </c>
      <c r="D154" s="9" t="s">
        <v>34</v>
      </c>
      <c r="E154" s="13">
        <v>246779411361</v>
      </c>
      <c r="F154" s="9" t="s">
        <v>36</v>
      </c>
      <c r="G154" s="11">
        <v>75.12</v>
      </c>
      <c r="H154" s="9" t="s">
        <v>37</v>
      </c>
      <c r="I154" s="11">
        <v>6512.25</v>
      </c>
      <c r="J154" s="11" t="e">
        <f>_xlfn.XLOOKUP(E154,'Customer Data'!$A:$A,'Customer Data'!$C:$C,,0)</f>
        <v>#N/A</v>
      </c>
      <c r="K154" s="11"/>
      <c r="L154" s="11"/>
      <c r="M154" s="9" t="s">
        <v>62</v>
      </c>
      <c r="N154" s="9" t="s">
        <v>35</v>
      </c>
    </row>
    <row r="155" spans="1:14" x14ac:dyDescent="0.35">
      <c r="A155" s="12">
        <v>1800001697</v>
      </c>
      <c r="B155" s="9" t="s">
        <v>49</v>
      </c>
      <c r="C155" s="10">
        <v>45730</v>
      </c>
      <c r="D155" s="9" t="s">
        <v>34</v>
      </c>
      <c r="E155" s="13">
        <v>246779411362</v>
      </c>
      <c r="F155" s="9" t="s">
        <v>36</v>
      </c>
      <c r="G155" s="11">
        <v>17.88</v>
      </c>
      <c r="H155" s="9" t="s">
        <v>37</v>
      </c>
      <c r="I155" s="11">
        <v>1550.04</v>
      </c>
      <c r="J155" s="11" t="e">
        <f>_xlfn.XLOOKUP(E155,'Customer Data'!$A:$A,'Customer Data'!$C:$C,,0)</f>
        <v>#N/A</v>
      </c>
      <c r="K155" s="11"/>
      <c r="L155" s="11"/>
      <c r="M155" s="9" t="s">
        <v>62</v>
      </c>
      <c r="N155" s="9" t="s">
        <v>35</v>
      </c>
    </row>
    <row r="156" spans="1:14" x14ac:dyDescent="0.35">
      <c r="A156" s="12">
        <v>1600002518</v>
      </c>
      <c r="B156" s="9" t="s">
        <v>51</v>
      </c>
      <c r="C156" s="10">
        <v>45964</v>
      </c>
      <c r="D156" s="9" t="s">
        <v>34</v>
      </c>
      <c r="E156" s="13">
        <v>256779422060</v>
      </c>
      <c r="F156" s="9" t="s">
        <v>36</v>
      </c>
      <c r="G156" s="11">
        <v>-11.92</v>
      </c>
      <c r="H156" s="9" t="s">
        <v>37</v>
      </c>
      <c r="I156" s="11">
        <v>-1049</v>
      </c>
      <c r="J156" s="11" t="e">
        <f>_xlfn.XLOOKUP(E156,'Customer Data'!$A:$A,'Customer Data'!$C:$C,,0)</f>
        <v>#N/A</v>
      </c>
      <c r="K156" s="11"/>
      <c r="L156" s="11"/>
      <c r="M156" s="9" t="s">
        <v>64</v>
      </c>
      <c r="N156" s="9" t="s">
        <v>35</v>
      </c>
    </row>
    <row r="157" spans="1:14" x14ac:dyDescent="0.35">
      <c r="A157" s="12">
        <v>1600002519</v>
      </c>
      <c r="B157" s="9" t="s">
        <v>51</v>
      </c>
      <c r="C157" s="10">
        <v>45964</v>
      </c>
      <c r="D157" s="9" t="s">
        <v>34</v>
      </c>
      <c r="E157" s="13">
        <v>256779422061</v>
      </c>
      <c r="F157" s="9" t="s">
        <v>36</v>
      </c>
      <c r="G157" s="11">
        <v>-35.770000000000003</v>
      </c>
      <c r="H157" s="9" t="s">
        <v>37</v>
      </c>
      <c r="I157" s="11">
        <v>-3147.88</v>
      </c>
      <c r="J157" s="11" t="e">
        <f>_xlfn.XLOOKUP(E157,'Customer Data'!$A:$A,'Customer Data'!$C:$C,,0)</f>
        <v>#N/A</v>
      </c>
      <c r="K157" s="11"/>
      <c r="L157" s="11"/>
      <c r="M157" s="9" t="s">
        <v>65</v>
      </c>
      <c r="N157" s="9" t="s">
        <v>35</v>
      </c>
    </row>
    <row r="158" spans="1:14" x14ac:dyDescent="0.35">
      <c r="A158" s="12">
        <v>1600002520</v>
      </c>
      <c r="B158" s="9" t="s">
        <v>51</v>
      </c>
      <c r="C158" s="10">
        <v>45964</v>
      </c>
      <c r="D158" s="9" t="s">
        <v>34</v>
      </c>
      <c r="E158" s="13">
        <v>256779422062</v>
      </c>
      <c r="F158" s="9" t="s">
        <v>36</v>
      </c>
      <c r="G158" s="11">
        <v>-75.12</v>
      </c>
      <c r="H158" s="9" t="s">
        <v>37</v>
      </c>
      <c r="I158" s="11">
        <v>-6610.81</v>
      </c>
      <c r="J158" s="11" t="e">
        <f>_xlfn.XLOOKUP(E158,'Customer Data'!$A:$A,'Customer Data'!$C:$C,,0)</f>
        <v>#N/A</v>
      </c>
      <c r="K158" s="11"/>
      <c r="L158" s="11"/>
      <c r="M158" s="9" t="s">
        <v>66</v>
      </c>
      <c r="N158" s="9" t="s">
        <v>35</v>
      </c>
    </row>
    <row r="159" spans="1:14" x14ac:dyDescent="0.35">
      <c r="A159" s="12">
        <v>1600002521</v>
      </c>
      <c r="B159" s="9" t="s">
        <v>51</v>
      </c>
      <c r="C159" s="10">
        <v>45964</v>
      </c>
      <c r="D159" s="9" t="s">
        <v>34</v>
      </c>
      <c r="E159" s="13">
        <v>256779422063</v>
      </c>
      <c r="F159" s="9" t="s">
        <v>36</v>
      </c>
      <c r="G159" s="11">
        <v>-17.88</v>
      </c>
      <c r="H159" s="9" t="s">
        <v>37</v>
      </c>
      <c r="I159" s="11">
        <v>-1573.5</v>
      </c>
      <c r="J159" s="11" t="e">
        <f>_xlfn.XLOOKUP(E159,'Customer Data'!$A:$A,'Customer Data'!$C:$C,,0)</f>
        <v>#N/A</v>
      </c>
      <c r="K159" s="11"/>
      <c r="L159" s="11"/>
      <c r="M159" s="9" t="s">
        <v>67</v>
      </c>
      <c r="N159" s="9" t="s">
        <v>35</v>
      </c>
    </row>
    <row r="160" spans="1:14" x14ac:dyDescent="0.35">
      <c r="A160" s="12">
        <v>1600002522</v>
      </c>
      <c r="B160" s="9" t="s">
        <v>51</v>
      </c>
      <c r="C160" s="10">
        <v>45964</v>
      </c>
      <c r="D160" s="9" t="s">
        <v>34</v>
      </c>
      <c r="E160" s="13">
        <v>256779422064</v>
      </c>
      <c r="F160" s="9" t="s">
        <v>36</v>
      </c>
      <c r="G160" s="11">
        <v>-6.56</v>
      </c>
      <c r="H160" s="9" t="s">
        <v>37</v>
      </c>
      <c r="I160" s="11">
        <v>-577.29999999999995</v>
      </c>
      <c r="J160" s="11" t="e">
        <f>_xlfn.XLOOKUP(E160,'Customer Data'!$A:$A,'Customer Data'!$C:$C,,0)</f>
        <v>#N/A</v>
      </c>
      <c r="K160" s="11"/>
      <c r="L160" s="11"/>
      <c r="M160" s="9" t="s">
        <v>68</v>
      </c>
      <c r="N160" s="9" t="s">
        <v>35</v>
      </c>
    </row>
    <row r="161" spans="1:14" x14ac:dyDescent="0.35">
      <c r="A161" s="12">
        <v>1600002523</v>
      </c>
      <c r="B161" s="9" t="s">
        <v>51</v>
      </c>
      <c r="C161" s="10">
        <v>45964</v>
      </c>
      <c r="D161" s="9" t="s">
        <v>34</v>
      </c>
      <c r="E161" s="13">
        <v>256779422065</v>
      </c>
      <c r="F161" s="9" t="s">
        <v>36</v>
      </c>
      <c r="G161" s="11">
        <v>-23.85</v>
      </c>
      <c r="H161" s="9" t="s">
        <v>37</v>
      </c>
      <c r="I161" s="11">
        <v>-2098.88</v>
      </c>
      <c r="J161" s="11" t="e">
        <f>_xlfn.XLOOKUP(E161,'Customer Data'!$A:$A,'Customer Data'!$C:$C,,0)</f>
        <v>#N/A</v>
      </c>
      <c r="K161" s="11"/>
      <c r="L161" s="11"/>
      <c r="M161" s="9" t="s">
        <v>69</v>
      </c>
      <c r="N161" s="9" t="s">
        <v>35</v>
      </c>
    </row>
    <row r="162" spans="1:14" hidden="1" x14ac:dyDescent="0.35">
      <c r="A162" s="12">
        <v>1800015389</v>
      </c>
      <c r="B162" s="9" t="s">
        <v>49</v>
      </c>
      <c r="C162" s="10">
        <v>45999</v>
      </c>
      <c r="D162" s="9" t="s">
        <v>34</v>
      </c>
      <c r="E162" s="13">
        <v>256779419838</v>
      </c>
      <c r="F162" s="9" t="s">
        <v>36</v>
      </c>
      <c r="G162" s="11">
        <v>31.27</v>
      </c>
      <c r="H162" s="9" t="s">
        <v>37</v>
      </c>
      <c r="I162" s="11">
        <v>2773.65</v>
      </c>
      <c r="J162" s="11">
        <f>_xlfn.XLOOKUP(E162,'Customer Data'!$A:$A,'Customer Data'!$C:$C,,0)</f>
        <v>39.58</v>
      </c>
      <c r="K162" s="11">
        <f>J162/118%</f>
        <v>33.542372881355931</v>
      </c>
      <c r="L162" s="11">
        <f>K162-G162</f>
        <v>2.2723728813559312</v>
      </c>
      <c r="M162" s="9" t="s">
        <v>94</v>
      </c>
      <c r="N162" s="9" t="s">
        <v>35</v>
      </c>
    </row>
    <row r="163" spans="1:14" x14ac:dyDescent="0.35">
      <c r="A163" s="12">
        <v>1600002237</v>
      </c>
      <c r="B163" s="9" t="s">
        <v>51</v>
      </c>
      <c r="C163" s="10">
        <v>45919</v>
      </c>
      <c r="D163" s="9" t="s">
        <v>34</v>
      </c>
      <c r="E163" s="13">
        <v>256779421792</v>
      </c>
      <c r="F163" s="9" t="s">
        <v>36</v>
      </c>
      <c r="G163" s="11">
        <v>-26.77</v>
      </c>
      <c r="H163" s="9" t="s">
        <v>37</v>
      </c>
      <c r="I163" s="11">
        <v>-2342.7600000000002</v>
      </c>
      <c r="J163" s="11" t="e">
        <f>_xlfn.XLOOKUP(E163,'Customer Data'!$A:$A,'Customer Data'!$C:$C,,0)</f>
        <v>#N/A</v>
      </c>
      <c r="K163" s="11"/>
      <c r="L163" s="11"/>
      <c r="M163" s="9" t="s">
        <v>99</v>
      </c>
      <c r="N163" s="9" t="s">
        <v>35</v>
      </c>
    </row>
    <row r="164" spans="1:14" hidden="1" x14ac:dyDescent="0.35">
      <c r="A164" s="12">
        <v>1800015251</v>
      </c>
      <c r="B164" s="9" t="s">
        <v>49</v>
      </c>
      <c r="C164" s="10">
        <v>45996</v>
      </c>
      <c r="D164" s="9" t="s">
        <v>34</v>
      </c>
      <c r="E164" s="13">
        <v>256779419880</v>
      </c>
      <c r="F164" s="9" t="s">
        <v>36</v>
      </c>
      <c r="G164" s="11">
        <v>2.95</v>
      </c>
      <c r="H164" s="9" t="s">
        <v>37</v>
      </c>
      <c r="I164" s="11">
        <v>261.67</v>
      </c>
      <c r="J164" s="11">
        <f>_xlfn.XLOOKUP(E164,'Customer Data'!$A:$A,'Customer Data'!$C:$C,,0)</f>
        <v>3.73</v>
      </c>
      <c r="K164" s="11">
        <f>J164/118%</f>
        <v>3.1610169491525424</v>
      </c>
      <c r="L164" s="11">
        <f>K164-G164</f>
        <v>0.21101694915254221</v>
      </c>
      <c r="M164" s="9" t="s">
        <v>114</v>
      </c>
      <c r="N164" s="9" t="s">
        <v>35</v>
      </c>
    </row>
    <row r="165" spans="1:14" x14ac:dyDescent="0.35">
      <c r="A165" s="12">
        <v>1800015172</v>
      </c>
      <c r="B165" s="9" t="s">
        <v>49</v>
      </c>
      <c r="C165" s="10">
        <v>45994</v>
      </c>
      <c r="D165" s="9" t="s">
        <v>34</v>
      </c>
      <c r="E165" s="13">
        <v>256779419673</v>
      </c>
      <c r="F165" s="9" t="s">
        <v>36</v>
      </c>
      <c r="G165" s="11">
        <v>6.05</v>
      </c>
      <c r="H165" s="9" t="s">
        <v>37</v>
      </c>
      <c r="I165" s="11">
        <v>536.64</v>
      </c>
      <c r="J165" s="11" t="e">
        <f>_xlfn.XLOOKUP(E165,'Customer Data'!$A:$A,'Customer Data'!$C:$C,,0)</f>
        <v>#N/A</v>
      </c>
      <c r="K165" s="11"/>
      <c r="L165" s="11"/>
      <c r="M165" s="9" t="s">
        <v>115</v>
      </c>
      <c r="N165" s="9" t="s">
        <v>35</v>
      </c>
    </row>
    <row r="166" spans="1:14" x14ac:dyDescent="0.35">
      <c r="A166" s="12">
        <v>1800013604</v>
      </c>
      <c r="B166" s="9" t="s">
        <v>49</v>
      </c>
      <c r="C166" s="10">
        <v>45937</v>
      </c>
      <c r="D166" s="9" t="s">
        <v>34</v>
      </c>
      <c r="E166" s="13">
        <v>256779418128</v>
      </c>
      <c r="F166" s="9" t="s">
        <v>36</v>
      </c>
      <c r="G166" s="11">
        <v>24.78</v>
      </c>
      <c r="H166" s="9" t="s">
        <v>37</v>
      </c>
      <c r="I166" s="11">
        <v>2185.37</v>
      </c>
      <c r="J166" s="11" t="e">
        <f>_xlfn.XLOOKUP(E166,'Customer Data'!$A:$A,'Customer Data'!$C:$C,,0)</f>
        <v>#N/A</v>
      </c>
      <c r="K166" s="11"/>
      <c r="L166" s="11"/>
      <c r="M166" s="9" t="s">
        <v>118</v>
      </c>
      <c r="N166" s="9" t="s">
        <v>35</v>
      </c>
    </row>
    <row r="167" spans="1:14" x14ac:dyDescent="0.35">
      <c r="A167" s="12">
        <v>1800016463</v>
      </c>
      <c r="B167" s="9" t="s">
        <v>49</v>
      </c>
      <c r="C167" s="10">
        <v>46028</v>
      </c>
      <c r="D167" s="9" t="s">
        <v>123</v>
      </c>
      <c r="E167" s="13">
        <v>256779450508</v>
      </c>
      <c r="F167" s="9" t="s">
        <v>36</v>
      </c>
      <c r="G167" s="11">
        <v>33.75</v>
      </c>
      <c r="H167" s="9" t="s">
        <v>37</v>
      </c>
      <c r="I167" s="11">
        <v>3062.58</v>
      </c>
      <c r="J167" s="11" t="e">
        <f>_xlfn.XLOOKUP(E167,'Customer Data'!$A:$A,'Customer Data'!$C:$C,,0)</f>
        <v>#N/A</v>
      </c>
      <c r="K167" s="11"/>
      <c r="L167" s="11"/>
      <c r="M167" s="9" t="s">
        <v>124</v>
      </c>
      <c r="N167" s="9" t="s">
        <v>35</v>
      </c>
    </row>
    <row r="168" spans="1:14" x14ac:dyDescent="0.35">
      <c r="A168" s="12">
        <v>1800016373</v>
      </c>
      <c r="B168" s="9" t="s">
        <v>49</v>
      </c>
      <c r="C168" s="10">
        <v>46034</v>
      </c>
      <c r="D168" s="9" t="s">
        <v>125</v>
      </c>
      <c r="E168" s="13">
        <v>256779450540</v>
      </c>
      <c r="F168" s="9" t="s">
        <v>36</v>
      </c>
      <c r="G168" s="11">
        <v>2.95</v>
      </c>
      <c r="H168" s="9" t="s">
        <v>37</v>
      </c>
      <c r="I168" s="11">
        <v>267.69</v>
      </c>
      <c r="J168" s="11" t="e">
        <f>_xlfn.XLOOKUP(E168,'Customer Data'!$A:$A,'Customer Data'!$C:$C,,0)</f>
        <v>#N/A</v>
      </c>
      <c r="K168" s="11"/>
      <c r="L168" s="11"/>
      <c r="M168" s="9" t="s">
        <v>126</v>
      </c>
      <c r="N168" s="9" t="s">
        <v>35</v>
      </c>
    </row>
    <row r="169" spans="1:14" x14ac:dyDescent="0.35">
      <c r="A169" s="12">
        <v>1800016709</v>
      </c>
      <c r="B169" s="9" t="s">
        <v>49</v>
      </c>
      <c r="C169" s="10">
        <v>46028</v>
      </c>
      <c r="D169" s="9" t="s">
        <v>127</v>
      </c>
      <c r="E169" s="13">
        <v>256779450685</v>
      </c>
      <c r="F169" s="9" t="s">
        <v>36</v>
      </c>
      <c r="G169" s="11">
        <v>4.46</v>
      </c>
      <c r="H169" s="9" t="s">
        <v>37</v>
      </c>
      <c r="I169" s="11">
        <v>404.71</v>
      </c>
      <c r="J169" s="11" t="e">
        <f>_xlfn.XLOOKUP(E169,'Customer Data'!$A:$A,'Customer Data'!$C:$C,,0)</f>
        <v>#N/A</v>
      </c>
      <c r="K169" s="11"/>
      <c r="L169" s="11"/>
      <c r="M169" s="9" t="s">
        <v>128</v>
      </c>
      <c r="N169" s="9" t="s">
        <v>35</v>
      </c>
    </row>
    <row r="170" spans="1:14" hidden="1" x14ac:dyDescent="0.35">
      <c r="A170" s="1" t="s">
        <v>35</v>
      </c>
      <c r="B170" s="1" t="s">
        <v>35</v>
      </c>
      <c r="C170" s="2"/>
      <c r="D170" s="1" t="s">
        <v>35</v>
      </c>
      <c r="E170" s="1" t="s">
        <v>35</v>
      </c>
      <c r="F170" s="1" t="s">
        <v>37</v>
      </c>
      <c r="G170" s="3">
        <v>0</v>
      </c>
      <c r="H170" s="1" t="s">
        <v>37</v>
      </c>
      <c r="I170" s="3">
        <v>13251.17</v>
      </c>
      <c r="J170" s="3"/>
      <c r="K170" s="3"/>
      <c r="L170" s="3"/>
      <c r="M170" s="1" t="s">
        <v>35</v>
      </c>
      <c r="N170" s="1" t="s">
        <v>35</v>
      </c>
    </row>
    <row r="171" spans="1:14" hidden="1" x14ac:dyDescent="0.35">
      <c r="A171" s="1" t="s">
        <v>35</v>
      </c>
      <c r="B171" s="1" t="s">
        <v>35</v>
      </c>
      <c r="C171" s="2"/>
      <c r="D171" s="1" t="s">
        <v>35</v>
      </c>
      <c r="E171" s="1" t="s">
        <v>35</v>
      </c>
      <c r="F171" s="1" t="s">
        <v>36</v>
      </c>
      <c r="G171" s="3">
        <v>151.52000000000001</v>
      </c>
      <c r="H171" s="1" t="s">
        <v>35</v>
      </c>
      <c r="I171" s="4"/>
      <c r="J171" s="4"/>
      <c r="K171" s="4"/>
      <c r="L171" s="4"/>
      <c r="M171" s="1" t="s">
        <v>35</v>
      </c>
      <c r="N171" s="1" t="s">
        <v>35</v>
      </c>
    </row>
    <row r="172" spans="1:14" hidden="1" x14ac:dyDescent="0.35">
      <c r="A172" s="5" t="s">
        <v>35</v>
      </c>
      <c r="B172" s="5" t="s">
        <v>35</v>
      </c>
      <c r="C172" s="6"/>
      <c r="D172" s="5" t="s">
        <v>35</v>
      </c>
      <c r="E172" s="5" t="s">
        <v>35</v>
      </c>
      <c r="F172" s="5" t="s">
        <v>37</v>
      </c>
      <c r="G172" s="7">
        <v>0</v>
      </c>
      <c r="H172" s="5" t="s">
        <v>37</v>
      </c>
      <c r="I172" s="7">
        <v>13251.17</v>
      </c>
      <c r="J172" s="7"/>
      <c r="K172" s="7"/>
      <c r="L172" s="7"/>
      <c r="M172" s="5" t="s">
        <v>35</v>
      </c>
      <c r="N172" s="5" t="s">
        <v>35</v>
      </c>
    </row>
    <row r="173" spans="1:14" hidden="1" x14ac:dyDescent="0.35">
      <c r="A173" s="5" t="s">
        <v>35</v>
      </c>
      <c r="B173" s="5" t="s">
        <v>35</v>
      </c>
      <c r="C173" s="6"/>
      <c r="D173" s="5" t="s">
        <v>35</v>
      </c>
      <c r="E173" s="5" t="s">
        <v>35</v>
      </c>
      <c r="F173" s="5" t="s">
        <v>36</v>
      </c>
      <c r="G173" s="7">
        <v>151.52000000000001</v>
      </c>
      <c r="H173" s="5" t="s">
        <v>35</v>
      </c>
      <c r="I173" s="8"/>
      <c r="J173" s="8"/>
      <c r="K173" s="8"/>
      <c r="L173" s="8"/>
      <c r="M173" s="5" t="s">
        <v>35</v>
      </c>
      <c r="N173" s="5" t="s">
        <v>35</v>
      </c>
    </row>
    <row r="175" spans="1:14" x14ac:dyDescent="0.35">
      <c r="E175" t="s">
        <v>131</v>
      </c>
    </row>
  </sheetData>
  <autoFilter ref="A1:N173" xr:uid="{64FB1AE8-72E9-457C-A27F-8807DD351B72}">
    <filterColumn colId="1">
      <filters>
        <filter val="DG"/>
        <filter val="DR"/>
      </filters>
    </filterColumn>
    <filterColumn colId="9">
      <filters>
        <filter val="#N/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80C6-9F54-4D50-B0ED-A066A559AAE7}">
  <dimension ref="A1:F38"/>
  <sheetViews>
    <sheetView workbookViewId="0">
      <selection activeCell="C37" sqref="C2:C37"/>
    </sheetView>
  </sheetViews>
  <sheetFormatPr defaultRowHeight="14.5" x14ac:dyDescent="0.35"/>
  <cols>
    <col min="1" max="1" width="15.54296875" bestFit="1" customWidth="1"/>
    <col min="2" max="2" width="11.1796875" bestFit="1" customWidth="1"/>
    <col min="3" max="3" width="14" bestFit="1" customWidth="1"/>
    <col min="4" max="4" width="11.54296875" bestFit="1" customWidth="1"/>
    <col min="5" max="5" width="12.54296875" bestFit="1" customWidth="1"/>
    <col min="6" max="6" width="17.1796875" bestFit="1" customWidth="1"/>
  </cols>
  <sheetData>
    <row r="1" spans="1:6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35">
      <c r="A2" s="13">
        <v>256779419880</v>
      </c>
      <c r="B2" s="16">
        <v>45996</v>
      </c>
      <c r="C2" s="11">
        <v>3.73</v>
      </c>
      <c r="D2" s="11">
        <v>3.73</v>
      </c>
      <c r="E2" s="10">
        <v>46087</v>
      </c>
      <c r="F2" s="17">
        <v>2000016339</v>
      </c>
    </row>
    <row r="3" spans="1:6" x14ac:dyDescent="0.35">
      <c r="A3" s="13">
        <v>256779419838</v>
      </c>
      <c r="B3" s="16">
        <v>45999</v>
      </c>
      <c r="C3" s="11">
        <v>39.58</v>
      </c>
      <c r="D3" s="11">
        <v>39.58</v>
      </c>
      <c r="E3" s="10">
        <v>46087</v>
      </c>
      <c r="F3" s="17">
        <v>2000016339</v>
      </c>
    </row>
    <row r="4" spans="1:6" x14ac:dyDescent="0.35">
      <c r="A4" s="13">
        <v>256779418939</v>
      </c>
      <c r="B4" s="16">
        <v>45966</v>
      </c>
      <c r="C4" s="11">
        <v>0.83</v>
      </c>
      <c r="D4" s="11">
        <v>0.83</v>
      </c>
      <c r="E4" s="10">
        <v>46006</v>
      </c>
      <c r="F4" s="17">
        <v>2000016247</v>
      </c>
    </row>
    <row r="5" spans="1:6" x14ac:dyDescent="0.35">
      <c r="A5" s="13">
        <v>256779419102</v>
      </c>
      <c r="B5" s="16">
        <v>45964</v>
      </c>
      <c r="C5" s="11">
        <v>40.380000000000003</v>
      </c>
      <c r="D5" s="11">
        <v>40.380000000000003</v>
      </c>
      <c r="E5" s="10">
        <v>46006</v>
      </c>
      <c r="F5" s="17">
        <v>2000016247</v>
      </c>
    </row>
    <row r="6" spans="1:6" x14ac:dyDescent="0.35">
      <c r="A6" s="13">
        <v>256779416300</v>
      </c>
      <c r="B6" s="16">
        <v>45877</v>
      </c>
      <c r="C6" s="11">
        <v>18.420000000000002</v>
      </c>
      <c r="D6" s="11">
        <v>18.420000000000002</v>
      </c>
      <c r="E6" s="10">
        <v>45925</v>
      </c>
      <c r="F6" s="17">
        <v>2000016149</v>
      </c>
    </row>
    <row r="7" spans="1:6" x14ac:dyDescent="0.35">
      <c r="A7" s="13">
        <v>256779416188</v>
      </c>
      <c r="B7" s="16">
        <v>45877</v>
      </c>
      <c r="C7" s="11">
        <v>15.35</v>
      </c>
      <c r="D7" s="11">
        <v>15.35</v>
      </c>
      <c r="E7" s="10">
        <v>45925</v>
      </c>
      <c r="F7" s="17">
        <v>2000016149</v>
      </c>
    </row>
    <row r="8" spans="1:6" x14ac:dyDescent="0.35">
      <c r="A8" s="13">
        <v>256779416150</v>
      </c>
      <c r="B8" s="16">
        <v>45877</v>
      </c>
      <c r="C8" s="11">
        <v>88.09</v>
      </c>
      <c r="D8" s="11">
        <v>88.09</v>
      </c>
      <c r="E8" s="10">
        <v>45925</v>
      </c>
      <c r="F8" s="17">
        <v>2000016149</v>
      </c>
    </row>
    <row r="9" spans="1:6" x14ac:dyDescent="0.35">
      <c r="A9" s="13">
        <v>256779414993</v>
      </c>
      <c r="B9" s="16">
        <v>45842</v>
      </c>
      <c r="C9" s="11">
        <v>40.090000000000003</v>
      </c>
      <c r="D9" s="11">
        <v>40.090000000000003</v>
      </c>
      <c r="E9" s="10">
        <v>45894</v>
      </c>
      <c r="F9" s="17">
        <v>2000016095</v>
      </c>
    </row>
    <row r="10" spans="1:6" x14ac:dyDescent="0.35">
      <c r="A10" s="13">
        <v>256779415151</v>
      </c>
      <c r="B10" s="16">
        <v>45843</v>
      </c>
      <c r="C10" s="11">
        <v>49.13</v>
      </c>
      <c r="D10" s="11">
        <v>49.13</v>
      </c>
      <c r="E10" s="10">
        <v>45894</v>
      </c>
      <c r="F10" s="17">
        <v>2000016095</v>
      </c>
    </row>
    <row r="11" spans="1:6" x14ac:dyDescent="0.35">
      <c r="A11" s="13">
        <v>256779413571</v>
      </c>
      <c r="B11" s="16">
        <v>45785</v>
      </c>
      <c r="C11" s="11">
        <v>4.5</v>
      </c>
      <c r="D11" s="11">
        <v>4.5</v>
      </c>
      <c r="E11" s="10">
        <v>45880</v>
      </c>
      <c r="F11" s="17">
        <v>2000016066</v>
      </c>
    </row>
    <row r="12" spans="1:6" x14ac:dyDescent="0.35">
      <c r="A12" s="13">
        <v>256779412870</v>
      </c>
      <c r="B12" s="16">
        <v>45770</v>
      </c>
      <c r="C12" s="11">
        <v>40.21</v>
      </c>
      <c r="D12" s="11">
        <v>40.21</v>
      </c>
      <c r="E12" s="10">
        <v>45880</v>
      </c>
      <c r="F12" s="17">
        <v>2000016066</v>
      </c>
    </row>
    <row r="13" spans="1:6" x14ac:dyDescent="0.35">
      <c r="A13" s="13">
        <v>256779412899</v>
      </c>
      <c r="B13" s="16">
        <v>45770</v>
      </c>
      <c r="C13" s="11">
        <v>3.79</v>
      </c>
      <c r="D13" s="11">
        <v>3.79</v>
      </c>
      <c r="E13" s="10">
        <v>45880</v>
      </c>
      <c r="F13" s="17">
        <v>2000016066</v>
      </c>
    </row>
    <row r="14" spans="1:6" x14ac:dyDescent="0.35">
      <c r="A14" s="13">
        <v>256779413326</v>
      </c>
      <c r="B14" s="16">
        <v>45793</v>
      </c>
      <c r="C14" s="11">
        <v>3.79</v>
      </c>
      <c r="D14" s="11">
        <v>3.79</v>
      </c>
      <c r="E14" s="10">
        <v>45880</v>
      </c>
      <c r="F14" s="17">
        <v>2000016066</v>
      </c>
    </row>
    <row r="15" spans="1:6" x14ac:dyDescent="0.35">
      <c r="A15" s="13">
        <v>256779414291</v>
      </c>
      <c r="B15" s="16">
        <v>45812</v>
      </c>
      <c r="C15" s="11">
        <v>66.099999999999994</v>
      </c>
      <c r="D15" s="11">
        <v>66.099999999999994</v>
      </c>
      <c r="E15" s="10">
        <v>45863</v>
      </c>
      <c r="F15" s="17">
        <v>2000016047</v>
      </c>
    </row>
    <row r="16" spans="1:6" x14ac:dyDescent="0.35">
      <c r="A16" s="13">
        <v>256779414080</v>
      </c>
      <c r="B16" s="16">
        <v>45813</v>
      </c>
      <c r="C16" s="11">
        <v>54.14</v>
      </c>
      <c r="D16" s="11">
        <v>54.14</v>
      </c>
      <c r="E16" s="10">
        <v>45863</v>
      </c>
      <c r="F16" s="17">
        <v>2000016047</v>
      </c>
    </row>
    <row r="17" spans="1:6" x14ac:dyDescent="0.35">
      <c r="A17" s="13">
        <v>256779414180</v>
      </c>
      <c r="B17" s="16">
        <v>45812</v>
      </c>
      <c r="C17" s="11">
        <v>7.92</v>
      </c>
      <c r="D17" s="11">
        <v>7.92</v>
      </c>
      <c r="E17" s="10">
        <v>45863</v>
      </c>
      <c r="F17" s="17">
        <v>2000016047</v>
      </c>
    </row>
    <row r="18" spans="1:6" x14ac:dyDescent="0.35">
      <c r="A18" s="13">
        <v>256779412720</v>
      </c>
      <c r="B18" s="16">
        <v>45406</v>
      </c>
      <c r="C18" s="11">
        <v>2.85</v>
      </c>
      <c r="D18" s="11">
        <v>2.85</v>
      </c>
      <c r="E18" s="10">
        <v>45863</v>
      </c>
      <c r="F18" s="17">
        <v>2000016047</v>
      </c>
    </row>
    <row r="19" spans="1:6" x14ac:dyDescent="0.35">
      <c r="A19" s="13">
        <v>256779412593</v>
      </c>
      <c r="B19" s="16">
        <v>45769</v>
      </c>
      <c r="C19" s="11">
        <v>40.18</v>
      </c>
      <c r="D19" s="11">
        <v>40.18</v>
      </c>
      <c r="E19" s="10">
        <v>45826</v>
      </c>
      <c r="F19" s="17">
        <v>1700002281</v>
      </c>
    </row>
    <row r="20" spans="1:6" x14ac:dyDescent="0.35">
      <c r="A20" s="13">
        <v>256779410849</v>
      </c>
      <c r="B20" s="16">
        <v>45763</v>
      </c>
      <c r="C20" s="11">
        <v>3.28</v>
      </c>
      <c r="D20" s="11">
        <v>3.28</v>
      </c>
      <c r="E20" s="10">
        <v>45833</v>
      </c>
      <c r="F20" s="17">
        <v>2000016001</v>
      </c>
    </row>
    <row r="21" spans="1:6" x14ac:dyDescent="0.35">
      <c r="A21" s="13">
        <v>256779412593</v>
      </c>
      <c r="B21" s="16">
        <v>45769</v>
      </c>
      <c r="C21" s="11">
        <v>40.18</v>
      </c>
      <c r="D21" s="11">
        <v>40.18</v>
      </c>
      <c r="E21" s="10">
        <v>45876</v>
      </c>
      <c r="F21" s="17">
        <v>2000016065</v>
      </c>
    </row>
    <row r="22" spans="1:6" x14ac:dyDescent="0.35">
      <c r="A22" s="13" t="s">
        <v>6</v>
      </c>
      <c r="B22" s="16">
        <v>45702</v>
      </c>
      <c r="C22" s="11">
        <v>37.82</v>
      </c>
      <c r="D22" s="11">
        <v>37.82</v>
      </c>
      <c r="E22" s="10">
        <v>45743</v>
      </c>
      <c r="F22" s="17">
        <v>2000015822</v>
      </c>
    </row>
    <row r="23" spans="1:6" x14ac:dyDescent="0.35">
      <c r="A23" s="13" t="s">
        <v>7</v>
      </c>
      <c r="B23" s="16">
        <v>45702</v>
      </c>
      <c r="C23" s="11">
        <v>6.5</v>
      </c>
      <c r="D23" s="11">
        <v>6.5</v>
      </c>
      <c r="E23" s="10">
        <v>45743</v>
      </c>
      <c r="F23" s="17">
        <v>2000015822</v>
      </c>
    </row>
    <row r="24" spans="1:6" x14ac:dyDescent="0.35">
      <c r="A24" s="13" t="s">
        <v>8</v>
      </c>
      <c r="B24" s="16">
        <v>45702</v>
      </c>
      <c r="C24" s="11">
        <v>3.94</v>
      </c>
      <c r="D24" s="11">
        <v>3.94</v>
      </c>
      <c r="E24" s="10">
        <v>45743</v>
      </c>
      <c r="F24" s="17">
        <v>2000015822</v>
      </c>
    </row>
    <row r="25" spans="1:6" x14ac:dyDescent="0.35">
      <c r="A25" s="13" t="s">
        <v>9</v>
      </c>
      <c r="B25" s="16">
        <v>45702</v>
      </c>
      <c r="C25" s="11">
        <v>3.41</v>
      </c>
      <c r="D25" s="11">
        <v>3.41</v>
      </c>
      <c r="E25" s="10">
        <v>45743</v>
      </c>
      <c r="F25" s="17">
        <v>2000015822</v>
      </c>
    </row>
    <row r="26" spans="1:6" x14ac:dyDescent="0.35">
      <c r="A26" s="13" t="s">
        <v>10</v>
      </c>
      <c r="B26" s="16">
        <v>45702</v>
      </c>
      <c r="C26" s="11">
        <v>2.5499999999999998</v>
      </c>
      <c r="D26" s="11">
        <v>2.5499999999999998</v>
      </c>
      <c r="E26" s="10">
        <v>45743</v>
      </c>
      <c r="F26" s="17">
        <v>2000015822</v>
      </c>
    </row>
    <row r="27" spans="1:6" x14ac:dyDescent="0.35">
      <c r="A27" s="13" t="s">
        <v>11</v>
      </c>
      <c r="B27" s="16">
        <v>45702</v>
      </c>
      <c r="C27" s="11">
        <v>11.06</v>
      </c>
      <c r="D27" s="11">
        <v>11.06</v>
      </c>
      <c r="E27" s="10">
        <v>45743</v>
      </c>
      <c r="F27" s="17">
        <v>2000015822</v>
      </c>
    </row>
    <row r="28" spans="1:6" x14ac:dyDescent="0.35">
      <c r="A28" s="13" t="s">
        <v>12</v>
      </c>
      <c r="B28" s="16">
        <v>45702</v>
      </c>
      <c r="C28" s="11">
        <v>12.77</v>
      </c>
      <c r="D28" s="11">
        <v>12.77</v>
      </c>
      <c r="E28" s="10">
        <v>45743</v>
      </c>
      <c r="F28" s="17">
        <v>2000015822</v>
      </c>
    </row>
    <row r="29" spans="1:6" x14ac:dyDescent="0.35">
      <c r="A29" s="13" t="s">
        <v>13</v>
      </c>
      <c r="B29" s="16">
        <v>45702</v>
      </c>
      <c r="C29" s="11">
        <v>15.75</v>
      </c>
      <c r="D29" s="11">
        <v>15.75</v>
      </c>
      <c r="E29" s="10">
        <v>45743</v>
      </c>
      <c r="F29" s="17">
        <v>2000015822</v>
      </c>
    </row>
    <row r="30" spans="1:6" x14ac:dyDescent="0.35">
      <c r="A30" s="13" t="s">
        <v>14</v>
      </c>
      <c r="B30" s="16">
        <v>45702</v>
      </c>
      <c r="C30" s="11">
        <v>3.94</v>
      </c>
      <c r="D30" s="11">
        <v>3.94</v>
      </c>
      <c r="E30" s="10">
        <v>45743</v>
      </c>
      <c r="F30" s="17">
        <v>2000015822</v>
      </c>
    </row>
    <row r="31" spans="1:6" x14ac:dyDescent="0.35">
      <c r="A31" s="13" t="s">
        <v>15</v>
      </c>
      <c r="B31" s="16">
        <v>45702</v>
      </c>
      <c r="C31" s="11">
        <v>37.82</v>
      </c>
      <c r="D31" s="11">
        <v>37.82</v>
      </c>
      <c r="E31" s="10">
        <v>45743</v>
      </c>
      <c r="F31" s="17">
        <v>2000015822</v>
      </c>
    </row>
    <row r="32" spans="1:6" x14ac:dyDescent="0.35">
      <c r="A32" s="13" t="s">
        <v>16</v>
      </c>
      <c r="B32" s="16">
        <v>45702</v>
      </c>
      <c r="C32" s="11">
        <v>3.94</v>
      </c>
      <c r="D32" s="11">
        <v>3.94</v>
      </c>
      <c r="E32" s="10">
        <v>45743</v>
      </c>
      <c r="F32" s="17">
        <v>2000015822</v>
      </c>
    </row>
    <row r="33" spans="1:6" x14ac:dyDescent="0.35">
      <c r="A33" s="13" t="s">
        <v>17</v>
      </c>
      <c r="B33" s="16">
        <v>45702</v>
      </c>
      <c r="C33" s="11">
        <v>11.91</v>
      </c>
      <c r="D33" s="11">
        <v>11.91</v>
      </c>
      <c r="E33" s="10">
        <v>45743</v>
      </c>
      <c r="F33" s="17">
        <v>2000015822</v>
      </c>
    </row>
    <row r="34" spans="1:6" x14ac:dyDescent="0.35">
      <c r="A34" s="13" t="s">
        <v>18</v>
      </c>
      <c r="B34" s="16">
        <v>45702</v>
      </c>
      <c r="C34" s="11">
        <v>37.82</v>
      </c>
      <c r="D34" s="11">
        <v>37.82</v>
      </c>
      <c r="E34" s="10">
        <v>45743</v>
      </c>
      <c r="F34" s="17">
        <v>2000015822</v>
      </c>
    </row>
    <row r="35" spans="1:6" x14ac:dyDescent="0.35">
      <c r="A35" s="13" t="s">
        <v>19</v>
      </c>
      <c r="B35" s="16">
        <v>45702</v>
      </c>
      <c r="C35" s="11">
        <v>6.5</v>
      </c>
      <c r="D35" s="11">
        <v>6.5</v>
      </c>
      <c r="E35" s="10">
        <v>45743</v>
      </c>
      <c r="F35" s="17">
        <v>2000015822</v>
      </c>
    </row>
    <row r="36" spans="1:6" x14ac:dyDescent="0.35">
      <c r="A36" s="13" t="s">
        <v>20</v>
      </c>
      <c r="B36" s="16">
        <v>45702</v>
      </c>
      <c r="C36" s="11">
        <v>9.92</v>
      </c>
      <c r="D36" s="11">
        <v>9.92</v>
      </c>
      <c r="E36" s="10">
        <v>45743</v>
      </c>
      <c r="F36" s="17">
        <v>2000015822</v>
      </c>
    </row>
    <row r="37" spans="1:6" x14ac:dyDescent="0.35">
      <c r="A37" s="13" t="s">
        <v>21</v>
      </c>
      <c r="B37" s="16">
        <v>45702</v>
      </c>
      <c r="C37" s="11">
        <v>98.25</v>
      </c>
      <c r="D37" s="11">
        <v>98.25</v>
      </c>
      <c r="E37" s="10">
        <v>45743</v>
      </c>
      <c r="F37" s="17">
        <v>2000015822</v>
      </c>
    </row>
    <row r="38" spans="1:6" x14ac:dyDescent="0.35">
      <c r="C38" s="23">
        <f>SUM(C2:C37)</f>
        <v>866.44</v>
      </c>
      <c r="D38" s="23">
        <f>SUM(D2:D37)</f>
        <v>866.44</v>
      </c>
    </row>
  </sheetData>
  <autoFilter ref="A1:F1" xr:uid="{235F80C6-9F54-4D50-B0ED-A066A559AAE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8C27-94EA-4B7F-969E-D4103FF73297}">
  <dimension ref="A1:B11"/>
  <sheetViews>
    <sheetView zoomScale="145" zoomScaleNormal="145" workbookViewId="0">
      <selection activeCell="B2" sqref="B2"/>
    </sheetView>
  </sheetViews>
  <sheetFormatPr defaultRowHeight="14.5" x14ac:dyDescent="0.35"/>
  <cols>
    <col min="1" max="1" width="44.08984375" bestFit="1" customWidth="1"/>
    <col min="2" max="2" width="11" style="14" customWidth="1"/>
  </cols>
  <sheetData>
    <row r="1" spans="1:2" ht="15" thickBot="1" x14ac:dyDescent="0.4">
      <c r="A1" s="18" t="s">
        <v>132</v>
      </c>
      <c r="B1" s="19"/>
    </row>
    <row r="2" spans="1:2" s="30" customFormat="1" ht="29.5" thickBot="1" x14ac:dyDescent="0.4">
      <c r="A2" s="29" t="s">
        <v>133</v>
      </c>
      <c r="B2" s="28" t="s">
        <v>134</v>
      </c>
    </row>
    <row r="3" spans="1:2" x14ac:dyDescent="0.35">
      <c r="A3" s="20" t="s">
        <v>142</v>
      </c>
      <c r="B3" s="24">
        <v>0</v>
      </c>
    </row>
    <row r="4" spans="1:2" x14ac:dyDescent="0.35">
      <c r="A4" s="20" t="s">
        <v>135</v>
      </c>
      <c r="B4" s="25"/>
    </row>
    <row r="5" spans="1:2" x14ac:dyDescent="0.35">
      <c r="A5" s="20" t="s">
        <v>136</v>
      </c>
      <c r="B5" s="25"/>
    </row>
    <row r="6" spans="1:2" x14ac:dyDescent="0.35">
      <c r="A6" s="20" t="s">
        <v>137</v>
      </c>
      <c r="B6" s="25"/>
    </row>
    <row r="7" spans="1:2" x14ac:dyDescent="0.35">
      <c r="A7" s="20" t="s">
        <v>138</v>
      </c>
      <c r="B7" s="25"/>
    </row>
    <row r="8" spans="1:2" x14ac:dyDescent="0.35">
      <c r="A8" s="20" t="s">
        <v>139</v>
      </c>
      <c r="B8" s="25"/>
    </row>
    <row r="9" spans="1:2" x14ac:dyDescent="0.35">
      <c r="A9" s="20" t="s">
        <v>140</v>
      </c>
      <c r="B9" s="25">
        <f>'Ascendus Data'!G171</f>
        <v>151.52000000000001</v>
      </c>
    </row>
    <row r="10" spans="1:2" ht="15" thickBot="1" x14ac:dyDescent="0.4">
      <c r="A10" s="21"/>
      <c r="B10" s="26"/>
    </row>
    <row r="11" spans="1:2" ht="15" thickBot="1" x14ac:dyDescent="0.4">
      <c r="A11" s="22" t="s">
        <v>141</v>
      </c>
      <c r="B11" s="27">
        <f>B8-B9-B10</f>
        <v>-151.52000000000001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Invoice &amp; CN Not in Customer</vt:lpstr>
      <vt:lpstr>Ascendus Data</vt:lpstr>
      <vt:lpstr>Customer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2026-03-18T08:03:34Z</dcterms:created>
  <dcterms:modified xsi:type="dcterms:W3CDTF">2026-04-14T14:03:16Z</dcterms:modified>
</cp:coreProperties>
</file>