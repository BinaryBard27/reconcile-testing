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23. SML Limited\"/>
    </mc:Choice>
  </mc:AlternateContent>
  <xr:revisionPtr revIDLastSave="0" documentId="13_ncr:1_{7D190B88-4E2E-43E4-BFAF-46F0FAC45DDD}" xr6:coauthVersionLast="47" xr6:coauthVersionMax="47" xr10:uidLastSave="{00000000-0000-0000-0000-000000000000}"/>
  <bookViews>
    <workbookView xWindow="-110" yWindow="-110" windowWidth="21820" windowHeight="14020" xr2:uid="{15032E29-56C4-41AD-8A7F-801F69C48E84}"/>
  </bookViews>
  <sheets>
    <sheet name="Summary" sheetId="9" r:id="rId1"/>
    <sheet name="Customer Ledger" sheetId="2" r:id="rId2"/>
    <sheet name="CL Ledger" sheetId="1" r:id="rId3"/>
    <sheet name="Payment Reco" sheetId="6" r:id="rId4"/>
    <sheet name="Sheet6" sheetId="7" state="hidden" r:id="rId5"/>
    <sheet name="Sheet7" sheetId="8" state="hidden" r:id="rId6"/>
    <sheet name="TDS Ledger" sheetId="10" r:id="rId7"/>
    <sheet name="Invoice not in customers books" sheetId="3" r:id="rId8"/>
  </sheets>
  <definedNames>
    <definedName name="_xlnm._FilterDatabase" localSheetId="2" hidden="1">'CL Ledger'!$A$1:$O$95</definedName>
    <definedName name="_xlnm._FilterDatabase" localSheetId="1" hidden="1">'Customer Ledger'!$A$1:$L$54</definedName>
    <definedName name="_xlnm._FilterDatabase" localSheetId="7" hidden="1">'Invoice not in customers books'!$A$1:$I$3</definedName>
    <definedName name="_xlnm._FilterDatabase" localSheetId="3" hidden="1">'Payment Reco'!$G$2:$I$9</definedName>
    <definedName name="_xlnm._FilterDatabase" localSheetId="4" hidden="1">Sheet6!$A$1:$O$72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9" l="1"/>
  <c r="B10" i="9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2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9" i="6" l="1"/>
  <c r="K8" i="6"/>
  <c r="K7" i="6"/>
  <c r="K6" i="6"/>
  <c r="K5" i="6"/>
  <c r="B7" i="9"/>
  <c r="B6" i="9"/>
  <c r="F4" i="3"/>
  <c r="H55" i="10"/>
  <c r="D11" i="6" l="1"/>
  <c r="J11" i="6"/>
  <c r="B5" i="9" s="1"/>
  <c r="K11" i="6"/>
  <c r="I11" i="6"/>
  <c r="K3" i="6"/>
  <c r="J5" i="6"/>
  <c r="J3" i="6"/>
  <c r="J3" i="2"/>
  <c r="J4" i="2"/>
  <c r="J5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7" i="2"/>
  <c r="J29" i="2"/>
  <c r="J30" i="2"/>
  <c r="J31" i="2"/>
  <c r="J32" i="2"/>
  <c r="J33" i="2"/>
  <c r="J34" i="2"/>
  <c r="J36" i="2"/>
  <c r="J37" i="2"/>
  <c r="J38" i="2"/>
  <c r="J40" i="2"/>
  <c r="J41" i="2"/>
  <c r="J42" i="2"/>
  <c r="J43" i="2"/>
  <c r="J44" i="2"/>
  <c r="J45" i="2"/>
  <c r="J46" i="2"/>
  <c r="J47" i="2"/>
  <c r="J48" i="2"/>
  <c r="J49" i="2"/>
  <c r="J51" i="2"/>
  <c r="J52" i="2"/>
  <c r="J53" i="2"/>
  <c r="J54" i="2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M26" i="1" s="1"/>
  <c r="K27" i="1" a="1"/>
  <c r="K27" i="1" s="1"/>
  <c r="M27" i="1" s="1"/>
  <c r="K28" i="1" a="1"/>
  <c r="K28" i="1" s="1"/>
  <c r="M28" i="1" s="1"/>
  <c r="K29" i="1" a="1"/>
  <c r="K29" i="1" s="1"/>
  <c r="M29" i="1" s="1"/>
  <c r="K30" i="1" a="1"/>
  <c r="K30" i="1" s="1"/>
  <c r="M30" i="1" s="1"/>
  <c r="K31" i="1" a="1"/>
  <c r="K31" i="1" s="1"/>
  <c r="M31" i="1" s="1"/>
  <c r="K32" i="1" a="1"/>
  <c r="K32" i="1" s="1"/>
  <c r="M32" i="1" s="1"/>
  <c r="K33" i="1" a="1"/>
  <c r="K33" i="1" s="1"/>
  <c r="M33" i="1" s="1"/>
  <c r="K34" i="1" a="1"/>
  <c r="K34" i="1" s="1"/>
  <c r="M34" i="1" s="1"/>
  <c r="K35" i="1" a="1"/>
  <c r="K35" i="1" s="1"/>
  <c r="M35" i="1" s="1"/>
  <c r="K36" i="1" a="1"/>
  <c r="K36" i="1" s="1"/>
  <c r="M36" i="1" s="1"/>
  <c r="K37" i="1" a="1"/>
  <c r="K37" i="1" s="1"/>
  <c r="M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M48" i="1" s="1"/>
  <c r="K49" i="1" a="1"/>
  <c r="K49" i="1" s="1"/>
  <c r="M49" i="1" s="1"/>
  <c r="K50" i="1" a="1"/>
  <c r="K50" i="1" s="1"/>
  <c r="M50" i="1" s="1"/>
  <c r="K51" i="1" a="1"/>
  <c r="K51" i="1" s="1"/>
  <c r="M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M62" i="1" s="1"/>
  <c r="K63" i="1" a="1"/>
  <c r="K63" i="1" s="1"/>
  <c r="M63" i="1" s="1"/>
  <c r="K64" i="1" a="1"/>
  <c r="K64" i="1" s="1"/>
  <c r="M64" i="1" s="1"/>
  <c r="K65" i="1" a="1"/>
  <c r="K65" i="1" s="1"/>
  <c r="M65" i="1" s="1"/>
  <c r="K66" i="1" a="1"/>
  <c r="K66" i="1" s="1"/>
  <c r="M66" i="1" s="1"/>
  <c r="K67" i="1" a="1"/>
  <c r="K67" i="1" s="1"/>
  <c r="M67" i="1" s="1"/>
  <c r="K68" i="1" a="1"/>
  <c r="K68" i="1" s="1"/>
  <c r="M68" i="1" s="1"/>
  <c r="K69" i="1" a="1"/>
  <c r="K69" i="1" s="1"/>
  <c r="M69" i="1" s="1"/>
  <c r="K70" i="1" a="1"/>
  <c r="K70" i="1" s="1"/>
  <c r="M70" i="1" s="1"/>
  <c r="K71" i="1" a="1"/>
  <c r="K71" i="1" s="1"/>
  <c r="M71" i="1" s="1"/>
  <c r="K72" i="1" a="1"/>
  <c r="K72" i="1" s="1"/>
  <c r="M72" i="1" s="1"/>
  <c r="K73" i="1" a="1"/>
  <c r="K73" i="1" s="1"/>
  <c r="K74" i="1" a="1"/>
  <c r="K74" i="1" s="1"/>
  <c r="K75" i="1" a="1"/>
  <c r="K75" i="1" s="1"/>
  <c r="M75" i="1" s="1"/>
  <c r="K76" i="1" a="1"/>
  <c r="K76" i="1" s="1"/>
  <c r="M76" i="1" s="1"/>
  <c r="K77" i="1" a="1"/>
  <c r="K77" i="1" s="1"/>
  <c r="M77" i="1" s="1"/>
  <c r="K78" i="1" a="1"/>
  <c r="K78" i="1" s="1"/>
  <c r="M78" i="1" s="1"/>
  <c r="K79" i="1" a="1"/>
  <c r="K79" i="1" s="1"/>
  <c r="M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M86" i="1" s="1"/>
  <c r="K87" i="1" a="1"/>
  <c r="K87" i="1" s="1"/>
  <c r="M87" i="1" s="1"/>
  <c r="K88" i="1" a="1"/>
  <c r="K88" i="1" s="1"/>
  <c r="M88" i="1" s="1"/>
  <c r="K89" i="1" a="1"/>
  <c r="K89" i="1" s="1"/>
  <c r="M89" i="1" s="1"/>
  <c r="K90" i="1" a="1"/>
  <c r="K90" i="1" s="1"/>
  <c r="M90" i="1" s="1"/>
  <c r="K91" i="1" a="1"/>
  <c r="K91" i="1" s="1"/>
  <c r="K92" i="1" a="1"/>
  <c r="K92" i="1" s="1"/>
  <c r="M92" i="1" s="1"/>
  <c r="K93" i="1" a="1"/>
  <c r="K93" i="1" s="1"/>
  <c r="M93" i="1" s="1"/>
  <c r="K94" i="1" a="1"/>
  <c r="K94" i="1" s="1"/>
  <c r="M94" i="1" s="1"/>
  <c r="K95" i="1" a="1"/>
  <c r="K95" i="1" s="1"/>
  <c r="M95" i="1" s="1"/>
  <c r="K2" i="1" a="1"/>
  <c r="K2" i="1" s="1"/>
  <c r="E55" i="2"/>
  <c r="D55" i="2"/>
  <c r="B9" i="9"/>
  <c r="B1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<sst xmlns="http://schemas.openxmlformats.org/spreadsheetml/2006/main" count="1429" uniqueCount="191">
  <si>
    <t>Document Number</t>
  </si>
  <si>
    <t>Document Type</t>
  </si>
  <si>
    <t>Document Date</t>
  </si>
  <si>
    <t>Entry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</si>
  <si>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</si>
  <si>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</si>
  <si>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</si>
  <si>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</si>
  <si>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</si>
  <si>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</si>
  <si>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Assignment</t>
  </si>
  <si>
    <t>Text</t>
  </si>
  <si>
    <t>Clearing Document</t>
  </si>
  <si>
    <t/>
  </si>
  <si>
    <t>INR</t>
  </si>
  <si>
    <t>DY</t>
  </si>
  <si>
    <t>1400001106</t>
  </si>
  <si>
    <t>DZ</t>
  </si>
  <si>
    <t>2178269241JS</t>
  </si>
  <si>
    <t>USD</t>
  </si>
  <si>
    <t>1400001172</t>
  </si>
  <si>
    <t>T54SWIC283727</t>
  </si>
  <si>
    <t>1400002219</t>
  </si>
  <si>
    <t>T54SWIC276317</t>
  </si>
  <si>
    <t>T54SWIC276290</t>
  </si>
  <si>
    <t>T54SWIC270284</t>
  </si>
  <si>
    <t>1400001171</t>
  </si>
  <si>
    <t>1400001176</t>
  </si>
  <si>
    <t>2148164212JS</t>
  </si>
  <si>
    <t>1400002224</t>
  </si>
  <si>
    <t>T54SWIC277677</t>
  </si>
  <si>
    <t>1400002017</t>
  </si>
  <si>
    <t>1400002037</t>
  </si>
  <si>
    <t>NA</t>
  </si>
  <si>
    <t>KNOCK OFF ENTRY</t>
  </si>
  <si>
    <t>1400000194</t>
  </si>
  <si>
    <t>1400000195</t>
  </si>
  <si>
    <t>1400001906</t>
  </si>
  <si>
    <t>DR</t>
  </si>
  <si>
    <t>Storage Charges for the month of August, 2024</t>
  </si>
  <si>
    <t>Fixed Storage Charges for August 2025</t>
  </si>
  <si>
    <t>Fixed Storage Charges fo JUNE 2025</t>
  </si>
  <si>
    <t>VAS -1-15 Sept-25</t>
  </si>
  <si>
    <t>Outbound Handling Charges Aug 2024</t>
  </si>
  <si>
    <t>PORT SSR Chgs Aug 25</t>
  </si>
  <si>
    <t>Empty Lolo Chgs - 01 - 31 AUG 25</t>
  </si>
  <si>
    <t>Transportation In Chgs - 16 - 31 AUG 25</t>
  </si>
  <si>
    <t>Outbound chgs - 16 - 31 Aug 25</t>
  </si>
  <si>
    <t>Fixed Storage Charges for September 2025</t>
  </si>
  <si>
    <t>Fixed Storage Charges fo JULY 2025</t>
  </si>
  <si>
    <t>Bond Stamp Paper Chgs</t>
  </si>
  <si>
    <t>DG</t>
  </si>
  <si>
    <t>Credit note against 246779414228</t>
  </si>
  <si>
    <t>Credit note against 246779412996</t>
  </si>
  <si>
    <t>Credit note against 246779410019</t>
  </si>
  <si>
    <t>Credit note against 246779410107</t>
  </si>
  <si>
    <t>Credit note against 246779410150</t>
  </si>
  <si>
    <t>Credit note against 246779410193</t>
  </si>
  <si>
    <t>Credit note against 246779410236</t>
  </si>
  <si>
    <t>Credit note against 246779410293</t>
  </si>
  <si>
    <t>Credit note against 246779410039</t>
  </si>
  <si>
    <t>Credit note against 246779410382</t>
  </si>
  <si>
    <t>2123630</t>
  </si>
  <si>
    <t>PORT SSR Chgs Oct 25</t>
  </si>
  <si>
    <t>Fixed Storage Charges for November 2025</t>
  </si>
  <si>
    <t>Empty Lolo Chgs - 01 - 31 OCT 25</t>
  </si>
  <si>
    <t>Transportation In Chgs - 16 - 31 OCT 25</t>
  </si>
  <si>
    <t>Credit note against 256779410281</t>
  </si>
  <si>
    <t>Credit note against 256779410240</t>
  </si>
  <si>
    <t>Outbound Handling charges for Sep 2024</t>
  </si>
  <si>
    <t>Fixed Rental charges for Aug 2024</t>
  </si>
  <si>
    <t>Fixed Rental charges for Sept 2024</t>
  </si>
  <si>
    <t>Fixed Rental charges for Oct 2024</t>
  </si>
  <si>
    <t>Fixed Rental charges for Nov 2024</t>
  </si>
  <si>
    <t>Fixed Rental charges for Dec 2024</t>
  </si>
  <si>
    <t>Fixed Rental charges for Jan 2025</t>
  </si>
  <si>
    <t>Fixed Rental charges for Feb 2025</t>
  </si>
  <si>
    <t>Transportation In Chgs - 01 - 15 Aug 25</t>
  </si>
  <si>
    <t>Fixed Storage Charges for Mar 2025</t>
  </si>
  <si>
    <t>Transportation In Chgs - 01 - 15 Oct 25</t>
  </si>
  <si>
    <t>Scanning  Chgs - 01 - 15 Oct 25</t>
  </si>
  <si>
    <t>LCL Chgs - 01 - 15 OCT 25</t>
  </si>
  <si>
    <t>Outbound chgs - 01 - 15 Oct 25</t>
  </si>
  <si>
    <t>Fixed Storage Charges for April 2025</t>
  </si>
  <si>
    <t>Credit note raised against 256779414417</t>
  </si>
  <si>
    <t>Credit note raised against 256779414473</t>
  </si>
  <si>
    <t>Scanning  Chgs - 01 - 15 Sep 25</t>
  </si>
  <si>
    <t>Outbound chgs - 01 - 15 Sep 25</t>
  </si>
  <si>
    <t>Transportation In Chgs - 01 - 15 SEP 25</t>
  </si>
  <si>
    <t>Outbound chgs - 16 - 30 Nov 25</t>
  </si>
  <si>
    <t>Fixed Storage Charges fo MAY 2025</t>
  </si>
  <si>
    <t>Unit Storage - 1-30 Sept 2025</t>
  </si>
  <si>
    <t>Empty Lolo Chgs - 01 - 30 SEP 25</t>
  </si>
  <si>
    <t>PORT SSR Chgs Sep 25</t>
  </si>
  <si>
    <t>Fixed Storage Charges for October 2025</t>
  </si>
  <si>
    <t>Fixed Storage Charges for December 2025</t>
  </si>
  <si>
    <t>Fixed Storage Charges for January 2026</t>
  </si>
  <si>
    <t>Account</t>
  </si>
  <si>
    <t>Amount in Doc. Curr.-USD</t>
  </si>
  <si>
    <t>Amount in Local Currency-INR</t>
  </si>
  <si>
    <t>Withholding Tax Amt-USD</t>
  </si>
  <si>
    <t>Withhldg Tax Base Amount-INR</t>
  </si>
  <si>
    <t>60000472</t>
  </si>
  <si>
    <t>NSMT0824926</t>
  </si>
  <si>
    <t>PAID AGAINST INV.NO. 256779414933/6044/7363</t>
  </si>
  <si>
    <t>storage charges july 2025</t>
  </si>
  <si>
    <t>storage charges august 2025</t>
  </si>
  <si>
    <t>storage charges sept 2025</t>
  </si>
  <si>
    <t>NSMT0548526</t>
  </si>
  <si>
    <t>PAID AGAINST INV.NO.5406/5404/02/03/01/399</t>
  </si>
  <si>
    <t>PAID AGAINST INV.NO.</t>
  </si>
  <si>
    <t>Storage charges for Aug 2024</t>
  </si>
  <si>
    <t>WAREHOUSE RENT FOR SEPT 24</t>
  </si>
  <si>
    <t>Storage charges for Feb 2025</t>
  </si>
  <si>
    <t>Storage charges for Oct 2024</t>
  </si>
  <si>
    <t>Storage charges for Jan 2025</t>
  </si>
  <si>
    <t>WAREHOUSE RENT FOR DEC 2024</t>
  </si>
  <si>
    <t>Storage charges for Nov 2024</t>
  </si>
  <si>
    <t>Storage charges for Mar 2025</t>
  </si>
  <si>
    <t>Storage charges for April  2025</t>
  </si>
  <si>
    <t>Storage charges for May  2025</t>
  </si>
  <si>
    <t>Storage charges for June 2025</t>
  </si>
  <si>
    <t>NSMT0671126</t>
  </si>
  <si>
    <t>PAID AGAINST INV.NO.11604/605/606</t>
  </si>
  <si>
    <t>Handling charges for Aug 2024</t>
  </si>
  <si>
    <t>Handling charges for SEPT 2024</t>
  </si>
  <si>
    <t>NSMT0818226</t>
  </si>
  <si>
    <t>PAID AGAINST INV.NO. 6818/7208/5049/7246</t>
  </si>
  <si>
    <t>Transporation charges against inv.no. 25FZ05041</t>
  </si>
  <si>
    <t>emty contenar unloading charges</t>
  </si>
  <si>
    <t>bond stamp paper charges</t>
  </si>
  <si>
    <t>port ssr charges (transpotation charges)</t>
  </si>
  <si>
    <t>outbond charges</t>
  </si>
  <si>
    <t>transporation charges</t>
  </si>
  <si>
    <t>NSMT0881326</t>
  </si>
  <si>
    <t>PAID AGAINST INV.NO. 256779417570/7529/7443</t>
  </si>
  <si>
    <t>Loading chargs from 1-15/9/2025</t>
  </si>
  <si>
    <t>Transaporation charges from 1-15/9/2025</t>
  </si>
  <si>
    <t>MT contenar transport charges</t>
  </si>
  <si>
    <t>NSMT1165026</t>
  </si>
  <si>
    <t>PAID AGAINST INV.NO.418013/9135/9234/9203</t>
  </si>
  <si>
    <t>Storage Charges from 1-30-9.2025</t>
  </si>
  <si>
    <t>Transportation charges from 16-31 oct 2025</t>
  </si>
  <si>
    <t>outbond charges - 1-15/10/25</t>
  </si>
  <si>
    <t>Port SSR( Special Service Reques)charges fr Oct 25</t>
  </si>
  <si>
    <t>Empty Lolo Charges</t>
  </si>
  <si>
    <t>storage charges nov 2025</t>
  </si>
  <si>
    <t>storage charges oct 2025</t>
  </si>
  <si>
    <t>transporation charges from  1-15/10/25</t>
  </si>
  <si>
    <t>SCANNING CHARGES from 1-15/25 for loading</t>
  </si>
  <si>
    <t>NSMT1582226</t>
  </si>
  <si>
    <t>PAID AGAINST INV.NO. 256779418402/32/323/9921</t>
  </si>
  <si>
    <t>PORT SSR CHARGES FOR SEPT 25</t>
  </si>
  <si>
    <t>storage charges dec 2025</t>
  </si>
  <si>
    <t>storage charges jan 2026</t>
  </si>
  <si>
    <t>Outbond chares from 16-30/11/2025</t>
  </si>
  <si>
    <t>Xlookup</t>
  </si>
  <si>
    <t>Total Invoice Value</t>
  </si>
  <si>
    <t>TDS</t>
  </si>
  <si>
    <t xml:space="preserve">Net Amount </t>
  </si>
  <si>
    <t>Payment</t>
  </si>
  <si>
    <t>As Per Customer Ledger</t>
  </si>
  <si>
    <t>Row Labels</t>
  </si>
  <si>
    <t>Grand Total</t>
  </si>
  <si>
    <t>Sum of Document Currency Value</t>
  </si>
  <si>
    <t>Not Yet Cleared</t>
  </si>
  <si>
    <t>As Per CL Ledger</t>
  </si>
  <si>
    <t>Sum of TDS</t>
  </si>
  <si>
    <t>Foreign Exchange Gain/loss</t>
  </si>
  <si>
    <t>Difference</t>
  </si>
  <si>
    <t>Remarks</t>
  </si>
  <si>
    <t>2 payments Cleared at once</t>
  </si>
  <si>
    <t>Payment Not in CL ledger</t>
  </si>
  <si>
    <t>TDS Rate</t>
  </si>
  <si>
    <t>Reconciliation of Ledger as on 31st January 2026</t>
  </si>
  <si>
    <t>Particulars</t>
  </si>
  <si>
    <t>Add: Invoices not recorded in customer books</t>
  </si>
  <si>
    <t>Add: Diffrence in Payment recorded in both books</t>
  </si>
  <si>
    <t>Derived balance</t>
  </si>
  <si>
    <t>Balance as per Ascent</t>
  </si>
  <si>
    <t>Balance as per SML Limited</t>
  </si>
  <si>
    <t>Add: TDS entries given by BMAC</t>
  </si>
  <si>
    <t>&gt;&gt; Working For Knocking Off Done</t>
  </si>
  <si>
    <t>Add: TDS entries pending</t>
  </si>
  <si>
    <t>&gt;&gt; Pending Due to Outstanding Payable by customer</t>
  </si>
  <si>
    <t>Add: Exchange gain loss</t>
  </si>
  <si>
    <t>Amount In USD</t>
  </si>
  <si>
    <t>&gt;&gt; Payment Received on 06/03/2026</t>
  </si>
  <si>
    <t>Exchange Rate</t>
  </si>
  <si>
    <t>TDS in INR</t>
  </si>
  <si>
    <t>Invoice Booked with Doc No 5100026202 &amp; 5100026207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</si>
</sst>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4" fontId="3" fillId="0" borderId="1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3" fontId="3" fillId="0" borderId="1" xfId="0" applyNumberFormat="1" applyFont="1" applyBorder="1" applyAlignment="1">
      <alignment vertical="top"/>
    </xf>
    <xf numFmtId="4" fontId="3" fillId="0" borderId="1" xfId="0" quotePrefix="1" applyNumberFormat="1" applyFont="1" applyBorder="1" applyAlignment="1">
      <alignment vertical="top"/>
    </xf>
    <xf numFmtId="0" fontId="3" fillId="5" borderId="1" xfId="0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/>
    <xf numFmtId="1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0" fontId="3" fillId="7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43" fontId="0" fillId="0" borderId="1" xfId="1" applyFont="1" applyBorder="1"/>
    <xf numFmtId="164" fontId="0" fillId="0" borderId="1" xfId="1" applyNumberFormat="1" applyFont="1" applyBorder="1"/>
    <xf numFmtId="0" fontId="0" fillId="6" borderId="3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164" fontId="0" fillId="0" borderId="0" xfId="1" applyNumberFormat="1" applyFont="1"/>
    <xf numFmtId="4" fontId="0" fillId="0" borderId="0" xfId="0" applyNumberFormat="1" applyFont="1"/>
    <xf numFmtId="0" fontId="0" fillId="0" borderId="0" xfId="0" applyFont="1"/>
    <xf numFmtId="164" fontId="1" fillId="0" borderId="0" xfId="1" applyNumberFormat="1" applyFont="1"/>
    <xf numFmtId="9" fontId="0" fillId="0" borderId="0" xfId="2" applyFont="1"/>
    <xf numFmtId="0" fontId="2" fillId="0" borderId="4" xfId="3" applyFont="1" applyBorder="1"/>
    <xf numFmtId="43" fontId="2" fillId="0" borderId="6" xfId="1" applyFont="1" applyBorder="1"/>
    <xf numFmtId="43" fontId="0" fillId="0" borderId="7" xfId="4" applyFont="1" applyBorder="1"/>
    <xf numFmtId="43" fontId="2" fillId="0" borderId="4" xfId="4" applyFont="1" applyBorder="1"/>
    <xf numFmtId="0" fontId="1" fillId="0" borderId="0" xfId="3"/>
    <xf numFmtId="0" fontId="2" fillId="0" borderId="6" xfId="3" applyFont="1" applyBorder="1"/>
    <xf numFmtId="43" fontId="4" fillId="0" borderId="10" xfId="4" applyFont="1" applyBorder="1"/>
    <xf numFmtId="43" fontId="0" fillId="0" borderId="8" xfId="4" applyFont="1" applyBorder="1"/>
    <xf numFmtId="43" fontId="0" fillId="0" borderId="11" xfId="4" applyFont="1" applyBorder="1"/>
    <xf numFmtId="3" fontId="0" fillId="0" borderId="0" xfId="0" applyNumberFormat="1"/>
    <xf numFmtId="43" fontId="0" fillId="0" borderId="12" xfId="4" applyFont="1" applyBorder="1"/>
    <xf numFmtId="0" fontId="0" fillId="0" borderId="9" xfId="0" applyBorder="1"/>
    <xf numFmtId="43" fontId="0" fillId="0" borderId="13" xfId="4" applyFont="1" applyBorder="1"/>
    <xf numFmtId="164" fontId="0" fillId="8" borderId="1" xfId="1" applyNumberFormat="1" applyFont="1" applyFill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right" vertical="top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1" fontId="0" fillId="0" borderId="0" xfId="0" applyNumberFormat="1" applyFill="1" applyAlignment="1">
      <alignment vertical="top"/>
    </xf>
    <xf numFmtId="4" fontId="0" fillId="0" borderId="0" xfId="0" applyNumberFormat="1" applyFill="1" applyAlignment="1">
      <alignment horizontal="right" vertical="top"/>
    </xf>
    <xf numFmtId="9" fontId="0" fillId="0" borderId="0" xfId="2" applyFont="1" applyFill="1"/>
    <xf numFmtId="0" fontId="0" fillId="0" borderId="0" xfId="0" applyFill="1"/>
    <xf numFmtId="0" fontId="2" fillId="0" borderId="4" xfId="3" applyFont="1" applyBorder="1" applyAlignment="1">
      <alignment horizontal="center"/>
    </xf>
    <xf numFmtId="0" fontId="2" fillId="0" borderId="5" xfId="3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0" borderId="0" xfId="0" applyFont="1" applyAlignment="1">
      <alignment vertical="top"/>
    </xf>
  </cellXfs>
  <cellStyles count="5">
    <cellStyle name="Comma" xfId="1" builtinId="3"/>
    <cellStyle name="Comma 2" xfId="4" xr:uid="{9B00AB0D-090F-47A2-A2E6-5A5BD32074C4}"/>
    <cellStyle name="Normal" xfId="0" builtinId="0"/>
    <cellStyle name="Normal 2" xfId="3" xr:uid="{C3BDAB9A-951D-43A2-A8F3-7327B5531A8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112.601861689815" createdVersion="7" refreshedVersion="7" minRefreshableVersion="3" recordCount="71" xr:uid="{EE1EC0CB-1C64-45EC-9E63-73E0B1232DB9}">
  <cacheSource type="worksheet">
    <worksheetSource ref="A1:O72" sheet="Sheet6"/>
  </cacheSource>
  <cacheFields count="15">
    <cacheField name="Document Number" numFmtId="0">
      <sharedItems containsSemiMixedTypes="0" containsString="0" containsNumber="1" containsInteger="1" minValue="1600000705" maxValue="1800016614"/>
    </cacheField>
    <cacheField name="Document Type" numFmtId="0">
      <sharedItems/>
    </cacheField>
    <cacheField name="Document Date" numFmtId="14">
      <sharedItems containsSemiMixedTypes="0" containsNonDate="0" containsDate="1" containsString="0" minDate="2025-02-20T00:00:00" maxDate="2026-01-07T00:00:00"/>
    </cacheField>
    <cacheField name="Entry Date" numFmtId="14">
      <sharedItems containsSemiMixedTypes="0" containsNonDate="0" containsDate="1" containsString="0" minDate="2025-02-20T00:00:00" maxDate="2026-01-14T00:00:00"/>
    </cacheField>
    <cacheField name="Document Header Text" numFmtId="0">
      <sharedItems/>
    </cacheField>
    <cacheField name="Reference" numFmtId="1">
      <sharedItems containsSemiMixedTypes="0" containsString="0" containsNumber="1" containsInteger="1" minValue="246779410019" maxValue="256779440323"/>
    </cacheField>
    <cacheField name="Document Currency Key" numFmtId="0">
      <sharedItems/>
    </cacheField>
    <cacheField name="Document Currency Value" numFmtId="4">
      <sharedItems containsSemiMixedTypes="0" containsString="0" containsNumber="1" minValue="-834.4" maxValue="834.4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71758.960000000006" maxValue="72335.19"/>
    </cacheField>
    <cacheField name="TDS" numFmtId="4">
      <sharedItems containsString="0" containsBlank="1" containsNumber="1" minValue="-83.43" maxValue="-0.35"/>
    </cacheField>
    <cacheField name="Total Invoice Value" numFmtId="4">
      <sharedItems containsString="0" containsBlank="1" containsNumber="1" minValue="-834.4" maxValue="-17.54"/>
    </cacheField>
    <cacheField name="Net Amount " numFmtId="4">
      <sharedItems containsNonDate="0" containsString="0" containsBlank="1"/>
    </cacheField>
    <cacheField name="Text" numFmtId="0">
      <sharedItems/>
    </cacheField>
    <cacheField name="Clearing Document" numFmtId="0">
      <sharedItems containsMixedTypes="1" containsNumber="1" containsInteger="1" minValue="1400001172" maxValue="1400001172" count="9">
        <s v="1400001906"/>
        <s v=""/>
        <s v="1400001171"/>
        <s v="1400001172"/>
        <n v="1400001172"/>
        <s v="1400002219"/>
        <s v="1400000194"/>
        <s v="1400000195"/>
        <s v="14000011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1800000420"/>
    <s v="DR"/>
    <d v="2025-03-03T00:00:00"/>
    <d v="2025-03-03T00:00:00"/>
    <s v="NA"/>
    <n v="246779410382"/>
    <s v="USD"/>
    <n v="834.4"/>
    <s v="INR"/>
    <n v="72335.19"/>
    <m/>
    <m/>
    <m/>
    <s v="Storage Charges for the month of August, 2024"/>
    <x v="0"/>
  </r>
  <r>
    <n v="1800011335"/>
    <s v="DR"/>
    <d v="2025-08-01T00:00:00"/>
    <d v="2025-08-04T00:00:00"/>
    <s v="NA"/>
    <n v="256779416044"/>
    <s v="USD"/>
    <n v="756"/>
    <s v="INR"/>
    <n v="65038.77"/>
    <n v="-75.599999999999994"/>
    <n v="-756"/>
    <m/>
    <s v="Fixed Storage Charges for August 2025"/>
    <x v="1"/>
  </r>
  <r>
    <n v="1800009611"/>
    <s v="DR"/>
    <d v="2025-06-10T00:00:00"/>
    <d v="2025-06-17T00:00:00"/>
    <s v="NA"/>
    <n v="256779414375"/>
    <s v="USD"/>
    <n v="756"/>
    <s v="INR"/>
    <n v="64631.03"/>
    <n v="-75.599999999999994"/>
    <n v="-756"/>
    <m/>
    <s v="Fixed Storage Charges fo JUNE 2025"/>
    <x v="2"/>
  </r>
  <r>
    <n v="1800012789"/>
    <s v="DR"/>
    <d v="2025-09-17T00:00:00"/>
    <d v="2025-09-22T00:00:00"/>
    <s v="NA"/>
    <n v="256779417443"/>
    <s v="USD"/>
    <n v="24.92"/>
    <s v="INR"/>
    <n v="2180.86"/>
    <n v="-0.5"/>
    <n v="-24.92"/>
    <m/>
    <s v="VAS -1-15 Sept-25"/>
    <x v="1"/>
  </r>
  <r>
    <n v="1800006713"/>
    <s v="DR"/>
    <d v="2025-04-15T00:00:00"/>
    <d v="2025-04-16T00:00:00"/>
    <s v="NA"/>
    <n v="256779411604"/>
    <s v="USD"/>
    <n v="140"/>
    <s v="INR"/>
    <n v="12169.05"/>
    <n v="-2.8"/>
    <n v="-140"/>
    <m/>
    <s v="Outbound Handling Charges Aug 2024"/>
    <x v="3"/>
  </r>
  <r>
    <n v="1800006714"/>
    <s v="DR"/>
    <d v="2025-04-15T00:00:00"/>
    <d v="2025-04-16T00:00:00"/>
    <s v="NA"/>
    <n v="256779411605"/>
    <s v="USD"/>
    <n v="140"/>
    <s v="INR"/>
    <n v="12169.05"/>
    <n v="-2.8"/>
    <n v="-140"/>
    <m/>
    <s v="Outbound Handling Charges Aug 2024"/>
    <x v="4"/>
  </r>
  <r>
    <n v="1800012588"/>
    <s v="DR"/>
    <d v="2025-09-04T00:00:00"/>
    <d v="2025-09-09T00:00:00"/>
    <s v="NA"/>
    <n v="256779417246"/>
    <s v="USD"/>
    <n v="183.54"/>
    <s v="INR"/>
    <n v="16062.38"/>
    <n v="-3.67"/>
    <n v="-183.54"/>
    <m/>
    <s v="PORT SSR Chgs Aug 25"/>
    <x v="1"/>
  </r>
  <r>
    <n v="1800012621"/>
    <s v="DR"/>
    <d v="2025-09-04T00:00:00"/>
    <d v="2025-09-09T00:00:00"/>
    <s v="NA"/>
    <n v="256779417208"/>
    <s v="USD"/>
    <n v="63.29"/>
    <s v="INR"/>
    <n v="5538.78"/>
    <n v="-1.26"/>
    <n v="-63.29"/>
    <m/>
    <s v="Empty Lolo Chgs - 01 - 31 AUG 25"/>
    <x v="1"/>
  </r>
  <r>
    <n v="1800012649"/>
    <s v="DR"/>
    <d v="2025-09-04T00:00:00"/>
    <d v="2025-09-09T00:00:00"/>
    <s v="NA"/>
    <n v="256779417289"/>
    <s v="USD"/>
    <n v="675.97"/>
    <s v="INR"/>
    <n v="59157.06"/>
    <n v="-13.52"/>
    <n v="-675.97"/>
    <m/>
    <s v="Transportation In Chgs - 16 - 31 AUG 25"/>
    <x v="1"/>
  </r>
  <r>
    <n v="1800012689"/>
    <s v="DR"/>
    <d v="2025-09-04T00:00:00"/>
    <d v="2025-09-09T00:00:00"/>
    <s v="NA"/>
    <n v="256779417329"/>
    <s v="USD"/>
    <n v="87.97"/>
    <s v="INR"/>
    <n v="7698.64"/>
    <n v="-1.76"/>
    <n v="-87.97"/>
    <m/>
    <s v="Outbound chgs - 16 - 31 Aug 25"/>
    <x v="1"/>
  </r>
  <r>
    <n v="1800012729"/>
    <s v="DR"/>
    <d v="2025-09-04T00:00:00"/>
    <d v="2025-09-09T00:00:00"/>
    <s v="NA"/>
    <n v="256779417363"/>
    <s v="USD"/>
    <n v="756"/>
    <s v="INR"/>
    <n v="66160.83"/>
    <n v="-75.599999999999994"/>
    <n v="-756"/>
    <m/>
    <s v="Fixed Storage Charges for September 2025"/>
    <x v="1"/>
  </r>
  <r>
    <n v="1800010173"/>
    <s v="DR"/>
    <d v="2025-07-04T00:00:00"/>
    <d v="2025-07-09T00:00:00"/>
    <s v="NA"/>
    <n v="256779414933"/>
    <s v="USD"/>
    <n v="756"/>
    <s v="INR"/>
    <n v="65016.51"/>
    <n v="-75.599999999999994"/>
    <n v="-756"/>
    <m/>
    <s v="Fixed Storage Charges fo JULY 2025"/>
    <x v="1"/>
  </r>
  <r>
    <n v="1800010289"/>
    <s v="DR"/>
    <d v="2025-07-04T00:00:00"/>
    <d v="2025-07-09T00:00:00"/>
    <s v="NA"/>
    <n v="256779415049"/>
    <s v="USD"/>
    <n v="17.54"/>
    <s v="INR"/>
    <n v="1508.45"/>
    <n v="-0.35"/>
    <n v="-17.54"/>
    <m/>
    <s v="Bond Stamp Paper Chgs"/>
    <x v="1"/>
  </r>
  <r>
    <n v="1600001545"/>
    <s v="DG"/>
    <d v="2025-07-04T00:00:00"/>
    <d v="2025-07-08T00:00:00"/>
    <s v="NA"/>
    <n v="256779421177"/>
    <s v="USD"/>
    <n v="-140"/>
    <s v="INR"/>
    <n v="-12040.09"/>
    <m/>
    <m/>
    <m/>
    <s v="Credit note against 246779414228"/>
    <x v="0"/>
  </r>
  <r>
    <n v="1600001546"/>
    <s v="DG"/>
    <d v="2025-07-04T00:00:00"/>
    <d v="2025-07-08T00:00:00"/>
    <s v="NA"/>
    <n v="256779421178"/>
    <s v="USD"/>
    <n v="-756"/>
    <s v="INR"/>
    <n v="-65016.51"/>
    <m/>
    <m/>
    <m/>
    <s v="Credit note against 246779412996"/>
    <x v="0"/>
  </r>
  <r>
    <n v="1600001547"/>
    <s v="DG"/>
    <d v="2025-07-04T00:00:00"/>
    <d v="2025-07-08T00:00:00"/>
    <s v="NA"/>
    <n v="256779421179"/>
    <s v="USD"/>
    <n v="-756"/>
    <s v="INR"/>
    <n v="-65016.51"/>
    <m/>
    <m/>
    <m/>
    <s v="Credit note against 246779410019"/>
    <x v="0"/>
  </r>
  <r>
    <n v="1600001548"/>
    <s v="DG"/>
    <d v="2025-07-04T00:00:00"/>
    <d v="2025-07-08T00:00:00"/>
    <s v="NA"/>
    <n v="256779421180"/>
    <s v="USD"/>
    <n v="-756"/>
    <s v="INR"/>
    <n v="-65016.51"/>
    <m/>
    <m/>
    <m/>
    <s v="Credit note against 246779410107"/>
    <x v="0"/>
  </r>
  <r>
    <n v="1600001549"/>
    <s v="DG"/>
    <d v="2025-07-04T00:00:00"/>
    <d v="2025-07-08T00:00:00"/>
    <s v="NA"/>
    <n v="256779421181"/>
    <s v="USD"/>
    <n v="-756"/>
    <s v="INR"/>
    <n v="-65016.51"/>
    <m/>
    <m/>
    <m/>
    <s v="Credit note against 246779410150"/>
    <x v="0"/>
  </r>
  <r>
    <n v="1600001550"/>
    <s v="DG"/>
    <d v="2025-07-04T00:00:00"/>
    <d v="2025-07-08T00:00:00"/>
    <s v="NA"/>
    <n v="256779421182"/>
    <s v="USD"/>
    <n v="-756"/>
    <s v="INR"/>
    <n v="-65016.51"/>
    <m/>
    <m/>
    <m/>
    <s v="Credit note against 246779410193"/>
    <x v="0"/>
  </r>
  <r>
    <n v="1600001551"/>
    <s v="DG"/>
    <d v="2025-07-04T00:00:00"/>
    <d v="2025-07-08T00:00:00"/>
    <s v="NA"/>
    <n v="256779421183"/>
    <s v="USD"/>
    <n v="-756"/>
    <s v="INR"/>
    <n v="-65016.51"/>
    <m/>
    <m/>
    <m/>
    <s v="Credit note against 246779410236"/>
    <x v="0"/>
  </r>
  <r>
    <n v="1600001552"/>
    <s v="DG"/>
    <d v="2025-07-04T00:00:00"/>
    <d v="2025-07-08T00:00:00"/>
    <s v="NA"/>
    <n v="256779421184"/>
    <s v="USD"/>
    <n v="-756"/>
    <s v="INR"/>
    <n v="-65016.51"/>
    <m/>
    <m/>
    <m/>
    <s v="Credit note against 246779410293"/>
    <x v="0"/>
  </r>
  <r>
    <n v="1600001553"/>
    <s v="DG"/>
    <d v="2025-07-04T00:00:00"/>
    <d v="2025-07-08T00:00:00"/>
    <s v="NA"/>
    <n v="256779421185"/>
    <s v="USD"/>
    <n v="-756"/>
    <s v="INR"/>
    <n v="-65016.51"/>
    <m/>
    <m/>
    <m/>
    <s v="Credit note against 246779410039"/>
    <x v="0"/>
  </r>
  <r>
    <n v="1600001554"/>
    <s v="DG"/>
    <d v="2025-07-04T00:00:00"/>
    <d v="2025-07-08T00:00:00"/>
    <s v="NA"/>
    <n v="256779421186"/>
    <s v="USD"/>
    <n v="-834.4"/>
    <s v="INR"/>
    <n v="-71758.960000000006"/>
    <m/>
    <m/>
    <m/>
    <s v="Credit note against 246779410382"/>
    <x v="0"/>
  </r>
  <r>
    <n v="1800014733"/>
    <s v="DR"/>
    <d v="2025-11-05T00:00:00"/>
    <d v="2025-11-07T00:00:00"/>
    <s v="2123630"/>
    <n v="256779419234"/>
    <s v="USD"/>
    <n v="170.89"/>
    <s v="INR"/>
    <n v="15038.9"/>
    <n v="-3.42"/>
    <n v="-170.89"/>
    <m/>
    <s v="PORT SSR Chgs Oct 25"/>
    <x v="5"/>
  </r>
  <r>
    <n v="1800014253"/>
    <s v="DR"/>
    <d v="2025-11-05T00:00:00"/>
    <d v="2025-11-05T00:00:00"/>
    <s v="NA"/>
    <n v="256779418792"/>
    <s v="USD"/>
    <n v="756"/>
    <s v="INR"/>
    <n v="66530.559999999998"/>
    <n v="-75.59"/>
    <n v="-756"/>
    <m/>
    <s v="Fixed Storage Charges for November 2025"/>
    <x v="5"/>
  </r>
  <r>
    <n v="1800014621"/>
    <s v="DR"/>
    <d v="2025-11-05T00:00:00"/>
    <d v="2025-11-06T00:00:00"/>
    <s v="NA"/>
    <n v="256779419203"/>
    <s v="USD"/>
    <n v="62.66"/>
    <s v="INR"/>
    <n v="5514.29"/>
    <n v="-1.26"/>
    <n v="-62.66"/>
    <m/>
    <s v="Empty Lolo Chgs - 01 - 31 OCT 25"/>
    <x v="5"/>
  </r>
  <r>
    <n v="1800014413"/>
    <s v="DR"/>
    <d v="2025-11-03T00:00:00"/>
    <d v="2025-11-06T00:00:00"/>
    <s v="NA"/>
    <n v="256779419135"/>
    <s v="USD"/>
    <n v="579"/>
    <s v="INR"/>
    <n v="50953.96"/>
    <n v="-11.58"/>
    <n v="-579"/>
    <m/>
    <s v="Transportation In Chgs - 16 - 31 OCT 25"/>
    <x v="5"/>
  </r>
  <r>
    <n v="1600000705"/>
    <s v="DG"/>
    <d v="2025-05-14T00:00:00"/>
    <d v="2025-05-16T00:00:00"/>
    <s v="NA"/>
    <n v="256779420414"/>
    <s v="USD"/>
    <n v="-756"/>
    <s v="INR"/>
    <n v="-65712.899999999994"/>
    <m/>
    <m/>
    <m/>
    <s v="Credit note against 256779410281"/>
    <x v="6"/>
  </r>
  <r>
    <n v="1600000792"/>
    <s v="DG"/>
    <d v="2025-05-14T00:00:00"/>
    <d v="2025-05-16T00:00:00"/>
    <s v="NA"/>
    <n v="256779420501"/>
    <s v="USD"/>
    <n v="-756"/>
    <s v="INR"/>
    <n v="-65712.899999999994"/>
    <m/>
    <m/>
    <m/>
    <s v="Credit note against 256779410240"/>
    <x v="7"/>
  </r>
  <r>
    <n v="1800004360"/>
    <s v="DR"/>
    <d v="2025-03-20T00:00:00"/>
    <d v="2025-03-21T00:00:00"/>
    <s v="NA"/>
    <n v="246779414228"/>
    <s v="USD"/>
    <n v="140"/>
    <s v="INR"/>
    <n v="12136.78"/>
    <m/>
    <m/>
    <m/>
    <s v="Outbound Handling charges for Sep 2024"/>
    <x v="0"/>
  </r>
  <r>
    <n v="1800000063"/>
    <s v="DR"/>
    <d v="2025-02-20T00:00:00"/>
    <d v="2025-02-20T00:00:00"/>
    <s v="NA"/>
    <n v="246779410019"/>
    <s v="USD"/>
    <n v="756"/>
    <s v="INR"/>
    <n v="65245.57"/>
    <m/>
    <m/>
    <m/>
    <s v="Fixed Rental charges for Aug 2024"/>
    <x v="0"/>
  </r>
  <r>
    <n v="1800000111"/>
    <s v="DR"/>
    <d v="2025-02-20T00:00:00"/>
    <d v="2025-02-20T00:00:00"/>
    <s v="NA"/>
    <n v="246779410039"/>
    <s v="USD"/>
    <n v="756"/>
    <s v="INR"/>
    <n v="65245.57"/>
    <m/>
    <m/>
    <m/>
    <s v="Fixed Rental charges for Sept 2024"/>
    <x v="0"/>
  </r>
  <r>
    <n v="1800000144"/>
    <s v="DR"/>
    <d v="2025-02-20T00:00:00"/>
    <d v="2025-02-21T00:00:00"/>
    <s v="NA"/>
    <n v="246779410293"/>
    <s v="USD"/>
    <n v="756"/>
    <s v="INR"/>
    <n v="65245.57"/>
    <m/>
    <m/>
    <m/>
    <s v="Fixed Rental charges for Oct 2024"/>
    <x v="0"/>
  </r>
  <r>
    <n v="1800000180"/>
    <s v="DR"/>
    <d v="2025-02-20T00:00:00"/>
    <d v="2025-02-20T00:00:00"/>
    <s v="NA"/>
    <n v="246779410107"/>
    <s v="USD"/>
    <n v="756"/>
    <s v="INR"/>
    <n v="65245.57"/>
    <m/>
    <m/>
    <m/>
    <s v="Fixed Rental charges for Nov 2024"/>
    <x v="0"/>
  </r>
  <r>
    <n v="1800000223"/>
    <s v="DR"/>
    <d v="2025-02-20T00:00:00"/>
    <d v="2025-02-20T00:00:00"/>
    <s v="NA"/>
    <n v="246779410150"/>
    <s v="USD"/>
    <n v="756"/>
    <s v="INR"/>
    <n v="65245.57"/>
    <m/>
    <m/>
    <m/>
    <s v="Fixed Rental charges for Dec 2024"/>
    <x v="0"/>
  </r>
  <r>
    <n v="1800000266"/>
    <s v="DR"/>
    <d v="2025-02-20T00:00:00"/>
    <d v="2025-02-20T00:00:00"/>
    <s v="NA"/>
    <n v="246779410193"/>
    <s v="USD"/>
    <n v="756"/>
    <s v="INR"/>
    <n v="65245.57"/>
    <m/>
    <m/>
    <m/>
    <s v="Fixed Rental charges for Jan 2025"/>
    <x v="0"/>
  </r>
  <r>
    <n v="1800000309"/>
    <s v="DR"/>
    <d v="2025-02-20T00:00:00"/>
    <d v="2025-02-20T00:00:00"/>
    <s v="NA"/>
    <n v="246779410236"/>
    <s v="USD"/>
    <n v="756"/>
    <s v="INR"/>
    <n v="65245.57"/>
    <m/>
    <m/>
    <m/>
    <s v="Fixed Rental charges for Feb 2025"/>
    <x v="0"/>
  </r>
  <r>
    <n v="1800012186"/>
    <s v="DR"/>
    <d v="2025-08-20T00:00:00"/>
    <d v="2025-08-22T00:00:00"/>
    <s v="NA"/>
    <n v="256779416818"/>
    <s v="USD"/>
    <n v="480"/>
    <s v="INR"/>
    <n v="41294.46"/>
    <n v="-9.6"/>
    <n v="-480"/>
    <m/>
    <s v="Transportation In Chgs - 01 - 15 Aug 25"/>
    <x v="1"/>
  </r>
  <r>
    <n v="1800010637"/>
    <s v="DR"/>
    <d v="2025-07-16T00:00:00"/>
    <d v="2025-07-16T00:00:00"/>
    <s v="NA"/>
    <n v="256779415397"/>
    <s v="USD"/>
    <n v="756"/>
    <s v="INR"/>
    <n v="65016.51"/>
    <n v="-75.599999999999994"/>
    <n v="-756"/>
    <m/>
    <s v="Fixed Storage Charges for Mar 2025"/>
    <x v="2"/>
  </r>
  <r>
    <n v="1800010638"/>
    <s v="DR"/>
    <d v="2025-07-16T00:00:00"/>
    <d v="2025-07-16T00:00:00"/>
    <s v="NA"/>
    <n v="256779415398"/>
    <s v="USD"/>
    <n v="756"/>
    <s v="INR"/>
    <n v="65016.51"/>
    <n v="-75.599999999999994"/>
    <n v="-756"/>
    <m/>
    <s v="Fixed Rental charges for Aug 2024"/>
    <x v="2"/>
  </r>
  <r>
    <n v="1800010639"/>
    <s v="DR"/>
    <d v="2025-07-16T00:00:00"/>
    <d v="2025-07-16T00:00:00"/>
    <s v="NA"/>
    <n v="256779415399"/>
    <s v="USD"/>
    <n v="756"/>
    <s v="INR"/>
    <n v="65016.51"/>
    <n v="-75.599999999999994"/>
    <n v="-756"/>
    <m/>
    <s v="Fixed Rental charges for Nov 2024"/>
    <x v="2"/>
  </r>
  <r>
    <n v="1800010640"/>
    <s v="DR"/>
    <d v="2025-07-16T00:00:00"/>
    <d v="2025-07-16T00:00:00"/>
    <s v="NA"/>
    <n v="256779415400"/>
    <s v="USD"/>
    <n v="756"/>
    <s v="INR"/>
    <n v="65016.51"/>
    <n v="-75.599999999999994"/>
    <n v="-756"/>
    <m/>
    <s v="Fixed Rental charges for Dec 2024"/>
    <x v="2"/>
  </r>
  <r>
    <n v="1800010641"/>
    <s v="DR"/>
    <d v="2025-07-16T00:00:00"/>
    <d v="2025-07-16T00:00:00"/>
    <s v="NA"/>
    <n v="256779415401"/>
    <s v="USD"/>
    <n v="756"/>
    <s v="INR"/>
    <n v="65016.51"/>
    <n v="-75.599999999999994"/>
    <n v="-756"/>
    <m/>
    <s v="Fixed Rental charges for Jan 2025"/>
    <x v="2"/>
  </r>
  <r>
    <n v="1800010642"/>
    <s v="DR"/>
    <d v="2025-07-16T00:00:00"/>
    <d v="2025-07-16T00:00:00"/>
    <s v="NA"/>
    <n v="256779415402"/>
    <s v="USD"/>
    <n v="756"/>
    <s v="INR"/>
    <n v="65016.51"/>
    <n v="-75.599999999999994"/>
    <n v="-756"/>
    <m/>
    <s v="Fixed Rental charges for Feb 2025"/>
    <x v="2"/>
  </r>
  <r>
    <n v="1800010643"/>
    <s v="DR"/>
    <d v="2025-07-16T00:00:00"/>
    <d v="2025-07-16T00:00:00"/>
    <s v="NA"/>
    <n v="256779415403"/>
    <s v="USD"/>
    <n v="756"/>
    <s v="INR"/>
    <n v="65016.51"/>
    <n v="-75.599999999999994"/>
    <n v="-756"/>
    <m/>
    <s v="Fixed Rental charges for Oct 2024"/>
    <x v="2"/>
  </r>
  <r>
    <n v="1800010644"/>
    <s v="DR"/>
    <d v="2025-07-16T00:00:00"/>
    <d v="2025-07-16T00:00:00"/>
    <s v="NA"/>
    <n v="256779415404"/>
    <s v="USD"/>
    <n v="756"/>
    <s v="INR"/>
    <n v="65016.51"/>
    <n v="-75.599999999999994"/>
    <n v="-756"/>
    <m/>
    <s v="Fixed Rental charges for Sept 2024"/>
    <x v="2"/>
  </r>
  <r>
    <n v="1800010645"/>
    <s v="DR"/>
    <d v="2025-07-16T00:00:00"/>
    <d v="2025-07-16T00:00:00"/>
    <s v="NA"/>
    <n v="256779415405"/>
    <s v="USD"/>
    <n v="834.4"/>
    <s v="INR"/>
    <n v="71758.960000000006"/>
    <n v="-83.43"/>
    <n v="-834.4"/>
    <m/>
    <s v="Storage Charges for the month of August, 2024"/>
    <x v="2"/>
  </r>
  <r>
    <n v="1800010636"/>
    <s v="DR"/>
    <d v="2025-07-16T00:00:00"/>
    <d v="2025-07-16T00:00:00"/>
    <s v="NA"/>
    <n v="256779415396"/>
    <s v="USD"/>
    <n v="140"/>
    <s v="INR"/>
    <n v="12040.09"/>
    <n v="-2.8"/>
    <n v="-140"/>
    <m/>
    <s v="Outbound Handling charges for Sep 2024"/>
    <x v="3"/>
  </r>
  <r>
    <n v="1800005389"/>
    <s v="DR"/>
    <d v="2025-04-03T00:00:00"/>
    <d v="2025-04-05T00:00:00"/>
    <s v="NA"/>
    <n v="256779410281"/>
    <s v="USD"/>
    <n v="756"/>
    <s v="INR"/>
    <n v="65712.899999999994"/>
    <m/>
    <m/>
    <m/>
    <s v="Fixed Rental charges for Feb 2025"/>
    <x v="6"/>
  </r>
  <r>
    <n v="1800005348"/>
    <s v="DR"/>
    <d v="2025-04-03T00:00:00"/>
    <d v="2025-04-05T00:00:00"/>
    <s v="NA"/>
    <n v="256779410240"/>
    <s v="USD"/>
    <n v="756"/>
    <s v="INR"/>
    <n v="65712.899999999994"/>
    <m/>
    <m/>
    <m/>
    <s v="Fixed Rental charges for Jan 2025"/>
    <x v="7"/>
  </r>
  <r>
    <n v="1800013809"/>
    <s v="DR"/>
    <d v="2025-10-20T00:00:00"/>
    <d v="2025-10-21T00:00:00"/>
    <s v="NA"/>
    <n v="256779418627"/>
    <s v="USD"/>
    <n v="260"/>
    <s v="INR"/>
    <n v="22929.599999999999"/>
    <n v="-5.2"/>
    <n v="-260"/>
    <m/>
    <s v="Transportation In Chgs - 01 - 15 Oct 25"/>
    <x v="5"/>
  </r>
  <r>
    <n v="1800013816"/>
    <s v="DR"/>
    <d v="2025-10-20T00:00:00"/>
    <d v="2025-10-21T00:00:00"/>
    <s v="NA"/>
    <n v="256779418634"/>
    <s v="USD"/>
    <n v="50"/>
    <s v="INR"/>
    <n v="4409.54"/>
    <n v="-1"/>
    <n v="-50"/>
    <m/>
    <s v="Scanning  Chgs - 01 - 15 Oct 25"/>
    <x v="5"/>
  </r>
  <r>
    <n v="1800013847"/>
    <s v="DR"/>
    <d v="2025-10-20T00:00:00"/>
    <d v="2025-10-21T00:00:00"/>
    <s v="NA"/>
    <n v="256779418665"/>
    <s v="USD"/>
    <n v="46.5"/>
    <s v="INR"/>
    <n v="4100.87"/>
    <n v="-0.93"/>
    <n v="-46.5"/>
    <m/>
    <s v="LCL Chgs - 01 - 15 OCT 25"/>
    <x v="5"/>
  </r>
  <r>
    <n v="1800013928"/>
    <s v="DR"/>
    <d v="2025-10-20T00:00:00"/>
    <d v="2025-10-21T00:00:00"/>
    <s v="NA"/>
    <n v="256779418705"/>
    <s v="USD"/>
    <n v="150.5"/>
    <s v="INR"/>
    <n v="13272.71"/>
    <n v="-3.01"/>
    <n v="-150.5"/>
    <m/>
    <s v="Outbound chgs - 01 - 15 Oct 25"/>
    <x v="5"/>
  </r>
  <r>
    <n v="1800007266"/>
    <s v="DR"/>
    <d v="2025-04-21T00:00:00"/>
    <d v="2025-04-22T00:00:00"/>
    <s v="NA"/>
    <n v="256779412157"/>
    <s v="USD"/>
    <n v="756"/>
    <s v="INR"/>
    <n v="64872.36"/>
    <n v="-75.599999999999994"/>
    <n v="-756"/>
    <m/>
    <s v="Fixed Storage Charges for April 2025"/>
    <x v="2"/>
  </r>
  <r>
    <n v="1600001865"/>
    <s v="DG"/>
    <d v="2025-07-24T00:00:00"/>
    <d v="2025-07-24T00:00:00"/>
    <s v="NA"/>
    <n v="256779421485"/>
    <s v="USD"/>
    <n v="-756"/>
    <s v="INR"/>
    <n v="-65016.51"/>
    <m/>
    <m/>
    <m/>
    <s v="Credit note raised against 256779414417"/>
    <x v="8"/>
  </r>
  <r>
    <n v="1600001920"/>
    <s v="DG"/>
    <d v="2025-07-24T00:00:00"/>
    <d v="2025-07-24T00:00:00"/>
    <s v="NA"/>
    <n v="256779421540"/>
    <s v="USD"/>
    <n v="-756"/>
    <s v="INR"/>
    <n v="-65016.51"/>
    <m/>
    <m/>
    <m/>
    <s v="Credit note raised against 256779414473"/>
    <x v="8"/>
  </r>
  <r>
    <n v="1800009653"/>
    <s v="DR"/>
    <d v="2025-06-18T00:00:00"/>
    <d v="2025-06-19T00:00:00"/>
    <s v="NA"/>
    <n v="256779414417"/>
    <s v="USD"/>
    <n v="756"/>
    <s v="INR"/>
    <n v="64631.03"/>
    <m/>
    <m/>
    <m/>
    <s v="Fixed Rental charges for Nov 2024"/>
    <x v="8"/>
  </r>
  <r>
    <n v="1800009709"/>
    <s v="DR"/>
    <d v="2025-06-18T00:00:00"/>
    <d v="2025-06-19T00:00:00"/>
    <s v="NA"/>
    <n v="256779414473"/>
    <s v="USD"/>
    <n v="756"/>
    <s v="INR"/>
    <n v="64631.03"/>
    <m/>
    <m/>
    <m/>
    <s v="Fixed Rental charges for Feb 2025"/>
    <x v="8"/>
  </r>
  <r>
    <n v="1800003129"/>
    <s v="DR"/>
    <d v="2025-03-19T00:00:00"/>
    <d v="2025-03-20T00:00:00"/>
    <s v="NA"/>
    <n v="246779412996"/>
    <s v="USD"/>
    <n v="756"/>
    <s v="INR"/>
    <n v="65538.59"/>
    <m/>
    <m/>
    <m/>
    <s v="Fixed Storage Charges for Mar 2025"/>
    <x v="0"/>
  </r>
  <r>
    <n v="1800012816"/>
    <s v="DR"/>
    <d v="2025-09-18T00:00:00"/>
    <d v="2025-09-22T00:00:00"/>
    <s v="NA"/>
    <n v="256779417421"/>
    <s v="USD"/>
    <n v="50"/>
    <s v="INR"/>
    <n v="4375.72"/>
    <m/>
    <m/>
    <m/>
    <s v="Scanning  Chgs - 01 - 15 Sep 25"/>
    <x v="1"/>
  </r>
  <r>
    <n v="1800012994"/>
    <s v="DR"/>
    <d v="2025-09-18T00:00:00"/>
    <d v="2025-09-22T00:00:00"/>
    <s v="NA"/>
    <n v="256779417529"/>
    <s v="USD"/>
    <n v="171.95"/>
    <s v="INR"/>
    <n v="15048.09"/>
    <n v="-3.43"/>
    <n v="-171.95"/>
    <m/>
    <s v="Outbound chgs - 01 - 15 Sep 25"/>
    <x v="1"/>
  </r>
  <r>
    <n v="1800012931"/>
    <s v="DR"/>
    <d v="2025-09-18T00:00:00"/>
    <d v="2025-09-22T00:00:00"/>
    <s v="NA"/>
    <n v="256779417570"/>
    <s v="USD"/>
    <n v="448"/>
    <s v="INR"/>
    <n v="39206.42"/>
    <n v="-8.9600000000000009"/>
    <n v="-448"/>
    <m/>
    <s v="Transportation In Chgs - 01 - 15 SEP 25"/>
    <x v="1"/>
  </r>
  <r>
    <n v="1800015292"/>
    <s v="DR"/>
    <d v="2025-12-05T00:00:00"/>
    <d v="2025-12-09T00:00:00"/>
    <s v="NA"/>
    <n v="256779419921"/>
    <s v="USD"/>
    <n v="140"/>
    <s v="INR"/>
    <n v="12418.02"/>
    <n v="-2.81"/>
    <n v="-140"/>
    <m/>
    <s v="Outbound chgs - 16 - 30 Nov 25"/>
    <x v="1"/>
  </r>
  <r>
    <n v="1800008232"/>
    <s v="DR"/>
    <d v="2025-05-10T00:00:00"/>
    <d v="2025-05-14T00:00:00"/>
    <s v="NA"/>
    <n v="256779413116"/>
    <s v="USD"/>
    <n v="756"/>
    <s v="INR"/>
    <n v="65003.68"/>
    <n v="-75.599999999999994"/>
    <n v="-756"/>
    <m/>
    <s v="Fixed Storage Charges fo MAY 2025"/>
    <x v="2"/>
  </r>
  <r>
    <n v="1800013277"/>
    <s v="DR"/>
    <d v="2025-10-06T00:00:00"/>
    <d v="2025-10-07T00:00:00"/>
    <s v="NA"/>
    <n v="256779418013"/>
    <s v="USD"/>
    <n v="112"/>
    <s v="INR"/>
    <n v="9877.3700000000008"/>
    <n v="-11.2"/>
    <n v="-112"/>
    <m/>
    <s v="Unit Storage - 1-30 Sept 2025"/>
    <x v="5"/>
  </r>
  <r>
    <n v="1800013307"/>
    <s v="DR"/>
    <d v="2025-10-05T00:00:00"/>
    <d v="2025-10-07T00:00:00"/>
    <s v="NA"/>
    <n v="256779417903"/>
    <s v="USD"/>
    <n v="62.61"/>
    <s v="INR"/>
    <n v="5521.62"/>
    <m/>
    <m/>
    <m/>
    <s v="Empty Lolo Chgs - 01 - 30 SEP 25"/>
    <x v="1"/>
  </r>
  <r>
    <n v="1800013512"/>
    <s v="DR"/>
    <d v="2025-10-05T00:00:00"/>
    <d v="2025-10-10T00:00:00"/>
    <s v="NA"/>
    <n v="256779418402"/>
    <s v="USD"/>
    <n v="240.41"/>
    <s v="INR"/>
    <n v="21201.94"/>
    <n v="-4.8099999999999996"/>
    <n v="-240.41"/>
    <m/>
    <s v="PORT SSR Chgs Sep 25"/>
    <x v="1"/>
  </r>
  <r>
    <n v="1800013450"/>
    <s v="DR"/>
    <d v="2025-10-05T00:00:00"/>
    <d v="2025-10-07T00:00:00"/>
    <s v="NA"/>
    <n v="256779418026"/>
    <s v="USD"/>
    <n v="756"/>
    <s v="INR"/>
    <n v="66672.22"/>
    <n v="-75.59"/>
    <n v="-756"/>
    <m/>
    <s v="Fixed Storage Charges for October 2025"/>
    <x v="5"/>
  </r>
  <r>
    <n v="1800015699"/>
    <s v="DR"/>
    <d v="2026-01-02T00:00:00"/>
    <d v="2026-01-02T00:00:00"/>
    <s v="NA"/>
    <n v="256779440032"/>
    <s v="USD"/>
    <n v="756"/>
    <s v="INR"/>
    <n v="68601.81"/>
    <n v="-75.599999999999994"/>
    <n v="-756"/>
    <m/>
    <s v="Fixed Storage Charges for December 2025"/>
    <x v="1"/>
  </r>
  <r>
    <n v="1800016614"/>
    <s v="DR"/>
    <d v="2026-01-06T00:00:00"/>
    <d v="2026-01-13T00:00:00"/>
    <s v="NA"/>
    <n v="256779440323"/>
    <s v="USD"/>
    <n v="756"/>
    <s v="INR"/>
    <n v="68601.81"/>
    <n v="-75.599999999999994"/>
    <n v="-756"/>
    <m/>
    <s v="Fixed Storage Charges for January 20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6E142-107B-4173-B676-D8E77754830C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1:R11" firstHeaderRow="1" firstDataRow="1" firstDataCol="1"/>
  <pivotFields count="15">
    <pivotField showAll="0"/>
    <pivotField showAll="0"/>
    <pivotField numFmtId="14" showAll="0"/>
    <pivotField numFmtId="14" showAll="0"/>
    <pivotField showAll="0"/>
    <pivotField numFmtId="1" showAll="0"/>
    <pivotField showAll="0"/>
    <pivotField numFmtId="4" showAll="0"/>
    <pivotField showAll="0"/>
    <pivotField numFmtId="4" showAll="0"/>
    <pivotField dataField="1" showAll="0"/>
    <pivotField showAll="0"/>
    <pivotField showAll="0"/>
    <pivotField showAll="0"/>
    <pivotField axis="axisRow" showAll="0">
      <items count="10">
        <item x="4"/>
        <item x="1"/>
        <item x="6"/>
        <item x="7"/>
        <item x="8"/>
        <item x="2"/>
        <item x="3"/>
        <item x="0"/>
        <item x="5"/>
        <item t="default"/>
      </items>
    </pivotField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DS" fld="10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3C7C-5787-48B1-8C0D-6E6EF5EC77EC}">
  <sheetPr>
    <tabColor theme="5" tint="0.39997558519241921"/>
  </sheetPr>
  <dimension ref="A1:D12"/>
  <sheetViews>
    <sheetView tabSelected="1" workbookViewId="0">
      <selection activeCell="B9" sqref="B9"/>
    </sheetView>
  </sheetViews>
  <sheetFormatPr defaultRowHeight="14.5" x14ac:dyDescent="0.35"/>
  <cols>
    <col min="1" max="1" width="44" bestFit="1" customWidth="1"/>
    <col min="2" max="2" width="14.54296875" bestFit="1" customWidth="1"/>
    <col min="3" max="3" width="59.453125" bestFit="1" customWidth="1"/>
  </cols>
  <sheetData>
    <row r="1" spans="1:4" ht="15" thickBot="1" x14ac:dyDescent="0.4">
      <c r="A1" s="66" t="s">
        <v>174</v>
      </c>
      <c r="B1" s="67"/>
      <c r="C1" s="49"/>
    </row>
    <row r="2" spans="1:4" ht="15" thickBot="1" x14ac:dyDescent="0.4">
      <c r="A2" s="45" t="s">
        <v>175</v>
      </c>
      <c r="B2" s="50" t="s">
        <v>186</v>
      </c>
      <c r="C2" s="49"/>
    </row>
    <row r="3" spans="1:4" x14ac:dyDescent="0.35">
      <c r="A3" s="51" t="s">
        <v>180</v>
      </c>
      <c r="B3" s="55">
        <v>0</v>
      </c>
      <c r="C3" s="49"/>
    </row>
    <row r="4" spans="1:4" x14ac:dyDescent="0.35">
      <c r="A4" s="47" t="s">
        <v>181</v>
      </c>
      <c r="B4" s="56">
        <v>0</v>
      </c>
      <c r="C4" s="49" t="s">
        <v>182</v>
      </c>
    </row>
    <row r="5" spans="1:4" x14ac:dyDescent="0.35">
      <c r="A5" s="47" t="s">
        <v>183</v>
      </c>
      <c r="B5" s="52">
        <f>-'TDS Ledger'!H55+'Payment Reco'!J11</f>
        <v>428.66999999999939</v>
      </c>
      <c r="C5" s="49" t="s">
        <v>184</v>
      </c>
    </row>
    <row r="6" spans="1:4" x14ac:dyDescent="0.35">
      <c r="A6" s="47" t="s">
        <v>176</v>
      </c>
      <c r="B6" s="52">
        <f>'Invoice not in customers books'!F4</f>
        <v>112.61</v>
      </c>
      <c r="C6" s="49" t="s">
        <v>190</v>
      </c>
      <c r="D6" s="71"/>
    </row>
    <row r="7" spans="1:4" x14ac:dyDescent="0.35">
      <c r="A7" s="47" t="s">
        <v>177</v>
      </c>
      <c r="B7" s="52">
        <f>'Payment Reco'!D10</f>
        <v>1733.59</v>
      </c>
      <c r="C7" s="49" t="s">
        <v>187</v>
      </c>
      <c r="D7" s="71"/>
    </row>
    <row r="8" spans="1:4" x14ac:dyDescent="0.35">
      <c r="A8" s="47" t="s">
        <v>185</v>
      </c>
      <c r="B8" s="52">
        <f>-'Customer Ledger'!D55+0.02</f>
        <v>9.0900000000001064</v>
      </c>
      <c r="C8" s="49"/>
    </row>
    <row r="9" spans="1:4" x14ac:dyDescent="0.35">
      <c r="A9" s="47" t="s">
        <v>178</v>
      </c>
      <c r="B9" s="52">
        <f>SUM(B3:B8)</f>
        <v>2283.9599999999996</v>
      </c>
      <c r="C9" s="49"/>
    </row>
    <row r="10" spans="1:4" x14ac:dyDescent="0.35">
      <c r="A10" s="47" t="s">
        <v>179</v>
      </c>
      <c r="B10" s="52">
        <f>'CL Ledger'!H99</f>
        <v>2283.96</v>
      </c>
      <c r="C10" s="49"/>
    </row>
    <row r="11" spans="1:4" ht="15" thickBot="1" x14ac:dyDescent="0.4">
      <c r="A11" s="53"/>
      <c r="B11" s="57">
        <v>0</v>
      </c>
      <c r="C11" s="49"/>
    </row>
    <row r="12" spans="1:4" ht="15" thickBot="1" x14ac:dyDescent="0.4">
      <c r="A12" s="48" t="s">
        <v>169</v>
      </c>
      <c r="B12" s="46">
        <f>B9-B10-B11</f>
        <v>-4.5474735088646412E-13</v>
      </c>
      <c r="C12" s="49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A36C-824F-4678-897B-B509303C4238}">
  <sheetPr>
    <tabColor theme="4" tint="0.39997558519241921"/>
  </sheetPr>
  <dimension ref="A1:L55"/>
  <sheetViews>
    <sheetView workbookViewId="0">
      <selection activeCell="M2" sqref="M2"/>
    </sheetView>
  </sheetViews>
  <sheetFormatPr defaultRowHeight="14.5" x14ac:dyDescent="0.35"/>
  <cols>
    <col min="1" max="1" width="8.81640625" bestFit="1" customWidth="1"/>
    <col min="2" max="3" width="13.90625" bestFit="1" customWidth="1"/>
    <col min="4" max="4" width="10.36328125" customWidth="1"/>
    <col min="5" max="5" width="14.453125" customWidth="1"/>
    <col min="6" max="6" width="44.36328125" bestFit="1" customWidth="1"/>
    <col min="7" max="7" width="13.90625" bestFit="1" customWidth="1"/>
    <col min="8" max="8" width="9.453125" customWidth="1"/>
    <col min="9" max="9" width="9" customWidth="1"/>
    <col min="12" max="12" width="9.36328125" bestFit="1" customWidth="1"/>
  </cols>
  <sheetData>
    <row r="1" spans="1:12" s="22" customFormat="1" ht="58" x14ac:dyDescent="0.35">
      <c r="A1" s="20" t="s">
        <v>97</v>
      </c>
      <c r="B1" s="20" t="s">
        <v>5</v>
      </c>
      <c r="C1" s="20" t="s">
        <v>2</v>
      </c>
      <c r="D1" s="20" t="s">
        <v>98</v>
      </c>
      <c r="E1" s="20" t="s">
        <v>99</v>
      </c>
      <c r="F1" s="20" t="s">
        <v>11</v>
      </c>
      <c r="G1" s="21" t="s">
        <v>10</v>
      </c>
      <c r="H1" s="20" t="s">
        <v>100</v>
      </c>
      <c r="I1" s="20" t="s">
        <v>101</v>
      </c>
      <c r="J1" s="20" t="s">
        <v>156</v>
      </c>
      <c r="K1" s="20" t="s">
        <v>188</v>
      </c>
      <c r="L1" s="20" t="s">
        <v>189</v>
      </c>
    </row>
    <row r="2" spans="1:12" x14ac:dyDescent="0.35">
      <c r="A2" s="14" t="s">
        <v>102</v>
      </c>
      <c r="B2" s="14" t="s">
        <v>103</v>
      </c>
      <c r="C2" s="15">
        <v>45931</v>
      </c>
      <c r="D2" s="16">
        <v>2032.13</v>
      </c>
      <c r="E2" s="16">
        <v>180144.46</v>
      </c>
      <c r="F2" s="14" t="s">
        <v>104</v>
      </c>
      <c r="G2" s="17" t="s">
        <v>103</v>
      </c>
      <c r="H2" s="18">
        <v>0</v>
      </c>
      <c r="I2" s="18">
        <v>0</v>
      </c>
      <c r="J2" s="32" t="s">
        <v>160</v>
      </c>
      <c r="K2" s="36">
        <f>E2/D2</f>
        <v>88.64809830079767</v>
      </c>
      <c r="L2" s="37">
        <f>H2*K2</f>
        <v>0</v>
      </c>
    </row>
    <row r="3" spans="1:12" x14ac:dyDescent="0.35">
      <c r="A3" s="14" t="s">
        <v>102</v>
      </c>
      <c r="B3" s="17">
        <v>256779414933</v>
      </c>
      <c r="C3" s="15">
        <v>45842</v>
      </c>
      <c r="D3" s="19">
        <v>-680.4</v>
      </c>
      <c r="E3" s="19">
        <v>-60470.35</v>
      </c>
      <c r="F3" s="14" t="s">
        <v>105</v>
      </c>
      <c r="G3" s="17">
        <v>256779414933</v>
      </c>
      <c r="H3" s="19">
        <v>-75.599999999999994</v>
      </c>
      <c r="I3" s="19">
        <v>-756</v>
      </c>
      <c r="J3" s="32">
        <f>_xlfn.XLOOKUP('Customer Ledger'!B3,'CL Ledger'!$F:$F,'CL Ledger'!$H:$H,,0)</f>
        <v>756</v>
      </c>
      <c r="K3" s="36">
        <f t="shared" ref="K3:K54" si="0">E3/D3</f>
        <v>88.874706055261612</v>
      </c>
      <c r="L3" s="37">
        <f t="shared" ref="L3:L54" si="1">H3*K3</f>
        <v>-6718.927777777777</v>
      </c>
    </row>
    <row r="4" spans="1:12" x14ac:dyDescent="0.35">
      <c r="A4" s="14" t="s">
        <v>102</v>
      </c>
      <c r="B4" s="17">
        <v>256779416044</v>
      </c>
      <c r="C4" s="15">
        <v>45870</v>
      </c>
      <c r="D4" s="19">
        <v>-680.4</v>
      </c>
      <c r="E4" s="19">
        <v>-60470.35</v>
      </c>
      <c r="F4" s="14" t="s">
        <v>106</v>
      </c>
      <c r="G4" s="17">
        <v>256779416044</v>
      </c>
      <c r="H4" s="19">
        <v>-75.599999999999994</v>
      </c>
      <c r="I4" s="19">
        <v>-756</v>
      </c>
      <c r="J4" s="32">
        <f>_xlfn.XLOOKUP('Customer Ledger'!B4,'CL Ledger'!$F:$F,'CL Ledger'!$H:$H,,0)</f>
        <v>756</v>
      </c>
      <c r="K4" s="36">
        <f t="shared" si="0"/>
        <v>88.874706055261612</v>
      </c>
      <c r="L4" s="37">
        <f t="shared" si="1"/>
        <v>-6718.927777777777</v>
      </c>
    </row>
    <row r="5" spans="1:12" x14ac:dyDescent="0.35">
      <c r="A5" s="14" t="s">
        <v>102</v>
      </c>
      <c r="B5" s="17">
        <v>256779417363</v>
      </c>
      <c r="C5" s="15">
        <v>45904</v>
      </c>
      <c r="D5" s="19">
        <v>-680.4</v>
      </c>
      <c r="E5" s="19">
        <v>-60470.35</v>
      </c>
      <c r="F5" s="14" t="s">
        <v>107</v>
      </c>
      <c r="G5" s="17">
        <v>256779417363</v>
      </c>
      <c r="H5" s="19">
        <v>-75.599999999999994</v>
      </c>
      <c r="I5" s="19">
        <v>-756</v>
      </c>
      <c r="J5" s="32">
        <f>_xlfn.XLOOKUP('Customer Ledger'!B5,'CL Ledger'!$F:$F,'CL Ledger'!$H:$H,,0)</f>
        <v>756</v>
      </c>
      <c r="K5" s="36">
        <f t="shared" si="0"/>
        <v>88.874706055261612</v>
      </c>
      <c r="L5" s="37">
        <f t="shared" si="1"/>
        <v>-6718.927777777777</v>
      </c>
    </row>
    <row r="6" spans="1:12" x14ac:dyDescent="0.35">
      <c r="A6" s="14" t="s">
        <v>102</v>
      </c>
      <c r="B6" s="17" t="s">
        <v>108</v>
      </c>
      <c r="C6" s="15">
        <v>45869</v>
      </c>
      <c r="D6" s="16">
        <v>750.97</v>
      </c>
      <c r="E6" s="16">
        <v>65857.88</v>
      </c>
      <c r="F6" s="14" t="s">
        <v>109</v>
      </c>
      <c r="G6" s="17" t="s">
        <v>108</v>
      </c>
      <c r="H6" s="18">
        <v>0</v>
      </c>
      <c r="I6" s="16">
        <v>834.4</v>
      </c>
      <c r="J6" s="32" t="s">
        <v>160</v>
      </c>
      <c r="K6" s="36">
        <f t="shared" si="0"/>
        <v>87.697085103266446</v>
      </c>
      <c r="L6" s="37">
        <f t="shared" si="1"/>
        <v>0</v>
      </c>
    </row>
    <row r="7" spans="1:12" x14ac:dyDescent="0.35">
      <c r="A7" s="14" t="s">
        <v>102</v>
      </c>
      <c r="B7" s="17" t="s">
        <v>108</v>
      </c>
      <c r="C7" s="15">
        <v>45869</v>
      </c>
      <c r="D7" s="16">
        <v>7484.4</v>
      </c>
      <c r="E7" s="16">
        <v>656363.29</v>
      </c>
      <c r="F7" s="14" t="s">
        <v>110</v>
      </c>
      <c r="G7" s="17" t="s">
        <v>13</v>
      </c>
      <c r="H7" s="18">
        <v>0</v>
      </c>
      <c r="I7" s="16">
        <v>8316</v>
      </c>
      <c r="J7" s="32" t="s">
        <v>160</v>
      </c>
      <c r="K7" s="36">
        <f t="shared" si="0"/>
        <v>87.697516166960625</v>
      </c>
      <c r="L7" s="37">
        <f t="shared" si="1"/>
        <v>0</v>
      </c>
    </row>
    <row r="8" spans="1:12" x14ac:dyDescent="0.35">
      <c r="A8" s="14" t="s">
        <v>102</v>
      </c>
      <c r="B8" s="17">
        <v>256779415405</v>
      </c>
      <c r="C8" s="15">
        <v>45854</v>
      </c>
      <c r="D8" s="19">
        <v>-750.97</v>
      </c>
      <c r="E8" s="19">
        <v>-65857.88</v>
      </c>
      <c r="F8" s="14" t="s">
        <v>111</v>
      </c>
      <c r="G8" s="17">
        <v>256779415405</v>
      </c>
      <c r="H8" s="19">
        <v>-83.43</v>
      </c>
      <c r="I8" s="19">
        <v>-834.4</v>
      </c>
      <c r="J8" s="32">
        <f>_xlfn.XLOOKUP('Customer Ledger'!B8,'CL Ledger'!$F:$F,'CL Ledger'!$H:$H,,0)</f>
        <v>834.4</v>
      </c>
      <c r="K8" s="36">
        <f t="shared" si="0"/>
        <v>87.697085103266446</v>
      </c>
      <c r="L8" s="37">
        <f t="shared" si="1"/>
        <v>-7316.5678101655203</v>
      </c>
    </row>
    <row r="9" spans="1:12" x14ac:dyDescent="0.35">
      <c r="A9" s="14" t="s">
        <v>102</v>
      </c>
      <c r="B9" s="17">
        <v>256779415404</v>
      </c>
      <c r="C9" s="15">
        <v>45854</v>
      </c>
      <c r="D9" s="19">
        <v>-680.4</v>
      </c>
      <c r="E9" s="19">
        <v>-59669.39</v>
      </c>
      <c r="F9" s="14" t="s">
        <v>112</v>
      </c>
      <c r="G9" s="17">
        <v>256779415404</v>
      </c>
      <c r="H9" s="19">
        <v>-75.599999999999994</v>
      </c>
      <c r="I9" s="19">
        <v>-756</v>
      </c>
      <c r="J9" s="32">
        <f>_xlfn.XLOOKUP('Customer Ledger'!B9,'CL Ledger'!$F:$F,'CL Ledger'!$H:$H,,0)</f>
        <v>756</v>
      </c>
      <c r="K9" s="36">
        <f t="shared" si="0"/>
        <v>87.697516166960611</v>
      </c>
      <c r="L9" s="37">
        <f t="shared" si="1"/>
        <v>-6629.9322222222218</v>
      </c>
    </row>
    <row r="10" spans="1:12" x14ac:dyDescent="0.35">
      <c r="A10" s="14" t="s">
        <v>102</v>
      </c>
      <c r="B10" s="17">
        <v>256779415402</v>
      </c>
      <c r="C10" s="15">
        <v>45854</v>
      </c>
      <c r="D10" s="19">
        <v>-680.4</v>
      </c>
      <c r="E10" s="19">
        <v>-59669.39</v>
      </c>
      <c r="F10" s="14" t="s">
        <v>113</v>
      </c>
      <c r="G10" s="17">
        <v>256779415402</v>
      </c>
      <c r="H10" s="19">
        <v>-75.599999999999994</v>
      </c>
      <c r="I10" s="19">
        <v>-756</v>
      </c>
      <c r="J10" s="32">
        <f>_xlfn.XLOOKUP('Customer Ledger'!B10,'CL Ledger'!$F:$F,'CL Ledger'!$H:$H,,0)</f>
        <v>756</v>
      </c>
      <c r="K10" s="36">
        <f t="shared" si="0"/>
        <v>87.697516166960611</v>
      </c>
      <c r="L10" s="37">
        <f t="shared" si="1"/>
        <v>-6629.9322222222218</v>
      </c>
    </row>
    <row r="11" spans="1:12" x14ac:dyDescent="0.35">
      <c r="A11" s="14" t="s">
        <v>102</v>
      </c>
      <c r="B11" s="17">
        <v>256779415403</v>
      </c>
      <c r="C11" s="15">
        <v>45854</v>
      </c>
      <c r="D11" s="19">
        <v>-680.4</v>
      </c>
      <c r="E11" s="19">
        <v>-59669.39</v>
      </c>
      <c r="F11" s="14" t="s">
        <v>114</v>
      </c>
      <c r="G11" s="17">
        <v>256779415403</v>
      </c>
      <c r="H11" s="19">
        <v>-75.599999999999994</v>
      </c>
      <c r="I11" s="19">
        <v>-756</v>
      </c>
      <c r="J11" s="32">
        <f>_xlfn.XLOOKUP('Customer Ledger'!B11,'CL Ledger'!$F:$F,'CL Ledger'!$H:$H,,0)</f>
        <v>756</v>
      </c>
      <c r="K11" s="36">
        <f t="shared" si="0"/>
        <v>87.697516166960611</v>
      </c>
      <c r="L11" s="37">
        <f t="shared" si="1"/>
        <v>-6629.9322222222218</v>
      </c>
    </row>
    <row r="12" spans="1:12" x14ac:dyDescent="0.35">
      <c r="A12" s="14" t="s">
        <v>102</v>
      </c>
      <c r="B12" s="17">
        <v>256779415401</v>
      </c>
      <c r="C12" s="15">
        <v>45854</v>
      </c>
      <c r="D12" s="19">
        <v>-680.4</v>
      </c>
      <c r="E12" s="19">
        <v>-59669.39</v>
      </c>
      <c r="F12" s="14" t="s">
        <v>115</v>
      </c>
      <c r="G12" s="17">
        <v>256779415401</v>
      </c>
      <c r="H12" s="19">
        <v>-75.599999999999994</v>
      </c>
      <c r="I12" s="19">
        <v>-756</v>
      </c>
      <c r="J12" s="32">
        <f>_xlfn.XLOOKUP('Customer Ledger'!B12,'CL Ledger'!$F:$F,'CL Ledger'!$H:$H,,0)</f>
        <v>756</v>
      </c>
      <c r="K12" s="36">
        <f t="shared" si="0"/>
        <v>87.697516166960611</v>
      </c>
      <c r="L12" s="37">
        <f t="shared" si="1"/>
        <v>-6629.9322222222218</v>
      </c>
    </row>
    <row r="13" spans="1:12" x14ac:dyDescent="0.35">
      <c r="A13" s="14" t="s">
        <v>102</v>
      </c>
      <c r="B13" s="17">
        <v>256779415400</v>
      </c>
      <c r="C13" s="15">
        <v>45854</v>
      </c>
      <c r="D13" s="19">
        <v>-680.4</v>
      </c>
      <c r="E13" s="19">
        <v>-59669.39</v>
      </c>
      <c r="F13" s="14" t="s">
        <v>116</v>
      </c>
      <c r="G13" s="17">
        <v>256779415400</v>
      </c>
      <c r="H13" s="19">
        <v>-75.599999999999994</v>
      </c>
      <c r="I13" s="19">
        <v>-756</v>
      </c>
      <c r="J13" s="32">
        <f>_xlfn.XLOOKUP('Customer Ledger'!B13,'CL Ledger'!$F:$F,'CL Ledger'!$H:$H,,0)</f>
        <v>756</v>
      </c>
      <c r="K13" s="36">
        <f t="shared" si="0"/>
        <v>87.697516166960611</v>
      </c>
      <c r="L13" s="37">
        <f t="shared" si="1"/>
        <v>-6629.9322222222218</v>
      </c>
    </row>
    <row r="14" spans="1:12" x14ac:dyDescent="0.35">
      <c r="A14" s="14" t="s">
        <v>102</v>
      </c>
      <c r="B14" s="17">
        <v>256779415399</v>
      </c>
      <c r="C14" s="15">
        <v>45854</v>
      </c>
      <c r="D14" s="19">
        <v>-680.4</v>
      </c>
      <c r="E14" s="19">
        <v>-59669.39</v>
      </c>
      <c r="F14" s="14" t="s">
        <v>117</v>
      </c>
      <c r="G14" s="17">
        <v>256779415399</v>
      </c>
      <c r="H14" s="19">
        <v>-75.599999999999994</v>
      </c>
      <c r="I14" s="19">
        <v>-756</v>
      </c>
      <c r="J14" s="32">
        <f>_xlfn.XLOOKUP('Customer Ledger'!B14,'CL Ledger'!$F:$F,'CL Ledger'!$H:$H,,0)</f>
        <v>756</v>
      </c>
      <c r="K14" s="36">
        <f t="shared" si="0"/>
        <v>87.697516166960611</v>
      </c>
      <c r="L14" s="37">
        <f t="shared" si="1"/>
        <v>-6629.9322222222218</v>
      </c>
    </row>
    <row r="15" spans="1:12" x14ac:dyDescent="0.35">
      <c r="A15" s="14" t="s">
        <v>102</v>
      </c>
      <c r="B15" s="17">
        <v>256779415398</v>
      </c>
      <c r="C15" s="15">
        <v>45854</v>
      </c>
      <c r="D15" s="19">
        <v>-680.4</v>
      </c>
      <c r="E15" s="19">
        <v>-59669.39</v>
      </c>
      <c r="F15" s="14" t="s">
        <v>111</v>
      </c>
      <c r="G15" s="17">
        <v>256779415398</v>
      </c>
      <c r="H15" s="19">
        <v>-75.599999999999994</v>
      </c>
      <c r="I15" s="19">
        <v>-756</v>
      </c>
      <c r="J15" s="32">
        <f>_xlfn.XLOOKUP('Customer Ledger'!B15,'CL Ledger'!$F:$F,'CL Ledger'!$H:$H,,0)</f>
        <v>756</v>
      </c>
      <c r="K15" s="36">
        <f t="shared" si="0"/>
        <v>87.697516166960611</v>
      </c>
      <c r="L15" s="37">
        <f t="shared" si="1"/>
        <v>-6629.9322222222218</v>
      </c>
    </row>
    <row r="16" spans="1:12" x14ac:dyDescent="0.35">
      <c r="A16" s="14" t="s">
        <v>102</v>
      </c>
      <c r="B16" s="17">
        <v>256779415397</v>
      </c>
      <c r="C16" s="15">
        <v>45854</v>
      </c>
      <c r="D16" s="19">
        <v>-680.4</v>
      </c>
      <c r="E16" s="19">
        <v>-59669.39</v>
      </c>
      <c r="F16" s="14" t="s">
        <v>118</v>
      </c>
      <c r="G16" s="17">
        <v>256779415397</v>
      </c>
      <c r="H16" s="19">
        <v>-75.599999999999994</v>
      </c>
      <c r="I16" s="19">
        <v>-756</v>
      </c>
      <c r="J16" s="32">
        <f>_xlfn.XLOOKUP('Customer Ledger'!B16,'CL Ledger'!$F:$F,'CL Ledger'!$H:$H,,0)</f>
        <v>756</v>
      </c>
      <c r="K16" s="36">
        <f t="shared" si="0"/>
        <v>87.697516166960611</v>
      </c>
      <c r="L16" s="37">
        <f t="shared" si="1"/>
        <v>-6629.9322222222218</v>
      </c>
    </row>
    <row r="17" spans="1:12" x14ac:dyDescent="0.35">
      <c r="A17" s="14" t="s">
        <v>102</v>
      </c>
      <c r="B17" s="17">
        <v>256779412157</v>
      </c>
      <c r="C17" s="15">
        <v>45768</v>
      </c>
      <c r="D17" s="19">
        <v>-680.4</v>
      </c>
      <c r="E17" s="19">
        <v>-59669.39</v>
      </c>
      <c r="F17" s="14" t="s">
        <v>119</v>
      </c>
      <c r="G17" s="17">
        <v>256779412157</v>
      </c>
      <c r="H17" s="19">
        <v>-75.599999999999994</v>
      </c>
      <c r="I17" s="19">
        <v>-756</v>
      </c>
      <c r="J17" s="32">
        <f>_xlfn.XLOOKUP('Customer Ledger'!B17,'CL Ledger'!$F:$F,'CL Ledger'!$H:$H,,0)</f>
        <v>756</v>
      </c>
      <c r="K17" s="36">
        <f t="shared" si="0"/>
        <v>87.697516166960611</v>
      </c>
      <c r="L17" s="37">
        <f t="shared" si="1"/>
        <v>-6629.9322222222218</v>
      </c>
    </row>
    <row r="18" spans="1:12" x14ac:dyDescent="0.35">
      <c r="A18" s="14" t="s">
        <v>102</v>
      </c>
      <c r="B18" s="17">
        <v>256779413116</v>
      </c>
      <c r="C18" s="15">
        <v>45787</v>
      </c>
      <c r="D18" s="19">
        <v>-680.4</v>
      </c>
      <c r="E18" s="19">
        <v>-59669.39</v>
      </c>
      <c r="F18" s="14" t="s">
        <v>120</v>
      </c>
      <c r="G18" s="17">
        <v>256779413116</v>
      </c>
      <c r="H18" s="19">
        <v>-75.599999999999994</v>
      </c>
      <c r="I18" s="19">
        <v>-756</v>
      </c>
      <c r="J18" s="32">
        <f>_xlfn.XLOOKUP('Customer Ledger'!B18,'CL Ledger'!$F:$F,'CL Ledger'!$H:$H,,0)</f>
        <v>756</v>
      </c>
      <c r="K18" s="36">
        <f t="shared" si="0"/>
        <v>87.697516166960611</v>
      </c>
      <c r="L18" s="37">
        <f t="shared" si="1"/>
        <v>-6629.9322222222218</v>
      </c>
    </row>
    <row r="19" spans="1:12" x14ac:dyDescent="0.35">
      <c r="A19" s="14" t="s">
        <v>102</v>
      </c>
      <c r="B19" s="17">
        <v>256779414375</v>
      </c>
      <c r="C19" s="15">
        <v>45818</v>
      </c>
      <c r="D19" s="19">
        <v>-680.4</v>
      </c>
      <c r="E19" s="19">
        <v>-59669.39</v>
      </c>
      <c r="F19" s="14" t="s">
        <v>121</v>
      </c>
      <c r="G19" s="17">
        <v>256779414375</v>
      </c>
      <c r="H19" s="19">
        <v>-75.599999999999994</v>
      </c>
      <c r="I19" s="19">
        <v>-756</v>
      </c>
      <c r="J19" s="32">
        <f>_xlfn.XLOOKUP('Customer Ledger'!B19,'CL Ledger'!$F:$F,'CL Ledger'!$H:$H,,0)</f>
        <v>756</v>
      </c>
      <c r="K19" s="36">
        <f t="shared" si="0"/>
        <v>87.697516166960611</v>
      </c>
      <c r="L19" s="37">
        <f t="shared" si="1"/>
        <v>-6629.9322222222218</v>
      </c>
    </row>
    <row r="20" spans="1:12" x14ac:dyDescent="0.35">
      <c r="A20" s="14" t="s">
        <v>102</v>
      </c>
      <c r="B20" s="17" t="s">
        <v>122</v>
      </c>
      <c r="C20" s="15">
        <v>45898</v>
      </c>
      <c r="D20" s="16">
        <v>411.6</v>
      </c>
      <c r="E20" s="16">
        <v>36049.56</v>
      </c>
      <c r="F20" s="14" t="s">
        <v>123</v>
      </c>
      <c r="G20" s="17"/>
      <c r="H20" s="18">
        <v>0</v>
      </c>
      <c r="I20" s="16">
        <v>420</v>
      </c>
      <c r="J20" s="32" t="s">
        <v>160</v>
      </c>
      <c r="K20" s="36">
        <f t="shared" si="0"/>
        <v>87.583965014577245</v>
      </c>
      <c r="L20" s="37">
        <f t="shared" si="1"/>
        <v>0</v>
      </c>
    </row>
    <row r="21" spans="1:12" x14ac:dyDescent="0.35">
      <c r="A21" s="14" t="s">
        <v>102</v>
      </c>
      <c r="B21" s="17">
        <v>256779411605</v>
      </c>
      <c r="C21" s="15">
        <v>45762</v>
      </c>
      <c r="D21" s="19">
        <v>-137.19999999999999</v>
      </c>
      <c r="E21" s="19">
        <v>-12016.52</v>
      </c>
      <c r="F21" s="14" t="s">
        <v>124</v>
      </c>
      <c r="G21" s="17">
        <v>256779411605</v>
      </c>
      <c r="H21" s="19">
        <v>-2.8</v>
      </c>
      <c r="I21" s="19">
        <v>-140</v>
      </c>
      <c r="J21" s="32">
        <f>_xlfn.XLOOKUP('Customer Ledger'!B21,'CL Ledger'!$F:$F,'CL Ledger'!$H:$H,,0)</f>
        <v>140</v>
      </c>
      <c r="K21" s="36">
        <f t="shared" si="0"/>
        <v>87.583965014577274</v>
      </c>
      <c r="L21" s="37">
        <f t="shared" si="1"/>
        <v>-245.23510204081634</v>
      </c>
    </row>
    <row r="22" spans="1:12" x14ac:dyDescent="0.35">
      <c r="A22" s="14" t="s">
        <v>102</v>
      </c>
      <c r="B22" s="17">
        <v>256779411604</v>
      </c>
      <c r="C22" s="15">
        <v>45762</v>
      </c>
      <c r="D22" s="19">
        <v>-137.19999999999999</v>
      </c>
      <c r="E22" s="19">
        <v>-12016.52</v>
      </c>
      <c r="F22" s="14" t="s">
        <v>124</v>
      </c>
      <c r="G22" s="17">
        <v>256779411604</v>
      </c>
      <c r="H22" s="19">
        <v>-2.8</v>
      </c>
      <c r="I22" s="19">
        <v>-140</v>
      </c>
      <c r="J22" s="32">
        <f>_xlfn.XLOOKUP('Customer Ledger'!B22,'CL Ledger'!$F:$F,'CL Ledger'!$H:$H,,0)</f>
        <v>140</v>
      </c>
      <c r="K22" s="36">
        <f t="shared" si="0"/>
        <v>87.583965014577274</v>
      </c>
      <c r="L22" s="37">
        <f t="shared" si="1"/>
        <v>-245.23510204081634</v>
      </c>
    </row>
    <row r="23" spans="1:12" x14ac:dyDescent="0.35">
      <c r="A23" s="14" t="s">
        <v>102</v>
      </c>
      <c r="B23" s="17">
        <v>256779415396</v>
      </c>
      <c r="C23" s="15">
        <v>45854</v>
      </c>
      <c r="D23" s="19">
        <v>-137.19999999999999</v>
      </c>
      <c r="E23" s="19">
        <v>-12016.52</v>
      </c>
      <c r="F23" s="14" t="s">
        <v>125</v>
      </c>
      <c r="G23" s="17"/>
      <c r="H23" s="19">
        <v>-2.8</v>
      </c>
      <c r="I23" s="19">
        <v>-140</v>
      </c>
      <c r="J23" s="32">
        <f>_xlfn.XLOOKUP('Customer Ledger'!B23,'CL Ledger'!$F:$F,'CL Ledger'!$H:$H,,0)</f>
        <v>140</v>
      </c>
      <c r="K23" s="36">
        <f t="shared" si="0"/>
        <v>87.583965014577274</v>
      </c>
      <c r="L23" s="37">
        <f t="shared" si="1"/>
        <v>-245.23510204081634</v>
      </c>
    </row>
    <row r="24" spans="1:12" x14ac:dyDescent="0.35">
      <c r="A24" s="14" t="s">
        <v>102</v>
      </c>
      <c r="B24" s="17">
        <v>256779411605</v>
      </c>
      <c r="C24" s="15">
        <v>45762</v>
      </c>
      <c r="D24" s="16">
        <v>137.19999999999999</v>
      </c>
      <c r="E24" s="16">
        <v>12016.52</v>
      </c>
      <c r="F24" s="14" t="s">
        <v>124</v>
      </c>
      <c r="G24" s="17">
        <v>256779411605</v>
      </c>
      <c r="H24" s="16">
        <v>2.8</v>
      </c>
      <c r="I24" s="16">
        <v>140</v>
      </c>
      <c r="J24" s="32">
        <f>_xlfn.XLOOKUP('Customer Ledger'!B24,'CL Ledger'!$F:$F,'CL Ledger'!$H:$H,,0)</f>
        <v>140</v>
      </c>
      <c r="K24" s="36">
        <f t="shared" si="0"/>
        <v>87.583965014577274</v>
      </c>
      <c r="L24" s="37">
        <f t="shared" si="1"/>
        <v>245.23510204081634</v>
      </c>
    </row>
    <row r="25" spans="1:12" x14ac:dyDescent="0.35">
      <c r="A25" s="14" t="s">
        <v>102</v>
      </c>
      <c r="B25" s="17">
        <v>256779411604</v>
      </c>
      <c r="C25" s="15">
        <v>45762</v>
      </c>
      <c r="D25" s="16">
        <v>137.19999999999999</v>
      </c>
      <c r="E25" s="16">
        <v>12016.52</v>
      </c>
      <c r="F25" s="14" t="s">
        <v>124</v>
      </c>
      <c r="G25" s="17">
        <v>256779411604</v>
      </c>
      <c r="H25" s="16">
        <v>2.8</v>
      </c>
      <c r="I25" s="16">
        <v>140</v>
      </c>
      <c r="J25" s="32">
        <f>_xlfn.XLOOKUP('Customer Ledger'!B25,'CL Ledger'!$F:$F,'CL Ledger'!$H:$H,,0)</f>
        <v>140</v>
      </c>
      <c r="K25" s="36">
        <f t="shared" si="0"/>
        <v>87.583965014577274</v>
      </c>
      <c r="L25" s="37">
        <f t="shared" si="1"/>
        <v>245.23510204081634</v>
      </c>
    </row>
    <row r="26" spans="1:12" x14ac:dyDescent="0.35">
      <c r="A26" s="14" t="s">
        <v>102</v>
      </c>
      <c r="B26" s="17">
        <v>256779411605</v>
      </c>
      <c r="C26" s="15">
        <v>45397</v>
      </c>
      <c r="D26" s="19">
        <v>-137.19999999999999</v>
      </c>
      <c r="E26" s="19">
        <v>-12016.52</v>
      </c>
      <c r="F26" s="14" t="s">
        <v>124</v>
      </c>
      <c r="G26" s="17">
        <v>256779411605</v>
      </c>
      <c r="H26" s="19">
        <v>-2.8</v>
      </c>
      <c r="I26" s="19">
        <v>-140</v>
      </c>
      <c r="J26" s="32">
        <f>_xlfn.XLOOKUP('Customer Ledger'!B26,'CL Ledger'!$F:$F,'CL Ledger'!$H:$H,,0)</f>
        <v>140</v>
      </c>
      <c r="K26" s="36">
        <f t="shared" si="0"/>
        <v>87.583965014577274</v>
      </c>
      <c r="L26" s="37">
        <f t="shared" si="1"/>
        <v>-245.23510204081634</v>
      </c>
    </row>
    <row r="27" spans="1:12" x14ac:dyDescent="0.35">
      <c r="A27" s="14" t="s">
        <v>102</v>
      </c>
      <c r="B27" s="17">
        <v>256779411604</v>
      </c>
      <c r="C27" s="15">
        <v>45762</v>
      </c>
      <c r="D27" s="19">
        <v>-137.19999999999999</v>
      </c>
      <c r="E27" s="19">
        <v>-12016.52</v>
      </c>
      <c r="F27" s="14" t="s">
        <v>124</v>
      </c>
      <c r="G27" s="17">
        <v>256779411604</v>
      </c>
      <c r="H27" s="19">
        <v>-2.8</v>
      </c>
      <c r="I27" s="19">
        <v>-140</v>
      </c>
      <c r="J27" s="32">
        <f>_xlfn.XLOOKUP('Customer Ledger'!B27,'CL Ledger'!$F:$F,'CL Ledger'!$H:$H,,0)</f>
        <v>140</v>
      </c>
      <c r="K27" s="36">
        <f t="shared" si="0"/>
        <v>87.583965014577274</v>
      </c>
      <c r="L27" s="37">
        <f t="shared" si="1"/>
        <v>-245.23510204081634</v>
      </c>
    </row>
    <row r="28" spans="1:12" x14ac:dyDescent="0.35">
      <c r="A28" s="14" t="s">
        <v>102</v>
      </c>
      <c r="B28" s="17" t="s">
        <v>126</v>
      </c>
      <c r="C28" s="15">
        <v>45931</v>
      </c>
      <c r="D28" s="16">
        <v>1478.15</v>
      </c>
      <c r="E28" s="16">
        <v>130858.37</v>
      </c>
      <c r="F28" s="14" t="s">
        <v>127</v>
      </c>
      <c r="G28" s="17"/>
      <c r="H28" s="18">
        <v>0</v>
      </c>
      <c r="I28" s="16">
        <v>1508.31</v>
      </c>
      <c r="J28" s="32" t="s">
        <v>160</v>
      </c>
      <c r="K28" s="36">
        <f t="shared" si="0"/>
        <v>88.528478165274151</v>
      </c>
      <c r="L28" s="37">
        <f t="shared" si="1"/>
        <v>0</v>
      </c>
    </row>
    <row r="29" spans="1:12" x14ac:dyDescent="0.35">
      <c r="A29" s="14" t="s">
        <v>102</v>
      </c>
      <c r="B29" s="17">
        <v>256779416818</v>
      </c>
      <c r="C29" s="15">
        <v>45889</v>
      </c>
      <c r="D29" s="19">
        <v>-470.4</v>
      </c>
      <c r="E29" s="19">
        <v>-41294.519999999997</v>
      </c>
      <c r="F29" s="14" t="s">
        <v>128</v>
      </c>
      <c r="G29" s="17">
        <v>256779416818</v>
      </c>
      <c r="H29" s="19">
        <v>-9.6</v>
      </c>
      <c r="I29" s="19">
        <v>-480</v>
      </c>
      <c r="J29" s="32">
        <f>_xlfn.XLOOKUP('Customer Ledger'!B29,'CL Ledger'!$F:$F,'CL Ledger'!$H:$H,,0)</f>
        <v>480</v>
      </c>
      <c r="K29" s="36">
        <f t="shared" si="0"/>
        <v>87.785969387755102</v>
      </c>
      <c r="L29" s="37">
        <f t="shared" si="1"/>
        <v>-842.74530612244894</v>
      </c>
    </row>
    <row r="30" spans="1:12" x14ac:dyDescent="0.35">
      <c r="A30" s="14" t="s">
        <v>102</v>
      </c>
      <c r="B30" s="17">
        <v>256779417208</v>
      </c>
      <c r="C30" s="15">
        <v>45870</v>
      </c>
      <c r="D30" s="19">
        <v>-62.03</v>
      </c>
      <c r="E30" s="19">
        <v>-5512.89</v>
      </c>
      <c r="F30" s="14" t="s">
        <v>129</v>
      </c>
      <c r="G30" s="17">
        <v>256779417208</v>
      </c>
      <c r="H30" s="19">
        <v>-1.26</v>
      </c>
      <c r="I30" s="19">
        <v>-63.29</v>
      </c>
      <c r="J30" s="32">
        <f>_xlfn.XLOOKUP('Customer Ledger'!B30,'CL Ledger'!$F:$F,'CL Ledger'!$H:$H,,0)</f>
        <v>63.29</v>
      </c>
      <c r="K30" s="36">
        <f t="shared" si="0"/>
        <v>88.874576817668867</v>
      </c>
      <c r="L30" s="37">
        <f t="shared" si="1"/>
        <v>-111.98196679026277</v>
      </c>
    </row>
    <row r="31" spans="1:12" x14ac:dyDescent="0.35">
      <c r="A31" s="14" t="s">
        <v>102</v>
      </c>
      <c r="B31" s="17">
        <v>256779415049</v>
      </c>
      <c r="C31" s="15">
        <v>45842</v>
      </c>
      <c r="D31" s="19">
        <v>-17.190000000000001</v>
      </c>
      <c r="E31" s="19">
        <v>-1527.86</v>
      </c>
      <c r="F31" s="14" t="s">
        <v>130</v>
      </c>
      <c r="G31" s="17">
        <v>256779415049</v>
      </c>
      <c r="H31" s="19">
        <v>-0.35</v>
      </c>
      <c r="I31" s="19">
        <v>-17.54</v>
      </c>
      <c r="J31" s="32">
        <f>_xlfn.XLOOKUP('Customer Ledger'!B31,'CL Ledger'!$F:$F,'CL Ledger'!$H:$H,,0)</f>
        <v>17.54</v>
      </c>
      <c r="K31" s="36">
        <f t="shared" si="0"/>
        <v>88.880744618964499</v>
      </c>
      <c r="L31" s="37">
        <f t="shared" si="1"/>
        <v>-31.108260616637573</v>
      </c>
    </row>
    <row r="32" spans="1:12" x14ac:dyDescent="0.35">
      <c r="A32" s="14" t="s">
        <v>102</v>
      </c>
      <c r="B32" s="17">
        <v>256779417246</v>
      </c>
      <c r="C32" s="15">
        <v>45904</v>
      </c>
      <c r="D32" s="19">
        <v>-179.87</v>
      </c>
      <c r="E32" s="19">
        <v>-15986.08</v>
      </c>
      <c r="F32" s="14" t="s">
        <v>131</v>
      </c>
      <c r="G32" s="17">
        <v>256779417246</v>
      </c>
      <c r="H32" s="19">
        <v>-3.67</v>
      </c>
      <c r="I32" s="19">
        <v>-183.54</v>
      </c>
      <c r="J32" s="32">
        <f>_xlfn.XLOOKUP('Customer Ledger'!B32,'CL Ledger'!$F:$F,'CL Ledger'!$H:$H,,0)</f>
        <v>183.54</v>
      </c>
      <c r="K32" s="36">
        <f t="shared" si="0"/>
        <v>88.875743592594645</v>
      </c>
      <c r="L32" s="37">
        <f t="shared" si="1"/>
        <v>-326.17397898482233</v>
      </c>
    </row>
    <row r="33" spans="1:12" x14ac:dyDescent="0.35">
      <c r="A33" s="14" t="s">
        <v>102</v>
      </c>
      <c r="B33" s="17">
        <v>256779417329</v>
      </c>
      <c r="C33" s="15">
        <v>45914</v>
      </c>
      <c r="D33" s="19">
        <v>-86.21</v>
      </c>
      <c r="E33" s="19">
        <v>-7662.32</v>
      </c>
      <c r="F33" s="14" t="s">
        <v>132</v>
      </c>
      <c r="G33" s="17">
        <v>256779417329</v>
      </c>
      <c r="H33" s="19">
        <v>-1.76</v>
      </c>
      <c r="I33" s="19">
        <v>-87.97</v>
      </c>
      <c r="J33" s="32">
        <f>_xlfn.XLOOKUP('Customer Ledger'!B33,'CL Ledger'!$F:$F,'CL Ledger'!$H:$H,,0)</f>
        <v>87.97</v>
      </c>
      <c r="K33" s="36">
        <f t="shared" si="0"/>
        <v>88.879712330356114</v>
      </c>
      <c r="L33" s="37">
        <f t="shared" si="1"/>
        <v>-156.42829370142675</v>
      </c>
    </row>
    <row r="34" spans="1:12" x14ac:dyDescent="0.35">
      <c r="A34" s="14" t="s">
        <v>102</v>
      </c>
      <c r="B34" s="17">
        <v>256779417289</v>
      </c>
      <c r="C34" s="15">
        <v>45904</v>
      </c>
      <c r="D34" s="19">
        <v>-662.45</v>
      </c>
      <c r="E34" s="19">
        <v>-58874.7</v>
      </c>
      <c r="F34" s="14" t="s">
        <v>133</v>
      </c>
      <c r="G34" s="17">
        <v>256779417289</v>
      </c>
      <c r="H34" s="19">
        <v>-13.52</v>
      </c>
      <c r="I34" s="19">
        <v>-675.97</v>
      </c>
      <c r="J34" s="32">
        <f>_xlfn.XLOOKUP('Customer Ledger'!B34,'CL Ledger'!$F:$F,'CL Ledger'!$H:$H,,0)</f>
        <v>675.97</v>
      </c>
      <c r="K34" s="36">
        <f t="shared" si="0"/>
        <v>88.874179183334576</v>
      </c>
      <c r="L34" s="37">
        <f t="shared" si="1"/>
        <v>-1201.5789025586835</v>
      </c>
    </row>
    <row r="35" spans="1:12" x14ac:dyDescent="0.35">
      <c r="A35" s="14" t="s">
        <v>102</v>
      </c>
      <c r="B35" s="17" t="s">
        <v>134</v>
      </c>
      <c r="C35" s="15">
        <v>45946</v>
      </c>
      <c r="D35" s="16">
        <v>631.98</v>
      </c>
      <c r="E35" s="16">
        <v>56117.65</v>
      </c>
      <c r="F35" s="14" t="s">
        <v>135</v>
      </c>
      <c r="G35" s="17"/>
      <c r="H35" s="18">
        <v>0</v>
      </c>
      <c r="I35" s="16">
        <v>644.87</v>
      </c>
      <c r="J35" s="32" t="s">
        <v>160</v>
      </c>
      <c r="K35" s="36">
        <f t="shared" si="0"/>
        <v>88.796560017722086</v>
      </c>
      <c r="L35" s="37">
        <f t="shared" si="1"/>
        <v>0</v>
      </c>
    </row>
    <row r="36" spans="1:12" x14ac:dyDescent="0.35">
      <c r="A36" s="14" t="s">
        <v>102</v>
      </c>
      <c r="B36" s="17">
        <v>256779417529</v>
      </c>
      <c r="C36" s="15">
        <v>45918</v>
      </c>
      <c r="D36" s="19">
        <v>-168.52</v>
      </c>
      <c r="E36" s="19">
        <v>-14969.54</v>
      </c>
      <c r="F36" s="14" t="s">
        <v>136</v>
      </c>
      <c r="G36" s="17">
        <v>256779417529</v>
      </c>
      <c r="H36" s="19">
        <v>-3.43</v>
      </c>
      <c r="I36" s="19">
        <v>-171.95</v>
      </c>
      <c r="J36" s="32">
        <f>_xlfn.XLOOKUP('Customer Ledger'!B36,'CL Ledger'!$F:$F,'CL Ledger'!$H:$H,,0)</f>
        <v>171.95</v>
      </c>
      <c r="K36" s="36">
        <f t="shared" si="0"/>
        <v>88.829456444338945</v>
      </c>
      <c r="L36" s="37">
        <f t="shared" si="1"/>
        <v>-304.6850356040826</v>
      </c>
    </row>
    <row r="37" spans="1:12" x14ac:dyDescent="0.35">
      <c r="A37" s="14" t="s">
        <v>102</v>
      </c>
      <c r="B37" s="17">
        <v>256779417570</v>
      </c>
      <c r="C37" s="15">
        <v>45918</v>
      </c>
      <c r="D37" s="19">
        <v>-439.04</v>
      </c>
      <c r="E37" s="19">
        <v>-39000.42</v>
      </c>
      <c r="F37" s="14" t="s">
        <v>137</v>
      </c>
      <c r="G37" s="17">
        <v>256779417570</v>
      </c>
      <c r="H37" s="19">
        <v>-8.9600000000000009</v>
      </c>
      <c r="I37" s="19">
        <v>-448</v>
      </c>
      <c r="J37" s="32">
        <f>_xlfn.XLOOKUP('Customer Ledger'!B37,'CL Ledger'!$F:$F,'CL Ledger'!$H:$H,,0)</f>
        <v>448</v>
      </c>
      <c r="K37" s="36">
        <f t="shared" si="0"/>
        <v>88.83113155976676</v>
      </c>
      <c r="L37" s="37">
        <f t="shared" si="1"/>
        <v>-795.92693877551028</v>
      </c>
    </row>
    <row r="38" spans="1:12" x14ac:dyDescent="0.35">
      <c r="A38" s="14" t="s">
        <v>102</v>
      </c>
      <c r="B38" s="17">
        <v>256779417443</v>
      </c>
      <c r="C38" s="15">
        <v>45917</v>
      </c>
      <c r="D38" s="19">
        <v>-24.42</v>
      </c>
      <c r="E38" s="19">
        <v>-2147.69</v>
      </c>
      <c r="F38" s="14" t="s">
        <v>138</v>
      </c>
      <c r="G38" s="17">
        <v>256779417443</v>
      </c>
      <c r="H38" s="19">
        <v>-0.5</v>
      </c>
      <c r="I38" s="19">
        <v>-24.92</v>
      </c>
      <c r="J38" s="32">
        <f>_xlfn.XLOOKUP('Customer Ledger'!B38,'CL Ledger'!$F:$F,'CL Ledger'!$H:$H,,0)</f>
        <v>24.92</v>
      </c>
      <c r="K38" s="36">
        <f t="shared" si="0"/>
        <v>87.94799344799344</v>
      </c>
      <c r="L38" s="37">
        <f t="shared" si="1"/>
        <v>-43.97399672399672</v>
      </c>
    </row>
    <row r="39" spans="1:12" x14ac:dyDescent="0.35">
      <c r="A39" s="14" t="s">
        <v>102</v>
      </c>
      <c r="B39" s="17" t="s">
        <v>139</v>
      </c>
      <c r="C39" s="15">
        <v>46007</v>
      </c>
      <c r="D39" s="16">
        <v>2754.77</v>
      </c>
      <c r="E39" s="16">
        <v>247026.06</v>
      </c>
      <c r="F39" s="14" t="s">
        <v>140</v>
      </c>
      <c r="G39" s="17"/>
      <c r="H39" s="18">
        <v>0</v>
      </c>
      <c r="I39" s="16">
        <v>2943.55</v>
      </c>
      <c r="J39" s="32" t="s">
        <v>160</v>
      </c>
      <c r="K39" s="36">
        <f t="shared" si="0"/>
        <v>89.672117817458442</v>
      </c>
      <c r="L39" s="37">
        <f t="shared" si="1"/>
        <v>0</v>
      </c>
    </row>
    <row r="40" spans="1:12" x14ac:dyDescent="0.35">
      <c r="A40" s="14" t="s">
        <v>102</v>
      </c>
      <c r="B40" s="17">
        <v>256779418665</v>
      </c>
      <c r="C40" s="15">
        <v>45950</v>
      </c>
      <c r="D40" s="19">
        <v>-45.57</v>
      </c>
      <c r="E40" s="19">
        <v>-4063.47</v>
      </c>
      <c r="F40" s="14" t="s">
        <v>132</v>
      </c>
      <c r="G40" s="17">
        <v>256779418665</v>
      </c>
      <c r="H40" s="19">
        <v>-0.93</v>
      </c>
      <c r="I40" s="19">
        <v>-46.5</v>
      </c>
      <c r="J40" s="32">
        <f>_xlfn.XLOOKUP('Customer Ledger'!B40,'CL Ledger'!$F:$F,'CL Ledger'!$H:$H,,0)</f>
        <v>46.5</v>
      </c>
      <c r="K40" s="36">
        <f t="shared" si="0"/>
        <v>89.16984858459513</v>
      </c>
      <c r="L40" s="37">
        <f t="shared" si="1"/>
        <v>-82.92795918367348</v>
      </c>
    </row>
    <row r="41" spans="1:12" x14ac:dyDescent="0.35">
      <c r="A41" s="14" t="s">
        <v>102</v>
      </c>
      <c r="B41" s="17">
        <v>256779418013</v>
      </c>
      <c r="C41" s="15">
        <v>45936</v>
      </c>
      <c r="D41" s="19">
        <v>-100.8</v>
      </c>
      <c r="E41" s="19">
        <v>-8988.2099999999991</v>
      </c>
      <c r="F41" s="14" t="s">
        <v>141</v>
      </c>
      <c r="G41" s="17">
        <v>256779418013</v>
      </c>
      <c r="H41" s="19">
        <v>-11.2</v>
      </c>
      <c r="I41" s="19">
        <v>-112</v>
      </c>
      <c r="J41" s="32">
        <f>_xlfn.XLOOKUP('Customer Ledger'!B41,'CL Ledger'!$F:$F,'CL Ledger'!$H:$H,,0)</f>
        <v>112</v>
      </c>
      <c r="K41" s="36">
        <f t="shared" si="0"/>
        <v>89.168749999999989</v>
      </c>
      <c r="L41" s="37">
        <f t="shared" si="1"/>
        <v>-998.68999999999983</v>
      </c>
    </row>
    <row r="42" spans="1:12" x14ac:dyDescent="0.35">
      <c r="A42" s="14" t="s">
        <v>102</v>
      </c>
      <c r="B42" s="17">
        <v>256779419135</v>
      </c>
      <c r="C42" s="15">
        <v>45964</v>
      </c>
      <c r="D42" s="19">
        <v>-567.41999999999996</v>
      </c>
      <c r="E42" s="19">
        <v>-50597.3</v>
      </c>
      <c r="F42" s="14" t="s">
        <v>142</v>
      </c>
      <c r="G42" s="17">
        <v>256779419135</v>
      </c>
      <c r="H42" s="19">
        <v>-11.58</v>
      </c>
      <c r="I42" s="19">
        <v>-579</v>
      </c>
      <c r="J42" s="32">
        <f>_xlfn.XLOOKUP('Customer Ledger'!B42,'CL Ledger'!$F:$F,'CL Ledger'!$H:$H,,0)</f>
        <v>579</v>
      </c>
      <c r="K42" s="36">
        <f t="shared" si="0"/>
        <v>89.170808219660927</v>
      </c>
      <c r="L42" s="37">
        <f t="shared" si="1"/>
        <v>-1032.5979591836735</v>
      </c>
    </row>
    <row r="43" spans="1:12" x14ac:dyDescent="0.35">
      <c r="A43" s="14" t="s">
        <v>102</v>
      </c>
      <c r="B43" s="17">
        <v>256779418705</v>
      </c>
      <c r="C43" s="15">
        <v>45950</v>
      </c>
      <c r="D43" s="19">
        <v>-147.49</v>
      </c>
      <c r="E43" s="19">
        <v>-13252.05</v>
      </c>
      <c r="F43" s="14" t="s">
        <v>143</v>
      </c>
      <c r="G43" s="17">
        <v>256779418705</v>
      </c>
      <c r="H43" s="19">
        <v>-3.01</v>
      </c>
      <c r="I43" s="19">
        <v>-150.5</v>
      </c>
      <c r="J43" s="32">
        <f>_xlfn.XLOOKUP('Customer Ledger'!B43,'CL Ledger'!$F:$F,'CL Ledger'!$H:$H,,0)</f>
        <v>150.5</v>
      </c>
      <c r="K43" s="36">
        <f t="shared" si="0"/>
        <v>89.850498338870423</v>
      </c>
      <c r="L43" s="37">
        <f t="shared" si="1"/>
        <v>-270.44999999999993</v>
      </c>
    </row>
    <row r="44" spans="1:12" x14ac:dyDescent="0.35">
      <c r="A44" s="14" t="s">
        <v>102</v>
      </c>
      <c r="B44" s="17">
        <v>256779419234</v>
      </c>
      <c r="C44" s="15">
        <v>45966</v>
      </c>
      <c r="D44" s="19">
        <v>-167.47</v>
      </c>
      <c r="E44" s="19">
        <v>-15047.04</v>
      </c>
      <c r="F44" s="14" t="s">
        <v>144</v>
      </c>
      <c r="G44" s="17">
        <v>256779419234</v>
      </c>
      <c r="H44" s="19">
        <v>-3.42</v>
      </c>
      <c r="I44" s="19">
        <v>-170.89</v>
      </c>
      <c r="J44" s="32">
        <f>_xlfn.XLOOKUP('Customer Ledger'!B44,'CL Ledger'!$F:$F,'CL Ledger'!$H:$H,,0)</f>
        <v>170.89</v>
      </c>
      <c r="K44" s="36">
        <f t="shared" si="0"/>
        <v>89.849167014987771</v>
      </c>
      <c r="L44" s="37">
        <f t="shared" si="1"/>
        <v>-307.28415119125816</v>
      </c>
    </row>
    <row r="45" spans="1:12" x14ac:dyDescent="0.35">
      <c r="A45" s="14" t="s">
        <v>102</v>
      </c>
      <c r="B45" s="17">
        <v>256779419203</v>
      </c>
      <c r="C45" s="15">
        <v>45966</v>
      </c>
      <c r="D45" s="19">
        <v>-61.4</v>
      </c>
      <c r="E45" s="19">
        <v>-5516.84</v>
      </c>
      <c r="F45" s="14" t="s">
        <v>145</v>
      </c>
      <c r="G45" s="17">
        <v>256779419203</v>
      </c>
      <c r="H45" s="19">
        <v>-1.26</v>
      </c>
      <c r="I45" s="19">
        <v>-62.66</v>
      </c>
      <c r="J45" s="32">
        <f>_xlfn.XLOOKUP('Customer Ledger'!B45,'CL Ledger'!$F:$F,'CL Ledger'!$H:$H,,0)</f>
        <v>62.66</v>
      </c>
      <c r="K45" s="36">
        <f t="shared" si="0"/>
        <v>89.850814332247566</v>
      </c>
      <c r="L45" s="37">
        <f t="shared" si="1"/>
        <v>-113.21202605863193</v>
      </c>
    </row>
    <row r="46" spans="1:12" x14ac:dyDescent="0.35">
      <c r="A46" s="14" t="s">
        <v>102</v>
      </c>
      <c r="B46" s="17">
        <v>256779418792</v>
      </c>
      <c r="C46" s="15">
        <v>45966</v>
      </c>
      <c r="D46" s="19">
        <v>-680.41</v>
      </c>
      <c r="E46" s="19">
        <v>-61132.71</v>
      </c>
      <c r="F46" s="14" t="s">
        <v>146</v>
      </c>
      <c r="G46" s="17">
        <v>256779418792</v>
      </c>
      <c r="H46" s="19">
        <v>-75.59</v>
      </c>
      <c r="I46" s="19">
        <v>-756</v>
      </c>
      <c r="J46" s="32">
        <f>_xlfn.XLOOKUP('Customer Ledger'!B46,'CL Ledger'!$F:$F,'CL Ledger'!$H:$H,,0)</f>
        <v>756</v>
      </c>
      <c r="K46" s="36">
        <f t="shared" si="0"/>
        <v>89.846871739098489</v>
      </c>
      <c r="L46" s="37">
        <f t="shared" si="1"/>
        <v>-6791.5250347584551</v>
      </c>
    </row>
    <row r="47" spans="1:12" x14ac:dyDescent="0.35">
      <c r="A47" s="14" t="s">
        <v>102</v>
      </c>
      <c r="B47" s="17">
        <v>256779418026</v>
      </c>
      <c r="C47" s="15">
        <v>45935</v>
      </c>
      <c r="D47" s="19">
        <v>-680.41</v>
      </c>
      <c r="E47" s="19">
        <v>-61132.71</v>
      </c>
      <c r="F47" s="14" t="s">
        <v>147</v>
      </c>
      <c r="G47" s="17">
        <v>256779418026</v>
      </c>
      <c r="H47" s="19">
        <v>-75.59</v>
      </c>
      <c r="I47" s="19">
        <v>-756</v>
      </c>
      <c r="J47" s="32">
        <f>_xlfn.XLOOKUP('Customer Ledger'!B47,'CL Ledger'!$F:$F,'CL Ledger'!$H:$H,,0)</f>
        <v>756</v>
      </c>
      <c r="K47" s="36">
        <f t="shared" si="0"/>
        <v>89.846871739098489</v>
      </c>
      <c r="L47" s="37">
        <f t="shared" si="1"/>
        <v>-6791.5250347584551</v>
      </c>
    </row>
    <row r="48" spans="1:12" x14ac:dyDescent="0.35">
      <c r="A48" s="14" t="s">
        <v>102</v>
      </c>
      <c r="B48" s="17">
        <v>256779418627</v>
      </c>
      <c r="C48" s="15">
        <v>45950</v>
      </c>
      <c r="D48" s="19">
        <v>-254.8</v>
      </c>
      <c r="E48" s="19">
        <v>-22893.35</v>
      </c>
      <c r="F48" s="14" t="s">
        <v>148</v>
      </c>
      <c r="G48" s="17">
        <v>256779418627</v>
      </c>
      <c r="H48" s="19">
        <v>-5.2</v>
      </c>
      <c r="I48" s="19">
        <v>-260</v>
      </c>
      <c r="J48" s="32">
        <f>_xlfn.XLOOKUP('Customer Ledger'!B48,'CL Ledger'!$F:$F,'CL Ledger'!$H:$H,,0)</f>
        <v>260</v>
      </c>
      <c r="K48" s="36">
        <f t="shared" si="0"/>
        <v>89.848312401883817</v>
      </c>
      <c r="L48" s="37">
        <f t="shared" si="1"/>
        <v>-467.21122448979588</v>
      </c>
    </row>
    <row r="49" spans="1:12" x14ac:dyDescent="0.35">
      <c r="A49" s="14" t="s">
        <v>102</v>
      </c>
      <c r="B49" s="17">
        <v>256779418634</v>
      </c>
      <c r="C49" s="15">
        <v>45935</v>
      </c>
      <c r="D49" s="19">
        <v>-49</v>
      </c>
      <c r="E49" s="19">
        <v>-4402.38</v>
      </c>
      <c r="F49" s="14" t="s">
        <v>149</v>
      </c>
      <c r="G49" s="17">
        <v>256779418634</v>
      </c>
      <c r="H49" s="19">
        <v>-1</v>
      </c>
      <c r="I49" s="19">
        <v>-50</v>
      </c>
      <c r="J49" s="32">
        <f>_xlfn.XLOOKUP('Customer Ledger'!B49,'CL Ledger'!$F:$F,'CL Ledger'!$H:$H,,0)</f>
        <v>50</v>
      </c>
      <c r="K49" s="36">
        <f t="shared" si="0"/>
        <v>89.844489795918363</v>
      </c>
      <c r="L49" s="37">
        <f t="shared" si="1"/>
        <v>-89.844489795918363</v>
      </c>
    </row>
    <row r="50" spans="1:12" x14ac:dyDescent="0.35">
      <c r="A50" s="14" t="s">
        <v>102</v>
      </c>
      <c r="B50" s="17" t="s">
        <v>150</v>
      </c>
      <c r="C50" s="15">
        <v>46087</v>
      </c>
      <c r="D50" s="16">
        <v>1733.59</v>
      </c>
      <c r="E50" s="16">
        <v>157574.99</v>
      </c>
      <c r="F50" s="14" t="s">
        <v>151</v>
      </c>
      <c r="G50" s="17"/>
      <c r="H50" s="18">
        <v>0</v>
      </c>
      <c r="I50" s="16">
        <v>1892.41</v>
      </c>
      <c r="J50" s="32" t="s">
        <v>160</v>
      </c>
      <c r="K50" s="36">
        <f t="shared" si="0"/>
        <v>90.89518859707313</v>
      </c>
      <c r="L50" s="37">
        <f t="shared" si="1"/>
        <v>0</v>
      </c>
    </row>
    <row r="51" spans="1:12" x14ac:dyDescent="0.35">
      <c r="A51" s="14" t="s">
        <v>102</v>
      </c>
      <c r="B51" s="17">
        <v>256779418402</v>
      </c>
      <c r="C51" s="15">
        <v>45935</v>
      </c>
      <c r="D51" s="19">
        <v>-235.6</v>
      </c>
      <c r="E51" s="19">
        <v>-21415.119999999999</v>
      </c>
      <c r="F51" s="14" t="s">
        <v>152</v>
      </c>
      <c r="G51" s="17">
        <v>256779418402</v>
      </c>
      <c r="H51" s="19">
        <v>-4.8099999999999996</v>
      </c>
      <c r="I51" s="19">
        <v>-240.41</v>
      </c>
      <c r="J51" s="32">
        <f>_xlfn.XLOOKUP('Customer Ledger'!B51,'CL Ledger'!$F:$F,'CL Ledger'!$H:$H,,0)</f>
        <v>240.41</v>
      </c>
      <c r="K51" s="36">
        <f t="shared" si="0"/>
        <v>90.896095076400684</v>
      </c>
      <c r="L51" s="37">
        <f t="shared" si="1"/>
        <v>-437.21021731748726</v>
      </c>
    </row>
    <row r="52" spans="1:12" x14ac:dyDescent="0.35">
      <c r="A52" s="14" t="s">
        <v>102</v>
      </c>
      <c r="B52" s="17">
        <v>256779440032</v>
      </c>
      <c r="C52" s="15">
        <v>46024</v>
      </c>
      <c r="D52" s="19">
        <v>-680.4</v>
      </c>
      <c r="E52" s="19">
        <v>-61844.77</v>
      </c>
      <c r="F52" s="14" t="s">
        <v>153</v>
      </c>
      <c r="G52" s="17">
        <v>256779440032</v>
      </c>
      <c r="H52" s="19">
        <v>-75.599999999999994</v>
      </c>
      <c r="I52" s="19">
        <v>-756</v>
      </c>
      <c r="J52" s="32">
        <f>_xlfn.XLOOKUP('Customer Ledger'!B52,'CL Ledger'!$F:$F,'CL Ledger'!$H:$H,,0)</f>
        <v>756</v>
      </c>
      <c r="K52" s="36">
        <f t="shared" si="0"/>
        <v>90.894723691945913</v>
      </c>
      <c r="L52" s="37">
        <f t="shared" si="1"/>
        <v>-6871.6411111111101</v>
      </c>
    </row>
    <row r="53" spans="1:12" x14ac:dyDescent="0.35">
      <c r="A53" s="14" t="s">
        <v>102</v>
      </c>
      <c r="B53" s="17">
        <v>256779440323</v>
      </c>
      <c r="C53" s="15">
        <v>46028</v>
      </c>
      <c r="D53" s="19">
        <v>-680.4</v>
      </c>
      <c r="E53" s="19">
        <v>-61844.77</v>
      </c>
      <c r="F53" s="14" t="s">
        <v>154</v>
      </c>
      <c r="G53" s="17">
        <v>256779440323</v>
      </c>
      <c r="H53" s="19">
        <v>-75.599999999999994</v>
      </c>
      <c r="I53" s="19">
        <v>-756</v>
      </c>
      <c r="J53" s="32">
        <f>_xlfn.XLOOKUP('Customer Ledger'!B53,'CL Ledger'!$F:$F,'CL Ledger'!$H:$H,,0)</f>
        <v>756</v>
      </c>
      <c r="K53" s="36">
        <f t="shared" si="0"/>
        <v>90.894723691945913</v>
      </c>
      <c r="L53" s="37">
        <f t="shared" si="1"/>
        <v>-6871.6411111111101</v>
      </c>
    </row>
    <row r="54" spans="1:12" x14ac:dyDescent="0.35">
      <c r="A54" s="14" t="s">
        <v>102</v>
      </c>
      <c r="B54" s="17">
        <v>256779419921</v>
      </c>
      <c r="C54" s="15">
        <v>45996</v>
      </c>
      <c r="D54" s="19">
        <v>-137.19</v>
      </c>
      <c r="E54" s="19">
        <v>-12470.33</v>
      </c>
      <c r="F54" s="14" t="s">
        <v>155</v>
      </c>
      <c r="G54" s="17">
        <v>256779419921</v>
      </c>
      <c r="H54" s="19">
        <v>-2.81</v>
      </c>
      <c r="I54" s="19">
        <v>-140</v>
      </c>
      <c r="J54" s="32">
        <f>_xlfn.XLOOKUP('Customer Ledger'!B54,'CL Ledger'!$F:$F,'CL Ledger'!$H:$H,,0)</f>
        <v>140</v>
      </c>
      <c r="K54" s="36">
        <f t="shared" si="0"/>
        <v>90.898243312194765</v>
      </c>
      <c r="L54" s="37">
        <f t="shared" si="1"/>
        <v>-255.42406370726729</v>
      </c>
    </row>
    <row r="55" spans="1:12" x14ac:dyDescent="0.35">
      <c r="D55" s="23">
        <f>SUM(D2:D54)</f>
        <v>-9.0700000000001069</v>
      </c>
      <c r="E55" s="23">
        <f>SUM(E2:E54)</f>
        <v>-1266.5900000000456</v>
      </c>
    </row>
  </sheetData>
  <autoFilter ref="A1:L54" xr:uid="{4095A36C-824F-4678-897B-B509303C42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BC61-C466-4D90-8FE6-E4A61F9C8957}">
  <sheetPr>
    <tabColor rgb="FFFFFF00"/>
  </sheetPr>
  <dimension ref="A1:P101"/>
  <sheetViews>
    <sheetView topLeftCell="D1" workbookViewId="0">
      <selection activeCell="N7" sqref="N7"/>
    </sheetView>
  </sheetViews>
  <sheetFormatPr defaultRowHeight="14.5" x14ac:dyDescent="0.35"/>
  <cols>
    <col min="1" max="1" width="19.08984375" bestFit="1" customWidth="1"/>
    <col min="2" max="2" width="10" bestFit="1" customWidth="1"/>
    <col min="3" max="3" width="16.1796875" bestFit="1" customWidth="1"/>
    <col min="4" max="4" width="11.81640625" bestFit="1" customWidth="1"/>
    <col min="5" max="5" width="22.453125" bestFit="1" customWidth="1"/>
    <col min="6" max="6" width="16.08984375" bestFit="1" customWidth="1"/>
    <col min="7" max="7" width="10.54296875" bestFit="1" customWidth="1"/>
    <col min="8" max="8" width="11.7265625" bestFit="1" customWidth="1"/>
    <col min="9" max="10" width="11" bestFit="1" customWidth="1"/>
    <col min="11" max="11" width="9.453125" bestFit="1" customWidth="1"/>
    <col min="12" max="12" width="17.81640625" bestFit="1" customWidth="1"/>
    <col min="13" max="13" width="17.81640625" customWidth="1"/>
    <col min="14" max="14" width="40.1796875" bestFit="1" customWidth="1"/>
    <col min="15" max="15" width="16.7265625" bestFit="1" customWidth="1"/>
  </cols>
  <sheetData>
    <row r="1" spans="1:15" ht="5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158</v>
      </c>
      <c r="L1" s="2" t="s">
        <v>157</v>
      </c>
      <c r="M1" s="2" t="s">
        <v>173</v>
      </c>
      <c r="N1" s="1" t="s">
        <v>11</v>
      </c>
      <c r="O1" s="1" t="s">
        <v>12</v>
      </c>
    </row>
    <row r="2" spans="1:15" x14ac:dyDescent="0.35">
      <c r="A2" s="3">
        <v>1400001106</v>
      </c>
      <c r="B2" s="3" t="s">
        <v>15</v>
      </c>
      <c r="C2" s="4">
        <v>45902</v>
      </c>
      <c r="D2" s="4">
        <v>45902</v>
      </c>
      <c r="E2" s="3" t="s">
        <v>13</v>
      </c>
      <c r="F2" s="3" t="s">
        <v>13</v>
      </c>
      <c r="G2" s="3" t="s">
        <v>14</v>
      </c>
      <c r="H2" s="5">
        <v>132321.66</v>
      </c>
      <c r="I2" s="3" t="s">
        <v>14</v>
      </c>
      <c r="J2" s="5">
        <v>130033.02</v>
      </c>
      <c r="K2" s="5" t="e" cm="1">
        <f t="array" ref="K2">_xlfn.XLOOKUP(F2,'Customer Ledger'!$B:$B,'Customer Ledger'!$H:$I,,0)</f>
        <v>#N/A</v>
      </c>
      <c r="L2" s="5"/>
      <c r="M2" s="5"/>
      <c r="N2" s="3" t="s">
        <v>13</v>
      </c>
      <c r="O2" s="3">
        <v>1400001106</v>
      </c>
    </row>
    <row r="3" spans="1:15" x14ac:dyDescent="0.35">
      <c r="A3" s="3">
        <v>1400001106</v>
      </c>
      <c r="B3" s="3" t="s">
        <v>15</v>
      </c>
      <c r="C3" s="4">
        <v>45902</v>
      </c>
      <c r="D3" s="4">
        <v>45902</v>
      </c>
      <c r="E3" s="3" t="s">
        <v>13</v>
      </c>
      <c r="F3" s="3" t="s">
        <v>13</v>
      </c>
      <c r="G3" s="3" t="s">
        <v>14</v>
      </c>
      <c r="H3" s="5">
        <v>-132321.66</v>
      </c>
      <c r="I3" s="3" t="s">
        <v>14</v>
      </c>
      <c r="J3" s="5">
        <v>-129262.06</v>
      </c>
      <c r="K3" s="5" t="e" cm="1">
        <f t="array" ref="K3">_xlfn.XLOOKUP(F3,'Customer Ledger'!$B:$B,'Customer Ledger'!$H:$I,,0)</f>
        <v>#N/A</v>
      </c>
      <c r="L3" s="5"/>
      <c r="M3" s="5"/>
      <c r="N3" s="3" t="s">
        <v>13</v>
      </c>
      <c r="O3" s="3" t="s">
        <v>16</v>
      </c>
    </row>
    <row r="4" spans="1:15" x14ac:dyDescent="0.35">
      <c r="A4" s="3">
        <v>1400001172</v>
      </c>
      <c r="B4" s="3" t="s">
        <v>17</v>
      </c>
      <c r="C4" s="4">
        <v>45912</v>
      </c>
      <c r="D4" s="4">
        <v>45912</v>
      </c>
      <c r="E4" s="3" t="s">
        <v>18</v>
      </c>
      <c r="F4" s="3" t="s">
        <v>13</v>
      </c>
      <c r="G4" s="3" t="s">
        <v>19</v>
      </c>
      <c r="H4" s="5">
        <v>-140</v>
      </c>
      <c r="I4" s="3" t="s">
        <v>14</v>
      </c>
      <c r="J4" s="5">
        <v>-12040.09</v>
      </c>
      <c r="K4" s="5" t="e" cm="1">
        <f t="array" ref="K4">_xlfn.XLOOKUP(F4,'Customer Ledger'!$B:$B,'Customer Ledger'!$H:$I,,0)</f>
        <v>#N/A</v>
      </c>
      <c r="L4" s="5"/>
      <c r="M4" s="5"/>
      <c r="N4" s="3" t="s">
        <v>18</v>
      </c>
      <c r="O4" s="3" t="s">
        <v>20</v>
      </c>
    </row>
    <row r="5" spans="1:15" x14ac:dyDescent="0.35">
      <c r="A5" s="3">
        <v>1400002219</v>
      </c>
      <c r="B5" s="3" t="s">
        <v>17</v>
      </c>
      <c r="C5" s="4">
        <v>46009</v>
      </c>
      <c r="D5" s="4">
        <v>46009</v>
      </c>
      <c r="E5" s="3" t="s">
        <v>21</v>
      </c>
      <c r="F5" s="3" t="s">
        <v>13</v>
      </c>
      <c r="G5" s="3" t="s">
        <v>19</v>
      </c>
      <c r="H5" s="5">
        <v>-170.89</v>
      </c>
      <c r="I5" s="3" t="s">
        <v>14</v>
      </c>
      <c r="J5" s="5">
        <v>-15038.9</v>
      </c>
      <c r="K5" s="5" t="e" cm="1">
        <f t="array" ref="K5">_xlfn.XLOOKUP(F5,'Customer Ledger'!$B:$B,'Customer Ledger'!$H:$I,,0)</f>
        <v>#N/A</v>
      </c>
      <c r="L5" s="5"/>
      <c r="M5" s="5"/>
      <c r="N5" s="3" t="s">
        <v>21</v>
      </c>
      <c r="O5" s="3" t="s">
        <v>22</v>
      </c>
    </row>
    <row r="6" spans="1:15" x14ac:dyDescent="0.35">
      <c r="A6" s="3">
        <v>1400002219</v>
      </c>
      <c r="B6" s="3" t="s">
        <v>17</v>
      </c>
      <c r="C6" s="4">
        <v>46009</v>
      </c>
      <c r="D6" s="4">
        <v>46009</v>
      </c>
      <c r="E6" s="3" t="s">
        <v>21</v>
      </c>
      <c r="F6" s="3" t="s">
        <v>13</v>
      </c>
      <c r="G6" s="3" t="s">
        <v>19</v>
      </c>
      <c r="H6" s="5">
        <v>-2772.66</v>
      </c>
      <c r="I6" s="3" t="s">
        <v>14</v>
      </c>
      <c r="J6" s="5">
        <v>-244261.12</v>
      </c>
      <c r="K6" s="5" t="e" cm="1">
        <f t="array" ref="K6">_xlfn.XLOOKUP(F6,'Customer Ledger'!$B:$B,'Customer Ledger'!$H:$I,,0)</f>
        <v>#N/A</v>
      </c>
      <c r="L6" s="5"/>
      <c r="M6" s="5"/>
      <c r="N6" s="3" t="s">
        <v>21</v>
      </c>
      <c r="O6" s="3" t="s">
        <v>22</v>
      </c>
    </row>
    <row r="7" spans="1:15" s="65" customFormat="1" x14ac:dyDescent="0.35">
      <c r="A7" s="60">
        <v>1400002015</v>
      </c>
      <c r="B7" s="60" t="s">
        <v>17</v>
      </c>
      <c r="C7" s="61">
        <v>45986</v>
      </c>
      <c r="D7" s="61">
        <v>45986</v>
      </c>
      <c r="E7" s="60" t="s">
        <v>23</v>
      </c>
      <c r="F7" s="60" t="s">
        <v>13</v>
      </c>
      <c r="G7" s="60" t="s">
        <v>19</v>
      </c>
      <c r="H7" s="63">
        <v>-1478.14</v>
      </c>
      <c r="I7" s="60" t="s">
        <v>14</v>
      </c>
      <c r="J7" s="63">
        <v>-130358.3</v>
      </c>
      <c r="K7" s="63" t="e" cm="1">
        <f t="array" ref="K7">_xlfn.XLOOKUP(F7,'Customer Ledger'!$B:$B,'Customer Ledger'!$H:$I,,0)</f>
        <v>#N/A</v>
      </c>
      <c r="L7" s="63"/>
      <c r="M7" s="63"/>
      <c r="N7" s="60" t="s">
        <v>13</v>
      </c>
      <c r="O7" s="60" t="s">
        <v>13</v>
      </c>
    </row>
    <row r="8" spans="1:15" s="65" customFormat="1" x14ac:dyDescent="0.35">
      <c r="A8" s="60">
        <v>1400002021</v>
      </c>
      <c r="B8" s="60" t="s">
        <v>17</v>
      </c>
      <c r="C8" s="61">
        <v>45986</v>
      </c>
      <c r="D8" s="61">
        <v>45986</v>
      </c>
      <c r="E8" s="60" t="s">
        <v>24</v>
      </c>
      <c r="F8" s="60" t="s">
        <v>13</v>
      </c>
      <c r="G8" s="60" t="s">
        <v>19</v>
      </c>
      <c r="H8" s="63">
        <v>-2032.13</v>
      </c>
      <c r="I8" s="60" t="s">
        <v>14</v>
      </c>
      <c r="J8" s="63">
        <v>-179215.11</v>
      </c>
      <c r="K8" s="63" t="e" cm="1">
        <f t="array" ref="K8">_xlfn.XLOOKUP(F8,'Customer Ledger'!$B:$B,'Customer Ledger'!$H:$I,,0)</f>
        <v>#N/A</v>
      </c>
      <c r="L8" s="63"/>
      <c r="M8" s="63"/>
      <c r="N8" s="60" t="s">
        <v>13</v>
      </c>
      <c r="O8" s="60" t="s">
        <v>13</v>
      </c>
    </row>
    <row r="9" spans="1:15" x14ac:dyDescent="0.35">
      <c r="A9" s="3">
        <v>1400001171</v>
      </c>
      <c r="B9" s="3" t="s">
        <v>17</v>
      </c>
      <c r="C9" s="4">
        <v>45912</v>
      </c>
      <c r="D9" s="4">
        <v>45912</v>
      </c>
      <c r="E9" s="3" t="s">
        <v>25</v>
      </c>
      <c r="F9" s="3" t="s">
        <v>13</v>
      </c>
      <c r="G9" s="3" t="s">
        <v>19</v>
      </c>
      <c r="H9" s="5">
        <v>-9150.4</v>
      </c>
      <c r="I9" s="3" t="s">
        <v>14</v>
      </c>
      <c r="J9" s="5">
        <v>-786398.11</v>
      </c>
      <c r="K9" s="5" t="e" cm="1">
        <f t="array" ref="K9">_xlfn.XLOOKUP(F9,'Customer Ledger'!$B:$B,'Customer Ledger'!$H:$I,,0)</f>
        <v>#N/A</v>
      </c>
      <c r="L9" s="5"/>
      <c r="M9" s="5"/>
      <c r="N9" s="3" t="s">
        <v>25</v>
      </c>
      <c r="O9" s="3" t="s">
        <v>26</v>
      </c>
    </row>
    <row r="10" spans="1:15" x14ac:dyDescent="0.35">
      <c r="A10" s="3">
        <v>1400001172</v>
      </c>
      <c r="B10" s="3" t="s">
        <v>17</v>
      </c>
      <c r="C10" s="4">
        <v>45912</v>
      </c>
      <c r="D10" s="4">
        <v>45912</v>
      </c>
      <c r="E10" s="3" t="s">
        <v>18</v>
      </c>
      <c r="F10" s="3" t="s">
        <v>13</v>
      </c>
      <c r="G10" s="3" t="s">
        <v>19</v>
      </c>
      <c r="H10" s="5">
        <v>-280</v>
      </c>
      <c r="I10" s="3" t="s">
        <v>14</v>
      </c>
      <c r="J10" s="5">
        <v>-24338.1</v>
      </c>
      <c r="K10" s="5" t="e" cm="1">
        <f t="array" ref="K10">_xlfn.XLOOKUP(F10,'Customer Ledger'!$B:$B,'Customer Ledger'!$H:$I,,0)</f>
        <v>#N/A</v>
      </c>
      <c r="L10" s="5"/>
      <c r="M10" s="5"/>
      <c r="N10" s="3" t="s">
        <v>18</v>
      </c>
      <c r="O10" s="3" t="s">
        <v>20</v>
      </c>
    </row>
    <row r="11" spans="1:15" x14ac:dyDescent="0.35">
      <c r="A11" s="3">
        <v>1400001176</v>
      </c>
      <c r="B11" s="3" t="s">
        <v>17</v>
      </c>
      <c r="C11" s="4">
        <v>45908</v>
      </c>
      <c r="D11" s="4">
        <v>45915</v>
      </c>
      <c r="E11" s="3" t="s">
        <v>18</v>
      </c>
      <c r="F11" s="3" t="s">
        <v>13</v>
      </c>
      <c r="G11" s="3" t="s">
        <v>19</v>
      </c>
      <c r="H11" s="5">
        <v>411.6</v>
      </c>
      <c r="I11" s="3" t="s">
        <v>14</v>
      </c>
      <c r="J11" s="5">
        <v>36020.9</v>
      </c>
      <c r="K11" s="5" t="e" cm="1">
        <f t="array" ref="K11">_xlfn.XLOOKUP(F11,'Customer Ledger'!$B:$B,'Customer Ledger'!$H:$I,,0)</f>
        <v>#N/A</v>
      </c>
      <c r="L11" s="5"/>
      <c r="M11" s="5"/>
      <c r="N11" s="3" t="s">
        <v>13</v>
      </c>
      <c r="O11" s="3" t="s">
        <v>27</v>
      </c>
    </row>
    <row r="12" spans="1:15" x14ac:dyDescent="0.35">
      <c r="A12" s="3">
        <v>1400001154</v>
      </c>
      <c r="B12" s="3" t="s">
        <v>17</v>
      </c>
      <c r="C12" s="4">
        <v>45908</v>
      </c>
      <c r="D12" s="4">
        <v>45908</v>
      </c>
      <c r="E12" s="3" t="s">
        <v>18</v>
      </c>
      <c r="F12" s="3" t="s">
        <v>13</v>
      </c>
      <c r="G12" s="3" t="s">
        <v>19</v>
      </c>
      <c r="H12" s="5">
        <v>-411.6</v>
      </c>
      <c r="I12" s="3" t="s">
        <v>14</v>
      </c>
      <c r="J12" s="5">
        <v>-36020.9</v>
      </c>
      <c r="K12" s="5" t="e" cm="1">
        <f t="array" ref="K12">_xlfn.XLOOKUP(F12,'Customer Ledger'!$B:$B,'Customer Ledger'!$H:$I,,0)</f>
        <v>#N/A</v>
      </c>
      <c r="L12" s="5"/>
      <c r="M12" s="5"/>
      <c r="N12" s="3" t="s">
        <v>13</v>
      </c>
      <c r="O12" s="3" t="s">
        <v>27</v>
      </c>
    </row>
    <row r="13" spans="1:15" x14ac:dyDescent="0.35">
      <c r="A13" s="3">
        <v>1400002224</v>
      </c>
      <c r="B13" s="3" t="s">
        <v>17</v>
      </c>
      <c r="C13" s="4">
        <v>45887</v>
      </c>
      <c r="D13" s="4">
        <v>46010</v>
      </c>
      <c r="E13" s="3" t="s">
        <v>28</v>
      </c>
      <c r="F13" s="3" t="s">
        <v>13</v>
      </c>
      <c r="G13" s="3" t="s">
        <v>19</v>
      </c>
      <c r="H13" s="5">
        <v>8235.36</v>
      </c>
      <c r="I13" s="3" t="s">
        <v>14</v>
      </c>
      <c r="J13" s="5">
        <v>708489.01</v>
      </c>
      <c r="K13" s="5" t="e" cm="1">
        <f t="array" ref="K13">_xlfn.XLOOKUP(F13,'Customer Ledger'!$B:$B,'Customer Ledger'!$H:$I,,0)</f>
        <v>#N/A</v>
      </c>
      <c r="L13" s="5"/>
      <c r="M13" s="5"/>
      <c r="N13" s="3" t="s">
        <v>13</v>
      </c>
      <c r="O13" s="3" t="s">
        <v>29</v>
      </c>
    </row>
    <row r="14" spans="1:15" x14ac:dyDescent="0.35">
      <c r="A14" s="3">
        <v>1400000846</v>
      </c>
      <c r="B14" s="3" t="s">
        <v>17</v>
      </c>
      <c r="C14" s="4">
        <v>45887</v>
      </c>
      <c r="D14" s="4">
        <v>45887</v>
      </c>
      <c r="E14" s="3" t="s">
        <v>28</v>
      </c>
      <c r="F14" s="3" t="s">
        <v>13</v>
      </c>
      <c r="G14" s="3" t="s">
        <v>19</v>
      </c>
      <c r="H14" s="5">
        <v>-8235.36</v>
      </c>
      <c r="I14" s="3" t="s">
        <v>14</v>
      </c>
      <c r="J14" s="5">
        <v>-708489.01</v>
      </c>
      <c r="K14" s="5" t="e" cm="1">
        <f t="array" ref="K14">_xlfn.XLOOKUP(F14,'Customer Ledger'!$B:$B,'Customer Ledger'!$H:$I,,0)</f>
        <v>#N/A</v>
      </c>
      <c r="L14" s="5"/>
      <c r="M14" s="5"/>
      <c r="N14" s="3" t="s">
        <v>13</v>
      </c>
      <c r="O14" s="3" t="s">
        <v>29</v>
      </c>
    </row>
    <row r="15" spans="1:15" s="65" customFormat="1" x14ac:dyDescent="0.35">
      <c r="A15" s="60">
        <v>1400001579</v>
      </c>
      <c r="B15" s="60" t="s">
        <v>17</v>
      </c>
      <c r="C15" s="61">
        <v>45960</v>
      </c>
      <c r="D15" s="61">
        <v>45960</v>
      </c>
      <c r="E15" s="60" t="s">
        <v>30</v>
      </c>
      <c r="F15" s="60" t="s">
        <v>13</v>
      </c>
      <c r="G15" s="60" t="s">
        <v>19</v>
      </c>
      <c r="H15" s="63">
        <v>-631.97</v>
      </c>
      <c r="I15" s="60" t="s">
        <v>14</v>
      </c>
      <c r="J15" s="63">
        <v>-55733.919999999998</v>
      </c>
      <c r="K15" s="63" t="e" cm="1">
        <f t="array" ref="K15">_xlfn.XLOOKUP(F15,'Customer Ledger'!$B:$B,'Customer Ledger'!$H:$I,,0)</f>
        <v>#N/A</v>
      </c>
      <c r="L15" s="63"/>
      <c r="M15" s="63"/>
      <c r="N15" s="60" t="s">
        <v>13</v>
      </c>
      <c r="O15" s="60" t="s">
        <v>13</v>
      </c>
    </row>
    <row r="16" spans="1:15" x14ac:dyDescent="0.35">
      <c r="A16" s="3">
        <v>1400002017</v>
      </c>
      <c r="B16" s="3" t="s">
        <v>17</v>
      </c>
      <c r="C16" s="4">
        <v>45972</v>
      </c>
      <c r="D16" s="4">
        <v>45986</v>
      </c>
      <c r="E16" s="3" t="s">
        <v>23</v>
      </c>
      <c r="F16" s="3" t="s">
        <v>13</v>
      </c>
      <c r="G16" s="3" t="s">
        <v>19</v>
      </c>
      <c r="H16" s="5">
        <v>1478.14</v>
      </c>
      <c r="I16" s="3" t="s">
        <v>14</v>
      </c>
      <c r="J16" s="5">
        <v>130358.3</v>
      </c>
      <c r="K16" s="5" t="e" cm="1">
        <f t="array" ref="K16">_xlfn.XLOOKUP(F16,'Customer Ledger'!$B:$B,'Customer Ledger'!$H:$I,,0)</f>
        <v>#N/A</v>
      </c>
      <c r="L16" s="5"/>
      <c r="M16" s="5"/>
      <c r="N16" s="3" t="s">
        <v>13</v>
      </c>
      <c r="O16" s="3" t="s">
        <v>31</v>
      </c>
    </row>
    <row r="17" spans="1:16" x14ac:dyDescent="0.35">
      <c r="A17" s="3">
        <v>1400001621</v>
      </c>
      <c r="B17" s="3" t="s">
        <v>17</v>
      </c>
      <c r="C17" s="4">
        <v>45972</v>
      </c>
      <c r="D17" s="4">
        <v>45972</v>
      </c>
      <c r="E17" s="3" t="s">
        <v>23</v>
      </c>
      <c r="F17" s="3" t="s">
        <v>13</v>
      </c>
      <c r="G17" s="3" t="s">
        <v>19</v>
      </c>
      <c r="H17" s="5">
        <v>-1478.14</v>
      </c>
      <c r="I17" s="3" t="s">
        <v>14</v>
      </c>
      <c r="J17" s="5">
        <v>-130358.3</v>
      </c>
      <c r="K17" s="5" t="e" cm="1">
        <f t="array" ref="K17">_xlfn.XLOOKUP(F17,'Customer Ledger'!$B:$B,'Customer Ledger'!$H:$I,,0)</f>
        <v>#N/A</v>
      </c>
      <c r="L17" s="5"/>
      <c r="M17" s="5"/>
      <c r="N17" s="3" t="s">
        <v>13</v>
      </c>
      <c r="O17" s="3" t="s">
        <v>31</v>
      </c>
    </row>
    <row r="18" spans="1:16" x14ac:dyDescent="0.35">
      <c r="A18" s="3">
        <v>1400002037</v>
      </c>
      <c r="B18" s="3" t="s">
        <v>17</v>
      </c>
      <c r="C18" s="4">
        <v>45972</v>
      </c>
      <c r="D18" s="4">
        <v>45986</v>
      </c>
      <c r="E18" s="3" t="s">
        <v>24</v>
      </c>
      <c r="F18" s="3" t="s">
        <v>13</v>
      </c>
      <c r="G18" s="3" t="s">
        <v>19</v>
      </c>
      <c r="H18" s="5">
        <v>2032.13</v>
      </c>
      <c r="I18" s="3" t="s">
        <v>14</v>
      </c>
      <c r="J18" s="5">
        <v>179215.11</v>
      </c>
      <c r="K18" s="5" t="e" cm="1">
        <f t="array" ref="K18">_xlfn.XLOOKUP(F18,'Customer Ledger'!$B:$B,'Customer Ledger'!$H:$I,,0)</f>
        <v>#N/A</v>
      </c>
      <c r="L18" s="5"/>
      <c r="M18" s="5"/>
      <c r="N18" s="3" t="s">
        <v>13</v>
      </c>
      <c r="O18" s="3" t="s">
        <v>32</v>
      </c>
    </row>
    <row r="19" spans="1:16" x14ac:dyDescent="0.35">
      <c r="A19" s="3">
        <v>1400001623</v>
      </c>
      <c r="B19" s="3" t="s">
        <v>17</v>
      </c>
      <c r="C19" s="4">
        <v>45972</v>
      </c>
      <c r="D19" s="4">
        <v>45972</v>
      </c>
      <c r="E19" s="3" t="s">
        <v>24</v>
      </c>
      <c r="F19" s="3" t="s">
        <v>13</v>
      </c>
      <c r="G19" s="3" t="s">
        <v>19</v>
      </c>
      <c r="H19" s="5">
        <v>-2032.13</v>
      </c>
      <c r="I19" s="3" t="s">
        <v>14</v>
      </c>
      <c r="J19" s="5">
        <v>-179215.11</v>
      </c>
      <c r="K19" s="5" t="e" cm="1">
        <f t="array" ref="K19">_xlfn.XLOOKUP(F19,'Customer Ledger'!$B:$B,'Customer Ledger'!$H:$I,,0)</f>
        <v>#N/A</v>
      </c>
      <c r="L19" s="5"/>
      <c r="M19" s="5"/>
      <c r="N19" s="3" t="s">
        <v>13</v>
      </c>
      <c r="O19" s="3" t="s">
        <v>32</v>
      </c>
    </row>
    <row r="20" spans="1:16" x14ac:dyDescent="0.35">
      <c r="A20" s="3">
        <v>1400000194</v>
      </c>
      <c r="B20" s="3" t="s">
        <v>15</v>
      </c>
      <c r="C20" s="4">
        <v>45842</v>
      </c>
      <c r="D20" s="4">
        <v>45842</v>
      </c>
      <c r="E20" s="3" t="s">
        <v>33</v>
      </c>
      <c r="F20" s="3" t="s">
        <v>34</v>
      </c>
      <c r="G20" s="3" t="s">
        <v>19</v>
      </c>
      <c r="H20" s="5">
        <v>756</v>
      </c>
      <c r="I20" s="3" t="s">
        <v>14</v>
      </c>
      <c r="J20" s="5">
        <v>65712.899999999994</v>
      </c>
      <c r="K20" s="5" t="e" cm="1">
        <f t="array" ref="K20">_xlfn.XLOOKUP(F20,'Customer Ledger'!$B:$B,'Customer Ledger'!$H:$I,,0)</f>
        <v>#N/A</v>
      </c>
      <c r="L20" s="5"/>
      <c r="M20" s="5"/>
      <c r="N20" s="3" t="s">
        <v>13</v>
      </c>
      <c r="O20" s="3" t="s">
        <v>35</v>
      </c>
    </row>
    <row r="21" spans="1:16" x14ac:dyDescent="0.35">
      <c r="A21" s="3">
        <v>1400000194</v>
      </c>
      <c r="B21" s="3" t="s">
        <v>15</v>
      </c>
      <c r="C21" s="4">
        <v>45842</v>
      </c>
      <c r="D21" s="4">
        <v>45842</v>
      </c>
      <c r="E21" s="3" t="s">
        <v>33</v>
      </c>
      <c r="F21" s="3" t="s">
        <v>34</v>
      </c>
      <c r="G21" s="3" t="s">
        <v>19</v>
      </c>
      <c r="H21" s="5">
        <v>-756</v>
      </c>
      <c r="I21" s="3" t="s">
        <v>14</v>
      </c>
      <c r="J21" s="5">
        <v>-65712.899999999994</v>
      </c>
      <c r="K21" s="5" t="e" cm="1">
        <f t="array" ref="K21">_xlfn.XLOOKUP(F21,'Customer Ledger'!$B:$B,'Customer Ledger'!$H:$I,,0)</f>
        <v>#N/A</v>
      </c>
      <c r="L21" s="5"/>
      <c r="M21" s="5"/>
      <c r="N21" s="3" t="s">
        <v>13</v>
      </c>
      <c r="O21" s="3" t="s">
        <v>35</v>
      </c>
    </row>
    <row r="22" spans="1:16" x14ac:dyDescent="0.35">
      <c r="A22" s="3">
        <v>1400000195</v>
      </c>
      <c r="B22" s="3" t="s">
        <v>15</v>
      </c>
      <c r="C22" s="4">
        <v>45842</v>
      </c>
      <c r="D22" s="4">
        <v>45842</v>
      </c>
      <c r="E22" s="3" t="s">
        <v>33</v>
      </c>
      <c r="F22" s="3" t="s">
        <v>34</v>
      </c>
      <c r="G22" s="3" t="s">
        <v>19</v>
      </c>
      <c r="H22" s="5">
        <v>756</v>
      </c>
      <c r="I22" s="3" t="s">
        <v>14</v>
      </c>
      <c r="J22" s="5">
        <v>65712.899999999994</v>
      </c>
      <c r="K22" s="5" t="e" cm="1">
        <f t="array" ref="K22">_xlfn.XLOOKUP(F22,'Customer Ledger'!$B:$B,'Customer Ledger'!$H:$I,,0)</f>
        <v>#N/A</v>
      </c>
      <c r="L22" s="5"/>
      <c r="M22" s="5"/>
      <c r="N22" s="3" t="s">
        <v>13</v>
      </c>
      <c r="O22" s="3" t="s">
        <v>36</v>
      </c>
    </row>
    <row r="23" spans="1:16" x14ac:dyDescent="0.35">
      <c r="A23" s="3">
        <v>1400000195</v>
      </c>
      <c r="B23" s="3" t="s">
        <v>15</v>
      </c>
      <c r="C23" s="4">
        <v>45842</v>
      </c>
      <c r="D23" s="4">
        <v>45842</v>
      </c>
      <c r="E23" s="3" t="s">
        <v>33</v>
      </c>
      <c r="F23" s="3" t="s">
        <v>34</v>
      </c>
      <c r="G23" s="3" t="s">
        <v>19</v>
      </c>
      <c r="H23" s="5">
        <v>-756</v>
      </c>
      <c r="I23" s="3" t="s">
        <v>14</v>
      </c>
      <c r="J23" s="5">
        <v>-65712.899999999994</v>
      </c>
      <c r="K23" s="5" t="e" cm="1">
        <f t="array" ref="K23">_xlfn.XLOOKUP(F23,'Customer Ledger'!$B:$B,'Customer Ledger'!$H:$I,,0)</f>
        <v>#N/A</v>
      </c>
      <c r="L23" s="5"/>
      <c r="M23" s="5"/>
      <c r="N23" s="3" t="s">
        <v>13</v>
      </c>
      <c r="O23" s="3" t="s">
        <v>36</v>
      </c>
    </row>
    <row r="24" spans="1:16" x14ac:dyDescent="0.35">
      <c r="A24" s="3">
        <v>1400001906</v>
      </c>
      <c r="B24" s="3" t="s">
        <v>15</v>
      </c>
      <c r="C24" s="4">
        <v>45976</v>
      </c>
      <c r="D24" s="4">
        <v>45976</v>
      </c>
      <c r="E24" s="3" t="s">
        <v>33</v>
      </c>
      <c r="F24" s="3" t="s">
        <v>34</v>
      </c>
      <c r="G24" s="3" t="s">
        <v>19</v>
      </c>
      <c r="H24" s="5">
        <v>0</v>
      </c>
      <c r="I24" s="3" t="s">
        <v>14</v>
      </c>
      <c r="J24" s="5">
        <v>-2798.42</v>
      </c>
      <c r="K24" s="5" t="e" cm="1">
        <f t="array" ref="K24">_xlfn.XLOOKUP(F24,'Customer Ledger'!$B:$B,'Customer Ledger'!$H:$I,,0)</f>
        <v>#N/A</v>
      </c>
      <c r="L24" s="5"/>
      <c r="M24" s="5"/>
      <c r="N24" s="3" t="s">
        <v>13</v>
      </c>
      <c r="O24" s="3" t="s">
        <v>37</v>
      </c>
    </row>
    <row r="25" spans="1:16" x14ac:dyDescent="0.35">
      <c r="A25" s="3">
        <v>1800000420</v>
      </c>
      <c r="B25" s="3" t="s">
        <v>38</v>
      </c>
      <c r="C25" s="4">
        <v>45719</v>
      </c>
      <c r="D25" s="4">
        <v>45719</v>
      </c>
      <c r="E25" s="3" t="s">
        <v>33</v>
      </c>
      <c r="F25" s="24">
        <v>246779410382</v>
      </c>
      <c r="G25" s="3" t="s">
        <v>19</v>
      </c>
      <c r="H25" s="5">
        <v>834.4</v>
      </c>
      <c r="I25" s="3" t="s">
        <v>14</v>
      </c>
      <c r="J25" s="5">
        <v>72335.19</v>
      </c>
      <c r="K25" s="5" t="e" cm="1">
        <f t="array" ref="K25">_xlfn.XLOOKUP(F25,'Customer Ledger'!$B:$B,'Customer Ledger'!$H:$I,,0)</f>
        <v>#N/A</v>
      </c>
      <c r="L25" s="5"/>
      <c r="M25" s="5"/>
      <c r="N25" s="3" t="s">
        <v>39</v>
      </c>
      <c r="O25" s="3" t="s">
        <v>37</v>
      </c>
    </row>
    <row r="26" spans="1:16" s="65" customFormat="1" x14ac:dyDescent="0.35">
      <c r="A26" s="60">
        <v>1800011335</v>
      </c>
      <c r="B26" s="60" t="s">
        <v>38</v>
      </c>
      <c r="C26" s="61">
        <v>45870</v>
      </c>
      <c r="D26" s="61">
        <v>45873</v>
      </c>
      <c r="E26" s="60" t="s">
        <v>33</v>
      </c>
      <c r="F26" s="62">
        <v>256779416044</v>
      </c>
      <c r="G26" s="60" t="s">
        <v>19</v>
      </c>
      <c r="H26" s="63">
        <v>756</v>
      </c>
      <c r="I26" s="60" t="s">
        <v>14</v>
      </c>
      <c r="J26" s="63">
        <v>65038.77</v>
      </c>
      <c r="K26" s="63" cm="1">
        <f t="array" ref="K26:L26">_xlfn.XLOOKUP(F26,'Customer Ledger'!$B:$B,'Customer Ledger'!$H:$I,,0)</f>
        <v>-75.599999999999994</v>
      </c>
      <c r="L26" s="63">
        <v>-756</v>
      </c>
      <c r="M26" s="64">
        <f t="shared" ref="M26:M37" si="0">(K26/H26)*-1</f>
        <v>9.9999999999999992E-2</v>
      </c>
      <c r="N26" s="60" t="s">
        <v>40</v>
      </c>
      <c r="O26" s="60" t="s">
        <v>13</v>
      </c>
      <c r="P26" s="65">
        <v>-1</v>
      </c>
    </row>
    <row r="27" spans="1:16" x14ac:dyDescent="0.35">
      <c r="A27" s="3">
        <v>1800009611</v>
      </c>
      <c r="B27" s="3" t="s">
        <v>38</v>
      </c>
      <c r="C27" s="4">
        <v>45818</v>
      </c>
      <c r="D27" s="4">
        <v>45825</v>
      </c>
      <c r="E27" s="3" t="s">
        <v>33</v>
      </c>
      <c r="F27" s="24">
        <v>256779414375</v>
      </c>
      <c r="G27" s="3" t="s">
        <v>19</v>
      </c>
      <c r="H27" s="5">
        <v>756</v>
      </c>
      <c r="I27" s="3" t="s">
        <v>14</v>
      </c>
      <c r="J27" s="5">
        <v>64631.03</v>
      </c>
      <c r="K27" s="5" cm="1">
        <f t="array" ref="K27:L27">_xlfn.XLOOKUP(F27,'Customer Ledger'!$B:$B,'Customer Ledger'!$H:$I,,0)</f>
        <v>-75.599999999999994</v>
      </c>
      <c r="L27" s="5">
        <v>-756</v>
      </c>
      <c r="M27" s="44">
        <f t="shared" si="0"/>
        <v>9.9999999999999992E-2</v>
      </c>
      <c r="N27" s="3" t="s">
        <v>41</v>
      </c>
      <c r="O27" s="3" t="s">
        <v>26</v>
      </c>
    </row>
    <row r="28" spans="1:16" s="65" customFormat="1" x14ac:dyDescent="0.35">
      <c r="A28" s="60">
        <v>1800012789</v>
      </c>
      <c r="B28" s="60" t="s">
        <v>38</v>
      </c>
      <c r="C28" s="61">
        <v>45917</v>
      </c>
      <c r="D28" s="61">
        <v>45922</v>
      </c>
      <c r="E28" s="60" t="s">
        <v>33</v>
      </c>
      <c r="F28" s="62">
        <v>256779417443</v>
      </c>
      <c r="G28" s="60" t="s">
        <v>19</v>
      </c>
      <c r="H28" s="63">
        <v>24.92</v>
      </c>
      <c r="I28" s="60" t="s">
        <v>14</v>
      </c>
      <c r="J28" s="63">
        <v>2180.86</v>
      </c>
      <c r="K28" s="63" cm="1">
        <f t="array" ref="K28:L28">_xlfn.XLOOKUP(F28,'Customer Ledger'!$B:$B,'Customer Ledger'!$H:$I,,0)</f>
        <v>-0.5</v>
      </c>
      <c r="L28" s="63">
        <v>-24.92</v>
      </c>
      <c r="M28" s="64">
        <f t="shared" si="0"/>
        <v>2.0064205457463884E-2</v>
      </c>
      <c r="N28" s="60" t="s">
        <v>42</v>
      </c>
      <c r="O28" s="60" t="s">
        <v>13</v>
      </c>
    </row>
    <row r="29" spans="1:16" x14ac:dyDescent="0.35">
      <c r="A29" s="3">
        <v>1800006713</v>
      </c>
      <c r="B29" s="3" t="s">
        <v>38</v>
      </c>
      <c r="C29" s="4">
        <v>45762</v>
      </c>
      <c r="D29" s="4">
        <v>45763</v>
      </c>
      <c r="E29" s="3" t="s">
        <v>33</v>
      </c>
      <c r="F29" s="24">
        <v>256779411604</v>
      </c>
      <c r="G29" s="3" t="s">
        <v>19</v>
      </c>
      <c r="H29" s="5">
        <v>140</v>
      </c>
      <c r="I29" s="3" t="s">
        <v>14</v>
      </c>
      <c r="J29" s="5">
        <v>12169.05</v>
      </c>
      <c r="K29" s="5" cm="1">
        <f t="array" ref="K29:L29">_xlfn.XLOOKUP(F29,'Customer Ledger'!$B:$B,'Customer Ledger'!$H:$I,,0)</f>
        <v>-2.8</v>
      </c>
      <c r="L29" s="5">
        <v>-140</v>
      </c>
      <c r="M29" s="44">
        <f t="shared" si="0"/>
        <v>0.02</v>
      </c>
      <c r="N29" s="3" t="s">
        <v>43</v>
      </c>
      <c r="O29" s="3" t="s">
        <v>20</v>
      </c>
    </row>
    <row r="30" spans="1:16" x14ac:dyDescent="0.35">
      <c r="A30" s="3">
        <v>1800006714</v>
      </c>
      <c r="B30" s="3" t="s">
        <v>38</v>
      </c>
      <c r="C30" s="4">
        <v>45762</v>
      </c>
      <c r="D30" s="4">
        <v>45763</v>
      </c>
      <c r="E30" s="3" t="s">
        <v>33</v>
      </c>
      <c r="F30" s="24">
        <v>256779411605</v>
      </c>
      <c r="G30" s="3" t="s">
        <v>19</v>
      </c>
      <c r="H30" s="5">
        <v>140</v>
      </c>
      <c r="I30" s="3" t="s">
        <v>14</v>
      </c>
      <c r="J30" s="5">
        <v>12169.05</v>
      </c>
      <c r="K30" s="5" cm="1">
        <f t="array" ref="K30:L30">_xlfn.XLOOKUP(F30,'Customer Ledger'!$B:$B,'Customer Ledger'!$H:$I,,0)</f>
        <v>-2.8</v>
      </c>
      <c r="L30" s="5">
        <v>-140</v>
      </c>
      <c r="M30" s="44">
        <f t="shared" si="0"/>
        <v>0.02</v>
      </c>
      <c r="N30" s="3" t="s">
        <v>43</v>
      </c>
      <c r="O30" s="3">
        <v>1400001172</v>
      </c>
    </row>
    <row r="31" spans="1:16" s="65" customFormat="1" x14ac:dyDescent="0.35">
      <c r="A31" s="60">
        <v>1800012588</v>
      </c>
      <c r="B31" s="60" t="s">
        <v>38</v>
      </c>
      <c r="C31" s="61">
        <v>45904</v>
      </c>
      <c r="D31" s="61">
        <v>45909</v>
      </c>
      <c r="E31" s="60" t="s">
        <v>33</v>
      </c>
      <c r="F31" s="62">
        <v>256779417246</v>
      </c>
      <c r="G31" s="60" t="s">
        <v>19</v>
      </c>
      <c r="H31" s="63">
        <v>183.54</v>
      </c>
      <c r="I31" s="60" t="s">
        <v>14</v>
      </c>
      <c r="J31" s="63">
        <v>16062.38</v>
      </c>
      <c r="K31" s="63" cm="1">
        <f t="array" ref="K31:L31">_xlfn.XLOOKUP(F31,'Customer Ledger'!$B:$B,'Customer Ledger'!$H:$I,,0)</f>
        <v>-3.67</v>
      </c>
      <c r="L31" s="63">
        <v>-183.54</v>
      </c>
      <c r="M31" s="64">
        <f t="shared" si="0"/>
        <v>1.9995641277105809E-2</v>
      </c>
      <c r="N31" s="60" t="s">
        <v>44</v>
      </c>
      <c r="O31" s="60" t="s">
        <v>13</v>
      </c>
    </row>
    <row r="32" spans="1:16" s="65" customFormat="1" x14ac:dyDescent="0.35">
      <c r="A32" s="60">
        <v>1800012621</v>
      </c>
      <c r="B32" s="60" t="s">
        <v>38</v>
      </c>
      <c r="C32" s="61">
        <v>45904</v>
      </c>
      <c r="D32" s="61">
        <v>45909</v>
      </c>
      <c r="E32" s="60" t="s">
        <v>33</v>
      </c>
      <c r="F32" s="62">
        <v>256779417208</v>
      </c>
      <c r="G32" s="60" t="s">
        <v>19</v>
      </c>
      <c r="H32" s="63">
        <v>63.29</v>
      </c>
      <c r="I32" s="60" t="s">
        <v>14</v>
      </c>
      <c r="J32" s="63">
        <v>5538.78</v>
      </c>
      <c r="K32" s="63" cm="1">
        <f t="array" ref="K32:L32">_xlfn.XLOOKUP(F32,'Customer Ledger'!$B:$B,'Customer Ledger'!$H:$I,,0)</f>
        <v>-1.26</v>
      </c>
      <c r="L32" s="63">
        <v>-63.29</v>
      </c>
      <c r="M32" s="64">
        <f t="shared" si="0"/>
        <v>1.9908358350450309E-2</v>
      </c>
      <c r="N32" s="60" t="s">
        <v>45</v>
      </c>
      <c r="O32" s="60" t="s">
        <v>13</v>
      </c>
    </row>
    <row r="33" spans="1:15" s="65" customFormat="1" x14ac:dyDescent="0.35">
      <c r="A33" s="60">
        <v>1800012649</v>
      </c>
      <c r="B33" s="60" t="s">
        <v>38</v>
      </c>
      <c r="C33" s="61">
        <v>45904</v>
      </c>
      <c r="D33" s="61">
        <v>45909</v>
      </c>
      <c r="E33" s="60" t="s">
        <v>33</v>
      </c>
      <c r="F33" s="62">
        <v>256779417289</v>
      </c>
      <c r="G33" s="60" t="s">
        <v>19</v>
      </c>
      <c r="H33" s="63">
        <v>675.97</v>
      </c>
      <c r="I33" s="60" t="s">
        <v>14</v>
      </c>
      <c r="J33" s="63">
        <v>59157.06</v>
      </c>
      <c r="K33" s="63" cm="1">
        <f t="array" ref="K33:L33">_xlfn.XLOOKUP(F33,'Customer Ledger'!$B:$B,'Customer Ledger'!$H:$I,,0)</f>
        <v>-13.52</v>
      </c>
      <c r="L33" s="63">
        <v>-675.97</v>
      </c>
      <c r="M33" s="64">
        <f t="shared" si="0"/>
        <v>2.0000887613355622E-2</v>
      </c>
      <c r="N33" s="60" t="s">
        <v>46</v>
      </c>
      <c r="O33" s="60" t="s">
        <v>13</v>
      </c>
    </row>
    <row r="34" spans="1:15" s="65" customFormat="1" x14ac:dyDescent="0.35">
      <c r="A34" s="60">
        <v>1800012689</v>
      </c>
      <c r="B34" s="60" t="s">
        <v>38</v>
      </c>
      <c r="C34" s="61">
        <v>45904</v>
      </c>
      <c r="D34" s="61">
        <v>45909</v>
      </c>
      <c r="E34" s="60" t="s">
        <v>33</v>
      </c>
      <c r="F34" s="62">
        <v>256779417329</v>
      </c>
      <c r="G34" s="60" t="s">
        <v>19</v>
      </c>
      <c r="H34" s="63">
        <v>87.97</v>
      </c>
      <c r="I34" s="60" t="s">
        <v>14</v>
      </c>
      <c r="J34" s="63">
        <v>7698.64</v>
      </c>
      <c r="K34" s="63" cm="1">
        <f t="array" ref="K34:L34">_xlfn.XLOOKUP(F34,'Customer Ledger'!$B:$B,'Customer Ledger'!$H:$I,,0)</f>
        <v>-1.76</v>
      </c>
      <c r="L34" s="63">
        <v>-87.97</v>
      </c>
      <c r="M34" s="64">
        <f t="shared" si="0"/>
        <v>2.000682050699102E-2</v>
      </c>
      <c r="N34" s="60" t="s">
        <v>47</v>
      </c>
      <c r="O34" s="60" t="s">
        <v>13</v>
      </c>
    </row>
    <row r="35" spans="1:15" s="65" customFormat="1" x14ac:dyDescent="0.35">
      <c r="A35" s="60">
        <v>1800012729</v>
      </c>
      <c r="B35" s="60" t="s">
        <v>38</v>
      </c>
      <c r="C35" s="61">
        <v>45904</v>
      </c>
      <c r="D35" s="61">
        <v>45909</v>
      </c>
      <c r="E35" s="60" t="s">
        <v>33</v>
      </c>
      <c r="F35" s="62">
        <v>256779417363</v>
      </c>
      <c r="G35" s="60" t="s">
        <v>19</v>
      </c>
      <c r="H35" s="63">
        <v>756</v>
      </c>
      <c r="I35" s="60" t="s">
        <v>14</v>
      </c>
      <c r="J35" s="63">
        <v>66160.83</v>
      </c>
      <c r="K35" s="63" cm="1">
        <f t="array" ref="K35:L35">_xlfn.XLOOKUP(F35,'Customer Ledger'!$B:$B,'Customer Ledger'!$H:$I,,0)</f>
        <v>-75.599999999999994</v>
      </c>
      <c r="L35" s="63">
        <v>-756</v>
      </c>
      <c r="M35" s="64">
        <f t="shared" si="0"/>
        <v>9.9999999999999992E-2</v>
      </c>
      <c r="N35" s="60" t="s">
        <v>48</v>
      </c>
      <c r="O35" s="60" t="s">
        <v>13</v>
      </c>
    </row>
    <row r="36" spans="1:15" s="65" customFormat="1" x14ac:dyDescent="0.35">
      <c r="A36" s="60">
        <v>1800010173</v>
      </c>
      <c r="B36" s="60" t="s">
        <v>38</v>
      </c>
      <c r="C36" s="61">
        <v>45842</v>
      </c>
      <c r="D36" s="61">
        <v>45847</v>
      </c>
      <c r="E36" s="60" t="s">
        <v>33</v>
      </c>
      <c r="F36" s="62">
        <v>256779414933</v>
      </c>
      <c r="G36" s="60" t="s">
        <v>19</v>
      </c>
      <c r="H36" s="63">
        <v>756</v>
      </c>
      <c r="I36" s="60" t="s">
        <v>14</v>
      </c>
      <c r="J36" s="63">
        <v>65016.51</v>
      </c>
      <c r="K36" s="63" cm="1">
        <f t="array" ref="K36:L36">_xlfn.XLOOKUP(F36,'Customer Ledger'!$B:$B,'Customer Ledger'!$H:$I,,0)</f>
        <v>-75.599999999999994</v>
      </c>
      <c r="L36" s="63">
        <v>-756</v>
      </c>
      <c r="M36" s="64">
        <f t="shared" si="0"/>
        <v>9.9999999999999992E-2</v>
      </c>
      <c r="N36" s="60" t="s">
        <v>49</v>
      </c>
      <c r="O36" s="60" t="s">
        <v>13</v>
      </c>
    </row>
    <row r="37" spans="1:15" s="65" customFormat="1" x14ac:dyDescent="0.35">
      <c r="A37" s="60">
        <v>1800010289</v>
      </c>
      <c r="B37" s="60" t="s">
        <v>38</v>
      </c>
      <c r="C37" s="61">
        <v>45842</v>
      </c>
      <c r="D37" s="61">
        <v>45847</v>
      </c>
      <c r="E37" s="60" t="s">
        <v>33</v>
      </c>
      <c r="F37" s="62">
        <v>256779415049</v>
      </c>
      <c r="G37" s="60" t="s">
        <v>19</v>
      </c>
      <c r="H37" s="63">
        <v>17.54</v>
      </c>
      <c r="I37" s="60" t="s">
        <v>14</v>
      </c>
      <c r="J37" s="63">
        <v>1508.45</v>
      </c>
      <c r="K37" s="63" cm="1">
        <f t="array" ref="K37:L37">_xlfn.XLOOKUP(F37,'Customer Ledger'!$B:$B,'Customer Ledger'!$H:$I,,0)</f>
        <v>-0.35</v>
      </c>
      <c r="L37" s="63">
        <v>-17.54</v>
      </c>
      <c r="M37" s="64">
        <f t="shared" si="0"/>
        <v>1.9954389965792473E-2</v>
      </c>
      <c r="N37" s="60" t="s">
        <v>50</v>
      </c>
      <c r="O37" s="60" t="s">
        <v>13</v>
      </c>
    </row>
    <row r="38" spans="1:15" x14ac:dyDescent="0.35">
      <c r="A38" s="3">
        <v>1600001545</v>
      </c>
      <c r="B38" s="3" t="s">
        <v>51</v>
      </c>
      <c r="C38" s="4">
        <v>45842</v>
      </c>
      <c r="D38" s="4">
        <v>45846</v>
      </c>
      <c r="E38" s="3" t="s">
        <v>33</v>
      </c>
      <c r="F38" s="24">
        <v>256779421177</v>
      </c>
      <c r="G38" s="3" t="s">
        <v>19</v>
      </c>
      <c r="H38" s="5">
        <v>-140</v>
      </c>
      <c r="I38" s="3" t="s">
        <v>14</v>
      </c>
      <c r="J38" s="5">
        <v>-12040.09</v>
      </c>
      <c r="K38" s="5" t="e" cm="1">
        <f t="array" ref="K38">_xlfn.XLOOKUP(F38,'Customer Ledger'!$B:$B,'Customer Ledger'!$H:$I,,0)</f>
        <v>#N/A</v>
      </c>
      <c r="L38" s="5"/>
      <c r="M38">
        <v>0</v>
      </c>
      <c r="N38" s="3" t="s">
        <v>52</v>
      </c>
      <c r="O38" s="3" t="s">
        <v>37</v>
      </c>
    </row>
    <row r="39" spans="1:15" x14ac:dyDescent="0.35">
      <c r="A39" s="3">
        <v>1600001546</v>
      </c>
      <c r="B39" s="3" t="s">
        <v>51</v>
      </c>
      <c r="C39" s="4">
        <v>45842</v>
      </c>
      <c r="D39" s="4">
        <v>45846</v>
      </c>
      <c r="E39" s="3" t="s">
        <v>33</v>
      </c>
      <c r="F39" s="24">
        <v>256779421178</v>
      </c>
      <c r="G39" s="3" t="s">
        <v>19</v>
      </c>
      <c r="H39" s="5">
        <v>-756</v>
      </c>
      <c r="I39" s="3" t="s">
        <v>14</v>
      </c>
      <c r="J39" s="5">
        <v>-65016.51</v>
      </c>
      <c r="K39" s="5" t="e" cm="1">
        <f t="array" ref="K39">_xlfn.XLOOKUP(F39,'Customer Ledger'!$B:$B,'Customer Ledger'!$H:$I,,0)</f>
        <v>#N/A</v>
      </c>
      <c r="L39" s="5"/>
      <c r="M39">
        <v>0</v>
      </c>
      <c r="N39" s="3" t="s">
        <v>53</v>
      </c>
      <c r="O39" s="3" t="s">
        <v>37</v>
      </c>
    </row>
    <row r="40" spans="1:15" x14ac:dyDescent="0.35">
      <c r="A40" s="3">
        <v>1600001547</v>
      </c>
      <c r="B40" s="3" t="s">
        <v>51</v>
      </c>
      <c r="C40" s="4">
        <v>45842</v>
      </c>
      <c r="D40" s="4">
        <v>45846</v>
      </c>
      <c r="E40" s="3" t="s">
        <v>33</v>
      </c>
      <c r="F40" s="24">
        <v>256779421179</v>
      </c>
      <c r="G40" s="3" t="s">
        <v>19</v>
      </c>
      <c r="H40" s="5">
        <v>-756</v>
      </c>
      <c r="I40" s="3" t="s">
        <v>14</v>
      </c>
      <c r="J40" s="5">
        <v>-65016.51</v>
      </c>
      <c r="K40" s="5" t="e" cm="1">
        <f t="array" ref="K40">_xlfn.XLOOKUP(F40,'Customer Ledger'!$B:$B,'Customer Ledger'!$H:$I,,0)</f>
        <v>#N/A</v>
      </c>
      <c r="L40" s="5"/>
      <c r="M40">
        <v>0</v>
      </c>
      <c r="N40" s="3" t="s">
        <v>54</v>
      </c>
      <c r="O40" s="3" t="s">
        <v>37</v>
      </c>
    </row>
    <row r="41" spans="1:15" x14ac:dyDescent="0.35">
      <c r="A41" s="3">
        <v>1600001548</v>
      </c>
      <c r="B41" s="3" t="s">
        <v>51</v>
      </c>
      <c r="C41" s="4">
        <v>45842</v>
      </c>
      <c r="D41" s="4">
        <v>45846</v>
      </c>
      <c r="E41" s="3" t="s">
        <v>33</v>
      </c>
      <c r="F41" s="24">
        <v>256779421180</v>
      </c>
      <c r="G41" s="3" t="s">
        <v>19</v>
      </c>
      <c r="H41" s="5">
        <v>-756</v>
      </c>
      <c r="I41" s="3" t="s">
        <v>14</v>
      </c>
      <c r="J41" s="5">
        <v>-65016.51</v>
      </c>
      <c r="K41" s="5" t="e" cm="1">
        <f t="array" ref="K41">_xlfn.XLOOKUP(F41,'Customer Ledger'!$B:$B,'Customer Ledger'!$H:$I,,0)</f>
        <v>#N/A</v>
      </c>
      <c r="L41" s="5"/>
      <c r="M41">
        <v>0</v>
      </c>
      <c r="N41" s="3" t="s">
        <v>55</v>
      </c>
      <c r="O41" s="3" t="s">
        <v>37</v>
      </c>
    </row>
    <row r="42" spans="1:15" x14ac:dyDescent="0.35">
      <c r="A42" s="3">
        <v>1600001549</v>
      </c>
      <c r="B42" s="3" t="s">
        <v>51</v>
      </c>
      <c r="C42" s="4">
        <v>45842</v>
      </c>
      <c r="D42" s="4">
        <v>45846</v>
      </c>
      <c r="E42" s="3" t="s">
        <v>33</v>
      </c>
      <c r="F42" s="24">
        <v>256779421181</v>
      </c>
      <c r="G42" s="3" t="s">
        <v>19</v>
      </c>
      <c r="H42" s="5">
        <v>-756</v>
      </c>
      <c r="I42" s="3" t="s">
        <v>14</v>
      </c>
      <c r="J42" s="5">
        <v>-65016.51</v>
      </c>
      <c r="K42" s="5" t="e" cm="1">
        <f t="array" ref="K42">_xlfn.XLOOKUP(F42,'Customer Ledger'!$B:$B,'Customer Ledger'!$H:$I,,0)</f>
        <v>#N/A</v>
      </c>
      <c r="L42" s="5"/>
      <c r="M42">
        <v>0</v>
      </c>
      <c r="N42" s="3" t="s">
        <v>56</v>
      </c>
      <c r="O42" s="3" t="s">
        <v>37</v>
      </c>
    </row>
    <row r="43" spans="1:15" x14ac:dyDescent="0.35">
      <c r="A43" s="3">
        <v>1600001550</v>
      </c>
      <c r="B43" s="3" t="s">
        <v>51</v>
      </c>
      <c r="C43" s="4">
        <v>45842</v>
      </c>
      <c r="D43" s="4">
        <v>45846</v>
      </c>
      <c r="E43" s="3" t="s">
        <v>33</v>
      </c>
      <c r="F43" s="24">
        <v>256779421182</v>
      </c>
      <c r="G43" s="3" t="s">
        <v>19</v>
      </c>
      <c r="H43" s="5">
        <v>-756</v>
      </c>
      <c r="I43" s="3" t="s">
        <v>14</v>
      </c>
      <c r="J43" s="5">
        <v>-65016.51</v>
      </c>
      <c r="K43" s="5" t="e" cm="1">
        <f t="array" ref="K43">_xlfn.XLOOKUP(F43,'Customer Ledger'!$B:$B,'Customer Ledger'!$H:$I,,0)</f>
        <v>#N/A</v>
      </c>
      <c r="L43" s="5"/>
      <c r="M43">
        <v>0</v>
      </c>
      <c r="N43" s="3" t="s">
        <v>57</v>
      </c>
      <c r="O43" s="3" t="s">
        <v>37</v>
      </c>
    </row>
    <row r="44" spans="1:15" x14ac:dyDescent="0.35">
      <c r="A44" s="3">
        <v>1600001551</v>
      </c>
      <c r="B44" s="3" t="s">
        <v>51</v>
      </c>
      <c r="C44" s="4">
        <v>45842</v>
      </c>
      <c r="D44" s="4">
        <v>45846</v>
      </c>
      <c r="E44" s="3" t="s">
        <v>33</v>
      </c>
      <c r="F44" s="24">
        <v>256779421183</v>
      </c>
      <c r="G44" s="3" t="s">
        <v>19</v>
      </c>
      <c r="H44" s="5">
        <v>-756</v>
      </c>
      <c r="I44" s="3" t="s">
        <v>14</v>
      </c>
      <c r="J44" s="5">
        <v>-65016.51</v>
      </c>
      <c r="K44" s="5" t="e" cm="1">
        <f t="array" ref="K44">_xlfn.XLOOKUP(F44,'Customer Ledger'!$B:$B,'Customer Ledger'!$H:$I,,0)</f>
        <v>#N/A</v>
      </c>
      <c r="L44" s="5"/>
      <c r="M44">
        <v>0</v>
      </c>
      <c r="N44" s="3" t="s">
        <v>58</v>
      </c>
      <c r="O44" s="3" t="s">
        <v>37</v>
      </c>
    </row>
    <row r="45" spans="1:15" x14ac:dyDescent="0.35">
      <c r="A45" s="3">
        <v>1600001552</v>
      </c>
      <c r="B45" s="3" t="s">
        <v>51</v>
      </c>
      <c r="C45" s="4">
        <v>45842</v>
      </c>
      <c r="D45" s="4">
        <v>45846</v>
      </c>
      <c r="E45" s="3" t="s">
        <v>33</v>
      </c>
      <c r="F45" s="24">
        <v>256779421184</v>
      </c>
      <c r="G45" s="3" t="s">
        <v>19</v>
      </c>
      <c r="H45" s="5">
        <v>-756</v>
      </c>
      <c r="I45" s="3" t="s">
        <v>14</v>
      </c>
      <c r="J45" s="5">
        <v>-65016.51</v>
      </c>
      <c r="K45" s="5" t="e" cm="1">
        <f t="array" ref="K45">_xlfn.XLOOKUP(F45,'Customer Ledger'!$B:$B,'Customer Ledger'!$H:$I,,0)</f>
        <v>#N/A</v>
      </c>
      <c r="L45" s="5"/>
      <c r="M45">
        <v>0</v>
      </c>
      <c r="N45" s="3" t="s">
        <v>59</v>
      </c>
      <c r="O45" s="3" t="s">
        <v>37</v>
      </c>
    </row>
    <row r="46" spans="1:15" x14ac:dyDescent="0.35">
      <c r="A46" s="3">
        <v>1600001553</v>
      </c>
      <c r="B46" s="3" t="s">
        <v>51</v>
      </c>
      <c r="C46" s="4">
        <v>45842</v>
      </c>
      <c r="D46" s="4">
        <v>45846</v>
      </c>
      <c r="E46" s="3" t="s">
        <v>33</v>
      </c>
      <c r="F46" s="24">
        <v>256779421185</v>
      </c>
      <c r="G46" s="3" t="s">
        <v>19</v>
      </c>
      <c r="H46" s="5">
        <v>-756</v>
      </c>
      <c r="I46" s="3" t="s">
        <v>14</v>
      </c>
      <c r="J46" s="5">
        <v>-65016.51</v>
      </c>
      <c r="K46" s="5" t="e" cm="1">
        <f t="array" ref="K46">_xlfn.XLOOKUP(F46,'Customer Ledger'!$B:$B,'Customer Ledger'!$H:$I,,0)</f>
        <v>#N/A</v>
      </c>
      <c r="L46" s="5"/>
      <c r="M46">
        <v>0</v>
      </c>
      <c r="N46" s="3" t="s">
        <v>60</v>
      </c>
      <c r="O46" s="3" t="s">
        <v>37</v>
      </c>
    </row>
    <row r="47" spans="1:15" x14ac:dyDescent="0.35">
      <c r="A47" s="3">
        <v>1600001554</v>
      </c>
      <c r="B47" s="3" t="s">
        <v>51</v>
      </c>
      <c r="C47" s="4">
        <v>45842</v>
      </c>
      <c r="D47" s="4">
        <v>45846</v>
      </c>
      <c r="E47" s="3" t="s">
        <v>33</v>
      </c>
      <c r="F47" s="24">
        <v>256779421186</v>
      </c>
      <c r="G47" s="3" t="s">
        <v>19</v>
      </c>
      <c r="H47" s="5">
        <v>-834.4</v>
      </c>
      <c r="I47" s="3" t="s">
        <v>14</v>
      </c>
      <c r="J47" s="5">
        <v>-71758.960000000006</v>
      </c>
      <c r="K47" s="5" t="e" cm="1">
        <f t="array" ref="K47">_xlfn.XLOOKUP(F47,'Customer Ledger'!$B:$B,'Customer Ledger'!$H:$I,,0)</f>
        <v>#N/A</v>
      </c>
      <c r="L47" s="5"/>
      <c r="M47">
        <v>0</v>
      </c>
      <c r="N47" s="3" t="s">
        <v>61</v>
      </c>
      <c r="O47" s="3" t="s">
        <v>37</v>
      </c>
    </row>
    <row r="48" spans="1:15" x14ac:dyDescent="0.35">
      <c r="A48" s="3">
        <v>1800014733</v>
      </c>
      <c r="B48" s="3" t="s">
        <v>38</v>
      </c>
      <c r="C48" s="4">
        <v>45966</v>
      </c>
      <c r="D48" s="4">
        <v>45968</v>
      </c>
      <c r="E48" s="3" t="s">
        <v>62</v>
      </c>
      <c r="F48" s="24">
        <v>256779419234</v>
      </c>
      <c r="G48" s="3" t="s">
        <v>19</v>
      </c>
      <c r="H48" s="5">
        <v>170.89</v>
      </c>
      <c r="I48" s="3" t="s">
        <v>14</v>
      </c>
      <c r="J48" s="5">
        <v>15038.9</v>
      </c>
      <c r="K48" s="5" cm="1">
        <f t="array" ref="K48:L48">_xlfn.XLOOKUP(F48,'Customer Ledger'!$B:$B,'Customer Ledger'!$H:$I,,0)</f>
        <v>-3.42</v>
      </c>
      <c r="L48" s="5">
        <v>-170.89</v>
      </c>
      <c r="M48" s="44">
        <f>(K48/H48)*-1</f>
        <v>2.0012873778453979E-2</v>
      </c>
      <c r="N48" s="3" t="s">
        <v>63</v>
      </c>
      <c r="O48" s="3" t="s">
        <v>22</v>
      </c>
    </row>
    <row r="49" spans="1:15" x14ac:dyDescent="0.35">
      <c r="A49" s="3">
        <v>1800014253</v>
      </c>
      <c r="B49" s="3" t="s">
        <v>38</v>
      </c>
      <c r="C49" s="4">
        <v>45966</v>
      </c>
      <c r="D49" s="4">
        <v>45966</v>
      </c>
      <c r="E49" s="3" t="s">
        <v>33</v>
      </c>
      <c r="F49" s="24">
        <v>256779418792</v>
      </c>
      <c r="G49" s="3" t="s">
        <v>19</v>
      </c>
      <c r="H49" s="5">
        <v>756</v>
      </c>
      <c r="I49" s="3" t="s">
        <v>14</v>
      </c>
      <c r="J49" s="5">
        <v>66530.559999999998</v>
      </c>
      <c r="K49" s="5" cm="1">
        <f t="array" ref="K49:L49">_xlfn.XLOOKUP(F49,'Customer Ledger'!$B:$B,'Customer Ledger'!$H:$I,,0)</f>
        <v>-75.59</v>
      </c>
      <c r="L49" s="5">
        <v>-756</v>
      </c>
      <c r="M49" s="44">
        <f>(K49/H49)*-1</f>
        <v>9.9986772486772485E-2</v>
      </c>
      <c r="N49" s="3" t="s">
        <v>64</v>
      </c>
      <c r="O49" s="3" t="s">
        <v>22</v>
      </c>
    </row>
    <row r="50" spans="1:15" x14ac:dyDescent="0.35">
      <c r="A50" s="3">
        <v>1800014621</v>
      </c>
      <c r="B50" s="3" t="s">
        <v>38</v>
      </c>
      <c r="C50" s="4">
        <v>45966</v>
      </c>
      <c r="D50" s="4">
        <v>45967</v>
      </c>
      <c r="E50" s="3" t="s">
        <v>33</v>
      </c>
      <c r="F50" s="24">
        <v>256779419203</v>
      </c>
      <c r="G50" s="3" t="s">
        <v>19</v>
      </c>
      <c r="H50" s="5">
        <v>62.66</v>
      </c>
      <c r="I50" s="3" t="s">
        <v>14</v>
      </c>
      <c r="J50" s="5">
        <v>5514.29</v>
      </c>
      <c r="K50" s="5" cm="1">
        <f t="array" ref="K50:L50">_xlfn.XLOOKUP(F50,'Customer Ledger'!$B:$B,'Customer Ledger'!$H:$I,,0)</f>
        <v>-1.26</v>
      </c>
      <c r="L50" s="5">
        <v>-62.66</v>
      </c>
      <c r="M50" s="44">
        <f>(K50/H50)*-1</f>
        <v>2.0108522183210981E-2</v>
      </c>
      <c r="N50" s="3" t="s">
        <v>65</v>
      </c>
      <c r="O50" s="3" t="s">
        <v>22</v>
      </c>
    </row>
    <row r="51" spans="1:15" x14ac:dyDescent="0.35">
      <c r="A51" s="3">
        <v>1800014413</v>
      </c>
      <c r="B51" s="3" t="s">
        <v>38</v>
      </c>
      <c r="C51" s="4">
        <v>45964</v>
      </c>
      <c r="D51" s="4">
        <v>45967</v>
      </c>
      <c r="E51" s="3" t="s">
        <v>33</v>
      </c>
      <c r="F51" s="24">
        <v>256779419135</v>
      </c>
      <c r="G51" s="3" t="s">
        <v>19</v>
      </c>
      <c r="H51" s="5">
        <v>579</v>
      </c>
      <c r="I51" s="3" t="s">
        <v>14</v>
      </c>
      <c r="J51" s="5">
        <v>50953.96</v>
      </c>
      <c r="K51" s="5" cm="1">
        <f t="array" ref="K51:L51">_xlfn.XLOOKUP(F51,'Customer Ledger'!$B:$B,'Customer Ledger'!$H:$I,,0)</f>
        <v>-11.58</v>
      </c>
      <c r="L51" s="5">
        <v>-579</v>
      </c>
      <c r="M51" s="44">
        <f>(K51/H51)*-1</f>
        <v>0.02</v>
      </c>
      <c r="N51" s="3" t="s">
        <v>66</v>
      </c>
      <c r="O51" s="3" t="s">
        <v>22</v>
      </c>
    </row>
    <row r="52" spans="1:15" x14ac:dyDescent="0.35">
      <c r="A52" s="3">
        <v>1600000705</v>
      </c>
      <c r="B52" s="3" t="s">
        <v>51</v>
      </c>
      <c r="C52" s="4">
        <v>45791</v>
      </c>
      <c r="D52" s="4">
        <v>45793</v>
      </c>
      <c r="E52" s="3" t="s">
        <v>33</v>
      </c>
      <c r="F52" s="24">
        <v>256779420414</v>
      </c>
      <c r="G52" s="3" t="s">
        <v>19</v>
      </c>
      <c r="H52" s="5">
        <v>-756</v>
      </c>
      <c r="I52" s="3" t="s">
        <v>14</v>
      </c>
      <c r="J52" s="5">
        <v>-65712.899999999994</v>
      </c>
      <c r="K52" s="5" t="e" cm="1">
        <f t="array" ref="K52">_xlfn.XLOOKUP(F52,'Customer Ledger'!$B:$B,'Customer Ledger'!$H:$I,,0)</f>
        <v>#N/A</v>
      </c>
      <c r="L52" s="5"/>
      <c r="M52">
        <v>0</v>
      </c>
      <c r="N52" s="3" t="s">
        <v>67</v>
      </c>
      <c r="O52" s="3" t="s">
        <v>35</v>
      </c>
    </row>
    <row r="53" spans="1:15" x14ac:dyDescent="0.35">
      <c r="A53" s="3">
        <v>1600000792</v>
      </c>
      <c r="B53" s="3" t="s">
        <v>51</v>
      </c>
      <c r="C53" s="4">
        <v>45791</v>
      </c>
      <c r="D53" s="4">
        <v>45793</v>
      </c>
      <c r="E53" s="3" t="s">
        <v>33</v>
      </c>
      <c r="F53" s="24">
        <v>256779420501</v>
      </c>
      <c r="G53" s="3" t="s">
        <v>19</v>
      </c>
      <c r="H53" s="5">
        <v>-756</v>
      </c>
      <c r="I53" s="3" t="s">
        <v>14</v>
      </c>
      <c r="J53" s="5">
        <v>-65712.899999999994</v>
      </c>
      <c r="K53" s="5" t="e" cm="1">
        <f t="array" ref="K53">_xlfn.XLOOKUP(F53,'Customer Ledger'!$B:$B,'Customer Ledger'!$H:$I,,0)</f>
        <v>#N/A</v>
      </c>
      <c r="L53" s="5"/>
      <c r="M53">
        <v>0</v>
      </c>
      <c r="N53" s="3" t="s">
        <v>68</v>
      </c>
      <c r="O53" s="3" t="s">
        <v>36</v>
      </c>
    </row>
    <row r="54" spans="1:15" x14ac:dyDescent="0.35">
      <c r="A54" s="3">
        <v>1800004360</v>
      </c>
      <c r="B54" s="3" t="s">
        <v>38</v>
      </c>
      <c r="C54" s="4">
        <v>45736</v>
      </c>
      <c r="D54" s="4">
        <v>45737</v>
      </c>
      <c r="E54" s="3" t="s">
        <v>33</v>
      </c>
      <c r="F54" s="24">
        <v>246779414228</v>
      </c>
      <c r="G54" s="3" t="s">
        <v>19</v>
      </c>
      <c r="H54" s="5">
        <v>140</v>
      </c>
      <c r="I54" s="3" t="s">
        <v>14</v>
      </c>
      <c r="J54" s="5">
        <v>12136.78</v>
      </c>
      <c r="K54" s="5" t="e" cm="1">
        <f t="array" ref="K54">_xlfn.XLOOKUP(F54,'Customer Ledger'!$B:$B,'Customer Ledger'!$H:$I,,0)</f>
        <v>#N/A</v>
      </c>
      <c r="L54" s="5"/>
      <c r="M54">
        <v>0</v>
      </c>
      <c r="N54" s="3" t="s">
        <v>69</v>
      </c>
      <c r="O54" s="3" t="s">
        <v>37</v>
      </c>
    </row>
    <row r="55" spans="1:15" x14ac:dyDescent="0.35">
      <c r="A55" s="3">
        <v>1800000063</v>
      </c>
      <c r="B55" s="3" t="s">
        <v>38</v>
      </c>
      <c r="C55" s="4">
        <v>45708</v>
      </c>
      <c r="D55" s="4">
        <v>45708</v>
      </c>
      <c r="E55" s="3" t="s">
        <v>33</v>
      </c>
      <c r="F55" s="24">
        <v>246779410019</v>
      </c>
      <c r="G55" s="3" t="s">
        <v>19</v>
      </c>
      <c r="H55" s="5">
        <v>756</v>
      </c>
      <c r="I55" s="3" t="s">
        <v>14</v>
      </c>
      <c r="J55" s="5">
        <v>65245.57</v>
      </c>
      <c r="K55" s="5" t="e" cm="1">
        <f t="array" ref="K55">_xlfn.XLOOKUP(F55,'Customer Ledger'!$B:$B,'Customer Ledger'!$H:$I,,0)</f>
        <v>#N/A</v>
      </c>
      <c r="L55" s="5"/>
      <c r="M55">
        <v>0</v>
      </c>
      <c r="N55" s="3" t="s">
        <v>70</v>
      </c>
      <c r="O55" s="3" t="s">
        <v>37</v>
      </c>
    </row>
    <row r="56" spans="1:15" x14ac:dyDescent="0.35">
      <c r="A56" s="3">
        <v>1800000111</v>
      </c>
      <c r="B56" s="3" t="s">
        <v>38</v>
      </c>
      <c r="C56" s="4">
        <v>45708</v>
      </c>
      <c r="D56" s="4">
        <v>45708</v>
      </c>
      <c r="E56" s="3" t="s">
        <v>33</v>
      </c>
      <c r="F56" s="24">
        <v>246779410039</v>
      </c>
      <c r="G56" s="3" t="s">
        <v>19</v>
      </c>
      <c r="H56" s="5">
        <v>756</v>
      </c>
      <c r="I56" s="3" t="s">
        <v>14</v>
      </c>
      <c r="J56" s="5">
        <v>65245.57</v>
      </c>
      <c r="K56" s="5" t="e" cm="1">
        <f t="array" ref="K56">_xlfn.XLOOKUP(F56,'Customer Ledger'!$B:$B,'Customer Ledger'!$H:$I,,0)</f>
        <v>#N/A</v>
      </c>
      <c r="L56" s="5"/>
      <c r="M56">
        <v>0</v>
      </c>
      <c r="N56" s="3" t="s">
        <v>71</v>
      </c>
      <c r="O56" s="3" t="s">
        <v>37</v>
      </c>
    </row>
    <row r="57" spans="1:15" x14ac:dyDescent="0.35">
      <c r="A57" s="3">
        <v>1800000144</v>
      </c>
      <c r="B57" s="3" t="s">
        <v>38</v>
      </c>
      <c r="C57" s="4">
        <v>45708</v>
      </c>
      <c r="D57" s="4">
        <v>45709</v>
      </c>
      <c r="E57" s="3" t="s">
        <v>33</v>
      </c>
      <c r="F57" s="24">
        <v>246779410293</v>
      </c>
      <c r="G57" s="3" t="s">
        <v>19</v>
      </c>
      <c r="H57" s="5">
        <v>756</v>
      </c>
      <c r="I57" s="3" t="s">
        <v>14</v>
      </c>
      <c r="J57" s="5">
        <v>65245.57</v>
      </c>
      <c r="K57" s="5" t="e" cm="1">
        <f t="array" ref="K57">_xlfn.XLOOKUP(F57,'Customer Ledger'!$B:$B,'Customer Ledger'!$H:$I,,0)</f>
        <v>#N/A</v>
      </c>
      <c r="L57" s="5"/>
      <c r="M57">
        <v>0</v>
      </c>
      <c r="N57" s="3" t="s">
        <v>72</v>
      </c>
      <c r="O57" s="3" t="s">
        <v>37</v>
      </c>
    </row>
    <row r="58" spans="1:15" x14ac:dyDescent="0.35">
      <c r="A58" s="3">
        <v>1800000180</v>
      </c>
      <c r="B58" s="3" t="s">
        <v>38</v>
      </c>
      <c r="C58" s="4">
        <v>45708</v>
      </c>
      <c r="D58" s="4">
        <v>45708</v>
      </c>
      <c r="E58" s="3" t="s">
        <v>33</v>
      </c>
      <c r="F58" s="24">
        <v>246779410107</v>
      </c>
      <c r="G58" s="3" t="s">
        <v>19</v>
      </c>
      <c r="H58" s="5">
        <v>756</v>
      </c>
      <c r="I58" s="3" t="s">
        <v>14</v>
      </c>
      <c r="J58" s="5">
        <v>65245.57</v>
      </c>
      <c r="K58" s="5" t="e" cm="1">
        <f t="array" ref="K58">_xlfn.XLOOKUP(F58,'Customer Ledger'!$B:$B,'Customer Ledger'!$H:$I,,0)</f>
        <v>#N/A</v>
      </c>
      <c r="L58" s="5"/>
      <c r="M58">
        <v>0</v>
      </c>
      <c r="N58" s="3" t="s">
        <v>73</v>
      </c>
      <c r="O58" s="3" t="s">
        <v>37</v>
      </c>
    </row>
    <row r="59" spans="1:15" x14ac:dyDescent="0.35">
      <c r="A59" s="3">
        <v>1800000223</v>
      </c>
      <c r="B59" s="3" t="s">
        <v>38</v>
      </c>
      <c r="C59" s="4">
        <v>45708</v>
      </c>
      <c r="D59" s="4">
        <v>45708</v>
      </c>
      <c r="E59" s="3" t="s">
        <v>33</v>
      </c>
      <c r="F59" s="24">
        <v>246779410150</v>
      </c>
      <c r="G59" s="3" t="s">
        <v>19</v>
      </c>
      <c r="H59" s="5">
        <v>756</v>
      </c>
      <c r="I59" s="3" t="s">
        <v>14</v>
      </c>
      <c r="J59" s="5">
        <v>65245.57</v>
      </c>
      <c r="K59" s="5" t="e" cm="1">
        <f t="array" ref="K59">_xlfn.XLOOKUP(F59,'Customer Ledger'!$B:$B,'Customer Ledger'!$H:$I,,0)</f>
        <v>#N/A</v>
      </c>
      <c r="L59" s="5"/>
      <c r="M59">
        <v>0</v>
      </c>
      <c r="N59" s="3" t="s">
        <v>74</v>
      </c>
      <c r="O59" s="3" t="s">
        <v>37</v>
      </c>
    </row>
    <row r="60" spans="1:15" x14ac:dyDescent="0.35">
      <c r="A60" s="3">
        <v>1800000266</v>
      </c>
      <c r="B60" s="3" t="s">
        <v>38</v>
      </c>
      <c r="C60" s="4">
        <v>45708</v>
      </c>
      <c r="D60" s="4">
        <v>45708</v>
      </c>
      <c r="E60" s="3" t="s">
        <v>33</v>
      </c>
      <c r="F60" s="24">
        <v>246779410193</v>
      </c>
      <c r="G60" s="3" t="s">
        <v>19</v>
      </c>
      <c r="H60" s="5">
        <v>756</v>
      </c>
      <c r="I60" s="3" t="s">
        <v>14</v>
      </c>
      <c r="J60" s="5">
        <v>65245.57</v>
      </c>
      <c r="K60" s="5" t="e" cm="1">
        <f t="array" ref="K60">_xlfn.XLOOKUP(F60,'Customer Ledger'!$B:$B,'Customer Ledger'!$H:$I,,0)</f>
        <v>#N/A</v>
      </c>
      <c r="L60" s="5"/>
      <c r="M60">
        <v>0</v>
      </c>
      <c r="N60" s="3" t="s">
        <v>75</v>
      </c>
      <c r="O60" s="3" t="s">
        <v>37</v>
      </c>
    </row>
    <row r="61" spans="1:15" x14ac:dyDescent="0.35">
      <c r="A61" s="3">
        <v>1800000309</v>
      </c>
      <c r="B61" s="3" t="s">
        <v>38</v>
      </c>
      <c r="C61" s="4">
        <v>45708</v>
      </c>
      <c r="D61" s="4">
        <v>45708</v>
      </c>
      <c r="E61" s="3" t="s">
        <v>33</v>
      </c>
      <c r="F61" s="24">
        <v>246779410236</v>
      </c>
      <c r="G61" s="3" t="s">
        <v>19</v>
      </c>
      <c r="H61" s="5">
        <v>756</v>
      </c>
      <c r="I61" s="3" t="s">
        <v>14</v>
      </c>
      <c r="J61" s="5">
        <v>65245.57</v>
      </c>
      <c r="K61" s="5" t="e" cm="1">
        <f t="array" ref="K61">_xlfn.XLOOKUP(F61,'Customer Ledger'!$B:$B,'Customer Ledger'!$H:$I,,0)</f>
        <v>#N/A</v>
      </c>
      <c r="L61" s="5"/>
      <c r="M61">
        <v>0</v>
      </c>
      <c r="N61" s="3" t="s">
        <v>76</v>
      </c>
      <c r="O61" s="3" t="s">
        <v>37</v>
      </c>
    </row>
    <row r="62" spans="1:15" s="65" customFormat="1" x14ac:dyDescent="0.35">
      <c r="A62" s="60">
        <v>1800012186</v>
      </c>
      <c r="B62" s="60" t="s">
        <v>38</v>
      </c>
      <c r="C62" s="61">
        <v>45889</v>
      </c>
      <c r="D62" s="61">
        <v>45891</v>
      </c>
      <c r="E62" s="60" t="s">
        <v>33</v>
      </c>
      <c r="F62" s="62">
        <v>256779416818</v>
      </c>
      <c r="G62" s="60" t="s">
        <v>19</v>
      </c>
      <c r="H62" s="63">
        <v>480</v>
      </c>
      <c r="I62" s="60" t="s">
        <v>14</v>
      </c>
      <c r="J62" s="63">
        <v>41294.46</v>
      </c>
      <c r="K62" s="63" cm="1">
        <f t="array" ref="K62:L62">_xlfn.XLOOKUP(F62,'Customer Ledger'!$B:$B,'Customer Ledger'!$H:$I,,0)</f>
        <v>-9.6</v>
      </c>
      <c r="L62" s="63">
        <v>-480</v>
      </c>
      <c r="M62" s="64">
        <f t="shared" ref="M62:M72" si="1">(K62/H62)*-1</f>
        <v>0.02</v>
      </c>
      <c r="N62" s="60" t="s">
        <v>77</v>
      </c>
      <c r="O62" s="60" t="s">
        <v>13</v>
      </c>
    </row>
    <row r="63" spans="1:15" x14ac:dyDescent="0.35">
      <c r="A63" s="3">
        <v>1800010637</v>
      </c>
      <c r="B63" s="3" t="s">
        <v>38</v>
      </c>
      <c r="C63" s="4">
        <v>45854</v>
      </c>
      <c r="D63" s="4">
        <v>45854</v>
      </c>
      <c r="E63" s="3" t="s">
        <v>33</v>
      </c>
      <c r="F63" s="24">
        <v>256779415397</v>
      </c>
      <c r="G63" s="3" t="s">
        <v>19</v>
      </c>
      <c r="H63" s="5">
        <v>756</v>
      </c>
      <c r="I63" s="3" t="s">
        <v>14</v>
      </c>
      <c r="J63" s="5">
        <v>65016.51</v>
      </c>
      <c r="K63" s="5" cm="1">
        <f t="array" ref="K63:L63">_xlfn.XLOOKUP(F63,'Customer Ledger'!$B:$B,'Customer Ledger'!$H:$I,,0)</f>
        <v>-75.599999999999994</v>
      </c>
      <c r="L63" s="5">
        <v>-756</v>
      </c>
      <c r="M63" s="44">
        <f t="shared" si="1"/>
        <v>9.9999999999999992E-2</v>
      </c>
      <c r="N63" s="3" t="s">
        <v>78</v>
      </c>
      <c r="O63" s="3" t="s">
        <v>26</v>
      </c>
    </row>
    <row r="64" spans="1:15" x14ac:dyDescent="0.35">
      <c r="A64" s="3">
        <v>1800010638</v>
      </c>
      <c r="B64" s="3" t="s">
        <v>38</v>
      </c>
      <c r="C64" s="4">
        <v>45854</v>
      </c>
      <c r="D64" s="4">
        <v>45854</v>
      </c>
      <c r="E64" s="3" t="s">
        <v>33</v>
      </c>
      <c r="F64" s="24">
        <v>256779415398</v>
      </c>
      <c r="G64" s="3" t="s">
        <v>19</v>
      </c>
      <c r="H64" s="5">
        <v>756</v>
      </c>
      <c r="I64" s="3" t="s">
        <v>14</v>
      </c>
      <c r="J64" s="5">
        <v>65016.51</v>
      </c>
      <c r="K64" s="5" cm="1">
        <f t="array" ref="K64:L64">_xlfn.XLOOKUP(F64,'Customer Ledger'!$B:$B,'Customer Ledger'!$H:$I,,0)</f>
        <v>-75.599999999999994</v>
      </c>
      <c r="L64" s="5">
        <v>-756</v>
      </c>
      <c r="M64" s="44">
        <f t="shared" si="1"/>
        <v>9.9999999999999992E-2</v>
      </c>
      <c r="N64" s="3" t="s">
        <v>70</v>
      </c>
      <c r="O64" s="3" t="s">
        <v>26</v>
      </c>
    </row>
    <row r="65" spans="1:15" x14ac:dyDescent="0.35">
      <c r="A65" s="3">
        <v>1800010639</v>
      </c>
      <c r="B65" s="3" t="s">
        <v>38</v>
      </c>
      <c r="C65" s="4">
        <v>45854</v>
      </c>
      <c r="D65" s="4">
        <v>45854</v>
      </c>
      <c r="E65" s="3" t="s">
        <v>33</v>
      </c>
      <c r="F65" s="24">
        <v>256779415399</v>
      </c>
      <c r="G65" s="3" t="s">
        <v>19</v>
      </c>
      <c r="H65" s="5">
        <v>756</v>
      </c>
      <c r="I65" s="3" t="s">
        <v>14</v>
      </c>
      <c r="J65" s="5">
        <v>65016.51</v>
      </c>
      <c r="K65" s="5" cm="1">
        <f t="array" ref="K65:L65">_xlfn.XLOOKUP(F65,'Customer Ledger'!$B:$B,'Customer Ledger'!$H:$I,,0)</f>
        <v>-75.599999999999994</v>
      </c>
      <c r="L65" s="5">
        <v>-756</v>
      </c>
      <c r="M65" s="44">
        <f t="shared" si="1"/>
        <v>9.9999999999999992E-2</v>
      </c>
      <c r="N65" s="3" t="s">
        <v>73</v>
      </c>
      <c r="O65" s="3" t="s">
        <v>26</v>
      </c>
    </row>
    <row r="66" spans="1:15" x14ac:dyDescent="0.35">
      <c r="A66" s="3">
        <v>1800010640</v>
      </c>
      <c r="B66" s="3" t="s">
        <v>38</v>
      </c>
      <c r="C66" s="4">
        <v>45854</v>
      </c>
      <c r="D66" s="4">
        <v>45854</v>
      </c>
      <c r="E66" s="3" t="s">
        <v>33</v>
      </c>
      <c r="F66" s="24">
        <v>256779415400</v>
      </c>
      <c r="G66" s="3" t="s">
        <v>19</v>
      </c>
      <c r="H66" s="5">
        <v>756</v>
      </c>
      <c r="I66" s="3" t="s">
        <v>14</v>
      </c>
      <c r="J66" s="5">
        <v>65016.51</v>
      </c>
      <c r="K66" s="5" cm="1">
        <f t="array" ref="K66:L66">_xlfn.XLOOKUP(F66,'Customer Ledger'!$B:$B,'Customer Ledger'!$H:$I,,0)</f>
        <v>-75.599999999999994</v>
      </c>
      <c r="L66" s="5">
        <v>-756</v>
      </c>
      <c r="M66" s="44">
        <f t="shared" si="1"/>
        <v>9.9999999999999992E-2</v>
      </c>
      <c r="N66" s="3" t="s">
        <v>74</v>
      </c>
      <c r="O66" s="3" t="s">
        <v>26</v>
      </c>
    </row>
    <row r="67" spans="1:15" x14ac:dyDescent="0.35">
      <c r="A67" s="3">
        <v>1800010641</v>
      </c>
      <c r="B67" s="3" t="s">
        <v>38</v>
      </c>
      <c r="C67" s="4">
        <v>45854</v>
      </c>
      <c r="D67" s="4">
        <v>45854</v>
      </c>
      <c r="E67" s="3" t="s">
        <v>33</v>
      </c>
      <c r="F67" s="24">
        <v>256779415401</v>
      </c>
      <c r="G67" s="3" t="s">
        <v>19</v>
      </c>
      <c r="H67" s="5">
        <v>756</v>
      </c>
      <c r="I67" s="3" t="s">
        <v>14</v>
      </c>
      <c r="J67" s="5">
        <v>65016.51</v>
      </c>
      <c r="K67" s="5" cm="1">
        <f t="array" ref="K67:L67">_xlfn.XLOOKUP(F67,'Customer Ledger'!$B:$B,'Customer Ledger'!$H:$I,,0)</f>
        <v>-75.599999999999994</v>
      </c>
      <c r="L67" s="5">
        <v>-756</v>
      </c>
      <c r="M67" s="44">
        <f t="shared" si="1"/>
        <v>9.9999999999999992E-2</v>
      </c>
      <c r="N67" s="3" t="s">
        <v>75</v>
      </c>
      <c r="O67" s="3" t="s">
        <v>26</v>
      </c>
    </row>
    <row r="68" spans="1:15" x14ac:dyDescent="0.35">
      <c r="A68" s="3">
        <v>1800010642</v>
      </c>
      <c r="B68" s="3" t="s">
        <v>38</v>
      </c>
      <c r="C68" s="4">
        <v>45854</v>
      </c>
      <c r="D68" s="4">
        <v>45854</v>
      </c>
      <c r="E68" s="3" t="s">
        <v>33</v>
      </c>
      <c r="F68" s="24">
        <v>256779415402</v>
      </c>
      <c r="G68" s="3" t="s">
        <v>19</v>
      </c>
      <c r="H68" s="5">
        <v>756</v>
      </c>
      <c r="I68" s="3" t="s">
        <v>14</v>
      </c>
      <c r="J68" s="5">
        <v>65016.51</v>
      </c>
      <c r="K68" s="5" cm="1">
        <f t="array" ref="K68:L68">_xlfn.XLOOKUP(F68,'Customer Ledger'!$B:$B,'Customer Ledger'!$H:$I,,0)</f>
        <v>-75.599999999999994</v>
      </c>
      <c r="L68" s="5">
        <v>-756</v>
      </c>
      <c r="M68" s="44">
        <f t="shared" si="1"/>
        <v>9.9999999999999992E-2</v>
      </c>
      <c r="N68" s="3" t="s">
        <v>76</v>
      </c>
      <c r="O68" s="3" t="s">
        <v>26</v>
      </c>
    </row>
    <row r="69" spans="1:15" x14ac:dyDescent="0.35">
      <c r="A69" s="3">
        <v>1800010643</v>
      </c>
      <c r="B69" s="3" t="s">
        <v>38</v>
      </c>
      <c r="C69" s="4">
        <v>45854</v>
      </c>
      <c r="D69" s="4">
        <v>45854</v>
      </c>
      <c r="E69" s="3" t="s">
        <v>33</v>
      </c>
      <c r="F69" s="24">
        <v>256779415403</v>
      </c>
      <c r="G69" s="3" t="s">
        <v>19</v>
      </c>
      <c r="H69" s="5">
        <v>756</v>
      </c>
      <c r="I69" s="3" t="s">
        <v>14</v>
      </c>
      <c r="J69" s="5">
        <v>65016.51</v>
      </c>
      <c r="K69" s="5" cm="1">
        <f t="array" ref="K69:L69">_xlfn.XLOOKUP(F69,'Customer Ledger'!$B:$B,'Customer Ledger'!$H:$I,,0)</f>
        <v>-75.599999999999994</v>
      </c>
      <c r="L69" s="5">
        <v>-756</v>
      </c>
      <c r="M69" s="44">
        <f t="shared" si="1"/>
        <v>9.9999999999999992E-2</v>
      </c>
      <c r="N69" s="3" t="s">
        <v>72</v>
      </c>
      <c r="O69" s="3" t="s">
        <v>26</v>
      </c>
    </row>
    <row r="70" spans="1:15" x14ac:dyDescent="0.35">
      <c r="A70" s="3">
        <v>1800010644</v>
      </c>
      <c r="B70" s="3" t="s">
        <v>38</v>
      </c>
      <c r="C70" s="4">
        <v>45854</v>
      </c>
      <c r="D70" s="4">
        <v>45854</v>
      </c>
      <c r="E70" s="3" t="s">
        <v>33</v>
      </c>
      <c r="F70" s="24">
        <v>256779415404</v>
      </c>
      <c r="G70" s="3" t="s">
        <v>19</v>
      </c>
      <c r="H70" s="5">
        <v>756</v>
      </c>
      <c r="I70" s="3" t="s">
        <v>14</v>
      </c>
      <c r="J70" s="5">
        <v>65016.51</v>
      </c>
      <c r="K70" s="5" cm="1">
        <f t="array" ref="K70:L70">_xlfn.XLOOKUP(F70,'Customer Ledger'!$B:$B,'Customer Ledger'!$H:$I,,0)</f>
        <v>-75.599999999999994</v>
      </c>
      <c r="L70" s="5">
        <v>-756</v>
      </c>
      <c r="M70" s="44">
        <f t="shared" si="1"/>
        <v>9.9999999999999992E-2</v>
      </c>
      <c r="N70" s="3" t="s">
        <v>71</v>
      </c>
      <c r="O70" s="3" t="s">
        <v>26</v>
      </c>
    </row>
    <row r="71" spans="1:15" x14ac:dyDescent="0.35">
      <c r="A71" s="3">
        <v>1800010645</v>
      </c>
      <c r="B71" s="3" t="s">
        <v>38</v>
      </c>
      <c r="C71" s="4">
        <v>45854</v>
      </c>
      <c r="D71" s="4">
        <v>45854</v>
      </c>
      <c r="E71" s="3" t="s">
        <v>33</v>
      </c>
      <c r="F71" s="24">
        <v>256779415405</v>
      </c>
      <c r="G71" s="3" t="s">
        <v>19</v>
      </c>
      <c r="H71" s="5">
        <v>834.4</v>
      </c>
      <c r="I71" s="3" t="s">
        <v>14</v>
      </c>
      <c r="J71" s="5">
        <v>71758.960000000006</v>
      </c>
      <c r="K71" s="5" cm="1">
        <f t="array" ref="K71:L71">_xlfn.XLOOKUP(F71,'Customer Ledger'!$B:$B,'Customer Ledger'!$H:$I,,0)</f>
        <v>-83.43</v>
      </c>
      <c r="L71" s="5">
        <v>-834.4</v>
      </c>
      <c r="M71" s="44">
        <f t="shared" si="1"/>
        <v>9.9988015340364347E-2</v>
      </c>
      <c r="N71" s="3" t="s">
        <v>39</v>
      </c>
      <c r="O71" s="3" t="s">
        <v>26</v>
      </c>
    </row>
    <row r="72" spans="1:15" x14ac:dyDescent="0.35">
      <c r="A72" s="3">
        <v>1800010636</v>
      </c>
      <c r="B72" s="3" t="s">
        <v>38</v>
      </c>
      <c r="C72" s="4">
        <v>45854</v>
      </c>
      <c r="D72" s="4">
        <v>45854</v>
      </c>
      <c r="E72" s="3" t="s">
        <v>33</v>
      </c>
      <c r="F72" s="24">
        <v>256779415396</v>
      </c>
      <c r="G72" s="3" t="s">
        <v>19</v>
      </c>
      <c r="H72" s="5">
        <v>140</v>
      </c>
      <c r="I72" s="3" t="s">
        <v>14</v>
      </c>
      <c r="J72" s="5">
        <v>12040.09</v>
      </c>
      <c r="K72" s="5" cm="1">
        <f t="array" ref="K72:L72">_xlfn.XLOOKUP(F72,'Customer Ledger'!$B:$B,'Customer Ledger'!$H:$I,,0)</f>
        <v>-2.8</v>
      </c>
      <c r="L72" s="5">
        <v>-140</v>
      </c>
      <c r="M72" s="44">
        <f t="shared" si="1"/>
        <v>0.02</v>
      </c>
      <c r="N72" s="3" t="s">
        <v>69</v>
      </c>
      <c r="O72" s="3" t="s">
        <v>20</v>
      </c>
    </row>
    <row r="73" spans="1:15" x14ac:dyDescent="0.35">
      <c r="A73" s="3">
        <v>1800005389</v>
      </c>
      <c r="B73" s="3" t="s">
        <v>38</v>
      </c>
      <c r="C73" s="4">
        <v>45750</v>
      </c>
      <c r="D73" s="4">
        <v>45752</v>
      </c>
      <c r="E73" s="3" t="s">
        <v>33</v>
      </c>
      <c r="F73" s="24">
        <v>256779410281</v>
      </c>
      <c r="G73" s="3" t="s">
        <v>19</v>
      </c>
      <c r="H73" s="5">
        <v>756</v>
      </c>
      <c r="I73" s="3" t="s">
        <v>14</v>
      </c>
      <c r="J73" s="5">
        <v>65712.899999999994</v>
      </c>
      <c r="K73" s="5" t="e" cm="1">
        <f t="array" ref="K73">_xlfn.XLOOKUP(F73,'Customer Ledger'!$B:$B,'Customer Ledger'!$H:$I,,0)</f>
        <v>#N/A</v>
      </c>
      <c r="L73" s="5"/>
      <c r="M73">
        <v>0</v>
      </c>
      <c r="N73" s="3" t="s">
        <v>76</v>
      </c>
      <c r="O73" s="3" t="s">
        <v>35</v>
      </c>
    </row>
    <row r="74" spans="1:15" x14ac:dyDescent="0.35">
      <c r="A74" s="3">
        <v>1800005348</v>
      </c>
      <c r="B74" s="3" t="s">
        <v>38</v>
      </c>
      <c r="C74" s="4">
        <v>45750</v>
      </c>
      <c r="D74" s="4">
        <v>45752</v>
      </c>
      <c r="E74" s="3" t="s">
        <v>33</v>
      </c>
      <c r="F74" s="24">
        <v>256779410240</v>
      </c>
      <c r="G74" s="3" t="s">
        <v>19</v>
      </c>
      <c r="H74" s="5">
        <v>756</v>
      </c>
      <c r="I74" s="3" t="s">
        <v>14</v>
      </c>
      <c r="J74" s="5">
        <v>65712.899999999994</v>
      </c>
      <c r="K74" s="5" t="e" cm="1">
        <f t="array" ref="K74">_xlfn.XLOOKUP(F74,'Customer Ledger'!$B:$B,'Customer Ledger'!$H:$I,,0)</f>
        <v>#N/A</v>
      </c>
      <c r="L74" s="5"/>
      <c r="M74">
        <v>0</v>
      </c>
      <c r="N74" s="3" t="s">
        <v>75</v>
      </c>
      <c r="O74" s="3" t="s">
        <v>36</v>
      </c>
    </row>
    <row r="75" spans="1:15" x14ac:dyDescent="0.35">
      <c r="A75" s="3">
        <v>1800013809</v>
      </c>
      <c r="B75" s="3" t="s">
        <v>38</v>
      </c>
      <c r="C75" s="4">
        <v>45950</v>
      </c>
      <c r="D75" s="4">
        <v>45951</v>
      </c>
      <c r="E75" s="3" t="s">
        <v>33</v>
      </c>
      <c r="F75" s="24">
        <v>256779418627</v>
      </c>
      <c r="G75" s="3" t="s">
        <v>19</v>
      </c>
      <c r="H75" s="5">
        <v>260</v>
      </c>
      <c r="I75" s="3" t="s">
        <v>14</v>
      </c>
      <c r="J75" s="5">
        <v>22929.599999999999</v>
      </c>
      <c r="K75" s="5" cm="1">
        <f t="array" ref="K75:L75">_xlfn.XLOOKUP(F75,'Customer Ledger'!$B:$B,'Customer Ledger'!$H:$I,,0)</f>
        <v>-5.2</v>
      </c>
      <c r="L75" s="5">
        <v>-260</v>
      </c>
      <c r="M75" s="44">
        <f>(K75/H75)*-1</f>
        <v>0.02</v>
      </c>
      <c r="N75" s="3" t="s">
        <v>79</v>
      </c>
      <c r="O75" s="3" t="s">
        <v>22</v>
      </c>
    </row>
    <row r="76" spans="1:15" x14ac:dyDescent="0.35">
      <c r="A76" s="3">
        <v>1800013816</v>
      </c>
      <c r="B76" s="3" t="s">
        <v>38</v>
      </c>
      <c r="C76" s="4">
        <v>45950</v>
      </c>
      <c r="D76" s="4">
        <v>45951</v>
      </c>
      <c r="E76" s="3" t="s">
        <v>33</v>
      </c>
      <c r="F76" s="24">
        <v>256779418634</v>
      </c>
      <c r="G76" s="3" t="s">
        <v>19</v>
      </c>
      <c r="H76" s="5">
        <v>50</v>
      </c>
      <c r="I76" s="3" t="s">
        <v>14</v>
      </c>
      <c r="J76" s="5">
        <v>4409.54</v>
      </c>
      <c r="K76" s="5" cm="1">
        <f t="array" ref="K76:L76">_xlfn.XLOOKUP(F76,'Customer Ledger'!$B:$B,'Customer Ledger'!$H:$I,,0)</f>
        <v>-1</v>
      </c>
      <c r="L76" s="5">
        <v>-50</v>
      </c>
      <c r="M76" s="44">
        <f>(K76/H76)*-1</f>
        <v>0.02</v>
      </c>
      <c r="N76" s="3" t="s">
        <v>80</v>
      </c>
      <c r="O76" s="3" t="s">
        <v>22</v>
      </c>
    </row>
    <row r="77" spans="1:15" x14ac:dyDescent="0.35">
      <c r="A77" s="3">
        <v>1800013847</v>
      </c>
      <c r="B77" s="3" t="s">
        <v>38</v>
      </c>
      <c r="C77" s="4">
        <v>45950</v>
      </c>
      <c r="D77" s="4">
        <v>45951</v>
      </c>
      <c r="E77" s="3" t="s">
        <v>33</v>
      </c>
      <c r="F77" s="24">
        <v>256779418665</v>
      </c>
      <c r="G77" s="3" t="s">
        <v>19</v>
      </c>
      <c r="H77" s="5">
        <v>46.5</v>
      </c>
      <c r="I77" s="3" t="s">
        <v>14</v>
      </c>
      <c r="J77" s="5">
        <v>4100.87</v>
      </c>
      <c r="K77" s="5" cm="1">
        <f t="array" ref="K77:L77">_xlfn.XLOOKUP(F77,'Customer Ledger'!$B:$B,'Customer Ledger'!$H:$I,,0)</f>
        <v>-0.93</v>
      </c>
      <c r="L77" s="5">
        <v>-46.5</v>
      </c>
      <c r="M77" s="44">
        <f>(K77/H77)*-1</f>
        <v>0.02</v>
      </c>
      <c r="N77" s="3" t="s">
        <v>81</v>
      </c>
      <c r="O77" s="3" t="s">
        <v>22</v>
      </c>
    </row>
    <row r="78" spans="1:15" x14ac:dyDescent="0.35">
      <c r="A78" s="3">
        <v>1800013928</v>
      </c>
      <c r="B78" s="3" t="s">
        <v>38</v>
      </c>
      <c r="C78" s="4">
        <v>45950</v>
      </c>
      <c r="D78" s="4">
        <v>45951</v>
      </c>
      <c r="E78" s="3" t="s">
        <v>33</v>
      </c>
      <c r="F78" s="24">
        <v>256779418705</v>
      </c>
      <c r="G78" s="3" t="s">
        <v>19</v>
      </c>
      <c r="H78" s="5">
        <v>150.5</v>
      </c>
      <c r="I78" s="3" t="s">
        <v>14</v>
      </c>
      <c r="J78" s="5">
        <v>13272.71</v>
      </c>
      <c r="K78" s="5" cm="1">
        <f t="array" ref="K78:L78">_xlfn.XLOOKUP(F78,'Customer Ledger'!$B:$B,'Customer Ledger'!$H:$I,,0)</f>
        <v>-3.01</v>
      </c>
      <c r="L78" s="5">
        <v>-150.5</v>
      </c>
      <c r="M78" s="44">
        <f>(K78/H78)*-1</f>
        <v>1.9999999999999997E-2</v>
      </c>
      <c r="N78" s="3" t="s">
        <v>82</v>
      </c>
      <c r="O78" s="3" t="s">
        <v>22</v>
      </c>
    </row>
    <row r="79" spans="1:15" x14ac:dyDescent="0.35">
      <c r="A79" s="3">
        <v>1800007266</v>
      </c>
      <c r="B79" s="3" t="s">
        <v>38</v>
      </c>
      <c r="C79" s="4">
        <v>45768</v>
      </c>
      <c r="D79" s="4">
        <v>45769</v>
      </c>
      <c r="E79" s="3" t="s">
        <v>33</v>
      </c>
      <c r="F79" s="24">
        <v>256779412157</v>
      </c>
      <c r="G79" s="3" t="s">
        <v>19</v>
      </c>
      <c r="H79" s="5">
        <v>756</v>
      </c>
      <c r="I79" s="3" t="s">
        <v>14</v>
      </c>
      <c r="J79" s="5">
        <v>64872.36</v>
      </c>
      <c r="K79" s="5" cm="1">
        <f t="array" ref="K79:L79">_xlfn.XLOOKUP(F79,'Customer Ledger'!$B:$B,'Customer Ledger'!$H:$I,,0)</f>
        <v>-75.599999999999994</v>
      </c>
      <c r="L79" s="5">
        <v>-756</v>
      </c>
      <c r="M79" s="44">
        <f>(K79/H79)*-1</f>
        <v>9.9999999999999992E-2</v>
      </c>
      <c r="N79" s="3" t="s">
        <v>83</v>
      </c>
      <c r="O79" s="3" t="s">
        <v>26</v>
      </c>
    </row>
    <row r="80" spans="1:15" x14ac:dyDescent="0.35">
      <c r="A80" s="3">
        <v>1600001865</v>
      </c>
      <c r="B80" s="3" t="s">
        <v>51</v>
      </c>
      <c r="C80" s="4">
        <v>45862</v>
      </c>
      <c r="D80" s="4">
        <v>45862</v>
      </c>
      <c r="E80" s="3" t="s">
        <v>33</v>
      </c>
      <c r="F80" s="24">
        <v>256779421485</v>
      </c>
      <c r="G80" s="3" t="s">
        <v>19</v>
      </c>
      <c r="H80" s="5">
        <v>-756</v>
      </c>
      <c r="I80" s="3" t="s">
        <v>14</v>
      </c>
      <c r="J80" s="5">
        <v>-65016.51</v>
      </c>
      <c r="K80" s="5" t="e" cm="1">
        <f t="array" ref="K80">_xlfn.XLOOKUP(F80,'Customer Ledger'!$B:$B,'Customer Ledger'!$H:$I,,0)</f>
        <v>#N/A</v>
      </c>
      <c r="L80" s="5"/>
      <c r="M80">
        <v>0</v>
      </c>
      <c r="N80" s="3" t="s">
        <v>84</v>
      </c>
      <c r="O80" s="3" t="s">
        <v>16</v>
      </c>
    </row>
    <row r="81" spans="1:15" x14ac:dyDescent="0.35">
      <c r="A81" s="3">
        <v>1600001920</v>
      </c>
      <c r="B81" s="3" t="s">
        <v>51</v>
      </c>
      <c r="C81" s="4">
        <v>45862</v>
      </c>
      <c r="D81" s="4">
        <v>45862</v>
      </c>
      <c r="E81" s="3" t="s">
        <v>33</v>
      </c>
      <c r="F81" s="24">
        <v>256779421540</v>
      </c>
      <c r="G81" s="3" t="s">
        <v>19</v>
      </c>
      <c r="H81" s="5">
        <v>-756</v>
      </c>
      <c r="I81" s="3" t="s">
        <v>14</v>
      </c>
      <c r="J81" s="5">
        <v>-65016.51</v>
      </c>
      <c r="K81" s="5" t="e" cm="1">
        <f t="array" ref="K81">_xlfn.XLOOKUP(F81,'Customer Ledger'!$B:$B,'Customer Ledger'!$H:$I,,0)</f>
        <v>#N/A</v>
      </c>
      <c r="L81" s="5"/>
      <c r="M81">
        <v>0</v>
      </c>
      <c r="N81" s="3" t="s">
        <v>85</v>
      </c>
      <c r="O81" s="3" t="s">
        <v>16</v>
      </c>
    </row>
    <row r="82" spans="1:15" x14ac:dyDescent="0.35">
      <c r="A82" s="3">
        <v>1800009653</v>
      </c>
      <c r="B82" s="3" t="s">
        <v>38</v>
      </c>
      <c r="C82" s="4">
        <v>45826</v>
      </c>
      <c r="D82" s="4">
        <v>45827</v>
      </c>
      <c r="E82" s="3" t="s">
        <v>33</v>
      </c>
      <c r="F82" s="24">
        <v>256779414417</v>
      </c>
      <c r="G82" s="3" t="s">
        <v>19</v>
      </c>
      <c r="H82" s="5">
        <v>756</v>
      </c>
      <c r="I82" s="3" t="s">
        <v>14</v>
      </c>
      <c r="J82" s="5">
        <v>64631.03</v>
      </c>
      <c r="K82" s="5" t="e" cm="1">
        <f t="array" ref="K82">_xlfn.XLOOKUP(F82,'Customer Ledger'!$B:$B,'Customer Ledger'!$H:$I,,0)</f>
        <v>#N/A</v>
      </c>
      <c r="L82" s="5"/>
      <c r="M82">
        <v>0</v>
      </c>
      <c r="N82" s="3" t="s">
        <v>73</v>
      </c>
      <c r="O82" s="3" t="s">
        <v>16</v>
      </c>
    </row>
    <row r="83" spans="1:15" x14ac:dyDescent="0.35">
      <c r="A83" s="3">
        <v>1800009709</v>
      </c>
      <c r="B83" s="3" t="s">
        <v>38</v>
      </c>
      <c r="C83" s="4">
        <v>45826</v>
      </c>
      <c r="D83" s="4">
        <v>45827</v>
      </c>
      <c r="E83" s="3" t="s">
        <v>33</v>
      </c>
      <c r="F83" s="24">
        <v>256779414473</v>
      </c>
      <c r="G83" s="3" t="s">
        <v>19</v>
      </c>
      <c r="H83" s="5">
        <v>756</v>
      </c>
      <c r="I83" s="3" t="s">
        <v>14</v>
      </c>
      <c r="J83" s="5">
        <v>64631.03</v>
      </c>
      <c r="K83" s="5" t="e" cm="1">
        <f t="array" ref="K83">_xlfn.XLOOKUP(F83,'Customer Ledger'!$B:$B,'Customer Ledger'!$H:$I,,0)</f>
        <v>#N/A</v>
      </c>
      <c r="L83" s="5"/>
      <c r="M83">
        <v>0</v>
      </c>
      <c r="N83" s="3" t="s">
        <v>76</v>
      </c>
      <c r="O83" s="3" t="s">
        <v>16</v>
      </c>
    </row>
    <row r="84" spans="1:15" x14ac:dyDescent="0.35">
      <c r="A84" s="3">
        <v>1800003129</v>
      </c>
      <c r="B84" s="3" t="s">
        <v>38</v>
      </c>
      <c r="C84" s="4">
        <v>45735</v>
      </c>
      <c r="D84" s="4">
        <v>45736</v>
      </c>
      <c r="E84" s="3" t="s">
        <v>33</v>
      </c>
      <c r="F84" s="24">
        <v>246779412996</v>
      </c>
      <c r="G84" s="3" t="s">
        <v>19</v>
      </c>
      <c r="H84" s="5">
        <v>756</v>
      </c>
      <c r="I84" s="3" t="s">
        <v>14</v>
      </c>
      <c r="J84" s="5">
        <v>65538.59</v>
      </c>
      <c r="K84" s="5" t="e" cm="1">
        <f t="array" ref="K84">_xlfn.XLOOKUP(F84,'Customer Ledger'!$B:$B,'Customer Ledger'!$H:$I,,0)</f>
        <v>#N/A</v>
      </c>
      <c r="L84" s="5"/>
      <c r="M84">
        <v>0</v>
      </c>
      <c r="N84" s="3" t="s">
        <v>78</v>
      </c>
      <c r="O84" s="3" t="s">
        <v>37</v>
      </c>
    </row>
    <row r="85" spans="1:15" s="65" customFormat="1" x14ac:dyDescent="0.35">
      <c r="A85" s="60">
        <v>1800012816</v>
      </c>
      <c r="B85" s="60" t="s">
        <v>38</v>
      </c>
      <c r="C85" s="61">
        <v>45918</v>
      </c>
      <c r="D85" s="61">
        <v>45922</v>
      </c>
      <c r="E85" s="60" t="s">
        <v>33</v>
      </c>
      <c r="F85" s="62">
        <v>256779417421</v>
      </c>
      <c r="G85" s="60" t="s">
        <v>19</v>
      </c>
      <c r="H85" s="63">
        <v>50</v>
      </c>
      <c r="I85" s="60" t="s">
        <v>14</v>
      </c>
      <c r="J85" s="63">
        <v>4375.72</v>
      </c>
      <c r="K85" s="63" t="e" cm="1">
        <f t="array" ref="K85">_xlfn.XLOOKUP(F85,'Customer Ledger'!$B:$B,'Customer Ledger'!$H:$I,,0)</f>
        <v>#N/A</v>
      </c>
      <c r="L85" s="63"/>
      <c r="M85" s="65">
        <v>0</v>
      </c>
      <c r="N85" s="60" t="s">
        <v>86</v>
      </c>
      <c r="O85" s="60" t="s">
        <v>13</v>
      </c>
    </row>
    <row r="86" spans="1:15" s="65" customFormat="1" x14ac:dyDescent="0.35">
      <c r="A86" s="60">
        <v>1800012994</v>
      </c>
      <c r="B86" s="60" t="s">
        <v>38</v>
      </c>
      <c r="C86" s="61">
        <v>45918</v>
      </c>
      <c r="D86" s="61">
        <v>45922</v>
      </c>
      <c r="E86" s="60" t="s">
        <v>33</v>
      </c>
      <c r="F86" s="62">
        <v>256779417529</v>
      </c>
      <c r="G86" s="60" t="s">
        <v>19</v>
      </c>
      <c r="H86" s="63">
        <v>171.95</v>
      </c>
      <c r="I86" s="60" t="s">
        <v>14</v>
      </c>
      <c r="J86" s="63">
        <v>15048.09</v>
      </c>
      <c r="K86" s="63" cm="1">
        <f t="array" ref="K86:L86">_xlfn.XLOOKUP(F86,'Customer Ledger'!$B:$B,'Customer Ledger'!$H:$I,,0)</f>
        <v>-3.43</v>
      </c>
      <c r="L86" s="63">
        <v>-171.95</v>
      </c>
      <c r="M86" s="64">
        <f>(K86/H86)*-1</f>
        <v>1.9947659203256762E-2</v>
      </c>
      <c r="N86" s="60" t="s">
        <v>87</v>
      </c>
      <c r="O86" s="60" t="s">
        <v>13</v>
      </c>
    </row>
    <row r="87" spans="1:15" s="65" customFormat="1" x14ac:dyDescent="0.35">
      <c r="A87" s="60">
        <v>1800012931</v>
      </c>
      <c r="B87" s="60" t="s">
        <v>38</v>
      </c>
      <c r="C87" s="61">
        <v>45918</v>
      </c>
      <c r="D87" s="61">
        <v>45922</v>
      </c>
      <c r="E87" s="60" t="s">
        <v>33</v>
      </c>
      <c r="F87" s="62">
        <v>256779417570</v>
      </c>
      <c r="G87" s="60" t="s">
        <v>19</v>
      </c>
      <c r="H87" s="63">
        <v>448</v>
      </c>
      <c r="I87" s="60" t="s">
        <v>14</v>
      </c>
      <c r="J87" s="63">
        <v>39206.42</v>
      </c>
      <c r="K87" s="63" cm="1">
        <f t="array" ref="K87:L87">_xlfn.XLOOKUP(F87,'Customer Ledger'!$B:$B,'Customer Ledger'!$H:$I,,0)</f>
        <v>-8.9600000000000009</v>
      </c>
      <c r="L87" s="63">
        <v>-448</v>
      </c>
      <c r="M87" s="64">
        <f>(K87/H87)*-1</f>
        <v>0.02</v>
      </c>
      <c r="N87" s="60" t="s">
        <v>88</v>
      </c>
      <c r="O87" s="60" t="s">
        <v>13</v>
      </c>
    </row>
    <row r="88" spans="1:15" s="65" customFormat="1" x14ac:dyDescent="0.35">
      <c r="A88" s="60">
        <v>1800015292</v>
      </c>
      <c r="B88" s="60" t="s">
        <v>38</v>
      </c>
      <c r="C88" s="61">
        <v>45996</v>
      </c>
      <c r="D88" s="61">
        <v>46000</v>
      </c>
      <c r="E88" s="60" t="s">
        <v>33</v>
      </c>
      <c r="F88" s="62">
        <v>256779419921</v>
      </c>
      <c r="G88" s="60" t="s">
        <v>19</v>
      </c>
      <c r="H88" s="63">
        <v>140</v>
      </c>
      <c r="I88" s="60" t="s">
        <v>14</v>
      </c>
      <c r="J88" s="63">
        <v>12418.02</v>
      </c>
      <c r="K88" s="63" cm="1">
        <f t="array" ref="K88:L88">_xlfn.XLOOKUP(F88,'Customer Ledger'!$B:$B,'Customer Ledger'!$H:$I,,0)</f>
        <v>-2.81</v>
      </c>
      <c r="L88" s="63">
        <v>-140</v>
      </c>
      <c r="M88" s="64">
        <f>(K88/H88)*-1</f>
        <v>2.0071428571428573E-2</v>
      </c>
      <c r="N88" s="60" t="s">
        <v>89</v>
      </c>
      <c r="O88" s="60" t="s">
        <v>13</v>
      </c>
    </row>
    <row r="89" spans="1:15" x14ac:dyDescent="0.35">
      <c r="A89" s="3">
        <v>1800008232</v>
      </c>
      <c r="B89" s="3" t="s">
        <v>38</v>
      </c>
      <c r="C89" s="4">
        <v>45787</v>
      </c>
      <c r="D89" s="4">
        <v>45791</v>
      </c>
      <c r="E89" s="3" t="s">
        <v>33</v>
      </c>
      <c r="F89" s="24">
        <v>256779413116</v>
      </c>
      <c r="G89" s="3" t="s">
        <v>19</v>
      </c>
      <c r="H89" s="5">
        <v>756</v>
      </c>
      <c r="I89" s="3" t="s">
        <v>14</v>
      </c>
      <c r="J89" s="5">
        <v>65003.68</v>
      </c>
      <c r="K89" s="5" cm="1">
        <f t="array" ref="K89:L89">_xlfn.XLOOKUP(F89,'Customer Ledger'!$B:$B,'Customer Ledger'!$H:$I,,0)</f>
        <v>-75.599999999999994</v>
      </c>
      <c r="L89" s="5">
        <v>-756</v>
      </c>
      <c r="M89" s="44">
        <f>(K89/H89)*-1</f>
        <v>9.9999999999999992E-2</v>
      </c>
      <c r="N89" s="3" t="s">
        <v>90</v>
      </c>
      <c r="O89" s="3" t="s">
        <v>26</v>
      </c>
    </row>
    <row r="90" spans="1:15" x14ac:dyDescent="0.35">
      <c r="A90" s="3">
        <v>1800013277</v>
      </c>
      <c r="B90" s="3" t="s">
        <v>38</v>
      </c>
      <c r="C90" s="4">
        <v>45936</v>
      </c>
      <c r="D90" s="4">
        <v>45937</v>
      </c>
      <c r="E90" s="3" t="s">
        <v>33</v>
      </c>
      <c r="F90" s="24">
        <v>256779418013</v>
      </c>
      <c r="G90" s="3" t="s">
        <v>19</v>
      </c>
      <c r="H90" s="5">
        <v>112</v>
      </c>
      <c r="I90" s="3" t="s">
        <v>14</v>
      </c>
      <c r="J90" s="5">
        <v>9877.3700000000008</v>
      </c>
      <c r="K90" s="5" cm="1">
        <f t="array" ref="K90:L90">_xlfn.XLOOKUP(F90,'Customer Ledger'!$B:$B,'Customer Ledger'!$H:$I,,0)</f>
        <v>-11.2</v>
      </c>
      <c r="L90" s="5">
        <v>-112</v>
      </c>
      <c r="M90" s="44">
        <f>(K90/H90)*-1</f>
        <v>9.9999999999999992E-2</v>
      </c>
      <c r="N90" s="3" t="s">
        <v>91</v>
      </c>
      <c r="O90" s="3" t="s">
        <v>22</v>
      </c>
    </row>
    <row r="91" spans="1:15" s="65" customFormat="1" x14ac:dyDescent="0.35">
      <c r="A91" s="60">
        <v>1800013307</v>
      </c>
      <c r="B91" s="60" t="s">
        <v>38</v>
      </c>
      <c r="C91" s="61">
        <v>45935</v>
      </c>
      <c r="D91" s="61">
        <v>45937</v>
      </c>
      <c r="E91" s="60" t="s">
        <v>33</v>
      </c>
      <c r="F91" s="62">
        <v>256779417903</v>
      </c>
      <c r="G91" s="60" t="s">
        <v>19</v>
      </c>
      <c r="H91" s="63">
        <v>62.61</v>
      </c>
      <c r="I91" s="60" t="s">
        <v>14</v>
      </c>
      <c r="J91" s="63">
        <v>5521.62</v>
      </c>
      <c r="K91" s="63" t="e" cm="1">
        <f t="array" ref="K91">_xlfn.XLOOKUP(F91,'Customer Ledger'!$B:$B,'Customer Ledger'!$H:$I,,0)</f>
        <v>#N/A</v>
      </c>
      <c r="L91" s="63"/>
      <c r="M91" s="65">
        <v>0</v>
      </c>
      <c r="N91" s="60" t="s">
        <v>92</v>
      </c>
      <c r="O91" s="60" t="s">
        <v>13</v>
      </c>
    </row>
    <row r="92" spans="1:15" s="65" customFormat="1" x14ac:dyDescent="0.35">
      <c r="A92" s="60">
        <v>1800013512</v>
      </c>
      <c r="B92" s="60" t="s">
        <v>38</v>
      </c>
      <c r="C92" s="61">
        <v>45935</v>
      </c>
      <c r="D92" s="61">
        <v>45940</v>
      </c>
      <c r="E92" s="60" t="s">
        <v>33</v>
      </c>
      <c r="F92" s="62">
        <v>256779418402</v>
      </c>
      <c r="G92" s="60" t="s">
        <v>19</v>
      </c>
      <c r="H92" s="63">
        <v>240.41</v>
      </c>
      <c r="I92" s="60" t="s">
        <v>14</v>
      </c>
      <c r="J92" s="63">
        <v>21201.94</v>
      </c>
      <c r="K92" s="63" cm="1">
        <f t="array" ref="K92:L92">_xlfn.XLOOKUP(F92,'Customer Ledger'!$B:$B,'Customer Ledger'!$H:$I,,0)</f>
        <v>-4.8099999999999996</v>
      </c>
      <c r="L92" s="63">
        <v>-240.41</v>
      </c>
      <c r="M92" s="64">
        <f>(K92/H92)*-1</f>
        <v>2.000748720935069E-2</v>
      </c>
      <c r="N92" s="60" t="s">
        <v>93</v>
      </c>
      <c r="O92" s="60" t="s">
        <v>13</v>
      </c>
    </row>
    <row r="93" spans="1:15" x14ac:dyDescent="0.35">
      <c r="A93" s="3">
        <v>1800013450</v>
      </c>
      <c r="B93" s="3" t="s">
        <v>38</v>
      </c>
      <c r="C93" s="4">
        <v>45935</v>
      </c>
      <c r="D93" s="4">
        <v>45937</v>
      </c>
      <c r="E93" s="3" t="s">
        <v>33</v>
      </c>
      <c r="F93" s="24">
        <v>256779418026</v>
      </c>
      <c r="G93" s="3" t="s">
        <v>19</v>
      </c>
      <c r="H93" s="5">
        <v>756</v>
      </c>
      <c r="I93" s="3" t="s">
        <v>14</v>
      </c>
      <c r="J93" s="5">
        <v>66672.22</v>
      </c>
      <c r="K93" s="5" cm="1">
        <f t="array" ref="K93:L93">_xlfn.XLOOKUP(F93,'Customer Ledger'!$B:$B,'Customer Ledger'!$H:$I,,0)</f>
        <v>-75.59</v>
      </c>
      <c r="L93" s="5">
        <v>-756</v>
      </c>
      <c r="M93" s="44">
        <f>(K93/H93)*-1</f>
        <v>9.9986772486772485E-2</v>
      </c>
      <c r="N93" s="3" t="s">
        <v>94</v>
      </c>
      <c r="O93" s="3" t="s">
        <v>22</v>
      </c>
    </row>
    <row r="94" spans="1:15" s="65" customFormat="1" x14ac:dyDescent="0.35">
      <c r="A94" s="60">
        <v>1800015699</v>
      </c>
      <c r="B94" s="60" t="s">
        <v>38</v>
      </c>
      <c r="C94" s="61">
        <v>46024</v>
      </c>
      <c r="D94" s="61">
        <v>46024</v>
      </c>
      <c r="E94" s="60" t="s">
        <v>33</v>
      </c>
      <c r="F94" s="62">
        <v>256779440032</v>
      </c>
      <c r="G94" s="60" t="s">
        <v>19</v>
      </c>
      <c r="H94" s="63">
        <v>756</v>
      </c>
      <c r="I94" s="60" t="s">
        <v>14</v>
      </c>
      <c r="J94" s="63">
        <v>68601.81</v>
      </c>
      <c r="K94" s="63" cm="1">
        <f t="array" ref="K94:L94">_xlfn.XLOOKUP(F94,'Customer Ledger'!$B:$B,'Customer Ledger'!$H:$I,,0)</f>
        <v>-75.599999999999994</v>
      </c>
      <c r="L94" s="63">
        <v>-756</v>
      </c>
      <c r="M94" s="64">
        <f>(K94/H94)*-1</f>
        <v>9.9999999999999992E-2</v>
      </c>
      <c r="N94" s="60" t="s">
        <v>95</v>
      </c>
      <c r="O94" s="60" t="s">
        <v>13</v>
      </c>
    </row>
    <row r="95" spans="1:15" s="65" customFormat="1" x14ac:dyDescent="0.35">
      <c r="A95" s="60">
        <v>1800016614</v>
      </c>
      <c r="B95" s="60" t="s">
        <v>38</v>
      </c>
      <c r="C95" s="61">
        <v>46028</v>
      </c>
      <c r="D95" s="61">
        <v>46035</v>
      </c>
      <c r="E95" s="60" t="s">
        <v>33</v>
      </c>
      <c r="F95" s="62">
        <v>256779440323</v>
      </c>
      <c r="G95" s="60" t="s">
        <v>19</v>
      </c>
      <c r="H95" s="63">
        <v>756</v>
      </c>
      <c r="I95" s="60" t="s">
        <v>14</v>
      </c>
      <c r="J95" s="63">
        <v>68601.81</v>
      </c>
      <c r="K95" s="63" cm="1">
        <f t="array" ref="K95:L95">_xlfn.XLOOKUP(F95,'Customer Ledger'!$B:$B,'Customer Ledger'!$H:$I,,0)</f>
        <v>-75.599999999999994</v>
      </c>
      <c r="L95" s="63">
        <v>-756</v>
      </c>
      <c r="M95" s="64">
        <f>(K95/H95)*-1</f>
        <v>9.9999999999999992E-2</v>
      </c>
      <c r="N95" s="60" t="s">
        <v>96</v>
      </c>
      <c r="O95" s="60" t="s">
        <v>13</v>
      </c>
    </row>
    <row r="96" spans="1:15" x14ac:dyDescent="0.35">
      <c r="A96" s="3"/>
      <c r="B96" s="3"/>
      <c r="C96" s="4"/>
      <c r="D96" s="4"/>
      <c r="E96" s="3"/>
      <c r="F96" s="3"/>
      <c r="G96" s="3"/>
      <c r="H96" s="5"/>
      <c r="I96" s="3"/>
      <c r="J96" s="5"/>
      <c r="K96" s="5"/>
      <c r="L96" s="5"/>
      <c r="M96" s="5"/>
      <c r="N96" s="3"/>
      <c r="O96" s="3"/>
    </row>
    <row r="97" spans="1:15" x14ac:dyDescent="0.35">
      <c r="A97" s="3"/>
      <c r="B97" s="3"/>
      <c r="C97" s="4"/>
      <c r="D97" s="4"/>
      <c r="E97" s="3"/>
      <c r="F97" s="3"/>
      <c r="G97" s="3"/>
      <c r="H97" s="5"/>
      <c r="I97" s="3"/>
      <c r="J97" s="5"/>
      <c r="K97" s="5"/>
      <c r="L97" s="5"/>
      <c r="M97" s="5"/>
      <c r="N97" s="3"/>
      <c r="O97" s="3"/>
    </row>
    <row r="98" spans="1:15" x14ac:dyDescent="0.35">
      <c r="A98" s="6" t="s">
        <v>13</v>
      </c>
      <c r="B98" s="6" t="s">
        <v>13</v>
      </c>
      <c r="C98" s="7"/>
      <c r="D98" s="7"/>
      <c r="E98" s="6" t="s">
        <v>13</v>
      </c>
      <c r="F98" s="6" t="s">
        <v>13</v>
      </c>
      <c r="G98" s="6" t="s">
        <v>14</v>
      </c>
      <c r="H98" s="8">
        <v>0</v>
      </c>
      <c r="I98" s="6" t="s">
        <v>14</v>
      </c>
      <c r="J98" s="8">
        <v>199324.84</v>
      </c>
      <c r="K98" s="8"/>
      <c r="L98" s="8"/>
      <c r="M98" s="8"/>
      <c r="N98" s="6" t="s">
        <v>13</v>
      </c>
      <c r="O98" s="6" t="s">
        <v>13</v>
      </c>
    </row>
    <row r="99" spans="1:15" x14ac:dyDescent="0.35">
      <c r="A99" s="6" t="s">
        <v>13</v>
      </c>
      <c r="B99" s="6" t="s">
        <v>13</v>
      </c>
      <c r="C99" s="7"/>
      <c r="D99" s="7"/>
      <c r="E99" s="6" t="s">
        <v>13</v>
      </c>
      <c r="F99" s="6" t="s">
        <v>13</v>
      </c>
      <c r="G99" s="6" t="s">
        <v>19</v>
      </c>
      <c r="H99" s="8">
        <v>2283.96</v>
      </c>
      <c r="I99" s="6" t="s">
        <v>13</v>
      </c>
      <c r="J99" s="9"/>
      <c r="K99" s="9"/>
      <c r="L99" s="9"/>
      <c r="M99" s="9"/>
      <c r="N99" s="6" t="s">
        <v>13</v>
      </c>
      <c r="O99" s="6" t="s">
        <v>13</v>
      </c>
    </row>
    <row r="100" spans="1:15" x14ac:dyDescent="0.35">
      <c r="A100" s="10" t="s">
        <v>13</v>
      </c>
      <c r="B100" s="10" t="s">
        <v>13</v>
      </c>
      <c r="C100" s="11"/>
      <c r="D100" s="11"/>
      <c r="E100" s="10" t="s">
        <v>13</v>
      </c>
      <c r="F100" s="10" t="s">
        <v>13</v>
      </c>
      <c r="G100" s="10" t="s">
        <v>14</v>
      </c>
      <c r="H100" s="12">
        <v>0</v>
      </c>
      <c r="I100" s="10" t="s">
        <v>14</v>
      </c>
      <c r="J100" s="12">
        <v>199324.84</v>
      </c>
      <c r="K100" s="12"/>
      <c r="L100" s="12"/>
      <c r="M100" s="12"/>
      <c r="N100" s="10" t="s">
        <v>13</v>
      </c>
      <c r="O100" s="10" t="s">
        <v>13</v>
      </c>
    </row>
    <row r="101" spans="1:15" x14ac:dyDescent="0.35">
      <c r="A101" s="10" t="s">
        <v>13</v>
      </c>
      <c r="B101" s="10" t="s">
        <v>13</v>
      </c>
      <c r="C101" s="11"/>
      <c r="D101" s="11"/>
      <c r="E101" s="10" t="s">
        <v>13</v>
      </c>
      <c r="F101" s="10" t="s">
        <v>13</v>
      </c>
      <c r="G101" s="10" t="s">
        <v>19</v>
      </c>
      <c r="H101" s="12">
        <v>2283.96</v>
      </c>
      <c r="I101" s="10" t="s">
        <v>13</v>
      </c>
      <c r="J101" s="13"/>
      <c r="K101" s="13"/>
      <c r="L101" s="13"/>
      <c r="M101" s="13"/>
      <c r="N101" s="10" t="s">
        <v>13</v>
      </c>
      <c r="O101" s="10" t="s">
        <v>13</v>
      </c>
    </row>
  </sheetData>
  <autoFilter ref="A1:O95" xr:uid="{9415BC61-C466-4D90-8FE6-E4A61F9C895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9B63-831F-4747-9F15-F1B6FEEE487A}">
  <sheetPr>
    <tabColor rgb="FF00B0F0"/>
  </sheetPr>
  <dimension ref="A1:L11"/>
  <sheetViews>
    <sheetView topLeftCell="B1" workbookViewId="0">
      <selection activeCell="D10" sqref="D10"/>
    </sheetView>
  </sheetViews>
  <sheetFormatPr defaultRowHeight="14.5" x14ac:dyDescent="0.35"/>
  <cols>
    <col min="1" max="1" width="8.81640625" bestFit="1" customWidth="1"/>
    <col min="2" max="2" width="12.7265625" bestFit="1" customWidth="1"/>
    <col min="3" max="3" width="10.08984375" bestFit="1" customWidth="1"/>
    <col min="4" max="4" width="8.81640625" bestFit="1" customWidth="1"/>
    <col min="5" max="5" width="10.26953125" bestFit="1" customWidth="1"/>
    <col min="6" max="6" width="44.36328125" bestFit="1" customWidth="1"/>
    <col min="7" max="7" width="16.7265625" bestFit="1" customWidth="1"/>
    <col min="8" max="8" width="20.1796875" bestFit="1" customWidth="1"/>
    <col min="9" max="9" width="29.1796875" bestFit="1" customWidth="1"/>
    <col min="10" max="10" width="9.36328125" style="40" bestFit="1" customWidth="1"/>
    <col min="11" max="11" width="8.7265625" style="40" bestFit="1" customWidth="1"/>
    <col min="12" max="12" width="24.08984375" bestFit="1" customWidth="1"/>
  </cols>
  <sheetData>
    <row r="1" spans="1:12" x14ac:dyDescent="0.35">
      <c r="A1" s="68" t="s">
        <v>161</v>
      </c>
      <c r="B1" s="68"/>
      <c r="C1" s="68"/>
      <c r="D1" s="68"/>
      <c r="E1" s="68"/>
      <c r="F1" s="68"/>
      <c r="G1" s="69" t="s">
        <v>166</v>
      </c>
      <c r="H1" s="69"/>
      <c r="I1" s="69"/>
      <c r="J1" s="70" t="s">
        <v>169</v>
      </c>
      <c r="K1" s="70"/>
      <c r="L1" s="70"/>
    </row>
    <row r="2" spans="1:12" s="22" customFormat="1" ht="58" x14ac:dyDescent="0.35">
      <c r="A2" s="34" t="s">
        <v>97</v>
      </c>
      <c r="B2" s="34" t="s">
        <v>5</v>
      </c>
      <c r="C2" s="34" t="s">
        <v>2</v>
      </c>
      <c r="D2" s="34" t="s">
        <v>98</v>
      </c>
      <c r="E2" s="34" t="s">
        <v>99</v>
      </c>
      <c r="F2" s="34" t="s">
        <v>11</v>
      </c>
      <c r="G2" s="35" t="s">
        <v>12</v>
      </c>
      <c r="H2" s="35" t="s">
        <v>4</v>
      </c>
      <c r="I2" s="38" t="s">
        <v>164</v>
      </c>
      <c r="J2" s="58" t="s">
        <v>158</v>
      </c>
      <c r="K2" s="58" t="s">
        <v>168</v>
      </c>
      <c r="L2" s="39" t="s">
        <v>170</v>
      </c>
    </row>
    <row r="3" spans="1:12" x14ac:dyDescent="0.35">
      <c r="A3" s="14" t="s">
        <v>102</v>
      </c>
      <c r="B3" s="17" t="s">
        <v>108</v>
      </c>
      <c r="C3" s="15">
        <v>45869</v>
      </c>
      <c r="D3" s="16">
        <v>7484.4</v>
      </c>
      <c r="E3" s="16">
        <v>656363.29</v>
      </c>
      <c r="F3" s="14" t="s">
        <v>110</v>
      </c>
      <c r="G3" s="33">
        <v>1400001171</v>
      </c>
      <c r="H3" s="32" t="s">
        <v>25</v>
      </c>
      <c r="I3" s="37">
        <v>-9150.4</v>
      </c>
      <c r="J3" s="37">
        <f>_xlfn.XLOOKUP(G3,Sheet6!$Q$15:$Q$22,Sheet6!$R$15:$R$22,,0)</f>
        <v>-915.0300000000002</v>
      </c>
      <c r="K3" s="37">
        <f>I3+D3+D4-J3</f>
        <v>0</v>
      </c>
      <c r="L3" s="32" t="s">
        <v>171</v>
      </c>
    </row>
    <row r="4" spans="1:12" x14ac:dyDescent="0.35">
      <c r="A4" s="14" t="s">
        <v>102</v>
      </c>
      <c r="B4" s="17" t="s">
        <v>108</v>
      </c>
      <c r="C4" s="15">
        <v>45869</v>
      </c>
      <c r="D4" s="16">
        <v>750.97</v>
      </c>
      <c r="E4" s="16">
        <v>65857.88</v>
      </c>
      <c r="F4" s="14" t="s">
        <v>109</v>
      </c>
      <c r="G4" s="33"/>
      <c r="H4" s="32"/>
      <c r="I4" s="37"/>
      <c r="J4" s="37"/>
      <c r="K4" s="37"/>
      <c r="L4" s="32"/>
    </row>
    <row r="5" spans="1:12" x14ac:dyDescent="0.35">
      <c r="A5" s="14" t="s">
        <v>102</v>
      </c>
      <c r="B5" s="17" t="s">
        <v>139</v>
      </c>
      <c r="C5" s="15">
        <v>46007</v>
      </c>
      <c r="D5" s="16">
        <v>2754.77</v>
      </c>
      <c r="E5" s="16">
        <v>247026.06</v>
      </c>
      <c r="F5" s="14" t="s">
        <v>140</v>
      </c>
      <c r="G5" s="33">
        <v>1400002219</v>
      </c>
      <c r="H5" s="32" t="s">
        <v>21</v>
      </c>
      <c r="I5" s="37">
        <v>-2943.5499999999997</v>
      </c>
      <c r="J5" s="37">
        <f>_xlfn.XLOOKUP(G5,Sheet6!$Q$15:$Q$22,Sheet6!$R$15:$R$22,,0)</f>
        <v>-188.78000000000003</v>
      </c>
      <c r="K5" s="37">
        <f>I5+D5-J5</f>
        <v>2.8421709430404007E-13</v>
      </c>
      <c r="L5" s="32"/>
    </row>
    <row r="6" spans="1:12" x14ac:dyDescent="0.35">
      <c r="A6" s="14" t="s">
        <v>102</v>
      </c>
      <c r="B6" s="14" t="s">
        <v>103</v>
      </c>
      <c r="C6" s="15">
        <v>45931</v>
      </c>
      <c r="D6" s="16">
        <v>2032.13</v>
      </c>
      <c r="E6" s="16">
        <v>180144.46</v>
      </c>
      <c r="F6" s="14" t="s">
        <v>104</v>
      </c>
      <c r="G6" s="32" t="s">
        <v>165</v>
      </c>
      <c r="H6" s="32" t="s">
        <v>24</v>
      </c>
      <c r="I6" s="37">
        <v>-2032.13</v>
      </c>
      <c r="J6" s="37"/>
      <c r="K6" s="37">
        <f t="shared" ref="K6:K9" si="0">I6+D6-J6</f>
        <v>0</v>
      </c>
      <c r="L6" s="32"/>
    </row>
    <row r="7" spans="1:12" x14ac:dyDescent="0.35">
      <c r="A7" s="14" t="s">
        <v>102</v>
      </c>
      <c r="B7" s="17" t="s">
        <v>126</v>
      </c>
      <c r="C7" s="15">
        <v>45931</v>
      </c>
      <c r="D7" s="16">
        <v>1478.15</v>
      </c>
      <c r="E7" s="16">
        <v>130858.37</v>
      </c>
      <c r="F7" s="14" t="s">
        <v>127</v>
      </c>
      <c r="G7" s="32" t="s">
        <v>165</v>
      </c>
      <c r="H7" s="32" t="s">
        <v>23</v>
      </c>
      <c r="I7" s="37">
        <v>-1478.14</v>
      </c>
      <c r="J7" s="37"/>
      <c r="K7" s="37">
        <f t="shared" si="0"/>
        <v>9.9999999999909051E-3</v>
      </c>
      <c r="L7" s="32"/>
    </row>
    <row r="8" spans="1:12" x14ac:dyDescent="0.35">
      <c r="A8" s="14" t="s">
        <v>102</v>
      </c>
      <c r="B8" s="17" t="s">
        <v>134</v>
      </c>
      <c r="C8" s="15">
        <v>45946</v>
      </c>
      <c r="D8" s="16">
        <v>631.98</v>
      </c>
      <c r="E8" s="16">
        <v>56117.65</v>
      </c>
      <c r="F8" s="14" t="s">
        <v>135</v>
      </c>
      <c r="G8" s="32" t="s">
        <v>165</v>
      </c>
      <c r="H8" s="32" t="s">
        <v>30</v>
      </c>
      <c r="I8" s="37">
        <v>-631.97</v>
      </c>
      <c r="J8" s="37"/>
      <c r="K8" s="37">
        <f t="shared" si="0"/>
        <v>9.9999999999909051E-3</v>
      </c>
      <c r="L8" s="32"/>
    </row>
    <row r="9" spans="1:12" x14ac:dyDescent="0.35">
      <c r="A9" s="14" t="s">
        <v>102</v>
      </c>
      <c r="B9" s="17" t="s">
        <v>122</v>
      </c>
      <c r="C9" s="15">
        <v>45898</v>
      </c>
      <c r="D9" s="16">
        <v>411.6</v>
      </c>
      <c r="E9" s="16">
        <v>36049.56</v>
      </c>
      <c r="F9" s="14" t="s">
        <v>123</v>
      </c>
      <c r="G9" s="33">
        <v>1400001172</v>
      </c>
      <c r="H9" s="32" t="s">
        <v>18</v>
      </c>
      <c r="I9" s="37">
        <v>-420</v>
      </c>
      <c r="J9" s="59">
        <v>-8.4</v>
      </c>
      <c r="K9" s="37">
        <f t="shared" si="0"/>
        <v>2.3092638912203256E-14</v>
      </c>
      <c r="L9" s="32"/>
    </row>
    <row r="10" spans="1:12" x14ac:dyDescent="0.35">
      <c r="A10" s="14" t="s">
        <v>102</v>
      </c>
      <c r="B10" s="17" t="s">
        <v>150</v>
      </c>
      <c r="C10" s="15">
        <v>46087</v>
      </c>
      <c r="D10" s="16">
        <v>1733.59</v>
      </c>
      <c r="E10" s="16">
        <v>157574.99</v>
      </c>
      <c r="F10" s="14" t="s">
        <v>151</v>
      </c>
      <c r="G10" s="32"/>
      <c r="H10" s="32"/>
      <c r="I10" s="37"/>
      <c r="J10" s="37"/>
      <c r="K10" s="37"/>
      <c r="L10" s="32" t="s">
        <v>172</v>
      </c>
    </row>
    <row r="11" spans="1:12" x14ac:dyDescent="0.35">
      <c r="D11" s="41">
        <f>SUM(D3:D10)</f>
        <v>17277.59</v>
      </c>
      <c r="E11" s="42"/>
      <c r="F11" s="42"/>
      <c r="G11" s="42"/>
      <c r="H11" s="42"/>
      <c r="I11" s="43">
        <f>SUM(I3:I10)</f>
        <v>-16656.189999999995</v>
      </c>
      <c r="J11" s="43">
        <f t="shared" ref="J11:K11" si="1">SUM(J3:J10)</f>
        <v>-1112.2100000000003</v>
      </c>
      <c r="K11" s="43">
        <f t="shared" si="1"/>
        <v>2.000000000028912E-2</v>
      </c>
    </row>
  </sheetData>
  <autoFilter ref="G2:I9" xr:uid="{E5D19B63-831F-4747-9F15-F1B6FEEE487A}">
    <sortState xmlns:xlrd2="http://schemas.microsoft.com/office/spreadsheetml/2017/richdata2" ref="G3:I11">
      <sortCondition ref="I2:I9"/>
    </sortState>
  </autoFilter>
  <mergeCells count="3">
    <mergeCell ref="A1:F1"/>
    <mergeCell ref="G1:I1"/>
    <mergeCell ref="J1:L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19BD-34D5-40A3-8FD9-0C084A2B264F}">
  <dimension ref="A1:R72"/>
  <sheetViews>
    <sheetView topLeftCell="E1" workbookViewId="0">
      <selection activeCell="Q16" sqref="Q16:R16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0.08984375" bestFit="1" customWidth="1"/>
    <col min="5" max="5" width="20.1796875" bestFit="1" customWidth="1"/>
    <col min="6" max="6" width="12.90625" bestFit="1" customWidth="1"/>
    <col min="7" max="8" width="8.26953125" bestFit="1" customWidth="1"/>
    <col min="10" max="10" width="9.453125" bestFit="1" customWidth="1"/>
    <col min="11" max="11" width="6" bestFit="1" customWidth="1"/>
    <col min="12" max="12" width="7" bestFit="1" customWidth="1"/>
    <col min="13" max="13" width="7.54296875" bestFit="1" customWidth="1"/>
    <col min="14" max="14" width="40.1796875" bestFit="1" customWidth="1"/>
    <col min="15" max="15" width="16.7265625" bestFit="1" customWidth="1"/>
    <col min="17" max="17" width="10.81640625" bestFit="1" customWidth="1"/>
    <col min="18" max="18" width="10.26953125" bestFit="1" customWidth="1"/>
  </cols>
  <sheetData>
    <row r="1" spans="1:18" ht="5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158</v>
      </c>
      <c r="L1" s="2" t="s">
        <v>157</v>
      </c>
      <c r="M1" s="2" t="s">
        <v>159</v>
      </c>
      <c r="N1" s="1" t="s">
        <v>11</v>
      </c>
      <c r="O1" s="1" t="s">
        <v>12</v>
      </c>
      <c r="Q1" s="29" t="s">
        <v>162</v>
      </c>
      <c r="R1" t="s">
        <v>167</v>
      </c>
    </row>
    <row r="2" spans="1:18" x14ac:dyDescent="0.35">
      <c r="A2" s="3">
        <v>1800000420</v>
      </c>
      <c r="B2" s="3" t="s">
        <v>38</v>
      </c>
      <c r="C2" s="4">
        <v>45719</v>
      </c>
      <c r="D2" s="4">
        <v>45719</v>
      </c>
      <c r="E2" s="3" t="s">
        <v>33</v>
      </c>
      <c r="F2" s="24">
        <v>246779410382</v>
      </c>
      <c r="G2" s="3" t="s">
        <v>19</v>
      </c>
      <c r="H2" s="5">
        <v>834.4</v>
      </c>
      <c r="I2" s="3" t="s">
        <v>14</v>
      </c>
      <c r="J2" s="5">
        <v>72335.19</v>
      </c>
      <c r="K2" s="5"/>
      <c r="L2" s="5"/>
      <c r="M2" s="5"/>
      <c r="N2" s="3" t="s">
        <v>39</v>
      </c>
      <c r="O2" s="3" t="s">
        <v>37</v>
      </c>
      <c r="Q2" s="30">
        <v>1400001172</v>
      </c>
      <c r="R2" s="31">
        <v>-2.8</v>
      </c>
    </row>
    <row r="3" spans="1:18" x14ac:dyDescent="0.35">
      <c r="A3" s="3">
        <v>1800011335</v>
      </c>
      <c r="B3" s="3" t="s">
        <v>38</v>
      </c>
      <c r="C3" s="4">
        <v>45870</v>
      </c>
      <c r="D3" s="4">
        <v>45873</v>
      </c>
      <c r="E3" s="3" t="s">
        <v>33</v>
      </c>
      <c r="F3" s="24">
        <v>256779416044</v>
      </c>
      <c r="G3" s="3" t="s">
        <v>19</v>
      </c>
      <c r="H3" s="5">
        <v>756</v>
      </c>
      <c r="I3" s="3" t="s">
        <v>14</v>
      </c>
      <c r="J3" s="5">
        <v>65038.77</v>
      </c>
      <c r="K3" s="5">
        <v>-75.599999999999994</v>
      </c>
      <c r="L3" s="5">
        <v>-756</v>
      </c>
      <c r="M3" s="5"/>
      <c r="N3" s="3" t="s">
        <v>40</v>
      </c>
      <c r="O3" s="3" t="s">
        <v>13</v>
      </c>
      <c r="Q3" s="30"/>
      <c r="R3" s="31">
        <v>-428.66999999999996</v>
      </c>
    </row>
    <row r="4" spans="1:18" x14ac:dyDescent="0.35">
      <c r="A4" s="3">
        <v>1800009611</v>
      </c>
      <c r="B4" s="3" t="s">
        <v>38</v>
      </c>
      <c r="C4" s="4">
        <v>45818</v>
      </c>
      <c r="D4" s="4">
        <v>45825</v>
      </c>
      <c r="E4" s="3" t="s">
        <v>33</v>
      </c>
      <c r="F4" s="24">
        <v>256779414375</v>
      </c>
      <c r="G4" s="3" t="s">
        <v>19</v>
      </c>
      <c r="H4" s="5">
        <v>756</v>
      </c>
      <c r="I4" s="3" t="s">
        <v>14</v>
      </c>
      <c r="J4" s="5">
        <v>64631.03</v>
      </c>
      <c r="K4" s="5">
        <v>-75.599999999999994</v>
      </c>
      <c r="L4" s="5">
        <v>-756</v>
      </c>
      <c r="M4" s="5"/>
      <c r="N4" s="3" t="s">
        <v>41</v>
      </c>
      <c r="O4" s="3" t="s">
        <v>26</v>
      </c>
      <c r="Q4" s="30" t="s">
        <v>35</v>
      </c>
      <c r="R4" s="31"/>
    </row>
    <row r="5" spans="1:18" x14ac:dyDescent="0.35">
      <c r="A5" s="3">
        <v>1800012789</v>
      </c>
      <c r="B5" s="3" t="s">
        <v>38</v>
      </c>
      <c r="C5" s="4">
        <v>45917</v>
      </c>
      <c r="D5" s="4">
        <v>45922</v>
      </c>
      <c r="E5" s="3" t="s">
        <v>33</v>
      </c>
      <c r="F5" s="24">
        <v>256779417443</v>
      </c>
      <c r="G5" s="3" t="s">
        <v>19</v>
      </c>
      <c r="H5" s="5">
        <v>24.92</v>
      </c>
      <c r="I5" s="3" t="s">
        <v>14</v>
      </c>
      <c r="J5" s="5">
        <v>2180.86</v>
      </c>
      <c r="K5" s="5">
        <v>-0.5</v>
      </c>
      <c r="L5" s="5">
        <v>-24.92</v>
      </c>
      <c r="M5" s="5"/>
      <c r="N5" s="3" t="s">
        <v>42</v>
      </c>
      <c r="O5" s="3" t="s">
        <v>13</v>
      </c>
      <c r="Q5" s="30" t="s">
        <v>36</v>
      </c>
      <c r="R5" s="31"/>
    </row>
    <row r="6" spans="1:18" x14ac:dyDescent="0.35">
      <c r="A6" s="3">
        <v>1800006713</v>
      </c>
      <c r="B6" s="3" t="s">
        <v>38</v>
      </c>
      <c r="C6" s="4">
        <v>45762</v>
      </c>
      <c r="D6" s="4">
        <v>45763</v>
      </c>
      <c r="E6" s="3" t="s">
        <v>33</v>
      </c>
      <c r="F6" s="24">
        <v>256779411604</v>
      </c>
      <c r="G6" s="3" t="s">
        <v>19</v>
      </c>
      <c r="H6" s="5">
        <v>140</v>
      </c>
      <c r="I6" s="3" t="s">
        <v>14</v>
      </c>
      <c r="J6" s="5">
        <v>12169.05</v>
      </c>
      <c r="K6" s="5">
        <v>-2.8</v>
      </c>
      <c r="L6" s="5">
        <v>-140</v>
      </c>
      <c r="M6" s="5"/>
      <c r="N6" s="3" t="s">
        <v>43</v>
      </c>
      <c r="O6" s="3" t="s">
        <v>20</v>
      </c>
      <c r="Q6" s="30" t="s">
        <v>16</v>
      </c>
      <c r="R6" s="31"/>
    </row>
    <row r="7" spans="1:18" x14ac:dyDescent="0.35">
      <c r="A7" s="3">
        <v>1800006714</v>
      </c>
      <c r="B7" s="3" t="s">
        <v>38</v>
      </c>
      <c r="C7" s="4">
        <v>45762</v>
      </c>
      <c r="D7" s="4">
        <v>45763</v>
      </c>
      <c r="E7" s="3" t="s">
        <v>33</v>
      </c>
      <c r="F7" s="24">
        <v>256779411605</v>
      </c>
      <c r="G7" s="3" t="s">
        <v>19</v>
      </c>
      <c r="H7" s="5">
        <v>140</v>
      </c>
      <c r="I7" s="3" t="s">
        <v>14</v>
      </c>
      <c r="J7" s="5">
        <v>12169.05</v>
      </c>
      <c r="K7" s="5">
        <v>-2.8</v>
      </c>
      <c r="L7" s="5">
        <v>-140</v>
      </c>
      <c r="M7" s="5"/>
      <c r="N7" s="3" t="s">
        <v>43</v>
      </c>
      <c r="O7" s="3">
        <v>1400001172</v>
      </c>
      <c r="Q7" s="30" t="s">
        <v>26</v>
      </c>
      <c r="R7" s="31">
        <v>-915.0300000000002</v>
      </c>
    </row>
    <row r="8" spans="1:18" x14ac:dyDescent="0.35">
      <c r="A8" s="3">
        <v>1800012588</v>
      </c>
      <c r="B8" s="3" t="s">
        <v>38</v>
      </c>
      <c r="C8" s="4">
        <v>45904</v>
      </c>
      <c r="D8" s="4">
        <v>45909</v>
      </c>
      <c r="E8" s="3" t="s">
        <v>33</v>
      </c>
      <c r="F8" s="24">
        <v>256779417246</v>
      </c>
      <c r="G8" s="3" t="s">
        <v>19</v>
      </c>
      <c r="H8" s="5">
        <v>183.54</v>
      </c>
      <c r="I8" s="3" t="s">
        <v>14</v>
      </c>
      <c r="J8" s="5">
        <v>16062.38</v>
      </c>
      <c r="K8" s="5">
        <v>-3.67</v>
      </c>
      <c r="L8" s="5">
        <v>-183.54</v>
      </c>
      <c r="M8" s="5"/>
      <c r="N8" s="3" t="s">
        <v>44</v>
      </c>
      <c r="O8" s="3" t="s">
        <v>13</v>
      </c>
      <c r="Q8" s="30" t="s">
        <v>20</v>
      </c>
      <c r="R8" s="31">
        <v>-5.6</v>
      </c>
    </row>
    <row r="9" spans="1:18" x14ac:dyDescent="0.35">
      <c r="A9" s="3">
        <v>1800012621</v>
      </c>
      <c r="B9" s="3" t="s">
        <v>38</v>
      </c>
      <c r="C9" s="4">
        <v>45904</v>
      </c>
      <c r="D9" s="4">
        <v>45909</v>
      </c>
      <c r="E9" s="3" t="s">
        <v>33</v>
      </c>
      <c r="F9" s="24">
        <v>256779417208</v>
      </c>
      <c r="G9" s="3" t="s">
        <v>19</v>
      </c>
      <c r="H9" s="5">
        <v>63.29</v>
      </c>
      <c r="I9" s="3" t="s">
        <v>14</v>
      </c>
      <c r="J9" s="5">
        <v>5538.78</v>
      </c>
      <c r="K9" s="5">
        <v>-1.26</v>
      </c>
      <c r="L9" s="5">
        <v>-63.29</v>
      </c>
      <c r="M9" s="5"/>
      <c r="N9" s="3" t="s">
        <v>45</v>
      </c>
      <c r="O9" s="3" t="s">
        <v>13</v>
      </c>
      <c r="Q9" s="30" t="s">
        <v>37</v>
      </c>
      <c r="R9" s="31"/>
    </row>
    <row r="10" spans="1:18" x14ac:dyDescent="0.35">
      <c r="A10" s="3">
        <v>1800012649</v>
      </c>
      <c r="B10" s="3" t="s">
        <v>38</v>
      </c>
      <c r="C10" s="4">
        <v>45904</v>
      </c>
      <c r="D10" s="4">
        <v>45909</v>
      </c>
      <c r="E10" s="3" t="s">
        <v>33</v>
      </c>
      <c r="F10" s="24">
        <v>256779417289</v>
      </c>
      <c r="G10" s="3" t="s">
        <v>19</v>
      </c>
      <c r="H10" s="5">
        <v>675.97</v>
      </c>
      <c r="I10" s="3" t="s">
        <v>14</v>
      </c>
      <c r="J10" s="5">
        <v>59157.06</v>
      </c>
      <c r="K10" s="5">
        <v>-13.52</v>
      </c>
      <c r="L10" s="5">
        <v>-675.97</v>
      </c>
      <c r="M10" s="5"/>
      <c r="N10" s="3" t="s">
        <v>46</v>
      </c>
      <c r="O10" s="3" t="s">
        <v>13</v>
      </c>
      <c r="Q10" s="30" t="s">
        <v>22</v>
      </c>
      <c r="R10" s="31">
        <v>-188.78000000000003</v>
      </c>
    </row>
    <row r="11" spans="1:18" x14ac:dyDescent="0.35">
      <c r="A11" s="3">
        <v>1800012689</v>
      </c>
      <c r="B11" s="3" t="s">
        <v>38</v>
      </c>
      <c r="C11" s="4">
        <v>45904</v>
      </c>
      <c r="D11" s="4">
        <v>45909</v>
      </c>
      <c r="E11" s="3" t="s">
        <v>33</v>
      </c>
      <c r="F11" s="24">
        <v>256779417329</v>
      </c>
      <c r="G11" s="3" t="s">
        <v>19</v>
      </c>
      <c r="H11" s="5">
        <v>87.97</v>
      </c>
      <c r="I11" s="3" t="s">
        <v>14</v>
      </c>
      <c r="J11" s="5">
        <v>7698.64</v>
      </c>
      <c r="K11" s="5">
        <v>-1.76</v>
      </c>
      <c r="L11" s="5">
        <v>-87.97</v>
      </c>
      <c r="M11" s="5"/>
      <c r="N11" s="3" t="s">
        <v>47</v>
      </c>
      <c r="O11" s="3" t="s">
        <v>13</v>
      </c>
      <c r="Q11" s="30" t="s">
        <v>163</v>
      </c>
      <c r="R11" s="31">
        <v>-1540.88</v>
      </c>
    </row>
    <row r="12" spans="1:18" x14ac:dyDescent="0.35">
      <c r="A12" s="3">
        <v>1800012729</v>
      </c>
      <c r="B12" s="3" t="s">
        <v>38</v>
      </c>
      <c r="C12" s="4">
        <v>45904</v>
      </c>
      <c r="D12" s="4">
        <v>45909</v>
      </c>
      <c r="E12" s="3" t="s">
        <v>33</v>
      </c>
      <c r="F12" s="24">
        <v>256779417363</v>
      </c>
      <c r="G12" s="3" t="s">
        <v>19</v>
      </c>
      <c r="H12" s="5">
        <v>756</v>
      </c>
      <c r="I12" s="3" t="s">
        <v>14</v>
      </c>
      <c r="J12" s="5">
        <v>66160.83</v>
      </c>
      <c r="K12" s="5">
        <v>-75.599999999999994</v>
      </c>
      <c r="L12" s="5">
        <v>-756</v>
      </c>
      <c r="M12" s="5"/>
      <c r="N12" s="3" t="s">
        <v>48</v>
      </c>
      <c r="O12" s="3" t="s">
        <v>13</v>
      </c>
    </row>
    <row r="13" spans="1:18" x14ac:dyDescent="0.35">
      <c r="A13" s="3">
        <v>1800010173</v>
      </c>
      <c r="B13" s="3" t="s">
        <v>38</v>
      </c>
      <c r="C13" s="4">
        <v>45842</v>
      </c>
      <c r="D13" s="4">
        <v>45847</v>
      </c>
      <c r="E13" s="3" t="s">
        <v>33</v>
      </c>
      <c r="F13" s="24">
        <v>256779414933</v>
      </c>
      <c r="G13" s="3" t="s">
        <v>19</v>
      </c>
      <c r="H13" s="5">
        <v>756</v>
      </c>
      <c r="I13" s="3" t="s">
        <v>14</v>
      </c>
      <c r="J13" s="5">
        <v>65016.51</v>
      </c>
      <c r="K13" s="5">
        <v>-75.599999999999994</v>
      </c>
      <c r="L13" s="5">
        <v>-756</v>
      </c>
      <c r="M13" s="5"/>
      <c r="N13" s="3" t="s">
        <v>49</v>
      </c>
      <c r="O13" s="3" t="s">
        <v>13</v>
      </c>
    </row>
    <row r="14" spans="1:18" x14ac:dyDescent="0.35">
      <c r="A14" s="3">
        <v>1800010289</v>
      </c>
      <c r="B14" s="3" t="s">
        <v>38</v>
      </c>
      <c r="C14" s="4">
        <v>45842</v>
      </c>
      <c r="D14" s="4">
        <v>45847</v>
      </c>
      <c r="E14" s="3" t="s">
        <v>33</v>
      </c>
      <c r="F14" s="24">
        <v>256779415049</v>
      </c>
      <c r="G14" s="3" t="s">
        <v>19</v>
      </c>
      <c r="H14" s="5">
        <v>17.54</v>
      </c>
      <c r="I14" s="3" t="s">
        <v>14</v>
      </c>
      <c r="J14" s="5">
        <v>1508.45</v>
      </c>
      <c r="K14" s="5">
        <v>-0.35</v>
      </c>
      <c r="L14" s="5">
        <v>-17.54</v>
      </c>
      <c r="M14" s="5"/>
      <c r="N14" s="3" t="s">
        <v>50</v>
      </c>
      <c r="O14" s="3" t="s">
        <v>13</v>
      </c>
      <c r="Q14" s="32" t="s">
        <v>162</v>
      </c>
      <c r="R14" s="32" t="s">
        <v>167</v>
      </c>
    </row>
    <row r="15" spans="1:18" x14ac:dyDescent="0.35">
      <c r="A15" s="3">
        <v>1600001545</v>
      </c>
      <c r="B15" s="3" t="s">
        <v>51</v>
      </c>
      <c r="C15" s="4">
        <v>45842</v>
      </c>
      <c r="D15" s="4">
        <v>45846</v>
      </c>
      <c r="E15" s="3" t="s">
        <v>33</v>
      </c>
      <c r="F15" s="24">
        <v>256779421177</v>
      </c>
      <c r="G15" s="3" t="s">
        <v>19</v>
      </c>
      <c r="H15" s="5">
        <v>-140</v>
      </c>
      <c r="I15" s="3" t="s">
        <v>14</v>
      </c>
      <c r="J15" s="5">
        <v>-12040.09</v>
      </c>
      <c r="K15" s="5"/>
      <c r="L15" s="5"/>
      <c r="M15" s="5"/>
      <c r="N15" s="3" t="s">
        <v>52</v>
      </c>
      <c r="O15" s="3" t="s">
        <v>37</v>
      </c>
      <c r="Q15" s="32">
        <v>1400001172</v>
      </c>
      <c r="R15" s="37">
        <v>-2.8</v>
      </c>
    </row>
    <row r="16" spans="1:18" x14ac:dyDescent="0.35">
      <c r="A16" s="3">
        <v>1600001546</v>
      </c>
      <c r="B16" s="3" t="s">
        <v>51</v>
      </c>
      <c r="C16" s="4">
        <v>45842</v>
      </c>
      <c r="D16" s="4">
        <v>45846</v>
      </c>
      <c r="E16" s="3" t="s">
        <v>33</v>
      </c>
      <c r="F16" s="24">
        <v>256779421178</v>
      </c>
      <c r="G16" s="3" t="s">
        <v>19</v>
      </c>
      <c r="H16" s="5">
        <v>-756</v>
      </c>
      <c r="I16" s="3" t="s">
        <v>14</v>
      </c>
      <c r="J16" s="5">
        <v>-65016.51</v>
      </c>
      <c r="K16" s="5"/>
      <c r="L16" s="5"/>
      <c r="M16" s="5"/>
      <c r="N16" s="3" t="s">
        <v>53</v>
      </c>
      <c r="O16" s="3" t="s">
        <v>37</v>
      </c>
      <c r="Q16" s="33">
        <v>1400000194</v>
      </c>
      <c r="R16" s="37"/>
    </row>
    <row r="17" spans="1:18" x14ac:dyDescent="0.35">
      <c r="A17" s="3">
        <v>1600001547</v>
      </c>
      <c r="B17" s="3" t="s">
        <v>51</v>
      </c>
      <c r="C17" s="4">
        <v>45842</v>
      </c>
      <c r="D17" s="4">
        <v>45846</v>
      </c>
      <c r="E17" s="3" t="s">
        <v>33</v>
      </c>
      <c r="F17" s="24">
        <v>256779421179</v>
      </c>
      <c r="G17" s="3" t="s">
        <v>19</v>
      </c>
      <c r="H17" s="5">
        <v>-756</v>
      </c>
      <c r="I17" s="3" t="s">
        <v>14</v>
      </c>
      <c r="J17" s="5">
        <v>-65016.51</v>
      </c>
      <c r="K17" s="5"/>
      <c r="L17" s="5"/>
      <c r="M17" s="5"/>
      <c r="N17" s="3" t="s">
        <v>54</v>
      </c>
      <c r="O17" s="3" t="s">
        <v>37</v>
      </c>
      <c r="Q17" s="33">
        <v>1400000195</v>
      </c>
      <c r="R17" s="37"/>
    </row>
    <row r="18" spans="1:18" x14ac:dyDescent="0.35">
      <c r="A18" s="3">
        <v>1600001548</v>
      </c>
      <c r="B18" s="3" t="s">
        <v>51</v>
      </c>
      <c r="C18" s="4">
        <v>45842</v>
      </c>
      <c r="D18" s="4">
        <v>45846</v>
      </c>
      <c r="E18" s="3" t="s">
        <v>33</v>
      </c>
      <c r="F18" s="24">
        <v>256779421180</v>
      </c>
      <c r="G18" s="3" t="s">
        <v>19</v>
      </c>
      <c r="H18" s="5">
        <v>-756</v>
      </c>
      <c r="I18" s="3" t="s">
        <v>14</v>
      </c>
      <c r="J18" s="5">
        <v>-65016.51</v>
      </c>
      <c r="K18" s="5"/>
      <c r="L18" s="5"/>
      <c r="M18" s="5"/>
      <c r="N18" s="3" t="s">
        <v>55</v>
      </c>
      <c r="O18" s="3" t="s">
        <v>37</v>
      </c>
      <c r="Q18" s="33">
        <v>1400001106</v>
      </c>
      <c r="R18" s="37"/>
    </row>
    <row r="19" spans="1:18" x14ac:dyDescent="0.35">
      <c r="A19" s="3">
        <v>1600001549</v>
      </c>
      <c r="B19" s="3" t="s">
        <v>51</v>
      </c>
      <c r="C19" s="4">
        <v>45842</v>
      </c>
      <c r="D19" s="4">
        <v>45846</v>
      </c>
      <c r="E19" s="3" t="s">
        <v>33</v>
      </c>
      <c r="F19" s="24">
        <v>256779421181</v>
      </c>
      <c r="G19" s="3" t="s">
        <v>19</v>
      </c>
      <c r="H19" s="5">
        <v>-756</v>
      </c>
      <c r="I19" s="3" t="s">
        <v>14</v>
      </c>
      <c r="J19" s="5">
        <v>-65016.51</v>
      </c>
      <c r="K19" s="5"/>
      <c r="L19" s="5"/>
      <c r="M19" s="5"/>
      <c r="N19" s="3" t="s">
        <v>56</v>
      </c>
      <c r="O19" s="3" t="s">
        <v>37</v>
      </c>
      <c r="Q19" s="33">
        <v>1400001171</v>
      </c>
      <c r="R19" s="37">
        <v>-915.0300000000002</v>
      </c>
    </row>
    <row r="20" spans="1:18" x14ac:dyDescent="0.35">
      <c r="A20" s="3">
        <v>1600001550</v>
      </c>
      <c r="B20" s="3" t="s">
        <v>51</v>
      </c>
      <c r="C20" s="4">
        <v>45842</v>
      </c>
      <c r="D20" s="4">
        <v>45846</v>
      </c>
      <c r="E20" s="3" t="s">
        <v>33</v>
      </c>
      <c r="F20" s="24">
        <v>256779421182</v>
      </c>
      <c r="G20" s="3" t="s">
        <v>19</v>
      </c>
      <c r="H20" s="5">
        <v>-756</v>
      </c>
      <c r="I20" s="3" t="s">
        <v>14</v>
      </c>
      <c r="J20" s="5">
        <v>-65016.51</v>
      </c>
      <c r="K20" s="5"/>
      <c r="L20" s="5"/>
      <c r="M20" s="5"/>
      <c r="N20" s="3" t="s">
        <v>57</v>
      </c>
      <c r="O20" s="3" t="s">
        <v>37</v>
      </c>
      <c r="Q20" s="33">
        <v>1400001172</v>
      </c>
      <c r="R20" s="37">
        <v>-5.6</v>
      </c>
    </row>
    <row r="21" spans="1:18" x14ac:dyDescent="0.35">
      <c r="A21" s="3">
        <v>1600001551</v>
      </c>
      <c r="B21" s="3" t="s">
        <v>51</v>
      </c>
      <c r="C21" s="4">
        <v>45842</v>
      </c>
      <c r="D21" s="4">
        <v>45846</v>
      </c>
      <c r="E21" s="3" t="s">
        <v>33</v>
      </c>
      <c r="F21" s="24">
        <v>256779421183</v>
      </c>
      <c r="G21" s="3" t="s">
        <v>19</v>
      </c>
      <c r="H21" s="5">
        <v>-756</v>
      </c>
      <c r="I21" s="3" t="s">
        <v>14</v>
      </c>
      <c r="J21" s="5">
        <v>-65016.51</v>
      </c>
      <c r="K21" s="5"/>
      <c r="L21" s="5"/>
      <c r="M21" s="5"/>
      <c r="N21" s="3" t="s">
        <v>58</v>
      </c>
      <c r="O21" s="3" t="s">
        <v>37</v>
      </c>
      <c r="Q21" s="33">
        <v>1400001906</v>
      </c>
      <c r="R21" s="37"/>
    </row>
    <row r="22" spans="1:18" x14ac:dyDescent="0.35">
      <c r="A22" s="3">
        <v>1600001552</v>
      </c>
      <c r="B22" s="3" t="s">
        <v>51</v>
      </c>
      <c r="C22" s="4">
        <v>45842</v>
      </c>
      <c r="D22" s="4">
        <v>45846</v>
      </c>
      <c r="E22" s="3" t="s">
        <v>33</v>
      </c>
      <c r="F22" s="24">
        <v>256779421184</v>
      </c>
      <c r="G22" s="3" t="s">
        <v>19</v>
      </c>
      <c r="H22" s="5">
        <v>-756</v>
      </c>
      <c r="I22" s="3" t="s">
        <v>14</v>
      </c>
      <c r="J22" s="5">
        <v>-65016.51</v>
      </c>
      <c r="K22" s="5"/>
      <c r="L22" s="5"/>
      <c r="M22" s="5"/>
      <c r="N22" s="3" t="s">
        <v>59</v>
      </c>
      <c r="O22" s="3" t="s">
        <v>37</v>
      </c>
      <c r="Q22" s="33">
        <v>1400002219</v>
      </c>
      <c r="R22" s="37">
        <v>-188.78000000000003</v>
      </c>
    </row>
    <row r="23" spans="1:18" x14ac:dyDescent="0.35">
      <c r="A23" s="3">
        <v>1600001553</v>
      </c>
      <c r="B23" s="3" t="s">
        <v>51</v>
      </c>
      <c r="C23" s="4">
        <v>45842</v>
      </c>
      <c r="D23" s="4">
        <v>45846</v>
      </c>
      <c r="E23" s="3" t="s">
        <v>33</v>
      </c>
      <c r="F23" s="24">
        <v>256779421185</v>
      </c>
      <c r="G23" s="3" t="s">
        <v>19</v>
      </c>
      <c r="H23" s="5">
        <v>-756</v>
      </c>
      <c r="I23" s="3" t="s">
        <v>14</v>
      </c>
      <c r="J23" s="5">
        <v>-65016.51</v>
      </c>
      <c r="K23" s="5"/>
      <c r="L23" s="5"/>
      <c r="M23" s="5"/>
      <c r="N23" s="3" t="s">
        <v>60</v>
      </c>
      <c r="O23" s="3" t="s">
        <v>37</v>
      </c>
    </row>
    <row r="24" spans="1:18" x14ac:dyDescent="0.35">
      <c r="A24" s="3">
        <v>1600001554</v>
      </c>
      <c r="B24" s="3" t="s">
        <v>51</v>
      </c>
      <c r="C24" s="4">
        <v>45842</v>
      </c>
      <c r="D24" s="4">
        <v>45846</v>
      </c>
      <c r="E24" s="3" t="s">
        <v>33</v>
      </c>
      <c r="F24" s="24">
        <v>256779421186</v>
      </c>
      <c r="G24" s="3" t="s">
        <v>19</v>
      </c>
      <c r="H24" s="5">
        <v>-834.4</v>
      </c>
      <c r="I24" s="3" t="s">
        <v>14</v>
      </c>
      <c r="J24" s="5">
        <v>-71758.960000000006</v>
      </c>
      <c r="K24" s="5"/>
      <c r="L24" s="5"/>
      <c r="M24" s="5"/>
      <c r="N24" s="3" t="s">
        <v>61</v>
      </c>
      <c r="O24" s="3" t="s">
        <v>37</v>
      </c>
    </row>
    <row r="25" spans="1:18" x14ac:dyDescent="0.35">
      <c r="A25" s="3">
        <v>1800014733</v>
      </c>
      <c r="B25" s="3" t="s">
        <v>38</v>
      </c>
      <c r="C25" s="4">
        <v>45966</v>
      </c>
      <c r="D25" s="4">
        <v>45968</v>
      </c>
      <c r="E25" s="3" t="s">
        <v>62</v>
      </c>
      <c r="F25" s="24">
        <v>256779419234</v>
      </c>
      <c r="G25" s="3" t="s">
        <v>19</v>
      </c>
      <c r="H25" s="5">
        <v>170.89</v>
      </c>
      <c r="I25" s="3" t="s">
        <v>14</v>
      </c>
      <c r="J25" s="5">
        <v>15038.9</v>
      </c>
      <c r="K25" s="5">
        <v>-3.42</v>
      </c>
      <c r="L25" s="5">
        <v>-170.89</v>
      </c>
      <c r="M25" s="5"/>
      <c r="N25" s="3" t="s">
        <v>63</v>
      </c>
      <c r="O25" s="3" t="s">
        <v>22</v>
      </c>
    </row>
    <row r="26" spans="1:18" x14ac:dyDescent="0.35">
      <c r="A26" s="3">
        <v>1800014253</v>
      </c>
      <c r="B26" s="3" t="s">
        <v>38</v>
      </c>
      <c r="C26" s="4">
        <v>45966</v>
      </c>
      <c r="D26" s="4">
        <v>45966</v>
      </c>
      <c r="E26" s="3" t="s">
        <v>33</v>
      </c>
      <c r="F26" s="24">
        <v>256779418792</v>
      </c>
      <c r="G26" s="3" t="s">
        <v>19</v>
      </c>
      <c r="H26" s="5">
        <v>756</v>
      </c>
      <c r="I26" s="3" t="s">
        <v>14</v>
      </c>
      <c r="J26" s="5">
        <v>66530.559999999998</v>
      </c>
      <c r="K26" s="5">
        <v>-75.59</v>
      </c>
      <c r="L26" s="5">
        <v>-756</v>
      </c>
      <c r="M26" s="5"/>
      <c r="N26" s="3" t="s">
        <v>64</v>
      </c>
      <c r="O26" s="3" t="s">
        <v>22</v>
      </c>
    </row>
    <row r="27" spans="1:18" x14ac:dyDescent="0.35">
      <c r="A27" s="3">
        <v>1800014621</v>
      </c>
      <c r="B27" s="3" t="s">
        <v>38</v>
      </c>
      <c r="C27" s="4">
        <v>45966</v>
      </c>
      <c r="D27" s="4">
        <v>45967</v>
      </c>
      <c r="E27" s="3" t="s">
        <v>33</v>
      </c>
      <c r="F27" s="24">
        <v>256779419203</v>
      </c>
      <c r="G27" s="3" t="s">
        <v>19</v>
      </c>
      <c r="H27" s="5">
        <v>62.66</v>
      </c>
      <c r="I27" s="3" t="s">
        <v>14</v>
      </c>
      <c r="J27" s="5">
        <v>5514.29</v>
      </c>
      <c r="K27" s="5">
        <v>-1.26</v>
      </c>
      <c r="L27" s="5">
        <v>-62.66</v>
      </c>
      <c r="M27" s="5"/>
      <c r="N27" s="3" t="s">
        <v>65</v>
      </c>
      <c r="O27" s="3" t="s">
        <v>22</v>
      </c>
    </row>
    <row r="28" spans="1:18" x14ac:dyDescent="0.35">
      <c r="A28" s="3">
        <v>1800014413</v>
      </c>
      <c r="B28" s="3" t="s">
        <v>38</v>
      </c>
      <c r="C28" s="4">
        <v>45964</v>
      </c>
      <c r="D28" s="4">
        <v>45967</v>
      </c>
      <c r="E28" s="3" t="s">
        <v>33</v>
      </c>
      <c r="F28" s="24">
        <v>256779419135</v>
      </c>
      <c r="G28" s="3" t="s">
        <v>19</v>
      </c>
      <c r="H28" s="5">
        <v>579</v>
      </c>
      <c r="I28" s="3" t="s">
        <v>14</v>
      </c>
      <c r="J28" s="5">
        <v>50953.96</v>
      </c>
      <c r="K28" s="5">
        <v>-11.58</v>
      </c>
      <c r="L28" s="5">
        <v>-579</v>
      </c>
      <c r="M28" s="5"/>
      <c r="N28" s="3" t="s">
        <v>66</v>
      </c>
      <c r="O28" s="3" t="s">
        <v>22</v>
      </c>
    </row>
    <row r="29" spans="1:18" x14ac:dyDescent="0.35">
      <c r="A29" s="3">
        <v>1600000705</v>
      </c>
      <c r="B29" s="3" t="s">
        <v>51</v>
      </c>
      <c r="C29" s="4">
        <v>45791</v>
      </c>
      <c r="D29" s="4">
        <v>45793</v>
      </c>
      <c r="E29" s="3" t="s">
        <v>33</v>
      </c>
      <c r="F29" s="24">
        <v>256779420414</v>
      </c>
      <c r="G29" s="3" t="s">
        <v>19</v>
      </c>
      <c r="H29" s="5">
        <v>-756</v>
      </c>
      <c r="I29" s="3" t="s">
        <v>14</v>
      </c>
      <c r="J29" s="5">
        <v>-65712.899999999994</v>
      </c>
      <c r="K29" s="5"/>
      <c r="L29" s="5"/>
      <c r="M29" s="5"/>
      <c r="N29" s="3" t="s">
        <v>67</v>
      </c>
      <c r="O29" s="3" t="s">
        <v>35</v>
      </c>
    </row>
    <row r="30" spans="1:18" x14ac:dyDescent="0.35">
      <c r="A30" s="3">
        <v>1600000792</v>
      </c>
      <c r="B30" s="3" t="s">
        <v>51</v>
      </c>
      <c r="C30" s="4">
        <v>45791</v>
      </c>
      <c r="D30" s="4">
        <v>45793</v>
      </c>
      <c r="E30" s="3" t="s">
        <v>33</v>
      </c>
      <c r="F30" s="24">
        <v>256779420501</v>
      </c>
      <c r="G30" s="3" t="s">
        <v>19</v>
      </c>
      <c r="H30" s="5">
        <v>-756</v>
      </c>
      <c r="I30" s="3" t="s">
        <v>14</v>
      </c>
      <c r="J30" s="5">
        <v>-65712.899999999994</v>
      </c>
      <c r="K30" s="5"/>
      <c r="L30" s="5"/>
      <c r="M30" s="5"/>
      <c r="N30" s="3" t="s">
        <v>68</v>
      </c>
      <c r="O30" s="3" t="s">
        <v>36</v>
      </c>
    </row>
    <row r="31" spans="1:18" x14ac:dyDescent="0.35">
      <c r="A31" s="3">
        <v>1800004360</v>
      </c>
      <c r="B31" s="3" t="s">
        <v>38</v>
      </c>
      <c r="C31" s="4">
        <v>45736</v>
      </c>
      <c r="D31" s="4">
        <v>45737</v>
      </c>
      <c r="E31" s="3" t="s">
        <v>33</v>
      </c>
      <c r="F31" s="24">
        <v>246779414228</v>
      </c>
      <c r="G31" s="3" t="s">
        <v>19</v>
      </c>
      <c r="H31" s="5">
        <v>140</v>
      </c>
      <c r="I31" s="3" t="s">
        <v>14</v>
      </c>
      <c r="J31" s="5">
        <v>12136.78</v>
      </c>
      <c r="K31" s="5"/>
      <c r="L31" s="5"/>
      <c r="M31" s="5"/>
      <c r="N31" s="3" t="s">
        <v>69</v>
      </c>
      <c r="O31" s="3" t="s">
        <v>37</v>
      </c>
    </row>
    <row r="32" spans="1:18" x14ac:dyDescent="0.35">
      <c r="A32" s="3">
        <v>1800000063</v>
      </c>
      <c r="B32" s="3" t="s">
        <v>38</v>
      </c>
      <c r="C32" s="4">
        <v>45708</v>
      </c>
      <c r="D32" s="4">
        <v>45708</v>
      </c>
      <c r="E32" s="3" t="s">
        <v>33</v>
      </c>
      <c r="F32" s="24">
        <v>246779410019</v>
      </c>
      <c r="G32" s="3" t="s">
        <v>19</v>
      </c>
      <c r="H32" s="5">
        <v>756</v>
      </c>
      <c r="I32" s="3" t="s">
        <v>14</v>
      </c>
      <c r="J32" s="5">
        <v>65245.57</v>
      </c>
      <c r="K32" s="5"/>
      <c r="L32" s="5"/>
      <c r="M32" s="5"/>
      <c r="N32" s="3" t="s">
        <v>70</v>
      </c>
      <c r="O32" s="3" t="s">
        <v>37</v>
      </c>
    </row>
    <row r="33" spans="1:15" x14ac:dyDescent="0.35">
      <c r="A33" s="3">
        <v>1800000111</v>
      </c>
      <c r="B33" s="3" t="s">
        <v>38</v>
      </c>
      <c r="C33" s="4">
        <v>45708</v>
      </c>
      <c r="D33" s="4">
        <v>45708</v>
      </c>
      <c r="E33" s="3" t="s">
        <v>33</v>
      </c>
      <c r="F33" s="24">
        <v>246779410039</v>
      </c>
      <c r="G33" s="3" t="s">
        <v>19</v>
      </c>
      <c r="H33" s="5">
        <v>756</v>
      </c>
      <c r="I33" s="3" t="s">
        <v>14</v>
      </c>
      <c r="J33" s="5">
        <v>65245.57</v>
      </c>
      <c r="K33" s="5"/>
      <c r="L33" s="5"/>
      <c r="M33" s="5"/>
      <c r="N33" s="3" t="s">
        <v>71</v>
      </c>
      <c r="O33" s="3" t="s">
        <v>37</v>
      </c>
    </row>
    <row r="34" spans="1:15" x14ac:dyDescent="0.35">
      <c r="A34" s="3">
        <v>1800000144</v>
      </c>
      <c r="B34" s="3" t="s">
        <v>38</v>
      </c>
      <c r="C34" s="4">
        <v>45708</v>
      </c>
      <c r="D34" s="4">
        <v>45709</v>
      </c>
      <c r="E34" s="3" t="s">
        <v>33</v>
      </c>
      <c r="F34" s="24">
        <v>246779410293</v>
      </c>
      <c r="G34" s="3" t="s">
        <v>19</v>
      </c>
      <c r="H34" s="5">
        <v>756</v>
      </c>
      <c r="I34" s="3" t="s">
        <v>14</v>
      </c>
      <c r="J34" s="5">
        <v>65245.57</v>
      </c>
      <c r="K34" s="5"/>
      <c r="L34" s="5"/>
      <c r="M34" s="5"/>
      <c r="N34" s="3" t="s">
        <v>72</v>
      </c>
      <c r="O34" s="3" t="s">
        <v>37</v>
      </c>
    </row>
    <row r="35" spans="1:15" x14ac:dyDescent="0.35">
      <c r="A35" s="3">
        <v>1800000180</v>
      </c>
      <c r="B35" s="3" t="s">
        <v>38</v>
      </c>
      <c r="C35" s="4">
        <v>45708</v>
      </c>
      <c r="D35" s="4">
        <v>45708</v>
      </c>
      <c r="E35" s="3" t="s">
        <v>33</v>
      </c>
      <c r="F35" s="24">
        <v>246779410107</v>
      </c>
      <c r="G35" s="3" t="s">
        <v>19</v>
      </c>
      <c r="H35" s="5">
        <v>756</v>
      </c>
      <c r="I35" s="3" t="s">
        <v>14</v>
      </c>
      <c r="J35" s="5">
        <v>65245.57</v>
      </c>
      <c r="K35" s="5"/>
      <c r="L35" s="5"/>
      <c r="M35" s="5"/>
      <c r="N35" s="3" t="s">
        <v>73</v>
      </c>
      <c r="O35" s="3" t="s">
        <v>37</v>
      </c>
    </row>
    <row r="36" spans="1:15" x14ac:dyDescent="0.35">
      <c r="A36" s="3">
        <v>1800000223</v>
      </c>
      <c r="B36" s="3" t="s">
        <v>38</v>
      </c>
      <c r="C36" s="4">
        <v>45708</v>
      </c>
      <c r="D36" s="4">
        <v>45708</v>
      </c>
      <c r="E36" s="3" t="s">
        <v>33</v>
      </c>
      <c r="F36" s="24">
        <v>246779410150</v>
      </c>
      <c r="G36" s="3" t="s">
        <v>19</v>
      </c>
      <c r="H36" s="5">
        <v>756</v>
      </c>
      <c r="I36" s="3" t="s">
        <v>14</v>
      </c>
      <c r="J36" s="5">
        <v>65245.57</v>
      </c>
      <c r="K36" s="5"/>
      <c r="L36" s="5"/>
      <c r="M36" s="5"/>
      <c r="N36" s="3" t="s">
        <v>74</v>
      </c>
      <c r="O36" s="3" t="s">
        <v>37</v>
      </c>
    </row>
    <row r="37" spans="1:15" x14ac:dyDescent="0.35">
      <c r="A37" s="3">
        <v>1800000266</v>
      </c>
      <c r="B37" s="3" t="s">
        <v>38</v>
      </c>
      <c r="C37" s="4">
        <v>45708</v>
      </c>
      <c r="D37" s="4">
        <v>45708</v>
      </c>
      <c r="E37" s="3" t="s">
        <v>33</v>
      </c>
      <c r="F37" s="24">
        <v>246779410193</v>
      </c>
      <c r="G37" s="3" t="s">
        <v>19</v>
      </c>
      <c r="H37" s="5">
        <v>756</v>
      </c>
      <c r="I37" s="3" t="s">
        <v>14</v>
      </c>
      <c r="J37" s="5">
        <v>65245.57</v>
      </c>
      <c r="K37" s="5"/>
      <c r="L37" s="5"/>
      <c r="M37" s="5"/>
      <c r="N37" s="3" t="s">
        <v>75</v>
      </c>
      <c r="O37" s="3" t="s">
        <v>37</v>
      </c>
    </row>
    <row r="38" spans="1:15" x14ac:dyDescent="0.35">
      <c r="A38" s="3">
        <v>1800000309</v>
      </c>
      <c r="B38" s="3" t="s">
        <v>38</v>
      </c>
      <c r="C38" s="4">
        <v>45708</v>
      </c>
      <c r="D38" s="4">
        <v>45708</v>
      </c>
      <c r="E38" s="3" t="s">
        <v>33</v>
      </c>
      <c r="F38" s="24">
        <v>246779410236</v>
      </c>
      <c r="G38" s="3" t="s">
        <v>19</v>
      </c>
      <c r="H38" s="5">
        <v>756</v>
      </c>
      <c r="I38" s="3" t="s">
        <v>14</v>
      </c>
      <c r="J38" s="5">
        <v>65245.57</v>
      </c>
      <c r="K38" s="5"/>
      <c r="L38" s="5"/>
      <c r="M38" s="5"/>
      <c r="N38" s="3" t="s">
        <v>76</v>
      </c>
      <c r="O38" s="3" t="s">
        <v>37</v>
      </c>
    </row>
    <row r="39" spans="1:15" x14ac:dyDescent="0.35">
      <c r="A39" s="3">
        <v>1800012186</v>
      </c>
      <c r="B39" s="3" t="s">
        <v>38</v>
      </c>
      <c r="C39" s="4">
        <v>45889</v>
      </c>
      <c r="D39" s="4">
        <v>45891</v>
      </c>
      <c r="E39" s="3" t="s">
        <v>33</v>
      </c>
      <c r="F39" s="24">
        <v>256779416818</v>
      </c>
      <c r="G39" s="3" t="s">
        <v>19</v>
      </c>
      <c r="H39" s="5">
        <v>480</v>
      </c>
      <c r="I39" s="3" t="s">
        <v>14</v>
      </c>
      <c r="J39" s="5">
        <v>41294.46</v>
      </c>
      <c r="K39" s="5">
        <v>-9.6</v>
      </c>
      <c r="L39" s="5">
        <v>-480</v>
      </c>
      <c r="M39" s="5"/>
      <c r="N39" s="3" t="s">
        <v>77</v>
      </c>
      <c r="O39" s="3" t="s">
        <v>13</v>
      </c>
    </row>
    <row r="40" spans="1:15" x14ac:dyDescent="0.35">
      <c r="A40" s="3">
        <v>1800010637</v>
      </c>
      <c r="B40" s="3" t="s">
        <v>38</v>
      </c>
      <c r="C40" s="4">
        <v>45854</v>
      </c>
      <c r="D40" s="4">
        <v>45854</v>
      </c>
      <c r="E40" s="3" t="s">
        <v>33</v>
      </c>
      <c r="F40" s="24">
        <v>256779415397</v>
      </c>
      <c r="G40" s="3" t="s">
        <v>19</v>
      </c>
      <c r="H40" s="5">
        <v>756</v>
      </c>
      <c r="I40" s="3" t="s">
        <v>14</v>
      </c>
      <c r="J40" s="5">
        <v>65016.51</v>
      </c>
      <c r="K40" s="5">
        <v>-75.599999999999994</v>
      </c>
      <c r="L40" s="5">
        <v>-756</v>
      </c>
      <c r="M40" s="5"/>
      <c r="N40" s="3" t="s">
        <v>78</v>
      </c>
      <c r="O40" s="3" t="s">
        <v>26</v>
      </c>
    </row>
    <row r="41" spans="1:15" x14ac:dyDescent="0.35">
      <c r="A41" s="3">
        <v>1800010638</v>
      </c>
      <c r="B41" s="3" t="s">
        <v>38</v>
      </c>
      <c r="C41" s="4">
        <v>45854</v>
      </c>
      <c r="D41" s="4">
        <v>45854</v>
      </c>
      <c r="E41" s="3" t="s">
        <v>33</v>
      </c>
      <c r="F41" s="24">
        <v>256779415398</v>
      </c>
      <c r="G41" s="3" t="s">
        <v>19</v>
      </c>
      <c r="H41" s="5">
        <v>756</v>
      </c>
      <c r="I41" s="3" t="s">
        <v>14</v>
      </c>
      <c r="J41" s="5">
        <v>65016.51</v>
      </c>
      <c r="K41" s="5">
        <v>-75.599999999999994</v>
      </c>
      <c r="L41" s="5">
        <v>-756</v>
      </c>
      <c r="M41" s="5"/>
      <c r="N41" s="3" t="s">
        <v>70</v>
      </c>
      <c r="O41" s="3" t="s">
        <v>26</v>
      </c>
    </row>
    <row r="42" spans="1:15" x14ac:dyDescent="0.35">
      <c r="A42" s="3">
        <v>1800010639</v>
      </c>
      <c r="B42" s="3" t="s">
        <v>38</v>
      </c>
      <c r="C42" s="4">
        <v>45854</v>
      </c>
      <c r="D42" s="4">
        <v>45854</v>
      </c>
      <c r="E42" s="3" t="s">
        <v>33</v>
      </c>
      <c r="F42" s="24">
        <v>256779415399</v>
      </c>
      <c r="G42" s="3" t="s">
        <v>19</v>
      </c>
      <c r="H42" s="5">
        <v>756</v>
      </c>
      <c r="I42" s="3" t="s">
        <v>14</v>
      </c>
      <c r="J42" s="5">
        <v>65016.51</v>
      </c>
      <c r="K42" s="5">
        <v>-75.599999999999994</v>
      </c>
      <c r="L42" s="5">
        <v>-756</v>
      </c>
      <c r="M42" s="5"/>
      <c r="N42" s="3" t="s">
        <v>73</v>
      </c>
      <c r="O42" s="3" t="s">
        <v>26</v>
      </c>
    </row>
    <row r="43" spans="1:15" x14ac:dyDescent="0.35">
      <c r="A43" s="3">
        <v>1800010640</v>
      </c>
      <c r="B43" s="3" t="s">
        <v>38</v>
      </c>
      <c r="C43" s="4">
        <v>45854</v>
      </c>
      <c r="D43" s="4">
        <v>45854</v>
      </c>
      <c r="E43" s="3" t="s">
        <v>33</v>
      </c>
      <c r="F43" s="24">
        <v>256779415400</v>
      </c>
      <c r="G43" s="3" t="s">
        <v>19</v>
      </c>
      <c r="H43" s="5">
        <v>756</v>
      </c>
      <c r="I43" s="3" t="s">
        <v>14</v>
      </c>
      <c r="J43" s="5">
        <v>65016.51</v>
      </c>
      <c r="K43" s="5">
        <v>-75.599999999999994</v>
      </c>
      <c r="L43" s="5">
        <v>-756</v>
      </c>
      <c r="M43" s="5"/>
      <c r="N43" s="3" t="s">
        <v>74</v>
      </c>
      <c r="O43" s="3" t="s">
        <v>26</v>
      </c>
    </row>
    <row r="44" spans="1:15" x14ac:dyDescent="0.35">
      <c r="A44" s="3">
        <v>1800010641</v>
      </c>
      <c r="B44" s="3" t="s">
        <v>38</v>
      </c>
      <c r="C44" s="4">
        <v>45854</v>
      </c>
      <c r="D44" s="4">
        <v>45854</v>
      </c>
      <c r="E44" s="3" t="s">
        <v>33</v>
      </c>
      <c r="F44" s="24">
        <v>256779415401</v>
      </c>
      <c r="G44" s="3" t="s">
        <v>19</v>
      </c>
      <c r="H44" s="5">
        <v>756</v>
      </c>
      <c r="I44" s="3" t="s">
        <v>14</v>
      </c>
      <c r="J44" s="5">
        <v>65016.51</v>
      </c>
      <c r="K44" s="5">
        <v>-75.599999999999994</v>
      </c>
      <c r="L44" s="5">
        <v>-756</v>
      </c>
      <c r="M44" s="5"/>
      <c r="N44" s="3" t="s">
        <v>75</v>
      </c>
      <c r="O44" s="3" t="s">
        <v>26</v>
      </c>
    </row>
    <row r="45" spans="1:15" x14ac:dyDescent="0.35">
      <c r="A45" s="3">
        <v>1800010642</v>
      </c>
      <c r="B45" s="3" t="s">
        <v>38</v>
      </c>
      <c r="C45" s="4">
        <v>45854</v>
      </c>
      <c r="D45" s="4">
        <v>45854</v>
      </c>
      <c r="E45" s="3" t="s">
        <v>33</v>
      </c>
      <c r="F45" s="24">
        <v>256779415402</v>
      </c>
      <c r="G45" s="3" t="s">
        <v>19</v>
      </c>
      <c r="H45" s="5">
        <v>756</v>
      </c>
      <c r="I45" s="3" t="s">
        <v>14</v>
      </c>
      <c r="J45" s="5">
        <v>65016.51</v>
      </c>
      <c r="K45" s="5">
        <v>-75.599999999999994</v>
      </c>
      <c r="L45" s="5">
        <v>-756</v>
      </c>
      <c r="M45" s="5"/>
      <c r="N45" s="3" t="s">
        <v>76</v>
      </c>
      <c r="O45" s="3" t="s">
        <v>26</v>
      </c>
    </row>
    <row r="46" spans="1:15" x14ac:dyDescent="0.35">
      <c r="A46" s="3">
        <v>1800010643</v>
      </c>
      <c r="B46" s="3" t="s">
        <v>38</v>
      </c>
      <c r="C46" s="4">
        <v>45854</v>
      </c>
      <c r="D46" s="4">
        <v>45854</v>
      </c>
      <c r="E46" s="3" t="s">
        <v>33</v>
      </c>
      <c r="F46" s="24">
        <v>256779415403</v>
      </c>
      <c r="G46" s="3" t="s">
        <v>19</v>
      </c>
      <c r="H46" s="5">
        <v>756</v>
      </c>
      <c r="I46" s="3" t="s">
        <v>14</v>
      </c>
      <c r="J46" s="5">
        <v>65016.51</v>
      </c>
      <c r="K46" s="5">
        <v>-75.599999999999994</v>
      </c>
      <c r="L46" s="5">
        <v>-756</v>
      </c>
      <c r="M46" s="5"/>
      <c r="N46" s="3" t="s">
        <v>72</v>
      </c>
      <c r="O46" s="3" t="s">
        <v>26</v>
      </c>
    </row>
    <row r="47" spans="1:15" x14ac:dyDescent="0.35">
      <c r="A47" s="3">
        <v>1800010644</v>
      </c>
      <c r="B47" s="3" t="s">
        <v>38</v>
      </c>
      <c r="C47" s="4">
        <v>45854</v>
      </c>
      <c r="D47" s="4">
        <v>45854</v>
      </c>
      <c r="E47" s="3" t="s">
        <v>33</v>
      </c>
      <c r="F47" s="24">
        <v>256779415404</v>
      </c>
      <c r="G47" s="3" t="s">
        <v>19</v>
      </c>
      <c r="H47" s="5">
        <v>756</v>
      </c>
      <c r="I47" s="3" t="s">
        <v>14</v>
      </c>
      <c r="J47" s="5">
        <v>65016.51</v>
      </c>
      <c r="K47" s="5">
        <v>-75.599999999999994</v>
      </c>
      <c r="L47" s="5">
        <v>-756</v>
      </c>
      <c r="M47" s="5"/>
      <c r="N47" s="3" t="s">
        <v>71</v>
      </c>
      <c r="O47" s="3" t="s">
        <v>26</v>
      </c>
    </row>
    <row r="48" spans="1:15" x14ac:dyDescent="0.35">
      <c r="A48" s="3">
        <v>1800010645</v>
      </c>
      <c r="B48" s="3" t="s">
        <v>38</v>
      </c>
      <c r="C48" s="4">
        <v>45854</v>
      </c>
      <c r="D48" s="4">
        <v>45854</v>
      </c>
      <c r="E48" s="3" t="s">
        <v>33</v>
      </c>
      <c r="F48" s="24">
        <v>256779415405</v>
      </c>
      <c r="G48" s="3" t="s">
        <v>19</v>
      </c>
      <c r="H48" s="5">
        <v>834.4</v>
      </c>
      <c r="I48" s="3" t="s">
        <v>14</v>
      </c>
      <c r="J48" s="5">
        <v>71758.960000000006</v>
      </c>
      <c r="K48" s="5">
        <v>-83.43</v>
      </c>
      <c r="L48" s="5">
        <v>-834.4</v>
      </c>
      <c r="M48" s="5"/>
      <c r="N48" s="3" t="s">
        <v>39</v>
      </c>
      <c r="O48" s="3" t="s">
        <v>26</v>
      </c>
    </row>
    <row r="49" spans="1:15" x14ac:dyDescent="0.35">
      <c r="A49" s="3">
        <v>1800010636</v>
      </c>
      <c r="B49" s="3" t="s">
        <v>38</v>
      </c>
      <c r="C49" s="4">
        <v>45854</v>
      </c>
      <c r="D49" s="4">
        <v>45854</v>
      </c>
      <c r="E49" s="3" t="s">
        <v>33</v>
      </c>
      <c r="F49" s="24">
        <v>256779415396</v>
      </c>
      <c r="G49" s="3" t="s">
        <v>19</v>
      </c>
      <c r="H49" s="5">
        <v>140</v>
      </c>
      <c r="I49" s="3" t="s">
        <v>14</v>
      </c>
      <c r="J49" s="5">
        <v>12040.09</v>
      </c>
      <c r="K49" s="5">
        <v>-2.8</v>
      </c>
      <c r="L49" s="5">
        <v>-140</v>
      </c>
      <c r="M49" s="5"/>
      <c r="N49" s="3" t="s">
        <v>69</v>
      </c>
      <c r="O49" s="3" t="s">
        <v>20</v>
      </c>
    </row>
    <row r="50" spans="1:15" x14ac:dyDescent="0.35">
      <c r="A50" s="3">
        <v>1800005389</v>
      </c>
      <c r="B50" s="3" t="s">
        <v>38</v>
      </c>
      <c r="C50" s="4">
        <v>45750</v>
      </c>
      <c r="D50" s="4">
        <v>45752</v>
      </c>
      <c r="E50" s="3" t="s">
        <v>33</v>
      </c>
      <c r="F50" s="24">
        <v>256779410281</v>
      </c>
      <c r="G50" s="3" t="s">
        <v>19</v>
      </c>
      <c r="H50" s="5">
        <v>756</v>
      </c>
      <c r="I50" s="3" t="s">
        <v>14</v>
      </c>
      <c r="J50" s="5">
        <v>65712.899999999994</v>
      </c>
      <c r="K50" s="5"/>
      <c r="L50" s="5"/>
      <c r="M50" s="5"/>
      <c r="N50" s="3" t="s">
        <v>76</v>
      </c>
      <c r="O50" s="3" t="s">
        <v>35</v>
      </c>
    </row>
    <row r="51" spans="1:15" x14ac:dyDescent="0.35">
      <c r="A51" s="3">
        <v>1800005348</v>
      </c>
      <c r="B51" s="3" t="s">
        <v>38</v>
      </c>
      <c r="C51" s="4">
        <v>45750</v>
      </c>
      <c r="D51" s="4">
        <v>45752</v>
      </c>
      <c r="E51" s="3" t="s">
        <v>33</v>
      </c>
      <c r="F51" s="24">
        <v>256779410240</v>
      </c>
      <c r="G51" s="3" t="s">
        <v>19</v>
      </c>
      <c r="H51" s="5">
        <v>756</v>
      </c>
      <c r="I51" s="3" t="s">
        <v>14</v>
      </c>
      <c r="J51" s="5">
        <v>65712.899999999994</v>
      </c>
      <c r="K51" s="5"/>
      <c r="L51" s="5"/>
      <c r="M51" s="5"/>
      <c r="N51" s="3" t="s">
        <v>75</v>
      </c>
      <c r="O51" s="3" t="s">
        <v>36</v>
      </c>
    </row>
    <row r="52" spans="1:15" x14ac:dyDescent="0.35">
      <c r="A52" s="3">
        <v>1800013809</v>
      </c>
      <c r="B52" s="3" t="s">
        <v>38</v>
      </c>
      <c r="C52" s="4">
        <v>45950</v>
      </c>
      <c r="D52" s="4">
        <v>45951</v>
      </c>
      <c r="E52" s="3" t="s">
        <v>33</v>
      </c>
      <c r="F52" s="24">
        <v>256779418627</v>
      </c>
      <c r="G52" s="3" t="s">
        <v>19</v>
      </c>
      <c r="H52" s="5">
        <v>260</v>
      </c>
      <c r="I52" s="3" t="s">
        <v>14</v>
      </c>
      <c r="J52" s="5">
        <v>22929.599999999999</v>
      </c>
      <c r="K52" s="5">
        <v>-5.2</v>
      </c>
      <c r="L52" s="5">
        <v>-260</v>
      </c>
      <c r="M52" s="5"/>
      <c r="N52" s="3" t="s">
        <v>79</v>
      </c>
      <c r="O52" s="3" t="s">
        <v>22</v>
      </c>
    </row>
    <row r="53" spans="1:15" x14ac:dyDescent="0.35">
      <c r="A53" s="3">
        <v>1800013816</v>
      </c>
      <c r="B53" s="3" t="s">
        <v>38</v>
      </c>
      <c r="C53" s="4">
        <v>45950</v>
      </c>
      <c r="D53" s="4">
        <v>45951</v>
      </c>
      <c r="E53" s="3" t="s">
        <v>33</v>
      </c>
      <c r="F53" s="24">
        <v>256779418634</v>
      </c>
      <c r="G53" s="3" t="s">
        <v>19</v>
      </c>
      <c r="H53" s="5">
        <v>50</v>
      </c>
      <c r="I53" s="3" t="s">
        <v>14</v>
      </c>
      <c r="J53" s="5">
        <v>4409.54</v>
      </c>
      <c r="K53" s="5">
        <v>-1</v>
      </c>
      <c r="L53" s="5">
        <v>-50</v>
      </c>
      <c r="M53" s="5"/>
      <c r="N53" s="3" t="s">
        <v>80</v>
      </c>
      <c r="O53" s="3" t="s">
        <v>22</v>
      </c>
    </row>
    <row r="54" spans="1:15" x14ac:dyDescent="0.35">
      <c r="A54" s="3">
        <v>1800013847</v>
      </c>
      <c r="B54" s="3" t="s">
        <v>38</v>
      </c>
      <c r="C54" s="4">
        <v>45950</v>
      </c>
      <c r="D54" s="4">
        <v>45951</v>
      </c>
      <c r="E54" s="3" t="s">
        <v>33</v>
      </c>
      <c r="F54" s="24">
        <v>256779418665</v>
      </c>
      <c r="G54" s="3" t="s">
        <v>19</v>
      </c>
      <c r="H54" s="5">
        <v>46.5</v>
      </c>
      <c r="I54" s="3" t="s">
        <v>14</v>
      </c>
      <c r="J54" s="5">
        <v>4100.87</v>
      </c>
      <c r="K54" s="5">
        <v>-0.93</v>
      </c>
      <c r="L54" s="5">
        <v>-46.5</v>
      </c>
      <c r="M54" s="5"/>
      <c r="N54" s="3" t="s">
        <v>81</v>
      </c>
      <c r="O54" s="3" t="s">
        <v>22</v>
      </c>
    </row>
    <row r="55" spans="1:15" x14ac:dyDescent="0.35">
      <c r="A55" s="3">
        <v>1800013928</v>
      </c>
      <c r="B55" s="3" t="s">
        <v>38</v>
      </c>
      <c r="C55" s="4">
        <v>45950</v>
      </c>
      <c r="D55" s="4">
        <v>45951</v>
      </c>
      <c r="E55" s="3" t="s">
        <v>33</v>
      </c>
      <c r="F55" s="24">
        <v>256779418705</v>
      </c>
      <c r="G55" s="3" t="s">
        <v>19</v>
      </c>
      <c r="H55" s="5">
        <v>150.5</v>
      </c>
      <c r="I55" s="3" t="s">
        <v>14</v>
      </c>
      <c r="J55" s="5">
        <v>13272.71</v>
      </c>
      <c r="K55" s="5">
        <v>-3.01</v>
      </c>
      <c r="L55" s="5">
        <v>-150.5</v>
      </c>
      <c r="M55" s="5"/>
      <c r="N55" s="3" t="s">
        <v>82</v>
      </c>
      <c r="O55" s="3" t="s">
        <v>22</v>
      </c>
    </row>
    <row r="56" spans="1:15" x14ac:dyDescent="0.35">
      <c r="A56" s="3">
        <v>1800007266</v>
      </c>
      <c r="B56" s="3" t="s">
        <v>38</v>
      </c>
      <c r="C56" s="4">
        <v>45768</v>
      </c>
      <c r="D56" s="4">
        <v>45769</v>
      </c>
      <c r="E56" s="3" t="s">
        <v>33</v>
      </c>
      <c r="F56" s="24">
        <v>256779412157</v>
      </c>
      <c r="G56" s="3" t="s">
        <v>19</v>
      </c>
      <c r="H56" s="5">
        <v>756</v>
      </c>
      <c r="I56" s="3" t="s">
        <v>14</v>
      </c>
      <c r="J56" s="5">
        <v>64872.36</v>
      </c>
      <c r="K56" s="5">
        <v>-75.599999999999994</v>
      </c>
      <c r="L56" s="5">
        <v>-756</v>
      </c>
      <c r="M56" s="5"/>
      <c r="N56" s="3" t="s">
        <v>83</v>
      </c>
      <c r="O56" s="3" t="s">
        <v>26</v>
      </c>
    </row>
    <row r="57" spans="1:15" x14ac:dyDescent="0.35">
      <c r="A57" s="3">
        <v>1600001865</v>
      </c>
      <c r="B57" s="3" t="s">
        <v>51</v>
      </c>
      <c r="C57" s="4">
        <v>45862</v>
      </c>
      <c r="D57" s="4">
        <v>45862</v>
      </c>
      <c r="E57" s="3" t="s">
        <v>33</v>
      </c>
      <c r="F57" s="24">
        <v>256779421485</v>
      </c>
      <c r="G57" s="3" t="s">
        <v>19</v>
      </c>
      <c r="H57" s="5">
        <v>-756</v>
      </c>
      <c r="I57" s="3" t="s">
        <v>14</v>
      </c>
      <c r="J57" s="5">
        <v>-65016.51</v>
      </c>
      <c r="K57" s="5"/>
      <c r="L57" s="5"/>
      <c r="M57" s="5"/>
      <c r="N57" s="3" t="s">
        <v>84</v>
      </c>
      <c r="O57" s="3" t="s">
        <v>16</v>
      </c>
    </row>
    <row r="58" spans="1:15" x14ac:dyDescent="0.35">
      <c r="A58" s="3">
        <v>1600001920</v>
      </c>
      <c r="B58" s="3" t="s">
        <v>51</v>
      </c>
      <c r="C58" s="4">
        <v>45862</v>
      </c>
      <c r="D58" s="4">
        <v>45862</v>
      </c>
      <c r="E58" s="3" t="s">
        <v>33</v>
      </c>
      <c r="F58" s="24">
        <v>256779421540</v>
      </c>
      <c r="G58" s="3" t="s">
        <v>19</v>
      </c>
      <c r="H58" s="5">
        <v>-756</v>
      </c>
      <c r="I58" s="3" t="s">
        <v>14</v>
      </c>
      <c r="J58" s="5">
        <v>-65016.51</v>
      </c>
      <c r="K58" s="5"/>
      <c r="L58" s="5"/>
      <c r="M58" s="5"/>
      <c r="N58" s="3" t="s">
        <v>85</v>
      </c>
      <c r="O58" s="3" t="s">
        <v>16</v>
      </c>
    </row>
    <row r="59" spans="1:15" x14ac:dyDescent="0.35">
      <c r="A59" s="3">
        <v>1800009653</v>
      </c>
      <c r="B59" s="3" t="s">
        <v>38</v>
      </c>
      <c r="C59" s="4">
        <v>45826</v>
      </c>
      <c r="D59" s="4">
        <v>45827</v>
      </c>
      <c r="E59" s="3" t="s">
        <v>33</v>
      </c>
      <c r="F59" s="24">
        <v>256779414417</v>
      </c>
      <c r="G59" s="3" t="s">
        <v>19</v>
      </c>
      <c r="H59" s="5">
        <v>756</v>
      </c>
      <c r="I59" s="3" t="s">
        <v>14</v>
      </c>
      <c r="J59" s="5">
        <v>64631.03</v>
      </c>
      <c r="K59" s="5"/>
      <c r="L59" s="5"/>
      <c r="M59" s="5"/>
      <c r="N59" s="3" t="s">
        <v>73</v>
      </c>
      <c r="O59" s="3" t="s">
        <v>16</v>
      </c>
    </row>
    <row r="60" spans="1:15" x14ac:dyDescent="0.35">
      <c r="A60" s="3">
        <v>1800009709</v>
      </c>
      <c r="B60" s="3" t="s">
        <v>38</v>
      </c>
      <c r="C60" s="4">
        <v>45826</v>
      </c>
      <c r="D60" s="4">
        <v>45827</v>
      </c>
      <c r="E60" s="3" t="s">
        <v>33</v>
      </c>
      <c r="F60" s="24">
        <v>256779414473</v>
      </c>
      <c r="G60" s="3" t="s">
        <v>19</v>
      </c>
      <c r="H60" s="5">
        <v>756</v>
      </c>
      <c r="I60" s="3" t="s">
        <v>14</v>
      </c>
      <c r="J60" s="5">
        <v>64631.03</v>
      </c>
      <c r="K60" s="5"/>
      <c r="L60" s="5"/>
      <c r="M60" s="5"/>
      <c r="N60" s="3" t="s">
        <v>76</v>
      </c>
      <c r="O60" s="3" t="s">
        <v>16</v>
      </c>
    </row>
    <row r="61" spans="1:15" x14ac:dyDescent="0.35">
      <c r="A61" s="3">
        <v>1800003129</v>
      </c>
      <c r="B61" s="3" t="s">
        <v>38</v>
      </c>
      <c r="C61" s="4">
        <v>45735</v>
      </c>
      <c r="D61" s="4">
        <v>45736</v>
      </c>
      <c r="E61" s="3" t="s">
        <v>33</v>
      </c>
      <c r="F61" s="24">
        <v>246779412996</v>
      </c>
      <c r="G61" s="3" t="s">
        <v>19</v>
      </c>
      <c r="H61" s="5">
        <v>756</v>
      </c>
      <c r="I61" s="3" t="s">
        <v>14</v>
      </c>
      <c r="J61" s="5">
        <v>65538.59</v>
      </c>
      <c r="K61" s="5"/>
      <c r="L61" s="5"/>
      <c r="M61" s="5"/>
      <c r="N61" s="3" t="s">
        <v>78</v>
      </c>
      <c r="O61" s="3" t="s">
        <v>37</v>
      </c>
    </row>
    <row r="62" spans="1:15" x14ac:dyDescent="0.35">
      <c r="A62" s="3">
        <v>1800012816</v>
      </c>
      <c r="B62" s="3" t="s">
        <v>38</v>
      </c>
      <c r="C62" s="4">
        <v>45918</v>
      </c>
      <c r="D62" s="4">
        <v>45922</v>
      </c>
      <c r="E62" s="3" t="s">
        <v>33</v>
      </c>
      <c r="F62" s="24">
        <v>256779417421</v>
      </c>
      <c r="G62" s="3" t="s">
        <v>19</v>
      </c>
      <c r="H62" s="5">
        <v>50</v>
      </c>
      <c r="I62" s="3" t="s">
        <v>14</v>
      </c>
      <c r="J62" s="5">
        <v>4375.72</v>
      </c>
      <c r="K62" s="5"/>
      <c r="L62" s="5"/>
      <c r="M62" s="5"/>
      <c r="N62" s="3" t="s">
        <v>86</v>
      </c>
      <c r="O62" s="3" t="s">
        <v>13</v>
      </c>
    </row>
    <row r="63" spans="1:15" x14ac:dyDescent="0.35">
      <c r="A63" s="3">
        <v>1800012994</v>
      </c>
      <c r="B63" s="3" t="s">
        <v>38</v>
      </c>
      <c r="C63" s="4">
        <v>45918</v>
      </c>
      <c r="D63" s="4">
        <v>45922</v>
      </c>
      <c r="E63" s="3" t="s">
        <v>33</v>
      </c>
      <c r="F63" s="24">
        <v>256779417529</v>
      </c>
      <c r="G63" s="3" t="s">
        <v>19</v>
      </c>
      <c r="H63" s="5">
        <v>171.95</v>
      </c>
      <c r="I63" s="3" t="s">
        <v>14</v>
      </c>
      <c r="J63" s="5">
        <v>15048.09</v>
      </c>
      <c r="K63" s="5">
        <v>-3.43</v>
      </c>
      <c r="L63" s="5">
        <v>-171.95</v>
      </c>
      <c r="M63" s="5"/>
      <c r="N63" s="3" t="s">
        <v>87</v>
      </c>
      <c r="O63" s="3" t="s">
        <v>13</v>
      </c>
    </row>
    <row r="64" spans="1:15" x14ac:dyDescent="0.35">
      <c r="A64" s="3">
        <v>1800012931</v>
      </c>
      <c r="B64" s="3" t="s">
        <v>38</v>
      </c>
      <c r="C64" s="4">
        <v>45918</v>
      </c>
      <c r="D64" s="4">
        <v>45922</v>
      </c>
      <c r="E64" s="3" t="s">
        <v>33</v>
      </c>
      <c r="F64" s="24">
        <v>256779417570</v>
      </c>
      <c r="G64" s="3" t="s">
        <v>19</v>
      </c>
      <c r="H64" s="5">
        <v>448</v>
      </c>
      <c r="I64" s="3" t="s">
        <v>14</v>
      </c>
      <c r="J64" s="5">
        <v>39206.42</v>
      </c>
      <c r="K64" s="5">
        <v>-8.9600000000000009</v>
      </c>
      <c r="L64" s="5">
        <v>-448</v>
      </c>
      <c r="M64" s="5"/>
      <c r="N64" s="3" t="s">
        <v>88</v>
      </c>
      <c r="O64" s="3" t="s">
        <v>13</v>
      </c>
    </row>
    <row r="65" spans="1:15" x14ac:dyDescent="0.35">
      <c r="A65" s="3">
        <v>1800015292</v>
      </c>
      <c r="B65" s="3" t="s">
        <v>38</v>
      </c>
      <c r="C65" s="4">
        <v>45996</v>
      </c>
      <c r="D65" s="4">
        <v>46000</v>
      </c>
      <c r="E65" s="3" t="s">
        <v>33</v>
      </c>
      <c r="F65" s="24">
        <v>256779419921</v>
      </c>
      <c r="G65" s="3" t="s">
        <v>19</v>
      </c>
      <c r="H65" s="5">
        <v>140</v>
      </c>
      <c r="I65" s="3" t="s">
        <v>14</v>
      </c>
      <c r="J65" s="5">
        <v>12418.02</v>
      </c>
      <c r="K65" s="5">
        <v>-2.81</v>
      </c>
      <c r="L65" s="5">
        <v>-140</v>
      </c>
      <c r="M65" s="5"/>
      <c r="N65" s="3" t="s">
        <v>89</v>
      </c>
      <c r="O65" s="3" t="s">
        <v>13</v>
      </c>
    </row>
    <row r="66" spans="1:15" x14ac:dyDescent="0.35">
      <c r="A66" s="3">
        <v>1800008232</v>
      </c>
      <c r="B66" s="3" t="s">
        <v>38</v>
      </c>
      <c r="C66" s="4">
        <v>45787</v>
      </c>
      <c r="D66" s="4">
        <v>45791</v>
      </c>
      <c r="E66" s="3" t="s">
        <v>33</v>
      </c>
      <c r="F66" s="24">
        <v>256779413116</v>
      </c>
      <c r="G66" s="3" t="s">
        <v>19</v>
      </c>
      <c r="H66" s="5">
        <v>756</v>
      </c>
      <c r="I66" s="3" t="s">
        <v>14</v>
      </c>
      <c r="J66" s="5">
        <v>65003.68</v>
      </c>
      <c r="K66" s="5">
        <v>-75.599999999999994</v>
      </c>
      <c r="L66" s="5">
        <v>-756</v>
      </c>
      <c r="M66" s="5"/>
      <c r="N66" s="3" t="s">
        <v>90</v>
      </c>
      <c r="O66" s="3" t="s">
        <v>26</v>
      </c>
    </row>
    <row r="67" spans="1:15" x14ac:dyDescent="0.35">
      <c r="A67" s="3">
        <v>1800013277</v>
      </c>
      <c r="B67" s="3" t="s">
        <v>38</v>
      </c>
      <c r="C67" s="4">
        <v>45936</v>
      </c>
      <c r="D67" s="4">
        <v>45937</v>
      </c>
      <c r="E67" s="3" t="s">
        <v>33</v>
      </c>
      <c r="F67" s="24">
        <v>256779418013</v>
      </c>
      <c r="G67" s="3" t="s">
        <v>19</v>
      </c>
      <c r="H67" s="5">
        <v>112</v>
      </c>
      <c r="I67" s="3" t="s">
        <v>14</v>
      </c>
      <c r="J67" s="5">
        <v>9877.3700000000008</v>
      </c>
      <c r="K67" s="5">
        <v>-11.2</v>
      </c>
      <c r="L67" s="5">
        <v>-112</v>
      </c>
      <c r="M67" s="5"/>
      <c r="N67" s="3" t="s">
        <v>91</v>
      </c>
      <c r="O67" s="3" t="s">
        <v>22</v>
      </c>
    </row>
    <row r="68" spans="1:15" x14ac:dyDescent="0.35">
      <c r="A68" s="3">
        <v>1800013307</v>
      </c>
      <c r="B68" s="3" t="s">
        <v>38</v>
      </c>
      <c r="C68" s="4">
        <v>45935</v>
      </c>
      <c r="D68" s="4">
        <v>45937</v>
      </c>
      <c r="E68" s="3" t="s">
        <v>33</v>
      </c>
      <c r="F68" s="24">
        <v>256779417903</v>
      </c>
      <c r="G68" s="3" t="s">
        <v>19</v>
      </c>
      <c r="H68" s="5">
        <v>62.61</v>
      </c>
      <c r="I68" s="3" t="s">
        <v>14</v>
      </c>
      <c r="J68" s="5">
        <v>5521.62</v>
      </c>
      <c r="K68" s="5"/>
      <c r="L68" s="5"/>
      <c r="M68" s="5"/>
      <c r="N68" s="3" t="s">
        <v>92</v>
      </c>
      <c r="O68" s="3" t="s">
        <v>13</v>
      </c>
    </row>
    <row r="69" spans="1:15" x14ac:dyDescent="0.35">
      <c r="A69" s="3">
        <v>1800013512</v>
      </c>
      <c r="B69" s="3" t="s">
        <v>38</v>
      </c>
      <c r="C69" s="4">
        <v>45935</v>
      </c>
      <c r="D69" s="4">
        <v>45940</v>
      </c>
      <c r="E69" s="3" t="s">
        <v>33</v>
      </c>
      <c r="F69" s="24">
        <v>256779418402</v>
      </c>
      <c r="G69" s="3" t="s">
        <v>19</v>
      </c>
      <c r="H69" s="5">
        <v>240.41</v>
      </c>
      <c r="I69" s="3" t="s">
        <v>14</v>
      </c>
      <c r="J69" s="5">
        <v>21201.94</v>
      </c>
      <c r="K69" s="5">
        <v>-4.8099999999999996</v>
      </c>
      <c r="L69" s="5">
        <v>-240.41</v>
      </c>
      <c r="M69" s="5"/>
      <c r="N69" s="3" t="s">
        <v>93</v>
      </c>
      <c r="O69" s="3" t="s">
        <v>13</v>
      </c>
    </row>
    <row r="70" spans="1:15" x14ac:dyDescent="0.35">
      <c r="A70" s="3">
        <v>1800013450</v>
      </c>
      <c r="B70" s="3" t="s">
        <v>38</v>
      </c>
      <c r="C70" s="4">
        <v>45935</v>
      </c>
      <c r="D70" s="4">
        <v>45937</v>
      </c>
      <c r="E70" s="3" t="s">
        <v>33</v>
      </c>
      <c r="F70" s="24">
        <v>256779418026</v>
      </c>
      <c r="G70" s="3" t="s">
        <v>19</v>
      </c>
      <c r="H70" s="5">
        <v>756</v>
      </c>
      <c r="I70" s="3" t="s">
        <v>14</v>
      </c>
      <c r="J70" s="5">
        <v>66672.22</v>
      </c>
      <c r="K70" s="5">
        <v>-75.59</v>
      </c>
      <c r="L70" s="5">
        <v>-756</v>
      </c>
      <c r="M70" s="5"/>
      <c r="N70" s="3" t="s">
        <v>94</v>
      </c>
      <c r="O70" s="3" t="s">
        <v>22</v>
      </c>
    </row>
    <row r="71" spans="1:15" x14ac:dyDescent="0.35">
      <c r="A71" s="3">
        <v>1800015699</v>
      </c>
      <c r="B71" s="3" t="s">
        <v>38</v>
      </c>
      <c r="C71" s="4">
        <v>46024</v>
      </c>
      <c r="D71" s="4">
        <v>46024</v>
      </c>
      <c r="E71" s="3" t="s">
        <v>33</v>
      </c>
      <c r="F71" s="24">
        <v>256779440032</v>
      </c>
      <c r="G71" s="3" t="s">
        <v>19</v>
      </c>
      <c r="H71" s="5">
        <v>756</v>
      </c>
      <c r="I71" s="3" t="s">
        <v>14</v>
      </c>
      <c r="J71" s="5">
        <v>68601.81</v>
      </c>
      <c r="K71" s="5">
        <v>-75.599999999999994</v>
      </c>
      <c r="L71" s="5">
        <v>-756</v>
      </c>
      <c r="M71" s="5"/>
      <c r="N71" s="3" t="s">
        <v>95</v>
      </c>
      <c r="O71" s="3" t="s">
        <v>13</v>
      </c>
    </row>
    <row r="72" spans="1:15" x14ac:dyDescent="0.35">
      <c r="A72" s="3">
        <v>1800016614</v>
      </c>
      <c r="B72" s="3" t="s">
        <v>38</v>
      </c>
      <c r="C72" s="4">
        <v>46028</v>
      </c>
      <c r="D72" s="4">
        <v>46035</v>
      </c>
      <c r="E72" s="3" t="s">
        <v>33</v>
      </c>
      <c r="F72" s="24">
        <v>256779440323</v>
      </c>
      <c r="G72" s="3" t="s">
        <v>19</v>
      </c>
      <c r="H72" s="5">
        <v>756</v>
      </c>
      <c r="I72" s="3" t="s">
        <v>14</v>
      </c>
      <c r="J72" s="5">
        <v>68601.81</v>
      </c>
      <c r="K72" s="5">
        <v>-75.599999999999994</v>
      </c>
      <c r="L72" s="5">
        <v>-756</v>
      </c>
      <c r="M72" s="5"/>
      <c r="N72" s="3" t="s">
        <v>96</v>
      </c>
      <c r="O72" s="3" t="s">
        <v>13</v>
      </c>
    </row>
  </sheetData>
  <autoFilter ref="A1:O72" xr:uid="{12FD19BD-34D5-40A3-8FD9-0C084A2B264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C0D5-F137-4DFD-91AA-A36631A2C680}">
  <dimension ref="A1"/>
  <sheetViews>
    <sheetView workbookViewId="0">
      <selection activeCell="Q16" sqref="Q16:R16"/>
    </sheetView>
  </sheetViews>
  <sheetFormatPr defaultRowHeight="14.5" x14ac:dyDescent="0.35"/>
  <cols>
    <col min="1" max="1" width="12.36328125" bestFit="1" customWidth="1"/>
    <col min="2" max="2" width="10.269531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2938-6BA5-4860-8636-B059BE419A56}">
  <sheetPr>
    <tabColor rgb="FFFFC000"/>
  </sheetPr>
  <dimension ref="A1:H55"/>
  <sheetViews>
    <sheetView topLeftCell="A24" workbookViewId="0">
      <selection activeCell="H55" sqref="H55"/>
    </sheetView>
  </sheetViews>
  <sheetFormatPr defaultRowHeight="14.5" x14ac:dyDescent="0.35"/>
  <cols>
    <col min="1" max="1" width="8.81640625" bestFit="1" customWidth="1"/>
    <col min="2" max="2" width="12.90625" bestFit="1" customWidth="1"/>
    <col min="3" max="3" width="10.08984375" bestFit="1" customWidth="1"/>
    <col min="4" max="4" width="7.81640625" bestFit="1" customWidth="1"/>
    <col min="5" max="5" width="10.26953125" bestFit="1" customWidth="1"/>
    <col min="6" max="6" width="44.36328125" bestFit="1" customWidth="1"/>
    <col min="7" max="7" width="12.90625" bestFit="1" customWidth="1"/>
    <col min="8" max="8" width="8.54296875" bestFit="1" customWidth="1"/>
  </cols>
  <sheetData>
    <row r="1" spans="1:8" ht="58" x14ac:dyDescent="0.35">
      <c r="A1" s="20" t="s">
        <v>97</v>
      </c>
      <c r="B1" s="20" t="s">
        <v>5</v>
      </c>
      <c r="C1" s="20" t="s">
        <v>2</v>
      </c>
      <c r="D1" s="20" t="s">
        <v>98</v>
      </c>
      <c r="E1" s="20" t="s">
        <v>99</v>
      </c>
      <c r="F1" s="20" t="s">
        <v>11</v>
      </c>
      <c r="G1" s="21" t="s">
        <v>10</v>
      </c>
      <c r="H1" s="20" t="s">
        <v>100</v>
      </c>
    </row>
    <row r="2" spans="1:8" x14ac:dyDescent="0.35">
      <c r="A2" s="14" t="s">
        <v>102</v>
      </c>
      <c r="B2" s="14" t="s">
        <v>103</v>
      </c>
      <c r="C2" s="15">
        <v>45931</v>
      </c>
      <c r="D2" s="16">
        <v>2032.13</v>
      </c>
      <c r="E2" s="16">
        <v>180144.46</v>
      </c>
      <c r="F2" s="14" t="s">
        <v>104</v>
      </c>
      <c r="G2" s="17" t="s">
        <v>103</v>
      </c>
      <c r="H2" s="18">
        <v>0</v>
      </c>
    </row>
    <row r="3" spans="1:8" x14ac:dyDescent="0.35">
      <c r="A3" s="14" t="s">
        <v>102</v>
      </c>
      <c r="B3" s="17">
        <v>256779414933</v>
      </c>
      <c r="C3" s="15">
        <v>45842</v>
      </c>
      <c r="D3" s="19">
        <v>-680.4</v>
      </c>
      <c r="E3" s="19">
        <v>-60470.35</v>
      </c>
      <c r="F3" s="14" t="s">
        <v>105</v>
      </c>
      <c r="G3" s="17">
        <v>256779414933</v>
      </c>
      <c r="H3" s="19">
        <v>-75.599999999999994</v>
      </c>
    </row>
    <row r="4" spans="1:8" x14ac:dyDescent="0.35">
      <c r="A4" s="14" t="s">
        <v>102</v>
      </c>
      <c r="B4" s="17">
        <v>256779416044</v>
      </c>
      <c r="C4" s="15">
        <v>45870</v>
      </c>
      <c r="D4" s="19">
        <v>-680.4</v>
      </c>
      <c r="E4" s="19">
        <v>-60470.35</v>
      </c>
      <c r="F4" s="14" t="s">
        <v>106</v>
      </c>
      <c r="G4" s="17">
        <v>256779416044</v>
      </c>
      <c r="H4" s="19">
        <v>-75.599999999999994</v>
      </c>
    </row>
    <row r="5" spans="1:8" x14ac:dyDescent="0.35">
      <c r="A5" s="14" t="s">
        <v>102</v>
      </c>
      <c r="B5" s="17">
        <v>256779417363</v>
      </c>
      <c r="C5" s="15">
        <v>45904</v>
      </c>
      <c r="D5" s="19">
        <v>-680.4</v>
      </c>
      <c r="E5" s="19">
        <v>-60470.35</v>
      </c>
      <c r="F5" s="14" t="s">
        <v>107</v>
      </c>
      <c r="G5" s="17">
        <v>256779417363</v>
      </c>
      <c r="H5" s="19">
        <v>-75.599999999999994</v>
      </c>
    </row>
    <row r="6" spans="1:8" x14ac:dyDescent="0.35">
      <c r="A6" s="14" t="s">
        <v>102</v>
      </c>
      <c r="B6" s="17" t="s">
        <v>108</v>
      </c>
      <c r="C6" s="15">
        <v>45869</v>
      </c>
      <c r="D6" s="16">
        <v>750.97</v>
      </c>
      <c r="E6" s="16">
        <v>65857.88</v>
      </c>
      <c r="F6" s="14" t="s">
        <v>109</v>
      </c>
      <c r="G6" s="17" t="s">
        <v>108</v>
      </c>
      <c r="H6" s="18">
        <v>0</v>
      </c>
    </row>
    <row r="7" spans="1:8" x14ac:dyDescent="0.35">
      <c r="A7" s="14" t="s">
        <v>102</v>
      </c>
      <c r="B7" s="17" t="s">
        <v>108</v>
      </c>
      <c r="C7" s="15">
        <v>45869</v>
      </c>
      <c r="D7" s="16">
        <v>7484.4</v>
      </c>
      <c r="E7" s="16">
        <v>656363.29</v>
      </c>
      <c r="F7" s="14" t="s">
        <v>110</v>
      </c>
      <c r="G7" s="17" t="s">
        <v>13</v>
      </c>
      <c r="H7" s="18">
        <v>0</v>
      </c>
    </row>
    <row r="8" spans="1:8" x14ac:dyDescent="0.35">
      <c r="A8" s="14" t="s">
        <v>102</v>
      </c>
      <c r="B8" s="17">
        <v>256779415405</v>
      </c>
      <c r="C8" s="15">
        <v>45854</v>
      </c>
      <c r="D8" s="19">
        <v>-750.97</v>
      </c>
      <c r="E8" s="19">
        <v>-65857.88</v>
      </c>
      <c r="F8" s="14" t="s">
        <v>111</v>
      </c>
      <c r="G8" s="17">
        <v>256779415405</v>
      </c>
      <c r="H8" s="19">
        <v>-83.43</v>
      </c>
    </row>
    <row r="9" spans="1:8" x14ac:dyDescent="0.35">
      <c r="A9" s="14" t="s">
        <v>102</v>
      </c>
      <c r="B9" s="17">
        <v>256779415404</v>
      </c>
      <c r="C9" s="15">
        <v>45854</v>
      </c>
      <c r="D9" s="19">
        <v>-680.4</v>
      </c>
      <c r="E9" s="19">
        <v>-59669.39</v>
      </c>
      <c r="F9" s="14" t="s">
        <v>112</v>
      </c>
      <c r="G9" s="17">
        <v>256779415404</v>
      </c>
      <c r="H9" s="19">
        <v>-75.599999999999994</v>
      </c>
    </row>
    <row r="10" spans="1:8" x14ac:dyDescent="0.35">
      <c r="A10" s="14" t="s">
        <v>102</v>
      </c>
      <c r="B10" s="17">
        <v>256779415402</v>
      </c>
      <c r="C10" s="15">
        <v>45854</v>
      </c>
      <c r="D10" s="19">
        <v>-680.4</v>
      </c>
      <c r="E10" s="19">
        <v>-59669.39</v>
      </c>
      <c r="F10" s="14" t="s">
        <v>113</v>
      </c>
      <c r="G10" s="17">
        <v>256779415402</v>
      </c>
      <c r="H10" s="19">
        <v>-75.599999999999994</v>
      </c>
    </row>
    <row r="11" spans="1:8" x14ac:dyDescent="0.35">
      <c r="A11" s="14" t="s">
        <v>102</v>
      </c>
      <c r="B11" s="17">
        <v>256779415403</v>
      </c>
      <c r="C11" s="15">
        <v>45854</v>
      </c>
      <c r="D11" s="19">
        <v>-680.4</v>
      </c>
      <c r="E11" s="19">
        <v>-59669.39</v>
      </c>
      <c r="F11" s="14" t="s">
        <v>114</v>
      </c>
      <c r="G11" s="17">
        <v>256779415403</v>
      </c>
      <c r="H11" s="19">
        <v>-75.599999999999994</v>
      </c>
    </row>
    <row r="12" spans="1:8" x14ac:dyDescent="0.35">
      <c r="A12" s="14" t="s">
        <v>102</v>
      </c>
      <c r="B12" s="17">
        <v>256779415401</v>
      </c>
      <c r="C12" s="15">
        <v>45854</v>
      </c>
      <c r="D12" s="19">
        <v>-680.4</v>
      </c>
      <c r="E12" s="19">
        <v>-59669.39</v>
      </c>
      <c r="F12" s="14" t="s">
        <v>115</v>
      </c>
      <c r="G12" s="17">
        <v>256779415401</v>
      </c>
      <c r="H12" s="19">
        <v>-75.599999999999994</v>
      </c>
    </row>
    <row r="13" spans="1:8" x14ac:dyDescent="0.35">
      <c r="A13" s="14" t="s">
        <v>102</v>
      </c>
      <c r="B13" s="17">
        <v>256779415400</v>
      </c>
      <c r="C13" s="15">
        <v>45854</v>
      </c>
      <c r="D13" s="19">
        <v>-680.4</v>
      </c>
      <c r="E13" s="19">
        <v>-59669.39</v>
      </c>
      <c r="F13" s="14" t="s">
        <v>116</v>
      </c>
      <c r="G13" s="17">
        <v>256779415400</v>
      </c>
      <c r="H13" s="19">
        <v>-75.599999999999994</v>
      </c>
    </row>
    <row r="14" spans="1:8" x14ac:dyDescent="0.35">
      <c r="A14" s="14" t="s">
        <v>102</v>
      </c>
      <c r="B14" s="17">
        <v>256779415399</v>
      </c>
      <c r="C14" s="15">
        <v>45854</v>
      </c>
      <c r="D14" s="19">
        <v>-680.4</v>
      </c>
      <c r="E14" s="19">
        <v>-59669.39</v>
      </c>
      <c r="F14" s="14" t="s">
        <v>117</v>
      </c>
      <c r="G14" s="17">
        <v>256779415399</v>
      </c>
      <c r="H14" s="19">
        <v>-75.599999999999994</v>
      </c>
    </row>
    <row r="15" spans="1:8" x14ac:dyDescent="0.35">
      <c r="A15" s="14" t="s">
        <v>102</v>
      </c>
      <c r="B15" s="17">
        <v>256779415398</v>
      </c>
      <c r="C15" s="15">
        <v>45854</v>
      </c>
      <c r="D15" s="19">
        <v>-680.4</v>
      </c>
      <c r="E15" s="19">
        <v>-59669.39</v>
      </c>
      <c r="F15" s="14" t="s">
        <v>111</v>
      </c>
      <c r="G15" s="17">
        <v>256779415398</v>
      </c>
      <c r="H15" s="19">
        <v>-75.599999999999994</v>
      </c>
    </row>
    <row r="16" spans="1:8" x14ac:dyDescent="0.35">
      <c r="A16" s="14" t="s">
        <v>102</v>
      </c>
      <c r="B16" s="17">
        <v>256779415397</v>
      </c>
      <c r="C16" s="15">
        <v>45854</v>
      </c>
      <c r="D16" s="19">
        <v>-680.4</v>
      </c>
      <c r="E16" s="19">
        <v>-59669.39</v>
      </c>
      <c r="F16" s="14" t="s">
        <v>118</v>
      </c>
      <c r="G16" s="17">
        <v>256779415397</v>
      </c>
      <c r="H16" s="19">
        <v>-75.599999999999994</v>
      </c>
    </row>
    <row r="17" spans="1:8" x14ac:dyDescent="0.35">
      <c r="A17" s="14" t="s">
        <v>102</v>
      </c>
      <c r="B17" s="17">
        <v>256779412157</v>
      </c>
      <c r="C17" s="15">
        <v>45768</v>
      </c>
      <c r="D17" s="19">
        <v>-680.4</v>
      </c>
      <c r="E17" s="19">
        <v>-59669.39</v>
      </c>
      <c r="F17" s="14" t="s">
        <v>119</v>
      </c>
      <c r="G17" s="17">
        <v>256779412157</v>
      </c>
      <c r="H17" s="19">
        <v>-75.599999999999994</v>
      </c>
    </row>
    <row r="18" spans="1:8" x14ac:dyDescent="0.35">
      <c r="A18" s="14" t="s">
        <v>102</v>
      </c>
      <c r="B18" s="17">
        <v>256779413116</v>
      </c>
      <c r="C18" s="15">
        <v>45787</v>
      </c>
      <c r="D18" s="19">
        <v>-680.4</v>
      </c>
      <c r="E18" s="19">
        <v>-59669.39</v>
      </c>
      <c r="F18" s="14" t="s">
        <v>120</v>
      </c>
      <c r="G18" s="17">
        <v>256779413116</v>
      </c>
      <c r="H18" s="19">
        <v>-75.599999999999994</v>
      </c>
    </row>
    <row r="19" spans="1:8" x14ac:dyDescent="0.35">
      <c r="A19" s="14" t="s">
        <v>102</v>
      </c>
      <c r="B19" s="17">
        <v>256779414375</v>
      </c>
      <c r="C19" s="15">
        <v>45818</v>
      </c>
      <c r="D19" s="19">
        <v>-680.4</v>
      </c>
      <c r="E19" s="19">
        <v>-59669.39</v>
      </c>
      <c r="F19" s="14" t="s">
        <v>121</v>
      </c>
      <c r="G19" s="17">
        <v>256779414375</v>
      </c>
      <c r="H19" s="19">
        <v>-75.599999999999994</v>
      </c>
    </row>
    <row r="20" spans="1:8" x14ac:dyDescent="0.35">
      <c r="A20" s="14" t="s">
        <v>102</v>
      </c>
      <c r="B20" s="17" t="s">
        <v>122</v>
      </c>
      <c r="C20" s="15">
        <v>45898</v>
      </c>
      <c r="D20" s="16">
        <v>411.6</v>
      </c>
      <c r="E20" s="16">
        <v>36049.56</v>
      </c>
      <c r="F20" s="14" t="s">
        <v>123</v>
      </c>
      <c r="G20" s="17"/>
      <c r="H20" s="18">
        <v>0</v>
      </c>
    </row>
    <row r="21" spans="1:8" x14ac:dyDescent="0.35">
      <c r="A21" s="14" t="s">
        <v>102</v>
      </c>
      <c r="B21" s="17">
        <v>256779411605</v>
      </c>
      <c r="C21" s="15">
        <v>45762</v>
      </c>
      <c r="D21" s="19">
        <v>-137.19999999999999</v>
      </c>
      <c r="E21" s="19">
        <v>-12016.52</v>
      </c>
      <c r="F21" s="14" t="s">
        <v>124</v>
      </c>
      <c r="G21" s="17">
        <v>256779411605</v>
      </c>
      <c r="H21" s="19">
        <v>-2.8</v>
      </c>
    </row>
    <row r="22" spans="1:8" x14ac:dyDescent="0.35">
      <c r="A22" s="14" t="s">
        <v>102</v>
      </c>
      <c r="B22" s="17">
        <v>256779411604</v>
      </c>
      <c r="C22" s="15">
        <v>45762</v>
      </c>
      <c r="D22" s="19">
        <v>-137.19999999999999</v>
      </c>
      <c r="E22" s="19">
        <v>-12016.52</v>
      </c>
      <c r="F22" s="14" t="s">
        <v>124</v>
      </c>
      <c r="G22" s="17">
        <v>256779411604</v>
      </c>
      <c r="H22" s="19">
        <v>-2.8</v>
      </c>
    </row>
    <row r="23" spans="1:8" x14ac:dyDescent="0.35">
      <c r="A23" s="14" t="s">
        <v>102</v>
      </c>
      <c r="B23" s="17">
        <v>256779415396</v>
      </c>
      <c r="C23" s="15">
        <v>45854</v>
      </c>
      <c r="D23" s="19">
        <v>-137.19999999999999</v>
      </c>
      <c r="E23" s="19">
        <v>-12016.52</v>
      </c>
      <c r="F23" s="14" t="s">
        <v>125</v>
      </c>
      <c r="G23" s="17"/>
      <c r="H23" s="19">
        <v>-2.8</v>
      </c>
    </row>
    <row r="24" spans="1:8" x14ac:dyDescent="0.35">
      <c r="A24" s="14" t="s">
        <v>102</v>
      </c>
      <c r="B24" s="17">
        <v>256779411605</v>
      </c>
      <c r="C24" s="15">
        <v>45762</v>
      </c>
      <c r="D24" s="16">
        <v>137.19999999999999</v>
      </c>
      <c r="E24" s="16">
        <v>12016.52</v>
      </c>
      <c r="F24" s="14" t="s">
        <v>124</v>
      </c>
      <c r="G24" s="17">
        <v>256779411605</v>
      </c>
      <c r="H24" s="16">
        <v>2.8</v>
      </c>
    </row>
    <row r="25" spans="1:8" x14ac:dyDescent="0.35">
      <c r="A25" s="14" t="s">
        <v>102</v>
      </c>
      <c r="B25" s="17">
        <v>256779411604</v>
      </c>
      <c r="C25" s="15">
        <v>45762</v>
      </c>
      <c r="D25" s="16">
        <v>137.19999999999999</v>
      </c>
      <c r="E25" s="16">
        <v>12016.52</v>
      </c>
      <c r="F25" s="14" t="s">
        <v>124</v>
      </c>
      <c r="G25" s="17">
        <v>256779411604</v>
      </c>
      <c r="H25" s="16">
        <v>2.8</v>
      </c>
    </row>
    <row r="26" spans="1:8" x14ac:dyDescent="0.35">
      <c r="A26" s="14" t="s">
        <v>102</v>
      </c>
      <c r="B26" s="17">
        <v>256779411605</v>
      </c>
      <c r="C26" s="15">
        <v>45397</v>
      </c>
      <c r="D26" s="19">
        <v>-137.19999999999999</v>
      </c>
      <c r="E26" s="19">
        <v>-12016.52</v>
      </c>
      <c r="F26" s="14" t="s">
        <v>124</v>
      </c>
      <c r="G26" s="17">
        <v>256779411605</v>
      </c>
      <c r="H26" s="19">
        <v>-2.8</v>
      </c>
    </row>
    <row r="27" spans="1:8" x14ac:dyDescent="0.35">
      <c r="A27" s="14" t="s">
        <v>102</v>
      </c>
      <c r="B27" s="17">
        <v>256779411604</v>
      </c>
      <c r="C27" s="15">
        <v>45762</v>
      </c>
      <c r="D27" s="19">
        <v>-137.19999999999999</v>
      </c>
      <c r="E27" s="19">
        <v>-12016.52</v>
      </c>
      <c r="F27" s="14" t="s">
        <v>124</v>
      </c>
      <c r="G27" s="17">
        <v>256779411604</v>
      </c>
      <c r="H27" s="19">
        <v>-2.8</v>
      </c>
    </row>
    <row r="28" spans="1:8" x14ac:dyDescent="0.35">
      <c r="A28" s="14" t="s">
        <v>102</v>
      </c>
      <c r="B28" s="17" t="s">
        <v>126</v>
      </c>
      <c r="C28" s="15">
        <v>45931</v>
      </c>
      <c r="D28" s="16">
        <v>1478.15</v>
      </c>
      <c r="E28" s="16">
        <v>130858.37</v>
      </c>
      <c r="F28" s="14" t="s">
        <v>127</v>
      </c>
      <c r="G28" s="17"/>
      <c r="H28" s="18">
        <v>0</v>
      </c>
    </row>
    <row r="29" spans="1:8" x14ac:dyDescent="0.35">
      <c r="A29" s="14" t="s">
        <v>102</v>
      </c>
      <c r="B29" s="17">
        <v>256779416818</v>
      </c>
      <c r="C29" s="15">
        <v>45889</v>
      </c>
      <c r="D29" s="19">
        <v>-470.4</v>
      </c>
      <c r="E29" s="19">
        <v>-41294.519999999997</v>
      </c>
      <c r="F29" s="14" t="s">
        <v>128</v>
      </c>
      <c r="G29" s="17">
        <v>256779416818</v>
      </c>
      <c r="H29" s="19">
        <v>-9.6</v>
      </c>
    </row>
    <row r="30" spans="1:8" x14ac:dyDescent="0.35">
      <c r="A30" s="14" t="s">
        <v>102</v>
      </c>
      <c r="B30" s="17">
        <v>256779417208</v>
      </c>
      <c r="C30" s="15">
        <v>45870</v>
      </c>
      <c r="D30" s="19">
        <v>-62.03</v>
      </c>
      <c r="E30" s="19">
        <v>-5512.89</v>
      </c>
      <c r="F30" s="14" t="s">
        <v>129</v>
      </c>
      <c r="G30" s="17">
        <v>256779417208</v>
      </c>
      <c r="H30" s="19">
        <v>-1.26</v>
      </c>
    </row>
    <row r="31" spans="1:8" x14ac:dyDescent="0.35">
      <c r="A31" s="14" t="s">
        <v>102</v>
      </c>
      <c r="B31" s="17">
        <v>256779415049</v>
      </c>
      <c r="C31" s="15">
        <v>45842</v>
      </c>
      <c r="D31" s="19">
        <v>-17.190000000000001</v>
      </c>
      <c r="E31" s="19">
        <v>-1527.86</v>
      </c>
      <c r="F31" s="14" t="s">
        <v>130</v>
      </c>
      <c r="G31" s="17">
        <v>256779415049</v>
      </c>
      <c r="H31" s="19">
        <v>-0.35</v>
      </c>
    </row>
    <row r="32" spans="1:8" x14ac:dyDescent="0.35">
      <c r="A32" s="14" t="s">
        <v>102</v>
      </c>
      <c r="B32" s="17">
        <v>256779417246</v>
      </c>
      <c r="C32" s="15">
        <v>45904</v>
      </c>
      <c r="D32" s="19">
        <v>-179.87</v>
      </c>
      <c r="E32" s="19">
        <v>-15986.08</v>
      </c>
      <c r="F32" s="14" t="s">
        <v>131</v>
      </c>
      <c r="G32" s="17">
        <v>256779417246</v>
      </c>
      <c r="H32" s="19">
        <v>-3.67</v>
      </c>
    </row>
    <row r="33" spans="1:8" x14ac:dyDescent="0.35">
      <c r="A33" s="14" t="s">
        <v>102</v>
      </c>
      <c r="B33" s="17">
        <v>256779417329</v>
      </c>
      <c r="C33" s="15">
        <v>45914</v>
      </c>
      <c r="D33" s="19">
        <v>-86.21</v>
      </c>
      <c r="E33" s="19">
        <v>-7662.32</v>
      </c>
      <c r="F33" s="14" t="s">
        <v>132</v>
      </c>
      <c r="G33" s="17">
        <v>256779417329</v>
      </c>
      <c r="H33" s="19">
        <v>-1.76</v>
      </c>
    </row>
    <row r="34" spans="1:8" x14ac:dyDescent="0.35">
      <c r="A34" s="14" t="s">
        <v>102</v>
      </c>
      <c r="B34" s="17">
        <v>256779417289</v>
      </c>
      <c r="C34" s="15">
        <v>45904</v>
      </c>
      <c r="D34" s="19">
        <v>-662.45</v>
      </c>
      <c r="E34" s="19">
        <v>-58874.7</v>
      </c>
      <c r="F34" s="14" t="s">
        <v>133</v>
      </c>
      <c r="G34" s="17">
        <v>256779417289</v>
      </c>
      <c r="H34" s="19">
        <v>-13.52</v>
      </c>
    </row>
    <row r="35" spans="1:8" x14ac:dyDescent="0.35">
      <c r="A35" s="14" t="s">
        <v>102</v>
      </c>
      <c r="B35" s="17" t="s">
        <v>134</v>
      </c>
      <c r="C35" s="15">
        <v>45946</v>
      </c>
      <c r="D35" s="16">
        <v>631.98</v>
      </c>
      <c r="E35" s="16">
        <v>56117.65</v>
      </c>
      <c r="F35" s="14" t="s">
        <v>135</v>
      </c>
      <c r="G35" s="17"/>
      <c r="H35" s="18">
        <v>0</v>
      </c>
    </row>
    <row r="36" spans="1:8" x14ac:dyDescent="0.35">
      <c r="A36" s="14" t="s">
        <v>102</v>
      </c>
      <c r="B36" s="17">
        <v>256779417529</v>
      </c>
      <c r="C36" s="15">
        <v>45918</v>
      </c>
      <c r="D36" s="19">
        <v>-168.52</v>
      </c>
      <c r="E36" s="19">
        <v>-14969.54</v>
      </c>
      <c r="F36" s="14" t="s">
        <v>136</v>
      </c>
      <c r="G36" s="17">
        <v>256779417529</v>
      </c>
      <c r="H36" s="19">
        <v>-3.43</v>
      </c>
    </row>
    <row r="37" spans="1:8" x14ac:dyDescent="0.35">
      <c r="A37" s="14" t="s">
        <v>102</v>
      </c>
      <c r="B37" s="17">
        <v>256779417570</v>
      </c>
      <c r="C37" s="15">
        <v>45918</v>
      </c>
      <c r="D37" s="19">
        <v>-439.04</v>
      </c>
      <c r="E37" s="19">
        <v>-39000.42</v>
      </c>
      <c r="F37" s="14" t="s">
        <v>137</v>
      </c>
      <c r="G37" s="17">
        <v>256779417570</v>
      </c>
      <c r="H37" s="19">
        <v>-8.9600000000000009</v>
      </c>
    </row>
    <row r="38" spans="1:8" x14ac:dyDescent="0.35">
      <c r="A38" s="14" t="s">
        <v>102</v>
      </c>
      <c r="B38" s="17">
        <v>256779417443</v>
      </c>
      <c r="C38" s="15">
        <v>45917</v>
      </c>
      <c r="D38" s="19">
        <v>-24.42</v>
      </c>
      <c r="E38" s="19">
        <v>-2147.69</v>
      </c>
      <c r="F38" s="14" t="s">
        <v>138</v>
      </c>
      <c r="G38" s="17">
        <v>256779417443</v>
      </c>
      <c r="H38" s="19">
        <v>-0.5</v>
      </c>
    </row>
    <row r="39" spans="1:8" x14ac:dyDescent="0.35">
      <c r="A39" s="14" t="s">
        <v>102</v>
      </c>
      <c r="B39" s="17" t="s">
        <v>139</v>
      </c>
      <c r="C39" s="15">
        <v>46007</v>
      </c>
      <c r="D39" s="16">
        <v>2754.77</v>
      </c>
      <c r="E39" s="16">
        <v>247026.06</v>
      </c>
      <c r="F39" s="14" t="s">
        <v>140</v>
      </c>
      <c r="G39" s="17"/>
      <c r="H39" s="18">
        <v>0</v>
      </c>
    </row>
    <row r="40" spans="1:8" x14ac:dyDescent="0.35">
      <c r="A40" s="14" t="s">
        <v>102</v>
      </c>
      <c r="B40" s="17">
        <v>256779418665</v>
      </c>
      <c r="C40" s="15">
        <v>45950</v>
      </c>
      <c r="D40" s="19">
        <v>-45.57</v>
      </c>
      <c r="E40" s="19">
        <v>-4063.47</v>
      </c>
      <c r="F40" s="14" t="s">
        <v>132</v>
      </c>
      <c r="G40" s="17">
        <v>256779418665</v>
      </c>
      <c r="H40" s="19">
        <v>-0.93</v>
      </c>
    </row>
    <row r="41" spans="1:8" x14ac:dyDescent="0.35">
      <c r="A41" s="14" t="s">
        <v>102</v>
      </c>
      <c r="B41" s="17">
        <v>256779418013</v>
      </c>
      <c r="C41" s="15">
        <v>45936</v>
      </c>
      <c r="D41" s="19">
        <v>-100.8</v>
      </c>
      <c r="E41" s="19">
        <v>-8988.2099999999991</v>
      </c>
      <c r="F41" s="14" t="s">
        <v>141</v>
      </c>
      <c r="G41" s="17">
        <v>256779418013</v>
      </c>
      <c r="H41" s="19">
        <v>-11.2</v>
      </c>
    </row>
    <row r="42" spans="1:8" x14ac:dyDescent="0.35">
      <c r="A42" s="14" t="s">
        <v>102</v>
      </c>
      <c r="B42" s="17">
        <v>256779419135</v>
      </c>
      <c r="C42" s="15">
        <v>45964</v>
      </c>
      <c r="D42" s="19">
        <v>-567.41999999999996</v>
      </c>
      <c r="E42" s="19">
        <v>-50597.3</v>
      </c>
      <c r="F42" s="14" t="s">
        <v>142</v>
      </c>
      <c r="G42" s="17">
        <v>256779419135</v>
      </c>
      <c r="H42" s="19">
        <v>-11.58</v>
      </c>
    </row>
    <row r="43" spans="1:8" x14ac:dyDescent="0.35">
      <c r="A43" s="14" t="s">
        <v>102</v>
      </c>
      <c r="B43" s="17">
        <v>256779418705</v>
      </c>
      <c r="C43" s="15">
        <v>45950</v>
      </c>
      <c r="D43" s="19">
        <v>-147.49</v>
      </c>
      <c r="E43" s="19">
        <v>-13252.05</v>
      </c>
      <c r="F43" s="14" t="s">
        <v>143</v>
      </c>
      <c r="G43" s="17">
        <v>256779418705</v>
      </c>
      <c r="H43" s="19">
        <v>-3.01</v>
      </c>
    </row>
    <row r="44" spans="1:8" x14ac:dyDescent="0.35">
      <c r="A44" s="14" t="s">
        <v>102</v>
      </c>
      <c r="B44" s="17">
        <v>256779419234</v>
      </c>
      <c r="C44" s="15">
        <v>45966</v>
      </c>
      <c r="D44" s="19">
        <v>-167.47</v>
      </c>
      <c r="E44" s="19">
        <v>-15047.04</v>
      </c>
      <c r="F44" s="14" t="s">
        <v>144</v>
      </c>
      <c r="G44" s="17">
        <v>256779419234</v>
      </c>
      <c r="H44" s="19">
        <v>-3.42</v>
      </c>
    </row>
    <row r="45" spans="1:8" x14ac:dyDescent="0.35">
      <c r="A45" s="14" t="s">
        <v>102</v>
      </c>
      <c r="B45" s="17">
        <v>256779419203</v>
      </c>
      <c r="C45" s="15">
        <v>45966</v>
      </c>
      <c r="D45" s="19">
        <v>-61.4</v>
      </c>
      <c r="E45" s="19">
        <v>-5516.84</v>
      </c>
      <c r="F45" s="14" t="s">
        <v>145</v>
      </c>
      <c r="G45" s="17">
        <v>256779419203</v>
      </c>
      <c r="H45" s="19">
        <v>-1.26</v>
      </c>
    </row>
    <row r="46" spans="1:8" x14ac:dyDescent="0.35">
      <c r="A46" s="14" t="s">
        <v>102</v>
      </c>
      <c r="B46" s="17">
        <v>256779418792</v>
      </c>
      <c r="C46" s="15">
        <v>45966</v>
      </c>
      <c r="D46" s="19">
        <v>-680.41</v>
      </c>
      <c r="E46" s="19">
        <v>-61132.71</v>
      </c>
      <c r="F46" s="14" t="s">
        <v>146</v>
      </c>
      <c r="G46" s="17">
        <v>256779418792</v>
      </c>
      <c r="H46" s="19">
        <v>-75.59</v>
      </c>
    </row>
    <row r="47" spans="1:8" x14ac:dyDescent="0.35">
      <c r="A47" s="14" t="s">
        <v>102</v>
      </c>
      <c r="B47" s="17">
        <v>256779418026</v>
      </c>
      <c r="C47" s="15">
        <v>45935</v>
      </c>
      <c r="D47" s="19">
        <v>-680.41</v>
      </c>
      <c r="E47" s="19">
        <v>-61132.71</v>
      </c>
      <c r="F47" s="14" t="s">
        <v>147</v>
      </c>
      <c r="G47" s="17">
        <v>256779418026</v>
      </c>
      <c r="H47" s="19">
        <v>-75.59</v>
      </c>
    </row>
    <row r="48" spans="1:8" x14ac:dyDescent="0.35">
      <c r="A48" s="14" t="s">
        <v>102</v>
      </c>
      <c r="B48" s="17">
        <v>256779418627</v>
      </c>
      <c r="C48" s="15">
        <v>45950</v>
      </c>
      <c r="D48" s="19">
        <v>-254.8</v>
      </c>
      <c r="E48" s="19">
        <v>-22893.35</v>
      </c>
      <c r="F48" s="14" t="s">
        <v>148</v>
      </c>
      <c r="G48" s="17">
        <v>256779418627</v>
      </c>
      <c r="H48" s="19">
        <v>-5.2</v>
      </c>
    </row>
    <row r="49" spans="1:8" x14ac:dyDescent="0.35">
      <c r="A49" s="14" t="s">
        <v>102</v>
      </c>
      <c r="B49" s="17">
        <v>256779418634</v>
      </c>
      <c r="C49" s="15">
        <v>45935</v>
      </c>
      <c r="D49" s="19">
        <v>-49</v>
      </c>
      <c r="E49" s="19">
        <v>-4402.38</v>
      </c>
      <c r="F49" s="14" t="s">
        <v>149</v>
      </c>
      <c r="G49" s="17">
        <v>256779418634</v>
      </c>
      <c r="H49" s="19">
        <v>-1</v>
      </c>
    </row>
    <row r="50" spans="1:8" x14ac:dyDescent="0.35">
      <c r="A50" s="14" t="s">
        <v>102</v>
      </c>
      <c r="B50" s="17" t="s">
        <v>150</v>
      </c>
      <c r="C50" s="15">
        <v>46087</v>
      </c>
      <c r="D50" s="16">
        <v>1733.59</v>
      </c>
      <c r="E50" s="16">
        <v>157574.99</v>
      </c>
      <c r="F50" s="14" t="s">
        <v>151</v>
      </c>
      <c r="G50" s="17"/>
      <c r="H50" s="18">
        <v>0</v>
      </c>
    </row>
    <row r="51" spans="1:8" x14ac:dyDescent="0.35">
      <c r="A51" s="14" t="s">
        <v>102</v>
      </c>
      <c r="B51" s="17">
        <v>256779418402</v>
      </c>
      <c r="C51" s="15">
        <v>45935</v>
      </c>
      <c r="D51" s="19">
        <v>-235.6</v>
      </c>
      <c r="E51" s="19">
        <v>-21415.119999999999</v>
      </c>
      <c r="F51" s="14" t="s">
        <v>152</v>
      </c>
      <c r="G51" s="17">
        <v>256779418402</v>
      </c>
      <c r="H51" s="19">
        <v>-4.8099999999999996</v>
      </c>
    </row>
    <row r="52" spans="1:8" x14ac:dyDescent="0.35">
      <c r="A52" s="14" t="s">
        <v>102</v>
      </c>
      <c r="B52" s="17">
        <v>256779440032</v>
      </c>
      <c r="C52" s="15">
        <v>46024</v>
      </c>
      <c r="D52" s="19">
        <v>-680.4</v>
      </c>
      <c r="E52" s="19">
        <v>-61844.77</v>
      </c>
      <c r="F52" s="14" t="s">
        <v>153</v>
      </c>
      <c r="G52" s="17">
        <v>256779440032</v>
      </c>
      <c r="H52" s="19">
        <v>-75.599999999999994</v>
      </c>
    </row>
    <row r="53" spans="1:8" x14ac:dyDescent="0.35">
      <c r="A53" s="14" t="s">
        <v>102</v>
      </c>
      <c r="B53" s="17">
        <v>256779440323</v>
      </c>
      <c r="C53" s="15">
        <v>46028</v>
      </c>
      <c r="D53" s="19">
        <v>-680.4</v>
      </c>
      <c r="E53" s="19">
        <v>-61844.77</v>
      </c>
      <c r="F53" s="14" t="s">
        <v>154</v>
      </c>
      <c r="G53" s="17">
        <v>256779440323</v>
      </c>
      <c r="H53" s="19">
        <v>-75.599999999999994</v>
      </c>
    </row>
    <row r="54" spans="1:8" x14ac:dyDescent="0.35">
      <c r="A54" s="14" t="s">
        <v>102</v>
      </c>
      <c r="B54" s="17">
        <v>256779419921</v>
      </c>
      <c r="C54" s="15">
        <v>45996</v>
      </c>
      <c r="D54" s="19">
        <v>-137.19</v>
      </c>
      <c r="E54" s="19">
        <v>-12470.33</v>
      </c>
      <c r="F54" s="14" t="s">
        <v>155</v>
      </c>
      <c r="G54" s="17">
        <v>256779419921</v>
      </c>
      <c r="H54" s="19">
        <v>-2.81</v>
      </c>
    </row>
    <row r="55" spans="1:8" x14ac:dyDescent="0.35">
      <c r="H55" s="54">
        <f>SUM(H2:H54)</f>
        <v>-1540.8799999999997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93B7-9F1F-4B65-AA33-309B99587A5D}">
  <sheetPr>
    <tabColor rgb="FF7030A0"/>
  </sheetPr>
  <dimension ref="A1:I4"/>
  <sheetViews>
    <sheetView workbookViewId="0">
      <selection activeCell="D3" sqref="D3"/>
    </sheetView>
  </sheetViews>
  <sheetFormatPr defaultRowHeight="14.5" x14ac:dyDescent="0.35"/>
  <cols>
    <col min="1" max="1" width="12" customWidth="1"/>
    <col min="2" max="2" width="10.36328125" customWidth="1"/>
    <col min="3" max="3" width="10.7265625" customWidth="1"/>
    <col min="4" max="4" width="12.90625" bestFit="1" customWidth="1"/>
    <col min="5" max="5" width="10.54296875" customWidth="1"/>
    <col min="6" max="6" width="11.90625" customWidth="1"/>
    <col min="7" max="7" width="10.81640625" customWidth="1"/>
    <col min="8" max="8" width="10" bestFit="1" customWidth="1"/>
    <col min="9" max="9" width="40.1796875" bestFit="1" customWidth="1"/>
    <col min="10" max="10" width="9" bestFit="1" customWidth="1"/>
    <col min="11" max="11" width="9.81640625" bestFit="1" customWidth="1"/>
    <col min="12" max="12" width="40.1796875" bestFit="1" customWidth="1"/>
    <col min="13" max="13" width="19" bestFit="1" customWidth="1"/>
  </cols>
  <sheetData>
    <row r="1" spans="1:9" ht="58" x14ac:dyDescent="0.35">
      <c r="A1" s="2" t="s">
        <v>0</v>
      </c>
      <c r="B1" s="2" t="s">
        <v>1</v>
      </c>
      <c r="C1" s="2" t="s">
        <v>2</v>
      </c>
      <c r="D1" s="1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11</v>
      </c>
    </row>
    <row r="2" spans="1:9" x14ac:dyDescent="0.35">
      <c r="A2" s="25">
        <v>1800012816</v>
      </c>
      <c r="B2" s="25" t="s">
        <v>38</v>
      </c>
      <c r="C2" s="26">
        <v>45918</v>
      </c>
      <c r="D2" s="27">
        <v>256779417421</v>
      </c>
      <c r="E2" s="25" t="s">
        <v>19</v>
      </c>
      <c r="F2" s="28">
        <v>50</v>
      </c>
      <c r="G2" s="25" t="s">
        <v>14</v>
      </c>
      <c r="H2" s="28">
        <v>4375.72</v>
      </c>
      <c r="I2" s="25" t="s">
        <v>86</v>
      </c>
    </row>
    <row r="3" spans="1:9" x14ac:dyDescent="0.35">
      <c r="A3" s="25">
        <v>1800013307</v>
      </c>
      <c r="B3" s="25" t="s">
        <v>38</v>
      </c>
      <c r="C3" s="26">
        <v>45935</v>
      </c>
      <c r="D3" s="27">
        <v>256779417903</v>
      </c>
      <c r="E3" s="25" t="s">
        <v>19</v>
      </c>
      <c r="F3" s="28">
        <v>62.61</v>
      </c>
      <c r="G3" s="25" t="s">
        <v>14</v>
      </c>
      <c r="H3" s="28">
        <v>5521.62</v>
      </c>
      <c r="I3" s="25" t="s">
        <v>92</v>
      </c>
    </row>
    <row r="4" spans="1:9" x14ac:dyDescent="0.35">
      <c r="F4" s="23">
        <f>SUM(F2:F3)</f>
        <v>112.61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Customer Ledger</vt:lpstr>
      <vt:lpstr>CL Ledger</vt:lpstr>
      <vt:lpstr>Payment Reco</vt:lpstr>
      <vt:lpstr>Sheet6</vt:lpstr>
      <vt:lpstr>Sheet7</vt:lpstr>
      <vt:lpstr>TDS Ledger</vt:lpstr>
      <vt:lpstr>Invoice not in customers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2026-03-31T07:43:23Z</dcterms:created>
  <dcterms:modified xsi:type="dcterms:W3CDTF">2026-04-28T10:34:33Z</dcterms:modified>
</cp:coreProperties>
</file>