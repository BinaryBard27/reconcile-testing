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23. SML Limited\"/>
    </mc:Choice>
  </mc:AlternateContent>
  <xr:revisionPtr revIDLastSave="0" documentId="13_ncr:1_{5651DE43-D2A1-476B-81B4-B33DD5127E5E}" xr6:coauthVersionLast="47" xr6:coauthVersionMax="47" xr10:uidLastSave="{00000000-0000-0000-0000-000000000000}"/>
  <bookViews>
    <workbookView xWindow="-110" yWindow="-110" windowWidth="21820" windowHeight="14020" activeTab="1" xr2:uid="{08CFC468-C01E-4E8D-9ECE-339AEB54932C}"/>
  </bookViews>
  <sheets>
    <sheet name="Sheet2" sheetId="3" r:id="rId1"/>
    <sheet name="Sheet9" sheetId="1" r:id="rId2"/>
  </sheets>
  <externalReferences>
    <externalReference r:id="rId3"/>
  </externalReferences>
  <definedNames>
    <definedName name="_xlnm._FilterDatabase" localSheetId="1" hidden="1">Sheet9!$A$1:$S$10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3" i="1" l="1"/>
  <c r="R22" i="1"/>
  <c r="R21" i="1"/>
  <c r="R20" i="1"/>
  <c r="R19" i="1"/>
  <c r="R9" i="1"/>
  <c r="R16" i="1"/>
  <c r="R15" i="1"/>
  <c r="R14" i="1"/>
  <c r="R13" i="1"/>
  <c r="R2" i="1"/>
  <c r="R8" i="1"/>
  <c r="R7" i="1"/>
  <c r="R6" i="1"/>
  <c r="R5" i="1"/>
  <c r="R4" i="1"/>
  <c r="R3" i="1"/>
  <c r="R12" i="1"/>
  <c r="Q23" i="1"/>
  <c r="Q16" i="1"/>
  <c r="Q9" i="1"/>
  <c r="P16" i="1"/>
  <c r="Q22" i="1"/>
  <c r="Q21" i="1"/>
  <c r="Q20" i="1"/>
  <c r="Q15" i="1"/>
  <c r="Q14" i="1"/>
  <c r="Q13" i="1"/>
  <c r="P23" i="1"/>
  <c r="N23" i="1"/>
  <c r="N16" i="1"/>
  <c r="P9" i="1"/>
  <c r="N9" i="1"/>
  <c r="Q8" i="1" l="1"/>
  <c r="Q7" i="1"/>
  <c r="Q6" i="1"/>
  <c r="Q5" i="1"/>
  <c r="Q4" i="1"/>
  <c r="Q3" i="1"/>
</calcChain>
</file>

<file path=xl/sharedStrings.xml><?xml version="1.0" encoding="utf-8"?>
<sst xmlns="http://schemas.openxmlformats.org/spreadsheetml/2006/main" count="343" uniqueCount="62">
  <si>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</si>
  <si>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</si>
  <si>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</si>
  <si>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</si>
  <si>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</si>
  <si>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</si>
  <si>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</si>
  <si>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</si>
  <si>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</si>
  <si>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</si>
  <si>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</si>
  <si>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</si>
  <si>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</si>
  <si>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</si>
  <si>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</si>
  <si>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</si>
  <si>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</si>
  <si>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</si>
  <si>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DZ</t>
  </si>
  <si>
    <t>212100</t>
  </si>
  <si>
    <t/>
  </si>
  <si>
    <t>USD</t>
  </si>
  <si>
    <t>DR</t>
  </si>
  <si>
    <t>Invoice</t>
  </si>
  <si>
    <t>INR</t>
  </si>
  <si>
    <t>Company Code Currency Value</t>
  </si>
  <si>
    <t>Company Code Currency Key</t>
  </si>
  <si>
    <t>100222390</t>
  </si>
  <si>
    <t>SML LIMITED</t>
  </si>
  <si>
    <t>1400002015</t>
  </si>
  <si>
    <t>T54SWIC276317</t>
  </si>
  <si>
    <t>1800012588</t>
  </si>
  <si>
    <t>NA</t>
  </si>
  <si>
    <t>256779417246</t>
  </si>
  <si>
    <t>1800012621</t>
  </si>
  <si>
    <t>256779417208</t>
  </si>
  <si>
    <t>1800012649</t>
  </si>
  <si>
    <t>256779417289</t>
  </si>
  <si>
    <t>1800012689</t>
  </si>
  <si>
    <t>256779417329</t>
  </si>
  <si>
    <t>1800010289</t>
  </si>
  <si>
    <t>256779415049</t>
  </si>
  <si>
    <t>1800012186</t>
  </si>
  <si>
    <t>256779416818</t>
  </si>
  <si>
    <t>1400002021</t>
  </si>
  <si>
    <t>T54SWIC276290</t>
  </si>
  <si>
    <t>1800011335</t>
  </si>
  <si>
    <t>256779416044</t>
  </si>
  <si>
    <t>1800012729</t>
  </si>
  <si>
    <t>256779417363</t>
  </si>
  <si>
    <t>1800010173</t>
  </si>
  <si>
    <t>256779414933</t>
  </si>
  <si>
    <t>1400001579</t>
  </si>
  <si>
    <t>T54SWIC277677</t>
  </si>
  <si>
    <t>1800012789</t>
  </si>
  <si>
    <t>256779417443</t>
  </si>
  <si>
    <t>1800012994</t>
  </si>
  <si>
    <t>256779417529</t>
  </si>
  <si>
    <t>1800012931</t>
  </si>
  <si>
    <t>256779417570</t>
  </si>
  <si>
    <t>Payment</t>
  </si>
  <si>
    <t>Exchange gain/loss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</si>
</sst>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horizontal="right" vertical="top"/>
    </xf>
    <xf numFmtId="4" fontId="0" fillId="5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14" fontId="0" fillId="6" borderId="0" xfId="0" applyNumberFormat="1" applyFill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0" fontId="0" fillId="0" borderId="0" xfId="0" applyAlignment="1"/>
    <xf numFmtId="4" fontId="0" fillId="0" borderId="1" xfId="0" applyNumberFormat="1" applyFill="1" applyBorder="1" applyAlignment="1">
      <alignment horizontal="right" vertical="top"/>
    </xf>
    <xf numFmtId="0" fontId="0" fillId="0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NumberFormat="1" applyFill="1" applyBorder="1" applyAlignment="1">
      <alignment vertical="top"/>
    </xf>
    <xf numFmtId="43" fontId="0" fillId="2" borderId="1" xfId="1" applyFont="1" applyFill="1" applyBorder="1" applyAlignment="1">
      <alignment horizontal="left" vertical="top" wrapText="1"/>
    </xf>
    <xf numFmtId="43" fontId="0" fillId="0" borderId="1" xfId="1" applyFont="1" applyFill="1" applyBorder="1" applyAlignment="1">
      <alignment horizontal="left" vertical="top"/>
    </xf>
    <xf numFmtId="43" fontId="0" fillId="0" borderId="1" xfId="1" applyFont="1" applyFill="1" applyBorder="1" applyAlignment="1">
      <alignment horizontal="left" vertical="top" wrapText="1"/>
    </xf>
    <xf numFmtId="43" fontId="0" fillId="3" borderId="1" xfId="1" applyFont="1" applyFill="1" applyBorder="1" applyAlignment="1">
      <alignment horizontal="left" vertical="top"/>
    </xf>
    <xf numFmtId="43" fontId="0" fillId="0" borderId="0" xfId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%20-%20SML%20Lim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ustomer Ledger"/>
      <sheetName val="CL Ledger"/>
      <sheetName val="Payment Reco"/>
      <sheetName val="Sheet6"/>
      <sheetName val="Sheet7"/>
      <sheetName val="TDS Ledger"/>
      <sheetName val="Invoice not in customers books"/>
    </sheetNames>
    <sheetDataSet>
      <sheetData sheetId="0"/>
      <sheetData sheetId="1">
        <row r="1">
          <cell r="B1" t="str">
            <v>Reference</v>
          </cell>
          <cell r="L1" t="str">
            <v>TDS in INR</v>
          </cell>
        </row>
        <row r="2">
          <cell r="B2" t="str">
            <v>NSMT0824926</v>
          </cell>
          <cell r="L2">
            <v>0</v>
          </cell>
        </row>
        <row r="3">
          <cell r="B3">
            <v>256779414933</v>
          </cell>
          <cell r="L3">
            <v>-6718.927777777777</v>
          </cell>
        </row>
        <row r="4">
          <cell r="B4">
            <v>256779416044</v>
          </cell>
          <cell r="L4">
            <v>-6718.927777777777</v>
          </cell>
        </row>
        <row r="5">
          <cell r="B5">
            <v>256779417363</v>
          </cell>
          <cell r="L5">
            <v>-6718.927777777777</v>
          </cell>
        </row>
        <row r="6">
          <cell r="B6" t="str">
            <v>NSMT0548526</v>
          </cell>
          <cell r="L6">
            <v>0</v>
          </cell>
        </row>
        <row r="7">
          <cell r="B7" t="str">
            <v>NSMT0548526</v>
          </cell>
          <cell r="L7">
            <v>0</v>
          </cell>
        </row>
        <row r="8">
          <cell r="B8">
            <v>256779415405</v>
          </cell>
          <cell r="L8">
            <v>-7316.5678101655203</v>
          </cell>
        </row>
        <row r="9">
          <cell r="B9">
            <v>256779415404</v>
          </cell>
          <cell r="L9">
            <v>-6629.9322222222218</v>
          </cell>
        </row>
        <row r="10">
          <cell r="B10">
            <v>256779415402</v>
          </cell>
          <cell r="L10">
            <v>-6629.9322222222218</v>
          </cell>
        </row>
        <row r="11">
          <cell r="B11">
            <v>256779415403</v>
          </cell>
          <cell r="L11">
            <v>-6629.9322222222218</v>
          </cell>
        </row>
        <row r="12">
          <cell r="B12">
            <v>256779415401</v>
          </cell>
          <cell r="L12">
            <v>-6629.9322222222218</v>
          </cell>
        </row>
        <row r="13">
          <cell r="B13">
            <v>256779415400</v>
          </cell>
          <cell r="L13">
            <v>-6629.9322222222218</v>
          </cell>
        </row>
        <row r="14">
          <cell r="B14">
            <v>256779415399</v>
          </cell>
          <cell r="L14">
            <v>-6629.9322222222218</v>
          </cell>
        </row>
        <row r="15">
          <cell r="B15">
            <v>256779415398</v>
          </cell>
          <cell r="L15">
            <v>-6629.9322222222218</v>
          </cell>
        </row>
        <row r="16">
          <cell r="B16">
            <v>256779415397</v>
          </cell>
          <cell r="L16">
            <v>-6629.9322222222218</v>
          </cell>
        </row>
        <row r="17">
          <cell r="B17">
            <v>256779412157</v>
          </cell>
          <cell r="L17">
            <v>-6629.9322222222218</v>
          </cell>
        </row>
        <row r="18">
          <cell r="B18">
            <v>256779413116</v>
          </cell>
          <cell r="L18">
            <v>-6629.9322222222218</v>
          </cell>
        </row>
        <row r="19">
          <cell r="B19">
            <v>256779414375</v>
          </cell>
          <cell r="L19">
            <v>-6629.9322222222218</v>
          </cell>
        </row>
        <row r="20">
          <cell r="B20" t="str">
            <v>NSMT0671126</v>
          </cell>
          <cell r="L20">
            <v>0</v>
          </cell>
        </row>
        <row r="21">
          <cell r="B21">
            <v>256779411605</v>
          </cell>
          <cell r="L21">
            <v>-245.23510204081634</v>
          </cell>
        </row>
        <row r="22">
          <cell r="B22">
            <v>256779411604</v>
          </cell>
          <cell r="L22">
            <v>-245.23510204081634</v>
          </cell>
        </row>
        <row r="23">
          <cell r="B23">
            <v>256779415396</v>
          </cell>
          <cell r="L23">
            <v>-245.23510204081634</v>
          </cell>
        </row>
        <row r="24">
          <cell r="B24">
            <v>256779411605</v>
          </cell>
          <cell r="L24">
            <v>245.23510204081634</v>
          </cell>
        </row>
        <row r="25">
          <cell r="B25">
            <v>256779411604</v>
          </cell>
          <cell r="L25">
            <v>245.23510204081634</v>
          </cell>
        </row>
        <row r="26">
          <cell r="B26">
            <v>256779411605</v>
          </cell>
          <cell r="L26">
            <v>-245.23510204081634</v>
          </cell>
        </row>
        <row r="27">
          <cell r="B27">
            <v>256779411604</v>
          </cell>
          <cell r="L27">
            <v>-245.23510204081634</v>
          </cell>
        </row>
        <row r="28">
          <cell r="B28" t="str">
            <v>NSMT0818226</v>
          </cell>
          <cell r="L28">
            <v>0</v>
          </cell>
        </row>
        <row r="29">
          <cell r="B29">
            <v>256779416818</v>
          </cell>
          <cell r="L29">
            <v>-842.74530612244894</v>
          </cell>
        </row>
        <row r="30">
          <cell r="B30">
            <v>256779417208</v>
          </cell>
          <cell r="L30">
            <v>-111.98196679026277</v>
          </cell>
        </row>
        <row r="31">
          <cell r="B31">
            <v>256779415049</v>
          </cell>
          <cell r="L31">
            <v>-31.108260616637573</v>
          </cell>
        </row>
        <row r="32">
          <cell r="B32">
            <v>256779417246</v>
          </cell>
          <cell r="L32">
            <v>-326.17397898482233</v>
          </cell>
        </row>
        <row r="33">
          <cell r="B33">
            <v>256779417329</v>
          </cell>
          <cell r="L33">
            <v>-156.42829370142675</v>
          </cell>
        </row>
        <row r="34">
          <cell r="B34">
            <v>256779417289</v>
          </cell>
          <cell r="L34">
            <v>-1201.5789025586835</v>
          </cell>
        </row>
        <row r="35">
          <cell r="B35" t="str">
            <v>NSMT0881326</v>
          </cell>
          <cell r="L35">
            <v>0</v>
          </cell>
        </row>
        <row r="36">
          <cell r="B36">
            <v>256779417529</v>
          </cell>
          <cell r="L36">
            <v>-304.6850356040826</v>
          </cell>
        </row>
        <row r="37">
          <cell r="B37">
            <v>256779417570</v>
          </cell>
          <cell r="L37">
            <v>-795.92693877551028</v>
          </cell>
        </row>
        <row r="38">
          <cell r="B38">
            <v>256779417443</v>
          </cell>
          <cell r="L38">
            <v>-43.97399672399672</v>
          </cell>
        </row>
        <row r="39">
          <cell r="B39" t="str">
            <v>NSMT1165026</v>
          </cell>
          <cell r="L39">
            <v>0</v>
          </cell>
        </row>
        <row r="40">
          <cell r="B40">
            <v>256779418665</v>
          </cell>
          <cell r="L40">
            <v>-82.92795918367348</v>
          </cell>
        </row>
        <row r="41">
          <cell r="B41">
            <v>256779418013</v>
          </cell>
          <cell r="L41">
            <v>-998.68999999999983</v>
          </cell>
        </row>
        <row r="42">
          <cell r="B42">
            <v>256779419135</v>
          </cell>
          <cell r="L42">
            <v>-1032.5979591836735</v>
          </cell>
        </row>
        <row r="43">
          <cell r="B43">
            <v>256779418705</v>
          </cell>
          <cell r="L43">
            <v>-270.44999999999993</v>
          </cell>
        </row>
        <row r="44">
          <cell r="B44">
            <v>256779419234</v>
          </cell>
          <cell r="L44">
            <v>-307.28415119125816</v>
          </cell>
        </row>
        <row r="45">
          <cell r="B45">
            <v>256779419203</v>
          </cell>
          <cell r="L45">
            <v>-113.21202605863193</v>
          </cell>
        </row>
        <row r="46">
          <cell r="B46">
            <v>256779418792</v>
          </cell>
          <cell r="L46">
            <v>-6791.5250347584551</v>
          </cell>
        </row>
        <row r="47">
          <cell r="B47">
            <v>256779418026</v>
          </cell>
          <cell r="L47">
            <v>-6791.5250347584551</v>
          </cell>
        </row>
        <row r="48">
          <cell r="B48">
            <v>256779418627</v>
          </cell>
          <cell r="L48">
            <v>-467.21122448979588</v>
          </cell>
        </row>
        <row r="49">
          <cell r="B49">
            <v>256779418634</v>
          </cell>
          <cell r="L49">
            <v>-89.844489795918363</v>
          </cell>
        </row>
        <row r="50">
          <cell r="B50" t="str">
            <v>NSMT1582226</v>
          </cell>
          <cell r="L50">
            <v>0</v>
          </cell>
        </row>
        <row r="51">
          <cell r="B51">
            <v>256779418402</v>
          </cell>
          <cell r="L51">
            <v>-437.21021731748726</v>
          </cell>
        </row>
        <row r="52">
          <cell r="B52">
            <v>256779440032</v>
          </cell>
          <cell r="L52">
            <v>-6871.6411111111101</v>
          </cell>
        </row>
        <row r="53">
          <cell r="B53">
            <v>256779440323</v>
          </cell>
          <cell r="L53">
            <v>-6871.6411111111101</v>
          </cell>
        </row>
        <row r="54">
          <cell r="B54">
            <v>256779419921</v>
          </cell>
          <cell r="L54">
            <v>-255.42406370726729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1438-8411-4FC6-9F0C-4A8755F0B83F}">
  <dimension ref="A1:S22"/>
  <sheetViews>
    <sheetView topLeftCell="F1" workbookViewId="0">
      <selection activeCell="A18" sqref="A1:XFD18"/>
    </sheetView>
  </sheetViews>
  <sheetFormatPr defaultRowHeight="12.5" outlineLevelRow="2" x14ac:dyDescent="0.25"/>
  <cols>
    <col min="1" max="1" width="13.26953125" style="21" bestFit="1" customWidth="1"/>
    <col min="2" max="2" width="9.81640625" style="21" bestFit="1" customWidth="1"/>
    <col min="3" max="3" width="23" style="21" bestFit="1" customWidth="1"/>
    <col min="4" max="4" width="11.08984375" style="21" bestFit="1" customWidth="1"/>
    <col min="5" max="5" width="15.6328125" style="21" bestFit="1" customWidth="1"/>
    <col min="6" max="6" width="13.453125" style="21" bestFit="1" customWidth="1"/>
    <col min="7" max="7" width="13.26953125" style="21" bestFit="1" customWidth="1"/>
    <col min="8" max="8" width="10.08984375" style="21" bestFit="1" customWidth="1"/>
    <col min="9" max="9" width="19.36328125" style="21" bestFit="1" customWidth="1"/>
    <col min="10" max="10" width="12.90625" style="21" bestFit="1" customWidth="1"/>
    <col min="11" max="11" width="11" style="21" bestFit="1" customWidth="1"/>
    <col min="12" max="12" width="20.26953125" style="21" bestFit="1" customWidth="1"/>
    <col min="13" max="13" width="13.81640625" style="21" bestFit="1" customWidth="1"/>
    <col min="14" max="14" width="16.6328125" style="21" bestFit="1" customWidth="1"/>
    <col min="15" max="15" width="20.36328125" style="21" bestFit="1" customWidth="1"/>
    <col min="16" max="16" width="21.81640625" style="21" bestFit="1" customWidth="1"/>
    <col min="17" max="17" width="24.81640625" style="21" bestFit="1" customWidth="1"/>
    <col min="18" max="18" width="26.26953125" style="21" bestFit="1" customWidth="1"/>
    <col min="19" max="19" width="8.54296875" style="21" bestFit="1" customWidth="1"/>
    <col min="20" max="20" width="11" style="21" bestFit="1" customWidth="1"/>
    <col min="21" max="21" width="16.6328125" style="21" bestFit="1" customWidth="1"/>
    <col min="22" max="22" width="10" style="21" bestFit="1" customWidth="1"/>
    <col min="23" max="23" width="4.36328125" style="21" bestFit="1" customWidth="1"/>
    <col min="24" max="24" width="36.453125" style="21" bestFit="1" customWidth="1"/>
    <col min="25" max="27" width="14.36328125" style="21" bestFit="1" customWidth="1"/>
    <col min="28" max="28" width="18.6328125" style="21" bestFit="1" customWidth="1"/>
    <col min="29" max="29" width="11.7265625" style="21" bestFit="1" customWidth="1"/>
    <col min="30" max="30" width="16" style="21" bestFit="1" customWidth="1"/>
    <col min="31" max="31" width="11.7265625" style="21" bestFit="1" customWidth="1"/>
    <col min="32" max="32" width="16" style="21" bestFit="1" customWidth="1"/>
    <col min="33" max="16384" width="8.7265625" style="21"/>
  </cols>
  <sheetData>
    <row r="1" spans="1:1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11</v>
      </c>
      <c r="M1" s="1" t="s">
        <v>12</v>
      </c>
      <c r="N1" s="1" t="s">
        <v>13</v>
      </c>
      <c r="O1" s="1" t="s">
        <v>26</v>
      </c>
      <c r="P1" s="1" t="s">
        <v>25</v>
      </c>
    </row>
    <row r="2" spans="1:16" s="12" customFormat="1" outlineLevel="2" x14ac:dyDescent="0.25">
      <c r="A2" s="12" t="s">
        <v>17</v>
      </c>
      <c r="B2" s="12" t="s">
        <v>27</v>
      </c>
      <c r="C2" s="12" t="s">
        <v>28</v>
      </c>
      <c r="D2" s="13">
        <v>45986</v>
      </c>
      <c r="E2" s="12" t="s">
        <v>29</v>
      </c>
      <c r="F2" s="12" t="s">
        <v>18</v>
      </c>
      <c r="G2" s="13">
        <v>45986</v>
      </c>
      <c r="H2" s="13">
        <v>45986</v>
      </c>
      <c r="I2" s="12" t="s">
        <v>30</v>
      </c>
      <c r="J2" s="12" t="s">
        <v>19</v>
      </c>
      <c r="L2" s="12" t="s">
        <v>20</v>
      </c>
      <c r="M2" s="12" t="s">
        <v>21</v>
      </c>
      <c r="N2" s="14">
        <v>-1478.14</v>
      </c>
      <c r="O2" s="12" t="s">
        <v>24</v>
      </c>
      <c r="P2" s="14">
        <v>-130358.3</v>
      </c>
    </row>
    <row r="3" spans="1:16" s="12" customFormat="1" outlineLevel="2" x14ac:dyDescent="0.25">
      <c r="A3" s="12" t="s">
        <v>17</v>
      </c>
      <c r="B3" s="12" t="s">
        <v>27</v>
      </c>
      <c r="C3" s="12" t="s">
        <v>28</v>
      </c>
      <c r="D3" s="13">
        <v>45904</v>
      </c>
      <c r="E3" s="12" t="s">
        <v>31</v>
      </c>
      <c r="F3" s="12" t="s">
        <v>22</v>
      </c>
      <c r="G3" s="13">
        <v>45904</v>
      </c>
      <c r="H3" s="13">
        <v>45909</v>
      </c>
      <c r="I3" s="12" t="s">
        <v>32</v>
      </c>
      <c r="J3" s="12" t="s">
        <v>19</v>
      </c>
      <c r="L3" s="12" t="s">
        <v>33</v>
      </c>
      <c r="M3" s="12" t="s">
        <v>21</v>
      </c>
      <c r="N3" s="14">
        <v>183.54</v>
      </c>
      <c r="O3" s="12" t="s">
        <v>24</v>
      </c>
      <c r="P3" s="14">
        <v>16062.38</v>
      </c>
    </row>
    <row r="4" spans="1:16" s="12" customFormat="1" outlineLevel="2" x14ac:dyDescent="0.25">
      <c r="A4" s="12" t="s">
        <v>17</v>
      </c>
      <c r="B4" s="12" t="s">
        <v>27</v>
      </c>
      <c r="C4" s="12" t="s">
        <v>28</v>
      </c>
      <c r="D4" s="13">
        <v>45904</v>
      </c>
      <c r="E4" s="12" t="s">
        <v>34</v>
      </c>
      <c r="F4" s="12" t="s">
        <v>22</v>
      </c>
      <c r="G4" s="13">
        <v>45904</v>
      </c>
      <c r="H4" s="13">
        <v>45909</v>
      </c>
      <c r="I4" s="12" t="s">
        <v>32</v>
      </c>
      <c r="J4" s="12" t="s">
        <v>19</v>
      </c>
      <c r="L4" s="12" t="s">
        <v>35</v>
      </c>
      <c r="M4" s="12" t="s">
        <v>21</v>
      </c>
      <c r="N4" s="14">
        <v>63.29</v>
      </c>
      <c r="O4" s="12" t="s">
        <v>24</v>
      </c>
      <c r="P4" s="14">
        <v>5538.78</v>
      </c>
    </row>
    <row r="5" spans="1:16" s="12" customFormat="1" outlineLevel="2" x14ac:dyDescent="0.25">
      <c r="A5" s="12" t="s">
        <v>17</v>
      </c>
      <c r="B5" s="12" t="s">
        <v>27</v>
      </c>
      <c r="C5" s="12" t="s">
        <v>28</v>
      </c>
      <c r="D5" s="13">
        <v>45904</v>
      </c>
      <c r="E5" s="12" t="s">
        <v>36</v>
      </c>
      <c r="F5" s="12" t="s">
        <v>22</v>
      </c>
      <c r="G5" s="13">
        <v>45904</v>
      </c>
      <c r="H5" s="13">
        <v>45909</v>
      </c>
      <c r="I5" s="12" t="s">
        <v>32</v>
      </c>
      <c r="J5" s="12" t="s">
        <v>19</v>
      </c>
      <c r="L5" s="12" t="s">
        <v>37</v>
      </c>
      <c r="M5" s="12" t="s">
        <v>21</v>
      </c>
      <c r="N5" s="14">
        <v>675.97</v>
      </c>
      <c r="O5" s="12" t="s">
        <v>24</v>
      </c>
      <c r="P5" s="14">
        <v>59157.06</v>
      </c>
    </row>
    <row r="6" spans="1:16" s="12" customFormat="1" outlineLevel="2" x14ac:dyDescent="0.25">
      <c r="A6" s="12" t="s">
        <v>17</v>
      </c>
      <c r="B6" s="12" t="s">
        <v>27</v>
      </c>
      <c r="C6" s="12" t="s">
        <v>28</v>
      </c>
      <c r="D6" s="13">
        <v>45904</v>
      </c>
      <c r="E6" s="12" t="s">
        <v>38</v>
      </c>
      <c r="F6" s="12" t="s">
        <v>22</v>
      </c>
      <c r="G6" s="13">
        <v>45904</v>
      </c>
      <c r="H6" s="13">
        <v>45909</v>
      </c>
      <c r="I6" s="12" t="s">
        <v>32</v>
      </c>
      <c r="J6" s="12" t="s">
        <v>19</v>
      </c>
      <c r="L6" s="12" t="s">
        <v>39</v>
      </c>
      <c r="M6" s="12" t="s">
        <v>21</v>
      </c>
      <c r="N6" s="14">
        <v>87.97</v>
      </c>
      <c r="O6" s="12" t="s">
        <v>24</v>
      </c>
      <c r="P6" s="14">
        <v>7698.64</v>
      </c>
    </row>
    <row r="7" spans="1:16" s="12" customFormat="1" outlineLevel="2" x14ac:dyDescent="0.25">
      <c r="A7" s="12" t="s">
        <v>17</v>
      </c>
      <c r="B7" s="12" t="s">
        <v>27</v>
      </c>
      <c r="C7" s="12" t="s">
        <v>28</v>
      </c>
      <c r="D7" s="13">
        <v>45842</v>
      </c>
      <c r="E7" s="12" t="s">
        <v>40</v>
      </c>
      <c r="F7" s="12" t="s">
        <v>22</v>
      </c>
      <c r="G7" s="13">
        <v>45842</v>
      </c>
      <c r="H7" s="13">
        <v>45847</v>
      </c>
      <c r="I7" s="12" t="s">
        <v>32</v>
      </c>
      <c r="J7" s="12" t="s">
        <v>19</v>
      </c>
      <c r="L7" s="12" t="s">
        <v>41</v>
      </c>
      <c r="M7" s="12" t="s">
        <v>21</v>
      </c>
      <c r="N7" s="14">
        <v>17.54</v>
      </c>
      <c r="O7" s="12" t="s">
        <v>24</v>
      </c>
      <c r="P7" s="14">
        <v>1508.45</v>
      </c>
    </row>
    <row r="8" spans="1:16" s="12" customFormat="1" outlineLevel="2" x14ac:dyDescent="0.25">
      <c r="A8" s="12" t="s">
        <v>17</v>
      </c>
      <c r="B8" s="12" t="s">
        <v>27</v>
      </c>
      <c r="C8" s="12" t="s">
        <v>28</v>
      </c>
      <c r="D8" s="13">
        <v>45889</v>
      </c>
      <c r="E8" s="12" t="s">
        <v>42</v>
      </c>
      <c r="F8" s="12" t="s">
        <v>22</v>
      </c>
      <c r="G8" s="13">
        <v>45889</v>
      </c>
      <c r="H8" s="13">
        <v>45891</v>
      </c>
      <c r="I8" s="12" t="s">
        <v>32</v>
      </c>
      <c r="J8" s="12" t="s">
        <v>19</v>
      </c>
      <c r="L8" s="12" t="s">
        <v>43</v>
      </c>
      <c r="M8" s="12" t="s">
        <v>21</v>
      </c>
      <c r="N8" s="14">
        <v>480</v>
      </c>
      <c r="O8" s="12" t="s">
        <v>24</v>
      </c>
      <c r="P8" s="14">
        <v>41294.46</v>
      </c>
    </row>
    <row r="10" spans="1:16" s="15" customFormat="1" outlineLevel="2" x14ac:dyDescent="0.25">
      <c r="A10" s="15" t="s">
        <v>17</v>
      </c>
      <c r="B10" s="15" t="s">
        <v>27</v>
      </c>
      <c r="C10" s="15" t="s">
        <v>28</v>
      </c>
      <c r="D10" s="16">
        <v>45986</v>
      </c>
      <c r="E10" s="15" t="s">
        <v>44</v>
      </c>
      <c r="F10" s="15" t="s">
        <v>18</v>
      </c>
      <c r="G10" s="16">
        <v>45986</v>
      </c>
      <c r="H10" s="16">
        <v>45986</v>
      </c>
      <c r="I10" s="15" t="s">
        <v>45</v>
      </c>
      <c r="J10" s="15" t="s">
        <v>19</v>
      </c>
      <c r="L10" s="15" t="s">
        <v>20</v>
      </c>
      <c r="M10" s="15" t="s">
        <v>21</v>
      </c>
      <c r="N10" s="17">
        <v>-2032.13</v>
      </c>
      <c r="O10" s="15" t="s">
        <v>24</v>
      </c>
      <c r="P10" s="17">
        <v>-179215.11</v>
      </c>
    </row>
    <row r="11" spans="1:16" s="15" customFormat="1" outlineLevel="2" x14ac:dyDescent="0.25">
      <c r="A11" s="15" t="s">
        <v>17</v>
      </c>
      <c r="B11" s="15" t="s">
        <v>27</v>
      </c>
      <c r="C11" s="15" t="s">
        <v>28</v>
      </c>
      <c r="D11" s="16">
        <v>45870</v>
      </c>
      <c r="E11" s="15" t="s">
        <v>46</v>
      </c>
      <c r="F11" s="15" t="s">
        <v>22</v>
      </c>
      <c r="G11" s="16">
        <v>45870</v>
      </c>
      <c r="H11" s="16">
        <v>45873</v>
      </c>
      <c r="I11" s="15" t="s">
        <v>32</v>
      </c>
      <c r="J11" s="15" t="s">
        <v>19</v>
      </c>
      <c r="L11" s="15" t="s">
        <v>47</v>
      </c>
      <c r="M11" s="15" t="s">
        <v>21</v>
      </c>
      <c r="N11" s="17">
        <v>756</v>
      </c>
      <c r="O11" s="15" t="s">
        <v>24</v>
      </c>
      <c r="P11" s="17">
        <v>65038.77</v>
      </c>
    </row>
    <row r="12" spans="1:16" s="15" customFormat="1" outlineLevel="2" x14ac:dyDescent="0.25">
      <c r="A12" s="15" t="s">
        <v>17</v>
      </c>
      <c r="B12" s="15" t="s">
        <v>27</v>
      </c>
      <c r="C12" s="15" t="s">
        <v>28</v>
      </c>
      <c r="D12" s="16">
        <v>45904</v>
      </c>
      <c r="E12" s="15" t="s">
        <v>48</v>
      </c>
      <c r="F12" s="15" t="s">
        <v>22</v>
      </c>
      <c r="G12" s="16">
        <v>45904</v>
      </c>
      <c r="H12" s="16">
        <v>45909</v>
      </c>
      <c r="I12" s="15" t="s">
        <v>32</v>
      </c>
      <c r="J12" s="15" t="s">
        <v>19</v>
      </c>
      <c r="L12" s="15" t="s">
        <v>49</v>
      </c>
      <c r="M12" s="15" t="s">
        <v>21</v>
      </c>
      <c r="N12" s="17">
        <v>756</v>
      </c>
      <c r="O12" s="15" t="s">
        <v>24</v>
      </c>
      <c r="P12" s="17">
        <v>66160.83</v>
      </c>
    </row>
    <row r="13" spans="1:16" s="15" customFormat="1" outlineLevel="2" x14ac:dyDescent="0.25">
      <c r="A13" s="15" t="s">
        <v>17</v>
      </c>
      <c r="B13" s="15" t="s">
        <v>27</v>
      </c>
      <c r="C13" s="15" t="s">
        <v>28</v>
      </c>
      <c r="D13" s="16">
        <v>45842</v>
      </c>
      <c r="E13" s="15" t="s">
        <v>50</v>
      </c>
      <c r="F13" s="15" t="s">
        <v>22</v>
      </c>
      <c r="G13" s="16">
        <v>45842</v>
      </c>
      <c r="H13" s="16">
        <v>45847</v>
      </c>
      <c r="I13" s="15" t="s">
        <v>32</v>
      </c>
      <c r="J13" s="15" t="s">
        <v>19</v>
      </c>
      <c r="L13" s="15" t="s">
        <v>51</v>
      </c>
      <c r="M13" s="15" t="s">
        <v>21</v>
      </c>
      <c r="N13" s="17">
        <v>756</v>
      </c>
      <c r="O13" s="15" t="s">
        <v>24</v>
      </c>
      <c r="P13" s="17">
        <v>65016.51</v>
      </c>
    </row>
    <row r="15" spans="1:16" s="18" customFormat="1" outlineLevel="2" x14ac:dyDescent="0.25">
      <c r="A15" s="18" t="s">
        <v>17</v>
      </c>
      <c r="B15" s="18" t="s">
        <v>27</v>
      </c>
      <c r="C15" s="18" t="s">
        <v>28</v>
      </c>
      <c r="D15" s="19">
        <v>45960</v>
      </c>
      <c r="E15" s="18" t="s">
        <v>52</v>
      </c>
      <c r="F15" s="18" t="s">
        <v>18</v>
      </c>
      <c r="G15" s="19">
        <v>45960</v>
      </c>
      <c r="H15" s="19">
        <v>45960</v>
      </c>
      <c r="I15" s="18" t="s">
        <v>53</v>
      </c>
      <c r="J15" s="18" t="s">
        <v>19</v>
      </c>
      <c r="L15" s="18" t="s">
        <v>20</v>
      </c>
      <c r="M15" s="18" t="s">
        <v>21</v>
      </c>
      <c r="N15" s="20">
        <v>-631.97</v>
      </c>
      <c r="O15" s="18" t="s">
        <v>24</v>
      </c>
      <c r="P15" s="20">
        <v>-55733.919999999998</v>
      </c>
    </row>
    <row r="16" spans="1:16" s="18" customFormat="1" outlineLevel="2" x14ac:dyDescent="0.25">
      <c r="A16" s="18" t="s">
        <v>17</v>
      </c>
      <c r="B16" s="18" t="s">
        <v>27</v>
      </c>
      <c r="C16" s="18" t="s">
        <v>28</v>
      </c>
      <c r="D16" s="19">
        <v>45917</v>
      </c>
      <c r="E16" s="18" t="s">
        <v>54</v>
      </c>
      <c r="F16" s="18" t="s">
        <v>22</v>
      </c>
      <c r="G16" s="19">
        <v>45917</v>
      </c>
      <c r="H16" s="19">
        <v>45922</v>
      </c>
      <c r="I16" s="18" t="s">
        <v>32</v>
      </c>
      <c r="J16" s="18" t="s">
        <v>19</v>
      </c>
      <c r="L16" s="18" t="s">
        <v>55</v>
      </c>
      <c r="M16" s="18" t="s">
        <v>21</v>
      </c>
      <c r="N16" s="20">
        <v>24.92</v>
      </c>
      <c r="O16" s="18" t="s">
        <v>24</v>
      </c>
      <c r="P16" s="20">
        <v>2180.86</v>
      </c>
    </row>
    <row r="17" spans="1:19" s="18" customFormat="1" outlineLevel="2" x14ac:dyDescent="0.25">
      <c r="A17" s="18" t="s">
        <v>17</v>
      </c>
      <c r="B17" s="18" t="s">
        <v>27</v>
      </c>
      <c r="C17" s="18" t="s">
        <v>28</v>
      </c>
      <c r="D17" s="19">
        <v>45918</v>
      </c>
      <c r="E17" s="18" t="s">
        <v>56</v>
      </c>
      <c r="F17" s="18" t="s">
        <v>22</v>
      </c>
      <c r="G17" s="19">
        <v>45918</v>
      </c>
      <c r="H17" s="19">
        <v>45922</v>
      </c>
      <c r="I17" s="18" t="s">
        <v>32</v>
      </c>
      <c r="J17" s="18" t="s">
        <v>19</v>
      </c>
      <c r="L17" s="18" t="s">
        <v>57</v>
      </c>
      <c r="M17" s="18" t="s">
        <v>21</v>
      </c>
      <c r="N17" s="20">
        <v>171.95</v>
      </c>
      <c r="O17" s="18" t="s">
        <v>24</v>
      </c>
      <c r="P17" s="20">
        <v>15048.09</v>
      </c>
    </row>
    <row r="18" spans="1:19" s="18" customFormat="1" outlineLevel="2" x14ac:dyDescent="0.25">
      <c r="A18" s="18" t="s">
        <v>17</v>
      </c>
      <c r="B18" s="18" t="s">
        <v>27</v>
      </c>
      <c r="C18" s="18" t="s">
        <v>28</v>
      </c>
      <c r="D18" s="19">
        <v>45918</v>
      </c>
      <c r="E18" s="18" t="s">
        <v>58</v>
      </c>
      <c r="F18" s="18" t="s">
        <v>22</v>
      </c>
      <c r="G18" s="19">
        <v>45918</v>
      </c>
      <c r="H18" s="19">
        <v>45922</v>
      </c>
      <c r="I18" s="18" t="s">
        <v>32</v>
      </c>
      <c r="J18" s="18" t="s">
        <v>19</v>
      </c>
      <c r="L18" s="18" t="s">
        <v>59</v>
      </c>
      <c r="M18" s="18" t="s">
        <v>21</v>
      </c>
      <c r="N18" s="20">
        <v>448</v>
      </c>
      <c r="O18" s="18" t="s">
        <v>24</v>
      </c>
      <c r="P18" s="20">
        <v>39206.42</v>
      </c>
    </row>
    <row r="22" spans="1:19" s="3" customFormat="1" ht="25" x14ac:dyDescent="0.25">
      <c r="A22" s="10" t="s">
        <v>0</v>
      </c>
      <c r="B22" s="10" t="s">
        <v>1</v>
      </c>
      <c r="C22" s="10" t="s">
        <v>2</v>
      </c>
      <c r="D22" s="10" t="s">
        <v>3</v>
      </c>
      <c r="E22" s="10" t="s">
        <v>4</v>
      </c>
      <c r="F22" s="11" t="s">
        <v>5</v>
      </c>
      <c r="G22" s="10" t="s">
        <v>6</v>
      </c>
      <c r="H22" s="10" t="s">
        <v>7</v>
      </c>
      <c r="I22" s="10" t="s">
        <v>8</v>
      </c>
      <c r="J22" s="10" t="s">
        <v>9</v>
      </c>
      <c r="K22" s="10" t="s">
        <v>10</v>
      </c>
      <c r="L22" s="10" t="s">
        <v>11</v>
      </c>
      <c r="M22" s="11" t="s">
        <v>12</v>
      </c>
      <c r="N22" s="11" t="s">
        <v>13</v>
      </c>
      <c r="O22" s="11" t="s">
        <v>26</v>
      </c>
      <c r="P22" s="11" t="s">
        <v>25</v>
      </c>
      <c r="Q22" s="11" t="s">
        <v>14</v>
      </c>
      <c r="R22" s="11" t="s">
        <v>15</v>
      </c>
      <c r="S22" s="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S23"/>
  <sheetViews>
    <sheetView tabSelected="1" topLeftCell="J1" workbookViewId="0">
      <selection activeCell="R24" sqref="R24"/>
    </sheetView>
  </sheetViews>
  <sheetFormatPr defaultColWidth="8.81640625" defaultRowHeight="12.5" x14ac:dyDescent="0.25"/>
  <cols>
    <col min="1" max="1" width="15.54296875" style="3" bestFit="1" customWidth="1"/>
    <col min="2" max="2" width="10.81640625" style="3" bestFit="1" customWidth="1"/>
    <col min="3" max="3" width="25.26953125" style="3" bestFit="1" customWidth="1"/>
    <col min="4" max="4" width="13.36328125" style="3" bestFit="1" customWidth="1"/>
    <col min="5" max="5" width="17.90625" style="3" bestFit="1" customWidth="1"/>
    <col min="6" max="6" width="13.453125" style="3" bestFit="1" customWidth="1"/>
    <col min="7" max="7" width="15.54296875" style="3" bestFit="1" customWidth="1"/>
    <col min="8" max="8" width="11.6328125" style="3" bestFit="1" customWidth="1"/>
    <col min="9" max="9" width="21.6328125" style="3" bestFit="1" customWidth="1"/>
    <col min="10" max="10" width="13" style="3" bestFit="1" customWidth="1"/>
    <col min="11" max="11" width="13.26953125" style="3" bestFit="1" customWidth="1"/>
    <col min="12" max="12" width="12.08984375" style="3" bestFit="1" customWidth="1"/>
    <col min="13" max="13" width="20.36328125" style="3" bestFit="1" customWidth="1"/>
    <col min="14" max="14" width="21.81640625" style="3" bestFit="1" customWidth="1"/>
    <col min="15" max="15" width="24.81640625" style="3" bestFit="1" customWidth="1"/>
    <col min="16" max="16" width="26.36328125" style="30" bestFit="1" customWidth="1"/>
    <col min="17" max="17" width="12.54296875" style="30" bestFit="1" customWidth="1"/>
    <col min="18" max="18" width="12.1796875" style="30" bestFit="1" customWidth="1"/>
    <col min="19" max="19" width="16.1796875" style="3" bestFit="1" customWidth="1"/>
    <col min="20" max="20" width="8.81640625" style="24"/>
    <col min="21" max="21" width="9.08984375" style="24" bestFit="1" customWidth="1"/>
    <col min="22" max="16384" width="8.81640625" style="24"/>
  </cols>
  <sheetData>
    <row r="1" spans="1:19" s="3" customFormat="1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26</v>
      </c>
      <c r="P1" s="26" t="s">
        <v>25</v>
      </c>
      <c r="Q1" s="26" t="s">
        <v>14</v>
      </c>
      <c r="R1" s="26" t="s">
        <v>15</v>
      </c>
      <c r="S1" s="2" t="s">
        <v>16</v>
      </c>
    </row>
    <row r="2" spans="1:19" s="23" customFormat="1" x14ac:dyDescent="0.25">
      <c r="A2" s="25">
        <v>6779</v>
      </c>
      <c r="B2" s="25">
        <v>100222390</v>
      </c>
      <c r="C2" s="7" t="s">
        <v>28</v>
      </c>
      <c r="D2" s="9">
        <v>45986</v>
      </c>
      <c r="E2" s="25">
        <v>1400002015</v>
      </c>
      <c r="F2" s="7" t="s">
        <v>18</v>
      </c>
      <c r="G2" s="9">
        <v>45986</v>
      </c>
      <c r="H2" s="9">
        <v>45986</v>
      </c>
      <c r="I2" s="7" t="s">
        <v>30</v>
      </c>
      <c r="J2" s="25">
        <v>212100</v>
      </c>
      <c r="K2" s="7"/>
      <c r="L2" s="7" t="s">
        <v>20</v>
      </c>
      <c r="M2" s="7" t="s">
        <v>21</v>
      </c>
      <c r="N2" s="22">
        <v>-1478.14</v>
      </c>
      <c r="O2" s="7" t="s">
        <v>24</v>
      </c>
      <c r="P2" s="27">
        <v>-130358.3</v>
      </c>
      <c r="Q2" s="28"/>
      <c r="R2" s="28">
        <f>P2+Q2</f>
        <v>-130358.3</v>
      </c>
      <c r="S2" s="8" t="s">
        <v>60</v>
      </c>
    </row>
    <row r="3" spans="1:19" s="23" customFormat="1" x14ac:dyDescent="0.25">
      <c r="A3" s="25">
        <v>6779</v>
      </c>
      <c r="B3" s="25">
        <v>100222390</v>
      </c>
      <c r="C3" s="7" t="s">
        <v>28</v>
      </c>
      <c r="D3" s="9">
        <v>45904</v>
      </c>
      <c r="E3" s="25">
        <v>1800012588</v>
      </c>
      <c r="F3" s="7" t="s">
        <v>22</v>
      </c>
      <c r="G3" s="9">
        <v>45904</v>
      </c>
      <c r="H3" s="9">
        <v>45909</v>
      </c>
      <c r="I3" s="7" t="s">
        <v>32</v>
      </c>
      <c r="J3" s="25">
        <v>212100</v>
      </c>
      <c r="K3" s="7"/>
      <c r="L3" s="25">
        <v>256779417246</v>
      </c>
      <c r="M3" s="7" t="s">
        <v>21</v>
      </c>
      <c r="N3" s="22">
        <v>183.54</v>
      </c>
      <c r="O3" s="7" t="s">
        <v>24</v>
      </c>
      <c r="P3" s="27">
        <v>16062.38</v>
      </c>
      <c r="Q3" s="28">
        <f>_xlfn.XLOOKUP(L3,'[1]Customer Ledger'!$B:$B,'[1]Customer Ledger'!$L:$L,,0)</f>
        <v>-326.17397898482233</v>
      </c>
      <c r="R3" s="28">
        <f>P3+Q3</f>
        <v>15736.206021015178</v>
      </c>
      <c r="S3" s="8" t="s">
        <v>23</v>
      </c>
    </row>
    <row r="4" spans="1:19" s="23" customFormat="1" x14ac:dyDescent="0.25">
      <c r="A4" s="25">
        <v>6779</v>
      </c>
      <c r="B4" s="25">
        <v>100222390</v>
      </c>
      <c r="C4" s="7" t="s">
        <v>28</v>
      </c>
      <c r="D4" s="9">
        <v>45904</v>
      </c>
      <c r="E4" s="25">
        <v>1800012621</v>
      </c>
      <c r="F4" s="7" t="s">
        <v>22</v>
      </c>
      <c r="G4" s="9">
        <v>45904</v>
      </c>
      <c r="H4" s="9">
        <v>45909</v>
      </c>
      <c r="I4" s="7" t="s">
        <v>32</v>
      </c>
      <c r="J4" s="25">
        <v>212100</v>
      </c>
      <c r="K4" s="7"/>
      <c r="L4" s="25">
        <v>256779417208</v>
      </c>
      <c r="M4" s="7" t="s">
        <v>21</v>
      </c>
      <c r="N4" s="22">
        <v>63.29</v>
      </c>
      <c r="O4" s="7" t="s">
        <v>24</v>
      </c>
      <c r="P4" s="27">
        <v>5538.78</v>
      </c>
      <c r="Q4" s="28">
        <f>_xlfn.XLOOKUP(L4,'[1]Customer Ledger'!$B:$B,'[1]Customer Ledger'!$L:$L,,0)</f>
        <v>-111.98196679026277</v>
      </c>
      <c r="R4" s="28">
        <f t="shared" ref="R4:R8" si="0">P4+Q4</f>
        <v>5426.7980332097368</v>
      </c>
      <c r="S4" s="8" t="s">
        <v>23</v>
      </c>
    </row>
    <row r="5" spans="1:19" s="23" customFormat="1" x14ac:dyDescent="0.25">
      <c r="A5" s="25">
        <v>6779</v>
      </c>
      <c r="B5" s="25">
        <v>100222390</v>
      </c>
      <c r="C5" s="7" t="s">
        <v>28</v>
      </c>
      <c r="D5" s="9">
        <v>45904</v>
      </c>
      <c r="E5" s="25">
        <v>1800012649</v>
      </c>
      <c r="F5" s="7" t="s">
        <v>22</v>
      </c>
      <c r="G5" s="9">
        <v>45904</v>
      </c>
      <c r="H5" s="9">
        <v>45909</v>
      </c>
      <c r="I5" s="7" t="s">
        <v>32</v>
      </c>
      <c r="J5" s="25">
        <v>212100</v>
      </c>
      <c r="K5" s="7"/>
      <c r="L5" s="25">
        <v>256779417289</v>
      </c>
      <c r="M5" s="7" t="s">
        <v>21</v>
      </c>
      <c r="N5" s="22">
        <v>675.97</v>
      </c>
      <c r="O5" s="7" t="s">
        <v>24</v>
      </c>
      <c r="P5" s="27">
        <v>59157.06</v>
      </c>
      <c r="Q5" s="28">
        <f>_xlfn.XLOOKUP(L5,'[1]Customer Ledger'!$B:$B,'[1]Customer Ledger'!$L:$L,,0)</f>
        <v>-1201.5789025586835</v>
      </c>
      <c r="R5" s="28">
        <f t="shared" si="0"/>
        <v>57955.481097441312</v>
      </c>
      <c r="S5" s="8" t="s">
        <v>23</v>
      </c>
    </row>
    <row r="6" spans="1:19" s="23" customFormat="1" x14ac:dyDescent="0.25">
      <c r="A6" s="25">
        <v>6779</v>
      </c>
      <c r="B6" s="25">
        <v>100222390</v>
      </c>
      <c r="C6" s="7" t="s">
        <v>28</v>
      </c>
      <c r="D6" s="9">
        <v>45904</v>
      </c>
      <c r="E6" s="25">
        <v>1800012689</v>
      </c>
      <c r="F6" s="7" t="s">
        <v>22</v>
      </c>
      <c r="G6" s="9">
        <v>45904</v>
      </c>
      <c r="H6" s="9">
        <v>45909</v>
      </c>
      <c r="I6" s="7" t="s">
        <v>32</v>
      </c>
      <c r="J6" s="25">
        <v>212100</v>
      </c>
      <c r="K6" s="7"/>
      <c r="L6" s="25">
        <v>256779417329</v>
      </c>
      <c r="M6" s="7" t="s">
        <v>21</v>
      </c>
      <c r="N6" s="22">
        <v>87.97</v>
      </c>
      <c r="O6" s="7" t="s">
        <v>24</v>
      </c>
      <c r="P6" s="27">
        <v>7698.64</v>
      </c>
      <c r="Q6" s="28">
        <f>_xlfn.XLOOKUP(L6,'[1]Customer Ledger'!$B:$B,'[1]Customer Ledger'!$L:$L,,0)</f>
        <v>-156.42829370142675</v>
      </c>
      <c r="R6" s="28">
        <f t="shared" si="0"/>
        <v>7542.2117062985735</v>
      </c>
      <c r="S6" s="8" t="s">
        <v>23</v>
      </c>
    </row>
    <row r="7" spans="1:19" s="23" customFormat="1" x14ac:dyDescent="0.25">
      <c r="A7" s="25">
        <v>6779</v>
      </c>
      <c r="B7" s="25">
        <v>100222390</v>
      </c>
      <c r="C7" s="7" t="s">
        <v>28</v>
      </c>
      <c r="D7" s="9">
        <v>45842</v>
      </c>
      <c r="E7" s="25">
        <v>1800010289</v>
      </c>
      <c r="F7" s="7" t="s">
        <v>22</v>
      </c>
      <c r="G7" s="9">
        <v>45842</v>
      </c>
      <c r="H7" s="9">
        <v>45847</v>
      </c>
      <c r="I7" s="7" t="s">
        <v>32</v>
      </c>
      <c r="J7" s="25">
        <v>212100</v>
      </c>
      <c r="K7" s="7"/>
      <c r="L7" s="25">
        <v>256779415049</v>
      </c>
      <c r="M7" s="7" t="s">
        <v>21</v>
      </c>
      <c r="N7" s="22">
        <v>17.54</v>
      </c>
      <c r="O7" s="7" t="s">
        <v>24</v>
      </c>
      <c r="P7" s="27">
        <v>1508.45</v>
      </c>
      <c r="Q7" s="28">
        <f>_xlfn.XLOOKUP(L7,'[1]Customer Ledger'!$B:$B,'[1]Customer Ledger'!$L:$L,,0)</f>
        <v>-31.108260616637573</v>
      </c>
      <c r="R7" s="28">
        <f t="shared" si="0"/>
        <v>1477.3417393833624</v>
      </c>
      <c r="S7" s="8" t="s">
        <v>23</v>
      </c>
    </row>
    <row r="8" spans="1:19" s="23" customFormat="1" x14ac:dyDescent="0.25">
      <c r="A8" s="25">
        <v>6779</v>
      </c>
      <c r="B8" s="25">
        <v>100222390</v>
      </c>
      <c r="C8" s="7" t="s">
        <v>28</v>
      </c>
      <c r="D8" s="9">
        <v>45889</v>
      </c>
      <c r="E8" s="25">
        <v>1800012186</v>
      </c>
      <c r="F8" s="7" t="s">
        <v>22</v>
      </c>
      <c r="G8" s="9">
        <v>45889</v>
      </c>
      <c r="H8" s="9">
        <v>45891</v>
      </c>
      <c r="I8" s="7" t="s">
        <v>32</v>
      </c>
      <c r="J8" s="25">
        <v>212100</v>
      </c>
      <c r="K8" s="7"/>
      <c r="L8" s="25">
        <v>256779416818</v>
      </c>
      <c r="M8" s="7" t="s">
        <v>21</v>
      </c>
      <c r="N8" s="22">
        <v>480</v>
      </c>
      <c r="O8" s="7" t="s">
        <v>24</v>
      </c>
      <c r="P8" s="27">
        <v>41294.46</v>
      </c>
      <c r="Q8" s="28">
        <f>_xlfn.XLOOKUP(L8,'[1]Customer Ledger'!$B:$B,'[1]Customer Ledger'!$L:$L,,0)</f>
        <v>-842.74530612244894</v>
      </c>
      <c r="R8" s="28">
        <f t="shared" si="0"/>
        <v>40451.714693877548</v>
      </c>
      <c r="S8" s="8" t="s">
        <v>23</v>
      </c>
    </row>
    <row r="9" spans="1:1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 t="s">
        <v>15</v>
      </c>
      <c r="M9" s="4" t="s">
        <v>21</v>
      </c>
      <c r="N9" s="6">
        <f>SUM(N2:N8)</f>
        <v>30.169999999999902</v>
      </c>
      <c r="O9" s="6"/>
      <c r="P9" s="29">
        <f>SUM(P2:P8)</f>
        <v>901.46999999999389</v>
      </c>
      <c r="Q9" s="29">
        <f>SUM(Q2:Q8)</f>
        <v>-2670.0167087742821</v>
      </c>
      <c r="R9" s="29">
        <f>SUM(R2:R8)</f>
        <v>-1768.5467087742945</v>
      </c>
      <c r="S9" s="4" t="s">
        <v>61</v>
      </c>
    </row>
    <row r="11" spans="1:19" ht="25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2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2" t="s">
        <v>12</v>
      </c>
      <c r="N11" s="2" t="s">
        <v>13</v>
      </c>
      <c r="O11" s="2" t="s">
        <v>26</v>
      </c>
      <c r="P11" s="26" t="s">
        <v>25</v>
      </c>
      <c r="Q11" s="26" t="s">
        <v>14</v>
      </c>
      <c r="R11" s="26" t="s">
        <v>15</v>
      </c>
      <c r="S11" s="2" t="s">
        <v>16</v>
      </c>
    </row>
    <row r="12" spans="1:19" x14ac:dyDescent="0.25">
      <c r="A12" s="25">
        <v>6779</v>
      </c>
      <c r="B12" s="25">
        <v>100222390</v>
      </c>
      <c r="C12" s="7" t="s">
        <v>28</v>
      </c>
      <c r="D12" s="9">
        <v>45986</v>
      </c>
      <c r="E12" s="25">
        <v>1400002021</v>
      </c>
      <c r="F12" s="7" t="s">
        <v>18</v>
      </c>
      <c r="G12" s="9">
        <v>45986</v>
      </c>
      <c r="H12" s="9">
        <v>45986</v>
      </c>
      <c r="I12" s="7" t="s">
        <v>45</v>
      </c>
      <c r="J12" s="25">
        <v>212100</v>
      </c>
      <c r="K12" s="7"/>
      <c r="L12" s="7" t="s">
        <v>20</v>
      </c>
      <c r="M12" s="7" t="s">
        <v>21</v>
      </c>
      <c r="N12" s="22">
        <v>-2032.13</v>
      </c>
      <c r="O12" s="7" t="s">
        <v>24</v>
      </c>
      <c r="P12" s="27">
        <v>-179215.11</v>
      </c>
      <c r="Q12" s="28"/>
      <c r="R12" s="28">
        <f t="shared" ref="R12:R15" si="1">P12-Q12</f>
        <v>-179215.11</v>
      </c>
      <c r="S12" s="8" t="s">
        <v>60</v>
      </c>
    </row>
    <row r="13" spans="1:19" x14ac:dyDescent="0.25">
      <c r="A13" s="25">
        <v>6779</v>
      </c>
      <c r="B13" s="25">
        <v>100222390</v>
      </c>
      <c r="C13" s="7" t="s">
        <v>28</v>
      </c>
      <c r="D13" s="9">
        <v>45870</v>
      </c>
      <c r="E13" s="25">
        <v>1800011335</v>
      </c>
      <c r="F13" s="7" t="s">
        <v>22</v>
      </c>
      <c r="G13" s="9">
        <v>45870</v>
      </c>
      <c r="H13" s="9">
        <v>45873</v>
      </c>
      <c r="I13" s="7" t="s">
        <v>32</v>
      </c>
      <c r="J13" s="25">
        <v>212100</v>
      </c>
      <c r="K13" s="7"/>
      <c r="L13" s="25">
        <v>256779416044</v>
      </c>
      <c r="M13" s="7" t="s">
        <v>21</v>
      </c>
      <c r="N13" s="22">
        <v>756</v>
      </c>
      <c r="O13" s="7" t="s">
        <v>24</v>
      </c>
      <c r="P13" s="27">
        <v>65038.77</v>
      </c>
      <c r="Q13" s="28">
        <f>_xlfn.XLOOKUP(L13,'[1]Customer Ledger'!$B:$B,'[1]Customer Ledger'!$L:$L,,0)</f>
        <v>-6718.927777777777</v>
      </c>
      <c r="R13" s="28">
        <f t="shared" ref="R13:R15" si="2">P13+Q13</f>
        <v>58319.842222222222</v>
      </c>
      <c r="S13" s="8" t="s">
        <v>23</v>
      </c>
    </row>
    <row r="14" spans="1:19" x14ac:dyDescent="0.25">
      <c r="A14" s="25">
        <v>6779</v>
      </c>
      <c r="B14" s="25">
        <v>100222390</v>
      </c>
      <c r="C14" s="7" t="s">
        <v>28</v>
      </c>
      <c r="D14" s="9">
        <v>45904</v>
      </c>
      <c r="E14" s="25">
        <v>1800012729</v>
      </c>
      <c r="F14" s="7" t="s">
        <v>22</v>
      </c>
      <c r="G14" s="9">
        <v>45904</v>
      </c>
      <c r="H14" s="9">
        <v>45909</v>
      </c>
      <c r="I14" s="7" t="s">
        <v>32</v>
      </c>
      <c r="J14" s="25">
        <v>212100</v>
      </c>
      <c r="K14" s="7"/>
      <c r="L14" s="25">
        <v>256779417363</v>
      </c>
      <c r="M14" s="7" t="s">
        <v>21</v>
      </c>
      <c r="N14" s="22">
        <v>756</v>
      </c>
      <c r="O14" s="7" t="s">
        <v>24</v>
      </c>
      <c r="P14" s="27">
        <v>66160.83</v>
      </c>
      <c r="Q14" s="28">
        <f>_xlfn.XLOOKUP(L14,'[1]Customer Ledger'!$B:$B,'[1]Customer Ledger'!$L:$L,,0)</f>
        <v>-6718.927777777777</v>
      </c>
      <c r="R14" s="28">
        <f t="shared" si="2"/>
        <v>59441.902222222227</v>
      </c>
      <c r="S14" s="8" t="s">
        <v>23</v>
      </c>
    </row>
    <row r="15" spans="1:19" x14ac:dyDescent="0.25">
      <c r="A15" s="25">
        <v>6779</v>
      </c>
      <c r="B15" s="25">
        <v>100222390</v>
      </c>
      <c r="C15" s="7" t="s">
        <v>28</v>
      </c>
      <c r="D15" s="9">
        <v>45842</v>
      </c>
      <c r="E15" s="25">
        <v>1800010173</v>
      </c>
      <c r="F15" s="7" t="s">
        <v>22</v>
      </c>
      <c r="G15" s="9">
        <v>45842</v>
      </c>
      <c r="H15" s="9">
        <v>45847</v>
      </c>
      <c r="I15" s="7" t="s">
        <v>32</v>
      </c>
      <c r="J15" s="25">
        <v>212100</v>
      </c>
      <c r="K15" s="7"/>
      <c r="L15" s="25">
        <v>256779414933</v>
      </c>
      <c r="M15" s="7" t="s">
        <v>21</v>
      </c>
      <c r="N15" s="22">
        <v>756</v>
      </c>
      <c r="O15" s="7" t="s">
        <v>24</v>
      </c>
      <c r="P15" s="27">
        <v>65016.51</v>
      </c>
      <c r="Q15" s="28">
        <f>_xlfn.XLOOKUP(L15,'[1]Customer Ledger'!$B:$B,'[1]Customer Ledger'!$L:$L,,0)</f>
        <v>-6718.927777777777</v>
      </c>
      <c r="R15" s="28">
        <f t="shared" si="2"/>
        <v>58297.582222222227</v>
      </c>
      <c r="S15" s="8" t="s">
        <v>23</v>
      </c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 t="s">
        <v>15</v>
      </c>
      <c r="M16" s="4" t="s">
        <v>21</v>
      </c>
      <c r="N16" s="6">
        <f>SUM(N12:N15)</f>
        <v>235.86999999999989</v>
      </c>
      <c r="O16" s="6"/>
      <c r="P16" s="29">
        <f>SUM(P12:P15)</f>
        <v>17001.000000000007</v>
      </c>
      <c r="Q16" s="29">
        <f>SUM(Q12:Q15)</f>
        <v>-20156.783333333333</v>
      </c>
      <c r="R16" s="29">
        <f>SUM(R12:R15)</f>
        <v>-3155.7833333333183</v>
      </c>
      <c r="S16" s="4" t="s">
        <v>61</v>
      </c>
    </row>
    <row r="18" spans="1:19" ht="25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2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2" t="s">
        <v>12</v>
      </c>
      <c r="N18" s="2" t="s">
        <v>13</v>
      </c>
      <c r="O18" s="2" t="s">
        <v>26</v>
      </c>
      <c r="P18" s="26" t="s">
        <v>25</v>
      </c>
      <c r="Q18" s="26" t="s">
        <v>14</v>
      </c>
      <c r="R18" s="26" t="s">
        <v>15</v>
      </c>
      <c r="S18" s="2" t="s">
        <v>16</v>
      </c>
    </row>
    <row r="19" spans="1:19" x14ac:dyDescent="0.25">
      <c r="A19" s="25">
        <v>6779</v>
      </c>
      <c r="B19" s="25">
        <v>100222390</v>
      </c>
      <c r="C19" s="7" t="s">
        <v>28</v>
      </c>
      <c r="D19" s="9">
        <v>45960</v>
      </c>
      <c r="E19" s="25">
        <v>1400001579</v>
      </c>
      <c r="F19" s="7" t="s">
        <v>18</v>
      </c>
      <c r="G19" s="9">
        <v>45960</v>
      </c>
      <c r="H19" s="9">
        <v>45960</v>
      </c>
      <c r="I19" s="7" t="s">
        <v>53</v>
      </c>
      <c r="J19" s="25">
        <v>212100</v>
      </c>
      <c r="K19" s="7"/>
      <c r="L19" s="7" t="s">
        <v>20</v>
      </c>
      <c r="M19" s="7" t="s">
        <v>21</v>
      </c>
      <c r="N19" s="22">
        <v>-631.97</v>
      </c>
      <c r="O19" s="7" t="s">
        <v>24</v>
      </c>
      <c r="P19" s="27">
        <v>-55733.919999999998</v>
      </c>
      <c r="Q19" s="28"/>
      <c r="R19" s="28">
        <f t="shared" ref="R19:R22" si="3">P19+Q19</f>
        <v>-55733.919999999998</v>
      </c>
      <c r="S19" s="8" t="s">
        <v>60</v>
      </c>
    </row>
    <row r="20" spans="1:19" x14ac:dyDescent="0.25">
      <c r="A20" s="25">
        <v>6779</v>
      </c>
      <c r="B20" s="25">
        <v>100222390</v>
      </c>
      <c r="C20" s="7" t="s">
        <v>28</v>
      </c>
      <c r="D20" s="9">
        <v>45917</v>
      </c>
      <c r="E20" s="25">
        <v>1800012789</v>
      </c>
      <c r="F20" s="7" t="s">
        <v>22</v>
      </c>
      <c r="G20" s="9">
        <v>45917</v>
      </c>
      <c r="H20" s="9">
        <v>45922</v>
      </c>
      <c r="I20" s="7" t="s">
        <v>32</v>
      </c>
      <c r="J20" s="25">
        <v>212100</v>
      </c>
      <c r="K20" s="7"/>
      <c r="L20" s="25">
        <v>256779417443</v>
      </c>
      <c r="M20" s="7" t="s">
        <v>21</v>
      </c>
      <c r="N20" s="22">
        <v>24.92</v>
      </c>
      <c r="O20" s="7" t="s">
        <v>24</v>
      </c>
      <c r="P20" s="27">
        <v>2180.86</v>
      </c>
      <c r="Q20" s="28">
        <f>_xlfn.XLOOKUP(L20,'[1]Customer Ledger'!$B:$B,'[1]Customer Ledger'!$L:$L,,0)</f>
        <v>-43.97399672399672</v>
      </c>
      <c r="R20" s="28">
        <f t="shared" si="3"/>
        <v>2136.8860032760035</v>
      </c>
      <c r="S20" s="8" t="s">
        <v>23</v>
      </c>
    </row>
    <row r="21" spans="1:19" x14ac:dyDescent="0.25">
      <c r="A21" s="25">
        <v>6779</v>
      </c>
      <c r="B21" s="25">
        <v>100222390</v>
      </c>
      <c r="C21" s="7" t="s">
        <v>28</v>
      </c>
      <c r="D21" s="9">
        <v>45918</v>
      </c>
      <c r="E21" s="25">
        <v>1800012994</v>
      </c>
      <c r="F21" s="7" t="s">
        <v>22</v>
      </c>
      <c r="G21" s="9">
        <v>45918</v>
      </c>
      <c r="H21" s="9">
        <v>45922</v>
      </c>
      <c r="I21" s="7" t="s">
        <v>32</v>
      </c>
      <c r="J21" s="25">
        <v>212100</v>
      </c>
      <c r="K21" s="7"/>
      <c r="L21" s="25">
        <v>256779417529</v>
      </c>
      <c r="M21" s="7" t="s">
        <v>21</v>
      </c>
      <c r="N21" s="22">
        <v>171.95</v>
      </c>
      <c r="O21" s="7" t="s">
        <v>24</v>
      </c>
      <c r="P21" s="27">
        <v>15048.09</v>
      </c>
      <c r="Q21" s="28">
        <f>_xlfn.XLOOKUP(L21,'[1]Customer Ledger'!$B:$B,'[1]Customer Ledger'!$L:$L,,0)</f>
        <v>-304.6850356040826</v>
      </c>
      <c r="R21" s="28">
        <f t="shared" si="3"/>
        <v>14743.404964395917</v>
      </c>
      <c r="S21" s="8" t="s">
        <v>23</v>
      </c>
    </row>
    <row r="22" spans="1:19" x14ac:dyDescent="0.25">
      <c r="A22" s="25">
        <v>6779</v>
      </c>
      <c r="B22" s="25">
        <v>100222390</v>
      </c>
      <c r="C22" s="7" t="s">
        <v>28</v>
      </c>
      <c r="D22" s="9">
        <v>45918</v>
      </c>
      <c r="E22" s="25">
        <v>1800012931</v>
      </c>
      <c r="F22" s="7" t="s">
        <v>22</v>
      </c>
      <c r="G22" s="9">
        <v>45918</v>
      </c>
      <c r="H22" s="9">
        <v>45922</v>
      </c>
      <c r="I22" s="7" t="s">
        <v>32</v>
      </c>
      <c r="J22" s="25">
        <v>212100</v>
      </c>
      <c r="K22" s="7"/>
      <c r="L22" s="25">
        <v>256779417570</v>
      </c>
      <c r="M22" s="7" t="s">
        <v>21</v>
      </c>
      <c r="N22" s="22">
        <v>448</v>
      </c>
      <c r="O22" s="7" t="s">
        <v>24</v>
      </c>
      <c r="P22" s="27">
        <v>39206.42</v>
      </c>
      <c r="Q22" s="28">
        <f>_xlfn.XLOOKUP(L22,'[1]Customer Ledger'!$B:$B,'[1]Customer Ledger'!$L:$L,,0)</f>
        <v>-795.92693877551028</v>
      </c>
      <c r="R22" s="28">
        <f t="shared" si="3"/>
        <v>38410.493061224486</v>
      </c>
      <c r="S22" s="8" t="s">
        <v>23</v>
      </c>
    </row>
    <row r="23" spans="1:1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 t="s">
        <v>15</v>
      </c>
      <c r="M23" s="4" t="s">
        <v>21</v>
      </c>
      <c r="N23" s="6">
        <f>SUM(N19:N22)</f>
        <v>12.89999999999992</v>
      </c>
      <c r="O23" s="6"/>
      <c r="P23" s="29">
        <f>SUM(P19:P22)</f>
        <v>701.44999999999709</v>
      </c>
      <c r="Q23" s="29">
        <f>SUM(Q19:Q22)</f>
        <v>-1144.5859711035896</v>
      </c>
      <c r="R23" s="29">
        <f>SUM(R19:R22)</f>
        <v>-443.13597110359115</v>
      </c>
      <c r="S23" s="4" t="s">
        <v>61</v>
      </c>
    </row>
  </sheetData>
  <autoFilter ref="A1:S10" xr:uid="{9A64DEA2-5E90-4A7E-AC04-18C4F62A05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2026-01-19T10:42:57Z</dcterms:created>
  <dcterms:modified xsi:type="dcterms:W3CDTF">2026-03-31T11:18:08Z</dcterms:modified>
</cp:coreProperties>
</file>