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5. SIDDHARTHA LOGISTICS FTWZ PRIVATE\"/>
    </mc:Choice>
  </mc:AlternateContent>
  <xr:revisionPtr revIDLastSave="0" documentId="13_ncr:1_{3AD24692-3955-4002-B54A-A9987E2CAF99}" xr6:coauthVersionLast="47" xr6:coauthVersionMax="47" xr10:uidLastSave="{00000000-0000-0000-0000-000000000000}"/>
  <bookViews>
    <workbookView xWindow="-110" yWindow="-110" windowWidth="21820" windowHeight="14020" xr2:uid="{0E7F4F9C-C0D3-4F29-98C3-A72FBA4E7EA2}"/>
  </bookViews>
  <sheets>
    <sheet name="Invoice Not in Customer Book" sheetId="2" r:id="rId1"/>
    <sheet name="Invoices Not in Ascendus books" sheetId="3" state="hidden" r:id="rId2"/>
  </sheets>
  <definedNames>
    <definedName name="_xlnm._FilterDatabase" localSheetId="0" hidden="1">'Invoice Not in Customer Book'!$A$1:$P$12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3" i="2" l="1"/>
  <c r="C5" i="3"/>
</calcChain>
</file>

<file path=xl/sharedStrings.xml><?xml version="1.0" encoding="utf-8"?>
<sst xmlns="http://schemas.openxmlformats.org/spreadsheetml/2006/main" count="104" uniqueCount="49">
  <si>
    <t>Document Number</t>
  </si>
  <si>
    <t>Document Type</t>
  </si>
  <si>
    <t>Document Date</t>
  </si>
  <si>
    <t>Entry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</si>
  <si>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</si>
  <si>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</si>
  <si>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</si>
  <si>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</si>
  <si>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</si>
  <si>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</si>
  <si>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</si>
  <si>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NA</t>
  </si>
  <si>
    <t>USD</t>
  </si>
  <si>
    <t>INR</t>
  </si>
  <si>
    <t>DR</t>
  </si>
  <si>
    <t>Intra Unit Transfer Charges Month Of August,2024</t>
  </si>
  <si>
    <t>Outbound Handling for Aug 2024</t>
  </si>
  <si>
    <t>Outbound Handling Charges Aug 2024</t>
  </si>
  <si>
    <t>VAS Activity Charges for the month of August, 24</t>
  </si>
  <si>
    <t>VAS -16-31 Aug 25</t>
  </si>
  <si>
    <t>WEIGHTMENT-16 -31 Oct 25</t>
  </si>
  <si>
    <t>Inbound Handling charges for Nov 2024</t>
  </si>
  <si>
    <t>LCL Movement Charges for Nov 2024</t>
  </si>
  <si>
    <t>VAS-16-30 Sept 25</t>
  </si>
  <si>
    <t>Unit storage -1-31 May 25</t>
  </si>
  <si>
    <t>PORT SSR Chgs Sep 25</t>
  </si>
  <si>
    <t>Remark</t>
  </si>
  <si>
    <t>We had given 2 invoices against  BOE No. 7000274, and we accepted invoice 246779411485.</t>
  </si>
  <si>
    <t>These specific charges are not included in our existing contract.</t>
  </si>
  <si>
    <t>you have made an Invoice of Handling Charges 13 Plt instead of 4 Plt.</t>
  </si>
  <si>
    <t>Credit Note Pending</t>
  </si>
  <si>
    <t>The VAS charges are incorrect. </t>
  </si>
  <si>
    <t>Handling Charges CBM Rate is 2.25 but you have Handling Charges CBM Rate is 3.24</t>
  </si>
  <si>
    <t>Duplicated invoice</t>
  </si>
  <si>
    <t>Credit Note to be passed after verification by billing team</t>
  </si>
  <si>
    <t>Invoices not in Ascendus Books</t>
  </si>
  <si>
    <t>Invoice No</t>
  </si>
  <si>
    <t>Invoice Dt</t>
  </si>
  <si>
    <t>Credit (USD)</t>
  </si>
  <si>
    <t>CRM team will handle</t>
  </si>
  <si>
    <t>to be accounted by siddhartha</t>
  </si>
  <si>
    <t>Remarks</t>
  </si>
  <si>
    <t>to be accounted by siddhartha after CBM rate issue is solved</t>
  </si>
  <si>
    <t>mail summary will be sent by Siddhartha team ,Credit Note to be passed after verification by billing team</t>
  </si>
  <si>
    <t>Invoice to changed by CRM team</t>
  </si>
  <si>
    <r>
      <t xml:space="preserve">This is to inform you that MHE charges have already been applied in </t>
    </r>
    <r>
      <rPr>
        <b/>
        <sz val="11"/>
        <color theme="1"/>
        <rFont val="Calibri"/>
        <family val="2"/>
        <scheme val="minor"/>
      </rPr>
      <t>Invoice Nos. </t>
    </r>
    <r>
      <rPr>
        <b/>
        <sz val="11"/>
        <color rgb="FF222222"/>
        <rFont val="Arial"/>
        <family val="2"/>
      </rPr>
      <t>256779418354 and 256779418342</t>
    </r>
    <r>
      <rPr>
        <sz val="11"/>
        <color rgb="FF222222"/>
        <rFont val="Arial"/>
        <family val="2"/>
      </rPr>
      <t>. However, the same MHE charges have been included again in </t>
    </r>
    <r>
      <rPr>
        <b/>
        <sz val="11"/>
        <color rgb="FF222222"/>
        <rFont val="Arial"/>
        <family val="2"/>
      </rPr>
      <t>Invoice No. 256779418181.</t>
    </r>
  </si>
  <si>
    <t>Amount in Invoice to be verified by biling team</t>
  </si>
  <si>
    <t>Credit Note to be passed as discussed with CL team</t>
  </si>
  <si>
    <t>Action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</si>
</sst>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8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43" fontId="0" fillId="0" borderId="0" xfId="1" applyFont="1" applyAlignment="1"/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2" borderId="1" xfId="1" applyNumberFormat="1" applyFont="1" applyFill="1" applyBorder="1" applyAlignment="1">
      <alignment vertical="top"/>
    </xf>
    <xf numFmtId="164" fontId="0" fillId="0" borderId="1" xfId="1" applyNumberFormat="1" applyFont="1" applyBorder="1" applyAlignment="1">
      <alignment horizontal="right" vertical="top"/>
    </xf>
    <xf numFmtId="164" fontId="0" fillId="0" borderId="0" xfId="1" applyNumberFormat="1" applyFon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43" fontId="0" fillId="0" borderId="1" xfId="1" applyFont="1" applyFill="1" applyBorder="1" applyAlignment="1">
      <alignment horizontal="left" vertical="center"/>
    </xf>
    <xf numFmtId="1" fontId="3" fillId="0" borderId="1" xfId="2" applyNumberFormat="1" applyBorder="1" applyAlignment="1">
      <alignment horizontal="left"/>
    </xf>
    <xf numFmtId="14" fontId="3" fillId="0" borderId="1" xfId="2" applyNumberFormat="1" applyBorder="1" applyAlignment="1">
      <alignment horizontal="left" vertical="top"/>
    </xf>
    <xf numFmtId="43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Fill="1" applyBorder="1" applyAlignment="1">
      <alignment vertical="top"/>
    </xf>
    <xf numFmtId="14" fontId="0" fillId="0" borderId="1" xfId="0" applyNumberFormat="1" applyFill="1" applyBorder="1" applyAlignment="1">
      <alignment horizontal="right" vertical="top"/>
    </xf>
    <xf numFmtId="1" fontId="0" fillId="0" borderId="1" xfId="0" applyNumberFormat="1" applyFill="1" applyBorder="1" applyAlignment="1">
      <alignment vertical="top"/>
    </xf>
    <xf numFmtId="4" fontId="0" fillId="0" borderId="1" xfId="0" applyNumberFormat="1" applyFill="1" applyBorder="1" applyAlignment="1">
      <alignment horizontal="right" vertical="top"/>
    </xf>
    <xf numFmtId="164" fontId="0" fillId="0" borderId="1" xfId="1" applyNumberFormat="1" applyFont="1" applyFill="1" applyBorder="1" applyAlignment="1">
      <alignment horizontal="right" vertical="top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4" fontId="0" fillId="0" borderId="1" xfId="0" applyNumberFormat="1" applyBorder="1"/>
    <xf numFmtId="164" fontId="2" fillId="0" borderId="1" xfId="1" applyNumberFormat="1" applyFont="1" applyBorder="1"/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Normal 5" xfId="2" xr:uid="{5E43042E-39A1-4F33-B2EA-E06A947AC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9EA0-C501-497B-A113-50A20A488C68}">
  <dimension ref="A1:P21"/>
  <sheetViews>
    <sheetView tabSelected="1" zoomScale="70" zoomScaleNormal="70" workbookViewId="0">
      <selection activeCell="N12" sqref="N12"/>
    </sheetView>
  </sheetViews>
  <sheetFormatPr defaultRowHeight="14.5" x14ac:dyDescent="0.35"/>
  <cols>
    <col min="1" max="1" width="11.7265625" customWidth="1"/>
    <col min="2" max="2" width="3.453125" customWidth="1"/>
    <col min="3" max="3" width="11.54296875" customWidth="1"/>
    <col min="4" max="4" width="12.26953125" bestFit="1" customWidth="1"/>
    <col min="5" max="5" width="16.1796875" hidden="1" customWidth="1"/>
    <col min="6" max="6" width="13.54296875" bestFit="1" customWidth="1"/>
    <col min="7" max="7" width="4.90625" customWidth="1"/>
    <col min="8" max="8" width="9.26953125" customWidth="1"/>
    <col min="9" max="9" width="5.26953125" customWidth="1"/>
    <col min="10" max="10" width="8.90625" style="15" customWidth="1"/>
    <col min="11" max="11" width="18" style="10" customWidth="1"/>
    <col min="12" max="12" width="27.54296875" style="10" customWidth="1"/>
    <col min="13" max="13" width="19.90625" style="10" customWidth="1"/>
    <col min="14" max="14" width="27.54296875" style="10" customWidth="1"/>
    <col min="15" max="15" width="14.453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3" t="s">
        <v>9</v>
      </c>
      <c r="K1" s="2" t="s">
        <v>10</v>
      </c>
      <c r="L1" s="2" t="s">
        <v>26</v>
      </c>
      <c r="M1" s="2" t="s">
        <v>41</v>
      </c>
      <c r="N1" s="2" t="s">
        <v>48</v>
      </c>
      <c r="O1" s="33"/>
    </row>
    <row r="2" spans="1:16" ht="43.5" x14ac:dyDescent="0.35">
      <c r="A2" s="3">
        <v>1800001617</v>
      </c>
      <c r="B2" s="3" t="s">
        <v>14</v>
      </c>
      <c r="C2" s="4">
        <v>45730</v>
      </c>
      <c r="D2" s="4">
        <v>45735</v>
      </c>
      <c r="E2" s="3" t="s">
        <v>11</v>
      </c>
      <c r="F2" s="5">
        <v>246779412274</v>
      </c>
      <c r="G2" s="3" t="s">
        <v>12</v>
      </c>
      <c r="H2" s="6">
        <v>100</v>
      </c>
      <c r="I2" s="3" t="s">
        <v>13</v>
      </c>
      <c r="J2" s="14">
        <v>8669.1299999999992</v>
      </c>
      <c r="K2" s="9" t="s">
        <v>15</v>
      </c>
      <c r="L2" s="9" t="s">
        <v>27</v>
      </c>
      <c r="M2" s="25" t="s">
        <v>34</v>
      </c>
      <c r="N2" s="34" t="s">
        <v>47</v>
      </c>
      <c r="O2" s="33"/>
    </row>
    <row r="3" spans="1:16" ht="43.5" x14ac:dyDescent="0.35">
      <c r="A3" s="26">
        <v>1800000559</v>
      </c>
      <c r="B3" s="26" t="s">
        <v>14</v>
      </c>
      <c r="C3" s="27">
        <v>45719</v>
      </c>
      <c r="D3" s="27">
        <v>45719</v>
      </c>
      <c r="E3" s="26" t="s">
        <v>11</v>
      </c>
      <c r="F3" s="28">
        <v>246779410509</v>
      </c>
      <c r="G3" s="26" t="s">
        <v>12</v>
      </c>
      <c r="H3" s="29">
        <v>29.25</v>
      </c>
      <c r="I3" s="26" t="s">
        <v>13</v>
      </c>
      <c r="J3" s="30">
        <v>2535.7199999999998</v>
      </c>
      <c r="K3" s="31" t="s">
        <v>16</v>
      </c>
      <c r="L3" s="31" t="s">
        <v>29</v>
      </c>
      <c r="M3" s="32" t="s">
        <v>39</v>
      </c>
      <c r="N3" s="34" t="s">
        <v>47</v>
      </c>
      <c r="O3" s="33"/>
    </row>
    <row r="4" spans="1:16" ht="43.5" x14ac:dyDescent="0.35">
      <c r="A4" s="26">
        <v>1800006698</v>
      </c>
      <c r="B4" s="26" t="s">
        <v>14</v>
      </c>
      <c r="C4" s="27">
        <v>45762</v>
      </c>
      <c r="D4" s="27">
        <v>45763</v>
      </c>
      <c r="E4" s="26" t="s">
        <v>11</v>
      </c>
      <c r="F4" s="28">
        <v>256779411589</v>
      </c>
      <c r="G4" s="26" t="s">
        <v>12</v>
      </c>
      <c r="H4" s="29">
        <v>3.38</v>
      </c>
      <c r="I4" s="26" t="s">
        <v>13</v>
      </c>
      <c r="J4" s="30">
        <v>293.8</v>
      </c>
      <c r="K4" s="31" t="s">
        <v>17</v>
      </c>
      <c r="L4" s="31" t="s">
        <v>32</v>
      </c>
      <c r="M4" s="32" t="s">
        <v>39</v>
      </c>
      <c r="N4" s="34" t="s">
        <v>47</v>
      </c>
      <c r="O4" s="33"/>
    </row>
    <row r="5" spans="1:16" ht="29" x14ac:dyDescent="0.35">
      <c r="A5" s="26">
        <v>1800001791</v>
      </c>
      <c r="B5" s="26" t="s">
        <v>14</v>
      </c>
      <c r="C5" s="27">
        <v>45730</v>
      </c>
      <c r="D5" s="27">
        <v>45733</v>
      </c>
      <c r="E5" s="26" t="s">
        <v>11</v>
      </c>
      <c r="F5" s="28">
        <v>246779411456</v>
      </c>
      <c r="G5" s="26" t="s">
        <v>12</v>
      </c>
      <c r="H5" s="29">
        <v>4.7699999999999996</v>
      </c>
      <c r="I5" s="26" t="s">
        <v>13</v>
      </c>
      <c r="J5" s="30">
        <v>413.52</v>
      </c>
      <c r="K5" s="31" t="s">
        <v>18</v>
      </c>
      <c r="L5" s="31" t="s">
        <v>33</v>
      </c>
      <c r="M5" s="32" t="s">
        <v>34</v>
      </c>
      <c r="N5" s="34" t="s">
        <v>47</v>
      </c>
      <c r="O5" s="33"/>
    </row>
    <row r="6" spans="1:16" ht="29" x14ac:dyDescent="0.35">
      <c r="A6" s="26">
        <v>1800012462</v>
      </c>
      <c r="B6" s="26" t="s">
        <v>14</v>
      </c>
      <c r="C6" s="27">
        <v>45904</v>
      </c>
      <c r="D6" s="27">
        <v>45909</v>
      </c>
      <c r="E6" s="26" t="s">
        <v>11</v>
      </c>
      <c r="F6" s="28">
        <v>256779417162</v>
      </c>
      <c r="G6" s="26" t="s">
        <v>12</v>
      </c>
      <c r="H6" s="29">
        <v>44.74</v>
      </c>
      <c r="I6" s="26" t="s">
        <v>13</v>
      </c>
      <c r="J6" s="30">
        <v>3915.39</v>
      </c>
      <c r="K6" s="31" t="s">
        <v>19</v>
      </c>
      <c r="L6" s="31" t="s">
        <v>31</v>
      </c>
      <c r="M6" s="32" t="s">
        <v>44</v>
      </c>
      <c r="N6" s="34" t="s">
        <v>47</v>
      </c>
      <c r="O6" s="33"/>
    </row>
    <row r="7" spans="1:16" ht="29" x14ac:dyDescent="0.35">
      <c r="A7" s="26">
        <v>1800014290</v>
      </c>
      <c r="B7" s="26" t="s">
        <v>14</v>
      </c>
      <c r="C7" s="27">
        <v>45966</v>
      </c>
      <c r="D7" s="27">
        <v>45967</v>
      </c>
      <c r="E7" s="26" t="s">
        <v>11</v>
      </c>
      <c r="F7" s="28">
        <v>256779418827</v>
      </c>
      <c r="G7" s="26" t="s">
        <v>12</v>
      </c>
      <c r="H7" s="29">
        <v>60.86</v>
      </c>
      <c r="I7" s="26" t="s">
        <v>13</v>
      </c>
      <c r="J7" s="30">
        <v>5355.89</v>
      </c>
      <c r="K7" s="31" t="s">
        <v>20</v>
      </c>
      <c r="L7" s="31" t="s">
        <v>28</v>
      </c>
      <c r="M7" s="32"/>
      <c r="N7" s="34" t="s">
        <v>47</v>
      </c>
      <c r="O7" s="33"/>
    </row>
    <row r="8" spans="1:16" ht="43.5" x14ac:dyDescent="0.35">
      <c r="A8" s="26">
        <v>1800004532</v>
      </c>
      <c r="B8" s="26" t="s">
        <v>14</v>
      </c>
      <c r="C8" s="27">
        <v>45736</v>
      </c>
      <c r="D8" s="27">
        <v>45737</v>
      </c>
      <c r="E8" s="26" t="s">
        <v>11</v>
      </c>
      <c r="F8" s="28">
        <v>246779414400</v>
      </c>
      <c r="G8" s="26" t="s">
        <v>12</v>
      </c>
      <c r="H8" s="29">
        <v>80.95</v>
      </c>
      <c r="I8" s="26" t="s">
        <v>13</v>
      </c>
      <c r="J8" s="30">
        <v>7017.66</v>
      </c>
      <c r="K8" s="31" t="s">
        <v>21</v>
      </c>
      <c r="L8" s="31" t="s">
        <v>32</v>
      </c>
      <c r="M8" s="32" t="s">
        <v>39</v>
      </c>
      <c r="N8" s="34" t="s">
        <v>47</v>
      </c>
      <c r="O8" s="33"/>
    </row>
    <row r="9" spans="1:16" ht="29" x14ac:dyDescent="0.35">
      <c r="A9" s="26">
        <v>1800004533</v>
      </c>
      <c r="B9" s="26" t="s">
        <v>14</v>
      </c>
      <c r="C9" s="27">
        <v>45736</v>
      </c>
      <c r="D9" s="27">
        <v>45737</v>
      </c>
      <c r="E9" s="26" t="s">
        <v>11</v>
      </c>
      <c r="F9" s="28">
        <v>246779414401</v>
      </c>
      <c r="G9" s="26" t="s">
        <v>12</v>
      </c>
      <c r="H9" s="29">
        <v>15</v>
      </c>
      <c r="I9" s="26" t="s">
        <v>13</v>
      </c>
      <c r="J9" s="30">
        <v>1300.3699999999999</v>
      </c>
      <c r="K9" s="31" t="s">
        <v>22</v>
      </c>
      <c r="L9" s="31"/>
      <c r="M9" s="32" t="s">
        <v>46</v>
      </c>
      <c r="N9" s="32" t="s">
        <v>40</v>
      </c>
      <c r="O9" s="33"/>
    </row>
    <row r="10" spans="1:16" ht="114" x14ac:dyDescent="0.35">
      <c r="A10" s="26">
        <v>1800013760</v>
      </c>
      <c r="B10" s="26" t="s">
        <v>14</v>
      </c>
      <c r="C10" s="27">
        <v>45937</v>
      </c>
      <c r="D10" s="27">
        <v>45939</v>
      </c>
      <c r="E10" s="26" t="s">
        <v>11</v>
      </c>
      <c r="F10" s="28">
        <v>256779418181</v>
      </c>
      <c r="G10" s="26" t="s">
        <v>12</v>
      </c>
      <c r="H10" s="29">
        <v>49.33</v>
      </c>
      <c r="I10" s="26" t="s">
        <v>13</v>
      </c>
      <c r="J10" s="30">
        <v>4350.45</v>
      </c>
      <c r="K10" s="31" t="s">
        <v>23</v>
      </c>
      <c r="L10" s="31" t="s">
        <v>45</v>
      </c>
      <c r="M10" s="32" t="s">
        <v>42</v>
      </c>
      <c r="N10" s="34" t="s">
        <v>47</v>
      </c>
      <c r="O10" s="33"/>
    </row>
    <row r="11" spans="1:16" ht="58" x14ac:dyDescent="0.35">
      <c r="A11" s="26">
        <v>1800009470</v>
      </c>
      <c r="B11" s="26" t="s">
        <v>14</v>
      </c>
      <c r="C11" s="27">
        <v>45815</v>
      </c>
      <c r="D11" s="27">
        <v>45817</v>
      </c>
      <c r="E11" s="26" t="s">
        <v>11</v>
      </c>
      <c r="F11" s="28">
        <v>256779414234</v>
      </c>
      <c r="G11" s="26" t="s">
        <v>12</v>
      </c>
      <c r="H11" s="29">
        <v>925.23</v>
      </c>
      <c r="I11" s="26" t="s">
        <v>13</v>
      </c>
      <c r="J11" s="30">
        <v>79098.63</v>
      </c>
      <c r="K11" s="31" t="s">
        <v>24</v>
      </c>
      <c r="L11" s="31" t="s">
        <v>30</v>
      </c>
      <c r="M11" s="32" t="s">
        <v>43</v>
      </c>
      <c r="N11" s="34" t="s">
        <v>47</v>
      </c>
      <c r="O11" s="33">
        <v>149</v>
      </c>
      <c r="P11" s="6">
        <v>22.64</v>
      </c>
    </row>
    <row r="12" spans="1:16" ht="29" x14ac:dyDescent="0.35">
      <c r="A12" s="26">
        <v>1800013511</v>
      </c>
      <c r="B12" s="26" t="s">
        <v>14</v>
      </c>
      <c r="C12" s="27">
        <v>45935</v>
      </c>
      <c r="D12" s="27">
        <v>45940</v>
      </c>
      <c r="E12" s="26" t="s">
        <v>11</v>
      </c>
      <c r="F12" s="28">
        <v>256779418401</v>
      </c>
      <c r="G12" s="26" t="s">
        <v>12</v>
      </c>
      <c r="H12" s="29">
        <v>62.52</v>
      </c>
      <c r="I12" s="26" t="s">
        <v>13</v>
      </c>
      <c r="J12" s="30">
        <v>5513.69</v>
      </c>
      <c r="K12" s="31" t="s">
        <v>25</v>
      </c>
      <c r="L12" s="31" t="s">
        <v>28</v>
      </c>
      <c r="M12" s="32" t="s">
        <v>40</v>
      </c>
      <c r="N12" s="32" t="s">
        <v>40</v>
      </c>
      <c r="O12" s="33"/>
    </row>
    <row r="13" spans="1:16" x14ac:dyDescent="0.35">
      <c r="A13" s="33"/>
      <c r="B13" s="33"/>
      <c r="C13" s="33"/>
      <c r="D13" s="33"/>
      <c r="E13" s="33"/>
      <c r="F13" s="33"/>
      <c r="G13" s="33"/>
      <c r="H13" s="35"/>
      <c r="I13" s="33"/>
      <c r="J13" s="36">
        <f>SUBTOTAL(9,J2:J12)</f>
        <v>118464.25</v>
      </c>
      <c r="K13" s="25"/>
      <c r="L13" s="9"/>
      <c r="M13" s="25"/>
      <c r="N13" s="25"/>
      <c r="O13" s="33"/>
    </row>
    <row r="14" spans="1:16" x14ac:dyDescent="0.35">
      <c r="H14" s="8"/>
    </row>
    <row r="15" spans="1:16" x14ac:dyDescent="0.35">
      <c r="H15" s="7"/>
      <c r="L15" s="11"/>
    </row>
    <row r="16" spans="1:16" ht="14" customHeight="1" x14ac:dyDescent="0.35">
      <c r="L16" s="12"/>
    </row>
    <row r="17" spans="12:12" x14ac:dyDescent="0.35">
      <c r="L17" s="12"/>
    </row>
    <row r="18" spans="12:12" x14ac:dyDescent="0.35">
      <c r="L18" s="16"/>
    </row>
    <row r="19" spans="12:12" x14ac:dyDescent="0.35">
      <c r="L19" s="16"/>
    </row>
    <row r="20" spans="12:12" x14ac:dyDescent="0.35">
      <c r="L20" s="16"/>
    </row>
    <row r="21" spans="12:12" x14ac:dyDescent="0.35">
      <c r="L21" s="16"/>
    </row>
  </sheetData>
  <autoFilter ref="A1:P12" xr:uid="{49489EA0-C501-497B-A113-50A20A488C6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478A-4129-4CB9-BC38-F67A2C8471B6}">
  <dimension ref="A1:C5"/>
  <sheetViews>
    <sheetView workbookViewId="0">
      <selection sqref="A1:C5"/>
    </sheetView>
  </sheetViews>
  <sheetFormatPr defaultRowHeight="14.5" x14ac:dyDescent="0.35"/>
  <cols>
    <col min="1" max="1" width="12.90625" bestFit="1" customWidth="1"/>
    <col min="2" max="2" width="10.08984375" bestFit="1" customWidth="1"/>
    <col min="3" max="3" width="7.26953125" bestFit="1" customWidth="1"/>
  </cols>
  <sheetData>
    <row r="1" spans="1:3" x14ac:dyDescent="0.35">
      <c r="A1" s="37" t="s">
        <v>35</v>
      </c>
      <c r="B1" s="37"/>
      <c r="C1" s="37"/>
    </row>
    <row r="2" spans="1:3" ht="29" x14ac:dyDescent="0.35">
      <c r="A2" s="17" t="s">
        <v>36</v>
      </c>
      <c r="B2" s="18" t="s">
        <v>37</v>
      </c>
      <c r="C2" s="17" t="s">
        <v>38</v>
      </c>
    </row>
    <row r="3" spans="1:3" x14ac:dyDescent="0.35">
      <c r="A3" s="19">
        <v>246799412242</v>
      </c>
      <c r="B3" s="20">
        <v>45730</v>
      </c>
      <c r="C3" s="21">
        <v>4.67</v>
      </c>
    </row>
    <row r="4" spans="1:3" x14ac:dyDescent="0.35">
      <c r="A4" s="22">
        <v>246779418945</v>
      </c>
      <c r="B4" s="23">
        <v>45966</v>
      </c>
      <c r="C4" s="21">
        <v>287.18</v>
      </c>
    </row>
    <row r="5" spans="1:3" x14ac:dyDescent="0.35">
      <c r="C5" s="24">
        <f>SUM(C3:C4)</f>
        <v>291.85000000000002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Not in Customer Book</vt:lpstr>
      <vt:lpstr>Invoices Not in Ascendus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2026-02-17T12:33:09Z</dcterms:created>
  <dcterms:modified xsi:type="dcterms:W3CDTF">2026-03-13T12:54:42Z</dcterms:modified>
</cp:coreProperties>
</file>