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15. SIDDHARTHA LOGISTICS FTWZ PRIVATE\"/>
    </mc:Choice>
  </mc:AlternateContent>
  <xr:revisionPtr revIDLastSave="0" documentId="13_ncr:1_{3BACD35A-67F2-49B4-B651-AC5FB52E833C}" xr6:coauthVersionLast="47" xr6:coauthVersionMax="47" xr10:uidLastSave="{00000000-0000-0000-0000-000000000000}"/>
  <bookViews>
    <workbookView xWindow="-110" yWindow="-110" windowWidth="21820" windowHeight="14020" xr2:uid="{0E7F4F9C-C0D3-4F29-98C3-A72FBA4E7EA2}"/>
  </bookViews>
  <sheets>
    <sheet name="Invoice Not in Customer Book" sheetId="2" r:id="rId1"/>
    <sheet name="Invoices Not in Ascendus books" sheetId="3" r:id="rId2"/>
    <sheet name="Payment Reco" sheetId="4" r:id="rId3"/>
    <sheet name=" CN Not in Customer Books" sheetId="1" state="hidden" r:id="rId4"/>
  </sheets>
  <definedNames>
    <definedName name="_xlnm.Print_Area" localSheetId="2">'Payment Reco'!$A$1:$H$8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4" l="1"/>
  <c r="C8" i="4"/>
  <c r="H7" i="4"/>
  <c r="H6" i="4"/>
  <c r="H5" i="4"/>
  <c r="H4" i="4"/>
  <c r="H8" i="4" s="1"/>
  <c r="C5" i="3"/>
</calcChain>
</file>

<file path=xl/sharedStrings.xml><?xml version="1.0" encoding="utf-8"?>
<sst xmlns="http://schemas.openxmlformats.org/spreadsheetml/2006/main" count="194" uniqueCount="61">
  <si>
    <t>Document Number</t>
  </si>
  <si>
    <t>Document Type</t>
  </si>
  <si>
    <t>Document Date</t>
  </si>
  <si>
    <t>Entry Date</t>
  </si>
  <si>
    <t>Document Header Text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</si>
  <si>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</si>
  <si>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</si>
  <si>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</si>
  <si>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</si>
  <si>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</si>
  <si>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</si>
  <si>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DG</t>
  </si>
  <si>
    <t>NA</t>
  </si>
  <si>
    <t>USD</t>
  </si>
  <si>
    <t>INR</t>
  </si>
  <si>
    <t>Credit note against 246779412244</t>
  </si>
  <si>
    <t>Credit note against 246779412240</t>
  </si>
  <si>
    <t>Credit note against 246779412243</t>
  </si>
  <si>
    <t>Credit note against 246779412245</t>
  </si>
  <si>
    <t>Credit note for Duplicate invoice -256779418354</t>
  </si>
  <si>
    <t>2159128</t>
  </si>
  <si>
    <t>CN issued against - 256779414234</t>
  </si>
  <si>
    <t>DR</t>
  </si>
  <si>
    <t>Intra Unit Transfer Charges Month Of August,2024</t>
  </si>
  <si>
    <t>Outbound Handling for Aug 2024</t>
  </si>
  <si>
    <t>Outbound Handling Charges Aug 2024</t>
  </si>
  <si>
    <t>VAS Activity Charges for the month of August, 24</t>
  </si>
  <si>
    <t>VAS -16-31 Aug 25</t>
  </si>
  <si>
    <t>WEIGHTMENT-16 -31 Oct 25</t>
  </si>
  <si>
    <t>ONEU5912276 Without de-stuffing</t>
  </si>
  <si>
    <t>Inbound Handling charges for Nov 2024</t>
  </si>
  <si>
    <t>LCL Movement Charges for Nov 2024</t>
  </si>
  <si>
    <t>VAS-16-30 Sept 25</t>
  </si>
  <si>
    <t>Unit storage -1-31 May 25</t>
  </si>
  <si>
    <t>PORT SSR Chgs Sep 25</t>
  </si>
  <si>
    <t>Remark</t>
  </si>
  <si>
    <t>Invoice Booke And Payment</t>
  </si>
  <si>
    <t>We had given 2 invoices against  BOE No. 7000274, and we accepted invoice 246779411485.</t>
  </si>
  <si>
    <t>These specific charges are not included in our existing contract.</t>
  </si>
  <si>
    <t>you have made an Invoice of Handling Charges 13 Plt instead of 4 Plt.</t>
  </si>
  <si>
    <t>Credit Note Pending</t>
  </si>
  <si>
    <t>The VAS charges are incorrect. </t>
  </si>
  <si>
    <r>
      <t>This is to inform you that MHE charges have already been applied in Invoice Nos. </t>
    </r>
    <r>
      <rPr>
        <b/>
        <sz val="12"/>
        <color rgb="FF222222"/>
        <rFont val="Arial"/>
        <family val="2"/>
      </rPr>
      <t>256779418354</t>
    </r>
    <r>
      <rPr>
        <sz val="12"/>
        <color rgb="FF222222"/>
        <rFont val="Arial"/>
        <family val="2"/>
      </rPr>
      <t> and </t>
    </r>
    <r>
      <rPr>
        <b/>
        <sz val="12"/>
        <color rgb="FF222222"/>
        <rFont val="Arial"/>
        <family val="2"/>
      </rPr>
      <t>256779418342</t>
    </r>
    <r>
      <rPr>
        <sz val="12"/>
        <color rgb="FF222222"/>
        <rFont val="Arial"/>
        <family val="2"/>
      </rPr>
      <t>. However, the same MHE charges have been included again in </t>
    </r>
    <r>
      <rPr>
        <b/>
        <sz val="12"/>
        <color rgb="FF222222"/>
        <rFont val="Arial"/>
        <family val="2"/>
      </rPr>
      <t>Invoice No. 256779418181</t>
    </r>
    <r>
      <rPr>
        <sz val="12"/>
        <color rgb="FF222222"/>
        <rFont val="Arial"/>
        <family val="2"/>
      </rPr>
      <t>.</t>
    </r>
  </si>
  <si>
    <t>Handling Charges CBM Rate is 2.25 but you have Handling Charges CBM Rate is 3.24</t>
  </si>
  <si>
    <t>Duplicated invoice</t>
  </si>
  <si>
    <t>Credit Note to be passed after verification by billing team</t>
  </si>
  <si>
    <t>To be discussed with customer in meeting</t>
  </si>
  <si>
    <t>Bilimoria's  remarks</t>
  </si>
  <si>
    <t>Invoices not in Ascendus Books</t>
  </si>
  <si>
    <t>Invoice No</t>
  </si>
  <si>
    <t>Invoice Dt</t>
  </si>
  <si>
    <t>Credit (USD)</t>
  </si>
  <si>
    <t xml:space="preserve">As per Customer </t>
  </si>
  <si>
    <t xml:space="preserve">As per Ascendus </t>
  </si>
  <si>
    <t>Payment Date</t>
  </si>
  <si>
    <t>Particulars</t>
  </si>
  <si>
    <t>Amount</t>
  </si>
  <si>
    <t>Date</t>
  </si>
  <si>
    <t>Diffrence</t>
  </si>
  <si>
    <t xml:space="preserve">Outgoing payment </t>
  </si>
  <si>
    <t>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</si>
</sst>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12"/>
      <color rgb="FF222222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74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4" fontId="0" fillId="0" borderId="0" xfId="0" applyNumberFormat="1"/>
    <xf numFmtId="43" fontId="0" fillId="0" borderId="0" xfId="1" applyFont="1" applyAlignment="1"/>
    <xf numFmtId="0" fontId="0" fillId="0" borderId="0" xfId="0" applyBorder="1"/>
    <xf numFmtId="0" fontId="0" fillId="2" borderId="2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Border="1" applyAlignment="1">
      <alignment wrapText="1"/>
    </xf>
    <xf numFmtId="0" fontId="0" fillId="0" borderId="0" xfId="0" quotePrefix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vertical="top" wrapText="1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 wrapText="1"/>
    </xf>
    <xf numFmtId="14" fontId="0" fillId="3" borderId="1" xfId="0" applyNumberFormat="1" applyFill="1" applyBorder="1" applyAlignment="1">
      <alignment horizontal="right" vertical="top"/>
    </xf>
    <xf numFmtId="1" fontId="0" fillId="3" borderId="1" xfId="0" applyNumberFormat="1" applyFill="1" applyBorder="1" applyAlignment="1">
      <alignment vertical="top"/>
    </xf>
    <xf numFmtId="0" fontId="0" fillId="0" borderId="0" xfId="0" applyBorder="1" applyAlignment="1">
      <alignment horizontal="center" vertical="center" wrapText="1"/>
    </xf>
    <xf numFmtId="164" fontId="0" fillId="2" borderId="1" xfId="1" applyNumberFormat="1" applyFont="1" applyFill="1" applyBorder="1" applyAlignment="1">
      <alignment vertical="top"/>
    </xf>
    <xf numFmtId="164" fontId="0" fillId="0" borderId="1" xfId="1" applyNumberFormat="1" applyFont="1" applyBorder="1" applyAlignment="1">
      <alignment horizontal="right" vertical="top"/>
    </xf>
    <xf numFmtId="164" fontId="0" fillId="3" borderId="1" xfId="1" applyNumberFormat="1" applyFont="1" applyFill="1" applyBorder="1" applyAlignment="1">
      <alignment horizontal="right" vertical="top"/>
    </xf>
    <xf numFmtId="164" fontId="0" fillId="0" borderId="0" xfId="1" applyNumberFormat="1" applyFont="1"/>
    <xf numFmtId="0" fontId="0" fillId="0" borderId="1" xfId="0" applyBorder="1"/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43" fontId="0" fillId="0" borderId="1" xfId="1" applyFont="1" applyFill="1" applyBorder="1" applyAlignment="1">
      <alignment horizontal="left" vertical="center"/>
    </xf>
    <xf numFmtId="1" fontId="5" fillId="0" borderId="1" xfId="2" applyNumberFormat="1" applyBorder="1" applyAlignment="1">
      <alignment horizontal="left"/>
    </xf>
    <xf numFmtId="14" fontId="5" fillId="0" borderId="1" xfId="2" applyNumberFormat="1" applyBorder="1" applyAlignment="1">
      <alignment horizontal="left" vertical="top"/>
    </xf>
    <xf numFmtId="43" fontId="0" fillId="0" borderId="0" xfId="0" applyNumberFormat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9" xfId="0" applyBorder="1"/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14" fontId="0" fillId="0" borderId="12" xfId="0" applyNumberFormat="1" applyBorder="1"/>
    <xf numFmtId="1" fontId="0" fillId="0" borderId="13" xfId="0" applyNumberFormat="1" applyBorder="1" applyAlignment="1">
      <alignment horizontal="left"/>
    </xf>
    <xf numFmtId="43" fontId="0" fillId="0" borderId="14" xfId="1" applyFont="1" applyBorder="1"/>
    <xf numFmtId="0" fontId="0" fillId="0" borderId="12" xfId="0" applyBorder="1" applyAlignment="1">
      <alignment vertical="top"/>
    </xf>
    <xf numFmtId="14" fontId="0" fillId="0" borderId="13" xfId="0" applyNumberFormat="1" applyBorder="1" applyAlignment="1">
      <alignment horizontal="right" vertical="top"/>
    </xf>
    <xf numFmtId="0" fontId="0" fillId="0" borderId="13" xfId="0" applyBorder="1" applyAlignment="1">
      <alignment vertical="top"/>
    </xf>
    <xf numFmtId="4" fontId="0" fillId="0" borderId="15" xfId="0" applyNumberFormat="1" applyBorder="1" applyAlignment="1">
      <alignment horizontal="right" vertical="top"/>
    </xf>
    <xf numFmtId="43" fontId="0" fillId="0" borderId="16" xfId="0" applyNumberFormat="1" applyBorder="1"/>
    <xf numFmtId="14" fontId="0" fillId="0" borderId="17" xfId="0" applyNumberFormat="1" applyBorder="1"/>
    <xf numFmtId="1" fontId="0" fillId="0" borderId="1" xfId="0" applyNumberFormat="1" applyBorder="1" applyAlignment="1">
      <alignment horizontal="left"/>
    </xf>
    <xf numFmtId="43" fontId="0" fillId="0" borderId="18" xfId="1" applyFont="1" applyBorder="1"/>
    <xf numFmtId="0" fontId="0" fillId="0" borderId="17" xfId="0" applyBorder="1" applyAlignment="1">
      <alignment vertical="top"/>
    </xf>
    <xf numFmtId="4" fontId="0" fillId="0" borderId="19" xfId="0" applyNumberFormat="1" applyBorder="1" applyAlignment="1">
      <alignment horizontal="right" vertical="top"/>
    </xf>
    <xf numFmtId="43" fontId="0" fillId="0" borderId="20" xfId="0" applyNumberFormat="1" applyBorder="1"/>
    <xf numFmtId="14" fontId="0" fillId="0" borderId="21" xfId="0" applyNumberFormat="1" applyBorder="1"/>
    <xf numFmtId="1" fontId="0" fillId="0" borderId="22" xfId="0" applyNumberFormat="1" applyBorder="1"/>
    <xf numFmtId="43" fontId="0" fillId="0" borderId="23" xfId="1" applyFont="1" applyBorder="1"/>
    <xf numFmtId="0" fontId="0" fillId="0" borderId="21" xfId="0" applyBorder="1" applyAlignment="1">
      <alignment vertical="top"/>
    </xf>
    <xf numFmtId="14" fontId="0" fillId="0" borderId="22" xfId="0" applyNumberFormat="1" applyBorder="1" applyAlignment="1">
      <alignment horizontal="right" vertical="top"/>
    </xf>
    <xf numFmtId="0" fontId="0" fillId="0" borderId="22" xfId="0" applyBorder="1" applyAlignment="1">
      <alignment vertical="top"/>
    </xf>
    <xf numFmtId="4" fontId="0" fillId="0" borderId="24" xfId="0" applyNumberFormat="1" applyBorder="1" applyAlignment="1">
      <alignment horizontal="right" vertical="top"/>
    </xf>
    <xf numFmtId="43" fontId="0" fillId="0" borderId="25" xfId="0" applyNumberFormat="1" applyBorder="1"/>
    <xf numFmtId="43" fontId="4" fillId="0" borderId="0" xfId="0" applyNumberFormat="1" applyFont="1"/>
  </cellXfs>
  <cellStyles count="3">
    <cellStyle name="Comma" xfId="1" builtinId="3"/>
    <cellStyle name="Normal" xfId="0" builtinId="0"/>
    <cellStyle name="Normal 5" xfId="2" xr:uid="{5E43042E-39A1-4F33-B2EA-E06A947AC7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9EA0-C501-497B-A113-50A20A488C68}">
  <dimension ref="A1:R26"/>
  <sheetViews>
    <sheetView tabSelected="1" topLeftCell="D1" zoomScale="70" zoomScaleNormal="70" workbookViewId="0">
      <selection activeCell="L25" sqref="L25"/>
    </sheetView>
  </sheetViews>
  <sheetFormatPr defaultRowHeight="14.5" x14ac:dyDescent="0.35"/>
  <cols>
    <col min="1" max="1" width="16.81640625" bestFit="1" customWidth="1"/>
    <col min="2" max="2" width="14" bestFit="1" customWidth="1"/>
    <col min="3" max="3" width="13.90625" bestFit="1" customWidth="1"/>
    <col min="4" max="4" width="10.81640625" bestFit="1" customWidth="1"/>
    <col min="5" max="5" width="6.26953125" customWidth="1"/>
    <col min="6" max="6" width="13.90625" bestFit="1" customWidth="1"/>
    <col min="7" max="7" width="8.36328125" customWidth="1"/>
    <col min="8" max="8" width="10.6328125" customWidth="1"/>
    <col min="9" max="9" width="8" customWidth="1"/>
    <col min="10" max="10" width="12.90625" style="26" customWidth="1"/>
    <col min="11" max="11" width="43.54296875" bestFit="1" customWidth="1"/>
    <col min="12" max="12" width="78.81640625" style="15" bestFit="1" customWidth="1"/>
    <col min="13" max="13" width="67.269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3" t="s">
        <v>9</v>
      </c>
      <c r="K1" s="1" t="s">
        <v>10</v>
      </c>
      <c r="L1" s="10" t="s">
        <v>35</v>
      </c>
      <c r="M1" s="10" t="s">
        <v>47</v>
      </c>
    </row>
    <row r="2" spans="1:13" x14ac:dyDescent="0.35">
      <c r="A2" s="3">
        <v>1800001617</v>
      </c>
      <c r="B2" s="3" t="s">
        <v>22</v>
      </c>
      <c r="C2" s="4">
        <v>45730</v>
      </c>
      <c r="D2" s="4">
        <v>45735</v>
      </c>
      <c r="E2" s="3" t="s">
        <v>12</v>
      </c>
      <c r="F2" s="5">
        <v>246779412274</v>
      </c>
      <c r="G2" s="3" t="s">
        <v>13</v>
      </c>
      <c r="H2" s="6">
        <v>100</v>
      </c>
      <c r="I2" s="3" t="s">
        <v>14</v>
      </c>
      <c r="J2" s="24">
        <v>8669.1299999999992</v>
      </c>
      <c r="K2" s="3" t="s">
        <v>23</v>
      </c>
      <c r="L2" s="11" t="s">
        <v>37</v>
      </c>
      <c r="M2" s="27" t="s">
        <v>46</v>
      </c>
    </row>
    <row r="3" spans="1:13" x14ac:dyDescent="0.35">
      <c r="A3" s="3">
        <v>1800000559</v>
      </c>
      <c r="B3" s="3" t="s">
        <v>22</v>
      </c>
      <c r="C3" s="4">
        <v>45719</v>
      </c>
      <c r="D3" s="4">
        <v>45719</v>
      </c>
      <c r="E3" s="3" t="s">
        <v>12</v>
      </c>
      <c r="F3" s="5">
        <v>246779410509</v>
      </c>
      <c r="G3" s="3" t="s">
        <v>13</v>
      </c>
      <c r="H3" s="6">
        <v>29.25</v>
      </c>
      <c r="I3" s="3" t="s">
        <v>14</v>
      </c>
      <c r="J3" s="24">
        <v>2535.7199999999998</v>
      </c>
      <c r="K3" s="3" t="s">
        <v>24</v>
      </c>
      <c r="L3" s="11" t="s">
        <v>39</v>
      </c>
      <c r="M3" s="27" t="s">
        <v>46</v>
      </c>
    </row>
    <row r="4" spans="1:13" ht="29" x14ac:dyDescent="0.35">
      <c r="A4" s="3">
        <v>1800006698</v>
      </c>
      <c r="B4" s="3" t="s">
        <v>22</v>
      </c>
      <c r="C4" s="4">
        <v>45762</v>
      </c>
      <c r="D4" s="4">
        <v>45763</v>
      </c>
      <c r="E4" s="3" t="s">
        <v>12</v>
      </c>
      <c r="F4" s="5">
        <v>256779411589</v>
      </c>
      <c r="G4" s="3" t="s">
        <v>13</v>
      </c>
      <c r="H4" s="6">
        <v>3.38</v>
      </c>
      <c r="I4" s="3" t="s">
        <v>14</v>
      </c>
      <c r="J4" s="24">
        <v>293.8</v>
      </c>
      <c r="K4" s="3" t="s">
        <v>25</v>
      </c>
      <c r="L4" s="11" t="s">
        <v>43</v>
      </c>
      <c r="M4" s="27" t="s">
        <v>46</v>
      </c>
    </row>
    <row r="5" spans="1:13" x14ac:dyDescent="0.35">
      <c r="A5" s="17">
        <v>1800001786</v>
      </c>
      <c r="B5" s="17" t="s">
        <v>22</v>
      </c>
      <c r="C5" s="20">
        <v>45730</v>
      </c>
      <c r="D5" s="20">
        <v>45733</v>
      </c>
      <c r="E5" s="17" t="s">
        <v>12</v>
      </c>
      <c r="F5" s="21">
        <v>246779411451</v>
      </c>
      <c r="G5" s="17" t="s">
        <v>13</v>
      </c>
      <c r="H5" s="18">
        <v>2.86</v>
      </c>
      <c r="I5" s="17" t="s">
        <v>14</v>
      </c>
      <c r="J5" s="25">
        <v>247.94</v>
      </c>
      <c r="K5" s="17" t="s">
        <v>26</v>
      </c>
      <c r="L5" s="19" t="s">
        <v>44</v>
      </c>
      <c r="M5" s="27" t="s">
        <v>45</v>
      </c>
    </row>
    <row r="6" spans="1:13" x14ac:dyDescent="0.35">
      <c r="A6" s="17">
        <v>1800001788</v>
      </c>
      <c r="B6" s="17" t="s">
        <v>22</v>
      </c>
      <c r="C6" s="20">
        <v>45730</v>
      </c>
      <c r="D6" s="20">
        <v>45733</v>
      </c>
      <c r="E6" s="17" t="s">
        <v>12</v>
      </c>
      <c r="F6" s="21">
        <v>246779411453</v>
      </c>
      <c r="G6" s="17" t="s">
        <v>13</v>
      </c>
      <c r="H6" s="18">
        <v>4.7699999999999996</v>
      </c>
      <c r="I6" s="17" t="s">
        <v>14</v>
      </c>
      <c r="J6" s="25">
        <v>413.52</v>
      </c>
      <c r="K6" s="17" t="s">
        <v>26</v>
      </c>
      <c r="L6" s="19" t="s">
        <v>44</v>
      </c>
      <c r="M6" s="27" t="s">
        <v>45</v>
      </c>
    </row>
    <row r="7" spans="1:13" x14ac:dyDescent="0.35">
      <c r="A7" s="17">
        <v>1800001789</v>
      </c>
      <c r="B7" s="17" t="s">
        <v>22</v>
      </c>
      <c r="C7" s="20">
        <v>45730</v>
      </c>
      <c r="D7" s="20">
        <v>45733</v>
      </c>
      <c r="E7" s="17" t="s">
        <v>12</v>
      </c>
      <c r="F7" s="21">
        <v>246779411454</v>
      </c>
      <c r="G7" s="17" t="s">
        <v>13</v>
      </c>
      <c r="H7" s="18">
        <v>1.91</v>
      </c>
      <c r="I7" s="17" t="s">
        <v>14</v>
      </c>
      <c r="J7" s="25">
        <v>165.58</v>
      </c>
      <c r="K7" s="17" t="s">
        <v>26</v>
      </c>
      <c r="L7" s="19" t="s">
        <v>44</v>
      </c>
      <c r="M7" s="27" t="s">
        <v>45</v>
      </c>
    </row>
    <row r="8" spans="1:13" x14ac:dyDescent="0.35">
      <c r="A8" s="17">
        <v>1800001790</v>
      </c>
      <c r="B8" s="17" t="s">
        <v>22</v>
      </c>
      <c r="C8" s="20">
        <v>45730</v>
      </c>
      <c r="D8" s="20">
        <v>45733</v>
      </c>
      <c r="E8" s="17" t="s">
        <v>12</v>
      </c>
      <c r="F8" s="21">
        <v>246779411455</v>
      </c>
      <c r="G8" s="17" t="s">
        <v>13</v>
      </c>
      <c r="H8" s="18">
        <v>1.91</v>
      </c>
      <c r="I8" s="17" t="s">
        <v>14</v>
      </c>
      <c r="J8" s="25">
        <v>165.58</v>
      </c>
      <c r="K8" s="17" t="s">
        <v>26</v>
      </c>
      <c r="L8" s="19" t="s">
        <v>44</v>
      </c>
      <c r="M8" s="27" t="s">
        <v>45</v>
      </c>
    </row>
    <row r="9" spans="1:13" x14ac:dyDescent="0.35">
      <c r="A9" s="17">
        <v>1800001791</v>
      </c>
      <c r="B9" s="17" t="s">
        <v>22</v>
      </c>
      <c r="C9" s="20">
        <v>45730</v>
      </c>
      <c r="D9" s="20">
        <v>45733</v>
      </c>
      <c r="E9" s="17" t="s">
        <v>12</v>
      </c>
      <c r="F9" s="21">
        <v>246779411456</v>
      </c>
      <c r="G9" s="17" t="s">
        <v>13</v>
      </c>
      <c r="H9" s="18">
        <v>4.7699999999999996</v>
      </c>
      <c r="I9" s="17" t="s">
        <v>14</v>
      </c>
      <c r="J9" s="25">
        <v>413.52</v>
      </c>
      <c r="K9" s="17" t="s">
        <v>26</v>
      </c>
      <c r="L9" s="19" t="s">
        <v>44</v>
      </c>
      <c r="M9" s="27" t="s">
        <v>45</v>
      </c>
    </row>
    <row r="10" spans="1:13" x14ac:dyDescent="0.35">
      <c r="A10" s="3">
        <v>1800012462</v>
      </c>
      <c r="B10" s="3" t="s">
        <v>22</v>
      </c>
      <c r="C10" s="4">
        <v>45904</v>
      </c>
      <c r="D10" s="4">
        <v>45909</v>
      </c>
      <c r="E10" s="3" t="s">
        <v>12</v>
      </c>
      <c r="F10" s="5">
        <v>256779417162</v>
      </c>
      <c r="G10" s="3" t="s">
        <v>13</v>
      </c>
      <c r="H10" s="6">
        <v>44.74</v>
      </c>
      <c r="I10" s="3" t="s">
        <v>14</v>
      </c>
      <c r="J10" s="24">
        <v>3915.39</v>
      </c>
      <c r="K10" s="3" t="s">
        <v>27</v>
      </c>
      <c r="L10" s="11" t="s">
        <v>41</v>
      </c>
      <c r="M10" s="27" t="s">
        <v>46</v>
      </c>
    </row>
    <row r="11" spans="1:13" x14ac:dyDescent="0.35">
      <c r="A11" s="3">
        <v>1800014290</v>
      </c>
      <c r="B11" s="3" t="s">
        <v>22</v>
      </c>
      <c r="C11" s="4">
        <v>45966</v>
      </c>
      <c r="D11" s="4">
        <v>45967</v>
      </c>
      <c r="E11" s="3" t="s">
        <v>12</v>
      </c>
      <c r="F11" s="5">
        <v>256779418827</v>
      </c>
      <c r="G11" s="3" t="s">
        <v>13</v>
      </c>
      <c r="H11" s="6">
        <v>60.86</v>
      </c>
      <c r="I11" s="3" t="s">
        <v>14</v>
      </c>
      <c r="J11" s="24">
        <v>5355.89</v>
      </c>
      <c r="K11" s="3" t="s">
        <v>28</v>
      </c>
      <c r="L11" s="11" t="s">
        <v>38</v>
      </c>
      <c r="M11" s="27" t="s">
        <v>46</v>
      </c>
    </row>
    <row r="12" spans="1:13" x14ac:dyDescent="0.35">
      <c r="A12" s="3">
        <v>1800014270</v>
      </c>
      <c r="B12" s="3" t="s">
        <v>22</v>
      </c>
      <c r="C12" s="4">
        <v>45966</v>
      </c>
      <c r="D12" s="4">
        <v>45967</v>
      </c>
      <c r="E12" s="3" t="s">
        <v>12</v>
      </c>
      <c r="F12" s="5">
        <v>256779418945</v>
      </c>
      <c r="G12" s="3" t="s">
        <v>13</v>
      </c>
      <c r="H12" s="6">
        <v>293.04000000000002</v>
      </c>
      <c r="I12" s="3" t="s">
        <v>14</v>
      </c>
      <c r="J12" s="24">
        <v>25788.51</v>
      </c>
      <c r="K12" s="3" t="s">
        <v>29</v>
      </c>
      <c r="L12" s="11" t="s">
        <v>36</v>
      </c>
      <c r="M12" s="27" t="s">
        <v>46</v>
      </c>
    </row>
    <row r="13" spans="1:13" ht="29" x14ac:dyDescent="0.35">
      <c r="A13" s="3">
        <v>1800004532</v>
      </c>
      <c r="B13" s="3" t="s">
        <v>22</v>
      </c>
      <c r="C13" s="4">
        <v>45736</v>
      </c>
      <c r="D13" s="4">
        <v>45737</v>
      </c>
      <c r="E13" s="3" t="s">
        <v>12</v>
      </c>
      <c r="F13" s="5">
        <v>246779414400</v>
      </c>
      <c r="G13" s="3" t="s">
        <v>13</v>
      </c>
      <c r="H13" s="6">
        <v>80.95</v>
      </c>
      <c r="I13" s="3" t="s">
        <v>14</v>
      </c>
      <c r="J13" s="24">
        <v>7017.66</v>
      </c>
      <c r="K13" s="3" t="s">
        <v>30</v>
      </c>
      <c r="L13" s="11" t="s">
        <v>43</v>
      </c>
      <c r="M13" s="27" t="s">
        <v>46</v>
      </c>
    </row>
    <row r="14" spans="1:13" x14ac:dyDescent="0.35">
      <c r="A14" s="3">
        <v>1800004533</v>
      </c>
      <c r="B14" s="3" t="s">
        <v>22</v>
      </c>
      <c r="C14" s="4">
        <v>45736</v>
      </c>
      <c r="D14" s="4">
        <v>45737</v>
      </c>
      <c r="E14" s="3" t="s">
        <v>12</v>
      </c>
      <c r="F14" s="5">
        <v>246779414401</v>
      </c>
      <c r="G14" s="3" t="s">
        <v>13</v>
      </c>
      <c r="H14" s="6">
        <v>15</v>
      </c>
      <c r="I14" s="3" t="s">
        <v>14</v>
      </c>
      <c r="J14" s="24">
        <v>1300.3699999999999</v>
      </c>
      <c r="K14" s="3" t="s">
        <v>31</v>
      </c>
      <c r="L14" s="11"/>
      <c r="M14" s="27"/>
    </row>
    <row r="15" spans="1:13" ht="45.5" x14ac:dyDescent="0.35">
      <c r="A15" s="3">
        <v>1800013760</v>
      </c>
      <c r="B15" s="3" t="s">
        <v>22</v>
      </c>
      <c r="C15" s="4">
        <v>45937</v>
      </c>
      <c r="D15" s="4">
        <v>45939</v>
      </c>
      <c r="E15" s="3" t="s">
        <v>12</v>
      </c>
      <c r="F15" s="5">
        <v>256779418181</v>
      </c>
      <c r="G15" s="3" t="s">
        <v>13</v>
      </c>
      <c r="H15" s="6">
        <v>49.33</v>
      </c>
      <c r="I15" s="3" t="s">
        <v>14</v>
      </c>
      <c r="J15" s="24">
        <v>4350.45</v>
      </c>
      <c r="K15" s="3" t="s">
        <v>32</v>
      </c>
      <c r="L15" s="11" t="s">
        <v>42</v>
      </c>
      <c r="M15" s="27" t="s">
        <v>46</v>
      </c>
    </row>
    <row r="16" spans="1:13" x14ac:dyDescent="0.35">
      <c r="A16" s="3">
        <v>1800009470</v>
      </c>
      <c r="B16" s="3" t="s">
        <v>22</v>
      </c>
      <c r="C16" s="4">
        <v>45815</v>
      </c>
      <c r="D16" s="4">
        <v>45817</v>
      </c>
      <c r="E16" s="3" t="s">
        <v>12</v>
      </c>
      <c r="F16" s="5">
        <v>256779414234</v>
      </c>
      <c r="G16" s="3" t="s">
        <v>13</v>
      </c>
      <c r="H16" s="6">
        <v>925.23</v>
      </c>
      <c r="I16" s="3" t="s">
        <v>14</v>
      </c>
      <c r="J16" s="24">
        <v>79098.63</v>
      </c>
      <c r="K16" s="3" t="s">
        <v>33</v>
      </c>
      <c r="L16" s="11" t="s">
        <v>40</v>
      </c>
      <c r="M16" s="27" t="s">
        <v>45</v>
      </c>
    </row>
    <row r="17" spans="1:18" x14ac:dyDescent="0.35">
      <c r="A17" s="3">
        <v>1800013511</v>
      </c>
      <c r="B17" s="3" t="s">
        <v>22</v>
      </c>
      <c r="C17" s="4">
        <v>45935</v>
      </c>
      <c r="D17" s="4">
        <v>45940</v>
      </c>
      <c r="E17" s="3" t="s">
        <v>12</v>
      </c>
      <c r="F17" s="5">
        <v>256779418401</v>
      </c>
      <c r="G17" s="3" t="s">
        <v>13</v>
      </c>
      <c r="H17" s="6">
        <v>62.52</v>
      </c>
      <c r="I17" s="3" t="s">
        <v>14</v>
      </c>
      <c r="J17" s="24">
        <v>5513.69</v>
      </c>
      <c r="K17" s="3" t="s">
        <v>34</v>
      </c>
      <c r="L17" s="11" t="s">
        <v>38</v>
      </c>
      <c r="M17" s="27" t="s">
        <v>46</v>
      </c>
    </row>
    <row r="18" spans="1:18" x14ac:dyDescent="0.35">
      <c r="H18" s="7"/>
      <c r="L18" s="16"/>
    </row>
    <row r="19" spans="1:18" x14ac:dyDescent="0.35">
      <c r="H19" s="8"/>
      <c r="K19" s="9"/>
      <c r="L19" s="12"/>
      <c r="M19" s="9"/>
      <c r="N19" s="9"/>
      <c r="O19" s="9"/>
      <c r="P19" s="9"/>
      <c r="Q19" s="9"/>
      <c r="R19" s="9"/>
    </row>
    <row r="20" spans="1:18" x14ac:dyDescent="0.35">
      <c r="H20" s="7"/>
      <c r="K20" s="9"/>
      <c r="L20" s="13"/>
      <c r="M20" s="9"/>
      <c r="N20" s="9"/>
      <c r="O20" s="9"/>
      <c r="P20" s="9"/>
      <c r="Q20" s="9"/>
      <c r="R20" s="9"/>
    </row>
    <row r="21" spans="1:18" ht="14" customHeight="1" x14ac:dyDescent="0.35">
      <c r="K21" s="9"/>
      <c r="L21" s="14"/>
      <c r="M21" s="9"/>
      <c r="N21" s="9"/>
      <c r="O21" s="9"/>
      <c r="P21" s="9"/>
      <c r="Q21" s="9"/>
      <c r="R21" s="9"/>
    </row>
    <row r="22" spans="1:18" x14ac:dyDescent="0.35">
      <c r="K22" s="9"/>
      <c r="L22" s="22"/>
      <c r="M22" s="9"/>
      <c r="N22" s="9"/>
      <c r="O22" s="9"/>
      <c r="P22" s="9"/>
      <c r="Q22" s="9"/>
      <c r="R22" s="9"/>
    </row>
    <row r="23" spans="1:18" x14ac:dyDescent="0.35">
      <c r="K23" s="9"/>
      <c r="L23" s="28"/>
      <c r="M23" s="9"/>
      <c r="N23" s="9"/>
      <c r="O23" s="9"/>
      <c r="P23" s="9"/>
      <c r="Q23" s="9"/>
      <c r="R23" s="9"/>
    </row>
    <row r="24" spans="1:18" x14ac:dyDescent="0.35">
      <c r="K24" s="9"/>
      <c r="L24" s="28"/>
      <c r="M24" s="9"/>
      <c r="N24" s="9"/>
      <c r="O24" s="9"/>
      <c r="P24" s="9"/>
      <c r="Q24" s="9"/>
      <c r="R24" s="9"/>
    </row>
    <row r="25" spans="1:18" x14ac:dyDescent="0.35">
      <c r="K25" s="9"/>
      <c r="L25" s="28"/>
      <c r="M25" s="9"/>
      <c r="N25" s="9"/>
      <c r="O25" s="9"/>
      <c r="P25" s="9"/>
      <c r="Q25" s="9"/>
      <c r="R25" s="9"/>
    </row>
    <row r="26" spans="1:18" x14ac:dyDescent="0.35">
      <c r="K26" s="9"/>
      <c r="L26" s="28"/>
      <c r="M26" s="9"/>
      <c r="N26" s="9"/>
      <c r="O26" s="9"/>
      <c r="P26" s="9"/>
      <c r="Q26" s="9"/>
      <c r="R26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478A-4129-4CB9-BC38-F67A2C8471B6}">
  <dimension ref="A1:C5"/>
  <sheetViews>
    <sheetView workbookViewId="0">
      <selection sqref="A1:C5"/>
    </sheetView>
  </sheetViews>
  <sheetFormatPr defaultRowHeight="14.5" x14ac:dyDescent="0.35"/>
  <cols>
    <col min="1" max="1" width="12.90625" bestFit="1" customWidth="1"/>
    <col min="2" max="2" width="10.08984375" bestFit="1" customWidth="1"/>
    <col min="3" max="3" width="7.26953125" bestFit="1" customWidth="1"/>
  </cols>
  <sheetData>
    <row r="1" spans="1:3" x14ac:dyDescent="0.35">
      <c r="A1" s="29" t="s">
        <v>48</v>
      </c>
      <c r="B1" s="29"/>
      <c r="C1" s="29"/>
    </row>
    <row r="2" spans="1:3" ht="29" x14ac:dyDescent="0.35">
      <c r="A2" s="30" t="s">
        <v>49</v>
      </c>
      <c r="B2" s="31" t="s">
        <v>50</v>
      </c>
      <c r="C2" s="30" t="s">
        <v>51</v>
      </c>
    </row>
    <row r="3" spans="1:3" x14ac:dyDescent="0.35">
      <c r="A3" s="32">
        <v>246799412242</v>
      </c>
      <c r="B3" s="33">
        <v>45730</v>
      </c>
      <c r="C3" s="34">
        <v>4.67</v>
      </c>
    </row>
    <row r="4" spans="1:3" x14ac:dyDescent="0.35">
      <c r="A4" s="35">
        <v>246779418945</v>
      </c>
      <c r="B4" s="36">
        <v>45966</v>
      </c>
      <c r="C4" s="34">
        <v>287.18</v>
      </c>
    </row>
    <row r="5" spans="1:3" x14ac:dyDescent="0.35">
      <c r="C5" s="37">
        <f>SUM(C3:C4)</f>
        <v>291.85000000000002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673B-9D59-421A-93C6-C87DF769AB04}">
  <dimension ref="A1:H8"/>
  <sheetViews>
    <sheetView zoomScaleNormal="100" workbookViewId="0">
      <selection activeCell="G5" sqref="G5"/>
    </sheetView>
  </sheetViews>
  <sheetFormatPr defaultRowHeight="14.5" x14ac:dyDescent="0.35"/>
  <cols>
    <col min="1" max="1" width="10.08984375" bestFit="1" customWidth="1"/>
    <col min="2" max="2" width="16.7265625" bestFit="1" customWidth="1"/>
    <col min="3" max="3" width="9.7265625" bestFit="1" customWidth="1"/>
    <col min="4" max="4" width="12.7265625" bestFit="1" customWidth="1"/>
    <col min="5" max="5" width="10.08984375" bestFit="1" customWidth="1"/>
    <col min="6" max="6" width="7.6328125" bestFit="1" customWidth="1"/>
    <col min="7" max="7" width="9.453125" bestFit="1" customWidth="1"/>
    <col min="8" max="8" width="9.36328125" bestFit="1" customWidth="1"/>
  </cols>
  <sheetData>
    <row r="1" spans="1:8" ht="15" thickBot="1" x14ac:dyDescent="0.4"/>
    <row r="2" spans="1:8" ht="15" thickBot="1" x14ac:dyDescent="0.4">
      <c r="A2" s="38" t="s">
        <v>52</v>
      </c>
      <c r="B2" s="39"/>
      <c r="C2" s="40"/>
      <c r="D2" s="41" t="s">
        <v>53</v>
      </c>
      <c r="E2" s="42"/>
      <c r="F2" s="42"/>
      <c r="G2" s="43"/>
      <c r="H2" s="44"/>
    </row>
    <row r="3" spans="1:8" ht="29.5" thickBot="1" x14ac:dyDescent="0.4">
      <c r="A3" s="45" t="s">
        <v>54</v>
      </c>
      <c r="B3" s="46" t="s">
        <v>55</v>
      </c>
      <c r="C3" s="47" t="s">
        <v>56</v>
      </c>
      <c r="D3" s="45" t="s">
        <v>55</v>
      </c>
      <c r="E3" s="48" t="s">
        <v>57</v>
      </c>
      <c r="F3" s="48"/>
      <c r="G3" s="49" t="s">
        <v>56</v>
      </c>
      <c r="H3" s="50" t="s">
        <v>58</v>
      </c>
    </row>
    <row r="4" spans="1:8" x14ac:dyDescent="0.35">
      <c r="A4" s="51">
        <v>45800</v>
      </c>
      <c r="B4" s="52" t="s">
        <v>59</v>
      </c>
      <c r="C4" s="53">
        <v>7435.89</v>
      </c>
      <c r="D4" s="54" t="s">
        <v>60</v>
      </c>
      <c r="E4" s="55">
        <v>45891</v>
      </c>
      <c r="F4" s="56" t="s">
        <v>13</v>
      </c>
      <c r="G4" s="57">
        <v>-4582.99</v>
      </c>
      <c r="H4" s="58">
        <f>SUM(C4+G4)</f>
        <v>2852.9000000000005</v>
      </c>
    </row>
    <row r="5" spans="1:8" x14ac:dyDescent="0.35">
      <c r="A5" s="59">
        <v>45856</v>
      </c>
      <c r="B5" s="60" t="s">
        <v>59</v>
      </c>
      <c r="C5" s="61">
        <v>4602.99</v>
      </c>
      <c r="D5" s="62" t="s">
        <v>60</v>
      </c>
      <c r="E5" s="4">
        <v>45862</v>
      </c>
      <c r="F5" s="3" t="s">
        <v>13</v>
      </c>
      <c r="G5" s="63">
        <v>-8262.11</v>
      </c>
      <c r="H5" s="64">
        <f>SUM(C5+G5)</f>
        <v>-3659.1200000000008</v>
      </c>
    </row>
    <row r="6" spans="1:8" x14ac:dyDescent="0.35">
      <c r="A6" s="59">
        <v>45945</v>
      </c>
      <c r="B6" s="60" t="s">
        <v>59</v>
      </c>
      <c r="C6" s="61">
        <v>4875.1499999999996</v>
      </c>
      <c r="D6" s="62" t="s">
        <v>60</v>
      </c>
      <c r="E6" s="4">
        <v>45955</v>
      </c>
      <c r="F6" s="3" t="s">
        <v>13</v>
      </c>
      <c r="G6" s="63">
        <v>-4875.1499999999996</v>
      </c>
      <c r="H6" s="64">
        <f>SUM(C6+G6)</f>
        <v>0</v>
      </c>
    </row>
    <row r="7" spans="1:8" ht="15" thickBot="1" x14ac:dyDescent="0.4">
      <c r="A7" s="65"/>
      <c r="B7" s="66" t="s">
        <v>59</v>
      </c>
      <c r="C7" s="67">
        <v>10721.42</v>
      </c>
      <c r="D7" s="68" t="s">
        <v>60</v>
      </c>
      <c r="E7" s="69">
        <v>46050</v>
      </c>
      <c r="F7" s="70" t="s">
        <v>13</v>
      </c>
      <c r="G7" s="71">
        <v>-10691.42</v>
      </c>
      <c r="H7" s="72">
        <f>SUM(C7+G7)</f>
        <v>30</v>
      </c>
    </row>
    <row r="8" spans="1:8" x14ac:dyDescent="0.35">
      <c r="C8" s="37">
        <f>SUM(C4:C7)</f>
        <v>27635.449999999997</v>
      </c>
      <c r="G8" s="7">
        <f>SUM(G4:G7)</f>
        <v>-28411.67</v>
      </c>
      <c r="H8" s="73">
        <f>SUM(H4:H7)</f>
        <v>-776.22000000000025</v>
      </c>
    </row>
  </sheetData>
  <mergeCells count="2">
    <mergeCell ref="A2:C2"/>
    <mergeCell ref="D2:G2"/>
  </mergeCells>
  <pageMargins left="0.7" right="0.7" top="0.75" bottom="0.75" header="0.3" footer="0.3"/>
  <pageSetup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2DA1-12C3-4B25-89C0-5C452CFDC1AD}">
  <dimension ref="A1:K8"/>
  <sheetViews>
    <sheetView topLeftCell="D1" workbookViewId="0">
      <selection activeCell="K2" sqref="K2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81640625" bestFit="1" customWidth="1"/>
    <col min="4" max="4" width="10.1796875" bestFit="1" customWidth="1"/>
    <col min="5" max="5" width="20.1796875" bestFit="1" customWidth="1"/>
    <col min="6" max="6" width="12.81640625" bestFit="1" customWidth="1"/>
    <col min="7" max="8" width="8.26953125" bestFit="1" customWidth="1"/>
    <col min="11" max="11" width="41.26953125" bestFit="1" customWidth="1"/>
  </cols>
  <sheetData>
    <row r="1" spans="1:11" ht="58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x14ac:dyDescent="0.35">
      <c r="A2" s="3">
        <v>1600000602</v>
      </c>
      <c r="B2" s="3" t="s">
        <v>11</v>
      </c>
      <c r="C2" s="4">
        <v>45791</v>
      </c>
      <c r="D2" s="4">
        <v>45793</v>
      </c>
      <c r="E2" s="3" t="s">
        <v>12</v>
      </c>
      <c r="F2" s="5">
        <v>256779420311</v>
      </c>
      <c r="G2" s="3" t="s">
        <v>13</v>
      </c>
      <c r="H2" s="6">
        <v>-1.91</v>
      </c>
      <c r="I2" s="3" t="s">
        <v>14</v>
      </c>
      <c r="J2" s="6">
        <v>-165.58</v>
      </c>
      <c r="K2" s="3" t="s">
        <v>15</v>
      </c>
    </row>
    <row r="3" spans="1:11" x14ac:dyDescent="0.35">
      <c r="A3" s="3">
        <v>1600000598</v>
      </c>
      <c r="B3" s="3" t="s">
        <v>11</v>
      </c>
      <c r="C3" s="4">
        <v>45791</v>
      </c>
      <c r="D3" s="4">
        <v>45793</v>
      </c>
      <c r="E3" s="3" t="s">
        <v>12</v>
      </c>
      <c r="F3" s="5">
        <v>256779420307</v>
      </c>
      <c r="G3" s="3" t="s">
        <v>13</v>
      </c>
      <c r="H3" s="6">
        <v>-2.86</v>
      </c>
      <c r="I3" s="3" t="s">
        <v>14</v>
      </c>
      <c r="J3" s="6">
        <v>-247.94</v>
      </c>
      <c r="K3" s="3" t="s">
        <v>16</v>
      </c>
    </row>
    <row r="4" spans="1:11" x14ac:dyDescent="0.35">
      <c r="A4" s="3">
        <v>1600000601</v>
      </c>
      <c r="B4" s="3" t="s">
        <v>11</v>
      </c>
      <c r="C4" s="4">
        <v>45791</v>
      </c>
      <c r="D4" s="4">
        <v>45793</v>
      </c>
      <c r="E4" s="3" t="s">
        <v>12</v>
      </c>
      <c r="F4" s="5">
        <v>256779420310</v>
      </c>
      <c r="G4" s="3" t="s">
        <v>13</v>
      </c>
      <c r="H4" s="6">
        <v>-1.91</v>
      </c>
      <c r="I4" s="3" t="s">
        <v>14</v>
      </c>
      <c r="J4" s="6">
        <v>-165.58</v>
      </c>
      <c r="K4" s="3" t="s">
        <v>17</v>
      </c>
    </row>
    <row r="5" spans="1:11" x14ac:dyDescent="0.35">
      <c r="A5" s="3">
        <v>1600000603</v>
      </c>
      <c r="B5" s="3" t="s">
        <v>11</v>
      </c>
      <c r="C5" s="4">
        <v>45791</v>
      </c>
      <c r="D5" s="4">
        <v>45793</v>
      </c>
      <c r="E5" s="3" t="s">
        <v>12</v>
      </c>
      <c r="F5" s="5">
        <v>256779420312</v>
      </c>
      <c r="G5" s="3" t="s">
        <v>13</v>
      </c>
      <c r="H5" s="6">
        <v>-4.7699999999999996</v>
      </c>
      <c r="I5" s="3" t="s">
        <v>14</v>
      </c>
      <c r="J5" s="6">
        <v>-413.52</v>
      </c>
      <c r="K5" s="3" t="s">
        <v>18</v>
      </c>
    </row>
    <row r="6" spans="1:11" x14ac:dyDescent="0.35">
      <c r="A6" s="3">
        <v>1600002686</v>
      </c>
      <c r="B6" s="3" t="s">
        <v>11</v>
      </c>
      <c r="C6" s="4">
        <v>46027</v>
      </c>
      <c r="D6" s="4">
        <v>46027</v>
      </c>
      <c r="E6" s="3" t="s">
        <v>12</v>
      </c>
      <c r="F6" s="5">
        <v>256779422156</v>
      </c>
      <c r="G6" s="3" t="s">
        <v>13</v>
      </c>
      <c r="H6" s="6">
        <v>-59.62</v>
      </c>
      <c r="I6" s="3" t="s">
        <v>14</v>
      </c>
      <c r="J6" s="6">
        <v>-5410.11</v>
      </c>
      <c r="K6" s="3" t="s">
        <v>19</v>
      </c>
    </row>
    <row r="7" spans="1:11" x14ac:dyDescent="0.35">
      <c r="A7" s="3">
        <v>1600002687</v>
      </c>
      <c r="B7" s="3" t="s">
        <v>11</v>
      </c>
      <c r="C7" s="4">
        <v>46027</v>
      </c>
      <c r="D7" s="4">
        <v>46027</v>
      </c>
      <c r="E7" s="3" t="s">
        <v>12</v>
      </c>
      <c r="F7" s="5">
        <v>256779422157</v>
      </c>
      <c r="G7" s="3" t="s">
        <v>13</v>
      </c>
      <c r="H7" s="6">
        <v>-49.33</v>
      </c>
      <c r="I7" s="3" t="s">
        <v>14</v>
      </c>
      <c r="J7" s="6">
        <v>-4476.3599999999997</v>
      </c>
      <c r="K7" s="3" t="s">
        <v>19</v>
      </c>
    </row>
    <row r="8" spans="1:11" x14ac:dyDescent="0.35">
      <c r="A8" s="3">
        <v>1600002740</v>
      </c>
      <c r="B8" s="3" t="s">
        <v>11</v>
      </c>
      <c r="C8" s="4">
        <v>46035</v>
      </c>
      <c r="D8" s="4">
        <v>46035</v>
      </c>
      <c r="E8" s="3" t="s">
        <v>20</v>
      </c>
      <c r="F8" s="5">
        <v>256779422210</v>
      </c>
      <c r="G8" s="3" t="s">
        <v>13</v>
      </c>
      <c r="H8" s="6">
        <v>-22.64</v>
      </c>
      <c r="I8" s="3" t="s">
        <v>14</v>
      </c>
      <c r="J8" s="6">
        <v>-2054.42</v>
      </c>
      <c r="K8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Invoice Not in Customer Book</vt:lpstr>
      <vt:lpstr>Invoices Not in Ascendus books</vt:lpstr>
      <vt:lpstr>Payment Reco</vt:lpstr>
      <vt:lpstr> CN Not in Customer Books</vt:lpstr>
      <vt:lpstr>'Payment Reco'!Print_Area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2026-02-17T12:33:09Z</dcterms:created>
  <dcterms:modified xsi:type="dcterms:W3CDTF">2026-03-04T09:05:22Z</dcterms:modified>
</cp:coreProperties>
</file>