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5. SIDDHARTHA LOGISTICS FTWZ PRIVATE\"/>
    </mc:Choice>
  </mc:AlternateContent>
  <xr:revisionPtr revIDLastSave="0" documentId="13_ncr:1_{FEE41A29-AA70-46D8-98B6-6292CE55E113}" xr6:coauthVersionLast="47" xr6:coauthVersionMax="47" xr10:uidLastSave="{00000000-0000-0000-0000-000000000000}"/>
  <bookViews>
    <workbookView xWindow="-110" yWindow="-110" windowWidth="21820" windowHeight="14020" tabRatio="974" xr2:uid="{BA27A5B5-19D6-4577-BF7B-1C2F31C056BD}"/>
  </bookViews>
  <sheets>
    <sheet name="Invoice Not in Customer Boo (2)" sheetId="9" r:id="rId1"/>
    <sheet name="Summary" sheetId="1" r:id="rId2"/>
    <sheet name="Payment Reco" sheetId="6" r:id="rId3"/>
    <sheet name="CN Not in Customer Books" sheetId="5" r:id="rId4"/>
    <sheet name="Invoice Not in Customer Book" sheetId="4" r:id="rId5"/>
    <sheet name="TDS To Be Booked" sheetId="7" r:id="rId6"/>
    <sheet name="Ascendus data working" sheetId="8" r:id="rId7"/>
    <sheet name="Ascendus Data" sheetId="3" r:id="rId8"/>
    <sheet name="Customer Data" sheetId="2" r:id="rId9"/>
  </sheets>
  <definedNames>
    <definedName name="_xlnm._FilterDatabase" localSheetId="7" hidden="1">'Ascendus Data'!$A$2:$AH$206</definedName>
    <definedName name="_xlnm._FilterDatabase" localSheetId="3" hidden="1">'CN Not in Customer Books'!$A$1:$T$4</definedName>
    <definedName name="_xlnm._FilterDatabase" localSheetId="8" hidden="1">'Customer Data'!$A$1:$K$149</definedName>
    <definedName name="_xlnm._FilterDatabase" localSheetId="0" hidden="1">'Invoice Not in Customer Boo (2)'!$A$1:$P$12</definedName>
    <definedName name="_xlnm._FilterDatabase" localSheetId="4" hidden="1">'Invoice Not in Customer Book'!$A$1:$O$14</definedName>
    <definedName name="_xlnm._FilterDatabase" localSheetId="5" hidden="1">'TDS To Be Booked'!$A$2:$N$137</definedName>
    <definedName name="_xlnm.Print_Area" localSheetId="8">'Customer Data'!$A$1:$G$151</definedName>
    <definedName name="_xlnm.Print_Area" localSheetId="2">'Payment Reco'!$A$1:$H$8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2" i="8" l="1"/>
  <c r="B5" i="1"/>
  <c r="H13" i="9"/>
  <c r="J13" i="9"/>
  <c r="K145" i="7" l="1"/>
  <c r="K144" i="7"/>
  <c r="K143" i="7"/>
  <c r="K142" i="7"/>
  <c r="K141" i="7"/>
  <c r="K140" i="7"/>
  <c r="K139" i="7"/>
  <c r="K138" i="7"/>
  <c r="K137" i="7"/>
  <c r="K136" i="7"/>
  <c r="K135" i="7"/>
  <c r="J137" i="7"/>
  <c r="L137" i="7" s="1"/>
  <c r="M137" i="7" s="1"/>
  <c r="H4" i="6"/>
  <c r="G8" i="6" l="1"/>
  <c r="H8" i="6"/>
  <c r="H7" i="6"/>
  <c r="H6" i="6"/>
  <c r="H5" i="6"/>
  <c r="L135" i="7"/>
  <c r="M135" i="7" s="1"/>
  <c r="K127" i="7"/>
  <c r="L127" i="7" s="1"/>
  <c r="M127" i="7" s="1"/>
  <c r="K109" i="7"/>
  <c r="L109" i="7" s="1"/>
  <c r="M109" i="7" s="1"/>
  <c r="K102" i="7"/>
  <c r="L102" i="7" s="1"/>
  <c r="M102" i="7" s="1"/>
  <c r="K91" i="7"/>
  <c r="L91" i="7" s="1"/>
  <c r="M91" i="7" s="1"/>
  <c r="K85" i="7"/>
  <c r="L85" i="7" s="1"/>
  <c r="M85" i="7" s="1"/>
  <c r="K84" i="7"/>
  <c r="L84" i="7" s="1"/>
  <c r="M84" i="7" s="1"/>
  <c r="K74" i="7"/>
  <c r="L74" i="7" s="1"/>
  <c r="M74" i="7" s="1"/>
  <c r="P3" i="5"/>
  <c r="Q3" i="5" s="1"/>
  <c r="P2" i="5"/>
  <c r="Q2" i="5" s="1"/>
  <c r="N11" i="4"/>
  <c r="N10" i="4"/>
  <c r="N9" i="4"/>
  <c r="N8" i="4"/>
  <c r="N7" i="4"/>
  <c r="N6" i="4"/>
  <c r="N5" i="4"/>
  <c r="N4" i="4"/>
  <c r="N3" i="4"/>
  <c r="N2" i="4"/>
  <c r="K117" i="7"/>
  <c r="L117" i="7" s="1"/>
  <c r="M117" i="7" s="1"/>
  <c r="K3" i="7"/>
  <c r="O1" i="3"/>
  <c r="Q1" i="3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F131" i="2"/>
  <c r="G131" i="2" s="1"/>
  <c r="F130" i="2"/>
  <c r="G130" i="2" s="1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L28" i="7"/>
  <c r="M28" i="7" s="1"/>
  <c r="B8" i="1"/>
  <c r="K28" i="7"/>
  <c r="K17" i="7"/>
  <c r="K18" i="7"/>
  <c r="K47" i="7"/>
  <c r="K48" i="7"/>
  <c r="K19" i="7"/>
  <c r="K20" i="7"/>
  <c r="K21" i="7"/>
  <c r="K22" i="7"/>
  <c r="K23" i="7"/>
  <c r="K24" i="7"/>
  <c r="K25" i="7"/>
  <c r="K26" i="7"/>
  <c r="K27" i="7"/>
  <c r="K10" i="7"/>
  <c r="K11" i="7"/>
  <c r="K12" i="7"/>
  <c r="K13" i="7"/>
  <c r="K14" i="7"/>
  <c r="K15" i="7"/>
  <c r="K16" i="7"/>
  <c r="K34" i="7"/>
  <c r="K35" i="7"/>
  <c r="K124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29" i="7"/>
  <c r="K30" i="7"/>
  <c r="K31" i="7"/>
  <c r="K32" i="7"/>
  <c r="K33" i="7"/>
  <c r="K103" i="7"/>
  <c r="K104" i="7"/>
  <c r="K105" i="7"/>
  <c r="K106" i="7"/>
  <c r="K86" i="7"/>
  <c r="K87" i="7"/>
  <c r="K118" i="7"/>
  <c r="K119" i="7"/>
  <c r="K120" i="7"/>
  <c r="K121" i="7"/>
  <c r="K122" i="7"/>
  <c r="K123" i="7"/>
  <c r="K116" i="7"/>
  <c r="K92" i="7"/>
  <c r="K93" i="7"/>
  <c r="K94" i="7"/>
  <c r="K95" i="7"/>
  <c r="K96" i="7"/>
  <c r="K97" i="7"/>
  <c r="K79" i="7"/>
  <c r="K80" i="7"/>
  <c r="K81" i="7"/>
  <c r="K82" i="7"/>
  <c r="K83" i="7"/>
  <c r="K75" i="7"/>
  <c r="K76" i="7"/>
  <c r="K78" i="7"/>
  <c r="K88" i="7"/>
  <c r="K89" i="7"/>
  <c r="K37" i="7"/>
  <c r="K38" i="7"/>
  <c r="K39" i="7"/>
  <c r="K40" i="7"/>
  <c r="K41" i="7"/>
  <c r="K42" i="7"/>
  <c r="K43" i="7"/>
  <c r="K44" i="7"/>
  <c r="K113" i="7"/>
  <c r="K4" i="7"/>
  <c r="K5" i="7"/>
  <c r="K6" i="7"/>
  <c r="K7" i="7"/>
  <c r="K8" i="7"/>
  <c r="K9" i="7"/>
  <c r="K98" i="7"/>
  <c r="K99" i="7"/>
  <c r="K100" i="7"/>
  <c r="K101" i="7"/>
  <c r="K128" i="7"/>
  <c r="K77" i="7"/>
  <c r="K45" i="7"/>
  <c r="K46" i="7"/>
  <c r="K114" i="7"/>
  <c r="K70" i="7"/>
  <c r="K115" i="7"/>
  <c r="K36" i="7"/>
  <c r="K125" i="7"/>
  <c r="K126" i="7"/>
  <c r="K71" i="7"/>
  <c r="K72" i="7"/>
  <c r="K108" i="7"/>
  <c r="K73" i="7"/>
  <c r="K111" i="7"/>
  <c r="K112" i="7"/>
  <c r="K90" i="7"/>
  <c r="K110" i="7"/>
  <c r="K107" i="7"/>
  <c r="K129" i="7"/>
  <c r="K130" i="7"/>
  <c r="K131" i="7"/>
  <c r="K132" i="7"/>
  <c r="K133" i="7"/>
  <c r="K134" i="7"/>
  <c r="L136" i="7" l="1"/>
  <c r="M136" i="7" s="1"/>
  <c r="L134" i="7"/>
  <c r="M134" i="7" s="1"/>
  <c r="L133" i="7"/>
  <c r="M133" i="7" s="1"/>
  <c r="L132" i="7"/>
  <c r="M132" i="7" s="1"/>
  <c r="L131" i="7"/>
  <c r="M131" i="7" s="1"/>
  <c r="L130" i="7"/>
  <c r="M130" i="7" s="1"/>
  <c r="L129" i="7"/>
  <c r="M129" i="7" s="1"/>
  <c r="L107" i="7"/>
  <c r="M107" i="7" s="1"/>
  <c r="L110" i="7"/>
  <c r="M110" i="7" s="1"/>
  <c r="L90" i="7"/>
  <c r="M90" i="7" s="1"/>
  <c r="L112" i="7"/>
  <c r="M112" i="7" s="1"/>
  <c r="L111" i="7"/>
  <c r="M111" i="7" s="1"/>
  <c r="L73" i="7"/>
  <c r="M73" i="7" s="1"/>
  <c r="L108" i="7"/>
  <c r="M108" i="7" s="1"/>
  <c r="L72" i="7"/>
  <c r="M72" i="7" s="1"/>
  <c r="L71" i="7"/>
  <c r="M71" i="7" s="1"/>
  <c r="L126" i="7"/>
  <c r="M126" i="7" s="1"/>
  <c r="L125" i="7"/>
  <c r="M125" i="7" s="1"/>
  <c r="L36" i="7"/>
  <c r="M36" i="7" s="1"/>
  <c r="L115" i="7"/>
  <c r="M115" i="7" s="1"/>
  <c r="L70" i="7"/>
  <c r="M70" i="7" s="1"/>
  <c r="L114" i="7"/>
  <c r="M114" i="7" s="1"/>
  <c r="L46" i="7"/>
  <c r="M46" i="7" s="1"/>
  <c r="L45" i="7"/>
  <c r="M45" i="7" s="1"/>
  <c r="L77" i="7"/>
  <c r="M77" i="7" s="1"/>
  <c r="L128" i="7"/>
  <c r="M128" i="7" s="1"/>
  <c r="L101" i="7"/>
  <c r="M101" i="7" s="1"/>
  <c r="L100" i="7"/>
  <c r="M100" i="7" s="1"/>
  <c r="L99" i="7"/>
  <c r="M99" i="7" s="1"/>
  <c r="L98" i="7"/>
  <c r="M98" i="7" s="1"/>
  <c r="L9" i="7"/>
  <c r="M9" i="7" s="1"/>
  <c r="L8" i="7"/>
  <c r="M8" i="7" s="1"/>
  <c r="L7" i="7"/>
  <c r="M7" i="7" s="1"/>
  <c r="L6" i="7"/>
  <c r="M6" i="7" s="1"/>
  <c r="L5" i="7"/>
  <c r="M5" i="7" s="1"/>
  <c r="L4" i="7"/>
  <c r="M4" i="7" s="1"/>
  <c r="L3" i="7"/>
  <c r="L113" i="7"/>
  <c r="M113" i="7" s="1"/>
  <c r="L44" i="7"/>
  <c r="M44" i="7" s="1"/>
  <c r="L43" i="7"/>
  <c r="M43" i="7" s="1"/>
  <c r="L42" i="7"/>
  <c r="M42" i="7" s="1"/>
  <c r="L41" i="7"/>
  <c r="M41" i="7" s="1"/>
  <c r="L40" i="7"/>
  <c r="M40" i="7" s="1"/>
  <c r="L39" i="7"/>
  <c r="M39" i="7" s="1"/>
  <c r="L38" i="7"/>
  <c r="M38" i="7" s="1"/>
  <c r="L37" i="7"/>
  <c r="M37" i="7" s="1"/>
  <c r="L89" i="7"/>
  <c r="M89" i="7" s="1"/>
  <c r="L88" i="7"/>
  <c r="M88" i="7" s="1"/>
  <c r="L78" i="7"/>
  <c r="M78" i="7" s="1"/>
  <c r="L76" i="7"/>
  <c r="M76" i="7" s="1"/>
  <c r="L75" i="7"/>
  <c r="M75" i="7" s="1"/>
  <c r="L83" i="7"/>
  <c r="M83" i="7" s="1"/>
  <c r="L82" i="7"/>
  <c r="M82" i="7" s="1"/>
  <c r="L81" i="7"/>
  <c r="M81" i="7" s="1"/>
  <c r="L80" i="7"/>
  <c r="M80" i="7" s="1"/>
  <c r="L79" i="7"/>
  <c r="M79" i="7" s="1"/>
  <c r="L97" i="7"/>
  <c r="M97" i="7" s="1"/>
  <c r="L96" i="7"/>
  <c r="M96" i="7" s="1"/>
  <c r="L95" i="7"/>
  <c r="M95" i="7" s="1"/>
  <c r="L94" i="7"/>
  <c r="M94" i="7" s="1"/>
  <c r="L93" i="7"/>
  <c r="M93" i="7" s="1"/>
  <c r="L92" i="7"/>
  <c r="M92" i="7" s="1"/>
  <c r="L116" i="7"/>
  <c r="M116" i="7" s="1"/>
  <c r="L123" i="7"/>
  <c r="M123" i="7" s="1"/>
  <c r="L122" i="7"/>
  <c r="M122" i="7" s="1"/>
  <c r="L121" i="7"/>
  <c r="M121" i="7" s="1"/>
  <c r="L120" i="7"/>
  <c r="M120" i="7" s="1"/>
  <c r="L119" i="7"/>
  <c r="M119" i="7" s="1"/>
  <c r="L118" i="7"/>
  <c r="M118" i="7" s="1"/>
  <c r="L87" i="7"/>
  <c r="M87" i="7" s="1"/>
  <c r="L86" i="7"/>
  <c r="M86" i="7" s="1"/>
  <c r="L106" i="7"/>
  <c r="M106" i="7" s="1"/>
  <c r="L105" i="7"/>
  <c r="M105" i="7" s="1"/>
  <c r="L104" i="7"/>
  <c r="M104" i="7" s="1"/>
  <c r="L103" i="7"/>
  <c r="M103" i="7" s="1"/>
  <c r="L33" i="7"/>
  <c r="M33" i="7" s="1"/>
  <c r="L32" i="7"/>
  <c r="M32" i="7" s="1"/>
  <c r="L31" i="7"/>
  <c r="M31" i="7" s="1"/>
  <c r="L30" i="7"/>
  <c r="M30" i="7" s="1"/>
  <c r="L29" i="7"/>
  <c r="M29" i="7" s="1"/>
  <c r="L69" i="7"/>
  <c r="M69" i="7" s="1"/>
  <c r="L68" i="7"/>
  <c r="M68" i="7" s="1"/>
  <c r="L67" i="7"/>
  <c r="M67" i="7" s="1"/>
  <c r="L66" i="7"/>
  <c r="M66" i="7" s="1"/>
  <c r="L65" i="7"/>
  <c r="M65" i="7" s="1"/>
  <c r="L64" i="7"/>
  <c r="M64" i="7" s="1"/>
  <c r="L63" i="7"/>
  <c r="M63" i="7" s="1"/>
  <c r="L62" i="7"/>
  <c r="M62" i="7" s="1"/>
  <c r="L61" i="7"/>
  <c r="M61" i="7" s="1"/>
  <c r="L60" i="7"/>
  <c r="M60" i="7" s="1"/>
  <c r="L59" i="7"/>
  <c r="M59" i="7" s="1"/>
  <c r="L58" i="7"/>
  <c r="M58" i="7" s="1"/>
  <c r="L57" i="7"/>
  <c r="M57" i="7" s="1"/>
  <c r="L56" i="7"/>
  <c r="M56" i="7" s="1"/>
  <c r="L55" i="7"/>
  <c r="M55" i="7" s="1"/>
  <c r="L54" i="7"/>
  <c r="M54" i="7" s="1"/>
  <c r="L53" i="7"/>
  <c r="M53" i="7" s="1"/>
  <c r="L52" i="7"/>
  <c r="M52" i="7" s="1"/>
  <c r="L51" i="7"/>
  <c r="M51" i="7" s="1"/>
  <c r="L50" i="7"/>
  <c r="M50" i="7" s="1"/>
  <c r="L49" i="7"/>
  <c r="M49" i="7" s="1"/>
  <c r="L124" i="7"/>
  <c r="M124" i="7" s="1"/>
  <c r="L35" i="7"/>
  <c r="M35" i="7" s="1"/>
  <c r="L34" i="7"/>
  <c r="M34" i="7" s="1"/>
  <c r="L16" i="7"/>
  <c r="M16" i="7" s="1"/>
  <c r="L15" i="7"/>
  <c r="M15" i="7" s="1"/>
  <c r="L14" i="7"/>
  <c r="M14" i="7" s="1"/>
  <c r="L13" i="7"/>
  <c r="M13" i="7" s="1"/>
  <c r="L12" i="7"/>
  <c r="M12" i="7" s="1"/>
  <c r="L11" i="7"/>
  <c r="M11" i="7" s="1"/>
  <c r="L10" i="7"/>
  <c r="M10" i="7" s="1"/>
  <c r="L27" i="7"/>
  <c r="M27" i="7" s="1"/>
  <c r="L26" i="7"/>
  <c r="M26" i="7" s="1"/>
  <c r="L25" i="7"/>
  <c r="M25" i="7" s="1"/>
  <c r="L24" i="7"/>
  <c r="M24" i="7" s="1"/>
  <c r="L23" i="7"/>
  <c r="M23" i="7" s="1"/>
  <c r="L22" i="7"/>
  <c r="M22" i="7" s="1"/>
  <c r="L21" i="7"/>
  <c r="M21" i="7" s="1"/>
  <c r="L20" i="7"/>
  <c r="M20" i="7" s="1"/>
  <c r="L19" i="7"/>
  <c r="M19" i="7" s="1"/>
  <c r="L48" i="7"/>
  <c r="M48" i="7" s="1"/>
  <c r="L47" i="7"/>
  <c r="M47" i="7" s="1"/>
  <c r="L18" i="7"/>
  <c r="M18" i="7" s="1"/>
  <c r="L17" i="7"/>
  <c r="M17" i="7" s="1"/>
  <c r="L146" i="7" l="1"/>
  <c r="B4" i="1" s="1"/>
  <c r="L1" i="7"/>
  <c r="M3" i="7"/>
  <c r="H12" i="4"/>
  <c r="H4" i="5"/>
  <c r="H13" i="4" s="1"/>
  <c r="C8" i="6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H38" i="3" s="1"/>
  <c r="AG39" i="3"/>
  <c r="AH39" i="3" s="1"/>
  <c r="AI39" i="3" s="1"/>
  <c r="AG40" i="3"/>
  <c r="AG41" i="3"/>
  <c r="AH41" i="3" s="1"/>
  <c r="AI41" i="3" s="1"/>
  <c r="AG42" i="3"/>
  <c r="AH42" i="3" s="1"/>
  <c r="AI42" i="3" s="1"/>
  <c r="AG43" i="3"/>
  <c r="AH43" i="3" s="1"/>
  <c r="AI43" i="3" s="1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H197" i="3" s="1"/>
  <c r="AI197" i="3" s="1"/>
  <c r="AG198" i="3"/>
  <c r="AH198" i="3" s="1"/>
  <c r="AI198" i="3" s="1"/>
  <c r="AG199" i="3"/>
  <c r="AG200" i="3"/>
  <c r="AH200" i="3" s="1"/>
  <c r="AI200" i="3" s="1"/>
  <c r="AG201" i="3"/>
  <c r="AG202" i="3"/>
  <c r="E151" i="2"/>
  <c r="D151" i="2"/>
  <c r="H14" i="4" l="1"/>
  <c r="AH1" i="3"/>
  <c r="F151" i="2"/>
  <c r="B3" i="1" s="1"/>
  <c r="AI38" i="3"/>
  <c r="M1" i="7" l="1"/>
  <c r="B7" i="1" l="1"/>
  <c r="B10" i="1" s="1"/>
</calcChain>
</file>

<file path=xl/sharedStrings.xml><?xml version="1.0" encoding="utf-8"?>
<sst xmlns="http://schemas.openxmlformats.org/spreadsheetml/2006/main" count="5773" uniqueCount="294">
  <si>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</si>
  <si>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</si>
  <si>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</si>
  <si>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</si>
  <si>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</si>
  <si>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</si>
  <si>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</si>
  <si>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</si>
  <si>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</si>
  <si>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</si>
  <si>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</si>
  <si>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</si>
  <si>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</si>
  <si>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</si>
  <si>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</si>
  <si>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</si>
  <si>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</si>
  <si>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</si>
  <si>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</si>
  <si>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</si>
  <si>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</si>
  <si>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</si>
  <si>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</si>
  <si>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</si>
  <si>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</si>
  <si>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</si>
  <si>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</si>
  <si>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</si>
  <si>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</si>
  <si>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SIDDHARTHA LOGISTICS FTWZ PRIVATE</t>
  </si>
  <si>
    <t>4</t>
  </si>
  <si>
    <t/>
  </si>
  <si>
    <t>212100</t>
  </si>
  <si>
    <t>Trade Debtors (Ctrl)</t>
  </si>
  <si>
    <t>INR</t>
  </si>
  <si>
    <t>6779224500</t>
  </si>
  <si>
    <t>1</t>
  </si>
  <si>
    <t>2</t>
  </si>
  <si>
    <t>1400001107</t>
  </si>
  <si>
    <t>DY</t>
  </si>
  <si>
    <t>08</t>
  </si>
  <si>
    <t>15</t>
  </si>
  <si>
    <t>1400000797</t>
  </si>
  <si>
    <t>DZ</t>
  </si>
  <si>
    <t>0099542199FC</t>
  </si>
  <si>
    <t>USD</t>
  </si>
  <si>
    <t>6779220000</t>
  </si>
  <si>
    <t>1400000805</t>
  </si>
  <si>
    <t>0105357143FC</t>
  </si>
  <si>
    <t>3</t>
  </si>
  <si>
    <t>T54SWIC277314</t>
  </si>
  <si>
    <t>11</t>
  </si>
  <si>
    <t>01</t>
  </si>
  <si>
    <t>1400001904</t>
  </si>
  <si>
    <t>NA</t>
  </si>
  <si>
    <t>KNOCK OFF ENTRY</t>
  </si>
  <si>
    <t>1400001905</t>
  </si>
  <si>
    <t>DR</t>
  </si>
  <si>
    <t>O0</t>
  </si>
  <si>
    <t>Fixed Storage Charges fo MAY 2025</t>
  </si>
  <si>
    <t>Fixed Storage Charges fo JUNE 2025</t>
  </si>
  <si>
    <t>Fixed Storage Charges fo JULY 2025</t>
  </si>
  <si>
    <t>Fixed Storage Charges for August 2025</t>
  </si>
  <si>
    <t>2097261</t>
  </si>
  <si>
    <t>Fixed Storage Charges for September 2025</t>
  </si>
  <si>
    <t>2110507</t>
  </si>
  <si>
    <t>Fixed Storage Charges for October 2025</t>
  </si>
  <si>
    <t>2123158</t>
  </si>
  <si>
    <t>Fixed Storage Charges for November 2025</t>
  </si>
  <si>
    <t>2139804</t>
  </si>
  <si>
    <t>Fixed Storage Charges for December 2025</t>
  </si>
  <si>
    <t>Intra Unit Transfer Charges Month Of August,2024</t>
  </si>
  <si>
    <t>Outbound Handling for Oct 2024</t>
  </si>
  <si>
    <t>Outbound Handling for Dec 2024</t>
  </si>
  <si>
    <t>Storage Charges Feb, 25 Exch Rate 87.4</t>
  </si>
  <si>
    <t>Storage Charges Jan, 25 Exch Rate 86.64</t>
  </si>
  <si>
    <t>Storage Charges for the month of December, 2024 Ex</t>
  </si>
  <si>
    <t>Storage Charges for the month of November, 2024 Ex</t>
  </si>
  <si>
    <t>Inbound Handling charges for Aug 2024</t>
  </si>
  <si>
    <t>Inbound Handling charges for Sep 2024</t>
  </si>
  <si>
    <t>Inbound Handling charges for Nov 2024</t>
  </si>
  <si>
    <t>Inbound Handling charges for Dec 2024</t>
  </si>
  <si>
    <t>DG</t>
  </si>
  <si>
    <t>2112576</t>
  </si>
  <si>
    <t>CN issued against 246779410865</t>
  </si>
  <si>
    <t>CN issued against 246779410888</t>
  </si>
  <si>
    <t>2112591</t>
  </si>
  <si>
    <t>CN issued against 256779418012</t>
  </si>
  <si>
    <t>CN issued against 246779410368</t>
  </si>
  <si>
    <t>CN issued against 246779410394</t>
  </si>
  <si>
    <t>CN issued against 246779410418</t>
  </si>
  <si>
    <t>Storage Charges for the month of August, 2024</t>
  </si>
  <si>
    <t>Outbound Handling for Sep 2024</t>
  </si>
  <si>
    <t>Storage for the month of Sep 2024 Exch Rate 83.79</t>
  </si>
  <si>
    <t>Storage for the month of Oct 2024</t>
  </si>
  <si>
    <t>Outbound Handling for Aug 2024</t>
  </si>
  <si>
    <t>VAS Activity Charges for the month of September, 2</t>
  </si>
  <si>
    <t>2128982</t>
  </si>
  <si>
    <t>MH43CE4486(ONEU1505971) Without de-stuffing Invoic</t>
  </si>
  <si>
    <t>LCL Charges August 2024</t>
  </si>
  <si>
    <t>Inbound Handling for August 24</t>
  </si>
  <si>
    <t>Outbound Handling Charges Aug 2024</t>
  </si>
  <si>
    <t>LCL charges for Dec 2024</t>
  </si>
  <si>
    <t>Outbound Handling charges for Dec 2024</t>
  </si>
  <si>
    <t>Loose loading Handling charges for Dec 2024</t>
  </si>
  <si>
    <t>VAS Activity - Mar 25, 16-31, Ex Rate. 85.58</t>
  </si>
  <si>
    <t>Storage Charges Mar, 25 Exch Rate 85.58</t>
  </si>
  <si>
    <t>VAS Activity Charges for the month of August, 24</t>
  </si>
  <si>
    <t>CODC LCL Chgs - 16-31 Aug 25</t>
  </si>
  <si>
    <t>CODC Out chgs -16-31 Aug 25</t>
  </si>
  <si>
    <t>VAS - 16-31 Aug 25</t>
  </si>
  <si>
    <t>VAS -16-31 Aug 25</t>
  </si>
  <si>
    <t>2096996</t>
  </si>
  <si>
    <t>Outbound chgs - 16 - 31 Aug 25</t>
  </si>
  <si>
    <t>Outbound chgs - 01 - 15 Jun 25</t>
  </si>
  <si>
    <t>Unit Storage - 1-30 June 25</t>
  </si>
  <si>
    <t>2123387</t>
  </si>
  <si>
    <t>VAS-16 -31 Oct 25</t>
  </si>
  <si>
    <t>WEIGHTMENT-16 -31 Oct 25</t>
  </si>
  <si>
    <t>2123390</t>
  </si>
  <si>
    <t>Unit Storage - 1-31 Oct 2025</t>
  </si>
  <si>
    <t>ONEU5912276 Without de-stuffing</t>
  </si>
  <si>
    <t>UACU6030817 Without de-stuffing</t>
  </si>
  <si>
    <t>GLDU9880607 Without de-stuffing</t>
  </si>
  <si>
    <t>2123410</t>
  </si>
  <si>
    <t>Outbound chgs - 16 - 31 Oct 25</t>
  </si>
  <si>
    <t>2123415</t>
  </si>
  <si>
    <t>Empty Lolo Chgs - 01 - 31 OCT 25</t>
  </si>
  <si>
    <t>2123409</t>
  </si>
  <si>
    <t>LCL Chgs - 16 - 31 OCT 25</t>
  </si>
  <si>
    <t>Unit Storage - 1-31 July 25</t>
  </si>
  <si>
    <t>LCL chgs - 16 - 31 JUL 25</t>
  </si>
  <si>
    <t>Outbound chgs - 16 - 31 Jul 25</t>
  </si>
  <si>
    <t>CODC LCL Chgs - 16 - 31 Jul 25</t>
  </si>
  <si>
    <t>CODC Out chgs - 16 - 31 Jul 25</t>
  </si>
  <si>
    <t>VAS 16-31 July 25</t>
  </si>
  <si>
    <t>Storage- Aug-24,</t>
  </si>
  <si>
    <t>Storage- Sept-24,</t>
  </si>
  <si>
    <t>Storage - Oct-24,</t>
  </si>
  <si>
    <t>Storage- Nov-24,</t>
  </si>
  <si>
    <t>Storage- Dec-24,</t>
  </si>
  <si>
    <t>Credit note against 246779412244</t>
  </si>
  <si>
    <t>Credit note against 246779412240</t>
  </si>
  <si>
    <t>Credit note against 246779412241</t>
  </si>
  <si>
    <t>Credit note against 246779412242</t>
  </si>
  <si>
    <t>Credit note against 246779412243</t>
  </si>
  <si>
    <t>Credit note against 246779412245</t>
  </si>
  <si>
    <t>Credit note against 256779410228</t>
  </si>
  <si>
    <t>Credit note against 256779410269</t>
  </si>
  <si>
    <t>Empty Lolo Chgs - 01 - 31 Apr 25</t>
  </si>
  <si>
    <t>Outbound chgs - 16 - 30 Apr 25</t>
  </si>
  <si>
    <t>Storage Chgs - 01 - 31 Apr 25</t>
  </si>
  <si>
    <t>LCL chgs - 01 - 15 JUL 25</t>
  </si>
  <si>
    <t>Outbound chgs - 01 - 15 Jul 25</t>
  </si>
  <si>
    <t>Outbound Handling charges for Feb 2025</t>
  </si>
  <si>
    <t>Outbound Handling charges for Sep 2024</t>
  </si>
  <si>
    <t>LCL Movement Charges for Nov 2024</t>
  </si>
  <si>
    <t>Outbound Handling charges for Jan 2025</t>
  </si>
  <si>
    <t>Loose Loading Handling charges for Jan 2025</t>
  </si>
  <si>
    <t>Loose handling Charges for Feb 2025</t>
  </si>
  <si>
    <t>Outbound Handling charges for Oct 2024</t>
  </si>
  <si>
    <t>Outbound Handling charges for Nov 2024</t>
  </si>
  <si>
    <t>2112798</t>
  </si>
  <si>
    <t>Unit Storage - 1-30 Sept 2025</t>
  </si>
  <si>
    <t>Fixed Rental charges for Aug 2024</t>
  </si>
  <si>
    <t>Fixed Rental charges for Oct 2024</t>
  </si>
  <si>
    <t>Fixed Rental charges for Sept 2024</t>
  </si>
  <si>
    <t>Fixed Rental charges for Nov 2024</t>
  </si>
  <si>
    <t>Fixed Rental charges for Dec 2024</t>
  </si>
  <si>
    <t>Fixed Rental charges for Jan 2025</t>
  </si>
  <si>
    <t>Fixed Rental charges for Feb 2025</t>
  </si>
  <si>
    <t>CODC LCL Chgs - 1-15 Aug 25</t>
  </si>
  <si>
    <t>CODC Out chgs - 1-15 Aug 25</t>
  </si>
  <si>
    <t>LCL chgs - 01 - 15 AUG 25</t>
  </si>
  <si>
    <t>Outbound chgs - 01 - 15 Aug 25</t>
  </si>
  <si>
    <t>2140083</t>
  </si>
  <si>
    <t>LCL Chgs - 16 - 30 NOV 25</t>
  </si>
  <si>
    <t>2119122</t>
  </si>
  <si>
    <t>CN issued against 256779418440</t>
  </si>
  <si>
    <t>Outbound chgs - 01 - 15 MAY 25</t>
  </si>
  <si>
    <t>Credit note raised against 256779415490</t>
  </si>
  <si>
    <t>Credit note raised against 256779415805</t>
  </si>
  <si>
    <t>Credit note raised against 256779415810</t>
  </si>
  <si>
    <t>Outbound Handling charges for Mar 25</t>
  </si>
  <si>
    <t>Loose loading Handling charges for Mar 25</t>
  </si>
  <si>
    <t>2114883</t>
  </si>
  <si>
    <t>Outbound chgs - 01 - 15 Oct 25</t>
  </si>
  <si>
    <t>Fixed Storage Charges for April 2025</t>
  </si>
  <si>
    <t>Credit note raised against 256779414435</t>
  </si>
  <si>
    <t>2114868</t>
  </si>
  <si>
    <t>VAS  -1-15 Oct 2025</t>
  </si>
  <si>
    <t>Fixed Storage Charges for Mar 2025</t>
  </si>
  <si>
    <t>2130611</t>
  </si>
  <si>
    <t>LCL Chgs - 01 - 15 NOV 25</t>
  </si>
  <si>
    <t>2130612</t>
  </si>
  <si>
    <t>Outbound chgs - 01 - 15 Nov 25</t>
  </si>
  <si>
    <t>Inbound Handling charges for 31 Mar 2025</t>
  </si>
  <si>
    <t>Outbound Handling charges for 31 Mar 25</t>
  </si>
  <si>
    <t>2102483</t>
  </si>
  <si>
    <t>Outbound chgs - 01 - 15 Sep 25</t>
  </si>
  <si>
    <t>Outbound chgs - 01 - 15 Apr 25</t>
  </si>
  <si>
    <t>2110802</t>
  </si>
  <si>
    <t>VAS-16-30 Sept 25</t>
  </si>
  <si>
    <t>2110860</t>
  </si>
  <si>
    <t>CODC Inbound chgs - 16-30 Sep 25</t>
  </si>
  <si>
    <t>2110864</t>
  </si>
  <si>
    <t>CODC Out chgs -16-30 Sep 25</t>
  </si>
  <si>
    <t>VAS - 1-15 July 25</t>
  </si>
  <si>
    <t>2114865</t>
  </si>
  <si>
    <t>CODC Out chgs -1-15 Oct 25</t>
  </si>
  <si>
    <t>Unit storage -1-31 May 25</t>
  </si>
  <si>
    <t>2110511</t>
  </si>
  <si>
    <t>2110496</t>
  </si>
  <si>
    <t>Scanning  Chgs - 16 - 30 Sep 25</t>
  </si>
  <si>
    <t>2110981</t>
  </si>
  <si>
    <t>PORT SSR Chgs Sep 25</t>
  </si>
  <si>
    <t>Unit-Storage-1-31 Aug 25</t>
  </si>
  <si>
    <t>2139799</t>
  </si>
  <si>
    <t>Unit Storage - 1-30 Nov 2025</t>
  </si>
  <si>
    <t>2141835</t>
  </si>
  <si>
    <t>Credit note for Duplicate invoice -256779418354</t>
  </si>
  <si>
    <t>Credit note for Duplicate invoice -256779418493</t>
  </si>
  <si>
    <t>2156172</t>
  </si>
  <si>
    <t>CODC Out chgs -1-15 Dec 25</t>
  </si>
  <si>
    <t>2156419</t>
  </si>
  <si>
    <t>Outbound chgs - 01 - 15 Dec 25</t>
  </si>
  <si>
    <t>2156402</t>
  </si>
  <si>
    <t>VAS DEC 25 -1-15</t>
  </si>
  <si>
    <t>2156406</t>
  </si>
  <si>
    <t>LCL Chgs - 01 - 15 DEC 25</t>
  </si>
  <si>
    <t>2158411</t>
  </si>
  <si>
    <t>Unit Storage - 1-31 DEC 2025</t>
  </si>
  <si>
    <t>2158669</t>
  </si>
  <si>
    <t>Fixed Storage Charges for January 2026</t>
  </si>
  <si>
    <t>2159128</t>
  </si>
  <si>
    <t>CN issued against - 256779412113</t>
  </si>
  <si>
    <t>CN issued against - 256779413893</t>
  </si>
  <si>
    <t>CN issued against - 256779414234</t>
  </si>
  <si>
    <t>CN issued against - 256779417077</t>
  </si>
  <si>
    <t>2163152</t>
  </si>
  <si>
    <t>Outbound chgs - 01 - 15 JAN 26</t>
  </si>
  <si>
    <t>T54SWIC287333</t>
  </si>
  <si>
    <t>Payment Date</t>
  </si>
  <si>
    <t>Invoice No</t>
  </si>
  <si>
    <t>Invoice Dt</t>
  </si>
  <si>
    <t>Debit (USD)</t>
  </si>
  <si>
    <t>Credit (USD)</t>
  </si>
  <si>
    <t xml:space="preserve">Outgoing payment </t>
  </si>
  <si>
    <t xml:space="preserve">Total </t>
  </si>
  <si>
    <t>Vlookup</t>
  </si>
  <si>
    <t>Amount</t>
  </si>
  <si>
    <t xml:space="preserve">As per Customer </t>
  </si>
  <si>
    <t>Particulars</t>
  </si>
  <si>
    <t>Date</t>
  </si>
  <si>
    <t xml:space="preserve">As per Ascendus </t>
  </si>
  <si>
    <t>Reconciliation of Ledger as on 31st January 2026</t>
  </si>
  <si>
    <t>Add: TDS to be booked in Ascendus books</t>
  </si>
  <si>
    <t>Derived balance</t>
  </si>
  <si>
    <t>Balance as per Ascent</t>
  </si>
  <si>
    <t>Difference</t>
  </si>
  <si>
    <t>TDS Deducted</t>
  </si>
  <si>
    <t>Rate</t>
  </si>
  <si>
    <t>Converted Value</t>
  </si>
  <si>
    <t>Diffrence</t>
  </si>
  <si>
    <t>Balance as per Siddhartha Logistics</t>
  </si>
  <si>
    <t>Sum of Document Currency Value</t>
  </si>
  <si>
    <t>Sum of Debit (USD)</t>
  </si>
  <si>
    <t>Sum of Credit (USD)</t>
  </si>
  <si>
    <t>Less: Difference in Payment recorded in both books</t>
  </si>
  <si>
    <t>Inv No</t>
  </si>
  <si>
    <t>Ref</t>
  </si>
  <si>
    <t>Add: Invoices &amp; CN not recorded in customer books</t>
  </si>
  <si>
    <t>Amount in USD</t>
  </si>
  <si>
    <t>Action points</t>
  </si>
  <si>
    <t>Credit Note to be passed as discussed with CL team</t>
  </si>
  <si>
    <t>to be accounted by siddhartha</t>
  </si>
  <si>
    <t>To be discussed with customer that the rate is charged as per agreemant for HAZ goods</t>
  </si>
  <si>
    <t>Remark</t>
  </si>
  <si>
    <t>Remarks</t>
  </si>
  <si>
    <t>Action Points</t>
  </si>
  <si>
    <t>We had given 2 invoices against  BOE No. 7000274, and we accepted invoice 246779411485.</t>
  </si>
  <si>
    <t>Credit Note to be passed after verification by billing team</t>
  </si>
  <si>
    <t>you have made an Invoice of Handling Charges 13 Plt instead of 4 Plt.</t>
  </si>
  <si>
    <t>CRM team will handle</t>
  </si>
  <si>
    <t>Handling Charges CBM Rate is 2.25 but you have Handling Charges CBM Rate is 3.24</t>
  </si>
  <si>
    <t>Duplicated invoice</t>
  </si>
  <si>
    <t>The VAS charges are incorrect. </t>
  </si>
  <si>
    <t>Invoice to changed by CRM team</t>
  </si>
  <si>
    <t>These specific charges are not included in our existing contract.</t>
  </si>
  <si>
    <t>Amount in Invoice to be verified by biling team</t>
  </si>
  <si>
    <r>
      <t xml:space="preserve">This is to inform you that MHE charges have already been applied in </t>
    </r>
    <r>
      <rPr>
        <b/>
        <sz val="11"/>
        <color theme="1"/>
        <rFont val="Calibri"/>
        <family val="2"/>
        <scheme val="minor"/>
      </rPr>
      <t>Invoice Nos. </t>
    </r>
    <r>
      <rPr>
        <b/>
        <sz val="11"/>
        <color rgb="FF222222"/>
        <rFont val="Arial"/>
        <family val="2"/>
      </rPr>
      <t>256779418354 and 256779418342</t>
    </r>
    <r>
      <rPr>
        <sz val="11"/>
        <color rgb="FF222222"/>
        <rFont val="Arial"/>
        <family val="2"/>
      </rPr>
      <t>. However, the same MHE charges have been included again in </t>
    </r>
    <r>
      <rPr>
        <b/>
        <sz val="11"/>
        <color rgb="FF222222"/>
        <rFont val="Arial"/>
        <family val="2"/>
      </rPr>
      <t>Invoice No. 256779418181.</t>
    </r>
  </si>
  <si>
    <t>to be accounted by siddhartha after CBM rate issue is solved</t>
  </si>
  <si>
    <t>Credit Note Pending</t>
  </si>
  <si>
    <t>mail summary will be sent by Siddhartha team ,Credit Note to be passed after verification by billing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</si>
</sst>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222222"/>
      <name val="Arial"/>
      <family val="2"/>
    </font>
    <font>
      <sz val="11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left" vertical="top"/>
    </xf>
    <xf numFmtId="43" fontId="0" fillId="0" borderId="1" xfId="1" applyFont="1" applyBorder="1" applyAlignment="1">
      <alignment vertical="top"/>
    </xf>
    <xf numFmtId="43" fontId="0" fillId="0" borderId="1" xfId="1" applyFont="1" applyFill="1" applyBorder="1" applyAlignment="1">
      <alignment vertical="top"/>
    </xf>
    <xf numFmtId="43" fontId="0" fillId="0" borderId="1" xfId="1" applyFont="1" applyBorder="1"/>
    <xf numFmtId="14" fontId="0" fillId="0" borderId="1" xfId="0" applyNumberFormat="1" applyBorder="1"/>
    <xf numFmtId="1" fontId="0" fillId="0" borderId="1" xfId="0" applyNumberFormat="1" applyBorder="1" applyAlignment="1">
      <alignment horizontal="left"/>
    </xf>
    <xf numFmtId="0" fontId="0" fillId="0" borderId="1" xfId="0" applyBorder="1"/>
    <xf numFmtId="1" fontId="0" fillId="0" borderId="1" xfId="0" applyNumberFormat="1" applyBorder="1" applyAlignment="1">
      <alignment horizontal="left" vertical="center"/>
    </xf>
    <xf numFmtId="43" fontId="0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left" vertical="center"/>
    </xf>
    <xf numFmtId="43" fontId="0" fillId="0" borderId="1" xfId="1" applyFont="1" applyFill="1" applyBorder="1" applyAlignment="1">
      <alignment vertical="center" wrapText="1"/>
    </xf>
    <xf numFmtId="1" fontId="0" fillId="0" borderId="1" xfId="0" quotePrefix="1" applyNumberFormat="1" applyBorder="1" applyAlignment="1">
      <alignment horizontal="left"/>
    </xf>
    <xf numFmtId="1" fontId="3" fillId="0" borderId="1" xfId="2" applyNumberFormat="1" applyBorder="1" applyAlignment="1">
      <alignment horizontal="left"/>
    </xf>
    <xf numFmtId="43" fontId="0" fillId="0" borderId="1" xfId="1" applyFont="1" applyFill="1" applyBorder="1" applyAlignment="1">
      <alignment vertical="center"/>
    </xf>
    <xf numFmtId="1" fontId="3" fillId="0" borderId="1" xfId="2" quotePrefix="1" applyNumberFormat="1" applyBorder="1" applyAlignment="1">
      <alignment horizontal="left"/>
    </xf>
    <xf numFmtId="43" fontId="0" fillId="0" borderId="1" xfId="1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left"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2" borderId="2" xfId="0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1" fontId="0" fillId="4" borderId="1" xfId="0" applyNumberFormat="1" applyFill="1" applyBorder="1" applyAlignment="1">
      <alignment vertical="top"/>
    </xf>
    <xf numFmtId="1" fontId="0" fillId="0" borderId="1" xfId="0" applyNumberFormat="1" applyBorder="1" applyAlignment="1"/>
    <xf numFmtId="43" fontId="0" fillId="0" borderId="0" xfId="0" applyNumberFormat="1"/>
    <xf numFmtId="4" fontId="0" fillId="0" borderId="0" xfId="0" applyNumberFormat="1"/>
    <xf numFmtId="0" fontId="2" fillId="0" borderId="5" xfId="3" applyFont="1" applyBorder="1"/>
    <xf numFmtId="0" fontId="2" fillId="0" borderId="3" xfId="3" applyFont="1" applyBorder="1"/>
    <xf numFmtId="43" fontId="0" fillId="0" borderId="10" xfId="4" applyFont="1" applyBorder="1"/>
    <xf numFmtId="43" fontId="0" fillId="0" borderId="11" xfId="4" applyFont="1" applyBorder="1"/>
    <xf numFmtId="43" fontId="0" fillId="0" borderId="12" xfId="4" applyFont="1" applyBorder="1"/>
    <xf numFmtId="43" fontId="0" fillId="0" borderId="13" xfId="4" applyFont="1" applyBorder="1"/>
    <xf numFmtId="43" fontId="0" fillId="0" borderId="14" xfId="4" applyFont="1" applyBorder="1"/>
    <xf numFmtId="43" fontId="2" fillId="0" borderId="5" xfId="4" applyFont="1" applyBorder="1"/>
    <xf numFmtId="43" fontId="2" fillId="0" borderId="3" xfId="1" applyFont="1" applyBorder="1"/>
    <xf numFmtId="43" fontId="0" fillId="0" borderId="0" xfId="1" applyFont="1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164" fontId="0" fillId="0" borderId="1" xfId="1" applyNumberFormat="1" applyFont="1" applyBorder="1" applyAlignment="1">
      <alignment wrapText="1"/>
    </xf>
    <xf numFmtId="43" fontId="0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5" xfId="0" applyBorder="1"/>
    <xf numFmtId="43" fontId="2" fillId="0" borderId="0" xfId="0" applyNumberFormat="1" applyFont="1"/>
    <xf numFmtId="43" fontId="2" fillId="0" borderId="1" xfId="1" applyFont="1" applyBorder="1"/>
    <xf numFmtId="43" fontId="0" fillId="2" borderId="1" xfId="1" applyFont="1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 wrapText="1"/>
    </xf>
    <xf numFmtId="164" fontId="0" fillId="0" borderId="1" xfId="1" applyNumberFormat="1" applyFont="1" applyBorder="1" applyAlignment="1">
      <alignment vertical="top" wrapText="1"/>
    </xf>
    <xf numFmtId="1" fontId="0" fillId="0" borderId="16" xfId="0" applyNumberFormat="1" applyBorder="1" applyAlignment="1">
      <alignment vertical="top"/>
    </xf>
    <xf numFmtId="1" fontId="0" fillId="0" borderId="0" xfId="0" applyNumberFormat="1" applyFill="1" applyBorder="1" applyAlignment="1">
      <alignment vertical="top"/>
    </xf>
    <xf numFmtId="0" fontId="0" fillId="0" borderId="0" xfId="0" applyBorder="1"/>
    <xf numFmtId="2" fontId="0" fillId="0" borderId="1" xfId="0" applyNumberFormat="1" applyBorder="1"/>
    <xf numFmtId="1" fontId="0" fillId="0" borderId="1" xfId="0" applyNumberFormat="1" applyBorder="1"/>
    <xf numFmtId="1" fontId="0" fillId="0" borderId="1" xfId="1" applyNumberFormat="1" applyFont="1" applyBorder="1"/>
    <xf numFmtId="1" fontId="0" fillId="0" borderId="4" xfId="1" applyNumberFormat="1" applyFont="1" applyBorder="1"/>
    <xf numFmtId="1" fontId="0" fillId="0" borderId="4" xfId="0" applyNumberFormat="1" applyBorder="1"/>
    <xf numFmtId="14" fontId="0" fillId="0" borderId="1" xfId="0" applyNumberFormat="1" applyBorder="1" applyAlignment="1">
      <alignment horizontal="left" vertical="center"/>
    </xf>
    <xf numFmtId="14" fontId="3" fillId="0" borderId="1" xfId="2" applyNumberFormat="1" applyBorder="1" applyAlignment="1">
      <alignment horizontal="left" vertical="top"/>
    </xf>
    <xf numFmtId="1" fontId="0" fillId="0" borderId="0" xfId="0" applyNumberFormat="1"/>
    <xf numFmtId="1" fontId="0" fillId="0" borderId="0" xfId="0" applyNumberFormat="1" applyBorder="1" applyAlignment="1">
      <alignment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3" fontId="2" fillId="0" borderId="1" xfId="0" applyNumberFormat="1" applyFont="1" applyFill="1" applyBorder="1" applyAlignment="1">
      <alignment horizontal="left" vertical="center"/>
    </xf>
    <xf numFmtId="14" fontId="0" fillId="0" borderId="16" xfId="0" applyNumberFormat="1" applyBorder="1"/>
    <xf numFmtId="1" fontId="0" fillId="0" borderId="16" xfId="0" applyNumberFormat="1" applyBorder="1" applyAlignment="1"/>
    <xf numFmtId="43" fontId="0" fillId="0" borderId="16" xfId="1" applyFont="1" applyBorder="1"/>
    <xf numFmtId="0" fontId="0" fillId="0" borderId="16" xfId="0" applyBorder="1" applyAlignment="1">
      <alignment vertical="top"/>
    </xf>
    <xf numFmtId="14" fontId="0" fillId="0" borderId="16" xfId="0" applyNumberFormat="1" applyBorder="1" applyAlignment="1">
      <alignment horizontal="right" vertical="top"/>
    </xf>
    <xf numFmtId="4" fontId="0" fillId="0" borderId="16" xfId="0" applyNumberFormat="1" applyBorder="1" applyAlignment="1">
      <alignment horizontal="right" vertical="top"/>
    </xf>
    <xf numFmtId="43" fontId="2" fillId="0" borderId="16" xfId="0" applyNumberFormat="1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43" fontId="0" fillId="0" borderId="8" xfId="0" applyNumberFormat="1" applyBorder="1"/>
    <xf numFmtId="4" fontId="0" fillId="0" borderId="8" xfId="0" applyNumberFormat="1" applyBorder="1"/>
    <xf numFmtId="43" fontId="0" fillId="0" borderId="9" xfId="0" applyNumberFormat="1" applyBorder="1"/>
    <xf numFmtId="43" fontId="2" fillId="0" borderId="0" xfId="1" applyFont="1"/>
    <xf numFmtId="0" fontId="0" fillId="0" borderId="0" xfId="0" applyAlignment="1">
      <alignment horizontal="left"/>
    </xf>
    <xf numFmtId="0" fontId="2" fillId="0" borderId="1" xfId="0" applyFont="1" applyBorder="1" applyAlignment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3" fontId="2" fillId="0" borderId="5" xfId="4" applyFont="1" applyBorder="1" applyAlignment="1">
      <alignment horizontal="center"/>
    </xf>
    <xf numFmtId="43" fontId="2" fillId="0" borderId="6" xfId="4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4" fontId="0" fillId="2" borderId="1" xfId="1" applyNumberFormat="1" applyFont="1" applyFill="1" applyBorder="1" applyAlignment="1">
      <alignment vertical="top"/>
    </xf>
    <xf numFmtId="164" fontId="0" fillId="0" borderId="1" xfId="1" applyNumberFormat="1" applyFont="1" applyBorder="1" applyAlignment="1">
      <alignment horizontal="right" vertical="top"/>
    </xf>
    <xf numFmtId="0" fontId="0" fillId="0" borderId="1" xfId="0" applyBorder="1" applyAlignment="1">
      <alignment vertical="center" wrapText="1"/>
    </xf>
    <xf numFmtId="164" fontId="0" fillId="0" borderId="1" xfId="1" applyNumberFormat="1" applyFont="1" applyFill="1" applyBorder="1" applyAlignment="1">
      <alignment horizontal="right" vertical="top"/>
    </xf>
    <xf numFmtId="4" fontId="0" fillId="0" borderId="1" xfId="0" applyNumberFormat="1" applyBorder="1"/>
    <xf numFmtId="164" fontId="2" fillId="0" borderId="1" xfId="1" applyNumberFormat="1" applyFont="1" applyBorder="1"/>
    <xf numFmtId="43" fontId="0" fillId="0" borderId="0" xfId="1" applyFont="1" applyAlignment="1"/>
    <xf numFmtId="0" fontId="0" fillId="0" borderId="0" xfId="0" applyAlignment="1">
      <alignment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Border="1"/>
    <xf numFmtId="164" fontId="0" fillId="0" borderId="0" xfId="1" applyNumberFormat="1" applyFont="1" applyBorder="1" applyAlignment="1"/>
  </cellXfs>
  <cellStyles count="5">
    <cellStyle name="Comma" xfId="1" builtinId="3"/>
    <cellStyle name="Comma 2" xfId="4" xr:uid="{C7759399-A475-4B97-AF6E-05D3F561DA70}"/>
    <cellStyle name="Normal" xfId="0" builtinId="0"/>
    <cellStyle name="Normal 2" xfId="3" xr:uid="{C3B8242A-5449-47DB-B7E6-87BDFC6E35CE}"/>
    <cellStyle name="Normal 5" xfId="2" xr:uid="{7CC1B4AA-55DB-4D65-9148-016F5F55984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B054-A7FE-422D-A673-126D6DD98663}">
  <dimension ref="A1:P21"/>
  <sheetViews>
    <sheetView tabSelected="1" zoomScale="70" zoomScaleNormal="70" workbookViewId="0">
      <selection activeCell="O5" sqref="O5"/>
    </sheetView>
  </sheetViews>
  <sheetFormatPr defaultRowHeight="14.5" x14ac:dyDescent="0.35"/>
  <cols>
    <col min="1" max="1" width="11.7265625" customWidth="1"/>
    <col min="2" max="2" width="3.453125" customWidth="1"/>
    <col min="3" max="3" width="11.54296875" customWidth="1"/>
    <col min="4" max="4" width="12.26953125" bestFit="1" customWidth="1"/>
    <col min="5" max="5" width="16.1796875" hidden="1" customWidth="1"/>
    <col min="6" max="6" width="13.54296875" bestFit="1" customWidth="1"/>
    <col min="7" max="7" width="4.90625" customWidth="1"/>
    <col min="8" max="8" width="9.26953125" customWidth="1"/>
    <col min="9" max="9" width="5.26953125" customWidth="1"/>
    <col min="10" max="10" width="8.90625" style="53" customWidth="1"/>
    <col min="11" max="11" width="18" style="123" customWidth="1"/>
    <col min="12" max="12" width="27.54296875" style="123" customWidth="1"/>
    <col min="13" max="13" width="19.90625" style="123" customWidth="1"/>
    <col min="14" max="14" width="27.54296875" style="123" customWidth="1"/>
    <col min="15" max="15" width="14.453125" customWidth="1"/>
  </cols>
  <sheetData>
    <row r="1" spans="1:16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13</v>
      </c>
      <c r="H1" s="1" t="s">
        <v>14</v>
      </c>
      <c r="I1" s="1" t="s">
        <v>15</v>
      </c>
      <c r="J1" s="116" t="s">
        <v>16</v>
      </c>
      <c r="K1" s="2" t="s">
        <v>22</v>
      </c>
      <c r="L1" s="2" t="s">
        <v>277</v>
      </c>
      <c r="M1" s="2" t="s">
        <v>278</v>
      </c>
      <c r="N1" s="2" t="s">
        <v>279</v>
      </c>
      <c r="O1" s="19"/>
    </row>
    <row r="2" spans="1:16" ht="58" x14ac:dyDescent="0.35">
      <c r="A2" s="33">
        <v>1800001617</v>
      </c>
      <c r="B2" s="33" t="s">
        <v>57</v>
      </c>
      <c r="C2" s="34">
        <v>45730</v>
      </c>
      <c r="D2" s="34">
        <v>45735</v>
      </c>
      <c r="E2" s="33" t="s">
        <v>54</v>
      </c>
      <c r="F2" s="37">
        <v>246779412274</v>
      </c>
      <c r="G2" s="33" t="s">
        <v>45</v>
      </c>
      <c r="H2" s="35">
        <v>100</v>
      </c>
      <c r="I2" s="33" t="s">
        <v>34</v>
      </c>
      <c r="J2" s="117">
        <v>8669.1299999999992</v>
      </c>
      <c r="K2" s="56" t="s">
        <v>71</v>
      </c>
      <c r="L2" s="56" t="s">
        <v>280</v>
      </c>
      <c r="M2" s="62" t="s">
        <v>281</v>
      </c>
      <c r="N2" s="118" t="s">
        <v>274</v>
      </c>
      <c r="O2" s="19"/>
    </row>
    <row r="3" spans="1:16" ht="43.5" x14ac:dyDescent="0.35">
      <c r="A3" s="33">
        <v>1800000559</v>
      </c>
      <c r="B3" s="33" t="s">
        <v>57</v>
      </c>
      <c r="C3" s="34">
        <v>45719</v>
      </c>
      <c r="D3" s="34">
        <v>45719</v>
      </c>
      <c r="E3" s="33" t="s">
        <v>54</v>
      </c>
      <c r="F3" s="37">
        <v>246779410509</v>
      </c>
      <c r="G3" s="33" t="s">
        <v>45</v>
      </c>
      <c r="H3" s="35">
        <v>29.25</v>
      </c>
      <c r="I3" s="33" t="s">
        <v>34</v>
      </c>
      <c r="J3" s="119">
        <v>2535.7199999999998</v>
      </c>
      <c r="K3" s="56" t="s">
        <v>95</v>
      </c>
      <c r="L3" s="56" t="s">
        <v>282</v>
      </c>
      <c r="M3" s="62" t="s">
        <v>283</v>
      </c>
      <c r="N3" s="62" t="s">
        <v>275</v>
      </c>
      <c r="O3" s="19"/>
    </row>
    <row r="4" spans="1:16" ht="43.5" x14ac:dyDescent="0.35">
      <c r="A4" s="33">
        <v>1800006698</v>
      </c>
      <c r="B4" s="33" t="s">
        <v>57</v>
      </c>
      <c r="C4" s="34">
        <v>45762</v>
      </c>
      <c r="D4" s="34">
        <v>45763</v>
      </c>
      <c r="E4" s="33" t="s">
        <v>54</v>
      </c>
      <c r="F4" s="37">
        <v>256779411589</v>
      </c>
      <c r="G4" s="33" t="s">
        <v>45</v>
      </c>
      <c r="H4" s="35">
        <v>3.38</v>
      </c>
      <c r="I4" s="33" t="s">
        <v>34</v>
      </c>
      <c r="J4" s="119">
        <v>293.8</v>
      </c>
      <c r="K4" s="56" t="s">
        <v>101</v>
      </c>
      <c r="L4" s="56" t="s">
        <v>284</v>
      </c>
      <c r="M4" s="62" t="s">
        <v>283</v>
      </c>
      <c r="N4" s="118" t="s">
        <v>276</v>
      </c>
      <c r="O4" s="19"/>
    </row>
    <row r="5" spans="1:16" ht="58" x14ac:dyDescent="0.35">
      <c r="A5" s="33">
        <v>1800001791</v>
      </c>
      <c r="B5" s="33" t="s">
        <v>57</v>
      </c>
      <c r="C5" s="34">
        <v>45730</v>
      </c>
      <c r="D5" s="34">
        <v>45733</v>
      </c>
      <c r="E5" s="33" t="s">
        <v>54</v>
      </c>
      <c r="F5" s="37">
        <v>246779411456</v>
      </c>
      <c r="G5" s="33" t="s">
        <v>45</v>
      </c>
      <c r="H5" s="35">
        <v>4.7699999999999996</v>
      </c>
      <c r="I5" s="33" t="s">
        <v>34</v>
      </c>
      <c r="J5" s="119">
        <v>413.52</v>
      </c>
      <c r="K5" s="56" t="s">
        <v>107</v>
      </c>
      <c r="L5" s="56" t="s">
        <v>285</v>
      </c>
      <c r="M5" s="62" t="s">
        <v>281</v>
      </c>
      <c r="N5" s="118" t="s">
        <v>274</v>
      </c>
      <c r="O5" s="19"/>
    </row>
    <row r="6" spans="1:16" ht="29" x14ac:dyDescent="0.35">
      <c r="A6" s="33">
        <v>1800012462</v>
      </c>
      <c r="B6" s="33" t="s">
        <v>57</v>
      </c>
      <c r="C6" s="34">
        <v>45904</v>
      </c>
      <c r="D6" s="34">
        <v>45909</v>
      </c>
      <c r="E6" s="33" t="s">
        <v>54</v>
      </c>
      <c r="F6" s="37">
        <v>256779417162</v>
      </c>
      <c r="G6" s="33" t="s">
        <v>45</v>
      </c>
      <c r="H6" s="35">
        <v>44.74</v>
      </c>
      <c r="I6" s="33" t="s">
        <v>34</v>
      </c>
      <c r="J6" s="119">
        <v>3915.39</v>
      </c>
      <c r="K6" s="56" t="s">
        <v>111</v>
      </c>
      <c r="L6" s="56" t="s">
        <v>286</v>
      </c>
      <c r="M6" s="62" t="s">
        <v>287</v>
      </c>
      <c r="N6" s="118" t="s">
        <v>274</v>
      </c>
      <c r="O6" s="19"/>
    </row>
    <row r="7" spans="1:16" ht="43.5" x14ac:dyDescent="0.35">
      <c r="A7" s="33">
        <v>1800014290</v>
      </c>
      <c r="B7" s="33" t="s">
        <v>57</v>
      </c>
      <c r="C7" s="34">
        <v>45966</v>
      </c>
      <c r="D7" s="34">
        <v>45967</v>
      </c>
      <c r="E7" s="33" t="s">
        <v>54</v>
      </c>
      <c r="F7" s="37">
        <v>256779418827</v>
      </c>
      <c r="G7" s="33" t="s">
        <v>45</v>
      </c>
      <c r="H7" s="35">
        <v>60.86</v>
      </c>
      <c r="I7" s="33" t="s">
        <v>34</v>
      </c>
      <c r="J7" s="119">
        <v>5355.89</v>
      </c>
      <c r="K7" s="56" t="s">
        <v>118</v>
      </c>
      <c r="L7" s="56" t="s">
        <v>288</v>
      </c>
      <c r="M7" s="62"/>
      <c r="N7" s="118" t="s">
        <v>274</v>
      </c>
      <c r="O7" s="19"/>
    </row>
    <row r="8" spans="1:16" ht="43.5" x14ac:dyDescent="0.35">
      <c r="A8" s="33">
        <v>1800004532</v>
      </c>
      <c r="B8" s="33" t="s">
        <v>57</v>
      </c>
      <c r="C8" s="34">
        <v>45736</v>
      </c>
      <c r="D8" s="34">
        <v>45737</v>
      </c>
      <c r="E8" s="33" t="s">
        <v>54</v>
      </c>
      <c r="F8" s="37">
        <v>246779414400</v>
      </c>
      <c r="G8" s="33" t="s">
        <v>45</v>
      </c>
      <c r="H8" s="35">
        <v>80.95</v>
      </c>
      <c r="I8" s="33" t="s">
        <v>34</v>
      </c>
      <c r="J8" s="119">
        <v>7017.66</v>
      </c>
      <c r="K8" s="56" t="s">
        <v>80</v>
      </c>
      <c r="L8" s="56" t="s">
        <v>284</v>
      </c>
      <c r="M8" s="62" t="s">
        <v>283</v>
      </c>
      <c r="N8" s="118" t="s">
        <v>276</v>
      </c>
      <c r="O8" s="19"/>
    </row>
    <row r="9" spans="1:16" ht="43.5" x14ac:dyDescent="0.35">
      <c r="A9" s="33">
        <v>1800004533</v>
      </c>
      <c r="B9" s="33" t="s">
        <v>57</v>
      </c>
      <c r="C9" s="34">
        <v>45736</v>
      </c>
      <c r="D9" s="34">
        <v>45737</v>
      </c>
      <c r="E9" s="33" t="s">
        <v>54</v>
      </c>
      <c r="F9" s="37">
        <v>246779414401</v>
      </c>
      <c r="G9" s="33" t="s">
        <v>45</v>
      </c>
      <c r="H9" s="35">
        <v>15</v>
      </c>
      <c r="I9" s="33" t="s">
        <v>34</v>
      </c>
      <c r="J9" s="119">
        <v>1300.3699999999999</v>
      </c>
      <c r="K9" s="56" t="s">
        <v>156</v>
      </c>
      <c r="L9" s="56"/>
      <c r="M9" s="62" t="s">
        <v>289</v>
      </c>
      <c r="N9" s="62" t="s">
        <v>275</v>
      </c>
      <c r="O9" s="19"/>
    </row>
    <row r="10" spans="1:16" ht="114" x14ac:dyDescent="0.35">
      <c r="A10" s="33">
        <v>1800013760</v>
      </c>
      <c r="B10" s="33" t="s">
        <v>57</v>
      </c>
      <c r="C10" s="34">
        <v>45937</v>
      </c>
      <c r="D10" s="34">
        <v>45939</v>
      </c>
      <c r="E10" s="33" t="s">
        <v>54</v>
      </c>
      <c r="F10" s="37">
        <v>256779418181</v>
      </c>
      <c r="G10" s="33" t="s">
        <v>45</v>
      </c>
      <c r="H10" s="35">
        <v>49.33</v>
      </c>
      <c r="I10" s="33" t="s">
        <v>34</v>
      </c>
      <c r="J10" s="119">
        <v>4350.45</v>
      </c>
      <c r="K10" s="56" t="s">
        <v>202</v>
      </c>
      <c r="L10" s="56" t="s">
        <v>290</v>
      </c>
      <c r="M10" s="62" t="s">
        <v>291</v>
      </c>
      <c r="N10" s="118" t="s">
        <v>274</v>
      </c>
      <c r="O10" s="19"/>
    </row>
    <row r="11" spans="1:16" ht="87" x14ac:dyDescent="0.35">
      <c r="A11" s="33">
        <v>1800009470</v>
      </c>
      <c r="B11" s="33" t="s">
        <v>57</v>
      </c>
      <c r="C11" s="34">
        <v>45815</v>
      </c>
      <c r="D11" s="34">
        <v>45817</v>
      </c>
      <c r="E11" s="33" t="s">
        <v>54</v>
      </c>
      <c r="F11" s="37">
        <v>256779414234</v>
      </c>
      <c r="G11" s="33" t="s">
        <v>45</v>
      </c>
      <c r="H11" s="35">
        <v>925.23</v>
      </c>
      <c r="I11" s="33" t="s">
        <v>34</v>
      </c>
      <c r="J11" s="119">
        <v>79098.63</v>
      </c>
      <c r="K11" s="56" t="s">
        <v>210</v>
      </c>
      <c r="L11" s="56" t="s">
        <v>292</v>
      </c>
      <c r="M11" s="62" t="s">
        <v>293</v>
      </c>
      <c r="N11" s="118" t="s">
        <v>274</v>
      </c>
      <c r="O11" s="19">
        <v>149</v>
      </c>
      <c r="P11" s="35">
        <v>22.64</v>
      </c>
    </row>
    <row r="12" spans="1:16" ht="43.5" x14ac:dyDescent="0.35">
      <c r="A12" s="33">
        <v>1800013511</v>
      </c>
      <c r="B12" s="33" t="s">
        <v>57</v>
      </c>
      <c r="C12" s="34">
        <v>45935</v>
      </c>
      <c r="D12" s="34">
        <v>45940</v>
      </c>
      <c r="E12" s="33" t="s">
        <v>54</v>
      </c>
      <c r="F12" s="37">
        <v>256779418401</v>
      </c>
      <c r="G12" s="33" t="s">
        <v>45</v>
      </c>
      <c r="H12" s="35">
        <v>62.52</v>
      </c>
      <c r="I12" s="33" t="s">
        <v>34</v>
      </c>
      <c r="J12" s="119">
        <v>5513.69</v>
      </c>
      <c r="K12" s="56" t="s">
        <v>215</v>
      </c>
      <c r="L12" s="56" t="s">
        <v>288</v>
      </c>
      <c r="M12" s="62" t="s">
        <v>275</v>
      </c>
      <c r="N12" s="62" t="s">
        <v>275</v>
      </c>
      <c r="O12" s="19"/>
    </row>
    <row r="13" spans="1:16" x14ac:dyDescent="0.35">
      <c r="A13" s="19"/>
      <c r="B13" s="19"/>
      <c r="C13" s="19"/>
      <c r="D13" s="19"/>
      <c r="E13" s="19"/>
      <c r="F13" s="19"/>
      <c r="G13" s="19"/>
      <c r="H13" s="120">
        <f>SUM(H2:H12)</f>
        <v>1376.03</v>
      </c>
      <c r="I13" s="19"/>
      <c r="J13" s="121">
        <f>SUBTOTAL(9,J2:J12)</f>
        <v>118464.25</v>
      </c>
      <c r="K13" s="62"/>
      <c r="L13" s="56"/>
      <c r="M13" s="62"/>
      <c r="N13" s="62"/>
      <c r="O13" s="19"/>
    </row>
    <row r="14" spans="1:16" x14ac:dyDescent="0.35">
      <c r="H14" s="122"/>
    </row>
    <row r="15" spans="1:16" x14ac:dyDescent="0.35">
      <c r="H15" s="42"/>
      <c r="L15" s="124"/>
    </row>
    <row r="16" spans="1:16" ht="14" customHeight="1" x14ac:dyDescent="0.35">
      <c r="L16" s="125"/>
    </row>
    <row r="17" spans="12:12" x14ac:dyDescent="0.35">
      <c r="L17" s="125"/>
    </row>
    <row r="18" spans="12:12" x14ac:dyDescent="0.35">
      <c r="L18" s="126"/>
    </row>
    <row r="19" spans="12:12" x14ac:dyDescent="0.35">
      <c r="L19" s="126"/>
    </row>
    <row r="20" spans="12:12" x14ac:dyDescent="0.35">
      <c r="L20" s="126"/>
    </row>
    <row r="21" spans="12:12" x14ac:dyDescent="0.35">
      <c r="L21" s="126"/>
    </row>
  </sheetData>
  <autoFilter ref="A1:P12" xr:uid="{49489EA0-C501-497B-A113-50A20A488C6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1AA2-A5E1-4C5E-A6D6-21B58A4E730C}">
  <dimension ref="A1:B10"/>
  <sheetViews>
    <sheetView tabSelected="1" zoomScale="145" zoomScaleNormal="145" workbookViewId="0">
      <selection activeCell="O5" sqref="O5"/>
    </sheetView>
  </sheetViews>
  <sheetFormatPr defaultRowHeight="14.5" x14ac:dyDescent="0.35"/>
  <cols>
    <col min="1" max="1" width="44.08984375" bestFit="1" customWidth="1"/>
    <col min="2" max="2" width="13.6328125" bestFit="1" customWidth="1"/>
  </cols>
  <sheetData>
    <row r="1" spans="1:2" ht="15" thickBot="1" x14ac:dyDescent="0.4">
      <c r="A1" s="108" t="s">
        <v>255</v>
      </c>
      <c r="B1" s="109"/>
    </row>
    <row r="2" spans="1:2" ht="15" thickBot="1" x14ac:dyDescent="0.4">
      <c r="A2" s="43" t="s">
        <v>252</v>
      </c>
      <c r="B2" s="44" t="s">
        <v>272</v>
      </c>
    </row>
    <row r="3" spans="1:2" x14ac:dyDescent="0.35">
      <c r="A3" s="46" t="s">
        <v>264</v>
      </c>
      <c r="B3" s="45">
        <f>'Customer Data'!F151</f>
        <v>5221.5930000000299</v>
      </c>
    </row>
    <row r="4" spans="1:2" x14ac:dyDescent="0.35">
      <c r="A4" s="46" t="s">
        <v>256</v>
      </c>
      <c r="B4" s="47">
        <f>'TDS To Be Booked'!L146+'Payment Reco'!H4</f>
        <v>2462.845888888889</v>
      </c>
    </row>
    <row r="5" spans="1:2" x14ac:dyDescent="0.35">
      <c r="A5" s="46" t="s">
        <v>271</v>
      </c>
      <c r="B5" s="47">
        <f>'Invoice Not in Customer Boo (2)'!H13</f>
        <v>1376.03</v>
      </c>
    </row>
    <row r="6" spans="1:2" x14ac:dyDescent="0.35">
      <c r="A6" s="46" t="s">
        <v>268</v>
      </c>
      <c r="B6" s="47">
        <v>50</v>
      </c>
    </row>
    <row r="7" spans="1:2" x14ac:dyDescent="0.35">
      <c r="A7" s="46" t="s">
        <v>257</v>
      </c>
      <c r="B7" s="47">
        <f>SUM(B3:B6)</f>
        <v>9110.4688888889195</v>
      </c>
    </row>
    <row r="8" spans="1:2" x14ac:dyDescent="0.35">
      <c r="A8" s="46" t="s">
        <v>258</v>
      </c>
      <c r="B8" s="47">
        <f>'Ascendus data working'!F202</f>
        <v>8974.5146266300089</v>
      </c>
    </row>
    <row r="9" spans="1:2" ht="15" thickBot="1" x14ac:dyDescent="0.4">
      <c r="A9" s="48"/>
      <c r="B9" s="49"/>
    </row>
    <row r="10" spans="1:2" ht="15" thickBot="1" x14ac:dyDescent="0.4">
      <c r="A10" s="50" t="s">
        <v>259</v>
      </c>
      <c r="B10" s="51">
        <f>B7-B8-B9</f>
        <v>135.9542622589106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EB53-6E21-40E5-B668-F2767D319D6E}">
  <dimension ref="A1:H9"/>
  <sheetViews>
    <sheetView tabSelected="1" zoomScale="160" zoomScaleNormal="160" workbookViewId="0">
      <selection activeCell="O5" sqref="O5"/>
    </sheetView>
  </sheetViews>
  <sheetFormatPr defaultRowHeight="14.5" x14ac:dyDescent="0.35"/>
  <cols>
    <col min="1" max="1" width="10.08984375" bestFit="1" customWidth="1"/>
    <col min="2" max="2" width="16.7265625" bestFit="1" customWidth="1"/>
    <col min="3" max="3" width="9.7265625" bestFit="1" customWidth="1"/>
    <col min="4" max="4" width="12.7265625" bestFit="1" customWidth="1"/>
    <col min="5" max="5" width="10.08984375" bestFit="1" customWidth="1"/>
    <col min="6" max="6" width="7.6328125" bestFit="1" customWidth="1"/>
    <col min="7" max="7" width="9.453125" bestFit="1" customWidth="1"/>
    <col min="8" max="8" width="9.36328125" bestFit="1" customWidth="1"/>
  </cols>
  <sheetData>
    <row r="1" spans="1:8" ht="15" thickBot="1" x14ac:dyDescent="0.4"/>
    <row r="2" spans="1:8" x14ac:dyDescent="0.35">
      <c r="A2" s="110" t="s">
        <v>251</v>
      </c>
      <c r="B2" s="111"/>
      <c r="C2" s="112"/>
      <c r="D2" s="113" t="s">
        <v>254</v>
      </c>
      <c r="E2" s="114"/>
      <c r="F2" s="114"/>
      <c r="G2" s="115"/>
      <c r="H2" s="63"/>
    </row>
    <row r="3" spans="1:8" ht="29" x14ac:dyDescent="0.35">
      <c r="A3" s="11" t="s">
        <v>242</v>
      </c>
      <c r="B3" s="11" t="s">
        <v>252</v>
      </c>
      <c r="C3" s="11" t="s">
        <v>250</v>
      </c>
      <c r="D3" s="11" t="s">
        <v>252</v>
      </c>
      <c r="E3" s="81" t="s">
        <v>253</v>
      </c>
      <c r="F3" s="81"/>
      <c r="G3" s="81" t="s">
        <v>250</v>
      </c>
      <c r="H3" s="82" t="s">
        <v>263</v>
      </c>
    </row>
    <row r="4" spans="1:8" x14ac:dyDescent="0.35">
      <c r="A4" s="17">
        <v>45800</v>
      </c>
      <c r="B4" s="18" t="s">
        <v>247</v>
      </c>
      <c r="C4" s="16">
        <v>7435.89</v>
      </c>
      <c r="D4" s="33" t="s">
        <v>43</v>
      </c>
      <c r="E4" s="34">
        <v>45862</v>
      </c>
      <c r="F4" s="33" t="s">
        <v>45</v>
      </c>
      <c r="G4" s="35">
        <v>-8262.11</v>
      </c>
      <c r="H4" s="83">
        <f>C4+G4</f>
        <v>-826.22000000000025</v>
      </c>
    </row>
    <row r="5" spans="1:8" x14ac:dyDescent="0.35">
      <c r="A5" s="17">
        <v>45856</v>
      </c>
      <c r="B5" s="18" t="s">
        <v>247</v>
      </c>
      <c r="C5" s="16">
        <v>4602.99</v>
      </c>
      <c r="D5" s="33" t="s">
        <v>43</v>
      </c>
      <c r="E5" s="34">
        <v>45891</v>
      </c>
      <c r="F5" s="33" t="s">
        <v>45</v>
      </c>
      <c r="G5" s="35">
        <v>-4582.99</v>
      </c>
      <c r="H5" s="83">
        <f t="shared" ref="H5:H7" si="0">C5+G5</f>
        <v>20</v>
      </c>
    </row>
    <row r="6" spans="1:8" x14ac:dyDescent="0.35">
      <c r="A6" s="17">
        <v>45945</v>
      </c>
      <c r="B6" s="18" t="s">
        <v>247</v>
      </c>
      <c r="C6" s="16">
        <v>4875.1499999999996</v>
      </c>
      <c r="D6" s="33" t="s">
        <v>43</v>
      </c>
      <c r="E6" s="34">
        <v>45955</v>
      </c>
      <c r="F6" s="33" t="s">
        <v>45</v>
      </c>
      <c r="G6" s="35">
        <v>-4875.1499999999996</v>
      </c>
      <c r="H6" s="83">
        <f t="shared" si="0"/>
        <v>0</v>
      </c>
    </row>
    <row r="7" spans="1:8" ht="15" thickBot="1" x14ac:dyDescent="0.4">
      <c r="A7" s="84"/>
      <c r="B7" s="85" t="s">
        <v>247</v>
      </c>
      <c r="C7" s="86">
        <v>10721.42</v>
      </c>
      <c r="D7" s="87" t="s">
        <v>43</v>
      </c>
      <c r="E7" s="88">
        <v>46050</v>
      </c>
      <c r="F7" s="87" t="s">
        <v>45</v>
      </c>
      <c r="G7" s="89">
        <v>-10691.42</v>
      </c>
      <c r="H7" s="90">
        <f t="shared" si="0"/>
        <v>30</v>
      </c>
    </row>
    <row r="8" spans="1:8" ht="15" thickBot="1" x14ac:dyDescent="0.4">
      <c r="A8" s="91"/>
      <c r="B8" s="92"/>
      <c r="C8" s="93">
        <f>SUM(C4:C7)</f>
        <v>27635.449999999997</v>
      </c>
      <c r="D8" s="92"/>
      <c r="E8" s="92"/>
      <c r="F8" s="92"/>
      <c r="G8" s="94">
        <f>SUM(G4:G7)</f>
        <v>-28411.67</v>
      </c>
      <c r="H8" s="95">
        <f>SUM(H4:H7)</f>
        <v>-776.22000000000025</v>
      </c>
    </row>
    <row r="9" spans="1:8" x14ac:dyDescent="0.35">
      <c r="H9" s="64"/>
    </row>
  </sheetData>
  <mergeCells count="2">
    <mergeCell ref="A2:C2"/>
    <mergeCell ref="D2:G2"/>
  </mergeCells>
  <pageMargins left="0.7" right="0.7" top="0.75" bottom="0.75" header="0.3" footer="0.3"/>
  <pageSetup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248E-F8E0-41FC-9795-8D6AD327387A}">
  <dimension ref="A1:Q10"/>
  <sheetViews>
    <sheetView topLeftCell="C1" workbookViewId="0">
      <selection activeCell="I2" sqref="I2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0.08984375" bestFit="1" customWidth="1"/>
    <col min="5" max="5" width="20.1796875" bestFit="1" customWidth="1"/>
    <col min="6" max="6" width="12.90625" bestFit="1" customWidth="1"/>
    <col min="7" max="7" width="8.26953125" bestFit="1" customWidth="1"/>
    <col min="8" max="8" width="8.453125" bestFit="1" customWidth="1"/>
    <col min="10" max="10" width="10.90625" bestFit="1" customWidth="1"/>
    <col min="11" max="11" width="41.26953125" bestFit="1" customWidth="1"/>
    <col min="12" max="12" width="4.36328125" bestFit="1" customWidth="1"/>
    <col min="13" max="13" width="7.6328125" bestFit="1" customWidth="1"/>
    <col min="15" max="15" width="15.453125" bestFit="1" customWidth="1"/>
  </cols>
  <sheetData>
    <row r="1" spans="1:17" ht="58" x14ac:dyDescent="0.35">
      <c r="A1" s="1" t="s">
        <v>3</v>
      </c>
      <c r="B1" s="2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13</v>
      </c>
      <c r="H1" s="2" t="s">
        <v>14</v>
      </c>
      <c r="I1" s="2" t="s">
        <v>15</v>
      </c>
      <c r="J1" s="2" t="s">
        <v>16</v>
      </c>
      <c r="K1" s="1" t="s">
        <v>22</v>
      </c>
      <c r="L1" s="1" t="s">
        <v>22</v>
      </c>
      <c r="M1" s="36" t="s">
        <v>249</v>
      </c>
    </row>
    <row r="2" spans="1:17" x14ac:dyDescent="0.35">
      <c r="A2" s="32">
        <v>1600002686</v>
      </c>
      <c r="B2" s="33" t="s">
        <v>82</v>
      </c>
      <c r="C2" s="34">
        <v>46027</v>
      </c>
      <c r="D2" s="34">
        <v>46027</v>
      </c>
      <c r="E2" s="33" t="s">
        <v>54</v>
      </c>
      <c r="F2" s="37">
        <v>256779422156</v>
      </c>
      <c r="G2" s="33" t="s">
        <v>45</v>
      </c>
      <c r="H2" s="35">
        <v>-59.62</v>
      </c>
      <c r="I2" s="33" t="s">
        <v>34</v>
      </c>
      <c r="J2" s="35">
        <v>-5410.11</v>
      </c>
      <c r="K2" s="33" t="s">
        <v>220</v>
      </c>
      <c r="L2" s="19"/>
      <c r="M2" t="e">
        <v>#N/A</v>
      </c>
      <c r="O2" s="79">
        <v>256779418354</v>
      </c>
      <c r="P2" t="e">
        <f>VLOOKUP(O2,'Invoice Not in Customer Book'!F:H,3,0)</f>
        <v>#N/A</v>
      </c>
      <c r="Q2" s="42" t="e">
        <f t="shared" ref="Q2:Q3" si="0">H2+P2</f>
        <v>#N/A</v>
      </c>
    </row>
    <row r="3" spans="1:17" x14ac:dyDescent="0.35">
      <c r="A3" s="32">
        <v>1600002687</v>
      </c>
      <c r="B3" s="33" t="s">
        <v>82</v>
      </c>
      <c r="C3" s="34">
        <v>46027</v>
      </c>
      <c r="D3" s="34">
        <v>46027</v>
      </c>
      <c r="E3" s="33" t="s">
        <v>54</v>
      </c>
      <c r="F3" s="37">
        <v>256779422157</v>
      </c>
      <c r="G3" s="33" t="s">
        <v>45</v>
      </c>
      <c r="H3" s="35">
        <v>-49.33</v>
      </c>
      <c r="I3" s="33" t="s">
        <v>34</v>
      </c>
      <c r="J3" s="35">
        <v>-4476.3599999999997</v>
      </c>
      <c r="K3" s="33" t="s">
        <v>220</v>
      </c>
      <c r="L3" s="19"/>
      <c r="M3" t="e">
        <v>#N/A</v>
      </c>
      <c r="O3" s="79">
        <v>256779418354</v>
      </c>
      <c r="P3" t="e">
        <f>VLOOKUP(O3,'Invoice Not in Customer Book'!F:H,3,0)</f>
        <v>#N/A</v>
      </c>
      <c r="Q3" s="42" t="e">
        <f t="shared" si="0"/>
        <v>#N/A</v>
      </c>
    </row>
    <row r="4" spans="1:17" x14ac:dyDescent="0.35">
      <c r="H4" s="42">
        <f>SUM(H2:H3)</f>
        <v>-108.94999999999999</v>
      </c>
    </row>
    <row r="7" spans="1:17" x14ac:dyDescent="0.35">
      <c r="K7" s="80"/>
    </row>
    <row r="8" spans="1:17" x14ac:dyDescent="0.35">
      <c r="K8" s="80"/>
    </row>
    <row r="9" spans="1:17" x14ac:dyDescent="0.35">
      <c r="K9" s="80"/>
    </row>
    <row r="10" spans="1:17" x14ac:dyDescent="0.35">
      <c r="K10" s="80"/>
    </row>
  </sheetData>
  <autoFilter ref="A1:T4" xr:uid="{D270248E-F8E0-41FC-9795-8D6AD327387A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AB76-E92F-45B2-9249-2E69A72A3A39}">
  <dimension ref="A1:O14"/>
  <sheetViews>
    <sheetView workbookViewId="0">
      <selection activeCell="H12" sqref="H12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0.08984375" bestFit="1" customWidth="1"/>
    <col min="5" max="5" width="20.1796875" bestFit="1" customWidth="1"/>
    <col min="6" max="6" width="12.90625" bestFit="1" customWidth="1"/>
    <col min="7" max="7" width="8.26953125" bestFit="1" customWidth="1"/>
    <col min="8" max="8" width="9.7265625" bestFit="1" customWidth="1"/>
    <col min="10" max="10" width="10.26953125" bestFit="1" customWidth="1"/>
    <col min="11" max="11" width="43.1796875" bestFit="1" customWidth="1"/>
    <col min="12" max="12" width="4.36328125" hidden="1" customWidth="1"/>
    <col min="13" max="13" width="7.6328125" hidden="1" customWidth="1"/>
    <col min="14" max="14" width="11.81640625" hidden="1" customWidth="1"/>
    <col min="15" max="15" width="78.453125" customWidth="1"/>
  </cols>
  <sheetData>
    <row r="1" spans="1:15" ht="58" x14ac:dyDescent="0.35">
      <c r="A1" s="1" t="s">
        <v>3</v>
      </c>
      <c r="B1" s="2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13</v>
      </c>
      <c r="H1" s="2" t="s">
        <v>14</v>
      </c>
      <c r="I1" s="2" t="s">
        <v>15</v>
      </c>
      <c r="J1" s="2" t="s">
        <v>16</v>
      </c>
      <c r="K1" s="1" t="s">
        <v>22</v>
      </c>
      <c r="L1" s="1" t="s">
        <v>22</v>
      </c>
      <c r="M1" s="1" t="s">
        <v>249</v>
      </c>
      <c r="N1" s="19"/>
      <c r="O1" s="1" t="s">
        <v>273</v>
      </c>
    </row>
    <row r="2" spans="1:15" x14ac:dyDescent="0.35">
      <c r="A2" s="32">
        <v>1800001617</v>
      </c>
      <c r="B2" s="33" t="s">
        <v>57</v>
      </c>
      <c r="C2" s="34">
        <v>45730</v>
      </c>
      <c r="D2" s="34">
        <v>45735</v>
      </c>
      <c r="E2" s="33" t="s">
        <v>54</v>
      </c>
      <c r="F2" s="37">
        <v>246779412274</v>
      </c>
      <c r="G2" s="33" t="s">
        <v>45</v>
      </c>
      <c r="H2" s="35">
        <v>100</v>
      </c>
      <c r="I2" s="33" t="s">
        <v>34</v>
      </c>
      <c r="J2" s="35">
        <v>8669.1299999999992</v>
      </c>
      <c r="K2" s="33" t="s">
        <v>71</v>
      </c>
      <c r="L2" s="19"/>
      <c r="M2" s="19" t="e">
        <v>#N/A</v>
      </c>
      <c r="N2" s="19" t="e">
        <f>VLOOKUP(F2,'CN Not in Customer Books'!O:O,1,0)</f>
        <v>#N/A</v>
      </c>
      <c r="O2" s="62" t="s">
        <v>274</v>
      </c>
    </row>
    <row r="3" spans="1:15" x14ac:dyDescent="0.35">
      <c r="A3" s="32">
        <v>1800000559</v>
      </c>
      <c r="B3" s="33" t="s">
        <v>57</v>
      </c>
      <c r="C3" s="34">
        <v>45719</v>
      </c>
      <c r="D3" s="34">
        <v>45719</v>
      </c>
      <c r="E3" s="33" t="s">
        <v>54</v>
      </c>
      <c r="F3" s="37">
        <v>246779410509</v>
      </c>
      <c r="G3" s="33" t="s">
        <v>45</v>
      </c>
      <c r="H3" s="35">
        <v>29.25</v>
      </c>
      <c r="I3" s="33" t="s">
        <v>34</v>
      </c>
      <c r="J3" s="35">
        <v>2535.7199999999998</v>
      </c>
      <c r="K3" s="33" t="s">
        <v>95</v>
      </c>
      <c r="L3" s="19"/>
      <c r="M3" s="19" t="e">
        <v>#N/A</v>
      </c>
      <c r="N3" s="19" t="e">
        <f>VLOOKUP(F3,'CN Not in Customer Books'!O:O,1,0)</f>
        <v>#N/A</v>
      </c>
      <c r="O3" s="62" t="s">
        <v>275</v>
      </c>
    </row>
    <row r="4" spans="1:15" x14ac:dyDescent="0.35">
      <c r="A4" s="32">
        <v>1800006698</v>
      </c>
      <c r="B4" s="33" t="s">
        <v>57</v>
      </c>
      <c r="C4" s="34">
        <v>45762</v>
      </c>
      <c r="D4" s="34">
        <v>45763</v>
      </c>
      <c r="E4" s="33" t="s">
        <v>54</v>
      </c>
      <c r="F4" s="37">
        <v>256779411589</v>
      </c>
      <c r="G4" s="33" t="s">
        <v>45</v>
      </c>
      <c r="H4" s="35">
        <v>3.38</v>
      </c>
      <c r="I4" s="33" t="s">
        <v>34</v>
      </c>
      <c r="J4" s="35">
        <v>293.8</v>
      </c>
      <c r="K4" s="33" t="s">
        <v>101</v>
      </c>
      <c r="L4" s="19"/>
      <c r="M4" s="19" t="e">
        <v>#N/A</v>
      </c>
      <c r="N4" s="19" t="e">
        <f>VLOOKUP(F4,'CN Not in Customer Books'!O:O,1,0)</f>
        <v>#N/A</v>
      </c>
      <c r="O4" s="62" t="s">
        <v>276</v>
      </c>
    </row>
    <row r="5" spans="1:15" x14ac:dyDescent="0.35">
      <c r="A5" s="32">
        <v>1800012462</v>
      </c>
      <c r="B5" s="33" t="s">
        <v>57</v>
      </c>
      <c r="C5" s="34">
        <v>45904</v>
      </c>
      <c r="D5" s="34">
        <v>45909</v>
      </c>
      <c r="E5" s="33" t="s">
        <v>54</v>
      </c>
      <c r="F5" s="37">
        <v>256779417162</v>
      </c>
      <c r="G5" s="33" t="s">
        <v>45</v>
      </c>
      <c r="H5" s="35">
        <v>44.74</v>
      </c>
      <c r="I5" s="33" t="s">
        <v>34</v>
      </c>
      <c r="J5" s="35">
        <v>3915.39</v>
      </c>
      <c r="K5" s="33" t="s">
        <v>111</v>
      </c>
      <c r="L5" s="19"/>
      <c r="M5" s="19" t="e">
        <v>#N/A</v>
      </c>
      <c r="N5" s="19" t="e">
        <f>VLOOKUP(F5,'CN Not in Customer Books'!O:O,1,0)</f>
        <v>#N/A</v>
      </c>
      <c r="O5" s="62" t="s">
        <v>274</v>
      </c>
    </row>
    <row r="6" spans="1:15" x14ac:dyDescent="0.35">
      <c r="A6" s="32">
        <v>1800014290</v>
      </c>
      <c r="B6" s="33" t="s">
        <v>57</v>
      </c>
      <c r="C6" s="34">
        <v>45966</v>
      </c>
      <c r="D6" s="34">
        <v>45967</v>
      </c>
      <c r="E6" s="33" t="s">
        <v>54</v>
      </c>
      <c r="F6" s="37">
        <v>256779418827</v>
      </c>
      <c r="G6" s="33" t="s">
        <v>45</v>
      </c>
      <c r="H6" s="35">
        <v>60.86</v>
      </c>
      <c r="I6" s="33" t="s">
        <v>34</v>
      </c>
      <c r="J6" s="35">
        <v>5355.89</v>
      </c>
      <c r="K6" s="33" t="s">
        <v>118</v>
      </c>
      <c r="L6" s="19"/>
      <c r="M6" s="19" t="e">
        <v>#N/A</v>
      </c>
      <c r="N6" s="19" t="e">
        <f>VLOOKUP(F6,'CN Not in Customer Books'!O:O,1,0)</f>
        <v>#N/A</v>
      </c>
      <c r="O6" s="62" t="s">
        <v>274</v>
      </c>
    </row>
    <row r="7" spans="1:15" x14ac:dyDescent="0.35">
      <c r="A7" s="32">
        <v>1800004532</v>
      </c>
      <c r="B7" s="33" t="s">
        <v>57</v>
      </c>
      <c r="C7" s="34">
        <v>45736</v>
      </c>
      <c r="D7" s="34">
        <v>45737</v>
      </c>
      <c r="E7" s="33" t="s">
        <v>54</v>
      </c>
      <c r="F7" s="37">
        <v>246779414400</v>
      </c>
      <c r="G7" s="33" t="s">
        <v>45</v>
      </c>
      <c r="H7" s="35">
        <v>80.95</v>
      </c>
      <c r="I7" s="33" t="s">
        <v>34</v>
      </c>
      <c r="J7" s="35">
        <v>7017.66</v>
      </c>
      <c r="K7" s="33" t="s">
        <v>80</v>
      </c>
      <c r="L7" s="19"/>
      <c r="M7" s="19" t="e">
        <v>#N/A</v>
      </c>
      <c r="N7" s="19" t="e">
        <f>VLOOKUP(F7,'CN Not in Customer Books'!O:O,1,0)</f>
        <v>#N/A</v>
      </c>
      <c r="O7" s="62" t="s">
        <v>276</v>
      </c>
    </row>
    <row r="8" spans="1:15" x14ac:dyDescent="0.35">
      <c r="A8" s="32">
        <v>1800004533</v>
      </c>
      <c r="B8" s="33" t="s">
        <v>57</v>
      </c>
      <c r="C8" s="34">
        <v>45736</v>
      </c>
      <c r="D8" s="34">
        <v>45737</v>
      </c>
      <c r="E8" s="33" t="s">
        <v>54</v>
      </c>
      <c r="F8" s="37">
        <v>246779414401</v>
      </c>
      <c r="G8" s="33" t="s">
        <v>45</v>
      </c>
      <c r="H8" s="35">
        <v>15</v>
      </c>
      <c r="I8" s="33" t="s">
        <v>34</v>
      </c>
      <c r="J8" s="35">
        <v>1300.3699999999999</v>
      </c>
      <c r="K8" s="33" t="s">
        <v>156</v>
      </c>
      <c r="L8" s="19"/>
      <c r="M8" s="19" t="e">
        <v>#N/A</v>
      </c>
      <c r="N8" s="19" t="e">
        <f>VLOOKUP(F8,'CN Not in Customer Books'!O:O,1,0)</f>
        <v>#N/A</v>
      </c>
      <c r="O8" s="62" t="s">
        <v>275</v>
      </c>
    </row>
    <row r="9" spans="1:15" x14ac:dyDescent="0.35">
      <c r="A9" s="32">
        <v>1800013760</v>
      </c>
      <c r="B9" s="33" t="s">
        <v>57</v>
      </c>
      <c r="C9" s="34">
        <v>45937</v>
      </c>
      <c r="D9" s="34">
        <v>45939</v>
      </c>
      <c r="E9" s="33" t="s">
        <v>54</v>
      </c>
      <c r="F9" s="37">
        <v>256779418181</v>
      </c>
      <c r="G9" s="33" t="s">
        <v>45</v>
      </c>
      <c r="H9" s="35">
        <v>49.33</v>
      </c>
      <c r="I9" s="33" t="s">
        <v>34</v>
      </c>
      <c r="J9" s="35">
        <v>4350.45</v>
      </c>
      <c r="K9" s="33" t="s">
        <v>202</v>
      </c>
      <c r="L9" s="19"/>
      <c r="M9" s="19" t="e">
        <v>#N/A</v>
      </c>
      <c r="N9" s="19" t="e">
        <f>VLOOKUP(F9,'CN Not in Customer Books'!O:O,1,0)</f>
        <v>#N/A</v>
      </c>
      <c r="O9" s="62" t="s">
        <v>274</v>
      </c>
    </row>
    <row r="10" spans="1:15" x14ac:dyDescent="0.35">
      <c r="A10" s="32">
        <v>1800009470</v>
      </c>
      <c r="B10" s="33" t="s">
        <v>57</v>
      </c>
      <c r="C10" s="34">
        <v>45815</v>
      </c>
      <c r="D10" s="34">
        <v>45817</v>
      </c>
      <c r="E10" s="33" t="s">
        <v>54</v>
      </c>
      <c r="F10" s="37">
        <v>256779414234</v>
      </c>
      <c r="G10" s="33" t="s">
        <v>45</v>
      </c>
      <c r="H10" s="35">
        <v>925.23</v>
      </c>
      <c r="I10" s="33" t="s">
        <v>34</v>
      </c>
      <c r="J10" s="35">
        <v>79098.63</v>
      </c>
      <c r="K10" s="33" t="s">
        <v>210</v>
      </c>
      <c r="L10" s="19"/>
      <c r="M10" s="19" t="e">
        <v>#N/A</v>
      </c>
      <c r="N10" s="19" t="e">
        <f>VLOOKUP(F10,'CN Not in Customer Books'!O:O,1,0)</f>
        <v>#N/A</v>
      </c>
      <c r="O10" s="62" t="s">
        <v>274</v>
      </c>
    </row>
    <row r="11" spans="1:15" x14ac:dyDescent="0.35">
      <c r="A11" s="32">
        <v>1800013511</v>
      </c>
      <c r="B11" s="33" t="s">
        <v>57</v>
      </c>
      <c r="C11" s="34">
        <v>45935</v>
      </c>
      <c r="D11" s="34">
        <v>45940</v>
      </c>
      <c r="E11" s="33" t="s">
        <v>54</v>
      </c>
      <c r="F11" s="37">
        <v>256779418401</v>
      </c>
      <c r="G11" s="33" t="s">
        <v>45</v>
      </c>
      <c r="H11" s="35">
        <v>62.52</v>
      </c>
      <c r="I11" s="33" t="s">
        <v>34</v>
      </c>
      <c r="J11" s="35">
        <v>5513.69</v>
      </c>
      <c r="K11" s="33" t="s">
        <v>215</v>
      </c>
      <c r="L11" s="19"/>
      <c r="M11" s="19" t="e">
        <v>#N/A</v>
      </c>
      <c r="N11" s="19" t="e">
        <f>VLOOKUP(F11,'CN Not in Customer Books'!O:O,1,0)</f>
        <v>#N/A</v>
      </c>
      <c r="O11" s="62" t="s">
        <v>275</v>
      </c>
    </row>
    <row r="12" spans="1:15" x14ac:dyDescent="0.35">
      <c r="H12" s="42">
        <f>SUM(H2:H11)</f>
        <v>1371.26</v>
      </c>
    </row>
    <row r="13" spans="1:15" x14ac:dyDescent="0.35">
      <c r="H13" s="52">
        <f>'CN Not in Customer Books'!H4</f>
        <v>-108.94999999999999</v>
      </c>
    </row>
    <row r="14" spans="1:15" x14ac:dyDescent="0.35">
      <c r="H14" s="42">
        <f>SUM(H12:H13)</f>
        <v>1262.31</v>
      </c>
    </row>
  </sheetData>
  <autoFilter ref="A1:O14" xr:uid="{9443AB76-E92F-45B2-9249-2E69A72A3A3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75F8-DFEA-4958-B9B8-D8D1B4EF8449}">
  <dimension ref="A1:N146"/>
  <sheetViews>
    <sheetView topLeftCell="D1" workbookViewId="0">
      <selection activeCell="K3" sqref="K3"/>
    </sheetView>
  </sheetViews>
  <sheetFormatPr defaultRowHeight="14.5" x14ac:dyDescent="0.35"/>
  <cols>
    <col min="1" max="1" width="19.08984375" bestFit="1" customWidth="1"/>
    <col min="2" max="2" width="11.7265625" bestFit="1" customWidth="1"/>
    <col min="3" max="3" width="10.08984375" bestFit="1" customWidth="1"/>
    <col min="4" max="4" width="12.90625" bestFit="1" customWidth="1"/>
    <col min="5" max="5" width="11.7265625" bestFit="1" customWidth="1"/>
    <col min="6" max="6" width="12.90625" bestFit="1" customWidth="1"/>
    <col min="7" max="7" width="13.90625" bestFit="1" customWidth="1"/>
    <col min="8" max="8" width="17.54296875" bestFit="1" customWidth="1"/>
    <col min="9" max="9" width="48" bestFit="1" customWidth="1"/>
    <col min="10" max="10" width="9.90625" style="52" bestFit="1" customWidth="1"/>
    <col min="11" max="11" width="10.6328125" style="52" bestFit="1" customWidth="1"/>
    <col min="12" max="12" width="10.08984375" style="52" bestFit="1" customWidth="1"/>
    <col min="13" max="13" width="11.1796875" style="52" bestFit="1" customWidth="1"/>
    <col min="14" max="14" width="3.1796875" bestFit="1" customWidth="1"/>
    <col min="15" max="16" width="10.81640625" bestFit="1" customWidth="1"/>
    <col min="17" max="17" width="3.26953125" bestFit="1" customWidth="1"/>
    <col min="18" max="18" width="1.81640625" bestFit="1" customWidth="1"/>
    <col min="19" max="20" width="29.90625" bestFit="1" customWidth="1"/>
    <col min="23" max="24" width="10.08984375" bestFit="1" customWidth="1"/>
    <col min="27" max="28" width="6.81640625" bestFit="1" customWidth="1"/>
  </cols>
  <sheetData>
    <row r="1" spans="1:14" x14ac:dyDescent="0.35">
      <c r="L1" s="52">
        <f>SUBTOTAL(9,L2:L136)</f>
        <v>3468.5858888888888</v>
      </c>
      <c r="M1" s="52">
        <f>L1*85</f>
        <v>294829.80055555556</v>
      </c>
    </row>
    <row r="2" spans="1:14" ht="43.5" x14ac:dyDescent="0.35">
      <c r="A2" s="2" t="s">
        <v>3</v>
      </c>
      <c r="B2" s="2" t="s">
        <v>4</v>
      </c>
      <c r="C2" s="2" t="s">
        <v>5</v>
      </c>
      <c r="D2" s="2" t="s">
        <v>8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22</v>
      </c>
      <c r="J2" s="66" t="s">
        <v>249</v>
      </c>
      <c r="K2" s="66" t="s">
        <v>262</v>
      </c>
      <c r="L2" s="66" t="s">
        <v>260</v>
      </c>
      <c r="M2" s="66" t="s">
        <v>261</v>
      </c>
    </row>
    <row r="3" spans="1:14" x14ac:dyDescent="0.35">
      <c r="A3" s="55">
        <v>1800000035</v>
      </c>
      <c r="B3" s="56" t="s">
        <v>57</v>
      </c>
      <c r="C3" s="57">
        <v>45708</v>
      </c>
      <c r="D3" s="58">
        <v>246779410007</v>
      </c>
      <c r="E3" s="56" t="s">
        <v>45</v>
      </c>
      <c r="F3" s="59">
        <v>1190.48</v>
      </c>
      <c r="G3" s="56" t="s">
        <v>34</v>
      </c>
      <c r="H3" s="59">
        <v>102742.78</v>
      </c>
      <c r="I3" s="56" t="s">
        <v>164</v>
      </c>
      <c r="J3" s="61">
        <v>1071.43</v>
      </c>
      <c r="K3" s="61">
        <f>F3</f>
        <v>1190.48</v>
      </c>
      <c r="L3" s="61">
        <f t="shared" ref="L3:L34" si="0">F3-J3</f>
        <v>119.04999999999995</v>
      </c>
      <c r="M3" s="61">
        <f>L3/F3*100</f>
        <v>10.000167999462398</v>
      </c>
      <c r="N3" s="52"/>
    </row>
    <row r="4" spans="1:14" x14ac:dyDescent="0.35">
      <c r="A4" s="55">
        <v>1800000079</v>
      </c>
      <c r="B4" s="56" t="s">
        <v>57</v>
      </c>
      <c r="C4" s="57">
        <v>45708</v>
      </c>
      <c r="D4" s="58">
        <v>246779410274</v>
      </c>
      <c r="E4" s="56" t="s">
        <v>45</v>
      </c>
      <c r="F4" s="59">
        <v>1190.48</v>
      </c>
      <c r="G4" s="56" t="s">
        <v>34</v>
      </c>
      <c r="H4" s="59">
        <v>102742.78</v>
      </c>
      <c r="I4" s="56" t="s">
        <v>165</v>
      </c>
      <c r="J4" s="61">
        <v>1071.43</v>
      </c>
      <c r="K4" s="61">
        <f t="shared" ref="K4:K34" si="1">F4</f>
        <v>1190.48</v>
      </c>
      <c r="L4" s="61">
        <f t="shared" si="0"/>
        <v>119.04999999999995</v>
      </c>
      <c r="M4" s="61">
        <f t="shared" ref="M4:M67" si="2">L4/F4*100</f>
        <v>10.000167999462398</v>
      </c>
      <c r="N4" s="52"/>
    </row>
    <row r="5" spans="1:14" x14ac:dyDescent="0.35">
      <c r="A5" s="55">
        <v>1800000099</v>
      </c>
      <c r="B5" s="56" t="s">
        <v>57</v>
      </c>
      <c r="C5" s="57">
        <v>45708</v>
      </c>
      <c r="D5" s="58">
        <v>246779410027</v>
      </c>
      <c r="E5" s="56" t="s">
        <v>45</v>
      </c>
      <c r="F5" s="59">
        <v>1190.48</v>
      </c>
      <c r="G5" s="56" t="s">
        <v>34</v>
      </c>
      <c r="H5" s="59">
        <v>102742.78</v>
      </c>
      <c r="I5" s="56" t="s">
        <v>166</v>
      </c>
      <c r="J5" s="61">
        <v>1071.43</v>
      </c>
      <c r="K5" s="61">
        <f t="shared" si="1"/>
        <v>1190.48</v>
      </c>
      <c r="L5" s="61">
        <f t="shared" si="0"/>
        <v>119.04999999999995</v>
      </c>
      <c r="M5" s="61">
        <f t="shared" si="2"/>
        <v>10.000167999462398</v>
      </c>
      <c r="N5" s="52"/>
    </row>
    <row r="6" spans="1:14" x14ac:dyDescent="0.35">
      <c r="A6" s="55">
        <v>1800000168</v>
      </c>
      <c r="B6" s="56" t="s">
        <v>57</v>
      </c>
      <c r="C6" s="57">
        <v>45708</v>
      </c>
      <c r="D6" s="58">
        <v>246779410095</v>
      </c>
      <c r="E6" s="56" t="s">
        <v>45</v>
      </c>
      <c r="F6" s="59">
        <v>1190.48</v>
      </c>
      <c r="G6" s="56" t="s">
        <v>34</v>
      </c>
      <c r="H6" s="59">
        <v>102742.78</v>
      </c>
      <c r="I6" s="56" t="s">
        <v>167</v>
      </c>
      <c r="J6" s="61">
        <v>1071.43</v>
      </c>
      <c r="K6" s="61">
        <f t="shared" si="1"/>
        <v>1190.48</v>
      </c>
      <c r="L6" s="61">
        <f t="shared" si="0"/>
        <v>119.04999999999995</v>
      </c>
      <c r="M6" s="61">
        <f t="shared" si="2"/>
        <v>10.000167999462398</v>
      </c>
      <c r="N6" s="52"/>
    </row>
    <row r="7" spans="1:14" x14ac:dyDescent="0.35">
      <c r="A7" s="55">
        <v>1800000211</v>
      </c>
      <c r="B7" s="56" t="s">
        <v>57</v>
      </c>
      <c r="C7" s="57">
        <v>45708</v>
      </c>
      <c r="D7" s="58">
        <v>246779410138</v>
      </c>
      <c r="E7" s="56" t="s">
        <v>45</v>
      </c>
      <c r="F7" s="59">
        <v>1190.48</v>
      </c>
      <c r="G7" s="56" t="s">
        <v>34</v>
      </c>
      <c r="H7" s="59">
        <v>102742.78</v>
      </c>
      <c r="I7" s="56" t="s">
        <v>168</v>
      </c>
      <c r="J7" s="61">
        <v>1071.43</v>
      </c>
      <c r="K7" s="61">
        <f t="shared" si="1"/>
        <v>1190.48</v>
      </c>
      <c r="L7" s="61">
        <f t="shared" si="0"/>
        <v>119.04999999999995</v>
      </c>
      <c r="M7" s="61">
        <f t="shared" si="2"/>
        <v>10.000167999462398</v>
      </c>
      <c r="N7" s="52"/>
    </row>
    <row r="8" spans="1:14" x14ac:dyDescent="0.35">
      <c r="A8" s="55">
        <v>1800000254</v>
      </c>
      <c r="B8" s="56" t="s">
        <v>57</v>
      </c>
      <c r="C8" s="57">
        <v>45708</v>
      </c>
      <c r="D8" s="58">
        <v>246779410181</v>
      </c>
      <c r="E8" s="56" t="s">
        <v>45</v>
      </c>
      <c r="F8" s="59">
        <v>1166.5899999999999</v>
      </c>
      <c r="G8" s="56" t="s">
        <v>34</v>
      </c>
      <c r="H8" s="59">
        <v>100680.99</v>
      </c>
      <c r="I8" s="56" t="s">
        <v>169</v>
      </c>
      <c r="J8" s="61">
        <v>1049.9299999999998</v>
      </c>
      <c r="K8" s="61">
        <f t="shared" si="1"/>
        <v>1166.5899999999999</v>
      </c>
      <c r="L8" s="61">
        <f t="shared" si="0"/>
        <v>116.66000000000008</v>
      </c>
      <c r="M8" s="61">
        <f t="shared" si="2"/>
        <v>10.000085719918745</v>
      </c>
      <c r="N8" s="52"/>
    </row>
    <row r="9" spans="1:14" x14ac:dyDescent="0.35">
      <c r="A9" s="55">
        <v>1800000297</v>
      </c>
      <c r="B9" s="56" t="s">
        <v>57</v>
      </c>
      <c r="C9" s="57">
        <v>45708</v>
      </c>
      <c r="D9" s="58">
        <v>246779410224</v>
      </c>
      <c r="E9" s="56" t="s">
        <v>45</v>
      </c>
      <c r="F9" s="59">
        <v>1143.1199999999999</v>
      </c>
      <c r="G9" s="56" t="s">
        <v>34</v>
      </c>
      <c r="H9" s="59">
        <v>98655.44</v>
      </c>
      <c r="I9" s="56" t="s">
        <v>170</v>
      </c>
      <c r="J9" s="61">
        <v>1028.81</v>
      </c>
      <c r="K9" s="61">
        <f t="shared" si="1"/>
        <v>1143.1199999999999</v>
      </c>
      <c r="L9" s="61">
        <f t="shared" si="0"/>
        <v>114.30999999999995</v>
      </c>
      <c r="M9" s="61">
        <f t="shared" si="2"/>
        <v>9.9998250402407418</v>
      </c>
      <c r="N9" s="52"/>
    </row>
    <row r="10" spans="1:14" x14ac:dyDescent="0.35">
      <c r="A10" s="55">
        <v>1800000406</v>
      </c>
      <c r="B10" s="56" t="s">
        <v>57</v>
      </c>
      <c r="C10" s="57">
        <v>45719</v>
      </c>
      <c r="D10" s="58">
        <v>246779410368</v>
      </c>
      <c r="E10" s="56" t="s">
        <v>45</v>
      </c>
      <c r="F10" s="59">
        <v>356.43</v>
      </c>
      <c r="G10" s="56" t="s">
        <v>34</v>
      </c>
      <c r="H10" s="59">
        <v>30899.37</v>
      </c>
      <c r="I10" s="56" t="s">
        <v>91</v>
      </c>
      <c r="J10" s="61">
        <v>320.78000000000003</v>
      </c>
      <c r="K10" s="61">
        <f t="shared" si="1"/>
        <v>356.43</v>
      </c>
      <c r="L10" s="61">
        <f t="shared" si="0"/>
        <v>35.649999999999977</v>
      </c>
      <c r="M10" s="61">
        <f t="shared" si="2"/>
        <v>10.001963919984282</v>
      </c>
    </row>
    <row r="11" spans="1:14" x14ac:dyDescent="0.35">
      <c r="A11" s="55">
        <v>1800000675</v>
      </c>
      <c r="B11" s="56" t="s">
        <v>57</v>
      </c>
      <c r="C11" s="57">
        <v>45719</v>
      </c>
      <c r="D11" s="58">
        <v>246779410615</v>
      </c>
      <c r="E11" s="56" t="s">
        <v>45</v>
      </c>
      <c r="F11" s="59">
        <v>9</v>
      </c>
      <c r="G11" s="56" t="s">
        <v>34</v>
      </c>
      <c r="H11" s="59">
        <v>780.22</v>
      </c>
      <c r="I11" s="56" t="s">
        <v>92</v>
      </c>
      <c r="J11" s="61">
        <v>8.81</v>
      </c>
      <c r="K11" s="61">
        <f t="shared" si="1"/>
        <v>9</v>
      </c>
      <c r="L11" s="61">
        <f t="shared" si="0"/>
        <v>0.1899999999999995</v>
      </c>
      <c r="M11" s="61">
        <f t="shared" si="2"/>
        <v>2.1111111111111058</v>
      </c>
    </row>
    <row r="12" spans="1:14" x14ac:dyDescent="0.35">
      <c r="A12" s="55">
        <v>1800000432</v>
      </c>
      <c r="B12" s="56" t="s">
        <v>57</v>
      </c>
      <c r="C12" s="57">
        <v>45719</v>
      </c>
      <c r="D12" s="58">
        <v>246779410394</v>
      </c>
      <c r="E12" s="56" t="s">
        <v>45</v>
      </c>
      <c r="F12" s="59">
        <v>505.86</v>
      </c>
      <c r="G12" s="56" t="s">
        <v>34</v>
      </c>
      <c r="H12" s="59">
        <v>43853.64</v>
      </c>
      <c r="I12" s="56" t="s">
        <v>93</v>
      </c>
      <c r="J12" s="61">
        <v>455.27</v>
      </c>
      <c r="K12" s="61">
        <f t="shared" si="1"/>
        <v>505.86</v>
      </c>
      <c r="L12" s="61">
        <f t="shared" si="0"/>
        <v>50.590000000000032</v>
      </c>
      <c r="M12" s="61">
        <f t="shared" si="2"/>
        <v>10.000790732613773</v>
      </c>
    </row>
    <row r="13" spans="1:14" x14ac:dyDescent="0.35">
      <c r="A13" s="55">
        <v>1800000456</v>
      </c>
      <c r="B13" s="56" t="s">
        <v>57</v>
      </c>
      <c r="C13" s="57">
        <v>45719</v>
      </c>
      <c r="D13" s="58">
        <v>246779410418</v>
      </c>
      <c r="E13" s="56" t="s">
        <v>45</v>
      </c>
      <c r="F13" s="59">
        <v>562.6</v>
      </c>
      <c r="G13" s="56" t="s">
        <v>34</v>
      </c>
      <c r="H13" s="59">
        <v>48772.5</v>
      </c>
      <c r="I13" s="56" t="s">
        <v>94</v>
      </c>
      <c r="J13" s="61">
        <v>506.34000000000003</v>
      </c>
      <c r="K13" s="61">
        <f t="shared" si="1"/>
        <v>562.6</v>
      </c>
      <c r="L13" s="61">
        <f t="shared" si="0"/>
        <v>56.259999999999991</v>
      </c>
      <c r="M13" s="61">
        <f t="shared" si="2"/>
        <v>9.9999999999999982</v>
      </c>
    </row>
    <row r="14" spans="1:14" x14ac:dyDescent="0.35">
      <c r="A14" s="55">
        <v>1800000560</v>
      </c>
      <c r="B14" s="56" t="s">
        <v>57</v>
      </c>
      <c r="C14" s="57">
        <v>45719</v>
      </c>
      <c r="D14" s="58">
        <v>246779410510</v>
      </c>
      <c r="E14" s="56" t="s">
        <v>45</v>
      </c>
      <c r="F14" s="59">
        <v>194.9</v>
      </c>
      <c r="G14" s="56" t="s">
        <v>34</v>
      </c>
      <c r="H14" s="59">
        <v>16896.13</v>
      </c>
      <c r="I14" s="56" t="s">
        <v>95</v>
      </c>
      <c r="J14" s="61">
        <v>191</v>
      </c>
      <c r="K14" s="61">
        <f t="shared" si="1"/>
        <v>194.9</v>
      </c>
      <c r="L14" s="61">
        <f t="shared" si="0"/>
        <v>3.9000000000000057</v>
      </c>
      <c r="M14" s="61">
        <f t="shared" si="2"/>
        <v>2.0010261672652669</v>
      </c>
    </row>
    <row r="15" spans="1:14" x14ac:dyDescent="0.35">
      <c r="A15" s="55">
        <v>1800000561</v>
      </c>
      <c r="B15" s="56" t="s">
        <v>57</v>
      </c>
      <c r="C15" s="57">
        <v>45719</v>
      </c>
      <c r="D15" s="58">
        <v>246779410511</v>
      </c>
      <c r="E15" s="56" t="s">
        <v>45</v>
      </c>
      <c r="F15" s="59">
        <v>13.91</v>
      </c>
      <c r="G15" s="56" t="s">
        <v>34</v>
      </c>
      <c r="H15" s="59">
        <v>1205.8800000000001</v>
      </c>
      <c r="I15" s="56" t="s">
        <v>95</v>
      </c>
      <c r="J15" s="61">
        <v>13.63</v>
      </c>
      <c r="K15" s="61">
        <f t="shared" si="1"/>
        <v>13.91</v>
      </c>
      <c r="L15" s="61">
        <f t="shared" si="0"/>
        <v>0.27999999999999936</v>
      </c>
      <c r="M15" s="61">
        <f t="shared" si="2"/>
        <v>2.0129403306973352</v>
      </c>
    </row>
    <row r="16" spans="1:14" x14ac:dyDescent="0.35">
      <c r="A16" s="55">
        <v>1800000674</v>
      </c>
      <c r="B16" s="56" t="s">
        <v>57</v>
      </c>
      <c r="C16" s="57">
        <v>45719</v>
      </c>
      <c r="D16" s="58">
        <v>246779410614</v>
      </c>
      <c r="E16" s="56" t="s">
        <v>45</v>
      </c>
      <c r="F16" s="59">
        <v>2.25</v>
      </c>
      <c r="G16" s="56" t="s">
        <v>34</v>
      </c>
      <c r="H16" s="59">
        <v>195.06</v>
      </c>
      <c r="I16" s="56" t="s">
        <v>92</v>
      </c>
      <c r="J16" s="61">
        <v>2.2000000000000002</v>
      </c>
      <c r="K16" s="61">
        <f t="shared" si="1"/>
        <v>2.25</v>
      </c>
      <c r="L16" s="61">
        <f t="shared" si="0"/>
        <v>4.9999999999999822E-2</v>
      </c>
      <c r="M16" s="61">
        <f t="shared" si="2"/>
        <v>2.2222222222222143</v>
      </c>
    </row>
    <row r="17" spans="1:13" x14ac:dyDescent="0.35">
      <c r="A17" s="55">
        <v>1800000754</v>
      </c>
      <c r="B17" s="56" t="s">
        <v>57</v>
      </c>
      <c r="C17" s="57">
        <v>45720</v>
      </c>
      <c r="D17" s="58">
        <v>246779410694</v>
      </c>
      <c r="E17" s="56" t="s">
        <v>45</v>
      </c>
      <c r="F17" s="59">
        <v>59.36</v>
      </c>
      <c r="G17" s="56" t="s">
        <v>34</v>
      </c>
      <c r="H17" s="59">
        <v>5145.99</v>
      </c>
      <c r="I17" s="56" t="s">
        <v>72</v>
      </c>
      <c r="J17" s="61">
        <v>58.17</v>
      </c>
      <c r="K17" s="61">
        <f t="shared" si="1"/>
        <v>59.36</v>
      </c>
      <c r="L17" s="61">
        <f t="shared" si="0"/>
        <v>1.1899999999999977</v>
      </c>
      <c r="M17" s="61">
        <f t="shared" si="2"/>
        <v>2.0047169811320718</v>
      </c>
    </row>
    <row r="18" spans="1:13" x14ac:dyDescent="0.35">
      <c r="A18" s="55">
        <v>1800000915</v>
      </c>
      <c r="B18" s="56" t="s">
        <v>57</v>
      </c>
      <c r="C18" s="57">
        <v>45720</v>
      </c>
      <c r="D18" s="58">
        <v>246779410856</v>
      </c>
      <c r="E18" s="56" t="s">
        <v>45</v>
      </c>
      <c r="F18" s="59">
        <v>18.32</v>
      </c>
      <c r="G18" s="56" t="s">
        <v>34</v>
      </c>
      <c r="H18" s="59">
        <v>1588.18</v>
      </c>
      <c r="I18" s="56" t="s">
        <v>73</v>
      </c>
      <c r="J18" s="61">
        <v>17.95</v>
      </c>
      <c r="K18" s="61">
        <f t="shared" si="1"/>
        <v>18.32</v>
      </c>
      <c r="L18" s="61">
        <f t="shared" si="0"/>
        <v>0.37000000000000099</v>
      </c>
      <c r="M18" s="61">
        <f t="shared" si="2"/>
        <v>2.0196506550218394</v>
      </c>
    </row>
    <row r="19" spans="1:13" x14ac:dyDescent="0.35">
      <c r="A19" s="55">
        <v>1800000948</v>
      </c>
      <c r="B19" s="56" t="s">
        <v>57</v>
      </c>
      <c r="C19" s="57">
        <v>45722</v>
      </c>
      <c r="D19" s="58">
        <v>246779410888</v>
      </c>
      <c r="E19" s="56" t="s">
        <v>45</v>
      </c>
      <c r="F19" s="59">
        <v>446.38</v>
      </c>
      <c r="G19" s="56" t="s">
        <v>34</v>
      </c>
      <c r="H19" s="59">
        <v>38697.24</v>
      </c>
      <c r="I19" s="56" t="s">
        <v>76</v>
      </c>
      <c r="J19" s="61">
        <v>401.74</v>
      </c>
      <c r="K19" s="61">
        <f t="shared" si="1"/>
        <v>446.38</v>
      </c>
      <c r="L19" s="61">
        <f t="shared" si="0"/>
        <v>44.639999999999986</v>
      </c>
      <c r="M19" s="61">
        <f t="shared" si="2"/>
        <v>10.000448048747701</v>
      </c>
    </row>
    <row r="20" spans="1:13" x14ac:dyDescent="0.35">
      <c r="A20" s="55">
        <v>1800000925</v>
      </c>
      <c r="B20" s="56" t="s">
        <v>57</v>
      </c>
      <c r="C20" s="57">
        <v>45722</v>
      </c>
      <c r="D20" s="58">
        <v>246779410865</v>
      </c>
      <c r="E20" s="56" t="s">
        <v>45</v>
      </c>
      <c r="F20" s="59">
        <v>412.11</v>
      </c>
      <c r="G20" s="56" t="s">
        <v>34</v>
      </c>
      <c r="H20" s="59">
        <v>35726.339999999997</v>
      </c>
      <c r="I20" s="56" t="s">
        <v>77</v>
      </c>
      <c r="J20" s="61">
        <v>370.90000000000003</v>
      </c>
      <c r="K20" s="61">
        <f t="shared" si="1"/>
        <v>412.11</v>
      </c>
      <c r="L20" s="61">
        <f t="shared" si="0"/>
        <v>41.20999999999998</v>
      </c>
      <c r="M20" s="61">
        <f t="shared" si="2"/>
        <v>9.9997573463395639</v>
      </c>
    </row>
    <row r="21" spans="1:13" x14ac:dyDescent="0.35">
      <c r="A21" s="55">
        <v>1800001035</v>
      </c>
      <c r="B21" s="56" t="s">
        <v>57</v>
      </c>
      <c r="C21" s="57">
        <v>45722</v>
      </c>
      <c r="D21" s="58">
        <v>246779410975</v>
      </c>
      <c r="E21" s="56" t="s">
        <v>45</v>
      </c>
      <c r="F21" s="59">
        <v>28.91</v>
      </c>
      <c r="G21" s="56" t="s">
        <v>34</v>
      </c>
      <c r="H21" s="59">
        <v>2506.2399999999998</v>
      </c>
      <c r="I21" s="56" t="s">
        <v>78</v>
      </c>
      <c r="J21" s="61">
        <v>28.330000000000002</v>
      </c>
      <c r="K21" s="61">
        <f t="shared" si="1"/>
        <v>28.91</v>
      </c>
      <c r="L21" s="61">
        <f t="shared" si="0"/>
        <v>0.57999999999999829</v>
      </c>
      <c r="M21" s="61">
        <f t="shared" si="2"/>
        <v>2.0062262193012739</v>
      </c>
    </row>
    <row r="22" spans="1:13" x14ac:dyDescent="0.35">
      <c r="A22" s="55">
        <v>1800001036</v>
      </c>
      <c r="B22" s="56" t="s">
        <v>57</v>
      </c>
      <c r="C22" s="57">
        <v>45722</v>
      </c>
      <c r="D22" s="58">
        <v>246779410976</v>
      </c>
      <c r="E22" s="56" t="s">
        <v>45</v>
      </c>
      <c r="F22" s="59">
        <v>24</v>
      </c>
      <c r="G22" s="56" t="s">
        <v>34</v>
      </c>
      <c r="H22" s="59">
        <v>2080.59</v>
      </c>
      <c r="I22" s="56" t="s">
        <v>78</v>
      </c>
      <c r="J22" s="61">
        <v>23.51</v>
      </c>
      <c r="K22" s="61">
        <f t="shared" si="1"/>
        <v>24</v>
      </c>
      <c r="L22" s="61">
        <f t="shared" si="0"/>
        <v>0.48999999999999844</v>
      </c>
      <c r="M22" s="61">
        <f t="shared" si="2"/>
        <v>2.0416666666666599</v>
      </c>
    </row>
    <row r="23" spans="1:13" x14ac:dyDescent="0.35">
      <c r="A23" s="55">
        <v>1800001120</v>
      </c>
      <c r="B23" s="56" t="s">
        <v>57</v>
      </c>
      <c r="C23" s="57">
        <v>45722</v>
      </c>
      <c r="D23" s="58">
        <v>246779411056</v>
      </c>
      <c r="E23" s="56" t="s">
        <v>45</v>
      </c>
      <c r="F23" s="59">
        <v>59.36</v>
      </c>
      <c r="G23" s="56" t="s">
        <v>34</v>
      </c>
      <c r="H23" s="59">
        <v>5145.99</v>
      </c>
      <c r="I23" s="56" t="s">
        <v>79</v>
      </c>
      <c r="J23" s="61">
        <v>58.17</v>
      </c>
      <c r="K23" s="61">
        <f t="shared" si="1"/>
        <v>59.36</v>
      </c>
      <c r="L23" s="61">
        <f t="shared" si="0"/>
        <v>1.1899999999999977</v>
      </c>
      <c r="M23" s="61">
        <f t="shared" si="2"/>
        <v>2.0047169811320718</v>
      </c>
    </row>
    <row r="24" spans="1:13" x14ac:dyDescent="0.35">
      <c r="A24" s="55">
        <v>1800001121</v>
      </c>
      <c r="B24" s="56" t="s">
        <v>57</v>
      </c>
      <c r="C24" s="57">
        <v>45722</v>
      </c>
      <c r="D24" s="58">
        <v>246779411057</v>
      </c>
      <c r="E24" s="56" t="s">
        <v>45</v>
      </c>
      <c r="F24" s="59">
        <v>67.67</v>
      </c>
      <c r="G24" s="56" t="s">
        <v>34</v>
      </c>
      <c r="H24" s="59">
        <v>5866.4</v>
      </c>
      <c r="I24" s="56" t="s">
        <v>79</v>
      </c>
      <c r="J24" s="61">
        <v>66.320000000000007</v>
      </c>
      <c r="K24" s="61">
        <f t="shared" si="1"/>
        <v>67.67</v>
      </c>
      <c r="L24" s="61">
        <f t="shared" si="0"/>
        <v>1.3499999999999943</v>
      </c>
      <c r="M24" s="61">
        <f t="shared" si="2"/>
        <v>1.9949756169646731</v>
      </c>
    </row>
    <row r="25" spans="1:13" x14ac:dyDescent="0.35">
      <c r="A25" s="55">
        <v>1800001321</v>
      </c>
      <c r="B25" s="56" t="s">
        <v>57</v>
      </c>
      <c r="C25" s="57">
        <v>45722</v>
      </c>
      <c r="D25" s="58">
        <v>246779411190</v>
      </c>
      <c r="E25" s="56" t="s">
        <v>45</v>
      </c>
      <c r="F25" s="59">
        <v>17.25</v>
      </c>
      <c r="G25" s="56" t="s">
        <v>34</v>
      </c>
      <c r="H25" s="59">
        <v>1495.42</v>
      </c>
      <c r="I25" s="56" t="s">
        <v>80</v>
      </c>
      <c r="J25" s="61">
        <v>16.899999999999999</v>
      </c>
      <c r="K25" s="61">
        <f t="shared" si="1"/>
        <v>17.25</v>
      </c>
      <c r="L25" s="61">
        <f t="shared" si="0"/>
        <v>0.35000000000000142</v>
      </c>
      <c r="M25" s="61">
        <f t="shared" si="2"/>
        <v>2.0289855072463849</v>
      </c>
    </row>
    <row r="26" spans="1:13" x14ac:dyDescent="0.35">
      <c r="A26" s="55">
        <v>1800001322</v>
      </c>
      <c r="B26" s="56" t="s">
        <v>57</v>
      </c>
      <c r="C26" s="57">
        <v>45722</v>
      </c>
      <c r="D26" s="58">
        <v>246779411191</v>
      </c>
      <c r="E26" s="56" t="s">
        <v>45</v>
      </c>
      <c r="F26" s="59">
        <v>26.15</v>
      </c>
      <c r="G26" s="56" t="s">
        <v>34</v>
      </c>
      <c r="H26" s="59">
        <v>2266.98</v>
      </c>
      <c r="I26" s="56" t="s">
        <v>80</v>
      </c>
      <c r="J26" s="61">
        <v>25.63</v>
      </c>
      <c r="K26" s="61">
        <f t="shared" si="1"/>
        <v>26.15</v>
      </c>
      <c r="L26" s="61">
        <f t="shared" si="0"/>
        <v>0.51999999999999957</v>
      </c>
      <c r="M26" s="61">
        <f t="shared" si="2"/>
        <v>1.9885277246653905</v>
      </c>
    </row>
    <row r="27" spans="1:13" x14ac:dyDescent="0.35">
      <c r="A27" s="55">
        <v>1800001384</v>
      </c>
      <c r="B27" s="56" t="s">
        <v>57</v>
      </c>
      <c r="C27" s="57">
        <v>45722</v>
      </c>
      <c r="D27" s="58">
        <v>246779411253</v>
      </c>
      <c r="E27" s="56" t="s">
        <v>45</v>
      </c>
      <c r="F27" s="59">
        <v>20</v>
      </c>
      <c r="G27" s="56" t="s">
        <v>34</v>
      </c>
      <c r="H27" s="59">
        <v>1733.83</v>
      </c>
      <c r="I27" s="56" t="s">
        <v>81</v>
      </c>
      <c r="J27" s="61">
        <v>19.600000000000001</v>
      </c>
      <c r="K27" s="61">
        <f t="shared" si="1"/>
        <v>20</v>
      </c>
      <c r="L27" s="61">
        <f t="shared" si="0"/>
        <v>0.39999999999999858</v>
      </c>
      <c r="M27" s="61">
        <f t="shared" si="2"/>
        <v>1.9999999999999927</v>
      </c>
    </row>
    <row r="28" spans="1:13" x14ac:dyDescent="0.35">
      <c r="A28" s="55">
        <v>1800001820</v>
      </c>
      <c r="B28" s="56" t="s">
        <v>57</v>
      </c>
      <c r="C28" s="57">
        <v>45730</v>
      </c>
      <c r="D28" s="58">
        <v>246779411485</v>
      </c>
      <c r="E28" s="56" t="s">
        <v>45</v>
      </c>
      <c r="F28" s="59">
        <v>100</v>
      </c>
      <c r="G28" s="56" t="s">
        <v>34</v>
      </c>
      <c r="H28" s="59">
        <v>8669.1299999999992</v>
      </c>
      <c r="I28" s="56" t="s">
        <v>71</v>
      </c>
      <c r="J28" s="61">
        <v>98</v>
      </c>
      <c r="K28" s="61">
        <f t="shared" si="1"/>
        <v>100</v>
      </c>
      <c r="L28" s="61">
        <f t="shared" si="0"/>
        <v>2</v>
      </c>
      <c r="M28" s="61">
        <f t="shared" si="2"/>
        <v>2</v>
      </c>
    </row>
    <row r="29" spans="1:13" x14ac:dyDescent="0.35">
      <c r="A29" s="55">
        <v>1800001787</v>
      </c>
      <c r="B29" s="56" t="s">
        <v>57</v>
      </c>
      <c r="C29" s="57">
        <v>45730</v>
      </c>
      <c r="D29" s="58">
        <v>246779411452</v>
      </c>
      <c r="E29" s="56" t="s">
        <v>45</v>
      </c>
      <c r="F29" s="59">
        <v>0.95</v>
      </c>
      <c r="G29" s="56" t="s">
        <v>34</v>
      </c>
      <c r="H29" s="59">
        <v>82.36</v>
      </c>
      <c r="I29" s="56" t="s">
        <v>107</v>
      </c>
      <c r="J29" s="61">
        <v>0.92999999999999994</v>
      </c>
      <c r="K29" s="61">
        <f t="shared" si="1"/>
        <v>0.95</v>
      </c>
      <c r="L29" s="61">
        <f t="shared" si="0"/>
        <v>2.0000000000000018E-2</v>
      </c>
      <c r="M29" s="61">
        <f t="shared" si="2"/>
        <v>2.1052631578947389</v>
      </c>
    </row>
    <row r="30" spans="1:13" x14ac:dyDescent="0.35">
      <c r="A30" s="55">
        <v>1800001583</v>
      </c>
      <c r="B30" s="56" t="s">
        <v>57</v>
      </c>
      <c r="C30" s="57">
        <v>45730</v>
      </c>
      <c r="D30" s="58">
        <v>246779412240</v>
      </c>
      <c r="E30" s="56" t="s">
        <v>45</v>
      </c>
      <c r="F30" s="59">
        <v>2.86</v>
      </c>
      <c r="G30" s="56" t="s">
        <v>34</v>
      </c>
      <c r="H30" s="59">
        <v>247.94</v>
      </c>
      <c r="I30" s="56" t="s">
        <v>107</v>
      </c>
      <c r="J30" s="61">
        <v>2.8</v>
      </c>
      <c r="K30" s="61">
        <f t="shared" si="1"/>
        <v>2.86</v>
      </c>
      <c r="L30" s="61">
        <f t="shared" si="0"/>
        <v>6.0000000000000053E-2</v>
      </c>
      <c r="M30" s="61">
        <f t="shared" si="2"/>
        <v>2.0979020979020997</v>
      </c>
    </row>
    <row r="31" spans="1:13" x14ac:dyDescent="0.35">
      <c r="A31" s="55">
        <v>1800001586</v>
      </c>
      <c r="B31" s="56" t="s">
        <v>57</v>
      </c>
      <c r="C31" s="57">
        <v>45730</v>
      </c>
      <c r="D31" s="58">
        <v>246779412243</v>
      </c>
      <c r="E31" s="56" t="s">
        <v>45</v>
      </c>
      <c r="F31" s="59">
        <v>1.91</v>
      </c>
      <c r="G31" s="56" t="s">
        <v>34</v>
      </c>
      <c r="H31" s="59">
        <v>165.58</v>
      </c>
      <c r="I31" s="56" t="s">
        <v>107</v>
      </c>
      <c r="J31" s="61">
        <v>1.8699999999999999</v>
      </c>
      <c r="K31" s="61">
        <f t="shared" si="1"/>
        <v>1.91</v>
      </c>
      <c r="L31" s="61">
        <f t="shared" si="0"/>
        <v>4.0000000000000036E-2</v>
      </c>
      <c r="M31" s="61">
        <f t="shared" si="2"/>
        <v>2.0942408376963368</v>
      </c>
    </row>
    <row r="32" spans="1:13" x14ac:dyDescent="0.35">
      <c r="A32" s="55">
        <v>1800001587</v>
      </c>
      <c r="B32" s="56" t="s">
        <v>57</v>
      </c>
      <c r="C32" s="57">
        <v>45730</v>
      </c>
      <c r="D32" s="58">
        <v>246779412244</v>
      </c>
      <c r="E32" s="56" t="s">
        <v>45</v>
      </c>
      <c r="F32" s="59">
        <v>1.91</v>
      </c>
      <c r="G32" s="56" t="s">
        <v>34</v>
      </c>
      <c r="H32" s="59">
        <v>165.58</v>
      </c>
      <c r="I32" s="56" t="s">
        <v>107</v>
      </c>
      <c r="J32" s="61">
        <v>1.8699999999999999</v>
      </c>
      <c r="K32" s="61">
        <f t="shared" si="1"/>
        <v>1.91</v>
      </c>
      <c r="L32" s="61">
        <f t="shared" si="0"/>
        <v>4.0000000000000036E-2</v>
      </c>
      <c r="M32" s="61">
        <f t="shared" si="2"/>
        <v>2.0942408376963368</v>
      </c>
    </row>
    <row r="33" spans="1:13" x14ac:dyDescent="0.35">
      <c r="A33" s="55">
        <v>1800001588</v>
      </c>
      <c r="B33" s="56" t="s">
        <v>57</v>
      </c>
      <c r="C33" s="57">
        <v>45730</v>
      </c>
      <c r="D33" s="58">
        <v>246779412245</v>
      </c>
      <c r="E33" s="56" t="s">
        <v>45</v>
      </c>
      <c r="F33" s="59">
        <v>4.7699999999999996</v>
      </c>
      <c r="G33" s="56" t="s">
        <v>34</v>
      </c>
      <c r="H33" s="59">
        <v>413.52</v>
      </c>
      <c r="I33" s="56" t="s">
        <v>107</v>
      </c>
      <c r="J33" s="61">
        <v>4.68</v>
      </c>
      <c r="K33" s="61">
        <f t="shared" si="1"/>
        <v>4.7699999999999996</v>
      </c>
      <c r="L33" s="61">
        <f t="shared" si="0"/>
        <v>8.9999999999999858E-2</v>
      </c>
      <c r="M33" s="61">
        <f t="shared" si="2"/>
        <v>1.8867924528301858</v>
      </c>
    </row>
    <row r="34" spans="1:13" x14ac:dyDescent="0.35">
      <c r="A34" s="55">
        <v>1800001957</v>
      </c>
      <c r="B34" s="56" t="s">
        <v>57</v>
      </c>
      <c r="C34" s="57">
        <v>45733</v>
      </c>
      <c r="D34" s="58">
        <v>246779411622</v>
      </c>
      <c r="E34" s="56" t="s">
        <v>45</v>
      </c>
      <c r="F34" s="59">
        <v>3.82</v>
      </c>
      <c r="G34" s="56" t="s">
        <v>34</v>
      </c>
      <c r="H34" s="59">
        <v>331.16</v>
      </c>
      <c r="I34" s="56" t="s">
        <v>96</v>
      </c>
      <c r="J34" s="61">
        <v>3.7399999999999998</v>
      </c>
      <c r="K34" s="61">
        <f t="shared" si="1"/>
        <v>3.82</v>
      </c>
      <c r="L34" s="61">
        <f t="shared" si="0"/>
        <v>8.0000000000000071E-2</v>
      </c>
      <c r="M34" s="61">
        <f t="shared" si="2"/>
        <v>2.0942408376963368</v>
      </c>
    </row>
    <row r="35" spans="1:13" x14ac:dyDescent="0.35">
      <c r="A35" s="55">
        <v>1800001958</v>
      </c>
      <c r="B35" s="56" t="s">
        <v>57</v>
      </c>
      <c r="C35" s="57">
        <v>45733</v>
      </c>
      <c r="D35" s="58">
        <v>246779411623</v>
      </c>
      <c r="E35" s="56" t="s">
        <v>45</v>
      </c>
      <c r="F35" s="59">
        <v>1.91</v>
      </c>
      <c r="G35" s="56" t="s">
        <v>34</v>
      </c>
      <c r="H35" s="59">
        <v>165.58</v>
      </c>
      <c r="I35" s="56" t="s">
        <v>96</v>
      </c>
      <c r="J35" s="61">
        <v>1.8699999999999999</v>
      </c>
      <c r="K35" s="61">
        <f t="shared" ref="K35:K66" si="3">F35</f>
        <v>1.91</v>
      </c>
      <c r="L35" s="61">
        <f t="shared" ref="L35:L66" si="4">F35-J35</f>
        <v>4.0000000000000036E-2</v>
      </c>
      <c r="M35" s="61">
        <f t="shared" si="2"/>
        <v>2.0942408376963368</v>
      </c>
    </row>
    <row r="36" spans="1:13" x14ac:dyDescent="0.35">
      <c r="A36" s="55">
        <v>1800003125</v>
      </c>
      <c r="B36" s="56" t="s">
        <v>57</v>
      </c>
      <c r="C36" s="57">
        <v>45735</v>
      </c>
      <c r="D36" s="58">
        <v>246779412992</v>
      </c>
      <c r="E36" s="56" t="s">
        <v>45</v>
      </c>
      <c r="F36" s="59">
        <v>1148.6300000000001</v>
      </c>
      <c r="G36" s="56" t="s">
        <v>34</v>
      </c>
      <c r="H36" s="59">
        <v>99576.18</v>
      </c>
      <c r="I36" s="56" t="s">
        <v>191</v>
      </c>
      <c r="J36" s="61">
        <v>1033.7700000000002</v>
      </c>
      <c r="K36" s="61">
        <f t="shared" si="3"/>
        <v>1148.6300000000001</v>
      </c>
      <c r="L36" s="61">
        <f t="shared" si="4"/>
        <v>114.8599999999999</v>
      </c>
      <c r="M36" s="61">
        <f t="shared" si="2"/>
        <v>9.9997388192890568</v>
      </c>
    </row>
    <row r="37" spans="1:13" x14ac:dyDescent="0.35">
      <c r="A37" s="55">
        <v>1800004097</v>
      </c>
      <c r="B37" s="56" t="s">
        <v>57</v>
      </c>
      <c r="C37" s="57">
        <v>45736</v>
      </c>
      <c r="D37" s="58">
        <v>246779413953</v>
      </c>
      <c r="E37" s="56" t="s">
        <v>45</v>
      </c>
      <c r="F37" s="59">
        <v>3</v>
      </c>
      <c r="G37" s="56" t="s">
        <v>34</v>
      </c>
      <c r="H37" s="59">
        <v>260.07</v>
      </c>
      <c r="I37" s="56" t="s">
        <v>154</v>
      </c>
      <c r="J37" s="61">
        <v>2.94</v>
      </c>
      <c r="K37" s="61">
        <f t="shared" si="3"/>
        <v>3</v>
      </c>
      <c r="L37" s="61">
        <f t="shared" si="4"/>
        <v>6.0000000000000053E-2</v>
      </c>
      <c r="M37" s="61">
        <f t="shared" si="2"/>
        <v>2.0000000000000018</v>
      </c>
    </row>
    <row r="38" spans="1:13" x14ac:dyDescent="0.35">
      <c r="A38" s="55">
        <v>1800004357</v>
      </c>
      <c r="B38" s="56" t="s">
        <v>57</v>
      </c>
      <c r="C38" s="57">
        <v>45736</v>
      </c>
      <c r="D38" s="58">
        <v>246779414225</v>
      </c>
      <c r="E38" s="56" t="s">
        <v>45</v>
      </c>
      <c r="F38" s="59">
        <v>13.5</v>
      </c>
      <c r="G38" s="56" t="s">
        <v>34</v>
      </c>
      <c r="H38" s="59">
        <v>1170.33</v>
      </c>
      <c r="I38" s="56" t="s">
        <v>155</v>
      </c>
      <c r="J38" s="61">
        <v>13.23</v>
      </c>
      <c r="K38" s="61">
        <f t="shared" si="3"/>
        <v>13.5</v>
      </c>
      <c r="L38" s="61">
        <f t="shared" si="4"/>
        <v>0.26999999999999957</v>
      </c>
      <c r="M38" s="61">
        <f t="shared" si="2"/>
        <v>1.9999999999999969</v>
      </c>
    </row>
    <row r="39" spans="1:13" x14ac:dyDescent="0.35">
      <c r="A39" s="55">
        <v>1800004870</v>
      </c>
      <c r="B39" s="56" t="s">
        <v>57</v>
      </c>
      <c r="C39" s="57">
        <v>45736</v>
      </c>
      <c r="D39" s="58">
        <v>246779414738</v>
      </c>
      <c r="E39" s="56" t="s">
        <v>45</v>
      </c>
      <c r="F39" s="59">
        <v>2.25</v>
      </c>
      <c r="G39" s="56" t="s">
        <v>34</v>
      </c>
      <c r="H39" s="59">
        <v>195.06</v>
      </c>
      <c r="I39" s="56" t="s">
        <v>157</v>
      </c>
      <c r="J39" s="61">
        <v>2.2000000000000002</v>
      </c>
      <c r="K39" s="61">
        <f t="shared" si="3"/>
        <v>2.25</v>
      </c>
      <c r="L39" s="61">
        <f t="shared" si="4"/>
        <v>4.9999999999999822E-2</v>
      </c>
      <c r="M39" s="61">
        <f t="shared" si="2"/>
        <v>2.2222222222222143</v>
      </c>
    </row>
    <row r="40" spans="1:13" x14ac:dyDescent="0.35">
      <c r="A40" s="55">
        <v>1800004871</v>
      </c>
      <c r="B40" s="56" t="s">
        <v>57</v>
      </c>
      <c r="C40" s="57">
        <v>45736</v>
      </c>
      <c r="D40" s="58">
        <v>246779414739</v>
      </c>
      <c r="E40" s="56" t="s">
        <v>45</v>
      </c>
      <c r="F40" s="59">
        <v>0.75</v>
      </c>
      <c r="G40" s="56" t="s">
        <v>34</v>
      </c>
      <c r="H40" s="59">
        <v>65.02</v>
      </c>
      <c r="I40" s="56" t="s">
        <v>158</v>
      </c>
      <c r="J40" s="61">
        <v>0.73</v>
      </c>
      <c r="K40" s="61">
        <f t="shared" si="3"/>
        <v>0.75</v>
      </c>
      <c r="L40" s="61">
        <f t="shared" si="4"/>
        <v>2.0000000000000018E-2</v>
      </c>
      <c r="M40" s="61">
        <f t="shared" si="2"/>
        <v>2.6666666666666687</v>
      </c>
    </row>
    <row r="41" spans="1:13" x14ac:dyDescent="0.35">
      <c r="A41" s="55">
        <v>1800004926</v>
      </c>
      <c r="B41" s="56" t="s">
        <v>57</v>
      </c>
      <c r="C41" s="57">
        <v>45736</v>
      </c>
      <c r="D41" s="58">
        <v>246779414794</v>
      </c>
      <c r="E41" s="56" t="s">
        <v>45</v>
      </c>
      <c r="F41" s="59">
        <v>2.25</v>
      </c>
      <c r="G41" s="56" t="s">
        <v>34</v>
      </c>
      <c r="H41" s="59">
        <v>195.06</v>
      </c>
      <c r="I41" s="56" t="s">
        <v>154</v>
      </c>
      <c r="J41" s="61">
        <v>2.2000000000000002</v>
      </c>
      <c r="K41" s="61">
        <f t="shared" si="3"/>
        <v>2.25</v>
      </c>
      <c r="L41" s="61">
        <f t="shared" si="4"/>
        <v>4.9999999999999822E-2</v>
      </c>
      <c r="M41" s="61">
        <f t="shared" si="2"/>
        <v>2.2222222222222143</v>
      </c>
    </row>
    <row r="42" spans="1:13" x14ac:dyDescent="0.35">
      <c r="A42" s="55">
        <v>1800004927</v>
      </c>
      <c r="B42" s="56" t="s">
        <v>57</v>
      </c>
      <c r="C42" s="57">
        <v>45736</v>
      </c>
      <c r="D42" s="58">
        <v>246779414795</v>
      </c>
      <c r="E42" s="56" t="s">
        <v>45</v>
      </c>
      <c r="F42" s="59">
        <v>0.75</v>
      </c>
      <c r="G42" s="56" t="s">
        <v>34</v>
      </c>
      <c r="H42" s="59">
        <v>65.02</v>
      </c>
      <c r="I42" s="56" t="s">
        <v>159</v>
      </c>
      <c r="J42" s="61">
        <v>0.73</v>
      </c>
      <c r="K42" s="61">
        <f t="shared" si="3"/>
        <v>0.75</v>
      </c>
      <c r="L42" s="61">
        <f t="shared" si="4"/>
        <v>2.0000000000000018E-2</v>
      </c>
      <c r="M42" s="61">
        <f t="shared" si="2"/>
        <v>2.6666666666666687</v>
      </c>
    </row>
    <row r="43" spans="1:13" x14ac:dyDescent="0.35">
      <c r="A43" s="55">
        <v>1800004739</v>
      </c>
      <c r="B43" s="56" t="s">
        <v>57</v>
      </c>
      <c r="C43" s="57">
        <v>45736</v>
      </c>
      <c r="D43" s="58">
        <v>246779414607</v>
      </c>
      <c r="E43" s="56" t="s">
        <v>45</v>
      </c>
      <c r="F43" s="59">
        <v>2.25</v>
      </c>
      <c r="G43" s="56" t="s">
        <v>34</v>
      </c>
      <c r="H43" s="59">
        <v>195.06</v>
      </c>
      <c r="I43" s="56" t="s">
        <v>160</v>
      </c>
      <c r="J43" s="61">
        <v>2.2000000000000002</v>
      </c>
      <c r="K43" s="61">
        <f t="shared" si="3"/>
        <v>2.25</v>
      </c>
      <c r="L43" s="61">
        <f t="shared" si="4"/>
        <v>4.9999999999999822E-2</v>
      </c>
      <c r="M43" s="61">
        <f t="shared" si="2"/>
        <v>2.2222222222222143</v>
      </c>
    </row>
    <row r="44" spans="1:13" x14ac:dyDescent="0.35">
      <c r="A44" s="55">
        <v>1800004817</v>
      </c>
      <c r="B44" s="56" t="s">
        <v>57</v>
      </c>
      <c r="C44" s="57">
        <v>45736</v>
      </c>
      <c r="D44" s="58">
        <v>246779414685</v>
      </c>
      <c r="E44" s="56" t="s">
        <v>45</v>
      </c>
      <c r="F44" s="59">
        <v>42.93</v>
      </c>
      <c r="G44" s="56" t="s">
        <v>34</v>
      </c>
      <c r="H44" s="59">
        <v>3721.66</v>
      </c>
      <c r="I44" s="56" t="s">
        <v>161</v>
      </c>
      <c r="J44" s="61">
        <v>42.07</v>
      </c>
      <c r="K44" s="61">
        <f t="shared" si="3"/>
        <v>42.93</v>
      </c>
      <c r="L44" s="61">
        <f t="shared" si="4"/>
        <v>0.85999999999999943</v>
      </c>
      <c r="M44" s="61">
        <f t="shared" si="2"/>
        <v>2.0032611227579764</v>
      </c>
    </row>
    <row r="45" spans="1:13" x14ac:dyDescent="0.35">
      <c r="A45" s="55">
        <v>1800005191</v>
      </c>
      <c r="B45" s="56" t="s">
        <v>57</v>
      </c>
      <c r="C45" s="57">
        <v>45750</v>
      </c>
      <c r="D45" s="58">
        <v>256779410137</v>
      </c>
      <c r="E45" s="56" t="s">
        <v>45</v>
      </c>
      <c r="F45" s="59">
        <v>4.5</v>
      </c>
      <c r="G45" s="56" t="s">
        <v>34</v>
      </c>
      <c r="H45" s="59">
        <v>391.15</v>
      </c>
      <c r="I45" s="56" t="s">
        <v>183</v>
      </c>
      <c r="J45" s="61">
        <v>4.41</v>
      </c>
      <c r="K45" s="61">
        <f t="shared" si="3"/>
        <v>4.5</v>
      </c>
      <c r="L45" s="61">
        <f t="shared" si="4"/>
        <v>8.9999999999999858E-2</v>
      </c>
      <c r="M45" s="61">
        <f t="shared" si="2"/>
        <v>1.9999999999999969</v>
      </c>
    </row>
    <row r="46" spans="1:13" x14ac:dyDescent="0.35">
      <c r="A46" s="55">
        <v>1800005192</v>
      </c>
      <c r="B46" s="56" t="s">
        <v>57</v>
      </c>
      <c r="C46" s="57">
        <v>45750</v>
      </c>
      <c r="D46" s="58">
        <v>256779410138</v>
      </c>
      <c r="E46" s="56" t="s">
        <v>45</v>
      </c>
      <c r="F46" s="59">
        <v>1.5</v>
      </c>
      <c r="G46" s="56" t="s">
        <v>34</v>
      </c>
      <c r="H46" s="59">
        <v>130.38</v>
      </c>
      <c r="I46" s="56" t="s">
        <v>184</v>
      </c>
      <c r="J46" s="61">
        <v>1.47</v>
      </c>
      <c r="K46" s="61">
        <f t="shared" si="3"/>
        <v>1.5</v>
      </c>
      <c r="L46" s="61">
        <f t="shared" si="4"/>
        <v>3.0000000000000027E-2</v>
      </c>
      <c r="M46" s="61">
        <f t="shared" si="2"/>
        <v>2.0000000000000018</v>
      </c>
    </row>
    <row r="47" spans="1:13" x14ac:dyDescent="0.35">
      <c r="A47" s="55">
        <v>1800005899</v>
      </c>
      <c r="B47" s="56" t="s">
        <v>57</v>
      </c>
      <c r="C47" s="57">
        <v>45751</v>
      </c>
      <c r="D47" s="58">
        <v>256779410791</v>
      </c>
      <c r="E47" s="56" t="s">
        <v>45</v>
      </c>
      <c r="F47" s="59">
        <v>441.2</v>
      </c>
      <c r="G47" s="56" t="s">
        <v>34</v>
      </c>
      <c r="H47" s="59">
        <v>38349.910000000003</v>
      </c>
      <c r="I47" s="56" t="s">
        <v>74</v>
      </c>
      <c r="J47" s="61">
        <v>397.08</v>
      </c>
      <c r="K47" s="61">
        <f t="shared" si="3"/>
        <v>441.2</v>
      </c>
      <c r="L47" s="61">
        <f t="shared" si="4"/>
        <v>44.120000000000005</v>
      </c>
      <c r="M47" s="61">
        <f t="shared" si="2"/>
        <v>10.000000000000002</v>
      </c>
    </row>
    <row r="48" spans="1:13" x14ac:dyDescent="0.35">
      <c r="A48" s="55">
        <v>1800005916</v>
      </c>
      <c r="B48" s="56" t="s">
        <v>57</v>
      </c>
      <c r="C48" s="57">
        <v>45751</v>
      </c>
      <c r="D48" s="58">
        <v>256779410807</v>
      </c>
      <c r="E48" s="56" t="s">
        <v>45</v>
      </c>
      <c r="F48" s="59">
        <v>742.7</v>
      </c>
      <c r="G48" s="56" t="s">
        <v>34</v>
      </c>
      <c r="H48" s="59">
        <v>64556.84</v>
      </c>
      <c r="I48" s="56" t="s">
        <v>75</v>
      </c>
      <c r="J48" s="61">
        <v>668.43000000000006</v>
      </c>
      <c r="K48" s="61">
        <f t="shared" si="3"/>
        <v>742.7</v>
      </c>
      <c r="L48" s="61">
        <f t="shared" si="4"/>
        <v>74.269999999999982</v>
      </c>
      <c r="M48" s="61">
        <f t="shared" si="2"/>
        <v>9.9999999999999964</v>
      </c>
    </row>
    <row r="49" spans="1:13" x14ac:dyDescent="0.35">
      <c r="A49" s="55">
        <v>1800006269</v>
      </c>
      <c r="B49" s="56" t="s">
        <v>57</v>
      </c>
      <c r="C49" s="57">
        <v>45762</v>
      </c>
      <c r="D49" s="58">
        <v>256779411160</v>
      </c>
      <c r="E49" s="56" t="s">
        <v>45</v>
      </c>
      <c r="F49" s="59">
        <v>18.38</v>
      </c>
      <c r="G49" s="56" t="s">
        <v>34</v>
      </c>
      <c r="H49" s="59">
        <v>1597.62</v>
      </c>
      <c r="I49" s="56" t="s">
        <v>99</v>
      </c>
      <c r="J49" s="61">
        <v>18.009999999999998</v>
      </c>
      <c r="K49" s="61">
        <f t="shared" si="3"/>
        <v>18.38</v>
      </c>
      <c r="L49" s="61">
        <f t="shared" si="4"/>
        <v>0.37000000000000099</v>
      </c>
      <c r="M49" s="61">
        <f t="shared" si="2"/>
        <v>2.0130576713819424</v>
      </c>
    </row>
    <row r="50" spans="1:13" x14ac:dyDescent="0.35">
      <c r="A50" s="55">
        <v>1800006270</v>
      </c>
      <c r="B50" s="56" t="s">
        <v>57</v>
      </c>
      <c r="C50" s="57">
        <v>45762</v>
      </c>
      <c r="D50" s="58">
        <v>256779411161</v>
      </c>
      <c r="E50" s="56" t="s">
        <v>45</v>
      </c>
      <c r="F50" s="59">
        <v>46.76</v>
      </c>
      <c r="G50" s="56" t="s">
        <v>34</v>
      </c>
      <c r="H50" s="59">
        <v>4064.46</v>
      </c>
      <c r="I50" s="56" t="s">
        <v>100</v>
      </c>
      <c r="J50" s="61">
        <v>45.82</v>
      </c>
      <c r="K50" s="61">
        <f t="shared" si="3"/>
        <v>46.76</v>
      </c>
      <c r="L50" s="61">
        <f t="shared" si="4"/>
        <v>0.93999999999999773</v>
      </c>
      <c r="M50" s="61">
        <f t="shared" si="2"/>
        <v>2.0102651839178738</v>
      </c>
    </row>
    <row r="51" spans="1:13" x14ac:dyDescent="0.35">
      <c r="A51" s="55">
        <v>1800006271</v>
      </c>
      <c r="B51" s="56" t="s">
        <v>57</v>
      </c>
      <c r="C51" s="57">
        <v>45762</v>
      </c>
      <c r="D51" s="58">
        <v>256779411162</v>
      </c>
      <c r="E51" s="56" t="s">
        <v>45</v>
      </c>
      <c r="F51" s="59">
        <v>35.25</v>
      </c>
      <c r="G51" s="56" t="s">
        <v>34</v>
      </c>
      <c r="H51" s="59">
        <v>3063.99</v>
      </c>
      <c r="I51" s="56" t="s">
        <v>99</v>
      </c>
      <c r="J51" s="61">
        <v>34.54</v>
      </c>
      <c r="K51" s="61">
        <f t="shared" si="3"/>
        <v>35.25</v>
      </c>
      <c r="L51" s="61">
        <f t="shared" si="4"/>
        <v>0.71000000000000085</v>
      </c>
      <c r="M51" s="61">
        <f t="shared" si="2"/>
        <v>2.014184397163123</v>
      </c>
    </row>
    <row r="52" spans="1:13" x14ac:dyDescent="0.35">
      <c r="A52" s="55">
        <v>1800006272</v>
      </c>
      <c r="B52" s="56" t="s">
        <v>57</v>
      </c>
      <c r="C52" s="57">
        <v>45762</v>
      </c>
      <c r="D52" s="58">
        <v>256779411163</v>
      </c>
      <c r="E52" s="56" t="s">
        <v>45</v>
      </c>
      <c r="F52" s="59">
        <v>24</v>
      </c>
      <c r="G52" s="56" t="s">
        <v>34</v>
      </c>
      <c r="H52" s="59">
        <v>2086.12</v>
      </c>
      <c r="I52" s="56" t="s">
        <v>99</v>
      </c>
      <c r="J52" s="61">
        <v>23.52</v>
      </c>
      <c r="K52" s="61">
        <f t="shared" si="3"/>
        <v>24</v>
      </c>
      <c r="L52" s="61">
        <f t="shared" si="4"/>
        <v>0.48000000000000043</v>
      </c>
      <c r="M52" s="61">
        <f t="shared" si="2"/>
        <v>2.0000000000000018</v>
      </c>
    </row>
    <row r="53" spans="1:13" x14ac:dyDescent="0.35">
      <c r="A53" s="55">
        <v>1800006273</v>
      </c>
      <c r="B53" s="56" t="s">
        <v>57</v>
      </c>
      <c r="C53" s="57">
        <v>45762</v>
      </c>
      <c r="D53" s="58">
        <v>256779411164</v>
      </c>
      <c r="E53" s="56" t="s">
        <v>45</v>
      </c>
      <c r="F53" s="59">
        <v>33</v>
      </c>
      <c r="G53" s="56" t="s">
        <v>34</v>
      </c>
      <c r="H53" s="59">
        <v>2868.42</v>
      </c>
      <c r="I53" s="56" t="s">
        <v>99</v>
      </c>
      <c r="J53" s="61">
        <v>32.340000000000003</v>
      </c>
      <c r="K53" s="61">
        <f t="shared" si="3"/>
        <v>33</v>
      </c>
      <c r="L53" s="61">
        <f t="shared" si="4"/>
        <v>0.65999999999999659</v>
      </c>
      <c r="M53" s="61">
        <f t="shared" si="2"/>
        <v>1.9999999999999896</v>
      </c>
    </row>
    <row r="54" spans="1:13" x14ac:dyDescent="0.35">
      <c r="A54" s="55">
        <v>1800006696</v>
      </c>
      <c r="B54" s="56" t="s">
        <v>57</v>
      </c>
      <c r="C54" s="57">
        <v>45762</v>
      </c>
      <c r="D54" s="58">
        <v>256779411587</v>
      </c>
      <c r="E54" s="56" t="s">
        <v>45</v>
      </c>
      <c r="F54" s="59">
        <v>2.25</v>
      </c>
      <c r="G54" s="56" t="s">
        <v>34</v>
      </c>
      <c r="H54" s="59">
        <v>195.57</v>
      </c>
      <c r="I54" s="56" t="s">
        <v>101</v>
      </c>
      <c r="J54" s="61">
        <v>2.2000000000000002</v>
      </c>
      <c r="K54" s="61">
        <f t="shared" si="3"/>
        <v>2.25</v>
      </c>
      <c r="L54" s="61">
        <f t="shared" si="4"/>
        <v>4.9999999999999822E-2</v>
      </c>
      <c r="M54" s="61">
        <f t="shared" si="2"/>
        <v>2.2222222222222143</v>
      </c>
    </row>
    <row r="55" spans="1:13" x14ac:dyDescent="0.35">
      <c r="A55" s="55">
        <v>1800006697</v>
      </c>
      <c r="B55" s="56" t="s">
        <v>57</v>
      </c>
      <c r="C55" s="57">
        <v>45762</v>
      </c>
      <c r="D55" s="58">
        <v>256779411588</v>
      </c>
      <c r="E55" s="56" t="s">
        <v>45</v>
      </c>
      <c r="F55" s="59">
        <v>2.25</v>
      </c>
      <c r="G55" s="56" t="s">
        <v>34</v>
      </c>
      <c r="H55" s="59">
        <v>195.57</v>
      </c>
      <c r="I55" s="56" t="s">
        <v>101</v>
      </c>
      <c r="J55" s="61">
        <v>2.2000000000000002</v>
      </c>
      <c r="K55" s="61">
        <f t="shared" si="3"/>
        <v>2.25</v>
      </c>
      <c r="L55" s="61">
        <f t="shared" si="4"/>
        <v>4.9999999999999822E-2</v>
      </c>
      <c r="M55" s="61">
        <f t="shared" si="2"/>
        <v>2.2222222222222143</v>
      </c>
    </row>
    <row r="56" spans="1:13" x14ac:dyDescent="0.35">
      <c r="A56" s="55">
        <v>1800006699</v>
      </c>
      <c r="B56" s="56" t="s">
        <v>57</v>
      </c>
      <c r="C56" s="57">
        <v>45762</v>
      </c>
      <c r="D56" s="58">
        <v>256779411590</v>
      </c>
      <c r="E56" s="56" t="s">
        <v>45</v>
      </c>
      <c r="F56" s="59">
        <v>2.25</v>
      </c>
      <c r="G56" s="56" t="s">
        <v>34</v>
      </c>
      <c r="H56" s="59">
        <v>195.57</v>
      </c>
      <c r="I56" s="56" t="s">
        <v>101</v>
      </c>
      <c r="J56" s="61">
        <v>2.2000000000000002</v>
      </c>
      <c r="K56" s="61">
        <f t="shared" si="3"/>
        <v>2.25</v>
      </c>
      <c r="L56" s="61">
        <f t="shared" si="4"/>
        <v>4.9999999999999822E-2</v>
      </c>
      <c r="M56" s="61">
        <f t="shared" si="2"/>
        <v>2.2222222222222143</v>
      </c>
    </row>
    <row r="57" spans="1:13" x14ac:dyDescent="0.35">
      <c r="A57" s="55">
        <v>1800006700</v>
      </c>
      <c r="B57" s="56" t="s">
        <v>57</v>
      </c>
      <c r="C57" s="57">
        <v>45762</v>
      </c>
      <c r="D57" s="58">
        <v>256779411591</v>
      </c>
      <c r="E57" s="56" t="s">
        <v>45</v>
      </c>
      <c r="F57" s="59">
        <v>3</v>
      </c>
      <c r="G57" s="56" t="s">
        <v>34</v>
      </c>
      <c r="H57" s="59">
        <v>260.77</v>
      </c>
      <c r="I57" s="56" t="s">
        <v>101</v>
      </c>
      <c r="J57" s="61">
        <v>2.94</v>
      </c>
      <c r="K57" s="61">
        <f t="shared" si="3"/>
        <v>3</v>
      </c>
      <c r="L57" s="61">
        <f t="shared" si="4"/>
        <v>6.0000000000000053E-2</v>
      </c>
      <c r="M57" s="61">
        <f t="shared" si="2"/>
        <v>2.0000000000000018</v>
      </c>
    </row>
    <row r="58" spans="1:13" x14ac:dyDescent="0.35">
      <c r="A58" s="55">
        <v>1800006701</v>
      </c>
      <c r="B58" s="56" t="s">
        <v>57</v>
      </c>
      <c r="C58" s="57">
        <v>45762</v>
      </c>
      <c r="D58" s="58">
        <v>256779411592</v>
      </c>
      <c r="E58" s="56" t="s">
        <v>45</v>
      </c>
      <c r="F58" s="59">
        <v>9.59</v>
      </c>
      <c r="G58" s="56" t="s">
        <v>34</v>
      </c>
      <c r="H58" s="59">
        <v>833.58</v>
      </c>
      <c r="I58" s="56" t="s">
        <v>101</v>
      </c>
      <c r="J58" s="61">
        <v>9.4</v>
      </c>
      <c r="K58" s="61">
        <f t="shared" si="3"/>
        <v>9.59</v>
      </c>
      <c r="L58" s="61">
        <f t="shared" si="4"/>
        <v>0.1899999999999995</v>
      </c>
      <c r="M58" s="61">
        <f t="shared" si="2"/>
        <v>1.981230448383728</v>
      </c>
    </row>
    <row r="59" spans="1:13" x14ac:dyDescent="0.35">
      <c r="A59" s="55">
        <v>1800006702</v>
      </c>
      <c r="B59" s="56" t="s">
        <v>57</v>
      </c>
      <c r="C59" s="57">
        <v>45762</v>
      </c>
      <c r="D59" s="58">
        <v>256779411593</v>
      </c>
      <c r="E59" s="56" t="s">
        <v>45</v>
      </c>
      <c r="F59" s="59">
        <v>3</v>
      </c>
      <c r="G59" s="56" t="s">
        <v>34</v>
      </c>
      <c r="H59" s="59">
        <v>260.77</v>
      </c>
      <c r="I59" s="56" t="s">
        <v>101</v>
      </c>
      <c r="J59" s="61">
        <v>2.94</v>
      </c>
      <c r="K59" s="61">
        <f t="shared" si="3"/>
        <v>3</v>
      </c>
      <c r="L59" s="61">
        <f t="shared" si="4"/>
        <v>6.0000000000000053E-2</v>
      </c>
      <c r="M59" s="61">
        <f t="shared" si="2"/>
        <v>2.0000000000000018</v>
      </c>
    </row>
    <row r="60" spans="1:13" x14ac:dyDescent="0.35">
      <c r="A60" s="55">
        <v>1800006703</v>
      </c>
      <c r="B60" s="56" t="s">
        <v>57</v>
      </c>
      <c r="C60" s="57">
        <v>45762</v>
      </c>
      <c r="D60" s="58">
        <v>256779411594</v>
      </c>
      <c r="E60" s="56" t="s">
        <v>45</v>
      </c>
      <c r="F60" s="59">
        <v>5.25</v>
      </c>
      <c r="G60" s="56" t="s">
        <v>34</v>
      </c>
      <c r="H60" s="59">
        <v>456.34</v>
      </c>
      <c r="I60" s="56" t="s">
        <v>101</v>
      </c>
      <c r="J60" s="61">
        <v>5.14</v>
      </c>
      <c r="K60" s="61">
        <f t="shared" si="3"/>
        <v>5.25</v>
      </c>
      <c r="L60" s="61">
        <f t="shared" si="4"/>
        <v>0.11000000000000032</v>
      </c>
      <c r="M60" s="61">
        <f t="shared" si="2"/>
        <v>2.0952380952381016</v>
      </c>
    </row>
    <row r="61" spans="1:13" x14ac:dyDescent="0.35">
      <c r="A61" s="55">
        <v>1800006704</v>
      </c>
      <c r="B61" s="56" t="s">
        <v>57</v>
      </c>
      <c r="C61" s="57">
        <v>45762</v>
      </c>
      <c r="D61" s="58">
        <v>256779411595</v>
      </c>
      <c r="E61" s="56" t="s">
        <v>45</v>
      </c>
      <c r="F61" s="59">
        <v>62.35</v>
      </c>
      <c r="G61" s="56" t="s">
        <v>34</v>
      </c>
      <c r="H61" s="59">
        <v>5419.58</v>
      </c>
      <c r="I61" s="56" t="s">
        <v>101</v>
      </c>
      <c r="J61" s="61">
        <v>61.1</v>
      </c>
      <c r="K61" s="61">
        <f t="shared" si="3"/>
        <v>62.35</v>
      </c>
      <c r="L61" s="61">
        <f t="shared" si="4"/>
        <v>1.25</v>
      </c>
      <c r="M61" s="61">
        <f t="shared" si="2"/>
        <v>2.0048115477145148</v>
      </c>
    </row>
    <row r="62" spans="1:13" x14ac:dyDescent="0.35">
      <c r="A62" s="55">
        <v>1800006705</v>
      </c>
      <c r="B62" s="56" t="s">
        <v>57</v>
      </c>
      <c r="C62" s="57">
        <v>45762</v>
      </c>
      <c r="D62" s="58">
        <v>256779411596</v>
      </c>
      <c r="E62" s="56" t="s">
        <v>45</v>
      </c>
      <c r="F62" s="59">
        <v>13.88</v>
      </c>
      <c r="G62" s="56" t="s">
        <v>34</v>
      </c>
      <c r="H62" s="59">
        <v>1206.47</v>
      </c>
      <c r="I62" s="56" t="s">
        <v>101</v>
      </c>
      <c r="J62" s="61">
        <v>13.600000000000001</v>
      </c>
      <c r="K62" s="61">
        <f t="shared" si="3"/>
        <v>13.88</v>
      </c>
      <c r="L62" s="61">
        <f t="shared" si="4"/>
        <v>0.27999999999999936</v>
      </c>
      <c r="M62" s="61">
        <f t="shared" si="2"/>
        <v>2.0172910662824157</v>
      </c>
    </row>
    <row r="63" spans="1:13" x14ac:dyDescent="0.35">
      <c r="A63" s="55">
        <v>1800006706</v>
      </c>
      <c r="B63" s="56" t="s">
        <v>57</v>
      </c>
      <c r="C63" s="57">
        <v>45762</v>
      </c>
      <c r="D63" s="58">
        <v>256779411597</v>
      </c>
      <c r="E63" s="56" t="s">
        <v>45</v>
      </c>
      <c r="F63" s="59">
        <v>19.95</v>
      </c>
      <c r="G63" s="56" t="s">
        <v>34</v>
      </c>
      <c r="H63" s="59">
        <v>1734.09</v>
      </c>
      <c r="I63" s="56" t="s">
        <v>101</v>
      </c>
      <c r="J63" s="61">
        <v>19.55</v>
      </c>
      <c r="K63" s="61">
        <f t="shared" si="3"/>
        <v>19.95</v>
      </c>
      <c r="L63" s="61">
        <f t="shared" si="4"/>
        <v>0.39999999999999858</v>
      </c>
      <c r="M63" s="61">
        <f t="shared" si="2"/>
        <v>2.0050125313283136</v>
      </c>
    </row>
    <row r="64" spans="1:13" x14ac:dyDescent="0.35">
      <c r="A64" s="55">
        <v>1800006920</v>
      </c>
      <c r="B64" s="56" t="s">
        <v>57</v>
      </c>
      <c r="C64" s="57">
        <v>45763</v>
      </c>
      <c r="D64" s="58">
        <v>256779411811</v>
      </c>
      <c r="E64" s="56" t="s">
        <v>45</v>
      </c>
      <c r="F64" s="59">
        <v>3.24</v>
      </c>
      <c r="G64" s="56" t="s">
        <v>34</v>
      </c>
      <c r="H64" s="59">
        <v>281.63</v>
      </c>
      <c r="I64" s="56" t="s">
        <v>81</v>
      </c>
      <c r="J64" s="61">
        <v>3.18</v>
      </c>
      <c r="K64" s="61">
        <f t="shared" si="3"/>
        <v>3.24</v>
      </c>
      <c r="L64" s="61">
        <f t="shared" si="4"/>
        <v>6.0000000000000053E-2</v>
      </c>
      <c r="M64" s="61">
        <f t="shared" si="2"/>
        <v>1.8518518518518534</v>
      </c>
    </row>
    <row r="65" spans="1:13" x14ac:dyDescent="0.35">
      <c r="A65" s="55">
        <v>1800006921</v>
      </c>
      <c r="B65" s="56" t="s">
        <v>57</v>
      </c>
      <c r="C65" s="57">
        <v>45763</v>
      </c>
      <c r="D65" s="58">
        <v>256779411812</v>
      </c>
      <c r="E65" s="56" t="s">
        <v>45</v>
      </c>
      <c r="F65" s="59">
        <v>15</v>
      </c>
      <c r="G65" s="56" t="s">
        <v>34</v>
      </c>
      <c r="H65" s="59">
        <v>1303.83</v>
      </c>
      <c r="I65" s="56" t="s">
        <v>102</v>
      </c>
      <c r="J65" s="61">
        <v>14.7</v>
      </c>
      <c r="K65" s="61">
        <f t="shared" si="3"/>
        <v>15</v>
      </c>
      <c r="L65" s="61">
        <f t="shared" si="4"/>
        <v>0.30000000000000071</v>
      </c>
      <c r="M65" s="61">
        <f t="shared" si="2"/>
        <v>2.0000000000000049</v>
      </c>
    </row>
    <row r="66" spans="1:13" x14ac:dyDescent="0.35">
      <c r="A66" s="55">
        <v>1800006999</v>
      </c>
      <c r="B66" s="56" t="s">
        <v>57</v>
      </c>
      <c r="C66" s="57">
        <v>45763</v>
      </c>
      <c r="D66" s="58">
        <v>256779411890</v>
      </c>
      <c r="E66" s="56" t="s">
        <v>45</v>
      </c>
      <c r="F66" s="59">
        <v>24.75</v>
      </c>
      <c r="G66" s="56" t="s">
        <v>34</v>
      </c>
      <c r="H66" s="59">
        <v>2151.3200000000002</v>
      </c>
      <c r="I66" s="56" t="s">
        <v>103</v>
      </c>
      <c r="J66" s="61">
        <v>24.25</v>
      </c>
      <c r="K66" s="61">
        <f t="shared" si="3"/>
        <v>24.75</v>
      </c>
      <c r="L66" s="61">
        <f t="shared" si="4"/>
        <v>0.5</v>
      </c>
      <c r="M66" s="61">
        <f t="shared" si="2"/>
        <v>2.0202020202020203</v>
      </c>
    </row>
    <row r="67" spans="1:13" x14ac:dyDescent="0.35">
      <c r="A67" s="55">
        <v>1800007000</v>
      </c>
      <c r="B67" s="56" t="s">
        <v>57</v>
      </c>
      <c r="C67" s="57">
        <v>45763</v>
      </c>
      <c r="D67" s="58">
        <v>256779411891</v>
      </c>
      <c r="E67" s="56" t="s">
        <v>45</v>
      </c>
      <c r="F67" s="59">
        <v>2.25</v>
      </c>
      <c r="G67" s="56" t="s">
        <v>34</v>
      </c>
      <c r="H67" s="59">
        <v>195.57</v>
      </c>
      <c r="I67" s="56" t="s">
        <v>104</v>
      </c>
      <c r="J67" s="61">
        <v>2.2000000000000002</v>
      </c>
      <c r="K67" s="61">
        <f t="shared" ref="K67:K73" si="5">F67</f>
        <v>2.25</v>
      </c>
      <c r="L67" s="61">
        <f t="shared" ref="L67:L73" si="6">F67-J67</f>
        <v>4.9999999999999822E-2</v>
      </c>
      <c r="M67" s="61">
        <f t="shared" si="2"/>
        <v>2.2222222222222143</v>
      </c>
    </row>
    <row r="68" spans="1:13" x14ac:dyDescent="0.35">
      <c r="A68" s="55">
        <v>1800007212</v>
      </c>
      <c r="B68" s="56" t="s">
        <v>57</v>
      </c>
      <c r="C68" s="57">
        <v>45763</v>
      </c>
      <c r="D68" s="58">
        <v>256779412103</v>
      </c>
      <c r="E68" s="56" t="s">
        <v>45</v>
      </c>
      <c r="F68" s="59">
        <v>42.53</v>
      </c>
      <c r="G68" s="56" t="s">
        <v>34</v>
      </c>
      <c r="H68" s="59">
        <v>3696.79</v>
      </c>
      <c r="I68" s="56" t="s">
        <v>105</v>
      </c>
      <c r="J68" s="61">
        <v>41.67</v>
      </c>
      <c r="K68" s="61">
        <f t="shared" si="5"/>
        <v>42.53</v>
      </c>
      <c r="L68" s="61">
        <f t="shared" si="6"/>
        <v>0.85999999999999943</v>
      </c>
      <c r="M68" s="61">
        <f t="shared" ref="M68:M131" si="7">L68/F68*100</f>
        <v>2.0221020456148588</v>
      </c>
    </row>
    <row r="69" spans="1:13" x14ac:dyDescent="0.35">
      <c r="A69" s="55">
        <v>1800007222</v>
      </c>
      <c r="B69" s="56" t="s">
        <v>57</v>
      </c>
      <c r="C69" s="57">
        <v>45763</v>
      </c>
      <c r="D69" s="58">
        <v>256779412113</v>
      </c>
      <c r="E69" s="56" t="s">
        <v>45</v>
      </c>
      <c r="F69" s="59">
        <v>827.48</v>
      </c>
      <c r="G69" s="56" t="s">
        <v>34</v>
      </c>
      <c r="H69" s="59">
        <v>71926.070000000007</v>
      </c>
      <c r="I69" s="56" t="s">
        <v>106</v>
      </c>
      <c r="J69" s="61">
        <v>744.73</v>
      </c>
      <c r="K69" s="61">
        <f t="shared" si="5"/>
        <v>827.48</v>
      </c>
      <c r="L69" s="61">
        <f t="shared" si="6"/>
        <v>82.75</v>
      </c>
      <c r="M69" s="61">
        <f t="shared" si="7"/>
        <v>10.000241697684537</v>
      </c>
    </row>
    <row r="70" spans="1:13" x14ac:dyDescent="0.35">
      <c r="A70" s="55">
        <v>1800007262</v>
      </c>
      <c r="B70" s="56" t="s">
        <v>57</v>
      </c>
      <c r="C70" s="57">
        <v>45768</v>
      </c>
      <c r="D70" s="58">
        <v>256779412153</v>
      </c>
      <c r="E70" s="56" t="s">
        <v>45</v>
      </c>
      <c r="F70" s="59">
        <v>1165.3699999999999</v>
      </c>
      <c r="G70" s="56" t="s">
        <v>34</v>
      </c>
      <c r="H70" s="59">
        <v>100000.4</v>
      </c>
      <c r="I70" s="56" t="s">
        <v>187</v>
      </c>
      <c r="J70" s="61">
        <v>1048.83</v>
      </c>
      <c r="K70" s="61">
        <f t="shared" si="5"/>
        <v>1165.3699999999999</v>
      </c>
      <c r="L70" s="61">
        <f t="shared" si="6"/>
        <v>116.53999999999996</v>
      </c>
      <c r="M70" s="61">
        <f t="shared" si="7"/>
        <v>10.000257428971054</v>
      </c>
    </row>
    <row r="71" spans="1:13" x14ac:dyDescent="0.35">
      <c r="A71" s="55">
        <v>1800007726</v>
      </c>
      <c r="B71" s="56" t="s">
        <v>57</v>
      </c>
      <c r="C71" s="57">
        <v>45769</v>
      </c>
      <c r="D71" s="58">
        <v>256779412617</v>
      </c>
      <c r="E71" s="56" t="s">
        <v>45</v>
      </c>
      <c r="F71" s="59">
        <v>384.63</v>
      </c>
      <c r="G71" s="56" t="s">
        <v>34</v>
      </c>
      <c r="H71" s="59">
        <v>33432.74</v>
      </c>
      <c r="I71" s="56" t="s">
        <v>196</v>
      </c>
      <c r="J71" s="61">
        <v>376.93</v>
      </c>
      <c r="K71" s="61">
        <f t="shared" si="5"/>
        <v>384.63</v>
      </c>
      <c r="L71" s="61">
        <f t="shared" si="6"/>
        <v>7.6999999999999886</v>
      </c>
      <c r="M71" s="61">
        <f t="shared" si="7"/>
        <v>2.0019239268907754</v>
      </c>
    </row>
    <row r="72" spans="1:13" x14ac:dyDescent="0.35">
      <c r="A72" s="55">
        <v>1800007769</v>
      </c>
      <c r="B72" s="56" t="s">
        <v>57</v>
      </c>
      <c r="C72" s="57">
        <v>45769</v>
      </c>
      <c r="D72" s="58">
        <v>256779412660</v>
      </c>
      <c r="E72" s="56" t="s">
        <v>45</v>
      </c>
      <c r="F72" s="59">
        <v>7.5</v>
      </c>
      <c r="G72" s="56" t="s">
        <v>34</v>
      </c>
      <c r="H72" s="59">
        <v>651.91</v>
      </c>
      <c r="I72" s="56" t="s">
        <v>197</v>
      </c>
      <c r="J72" s="61">
        <v>7.34</v>
      </c>
      <c r="K72" s="61">
        <f t="shared" si="5"/>
        <v>7.5</v>
      </c>
      <c r="L72" s="61">
        <f t="shared" si="6"/>
        <v>0.16000000000000014</v>
      </c>
      <c r="M72" s="61">
        <f t="shared" si="7"/>
        <v>2.1333333333333355</v>
      </c>
    </row>
    <row r="73" spans="1:13" x14ac:dyDescent="0.35">
      <c r="A73" s="55">
        <v>1800008041</v>
      </c>
      <c r="B73" s="56" t="s">
        <v>57</v>
      </c>
      <c r="C73" s="57">
        <v>45770</v>
      </c>
      <c r="D73" s="58">
        <v>256779412932</v>
      </c>
      <c r="E73" s="56" t="s">
        <v>45</v>
      </c>
      <c r="F73" s="59">
        <v>66.86</v>
      </c>
      <c r="G73" s="56" t="s">
        <v>34</v>
      </c>
      <c r="H73" s="59">
        <v>5811.59</v>
      </c>
      <c r="I73" s="56" t="s">
        <v>200</v>
      </c>
      <c r="J73" s="61">
        <v>65.52</v>
      </c>
      <c r="K73" s="61">
        <f t="shared" si="5"/>
        <v>66.86</v>
      </c>
      <c r="L73" s="61">
        <f t="shared" si="6"/>
        <v>1.3400000000000034</v>
      </c>
      <c r="M73" s="61">
        <f t="shared" si="7"/>
        <v>2.0041878552198673</v>
      </c>
    </row>
    <row r="74" spans="1:13" x14ac:dyDescent="0.35">
      <c r="A74" s="55">
        <v>1800008258</v>
      </c>
      <c r="B74" s="56" t="s">
        <v>57</v>
      </c>
      <c r="C74" s="57">
        <v>45787</v>
      </c>
      <c r="D74" s="58">
        <v>256779413142</v>
      </c>
      <c r="E74" s="56" t="s">
        <v>34</v>
      </c>
      <c r="F74" s="59">
        <v>100000</v>
      </c>
      <c r="G74" s="56" t="s">
        <v>34</v>
      </c>
      <c r="H74" s="59">
        <v>100000</v>
      </c>
      <c r="I74" s="56" t="s">
        <v>59</v>
      </c>
      <c r="J74" s="61">
        <v>1046.71</v>
      </c>
      <c r="K74" s="61">
        <f>J74/0.9</f>
        <v>1163.0111111111112</v>
      </c>
      <c r="L74" s="61">
        <f>K74-J74</f>
        <v>116.30111111111114</v>
      </c>
      <c r="M74" s="61">
        <f>L74/K74*100</f>
        <v>10.000000000000002</v>
      </c>
    </row>
    <row r="75" spans="1:13" x14ac:dyDescent="0.35">
      <c r="A75" s="55">
        <v>1800008504</v>
      </c>
      <c r="B75" s="56" t="s">
        <v>57</v>
      </c>
      <c r="C75" s="57">
        <v>45793</v>
      </c>
      <c r="D75" s="58">
        <v>256779413272</v>
      </c>
      <c r="E75" s="56" t="s">
        <v>45</v>
      </c>
      <c r="F75" s="59">
        <v>25.28</v>
      </c>
      <c r="G75" s="56" t="s">
        <v>34</v>
      </c>
      <c r="H75" s="59">
        <v>2173.67</v>
      </c>
      <c r="I75" s="56" t="s">
        <v>149</v>
      </c>
      <c r="J75" s="61">
        <v>24.77</v>
      </c>
      <c r="K75" s="61">
        <f t="shared" ref="K75:K83" si="8">F75</f>
        <v>25.28</v>
      </c>
      <c r="L75" s="61">
        <f t="shared" ref="L75:L83" si="9">F75-J75</f>
        <v>0.51000000000000156</v>
      </c>
      <c r="M75" s="61">
        <f t="shared" si="7"/>
        <v>2.0174050632911453</v>
      </c>
    </row>
    <row r="76" spans="1:13" x14ac:dyDescent="0.35">
      <c r="A76" s="55">
        <v>1800008597</v>
      </c>
      <c r="B76" s="56" t="s">
        <v>57</v>
      </c>
      <c r="C76" s="57">
        <v>45793</v>
      </c>
      <c r="D76" s="58">
        <v>256779413361</v>
      </c>
      <c r="E76" s="56" t="s">
        <v>45</v>
      </c>
      <c r="F76" s="59">
        <v>3</v>
      </c>
      <c r="G76" s="56" t="s">
        <v>34</v>
      </c>
      <c r="H76" s="59">
        <v>257.95</v>
      </c>
      <c r="I76" s="56" t="s">
        <v>150</v>
      </c>
      <c r="J76" s="61">
        <v>2.94</v>
      </c>
      <c r="K76" s="61">
        <f t="shared" si="8"/>
        <v>3</v>
      </c>
      <c r="L76" s="61">
        <f t="shared" si="9"/>
        <v>6.0000000000000053E-2</v>
      </c>
      <c r="M76" s="61">
        <f t="shared" si="7"/>
        <v>2.0000000000000018</v>
      </c>
    </row>
    <row r="77" spans="1:13" x14ac:dyDescent="0.35">
      <c r="A77" s="55">
        <v>1800008726</v>
      </c>
      <c r="B77" s="56" t="s">
        <v>57</v>
      </c>
      <c r="C77" s="57">
        <v>45797</v>
      </c>
      <c r="D77" s="58">
        <v>256779413490</v>
      </c>
      <c r="E77" s="56" t="s">
        <v>45</v>
      </c>
      <c r="F77" s="59">
        <v>3</v>
      </c>
      <c r="G77" s="56" t="s">
        <v>34</v>
      </c>
      <c r="H77" s="59">
        <v>257.95</v>
      </c>
      <c r="I77" s="56" t="s">
        <v>179</v>
      </c>
      <c r="J77" s="61">
        <v>2.94</v>
      </c>
      <c r="K77" s="61">
        <f t="shared" si="8"/>
        <v>3</v>
      </c>
      <c r="L77" s="61">
        <f t="shared" si="9"/>
        <v>6.0000000000000053E-2</v>
      </c>
      <c r="M77" s="61">
        <f t="shared" si="7"/>
        <v>2.0000000000000018</v>
      </c>
    </row>
    <row r="78" spans="1:13" x14ac:dyDescent="0.35">
      <c r="A78" s="55">
        <v>1800009129</v>
      </c>
      <c r="B78" s="56" t="s">
        <v>57</v>
      </c>
      <c r="C78" s="57">
        <v>45805</v>
      </c>
      <c r="D78" s="58">
        <v>256779413893</v>
      </c>
      <c r="E78" s="56" t="s">
        <v>45</v>
      </c>
      <c r="F78" s="59">
        <v>797.57</v>
      </c>
      <c r="G78" s="56" t="s">
        <v>34</v>
      </c>
      <c r="H78" s="59">
        <v>68578.02</v>
      </c>
      <c r="I78" s="56" t="s">
        <v>151</v>
      </c>
      <c r="J78" s="61">
        <v>717.81</v>
      </c>
      <c r="K78" s="61">
        <f t="shared" si="8"/>
        <v>797.57</v>
      </c>
      <c r="L78" s="61">
        <f t="shared" si="9"/>
        <v>79.760000000000105</v>
      </c>
      <c r="M78" s="61">
        <f t="shared" si="7"/>
        <v>10.000376142532955</v>
      </c>
    </row>
    <row r="79" spans="1:13" x14ac:dyDescent="0.35">
      <c r="A79" s="55">
        <v>1800009239</v>
      </c>
      <c r="B79" s="56" t="s">
        <v>57</v>
      </c>
      <c r="C79" s="57">
        <v>45812</v>
      </c>
      <c r="D79" s="58">
        <v>256779414003</v>
      </c>
      <c r="E79" s="56" t="s">
        <v>45</v>
      </c>
      <c r="F79" s="59">
        <v>807.39</v>
      </c>
      <c r="G79" s="56" t="s">
        <v>34</v>
      </c>
      <c r="H79" s="59">
        <v>69024.399999999994</v>
      </c>
      <c r="I79" s="56" t="s">
        <v>136</v>
      </c>
      <c r="J79" s="61">
        <v>726.65</v>
      </c>
      <c r="K79" s="61">
        <f t="shared" si="8"/>
        <v>807.39</v>
      </c>
      <c r="L79" s="61">
        <f t="shared" si="9"/>
        <v>80.740000000000009</v>
      </c>
      <c r="M79" s="61">
        <f t="shared" si="7"/>
        <v>10.000123855881297</v>
      </c>
    </row>
    <row r="80" spans="1:13" x14ac:dyDescent="0.35">
      <c r="A80" s="55">
        <v>1800009240</v>
      </c>
      <c r="B80" s="56" t="s">
        <v>57</v>
      </c>
      <c r="C80" s="57">
        <v>45812</v>
      </c>
      <c r="D80" s="58">
        <v>256779414004</v>
      </c>
      <c r="E80" s="56" t="s">
        <v>45</v>
      </c>
      <c r="F80" s="59">
        <v>808.16</v>
      </c>
      <c r="G80" s="56" t="s">
        <v>34</v>
      </c>
      <c r="H80" s="59">
        <v>69090.23</v>
      </c>
      <c r="I80" s="56" t="s">
        <v>137</v>
      </c>
      <c r="J80" s="61">
        <v>727.33999999999992</v>
      </c>
      <c r="K80" s="61">
        <f t="shared" si="8"/>
        <v>808.16</v>
      </c>
      <c r="L80" s="61">
        <f t="shared" si="9"/>
        <v>80.82000000000005</v>
      </c>
      <c r="M80" s="61">
        <f t="shared" si="7"/>
        <v>10.00049495149476</v>
      </c>
    </row>
    <row r="81" spans="1:13" x14ac:dyDescent="0.35">
      <c r="A81" s="55">
        <v>1800009241</v>
      </c>
      <c r="B81" s="56" t="s">
        <v>57</v>
      </c>
      <c r="C81" s="57">
        <v>45812</v>
      </c>
      <c r="D81" s="58">
        <v>256779414005</v>
      </c>
      <c r="E81" s="56" t="s">
        <v>45</v>
      </c>
      <c r="F81" s="59">
        <v>805.28</v>
      </c>
      <c r="G81" s="56" t="s">
        <v>34</v>
      </c>
      <c r="H81" s="59">
        <v>68844.02</v>
      </c>
      <c r="I81" s="56" t="s">
        <v>138</v>
      </c>
      <c r="J81" s="61">
        <v>724.75</v>
      </c>
      <c r="K81" s="61">
        <f t="shared" si="8"/>
        <v>805.28</v>
      </c>
      <c r="L81" s="61">
        <f t="shared" si="9"/>
        <v>80.529999999999973</v>
      </c>
      <c r="M81" s="61">
        <f t="shared" si="7"/>
        <v>10.000248360818594</v>
      </c>
    </row>
    <row r="82" spans="1:13" x14ac:dyDescent="0.35">
      <c r="A82" s="55">
        <v>1800009242</v>
      </c>
      <c r="B82" s="56" t="s">
        <v>57</v>
      </c>
      <c r="C82" s="57">
        <v>45812</v>
      </c>
      <c r="D82" s="58">
        <v>256779414006</v>
      </c>
      <c r="E82" s="56" t="s">
        <v>45</v>
      </c>
      <c r="F82" s="59">
        <v>801.47</v>
      </c>
      <c r="G82" s="56" t="s">
        <v>34</v>
      </c>
      <c r="H82" s="59">
        <v>68518.3</v>
      </c>
      <c r="I82" s="56" t="s">
        <v>139</v>
      </c>
      <c r="J82" s="61">
        <v>721.32</v>
      </c>
      <c r="K82" s="61">
        <f t="shared" si="8"/>
        <v>801.47</v>
      </c>
      <c r="L82" s="61">
        <f t="shared" si="9"/>
        <v>80.149999999999977</v>
      </c>
      <c r="M82" s="61">
        <f t="shared" si="7"/>
        <v>10.000374312201327</v>
      </c>
    </row>
    <row r="83" spans="1:13" x14ac:dyDescent="0.35">
      <c r="A83" s="55">
        <v>1800009243</v>
      </c>
      <c r="B83" s="56" t="s">
        <v>57</v>
      </c>
      <c r="C83" s="57">
        <v>45812</v>
      </c>
      <c r="D83" s="58">
        <v>256779414007</v>
      </c>
      <c r="E83" s="56" t="s">
        <v>45</v>
      </c>
      <c r="F83" s="59">
        <v>790.89</v>
      </c>
      <c r="G83" s="56" t="s">
        <v>34</v>
      </c>
      <c r="H83" s="59">
        <v>67613.8</v>
      </c>
      <c r="I83" s="56" t="s">
        <v>140</v>
      </c>
      <c r="J83" s="61">
        <v>711.8</v>
      </c>
      <c r="K83" s="61">
        <f t="shared" si="8"/>
        <v>790.89</v>
      </c>
      <c r="L83" s="61">
        <f t="shared" si="9"/>
        <v>79.090000000000032</v>
      </c>
      <c r="M83" s="61">
        <f t="shared" si="7"/>
        <v>10.000126439833609</v>
      </c>
    </row>
    <row r="84" spans="1:13" x14ac:dyDescent="0.35">
      <c r="A84" s="55">
        <v>1800009590</v>
      </c>
      <c r="B84" s="56" t="s">
        <v>57</v>
      </c>
      <c r="C84" s="57">
        <v>45818</v>
      </c>
      <c r="D84" s="58">
        <v>256779414354</v>
      </c>
      <c r="E84" s="56" t="s">
        <v>34</v>
      </c>
      <c r="F84" s="59">
        <v>100000</v>
      </c>
      <c r="G84" s="56" t="s">
        <v>34</v>
      </c>
      <c r="H84" s="59">
        <v>100000</v>
      </c>
      <c r="I84" s="56" t="s">
        <v>60</v>
      </c>
      <c r="J84" s="61">
        <v>1052.75</v>
      </c>
      <c r="K84" s="61">
        <f>J84/0.9</f>
        <v>1169.7222222222222</v>
      </c>
      <c r="L84" s="61">
        <f>K84-J84</f>
        <v>116.97222222222217</v>
      </c>
      <c r="M84" s="61">
        <f t="shared" ref="M84:M85" si="10">L84/K84*100</f>
        <v>9.9999999999999964</v>
      </c>
    </row>
    <row r="85" spans="1:13" x14ac:dyDescent="0.35">
      <c r="A85" s="55">
        <v>1800010152</v>
      </c>
      <c r="B85" s="56" t="s">
        <v>57</v>
      </c>
      <c r="C85" s="57">
        <v>45842</v>
      </c>
      <c r="D85" s="58">
        <v>256779414912</v>
      </c>
      <c r="E85" s="56" t="s">
        <v>34</v>
      </c>
      <c r="F85" s="59">
        <v>100000</v>
      </c>
      <c r="G85" s="56" t="s">
        <v>34</v>
      </c>
      <c r="H85" s="59">
        <v>100000</v>
      </c>
      <c r="I85" s="56" t="s">
        <v>61</v>
      </c>
      <c r="J85" s="61">
        <v>1046.5</v>
      </c>
      <c r="K85" s="61">
        <f>J85/0.9</f>
        <v>1162.7777777777778</v>
      </c>
      <c r="L85" s="61">
        <f>K85-J85</f>
        <v>116.27777777777783</v>
      </c>
      <c r="M85" s="61">
        <f t="shared" si="10"/>
        <v>10.000000000000004</v>
      </c>
    </row>
    <row r="86" spans="1:13" x14ac:dyDescent="0.35">
      <c r="A86" s="55">
        <v>1800010069</v>
      </c>
      <c r="B86" s="56" t="s">
        <v>57</v>
      </c>
      <c r="C86" s="57">
        <v>45842</v>
      </c>
      <c r="D86" s="58">
        <v>256779414833</v>
      </c>
      <c r="E86" s="56" t="s">
        <v>45</v>
      </c>
      <c r="F86" s="59">
        <v>3</v>
      </c>
      <c r="G86" s="56" t="s">
        <v>34</v>
      </c>
      <c r="H86" s="59">
        <v>258</v>
      </c>
      <c r="I86" s="56" t="s">
        <v>114</v>
      </c>
      <c r="J86" s="61">
        <v>2.94</v>
      </c>
      <c r="K86" s="61">
        <f>F86</f>
        <v>3</v>
      </c>
      <c r="L86" s="61">
        <f>F86-J86</f>
        <v>6.0000000000000053E-2</v>
      </c>
      <c r="M86" s="61">
        <f t="shared" si="7"/>
        <v>2.0000000000000018</v>
      </c>
    </row>
    <row r="87" spans="1:13" x14ac:dyDescent="0.35">
      <c r="A87" s="55">
        <v>1800010430</v>
      </c>
      <c r="B87" s="56" t="s">
        <v>57</v>
      </c>
      <c r="C87" s="57">
        <v>45842</v>
      </c>
      <c r="D87" s="58">
        <v>256779415190</v>
      </c>
      <c r="E87" s="56" t="s">
        <v>45</v>
      </c>
      <c r="F87" s="59">
        <v>690.7</v>
      </c>
      <c r="G87" s="56" t="s">
        <v>34</v>
      </c>
      <c r="H87" s="59">
        <v>59400.66</v>
      </c>
      <c r="I87" s="56" t="s">
        <v>115</v>
      </c>
      <c r="J87" s="61">
        <v>621.63000000000011</v>
      </c>
      <c r="K87" s="61">
        <f>F87</f>
        <v>690.7</v>
      </c>
      <c r="L87" s="61">
        <f>F87-J87</f>
        <v>69.069999999999936</v>
      </c>
      <c r="M87" s="61">
        <f t="shared" si="7"/>
        <v>9.9999999999999893</v>
      </c>
    </row>
    <row r="88" spans="1:13" x14ac:dyDescent="0.35">
      <c r="A88" s="55">
        <v>1800010701</v>
      </c>
      <c r="B88" s="56" t="s">
        <v>57</v>
      </c>
      <c r="C88" s="57">
        <v>45856</v>
      </c>
      <c r="D88" s="58">
        <v>256779415485</v>
      </c>
      <c r="E88" s="56" t="s">
        <v>45</v>
      </c>
      <c r="F88" s="59">
        <v>17.25</v>
      </c>
      <c r="G88" s="56" t="s">
        <v>34</v>
      </c>
      <c r="H88" s="59">
        <v>1483.51</v>
      </c>
      <c r="I88" s="56" t="s">
        <v>152</v>
      </c>
      <c r="J88" s="61">
        <v>16.899999999999999</v>
      </c>
      <c r="K88" s="61">
        <f>F88</f>
        <v>17.25</v>
      </c>
      <c r="L88" s="61">
        <f>F88-J88</f>
        <v>0.35000000000000142</v>
      </c>
      <c r="M88" s="61">
        <f t="shared" si="7"/>
        <v>2.0289855072463849</v>
      </c>
    </row>
    <row r="89" spans="1:13" x14ac:dyDescent="0.35">
      <c r="A89" s="55">
        <v>1800010749</v>
      </c>
      <c r="B89" s="56" t="s">
        <v>57</v>
      </c>
      <c r="C89" s="57">
        <v>45856</v>
      </c>
      <c r="D89" s="58">
        <v>256779415533</v>
      </c>
      <c r="E89" s="56" t="s">
        <v>45</v>
      </c>
      <c r="F89" s="59">
        <v>21.75</v>
      </c>
      <c r="G89" s="56" t="s">
        <v>34</v>
      </c>
      <c r="H89" s="59">
        <v>1870.51</v>
      </c>
      <c r="I89" s="56" t="s">
        <v>153</v>
      </c>
      <c r="J89" s="61">
        <v>21.31</v>
      </c>
      <c r="K89" s="61">
        <f>F89</f>
        <v>21.75</v>
      </c>
      <c r="L89" s="61">
        <f>F89-J89</f>
        <v>0.44000000000000128</v>
      </c>
      <c r="M89" s="61">
        <f t="shared" si="7"/>
        <v>2.0229885057471324</v>
      </c>
    </row>
    <row r="90" spans="1:13" x14ac:dyDescent="0.35">
      <c r="A90" s="55">
        <v>1800011012</v>
      </c>
      <c r="B90" s="56" t="s">
        <v>57</v>
      </c>
      <c r="C90" s="57">
        <v>45857</v>
      </c>
      <c r="D90" s="58">
        <v>256779415772</v>
      </c>
      <c r="E90" s="56" t="s">
        <v>45</v>
      </c>
      <c r="F90" s="59">
        <v>59.43</v>
      </c>
      <c r="G90" s="56" t="s">
        <v>34</v>
      </c>
      <c r="H90" s="59">
        <v>5111.0200000000004</v>
      </c>
      <c r="I90" s="56" t="s">
        <v>207</v>
      </c>
      <c r="J90" s="61">
        <v>58.24</v>
      </c>
      <c r="K90" s="61">
        <f>F90</f>
        <v>59.43</v>
      </c>
      <c r="L90" s="61">
        <f>F90-J90</f>
        <v>1.1899999999999977</v>
      </c>
      <c r="M90" s="61">
        <f t="shared" si="7"/>
        <v>2.0023557126030584</v>
      </c>
    </row>
    <row r="91" spans="1:13" x14ac:dyDescent="0.35">
      <c r="A91" s="55">
        <v>1800011358</v>
      </c>
      <c r="B91" s="56" t="s">
        <v>57</v>
      </c>
      <c r="C91" s="57">
        <v>45870</v>
      </c>
      <c r="D91" s="58">
        <v>256779416024</v>
      </c>
      <c r="E91" s="56" t="s">
        <v>34</v>
      </c>
      <c r="F91" s="59">
        <v>100000</v>
      </c>
      <c r="G91" s="56" t="s">
        <v>34</v>
      </c>
      <c r="H91" s="59">
        <v>100000</v>
      </c>
      <c r="I91" s="56" t="s">
        <v>62</v>
      </c>
      <c r="J91" s="61">
        <v>1046.1400000000001</v>
      </c>
      <c r="K91" s="61">
        <f>J91/0.9</f>
        <v>1162.377777777778</v>
      </c>
      <c r="L91" s="61">
        <f>K91-J91</f>
        <v>116.23777777777786</v>
      </c>
      <c r="M91" s="61">
        <f>L91/K91*100</f>
        <v>10.000000000000005</v>
      </c>
    </row>
    <row r="92" spans="1:13" x14ac:dyDescent="0.35">
      <c r="A92" s="55">
        <v>1800011652</v>
      </c>
      <c r="B92" s="56" t="s">
        <v>57</v>
      </c>
      <c r="C92" s="57">
        <v>45877</v>
      </c>
      <c r="D92" s="58">
        <v>256779416082</v>
      </c>
      <c r="E92" s="56" t="s">
        <v>45</v>
      </c>
      <c r="F92" s="59">
        <v>759.67</v>
      </c>
      <c r="G92" s="56" t="s">
        <v>34</v>
      </c>
      <c r="H92" s="59">
        <v>65354.5</v>
      </c>
      <c r="I92" s="56" t="s">
        <v>130</v>
      </c>
      <c r="J92" s="61">
        <v>683.69999999999993</v>
      </c>
      <c r="K92" s="61">
        <f t="shared" ref="K92:K101" si="11">F92</f>
        <v>759.67</v>
      </c>
      <c r="L92" s="61">
        <f t="shared" ref="L92:L101" si="12">F92-J92</f>
        <v>75.970000000000027</v>
      </c>
      <c r="M92" s="61">
        <f t="shared" si="7"/>
        <v>10.000394908315457</v>
      </c>
    </row>
    <row r="93" spans="1:13" x14ac:dyDescent="0.35">
      <c r="A93" s="55">
        <v>1800011791</v>
      </c>
      <c r="B93" s="56" t="s">
        <v>57</v>
      </c>
      <c r="C93" s="57">
        <v>45877</v>
      </c>
      <c r="D93" s="58">
        <v>256779416182</v>
      </c>
      <c r="E93" s="56" t="s">
        <v>45</v>
      </c>
      <c r="F93" s="59">
        <v>18</v>
      </c>
      <c r="G93" s="56" t="s">
        <v>34</v>
      </c>
      <c r="H93" s="59">
        <v>1548.54</v>
      </c>
      <c r="I93" s="56" t="s">
        <v>131</v>
      </c>
      <c r="J93" s="61">
        <v>17.64</v>
      </c>
      <c r="K93" s="61">
        <f t="shared" si="11"/>
        <v>18</v>
      </c>
      <c r="L93" s="61">
        <f t="shared" si="12"/>
        <v>0.35999999999999943</v>
      </c>
      <c r="M93" s="61">
        <f t="shared" si="7"/>
        <v>1.9999999999999969</v>
      </c>
    </row>
    <row r="94" spans="1:13" x14ac:dyDescent="0.35">
      <c r="A94" s="55">
        <v>1800011710</v>
      </c>
      <c r="B94" s="56" t="s">
        <v>57</v>
      </c>
      <c r="C94" s="57">
        <v>45877</v>
      </c>
      <c r="D94" s="58">
        <v>256779416228</v>
      </c>
      <c r="E94" s="56" t="s">
        <v>45</v>
      </c>
      <c r="F94" s="59">
        <v>3</v>
      </c>
      <c r="G94" s="56" t="s">
        <v>34</v>
      </c>
      <c r="H94" s="59">
        <v>258.08999999999997</v>
      </c>
      <c r="I94" s="56" t="s">
        <v>132</v>
      </c>
      <c r="J94" s="61">
        <v>2.94</v>
      </c>
      <c r="K94" s="61">
        <f t="shared" si="11"/>
        <v>3</v>
      </c>
      <c r="L94" s="61">
        <f t="shared" si="12"/>
        <v>6.0000000000000053E-2</v>
      </c>
      <c r="M94" s="61">
        <f t="shared" si="7"/>
        <v>2.0000000000000018</v>
      </c>
    </row>
    <row r="95" spans="1:13" x14ac:dyDescent="0.35">
      <c r="A95" s="55">
        <v>1800011396</v>
      </c>
      <c r="B95" s="56" t="s">
        <v>57</v>
      </c>
      <c r="C95" s="57">
        <v>45877</v>
      </c>
      <c r="D95" s="58">
        <v>256779416246</v>
      </c>
      <c r="E95" s="56" t="s">
        <v>45</v>
      </c>
      <c r="F95" s="59">
        <v>70.95</v>
      </c>
      <c r="G95" s="56" t="s">
        <v>34</v>
      </c>
      <c r="H95" s="59">
        <v>6103.84</v>
      </c>
      <c r="I95" s="56" t="s">
        <v>133</v>
      </c>
      <c r="J95" s="61">
        <v>69.540000000000006</v>
      </c>
      <c r="K95" s="61">
        <f t="shared" si="11"/>
        <v>70.95</v>
      </c>
      <c r="L95" s="61">
        <f t="shared" si="12"/>
        <v>1.4099999999999966</v>
      </c>
      <c r="M95" s="61">
        <f t="shared" si="7"/>
        <v>1.9873150105708195</v>
      </c>
    </row>
    <row r="96" spans="1:13" x14ac:dyDescent="0.35">
      <c r="A96" s="55">
        <v>1800011407</v>
      </c>
      <c r="B96" s="56" t="s">
        <v>57</v>
      </c>
      <c r="C96" s="57">
        <v>45877</v>
      </c>
      <c r="D96" s="58">
        <v>256779416257</v>
      </c>
      <c r="E96" s="56" t="s">
        <v>45</v>
      </c>
      <c r="F96" s="59">
        <v>22.87</v>
      </c>
      <c r="G96" s="56" t="s">
        <v>34</v>
      </c>
      <c r="H96" s="59">
        <v>1967.51</v>
      </c>
      <c r="I96" s="56" t="s">
        <v>134</v>
      </c>
      <c r="J96" s="61">
        <v>22.42</v>
      </c>
      <c r="K96" s="61">
        <f t="shared" si="11"/>
        <v>22.87</v>
      </c>
      <c r="L96" s="61">
        <f t="shared" si="12"/>
        <v>0.44999999999999929</v>
      </c>
      <c r="M96" s="61">
        <f t="shared" si="7"/>
        <v>1.9676432006996032</v>
      </c>
    </row>
    <row r="97" spans="1:13" x14ac:dyDescent="0.35">
      <c r="A97" s="55">
        <v>1800011596</v>
      </c>
      <c r="B97" s="56" t="s">
        <v>57</v>
      </c>
      <c r="C97" s="57">
        <v>45877</v>
      </c>
      <c r="D97" s="58">
        <v>256779416446</v>
      </c>
      <c r="E97" s="56" t="s">
        <v>45</v>
      </c>
      <c r="F97" s="59">
        <v>2.2799999999999998</v>
      </c>
      <c r="G97" s="56" t="s">
        <v>34</v>
      </c>
      <c r="H97" s="59">
        <v>196.15</v>
      </c>
      <c r="I97" s="56" t="s">
        <v>135</v>
      </c>
      <c r="J97" s="61">
        <v>2.23</v>
      </c>
      <c r="K97" s="61">
        <f t="shared" si="11"/>
        <v>2.2799999999999998</v>
      </c>
      <c r="L97" s="61">
        <f t="shared" si="12"/>
        <v>4.9999999999999822E-2</v>
      </c>
      <c r="M97" s="61">
        <f t="shared" si="7"/>
        <v>2.192982456140343</v>
      </c>
    </row>
    <row r="98" spans="1:13" x14ac:dyDescent="0.35">
      <c r="A98" s="55">
        <v>1800012069</v>
      </c>
      <c r="B98" s="56" t="s">
        <v>57</v>
      </c>
      <c r="C98" s="57">
        <v>45889</v>
      </c>
      <c r="D98" s="58">
        <v>256779416604</v>
      </c>
      <c r="E98" s="56" t="s">
        <v>45</v>
      </c>
      <c r="F98" s="59">
        <v>17.309999999999999</v>
      </c>
      <c r="G98" s="56" t="s">
        <v>34</v>
      </c>
      <c r="H98" s="59">
        <v>1489.18</v>
      </c>
      <c r="I98" s="56" t="s">
        <v>171</v>
      </c>
      <c r="J98" s="61">
        <v>16.959999999999997</v>
      </c>
      <c r="K98" s="61">
        <f t="shared" si="11"/>
        <v>17.309999999999999</v>
      </c>
      <c r="L98" s="61">
        <f t="shared" si="12"/>
        <v>0.35000000000000142</v>
      </c>
      <c r="M98" s="61">
        <f t="shared" si="7"/>
        <v>2.0219526285384255</v>
      </c>
    </row>
    <row r="99" spans="1:13" x14ac:dyDescent="0.35">
      <c r="A99" s="55">
        <v>1800012178</v>
      </c>
      <c r="B99" s="56" t="s">
        <v>57</v>
      </c>
      <c r="C99" s="57">
        <v>45889</v>
      </c>
      <c r="D99" s="58">
        <v>256779416616</v>
      </c>
      <c r="E99" s="56" t="s">
        <v>45</v>
      </c>
      <c r="F99" s="59">
        <v>63.65</v>
      </c>
      <c r="G99" s="56" t="s">
        <v>34</v>
      </c>
      <c r="H99" s="59">
        <v>5475.82</v>
      </c>
      <c r="I99" s="56" t="s">
        <v>172</v>
      </c>
      <c r="J99" s="61">
        <v>62.379999999999995</v>
      </c>
      <c r="K99" s="61">
        <f t="shared" si="11"/>
        <v>63.65</v>
      </c>
      <c r="L99" s="61">
        <f t="shared" si="12"/>
        <v>1.2700000000000031</v>
      </c>
      <c r="M99" s="61">
        <f t="shared" si="7"/>
        <v>1.9952867242733749</v>
      </c>
    </row>
    <row r="100" spans="1:13" x14ac:dyDescent="0.35">
      <c r="A100" s="55">
        <v>1800012251</v>
      </c>
      <c r="B100" s="56" t="s">
        <v>57</v>
      </c>
      <c r="C100" s="57">
        <v>45889</v>
      </c>
      <c r="D100" s="58">
        <v>256779416847</v>
      </c>
      <c r="E100" s="56" t="s">
        <v>45</v>
      </c>
      <c r="F100" s="59">
        <v>27.83</v>
      </c>
      <c r="G100" s="56" t="s">
        <v>34</v>
      </c>
      <c r="H100" s="59">
        <v>2394.2199999999998</v>
      </c>
      <c r="I100" s="56" t="s">
        <v>173</v>
      </c>
      <c r="J100" s="61">
        <v>27.27</v>
      </c>
      <c r="K100" s="61">
        <f t="shared" si="11"/>
        <v>27.83</v>
      </c>
      <c r="L100" s="61">
        <f t="shared" si="12"/>
        <v>0.55999999999999872</v>
      </c>
      <c r="M100" s="61">
        <f t="shared" si="7"/>
        <v>2.0122170319798736</v>
      </c>
    </row>
    <row r="101" spans="1:13" x14ac:dyDescent="0.35">
      <c r="A101" s="55">
        <v>1800012220</v>
      </c>
      <c r="B101" s="56" t="s">
        <v>57</v>
      </c>
      <c r="C101" s="57">
        <v>45889</v>
      </c>
      <c r="D101" s="58">
        <v>256779416882</v>
      </c>
      <c r="E101" s="56" t="s">
        <v>45</v>
      </c>
      <c r="F101" s="59">
        <v>12.83</v>
      </c>
      <c r="G101" s="56" t="s">
        <v>34</v>
      </c>
      <c r="H101" s="59">
        <v>1103.77</v>
      </c>
      <c r="I101" s="56" t="s">
        <v>174</v>
      </c>
      <c r="J101" s="61">
        <v>12.57</v>
      </c>
      <c r="K101" s="61">
        <f t="shared" si="11"/>
        <v>12.83</v>
      </c>
      <c r="L101" s="61">
        <f t="shared" si="12"/>
        <v>0.25999999999999979</v>
      </c>
      <c r="M101" s="61">
        <f t="shared" si="7"/>
        <v>2.0265003897116118</v>
      </c>
    </row>
    <row r="102" spans="1:13" x14ac:dyDescent="0.35">
      <c r="A102" s="55">
        <v>1800012710</v>
      </c>
      <c r="B102" s="56" t="s">
        <v>57</v>
      </c>
      <c r="C102" s="57">
        <v>45904</v>
      </c>
      <c r="D102" s="58">
        <v>256779417344</v>
      </c>
      <c r="E102" s="56" t="s">
        <v>34</v>
      </c>
      <c r="F102" s="59">
        <v>100000</v>
      </c>
      <c r="G102" s="56" t="s">
        <v>34</v>
      </c>
      <c r="H102" s="59">
        <v>100000</v>
      </c>
      <c r="I102" s="56" t="s">
        <v>64</v>
      </c>
      <c r="J102" s="61">
        <v>1028.4000000000001</v>
      </c>
      <c r="K102" s="61">
        <f>J102/0.9</f>
        <v>1142.6666666666667</v>
      </c>
      <c r="L102" s="61">
        <f>K102-J102</f>
        <v>114.26666666666665</v>
      </c>
      <c r="M102" s="61">
        <f>L102/K102*100</f>
        <v>9.9999999999999982</v>
      </c>
    </row>
    <row r="103" spans="1:13" x14ac:dyDescent="0.35">
      <c r="A103" s="55">
        <v>1800012276</v>
      </c>
      <c r="B103" s="56" t="s">
        <v>57</v>
      </c>
      <c r="C103" s="57">
        <v>45904</v>
      </c>
      <c r="D103" s="58">
        <v>256779416912</v>
      </c>
      <c r="E103" s="56" t="s">
        <v>45</v>
      </c>
      <c r="F103" s="59">
        <v>44.96</v>
      </c>
      <c r="G103" s="56" t="s">
        <v>34</v>
      </c>
      <c r="H103" s="59">
        <v>3934.64</v>
      </c>
      <c r="I103" s="56" t="s">
        <v>108</v>
      </c>
      <c r="J103" s="61">
        <v>44.06</v>
      </c>
      <c r="K103" s="61">
        <f t="shared" ref="K103:K108" si="13">F103</f>
        <v>44.96</v>
      </c>
      <c r="L103" s="61">
        <f t="shared" ref="L103:L108" si="14">F103-J103</f>
        <v>0.89999999999999858</v>
      </c>
      <c r="M103" s="61">
        <f t="shared" si="7"/>
        <v>2.0017793594306017</v>
      </c>
    </row>
    <row r="104" spans="1:13" x14ac:dyDescent="0.35">
      <c r="A104" s="55">
        <v>1800012287</v>
      </c>
      <c r="B104" s="56" t="s">
        <v>57</v>
      </c>
      <c r="C104" s="57">
        <v>45904</v>
      </c>
      <c r="D104" s="58">
        <v>256779416949</v>
      </c>
      <c r="E104" s="56" t="s">
        <v>45</v>
      </c>
      <c r="F104" s="59">
        <v>30.16</v>
      </c>
      <c r="G104" s="56" t="s">
        <v>34</v>
      </c>
      <c r="H104" s="59">
        <v>2639.43</v>
      </c>
      <c r="I104" s="56" t="s">
        <v>109</v>
      </c>
      <c r="J104" s="61">
        <v>29.55</v>
      </c>
      <c r="K104" s="61">
        <f t="shared" si="13"/>
        <v>30.16</v>
      </c>
      <c r="L104" s="61">
        <f t="shared" si="14"/>
        <v>0.60999999999999943</v>
      </c>
      <c r="M104" s="61">
        <f t="shared" si="7"/>
        <v>2.0225464190981413</v>
      </c>
    </row>
    <row r="105" spans="1:13" x14ac:dyDescent="0.35">
      <c r="A105" s="55">
        <v>1800012532</v>
      </c>
      <c r="B105" s="56" t="s">
        <v>57</v>
      </c>
      <c r="C105" s="57">
        <v>45904</v>
      </c>
      <c r="D105" s="58">
        <v>256779417136</v>
      </c>
      <c r="E105" s="56" t="s">
        <v>45</v>
      </c>
      <c r="F105" s="59">
        <v>1.71</v>
      </c>
      <c r="G105" s="56" t="s">
        <v>34</v>
      </c>
      <c r="H105" s="59">
        <v>149.65</v>
      </c>
      <c r="I105" s="56" t="s">
        <v>110</v>
      </c>
      <c r="J105" s="61">
        <v>1.68</v>
      </c>
      <c r="K105" s="61">
        <f t="shared" si="13"/>
        <v>1.71</v>
      </c>
      <c r="L105" s="61">
        <f t="shared" si="14"/>
        <v>3.0000000000000027E-2</v>
      </c>
      <c r="M105" s="61">
        <f t="shared" si="7"/>
        <v>1.7543859649122824</v>
      </c>
    </row>
    <row r="106" spans="1:13" x14ac:dyDescent="0.35">
      <c r="A106" s="55">
        <v>1800012688</v>
      </c>
      <c r="B106" s="56" t="s">
        <v>57</v>
      </c>
      <c r="C106" s="57">
        <v>45904</v>
      </c>
      <c r="D106" s="58">
        <v>256779417328</v>
      </c>
      <c r="E106" s="56" t="s">
        <v>45</v>
      </c>
      <c r="F106" s="59">
        <v>2.25</v>
      </c>
      <c r="G106" s="56" t="s">
        <v>34</v>
      </c>
      <c r="H106" s="59">
        <v>196.91</v>
      </c>
      <c r="I106" s="56" t="s">
        <v>113</v>
      </c>
      <c r="J106" s="61">
        <v>2.2000000000000002</v>
      </c>
      <c r="K106" s="61">
        <f t="shared" si="13"/>
        <v>2.25</v>
      </c>
      <c r="L106" s="61">
        <f t="shared" si="14"/>
        <v>4.9999999999999822E-2</v>
      </c>
      <c r="M106" s="61">
        <f t="shared" si="7"/>
        <v>2.2222222222222143</v>
      </c>
    </row>
    <row r="107" spans="1:13" x14ac:dyDescent="0.35">
      <c r="A107" s="55">
        <v>1800012469</v>
      </c>
      <c r="B107" s="56" t="s">
        <v>57</v>
      </c>
      <c r="C107" s="57">
        <v>45906</v>
      </c>
      <c r="D107" s="58">
        <v>256779417077</v>
      </c>
      <c r="E107" s="56" t="s">
        <v>45</v>
      </c>
      <c r="F107" s="59">
        <v>565.97</v>
      </c>
      <c r="G107" s="56" t="s">
        <v>34</v>
      </c>
      <c r="H107" s="59">
        <v>49530.49</v>
      </c>
      <c r="I107" s="56" t="s">
        <v>216</v>
      </c>
      <c r="J107" s="61">
        <v>509.36</v>
      </c>
      <c r="K107" s="61">
        <f t="shared" si="13"/>
        <v>565.97</v>
      </c>
      <c r="L107" s="61">
        <f t="shared" si="14"/>
        <v>56.610000000000014</v>
      </c>
      <c r="M107" s="61">
        <f t="shared" si="7"/>
        <v>10.002296941534006</v>
      </c>
    </row>
    <row r="108" spans="1:13" x14ac:dyDescent="0.35">
      <c r="A108" s="55">
        <v>1800012993</v>
      </c>
      <c r="B108" s="56" t="s">
        <v>57</v>
      </c>
      <c r="C108" s="57">
        <v>45918</v>
      </c>
      <c r="D108" s="58">
        <v>256779417528</v>
      </c>
      <c r="E108" s="56" t="s">
        <v>45</v>
      </c>
      <c r="F108" s="59">
        <v>3</v>
      </c>
      <c r="G108" s="56" t="s">
        <v>34</v>
      </c>
      <c r="H108" s="59">
        <v>262.54000000000002</v>
      </c>
      <c r="I108" s="56" t="s">
        <v>199</v>
      </c>
      <c r="J108" s="61">
        <v>2.94</v>
      </c>
      <c r="K108" s="61">
        <f t="shared" si="13"/>
        <v>3</v>
      </c>
      <c r="L108" s="61">
        <f t="shared" si="14"/>
        <v>6.0000000000000053E-2</v>
      </c>
      <c r="M108" s="61">
        <f t="shared" si="7"/>
        <v>2.0000000000000018</v>
      </c>
    </row>
    <row r="109" spans="1:13" x14ac:dyDescent="0.35">
      <c r="A109" s="55">
        <v>1800013251</v>
      </c>
      <c r="B109" s="56" t="s">
        <v>57</v>
      </c>
      <c r="C109" s="57">
        <v>45935</v>
      </c>
      <c r="D109" s="58">
        <v>256779417871</v>
      </c>
      <c r="E109" s="56" t="s">
        <v>34</v>
      </c>
      <c r="F109" s="59">
        <v>100000</v>
      </c>
      <c r="G109" s="56" t="s">
        <v>34</v>
      </c>
      <c r="H109" s="59">
        <v>100000</v>
      </c>
      <c r="I109" s="56" t="s">
        <v>66</v>
      </c>
      <c r="J109" s="61">
        <v>1020.5200000000001</v>
      </c>
      <c r="K109" s="61">
        <f>J109/0.9</f>
        <v>1133.9111111111113</v>
      </c>
      <c r="L109" s="61">
        <f>K109-J109</f>
        <v>113.39111111111117</v>
      </c>
      <c r="M109" s="61">
        <f>L109/K109*100</f>
        <v>10.000000000000004</v>
      </c>
    </row>
    <row r="110" spans="1:13" x14ac:dyDescent="0.35">
      <c r="A110" s="55">
        <v>1800013244</v>
      </c>
      <c r="B110" s="56" t="s">
        <v>57</v>
      </c>
      <c r="C110" s="57">
        <v>45935</v>
      </c>
      <c r="D110" s="58">
        <v>256779417860</v>
      </c>
      <c r="E110" s="56" t="s">
        <v>45</v>
      </c>
      <c r="F110" s="59">
        <v>50</v>
      </c>
      <c r="G110" s="56" t="s">
        <v>34</v>
      </c>
      <c r="H110" s="59">
        <v>4409.54</v>
      </c>
      <c r="I110" s="56" t="s">
        <v>213</v>
      </c>
      <c r="J110" s="61">
        <v>49</v>
      </c>
      <c r="K110" s="61">
        <f t="shared" ref="K110:K116" si="15">F110</f>
        <v>50</v>
      </c>
      <c r="L110" s="61">
        <f t="shared" ref="L110:L116" si="16">F110-J110</f>
        <v>1</v>
      </c>
      <c r="M110" s="61">
        <f t="shared" si="7"/>
        <v>2</v>
      </c>
    </row>
    <row r="111" spans="1:13" x14ac:dyDescent="0.35">
      <c r="A111" s="55">
        <v>1800013774</v>
      </c>
      <c r="B111" s="56" t="s">
        <v>57</v>
      </c>
      <c r="C111" s="57">
        <v>45937</v>
      </c>
      <c r="D111" s="58">
        <v>256779418342</v>
      </c>
      <c r="E111" s="56" t="s">
        <v>45</v>
      </c>
      <c r="F111" s="59">
        <v>458.95</v>
      </c>
      <c r="G111" s="56" t="s">
        <v>34</v>
      </c>
      <c r="H111" s="59">
        <v>40475.15</v>
      </c>
      <c r="I111" s="56" t="s">
        <v>204</v>
      </c>
      <c r="J111" s="61">
        <v>449.77</v>
      </c>
      <c r="K111" s="61">
        <f t="shared" si="15"/>
        <v>458.95</v>
      </c>
      <c r="L111" s="61">
        <f t="shared" si="16"/>
        <v>9.1800000000000068</v>
      </c>
      <c r="M111" s="61">
        <f t="shared" si="7"/>
        <v>2.0002178886588968</v>
      </c>
    </row>
    <row r="112" spans="1:13" x14ac:dyDescent="0.35">
      <c r="A112" s="55">
        <v>1800013530</v>
      </c>
      <c r="B112" s="56" t="s">
        <v>57</v>
      </c>
      <c r="C112" s="57">
        <v>45937</v>
      </c>
      <c r="D112" s="58">
        <v>256779418354</v>
      </c>
      <c r="E112" s="56" t="s">
        <v>45</v>
      </c>
      <c r="F112" s="59">
        <v>108.95</v>
      </c>
      <c r="G112" s="56" t="s">
        <v>34</v>
      </c>
      <c r="H112" s="59">
        <v>9608.3799999999992</v>
      </c>
      <c r="I112" s="56" t="s">
        <v>206</v>
      </c>
      <c r="J112" s="61">
        <v>106.77</v>
      </c>
      <c r="K112" s="61">
        <f t="shared" si="15"/>
        <v>108.95</v>
      </c>
      <c r="L112" s="61">
        <f t="shared" si="16"/>
        <v>2.1800000000000068</v>
      </c>
      <c r="M112" s="61">
        <f t="shared" si="7"/>
        <v>2.0009178522257978</v>
      </c>
    </row>
    <row r="113" spans="1:13" x14ac:dyDescent="0.35">
      <c r="A113" s="55">
        <v>1800013794</v>
      </c>
      <c r="B113" s="56" t="s">
        <v>57</v>
      </c>
      <c r="C113" s="57">
        <v>45944</v>
      </c>
      <c r="D113" s="58">
        <v>256779418410</v>
      </c>
      <c r="E113" s="56" t="s">
        <v>45</v>
      </c>
      <c r="F113" s="59">
        <v>480.02</v>
      </c>
      <c r="G113" s="56" t="s">
        <v>34</v>
      </c>
      <c r="H113" s="59">
        <v>42333.33</v>
      </c>
      <c r="I113" s="56" t="s">
        <v>163</v>
      </c>
      <c r="J113" s="61">
        <v>432.01</v>
      </c>
      <c r="K113" s="61">
        <f t="shared" si="15"/>
        <v>480.02</v>
      </c>
      <c r="L113" s="61">
        <f t="shared" si="16"/>
        <v>48.009999999999991</v>
      </c>
      <c r="M113" s="61">
        <f t="shared" si="7"/>
        <v>10.001666597225114</v>
      </c>
    </row>
    <row r="114" spans="1:13" x14ac:dyDescent="0.35">
      <c r="A114" s="55">
        <v>1800013927</v>
      </c>
      <c r="B114" s="56" t="s">
        <v>57</v>
      </c>
      <c r="C114" s="57">
        <v>45950</v>
      </c>
      <c r="D114" s="58">
        <v>256779418704</v>
      </c>
      <c r="E114" s="56" t="s">
        <v>45</v>
      </c>
      <c r="F114" s="59">
        <v>2.25</v>
      </c>
      <c r="G114" s="56" t="s">
        <v>34</v>
      </c>
      <c r="H114" s="59">
        <v>198.43</v>
      </c>
      <c r="I114" s="56" t="s">
        <v>186</v>
      </c>
      <c r="J114" s="61">
        <v>2.2000000000000002</v>
      </c>
      <c r="K114" s="61">
        <f t="shared" si="15"/>
        <v>2.25</v>
      </c>
      <c r="L114" s="61">
        <f t="shared" si="16"/>
        <v>4.9999999999999822E-2</v>
      </c>
      <c r="M114" s="61">
        <f t="shared" si="7"/>
        <v>2.2222222222222143</v>
      </c>
    </row>
    <row r="115" spans="1:13" x14ac:dyDescent="0.35">
      <c r="A115" s="55">
        <v>1800013946</v>
      </c>
      <c r="B115" s="56" t="s">
        <v>57</v>
      </c>
      <c r="C115" s="57">
        <v>45951</v>
      </c>
      <c r="D115" s="58">
        <v>256779418478</v>
      </c>
      <c r="E115" s="56" t="s">
        <v>45</v>
      </c>
      <c r="F115" s="59">
        <v>27.64</v>
      </c>
      <c r="G115" s="56" t="s">
        <v>34</v>
      </c>
      <c r="H115" s="59">
        <v>2437.59</v>
      </c>
      <c r="I115" s="56" t="s">
        <v>190</v>
      </c>
      <c r="J115" s="61">
        <v>27.09</v>
      </c>
      <c r="K115" s="61">
        <f t="shared" si="15"/>
        <v>27.64</v>
      </c>
      <c r="L115" s="61">
        <f t="shared" si="16"/>
        <v>0.55000000000000071</v>
      </c>
      <c r="M115" s="61">
        <f t="shared" si="7"/>
        <v>1.9898697539797423</v>
      </c>
    </row>
    <row r="116" spans="1:13" x14ac:dyDescent="0.35">
      <c r="A116" s="55">
        <v>1800014412</v>
      </c>
      <c r="B116" s="56" t="s">
        <v>57</v>
      </c>
      <c r="C116" s="57">
        <v>45964</v>
      </c>
      <c r="D116" s="58">
        <v>256779419134</v>
      </c>
      <c r="E116" s="56" t="s">
        <v>45</v>
      </c>
      <c r="F116" s="59">
        <v>21.75</v>
      </c>
      <c r="G116" s="56" t="s">
        <v>34</v>
      </c>
      <c r="H116" s="59">
        <v>1914.07</v>
      </c>
      <c r="I116" s="56" t="s">
        <v>129</v>
      </c>
      <c r="J116" s="61">
        <v>21.31</v>
      </c>
      <c r="K116" s="61">
        <f t="shared" si="15"/>
        <v>21.75</v>
      </c>
      <c r="L116" s="61">
        <f t="shared" si="16"/>
        <v>0.44000000000000128</v>
      </c>
      <c r="M116" s="61">
        <f t="shared" si="7"/>
        <v>2.0229885057471324</v>
      </c>
    </row>
    <row r="117" spans="1:13" x14ac:dyDescent="0.35">
      <c r="A117" s="55">
        <v>1800014233</v>
      </c>
      <c r="B117" s="56" t="s">
        <v>57</v>
      </c>
      <c r="C117" s="57">
        <v>45966</v>
      </c>
      <c r="D117" s="58">
        <v>256779418773</v>
      </c>
      <c r="E117" s="56" t="s">
        <v>34</v>
      </c>
      <c r="F117" s="59">
        <v>100000</v>
      </c>
      <c r="G117" s="56" t="s">
        <v>34</v>
      </c>
      <c r="H117" s="59">
        <v>100000</v>
      </c>
      <c r="I117" s="56" t="s">
        <v>68</v>
      </c>
      <c r="J117" s="61">
        <v>1022.6899999999999</v>
      </c>
      <c r="K117" s="61">
        <f>J117/0.9</f>
        <v>1136.3222222222221</v>
      </c>
      <c r="L117" s="61">
        <f>K117-J117</f>
        <v>113.63222222222214</v>
      </c>
      <c r="M117" s="61">
        <f>L117/K117*100</f>
        <v>9.9999999999999929</v>
      </c>
    </row>
    <row r="118" spans="1:13" x14ac:dyDescent="0.35">
      <c r="A118" s="55">
        <v>1800014284</v>
      </c>
      <c r="B118" s="56" t="s">
        <v>57</v>
      </c>
      <c r="C118" s="57">
        <v>45966</v>
      </c>
      <c r="D118" s="58">
        <v>256779418821</v>
      </c>
      <c r="E118" s="56" t="s">
        <v>45</v>
      </c>
      <c r="F118" s="59">
        <v>49.59</v>
      </c>
      <c r="G118" s="56" t="s">
        <v>34</v>
      </c>
      <c r="H118" s="59">
        <v>4364.09</v>
      </c>
      <c r="I118" s="56" t="s">
        <v>117</v>
      </c>
      <c r="J118" s="61">
        <v>48.6</v>
      </c>
      <c r="K118" s="61">
        <f t="shared" ref="K118:K126" si="17">F118</f>
        <v>49.59</v>
      </c>
      <c r="L118" s="61">
        <f t="shared" ref="L118:L126" si="18">F118-J118</f>
        <v>0.99000000000000199</v>
      </c>
      <c r="M118" s="61">
        <f t="shared" si="7"/>
        <v>1.996370235934668</v>
      </c>
    </row>
    <row r="119" spans="1:13" x14ac:dyDescent="0.35">
      <c r="A119" s="55">
        <v>1800014538</v>
      </c>
      <c r="B119" s="56" t="s">
        <v>57</v>
      </c>
      <c r="C119" s="57">
        <v>45966</v>
      </c>
      <c r="D119" s="58">
        <v>256779418870</v>
      </c>
      <c r="E119" s="56" t="s">
        <v>45</v>
      </c>
      <c r="F119" s="59">
        <v>493.91</v>
      </c>
      <c r="G119" s="56" t="s">
        <v>34</v>
      </c>
      <c r="H119" s="59">
        <v>43465.75</v>
      </c>
      <c r="I119" s="56" t="s">
        <v>120</v>
      </c>
      <c r="J119" s="61">
        <v>444.51000000000005</v>
      </c>
      <c r="K119" s="61">
        <f t="shared" si="17"/>
        <v>493.91</v>
      </c>
      <c r="L119" s="61">
        <f t="shared" si="18"/>
        <v>49.399999999999977</v>
      </c>
      <c r="M119" s="61">
        <f t="shared" si="7"/>
        <v>10.001822194326897</v>
      </c>
    </row>
    <row r="120" spans="1:13" x14ac:dyDescent="0.35">
      <c r="A120" s="55">
        <v>1800014271</v>
      </c>
      <c r="B120" s="56" t="s">
        <v>57</v>
      </c>
      <c r="C120" s="57">
        <v>45966</v>
      </c>
      <c r="D120" s="58">
        <v>256779418946</v>
      </c>
      <c r="E120" s="56" t="s">
        <v>45</v>
      </c>
      <c r="F120" s="59">
        <v>293.04000000000002</v>
      </c>
      <c r="G120" s="56" t="s">
        <v>34</v>
      </c>
      <c r="H120" s="59">
        <v>25788.51</v>
      </c>
      <c r="I120" s="56" t="s">
        <v>122</v>
      </c>
      <c r="J120" s="61">
        <v>287.18</v>
      </c>
      <c r="K120" s="61">
        <f t="shared" si="17"/>
        <v>293.04000000000002</v>
      </c>
      <c r="L120" s="61">
        <f t="shared" si="18"/>
        <v>5.8600000000000136</v>
      </c>
      <c r="M120" s="61">
        <f t="shared" si="7"/>
        <v>1.9997269997270042</v>
      </c>
    </row>
    <row r="121" spans="1:13" x14ac:dyDescent="0.35">
      <c r="A121" s="55">
        <v>1800014272</v>
      </c>
      <c r="B121" s="56" t="s">
        <v>57</v>
      </c>
      <c r="C121" s="57">
        <v>45966</v>
      </c>
      <c r="D121" s="58">
        <v>256779418947</v>
      </c>
      <c r="E121" s="56" t="s">
        <v>45</v>
      </c>
      <c r="F121" s="59">
        <v>293.04000000000002</v>
      </c>
      <c r="G121" s="56" t="s">
        <v>34</v>
      </c>
      <c r="H121" s="59">
        <v>25788.51</v>
      </c>
      <c r="I121" s="56" t="s">
        <v>123</v>
      </c>
      <c r="J121" s="61">
        <v>287.18</v>
      </c>
      <c r="K121" s="61">
        <f t="shared" si="17"/>
        <v>293.04000000000002</v>
      </c>
      <c r="L121" s="61">
        <f t="shared" si="18"/>
        <v>5.8600000000000136</v>
      </c>
      <c r="M121" s="61">
        <f t="shared" si="7"/>
        <v>1.9997269997270042</v>
      </c>
    </row>
    <row r="122" spans="1:13" x14ac:dyDescent="0.35">
      <c r="A122" s="55">
        <v>1800014529</v>
      </c>
      <c r="B122" s="56" t="s">
        <v>57</v>
      </c>
      <c r="C122" s="57">
        <v>45966</v>
      </c>
      <c r="D122" s="58">
        <v>256779419178</v>
      </c>
      <c r="E122" s="56" t="s">
        <v>45</v>
      </c>
      <c r="F122" s="59">
        <v>2.25</v>
      </c>
      <c r="G122" s="56" t="s">
        <v>34</v>
      </c>
      <c r="H122" s="59">
        <v>198.01</v>
      </c>
      <c r="I122" s="56" t="s">
        <v>125</v>
      </c>
      <c r="J122" s="61">
        <v>2.2000000000000002</v>
      </c>
      <c r="K122" s="61">
        <f t="shared" si="17"/>
        <v>2.25</v>
      </c>
      <c r="L122" s="61">
        <f t="shared" si="18"/>
        <v>4.9999999999999822E-2</v>
      </c>
      <c r="M122" s="61">
        <f t="shared" si="7"/>
        <v>2.2222222222222143</v>
      </c>
    </row>
    <row r="123" spans="1:13" x14ac:dyDescent="0.35">
      <c r="A123" s="55">
        <v>1800014620</v>
      </c>
      <c r="B123" s="56" t="s">
        <v>57</v>
      </c>
      <c r="C123" s="57">
        <v>45966</v>
      </c>
      <c r="D123" s="58">
        <v>256779419202</v>
      </c>
      <c r="E123" s="56" t="s">
        <v>45</v>
      </c>
      <c r="F123" s="59">
        <v>62.66</v>
      </c>
      <c r="G123" s="56" t="s">
        <v>34</v>
      </c>
      <c r="H123" s="59">
        <v>5514.29</v>
      </c>
      <c r="I123" s="56" t="s">
        <v>127</v>
      </c>
      <c r="J123" s="61">
        <v>61.41</v>
      </c>
      <c r="K123" s="61">
        <f t="shared" si="17"/>
        <v>62.66</v>
      </c>
      <c r="L123" s="61">
        <f t="shared" si="18"/>
        <v>1.25</v>
      </c>
      <c r="M123" s="61">
        <f t="shared" si="7"/>
        <v>1.9948930737312482</v>
      </c>
    </row>
    <row r="124" spans="1:13" x14ac:dyDescent="0.35">
      <c r="A124" s="55">
        <v>1800014864</v>
      </c>
      <c r="B124" s="56" t="s">
        <v>57</v>
      </c>
      <c r="C124" s="57">
        <v>45980</v>
      </c>
      <c r="D124" s="58">
        <v>256779419365</v>
      </c>
      <c r="E124" s="56" t="s">
        <v>45</v>
      </c>
      <c r="F124" s="59">
        <v>292.99</v>
      </c>
      <c r="G124" s="56" t="s">
        <v>34</v>
      </c>
      <c r="H124" s="59">
        <v>25784.11</v>
      </c>
      <c r="I124" s="56" t="s">
        <v>98</v>
      </c>
      <c r="J124" s="61">
        <v>287.13</v>
      </c>
      <c r="K124" s="61">
        <f t="shared" si="17"/>
        <v>292.99</v>
      </c>
      <c r="L124" s="61">
        <f t="shared" si="18"/>
        <v>5.8600000000000136</v>
      </c>
      <c r="M124" s="61">
        <f t="shared" si="7"/>
        <v>2.0000682617154215</v>
      </c>
    </row>
    <row r="125" spans="1:13" x14ac:dyDescent="0.35">
      <c r="A125" s="55">
        <v>1800015079</v>
      </c>
      <c r="B125" s="56" t="s">
        <v>57</v>
      </c>
      <c r="C125" s="57">
        <v>45981</v>
      </c>
      <c r="D125" s="58">
        <v>256779419592</v>
      </c>
      <c r="E125" s="56" t="s">
        <v>45</v>
      </c>
      <c r="F125" s="59">
        <v>17.62</v>
      </c>
      <c r="G125" s="56" t="s">
        <v>34</v>
      </c>
      <c r="H125" s="59">
        <v>1550.62</v>
      </c>
      <c r="I125" s="56" t="s">
        <v>193</v>
      </c>
      <c r="J125" s="61">
        <v>17.27</v>
      </c>
      <c r="K125" s="61">
        <f t="shared" si="17"/>
        <v>17.62</v>
      </c>
      <c r="L125" s="61">
        <f t="shared" si="18"/>
        <v>0.35000000000000142</v>
      </c>
      <c r="M125" s="61">
        <f t="shared" si="7"/>
        <v>1.9863791146424596</v>
      </c>
    </row>
    <row r="126" spans="1:13" x14ac:dyDescent="0.35">
      <c r="A126" s="55">
        <v>1800015134</v>
      </c>
      <c r="B126" s="56" t="s">
        <v>57</v>
      </c>
      <c r="C126" s="57">
        <v>45981</v>
      </c>
      <c r="D126" s="58">
        <v>256779419633</v>
      </c>
      <c r="E126" s="56" t="s">
        <v>45</v>
      </c>
      <c r="F126" s="59">
        <v>9.3699999999999992</v>
      </c>
      <c r="G126" s="56" t="s">
        <v>34</v>
      </c>
      <c r="H126" s="59">
        <v>824.59</v>
      </c>
      <c r="I126" s="56" t="s">
        <v>195</v>
      </c>
      <c r="J126" s="61">
        <v>9.18</v>
      </c>
      <c r="K126" s="61">
        <f t="shared" si="17"/>
        <v>9.3699999999999992</v>
      </c>
      <c r="L126" s="61">
        <f t="shared" si="18"/>
        <v>0.1899999999999995</v>
      </c>
      <c r="M126" s="61">
        <f t="shared" si="7"/>
        <v>2.0277481323372415</v>
      </c>
    </row>
    <row r="127" spans="1:13" x14ac:dyDescent="0.35">
      <c r="A127" s="55">
        <v>1800015482</v>
      </c>
      <c r="B127" s="56" t="s">
        <v>57</v>
      </c>
      <c r="C127" s="57">
        <v>45995</v>
      </c>
      <c r="D127" s="58">
        <v>256779419966</v>
      </c>
      <c r="E127" s="56" t="s">
        <v>34</v>
      </c>
      <c r="F127" s="59">
        <v>100000</v>
      </c>
      <c r="G127" s="56" t="s">
        <v>34</v>
      </c>
      <c r="H127" s="59">
        <v>100000</v>
      </c>
      <c r="I127" s="56" t="s">
        <v>70</v>
      </c>
      <c r="J127" s="61">
        <v>1014.65</v>
      </c>
      <c r="K127" s="61">
        <f>J127/0.9</f>
        <v>1127.3888888888889</v>
      </c>
      <c r="L127" s="61">
        <f>K127-J127</f>
        <v>112.73888888888894</v>
      </c>
      <c r="M127" s="61">
        <f>L127/K127*100</f>
        <v>10.000000000000005</v>
      </c>
    </row>
    <row r="128" spans="1:13" x14ac:dyDescent="0.35">
      <c r="A128" s="55">
        <v>1800015421</v>
      </c>
      <c r="B128" s="56" t="s">
        <v>57</v>
      </c>
      <c r="C128" s="57">
        <v>45999</v>
      </c>
      <c r="D128" s="58">
        <v>256779419870</v>
      </c>
      <c r="E128" s="56" t="s">
        <v>45</v>
      </c>
      <c r="F128" s="59">
        <v>18.96</v>
      </c>
      <c r="G128" s="56" t="s">
        <v>34</v>
      </c>
      <c r="H128" s="59">
        <v>1681.75</v>
      </c>
      <c r="I128" s="56" t="s">
        <v>176</v>
      </c>
      <c r="J128" s="61">
        <v>18.579999999999998</v>
      </c>
      <c r="K128" s="61">
        <f t="shared" ref="K128:K134" si="19">F128</f>
        <v>18.96</v>
      </c>
      <c r="L128" s="61">
        <f t="shared" ref="L128:L134" si="20">F128-J128</f>
        <v>0.38000000000000256</v>
      </c>
      <c r="M128" s="61">
        <f t="shared" si="7"/>
        <v>2.0042194092827139</v>
      </c>
    </row>
    <row r="129" spans="1:13" x14ac:dyDescent="0.35">
      <c r="A129" s="55">
        <v>1800015672</v>
      </c>
      <c r="B129" s="56" t="s">
        <v>57</v>
      </c>
      <c r="C129" s="57">
        <v>46024</v>
      </c>
      <c r="D129" s="58">
        <v>256779440005</v>
      </c>
      <c r="E129" s="56" t="s">
        <v>45</v>
      </c>
      <c r="F129" s="59">
        <v>451.3</v>
      </c>
      <c r="G129" s="56" t="s">
        <v>34</v>
      </c>
      <c r="H129" s="59">
        <v>40952.379999999997</v>
      </c>
      <c r="I129" s="56" t="s">
        <v>218</v>
      </c>
      <c r="J129" s="61">
        <v>406.16300000000001</v>
      </c>
      <c r="K129" s="61">
        <f t="shared" si="19"/>
        <v>451.3</v>
      </c>
      <c r="L129" s="61">
        <f t="shared" si="20"/>
        <v>45.137</v>
      </c>
      <c r="M129" s="61">
        <f t="shared" si="7"/>
        <v>10.001551074673166</v>
      </c>
    </row>
    <row r="130" spans="1:13" x14ac:dyDescent="0.35">
      <c r="A130" s="55">
        <v>1800015986</v>
      </c>
      <c r="B130" s="56" t="s">
        <v>57</v>
      </c>
      <c r="C130" s="57">
        <v>46027</v>
      </c>
      <c r="D130" s="58">
        <v>256779440070</v>
      </c>
      <c r="E130" s="56" t="s">
        <v>45</v>
      </c>
      <c r="F130" s="59">
        <v>7.18</v>
      </c>
      <c r="G130" s="56" t="s">
        <v>34</v>
      </c>
      <c r="H130" s="59">
        <v>651.54</v>
      </c>
      <c r="I130" s="56" t="s">
        <v>223</v>
      </c>
      <c r="J130" s="61">
        <v>7.04</v>
      </c>
      <c r="K130" s="61">
        <f t="shared" si="19"/>
        <v>7.18</v>
      </c>
      <c r="L130" s="61">
        <f t="shared" si="20"/>
        <v>0.13999999999999968</v>
      </c>
      <c r="M130" s="61">
        <f t="shared" si="7"/>
        <v>1.9498607242339787</v>
      </c>
    </row>
    <row r="131" spans="1:13" x14ac:dyDescent="0.35">
      <c r="A131" s="55">
        <v>1800015968</v>
      </c>
      <c r="B131" s="56" t="s">
        <v>57</v>
      </c>
      <c r="C131" s="57">
        <v>46027</v>
      </c>
      <c r="D131" s="58">
        <v>256779440082</v>
      </c>
      <c r="E131" s="56" t="s">
        <v>45</v>
      </c>
      <c r="F131" s="59">
        <v>2.25</v>
      </c>
      <c r="G131" s="56" t="s">
        <v>34</v>
      </c>
      <c r="H131" s="59">
        <v>204.17</v>
      </c>
      <c r="I131" s="56" t="s">
        <v>225</v>
      </c>
      <c r="J131" s="61">
        <v>2.2000000000000002</v>
      </c>
      <c r="K131" s="61">
        <f t="shared" si="19"/>
        <v>2.25</v>
      </c>
      <c r="L131" s="61">
        <f t="shared" si="20"/>
        <v>4.9999999999999822E-2</v>
      </c>
      <c r="M131" s="61">
        <f t="shared" si="7"/>
        <v>2.2222222222222143</v>
      </c>
    </row>
    <row r="132" spans="1:13" x14ac:dyDescent="0.35">
      <c r="A132" s="55">
        <v>1800016055</v>
      </c>
      <c r="B132" s="56" t="s">
        <v>57</v>
      </c>
      <c r="C132" s="57">
        <v>46027</v>
      </c>
      <c r="D132" s="58">
        <v>256779440102</v>
      </c>
      <c r="E132" s="56" t="s">
        <v>45</v>
      </c>
      <c r="F132" s="59">
        <v>20.39</v>
      </c>
      <c r="G132" s="56" t="s">
        <v>34</v>
      </c>
      <c r="H132" s="59">
        <v>1850.25</v>
      </c>
      <c r="I132" s="56" t="s">
        <v>227</v>
      </c>
      <c r="J132" s="61">
        <v>19.98</v>
      </c>
      <c r="K132" s="61">
        <f t="shared" si="19"/>
        <v>20.39</v>
      </c>
      <c r="L132" s="61">
        <f t="shared" si="20"/>
        <v>0.41000000000000014</v>
      </c>
      <c r="M132" s="61">
        <f t="shared" ref="M132:M136" si="21">L132/F132*100</f>
        <v>2.0107896027464451</v>
      </c>
    </row>
    <row r="133" spans="1:13" x14ac:dyDescent="0.35">
      <c r="A133" s="55">
        <v>1800016090</v>
      </c>
      <c r="B133" s="56" t="s">
        <v>57</v>
      </c>
      <c r="C133" s="57">
        <v>46027</v>
      </c>
      <c r="D133" s="58">
        <v>256779440119</v>
      </c>
      <c r="E133" s="56" t="s">
        <v>45</v>
      </c>
      <c r="F133" s="59">
        <v>17.25</v>
      </c>
      <c r="G133" s="56" t="s">
        <v>34</v>
      </c>
      <c r="H133" s="59">
        <v>1565.32</v>
      </c>
      <c r="I133" s="56" t="s">
        <v>229</v>
      </c>
      <c r="J133" s="61">
        <v>16.899999999999999</v>
      </c>
      <c r="K133" s="61">
        <f t="shared" si="19"/>
        <v>17.25</v>
      </c>
      <c r="L133" s="61">
        <f t="shared" si="20"/>
        <v>0.35000000000000142</v>
      </c>
      <c r="M133" s="61">
        <f t="shared" si="21"/>
        <v>2.0289855072463849</v>
      </c>
    </row>
    <row r="134" spans="1:13" x14ac:dyDescent="0.35">
      <c r="A134" s="55">
        <v>1800016346</v>
      </c>
      <c r="B134" s="56" t="s">
        <v>57</v>
      </c>
      <c r="C134" s="57">
        <v>46028</v>
      </c>
      <c r="D134" s="58">
        <v>256779440236</v>
      </c>
      <c r="E134" s="56" t="s">
        <v>45</v>
      </c>
      <c r="F134" s="59">
        <v>505.23</v>
      </c>
      <c r="G134" s="56" t="s">
        <v>34</v>
      </c>
      <c r="H134" s="59">
        <v>45846.16</v>
      </c>
      <c r="I134" s="56" t="s">
        <v>231</v>
      </c>
      <c r="J134" s="61">
        <v>454.71</v>
      </c>
      <c r="K134" s="61">
        <f t="shared" si="19"/>
        <v>505.23</v>
      </c>
      <c r="L134" s="61">
        <f t="shared" si="20"/>
        <v>50.520000000000039</v>
      </c>
      <c r="M134" s="61">
        <f t="shared" si="21"/>
        <v>9.999406211032607</v>
      </c>
    </row>
    <row r="135" spans="1:13" x14ac:dyDescent="0.35">
      <c r="A135" s="55">
        <v>1800016543</v>
      </c>
      <c r="B135" s="56" t="s">
        <v>57</v>
      </c>
      <c r="C135" s="57">
        <v>46028</v>
      </c>
      <c r="D135" s="58">
        <v>256779440305</v>
      </c>
      <c r="E135" s="56" t="s">
        <v>34</v>
      </c>
      <c r="F135" s="59">
        <v>100000</v>
      </c>
      <c r="G135" s="56" t="s">
        <v>34</v>
      </c>
      <c r="H135" s="59">
        <v>100000</v>
      </c>
      <c r="I135" s="56" t="s">
        <v>233</v>
      </c>
      <c r="J135" s="61">
        <v>991.81</v>
      </c>
      <c r="K135" s="61">
        <f>J135/0.9</f>
        <v>1102.0111111111109</v>
      </c>
      <c r="L135" s="61">
        <f>K135-J135</f>
        <v>110.201111111111</v>
      </c>
      <c r="M135" s="61">
        <f>L135/K135*100</f>
        <v>9.9999999999999929</v>
      </c>
    </row>
    <row r="136" spans="1:13" x14ac:dyDescent="0.35">
      <c r="A136" s="55">
        <v>1800017111</v>
      </c>
      <c r="B136" s="56" t="s">
        <v>57</v>
      </c>
      <c r="C136" s="57">
        <v>46045</v>
      </c>
      <c r="D136" s="58">
        <v>256779440431</v>
      </c>
      <c r="E136" s="56" t="s">
        <v>45</v>
      </c>
      <c r="F136" s="59">
        <v>3</v>
      </c>
      <c r="G136" s="56" t="s">
        <v>34</v>
      </c>
      <c r="H136" s="59">
        <v>272.23</v>
      </c>
      <c r="I136" s="56" t="s">
        <v>240</v>
      </c>
      <c r="J136" s="61">
        <v>2.94</v>
      </c>
      <c r="K136" s="61">
        <f>F136</f>
        <v>3</v>
      </c>
      <c r="L136" s="61">
        <f>F136-J136</f>
        <v>6.0000000000000053E-2</v>
      </c>
      <c r="M136" s="61">
        <f t="shared" si="21"/>
        <v>2.0000000000000018</v>
      </c>
    </row>
    <row r="137" spans="1:13" x14ac:dyDescent="0.35">
      <c r="A137" s="32">
        <v>1800014270</v>
      </c>
      <c r="B137" s="33" t="s">
        <v>57</v>
      </c>
      <c r="C137" s="34">
        <v>45966</v>
      </c>
      <c r="D137" s="37">
        <v>256779418945</v>
      </c>
      <c r="E137" s="33" t="s">
        <v>45</v>
      </c>
      <c r="F137" s="35">
        <v>293.04000000000002</v>
      </c>
      <c r="G137" s="33" t="s">
        <v>34</v>
      </c>
      <c r="H137" s="35">
        <v>25788.51</v>
      </c>
      <c r="I137" s="19"/>
      <c r="J137" s="16">
        <f>VLOOKUP(D137,'Customer Data'!$B$2:$F$149,4,0)</f>
        <v>287.18</v>
      </c>
      <c r="K137" s="16">
        <f>F137</f>
        <v>293.04000000000002</v>
      </c>
      <c r="L137" s="61">
        <f>F137-J137</f>
        <v>5.8600000000000136</v>
      </c>
      <c r="M137" s="61">
        <f t="shared" ref="M137" si="22">L137/F137*100</f>
        <v>1.9997269997270042</v>
      </c>
    </row>
    <row r="138" spans="1:13" x14ac:dyDescent="0.35">
      <c r="A138" s="32">
        <v>1600002430</v>
      </c>
      <c r="B138" s="33" t="s">
        <v>82</v>
      </c>
      <c r="C138" s="34">
        <v>45943</v>
      </c>
      <c r="D138" s="37">
        <v>256779421974</v>
      </c>
      <c r="E138" s="33" t="s">
        <v>45</v>
      </c>
      <c r="F138" s="35">
        <v>-435.91</v>
      </c>
      <c r="G138" s="33" t="s">
        <v>34</v>
      </c>
      <c r="H138" s="35">
        <v>-38443.24</v>
      </c>
      <c r="I138" s="33" t="s">
        <v>84</v>
      </c>
      <c r="J138" s="16">
        <v>-392.32000000000005</v>
      </c>
      <c r="K138" s="16">
        <f>F138</f>
        <v>-435.91</v>
      </c>
      <c r="L138" s="16">
        <v>-43.59</v>
      </c>
      <c r="M138" s="16">
        <v>9.9997705948475542</v>
      </c>
    </row>
    <row r="139" spans="1:13" x14ac:dyDescent="0.35">
      <c r="A139" s="32">
        <v>1600002431</v>
      </c>
      <c r="B139" s="33" t="s">
        <v>82</v>
      </c>
      <c r="C139" s="34">
        <v>45943</v>
      </c>
      <c r="D139" s="37">
        <v>256779421975</v>
      </c>
      <c r="E139" s="33" t="s">
        <v>45</v>
      </c>
      <c r="F139" s="35">
        <v>-447.05</v>
      </c>
      <c r="G139" s="33" t="s">
        <v>34</v>
      </c>
      <c r="H139" s="35">
        <v>-39425.68</v>
      </c>
      <c r="I139" s="33" t="s">
        <v>85</v>
      </c>
      <c r="J139" s="16">
        <v>-402.34000000000003</v>
      </c>
      <c r="K139" s="16">
        <f t="shared" ref="K139:K145" si="23">F139</f>
        <v>-447.05</v>
      </c>
      <c r="L139" s="16">
        <v>-44.70999999999998</v>
      </c>
      <c r="M139" s="16">
        <v>10.001118443127162</v>
      </c>
    </row>
    <row r="140" spans="1:13" x14ac:dyDescent="0.35">
      <c r="A140" s="32">
        <v>1600002432</v>
      </c>
      <c r="B140" s="33" t="s">
        <v>82</v>
      </c>
      <c r="C140" s="34">
        <v>45943</v>
      </c>
      <c r="D140" s="37">
        <v>256779421976</v>
      </c>
      <c r="E140" s="33" t="s">
        <v>45</v>
      </c>
      <c r="F140" s="35">
        <v>-111.25</v>
      </c>
      <c r="G140" s="33" t="s">
        <v>34</v>
      </c>
      <c r="H140" s="35">
        <v>-9811.2199999999993</v>
      </c>
      <c r="I140" s="33" t="s">
        <v>88</v>
      </c>
      <c r="J140" s="16">
        <v>-100.12</v>
      </c>
      <c r="K140" s="16">
        <f t="shared" si="23"/>
        <v>-111.25</v>
      </c>
      <c r="L140" s="16">
        <v>-11.129999999999995</v>
      </c>
      <c r="M140" s="16">
        <v>10.004494382022468</v>
      </c>
    </row>
    <row r="141" spans="1:13" x14ac:dyDescent="0.35">
      <c r="A141" s="32">
        <v>1600002433</v>
      </c>
      <c r="B141" s="33" t="s">
        <v>82</v>
      </c>
      <c r="C141" s="34">
        <v>45943</v>
      </c>
      <c r="D141" s="37">
        <v>256779421977</v>
      </c>
      <c r="E141" s="33" t="s">
        <v>45</v>
      </c>
      <c r="F141" s="35">
        <v>-376.4</v>
      </c>
      <c r="G141" s="33" t="s">
        <v>34</v>
      </c>
      <c r="H141" s="35">
        <v>-33195.01</v>
      </c>
      <c r="I141" s="33" t="s">
        <v>89</v>
      </c>
      <c r="J141" s="16">
        <v>-338.76</v>
      </c>
      <c r="K141" s="16">
        <f t="shared" si="23"/>
        <v>-376.4</v>
      </c>
      <c r="L141" s="16">
        <v>-37.639999999999986</v>
      </c>
      <c r="M141" s="16">
        <v>9.9999999999999964</v>
      </c>
    </row>
    <row r="142" spans="1:13" x14ac:dyDescent="0.35">
      <c r="A142" s="32">
        <v>1600002434</v>
      </c>
      <c r="B142" s="33" t="s">
        <v>82</v>
      </c>
      <c r="C142" s="34">
        <v>45943</v>
      </c>
      <c r="D142" s="37">
        <v>256779421978</v>
      </c>
      <c r="E142" s="33" t="s">
        <v>45</v>
      </c>
      <c r="F142" s="35">
        <v>-391.55</v>
      </c>
      <c r="G142" s="33" t="s">
        <v>34</v>
      </c>
      <c r="H142" s="35">
        <v>-34531.1</v>
      </c>
      <c r="I142" s="33" t="s">
        <v>90</v>
      </c>
      <c r="J142" s="16">
        <v>-352.39</v>
      </c>
      <c r="K142" s="16">
        <f t="shared" si="23"/>
        <v>-391.55</v>
      </c>
      <c r="L142" s="16">
        <v>-39.160000000000025</v>
      </c>
      <c r="M142" s="16">
        <v>10.001276976120552</v>
      </c>
    </row>
    <row r="143" spans="1:13" x14ac:dyDescent="0.35">
      <c r="A143" s="32">
        <v>1600002738</v>
      </c>
      <c r="B143" s="33" t="s">
        <v>82</v>
      </c>
      <c r="C143" s="34">
        <v>46035</v>
      </c>
      <c r="D143" s="37">
        <v>256779422208</v>
      </c>
      <c r="E143" s="33" t="s">
        <v>45</v>
      </c>
      <c r="F143" s="35">
        <v>-23.92</v>
      </c>
      <c r="G143" s="33" t="s">
        <v>34</v>
      </c>
      <c r="H143" s="35">
        <v>-2170.58</v>
      </c>
      <c r="I143" s="33" t="s">
        <v>235</v>
      </c>
      <c r="J143" s="16">
        <v>-21.53</v>
      </c>
      <c r="K143" s="16">
        <f t="shared" si="23"/>
        <v>-23.92</v>
      </c>
      <c r="L143" s="16">
        <v>-2.3900000000000006</v>
      </c>
      <c r="M143" s="16">
        <v>9.9916387959866242</v>
      </c>
    </row>
    <row r="144" spans="1:13" x14ac:dyDescent="0.35">
      <c r="A144" s="32">
        <v>1600002739</v>
      </c>
      <c r="B144" s="33" t="s">
        <v>82</v>
      </c>
      <c r="C144" s="34">
        <v>46035</v>
      </c>
      <c r="D144" s="37">
        <v>256779422209</v>
      </c>
      <c r="E144" s="33" t="s">
        <v>45</v>
      </c>
      <c r="F144" s="35">
        <v>-45.63</v>
      </c>
      <c r="G144" s="33" t="s">
        <v>34</v>
      </c>
      <c r="H144" s="35">
        <v>-4140.6099999999997</v>
      </c>
      <c r="I144" s="33" t="s">
        <v>236</v>
      </c>
      <c r="J144" s="16">
        <v>-41.07</v>
      </c>
      <c r="K144" s="16">
        <f t="shared" si="23"/>
        <v>-45.63</v>
      </c>
      <c r="L144" s="16">
        <v>-4.5600000000000023</v>
      </c>
      <c r="M144" s="16">
        <v>9.9934253780407669</v>
      </c>
    </row>
    <row r="145" spans="1:13" x14ac:dyDescent="0.35">
      <c r="A145" s="32">
        <v>1600002741</v>
      </c>
      <c r="B145" s="33" t="s">
        <v>82</v>
      </c>
      <c r="C145" s="34">
        <v>46035</v>
      </c>
      <c r="D145" s="37">
        <v>256779422211</v>
      </c>
      <c r="E145" s="33" t="s">
        <v>45</v>
      </c>
      <c r="F145" s="35">
        <v>-21.96</v>
      </c>
      <c r="G145" s="33" t="s">
        <v>34</v>
      </c>
      <c r="H145" s="35">
        <v>-1992.72</v>
      </c>
      <c r="I145" s="33" t="s">
        <v>238</v>
      </c>
      <c r="J145" s="16">
        <v>-19.760000000000002</v>
      </c>
      <c r="K145" s="16">
        <f t="shared" si="23"/>
        <v>-21.96</v>
      </c>
      <c r="L145" s="16">
        <v>-2.1999999999999993</v>
      </c>
      <c r="M145" s="16">
        <v>10.01821493624772</v>
      </c>
    </row>
    <row r="146" spans="1:13" x14ac:dyDescent="0.35">
      <c r="L146" s="96">
        <f>SUM(L3:L145)</f>
        <v>3289.0658888888893</v>
      </c>
    </row>
  </sheetData>
  <autoFilter ref="A2:N137" xr:uid="{B8FA75F8-DFEA-4958-B9B8-D8D1B4EF8449}"/>
  <pageMargins left="0.7" right="0.7" top="0.75" bottom="0.75" header="0.3" footer="0.3"/>
  <ignoredErrors>
    <ignoredError sqref="K74:M76 L86:M90 L84:M84 L85:M85 L92:M101 L91:M91 L103:M108 L102:M102 L110:M126 L109:M109 L128:M134 L127:M127 L135:M135 L77:M83 K128:K134 K110:K126 K103:K108 K92:K101 K86:K90 K77:K83 K84:K85 K91 K102 K109 K127 K13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20C3-B949-4168-B251-A5C04A579D0A}">
  <dimension ref="A1:M205"/>
  <sheetViews>
    <sheetView topLeftCell="A87" workbookViewId="0">
      <selection activeCell="H118" sqref="H118"/>
    </sheetView>
  </sheetViews>
  <sheetFormatPr defaultRowHeight="14.5" x14ac:dyDescent="0.35"/>
  <cols>
    <col min="1" max="1" width="16.81640625" bestFit="1" customWidth="1"/>
    <col min="2" max="2" width="16.81640625" customWidth="1"/>
    <col min="3" max="3" width="14" bestFit="1" customWidth="1"/>
    <col min="4" max="4" width="13.90625" bestFit="1" customWidth="1"/>
    <col min="5" max="5" width="20.90625" bestFit="1" customWidth="1"/>
    <col min="6" max="6" width="10.90625" style="53" bestFit="1" customWidth="1"/>
    <col min="8" max="8" width="10.90625" bestFit="1" customWidth="1"/>
    <col min="9" max="9" width="48" bestFit="1" customWidth="1"/>
    <col min="10" max="10" width="0" hidden="1" customWidth="1"/>
    <col min="11" max="11" width="18.7265625" style="71" hidden="1" customWidth="1"/>
    <col min="12" max="12" width="14" style="71" hidden="1" customWidth="1"/>
    <col min="13" max="13" width="29.08984375" style="71" hidden="1" customWidth="1"/>
    <col min="14" max="14" width="0" hidden="1" customWidth="1"/>
  </cols>
  <sheetData>
    <row r="1" spans="1:13" ht="58" x14ac:dyDescent="0.35">
      <c r="A1" s="2" t="s">
        <v>3</v>
      </c>
      <c r="B1" s="2" t="s">
        <v>270</v>
      </c>
      <c r="C1" s="2" t="s">
        <v>4</v>
      </c>
      <c r="D1" s="2" t="s">
        <v>5</v>
      </c>
      <c r="E1" s="2" t="s">
        <v>13</v>
      </c>
      <c r="F1" s="67" t="s">
        <v>14</v>
      </c>
      <c r="G1" s="2" t="s">
        <v>15</v>
      </c>
      <c r="H1" s="2" t="s">
        <v>16</v>
      </c>
      <c r="I1" s="2" t="s">
        <v>22</v>
      </c>
      <c r="K1" s="72" t="s">
        <v>270</v>
      </c>
      <c r="L1" s="19" t="s">
        <v>4</v>
      </c>
      <c r="M1" s="19" t="s">
        <v>265</v>
      </c>
    </row>
    <row r="2" spans="1:13" x14ac:dyDescent="0.35">
      <c r="A2" s="55">
        <v>1800000035</v>
      </c>
      <c r="B2" s="37">
        <v>246779410007</v>
      </c>
      <c r="C2" s="56" t="s">
        <v>57</v>
      </c>
      <c r="D2" s="57">
        <v>45708</v>
      </c>
      <c r="E2" s="56" t="s">
        <v>45</v>
      </c>
      <c r="F2" s="59">
        <v>1190.48</v>
      </c>
      <c r="G2" s="56" t="s">
        <v>34</v>
      </c>
      <c r="H2" s="59">
        <v>102742.78</v>
      </c>
      <c r="I2" s="56" t="s">
        <v>164</v>
      </c>
      <c r="K2" s="74">
        <v>2166093</v>
      </c>
      <c r="L2" s="73" t="s">
        <v>43</v>
      </c>
      <c r="M2" s="16">
        <v>-10691.42</v>
      </c>
    </row>
    <row r="3" spans="1:13" x14ac:dyDescent="0.35">
      <c r="A3" s="55">
        <v>1800000079</v>
      </c>
      <c r="B3" s="37">
        <v>246779410274</v>
      </c>
      <c r="C3" s="56" t="s">
        <v>57</v>
      </c>
      <c r="D3" s="57">
        <v>45708</v>
      </c>
      <c r="E3" s="56" t="s">
        <v>45</v>
      </c>
      <c r="F3" s="59">
        <v>1190.48</v>
      </c>
      <c r="G3" s="56" t="s">
        <v>34</v>
      </c>
      <c r="H3" s="59">
        <v>102742.78</v>
      </c>
      <c r="I3" s="56" t="s">
        <v>165</v>
      </c>
      <c r="K3" s="74">
        <v>246779410007</v>
      </c>
      <c r="L3" s="73" t="s">
        <v>57</v>
      </c>
      <c r="M3" s="16">
        <v>1190.48</v>
      </c>
    </row>
    <row r="4" spans="1:13" x14ac:dyDescent="0.35">
      <c r="A4" s="55">
        <v>1800000099</v>
      </c>
      <c r="B4" s="37">
        <v>246779410027</v>
      </c>
      <c r="C4" s="56" t="s">
        <v>57</v>
      </c>
      <c r="D4" s="57">
        <v>45708</v>
      </c>
      <c r="E4" s="56" t="s">
        <v>45</v>
      </c>
      <c r="F4" s="59">
        <v>1190.48</v>
      </c>
      <c r="G4" s="56" t="s">
        <v>34</v>
      </c>
      <c r="H4" s="59">
        <v>102742.78</v>
      </c>
      <c r="I4" s="56" t="s">
        <v>166</v>
      </c>
      <c r="K4" s="74">
        <v>246779410027</v>
      </c>
      <c r="L4" s="73" t="s">
        <v>57</v>
      </c>
      <c r="M4" s="16">
        <v>1190.48</v>
      </c>
    </row>
    <row r="5" spans="1:13" x14ac:dyDescent="0.35">
      <c r="A5" s="55">
        <v>1800000168</v>
      </c>
      <c r="B5" s="37">
        <v>246779410095</v>
      </c>
      <c r="C5" s="56" t="s">
        <v>57</v>
      </c>
      <c r="D5" s="57">
        <v>45708</v>
      </c>
      <c r="E5" s="56" t="s">
        <v>45</v>
      </c>
      <c r="F5" s="59">
        <v>1190.48</v>
      </c>
      <c r="G5" s="56" t="s">
        <v>34</v>
      </c>
      <c r="H5" s="59">
        <v>102742.78</v>
      </c>
      <c r="I5" s="56" t="s">
        <v>167</v>
      </c>
      <c r="K5" s="74">
        <v>246779410095</v>
      </c>
      <c r="L5" s="73" t="s">
        <v>57</v>
      </c>
      <c r="M5" s="16">
        <v>1190.48</v>
      </c>
    </row>
    <row r="6" spans="1:13" x14ac:dyDescent="0.35">
      <c r="A6" s="55">
        <v>1800000211</v>
      </c>
      <c r="B6" s="37">
        <v>246779410138</v>
      </c>
      <c r="C6" s="56" t="s">
        <v>57</v>
      </c>
      <c r="D6" s="57">
        <v>45708</v>
      </c>
      <c r="E6" s="56" t="s">
        <v>45</v>
      </c>
      <c r="F6" s="59">
        <v>1190.48</v>
      </c>
      <c r="G6" s="56" t="s">
        <v>34</v>
      </c>
      <c r="H6" s="59">
        <v>102742.78</v>
      </c>
      <c r="I6" s="56" t="s">
        <v>168</v>
      </c>
      <c r="K6" s="74">
        <v>246779410138</v>
      </c>
      <c r="L6" s="73" t="s">
        <v>57</v>
      </c>
      <c r="M6" s="16">
        <v>1190.48</v>
      </c>
    </row>
    <row r="7" spans="1:13" x14ac:dyDescent="0.35">
      <c r="A7" s="55">
        <v>1800000254</v>
      </c>
      <c r="B7" s="37">
        <v>246779410181</v>
      </c>
      <c r="C7" s="56" t="s">
        <v>57</v>
      </c>
      <c r="D7" s="57">
        <v>45708</v>
      </c>
      <c r="E7" s="56" t="s">
        <v>45</v>
      </c>
      <c r="F7" s="59">
        <v>1166.5899999999999</v>
      </c>
      <c r="G7" s="56" t="s">
        <v>34</v>
      </c>
      <c r="H7" s="59">
        <v>100680.99</v>
      </c>
      <c r="I7" s="56" t="s">
        <v>169</v>
      </c>
      <c r="K7" s="74">
        <v>246779410181</v>
      </c>
      <c r="L7" s="73" t="s">
        <v>57</v>
      </c>
      <c r="M7" s="16">
        <v>1166.5899999999999</v>
      </c>
    </row>
    <row r="8" spans="1:13" x14ac:dyDescent="0.35">
      <c r="A8" s="55">
        <v>1800000297</v>
      </c>
      <c r="B8" s="37">
        <v>246779410224</v>
      </c>
      <c r="C8" s="56" t="s">
        <v>57</v>
      </c>
      <c r="D8" s="57">
        <v>45708</v>
      </c>
      <c r="E8" s="56" t="s">
        <v>45</v>
      </c>
      <c r="F8" s="59">
        <v>1143.1199999999999</v>
      </c>
      <c r="G8" s="56" t="s">
        <v>34</v>
      </c>
      <c r="H8" s="59">
        <v>98655.44</v>
      </c>
      <c r="I8" s="56" t="s">
        <v>170</v>
      </c>
      <c r="K8" s="74">
        <v>246779410224</v>
      </c>
      <c r="L8" s="73" t="s">
        <v>57</v>
      </c>
      <c r="M8" s="16">
        <v>1143.1199999999999</v>
      </c>
    </row>
    <row r="9" spans="1:13" x14ac:dyDescent="0.35">
      <c r="A9" s="55">
        <v>1800000406</v>
      </c>
      <c r="B9" s="37">
        <v>246779410368</v>
      </c>
      <c r="C9" s="56" t="s">
        <v>57</v>
      </c>
      <c r="D9" s="57">
        <v>45719</v>
      </c>
      <c r="E9" s="56" t="s">
        <v>45</v>
      </c>
      <c r="F9" s="59">
        <v>356.43</v>
      </c>
      <c r="G9" s="56" t="s">
        <v>34</v>
      </c>
      <c r="H9" s="59">
        <v>30899.37</v>
      </c>
      <c r="I9" s="56" t="s">
        <v>91</v>
      </c>
      <c r="K9" s="74">
        <v>246779410274</v>
      </c>
      <c r="L9" s="73" t="s">
        <v>57</v>
      </c>
      <c r="M9" s="16">
        <v>1190.48</v>
      </c>
    </row>
    <row r="10" spans="1:13" x14ac:dyDescent="0.35">
      <c r="A10" s="55">
        <v>1800000675</v>
      </c>
      <c r="B10" s="37">
        <v>246779410615</v>
      </c>
      <c r="C10" s="56" t="s">
        <v>57</v>
      </c>
      <c r="D10" s="57">
        <v>45719</v>
      </c>
      <c r="E10" s="56" t="s">
        <v>45</v>
      </c>
      <c r="F10" s="59">
        <v>9</v>
      </c>
      <c r="G10" s="56" t="s">
        <v>34</v>
      </c>
      <c r="H10" s="59">
        <v>780.22</v>
      </c>
      <c r="I10" s="56" t="s">
        <v>92</v>
      </c>
      <c r="K10" s="74">
        <v>246779410368</v>
      </c>
      <c r="L10" s="73" t="s">
        <v>57</v>
      </c>
      <c r="M10" s="16">
        <v>356.43</v>
      </c>
    </row>
    <row r="11" spans="1:13" x14ac:dyDescent="0.35">
      <c r="A11" s="55">
        <v>1800000432</v>
      </c>
      <c r="B11" s="37">
        <v>246779410394</v>
      </c>
      <c r="C11" s="56" t="s">
        <v>57</v>
      </c>
      <c r="D11" s="57">
        <v>45719</v>
      </c>
      <c r="E11" s="56" t="s">
        <v>45</v>
      </c>
      <c r="F11" s="59">
        <v>505.86</v>
      </c>
      <c r="G11" s="56" t="s">
        <v>34</v>
      </c>
      <c r="H11" s="59">
        <v>43853.64</v>
      </c>
      <c r="I11" s="56" t="s">
        <v>93</v>
      </c>
      <c r="K11" s="74">
        <v>246779410394</v>
      </c>
      <c r="L11" s="73" t="s">
        <v>57</v>
      </c>
      <c r="M11" s="16">
        <v>505.86</v>
      </c>
    </row>
    <row r="12" spans="1:13" x14ac:dyDescent="0.35">
      <c r="A12" s="55">
        <v>1800000456</v>
      </c>
      <c r="B12" s="37">
        <v>246779410418</v>
      </c>
      <c r="C12" s="56" t="s">
        <v>57</v>
      </c>
      <c r="D12" s="57">
        <v>45719</v>
      </c>
      <c r="E12" s="56" t="s">
        <v>45</v>
      </c>
      <c r="F12" s="59">
        <v>562.6</v>
      </c>
      <c r="G12" s="56" t="s">
        <v>34</v>
      </c>
      <c r="H12" s="59">
        <v>48772.5</v>
      </c>
      <c r="I12" s="56" t="s">
        <v>94</v>
      </c>
      <c r="K12" s="74">
        <v>246779410418</v>
      </c>
      <c r="L12" s="73" t="s">
        <v>57</v>
      </c>
      <c r="M12" s="16">
        <v>562.6</v>
      </c>
    </row>
    <row r="13" spans="1:13" x14ac:dyDescent="0.35">
      <c r="A13" s="55">
        <v>1800000559</v>
      </c>
      <c r="B13" s="37">
        <v>246779410509</v>
      </c>
      <c r="C13" s="56" t="s">
        <v>57</v>
      </c>
      <c r="D13" s="57">
        <v>45719</v>
      </c>
      <c r="E13" s="56" t="s">
        <v>45</v>
      </c>
      <c r="F13" s="59">
        <v>29.25</v>
      </c>
      <c r="G13" s="56" t="s">
        <v>34</v>
      </c>
      <c r="H13" s="59">
        <v>2535.7199999999998</v>
      </c>
      <c r="I13" s="56" t="s">
        <v>95</v>
      </c>
      <c r="K13" s="74">
        <v>246779410509</v>
      </c>
      <c r="L13" s="73" t="s">
        <v>57</v>
      </c>
      <c r="M13" s="16">
        <v>29.25</v>
      </c>
    </row>
    <row r="14" spans="1:13" x14ac:dyDescent="0.35">
      <c r="A14" s="55">
        <v>1800000560</v>
      </c>
      <c r="B14" s="37">
        <v>246779410510</v>
      </c>
      <c r="C14" s="56" t="s">
        <v>57</v>
      </c>
      <c r="D14" s="57">
        <v>45719</v>
      </c>
      <c r="E14" s="56" t="s">
        <v>45</v>
      </c>
      <c r="F14" s="59">
        <v>194.9</v>
      </c>
      <c r="G14" s="56" t="s">
        <v>34</v>
      </c>
      <c r="H14" s="59">
        <v>16896.13</v>
      </c>
      <c r="I14" s="56" t="s">
        <v>95</v>
      </c>
      <c r="K14" s="74">
        <v>246779410510</v>
      </c>
      <c r="L14" s="73" t="s">
        <v>57</v>
      </c>
      <c r="M14" s="16">
        <v>194.9</v>
      </c>
    </row>
    <row r="15" spans="1:13" x14ac:dyDescent="0.35">
      <c r="A15" s="55">
        <v>1800000561</v>
      </c>
      <c r="B15" s="37">
        <v>246779410511</v>
      </c>
      <c r="C15" s="56" t="s">
        <v>57</v>
      </c>
      <c r="D15" s="57">
        <v>45719</v>
      </c>
      <c r="E15" s="56" t="s">
        <v>45</v>
      </c>
      <c r="F15" s="59">
        <v>13.91</v>
      </c>
      <c r="G15" s="56" t="s">
        <v>34</v>
      </c>
      <c r="H15" s="59">
        <v>1205.8800000000001</v>
      </c>
      <c r="I15" s="56" t="s">
        <v>95</v>
      </c>
      <c r="K15" s="74">
        <v>246779410511</v>
      </c>
      <c r="L15" s="73" t="s">
        <v>57</v>
      </c>
      <c r="M15" s="16">
        <v>13.91</v>
      </c>
    </row>
    <row r="16" spans="1:13" x14ac:dyDescent="0.35">
      <c r="A16" s="55">
        <v>1800000674</v>
      </c>
      <c r="B16" s="37">
        <v>246779410614</v>
      </c>
      <c r="C16" s="56" t="s">
        <v>57</v>
      </c>
      <c r="D16" s="57">
        <v>45719</v>
      </c>
      <c r="E16" s="56" t="s">
        <v>45</v>
      </c>
      <c r="F16" s="59">
        <v>2.25</v>
      </c>
      <c r="G16" s="56" t="s">
        <v>34</v>
      </c>
      <c r="H16" s="59">
        <v>195.06</v>
      </c>
      <c r="I16" s="56" t="s">
        <v>92</v>
      </c>
      <c r="K16" s="74">
        <v>246779410614</v>
      </c>
      <c r="L16" s="73" t="s">
        <v>57</v>
      </c>
      <c r="M16" s="16">
        <v>2.25</v>
      </c>
    </row>
    <row r="17" spans="1:13" x14ac:dyDescent="0.35">
      <c r="A17" s="55">
        <v>1800000754</v>
      </c>
      <c r="B17" s="37">
        <v>246779410694</v>
      </c>
      <c r="C17" s="56" t="s">
        <v>57</v>
      </c>
      <c r="D17" s="57">
        <v>45720</v>
      </c>
      <c r="E17" s="56" t="s">
        <v>45</v>
      </c>
      <c r="F17" s="59">
        <v>59.36</v>
      </c>
      <c r="G17" s="56" t="s">
        <v>34</v>
      </c>
      <c r="H17" s="59">
        <v>5145.99</v>
      </c>
      <c r="I17" s="56" t="s">
        <v>72</v>
      </c>
      <c r="K17" s="74">
        <v>246779410615</v>
      </c>
      <c r="L17" s="73" t="s">
        <v>57</v>
      </c>
      <c r="M17" s="16">
        <v>9</v>
      </c>
    </row>
    <row r="18" spans="1:13" x14ac:dyDescent="0.35">
      <c r="A18" s="55">
        <v>1800000915</v>
      </c>
      <c r="B18" s="37">
        <v>246779410856</v>
      </c>
      <c r="C18" s="56" t="s">
        <v>57</v>
      </c>
      <c r="D18" s="57">
        <v>45720</v>
      </c>
      <c r="E18" s="56" t="s">
        <v>45</v>
      </c>
      <c r="F18" s="59">
        <v>18.32</v>
      </c>
      <c r="G18" s="56" t="s">
        <v>34</v>
      </c>
      <c r="H18" s="59">
        <v>1588.18</v>
      </c>
      <c r="I18" s="56" t="s">
        <v>73</v>
      </c>
      <c r="K18" s="74">
        <v>246779410694</v>
      </c>
      <c r="L18" s="73" t="s">
        <v>57</v>
      </c>
      <c r="M18" s="16">
        <v>59.36</v>
      </c>
    </row>
    <row r="19" spans="1:13" x14ac:dyDescent="0.35">
      <c r="A19" s="55">
        <v>1800000948</v>
      </c>
      <c r="B19" s="37">
        <v>246779410888</v>
      </c>
      <c r="C19" s="56" t="s">
        <v>57</v>
      </c>
      <c r="D19" s="57">
        <v>45722</v>
      </c>
      <c r="E19" s="56" t="s">
        <v>45</v>
      </c>
      <c r="F19" s="59">
        <v>446.38</v>
      </c>
      <c r="G19" s="56" t="s">
        <v>34</v>
      </c>
      <c r="H19" s="59">
        <v>38697.24</v>
      </c>
      <c r="I19" s="56" t="s">
        <v>76</v>
      </c>
      <c r="K19" s="74">
        <v>246779410856</v>
      </c>
      <c r="L19" s="73" t="s">
        <v>57</v>
      </c>
      <c r="M19" s="16">
        <v>18.32</v>
      </c>
    </row>
    <row r="20" spans="1:13" x14ac:dyDescent="0.35">
      <c r="A20" s="55">
        <v>1800000925</v>
      </c>
      <c r="B20" s="37">
        <v>246779410865</v>
      </c>
      <c r="C20" s="56" t="s">
        <v>57</v>
      </c>
      <c r="D20" s="57">
        <v>45722</v>
      </c>
      <c r="E20" s="56" t="s">
        <v>45</v>
      </c>
      <c r="F20" s="59">
        <v>412.11</v>
      </c>
      <c r="G20" s="56" t="s">
        <v>34</v>
      </c>
      <c r="H20" s="59">
        <v>35726.339999999997</v>
      </c>
      <c r="I20" s="56" t="s">
        <v>77</v>
      </c>
      <c r="K20" s="74">
        <v>246779410865</v>
      </c>
      <c r="L20" s="73" t="s">
        <v>57</v>
      </c>
      <c r="M20" s="16">
        <v>412.11</v>
      </c>
    </row>
    <row r="21" spans="1:13" x14ac:dyDescent="0.35">
      <c r="A21" s="55">
        <v>1800001035</v>
      </c>
      <c r="B21" s="37">
        <v>246779410975</v>
      </c>
      <c r="C21" s="56" t="s">
        <v>57</v>
      </c>
      <c r="D21" s="57">
        <v>45722</v>
      </c>
      <c r="E21" s="56" t="s">
        <v>45</v>
      </c>
      <c r="F21" s="59">
        <v>28.91</v>
      </c>
      <c r="G21" s="56" t="s">
        <v>34</v>
      </c>
      <c r="H21" s="59">
        <v>2506.2399999999998</v>
      </c>
      <c r="I21" s="56" t="s">
        <v>78</v>
      </c>
      <c r="K21" s="74">
        <v>246779410888</v>
      </c>
      <c r="L21" s="73" t="s">
        <v>57</v>
      </c>
      <c r="M21" s="16">
        <v>446.38</v>
      </c>
    </row>
    <row r="22" spans="1:13" x14ac:dyDescent="0.35">
      <c r="A22" s="55">
        <v>1800001036</v>
      </c>
      <c r="B22" s="37">
        <v>246779410976</v>
      </c>
      <c r="C22" s="56" t="s">
        <v>57</v>
      </c>
      <c r="D22" s="57">
        <v>45722</v>
      </c>
      <c r="E22" s="56" t="s">
        <v>45</v>
      </c>
      <c r="F22" s="59">
        <v>24</v>
      </c>
      <c r="G22" s="56" t="s">
        <v>34</v>
      </c>
      <c r="H22" s="59">
        <v>2080.59</v>
      </c>
      <c r="I22" s="56" t="s">
        <v>78</v>
      </c>
      <c r="K22" s="74">
        <v>246779410975</v>
      </c>
      <c r="L22" s="73" t="s">
        <v>57</v>
      </c>
      <c r="M22" s="16">
        <v>28.91</v>
      </c>
    </row>
    <row r="23" spans="1:13" x14ac:dyDescent="0.35">
      <c r="A23" s="55">
        <v>1800001120</v>
      </c>
      <c r="B23" s="37">
        <v>246779411056</v>
      </c>
      <c r="C23" s="56" t="s">
        <v>57</v>
      </c>
      <c r="D23" s="57">
        <v>45722</v>
      </c>
      <c r="E23" s="56" t="s">
        <v>45</v>
      </c>
      <c r="F23" s="59">
        <v>59.36</v>
      </c>
      <c r="G23" s="56" t="s">
        <v>34</v>
      </c>
      <c r="H23" s="59">
        <v>5145.99</v>
      </c>
      <c r="I23" s="56" t="s">
        <v>79</v>
      </c>
      <c r="K23" s="74">
        <v>246779410976</v>
      </c>
      <c r="L23" s="73" t="s">
        <v>57</v>
      </c>
      <c r="M23" s="16">
        <v>24</v>
      </c>
    </row>
    <row r="24" spans="1:13" x14ac:dyDescent="0.35">
      <c r="A24" s="55">
        <v>1800001121</v>
      </c>
      <c r="B24" s="37">
        <v>246779411057</v>
      </c>
      <c r="C24" s="56" t="s">
        <v>57</v>
      </c>
      <c r="D24" s="57">
        <v>45722</v>
      </c>
      <c r="E24" s="56" t="s">
        <v>45</v>
      </c>
      <c r="F24" s="59">
        <v>67.67</v>
      </c>
      <c r="G24" s="56" t="s">
        <v>34</v>
      </c>
      <c r="H24" s="59">
        <v>5866.4</v>
      </c>
      <c r="I24" s="56" t="s">
        <v>79</v>
      </c>
      <c r="K24" s="74">
        <v>246779411056</v>
      </c>
      <c r="L24" s="73" t="s">
        <v>57</v>
      </c>
      <c r="M24" s="16">
        <v>59.36</v>
      </c>
    </row>
    <row r="25" spans="1:13" x14ac:dyDescent="0.35">
      <c r="A25" s="55">
        <v>1800001321</v>
      </c>
      <c r="B25" s="37">
        <v>246779411190</v>
      </c>
      <c r="C25" s="56" t="s">
        <v>57</v>
      </c>
      <c r="D25" s="57">
        <v>45722</v>
      </c>
      <c r="E25" s="56" t="s">
        <v>45</v>
      </c>
      <c r="F25" s="59">
        <v>17.25</v>
      </c>
      <c r="G25" s="56" t="s">
        <v>34</v>
      </c>
      <c r="H25" s="59">
        <v>1495.42</v>
      </c>
      <c r="I25" s="56" t="s">
        <v>80</v>
      </c>
      <c r="K25" s="74">
        <v>246779411057</v>
      </c>
      <c r="L25" s="73" t="s">
        <v>57</v>
      </c>
      <c r="M25" s="16">
        <v>67.67</v>
      </c>
    </row>
    <row r="26" spans="1:13" x14ac:dyDescent="0.35">
      <c r="A26" s="55">
        <v>1800001322</v>
      </c>
      <c r="B26" s="37">
        <v>246779411191</v>
      </c>
      <c r="C26" s="56" t="s">
        <v>57</v>
      </c>
      <c r="D26" s="57">
        <v>45722</v>
      </c>
      <c r="E26" s="56" t="s">
        <v>45</v>
      </c>
      <c r="F26" s="59">
        <v>26.15</v>
      </c>
      <c r="G26" s="56" t="s">
        <v>34</v>
      </c>
      <c r="H26" s="59">
        <v>2266.98</v>
      </c>
      <c r="I26" s="56" t="s">
        <v>80</v>
      </c>
      <c r="K26" s="74">
        <v>246779411190</v>
      </c>
      <c r="L26" s="73" t="s">
        <v>57</v>
      </c>
      <c r="M26" s="16">
        <v>17.25</v>
      </c>
    </row>
    <row r="27" spans="1:13" x14ac:dyDescent="0.35">
      <c r="A27" s="55">
        <v>1800001384</v>
      </c>
      <c r="B27" s="37">
        <v>246779411253</v>
      </c>
      <c r="C27" s="56" t="s">
        <v>57</v>
      </c>
      <c r="D27" s="57">
        <v>45722</v>
      </c>
      <c r="E27" s="56" t="s">
        <v>45</v>
      </c>
      <c r="F27" s="59">
        <v>20</v>
      </c>
      <c r="G27" s="56" t="s">
        <v>34</v>
      </c>
      <c r="H27" s="59">
        <v>1733.83</v>
      </c>
      <c r="I27" s="56" t="s">
        <v>81</v>
      </c>
      <c r="K27" s="74">
        <v>246779411191</v>
      </c>
      <c r="L27" s="73" t="s">
        <v>57</v>
      </c>
      <c r="M27" s="16">
        <v>26.15</v>
      </c>
    </row>
    <row r="28" spans="1:13" x14ac:dyDescent="0.35">
      <c r="A28" s="55">
        <v>1800001820</v>
      </c>
      <c r="B28" s="37">
        <v>246779411485</v>
      </c>
      <c r="C28" s="56" t="s">
        <v>57</v>
      </c>
      <c r="D28" s="57">
        <v>45730</v>
      </c>
      <c r="E28" s="56" t="s">
        <v>45</v>
      </c>
      <c r="F28" s="59">
        <v>100</v>
      </c>
      <c r="G28" s="56" t="s">
        <v>34</v>
      </c>
      <c r="H28" s="59">
        <v>8669.1299999999992</v>
      </c>
      <c r="I28" s="56" t="s">
        <v>71</v>
      </c>
      <c r="K28" s="74">
        <v>246779411253</v>
      </c>
      <c r="L28" s="73" t="s">
        <v>57</v>
      </c>
      <c r="M28" s="16">
        <v>20</v>
      </c>
    </row>
    <row r="29" spans="1:13" x14ac:dyDescent="0.35">
      <c r="A29" s="55">
        <v>1800001617</v>
      </c>
      <c r="B29" s="37">
        <v>246779412274</v>
      </c>
      <c r="C29" s="56" t="s">
        <v>57</v>
      </c>
      <c r="D29" s="57">
        <v>45730</v>
      </c>
      <c r="E29" s="56" t="s">
        <v>45</v>
      </c>
      <c r="F29" s="59">
        <v>100</v>
      </c>
      <c r="G29" s="56" t="s">
        <v>34</v>
      </c>
      <c r="H29" s="59">
        <v>8669.1299999999992</v>
      </c>
      <c r="I29" s="56" t="s">
        <v>71</v>
      </c>
      <c r="K29" s="74">
        <v>246779411451</v>
      </c>
      <c r="L29" s="73" t="s">
        <v>57</v>
      </c>
      <c r="M29" s="16">
        <v>2.86</v>
      </c>
    </row>
    <row r="30" spans="1:13" x14ac:dyDescent="0.35">
      <c r="A30" s="55">
        <v>1800001786</v>
      </c>
      <c r="B30" s="37">
        <v>246779411451</v>
      </c>
      <c r="C30" s="56" t="s">
        <v>57</v>
      </c>
      <c r="D30" s="57">
        <v>45730</v>
      </c>
      <c r="E30" s="56" t="s">
        <v>45</v>
      </c>
      <c r="F30" s="59">
        <v>2.86</v>
      </c>
      <c r="G30" s="56" t="s">
        <v>34</v>
      </c>
      <c r="H30" s="59">
        <v>247.94</v>
      </c>
      <c r="I30" s="56" t="s">
        <v>107</v>
      </c>
      <c r="K30" s="74">
        <v>246779411452</v>
      </c>
      <c r="L30" s="73" t="s">
        <v>57</v>
      </c>
      <c r="M30" s="16">
        <v>0.95</v>
      </c>
    </row>
    <row r="31" spans="1:13" x14ac:dyDescent="0.35">
      <c r="A31" s="55">
        <v>1800001787</v>
      </c>
      <c r="B31" s="37">
        <v>246779411452</v>
      </c>
      <c r="C31" s="56" t="s">
        <v>57</v>
      </c>
      <c r="D31" s="57">
        <v>45730</v>
      </c>
      <c r="E31" s="56" t="s">
        <v>45</v>
      </c>
      <c r="F31" s="59">
        <v>0.95</v>
      </c>
      <c r="G31" s="56" t="s">
        <v>34</v>
      </c>
      <c r="H31" s="59">
        <v>82.36</v>
      </c>
      <c r="I31" s="56" t="s">
        <v>107</v>
      </c>
      <c r="K31" s="74">
        <v>246779411453</v>
      </c>
      <c r="L31" s="73" t="s">
        <v>57</v>
      </c>
      <c r="M31" s="16">
        <v>4.7699999999999996</v>
      </c>
    </row>
    <row r="32" spans="1:13" x14ac:dyDescent="0.35">
      <c r="A32" s="55">
        <v>1800001788</v>
      </c>
      <c r="B32" s="37">
        <v>246779411453</v>
      </c>
      <c r="C32" s="56" t="s">
        <v>57</v>
      </c>
      <c r="D32" s="57">
        <v>45730</v>
      </c>
      <c r="E32" s="56" t="s">
        <v>45</v>
      </c>
      <c r="F32" s="59">
        <v>4.7699999999999996</v>
      </c>
      <c r="G32" s="56" t="s">
        <v>34</v>
      </c>
      <c r="H32" s="59">
        <v>413.52</v>
      </c>
      <c r="I32" s="56" t="s">
        <v>107</v>
      </c>
      <c r="K32" s="74">
        <v>246779411454</v>
      </c>
      <c r="L32" s="73" t="s">
        <v>57</v>
      </c>
      <c r="M32" s="16">
        <v>1.91</v>
      </c>
    </row>
    <row r="33" spans="1:13" x14ac:dyDescent="0.35">
      <c r="A33" s="55">
        <v>1800001789</v>
      </c>
      <c r="B33" s="37">
        <v>246779411454</v>
      </c>
      <c r="C33" s="56" t="s">
        <v>57</v>
      </c>
      <c r="D33" s="57">
        <v>45730</v>
      </c>
      <c r="E33" s="56" t="s">
        <v>45</v>
      </c>
      <c r="F33" s="59">
        <v>1.91</v>
      </c>
      <c r="G33" s="56" t="s">
        <v>34</v>
      </c>
      <c r="H33" s="59">
        <v>165.58</v>
      </c>
      <c r="I33" s="56" t="s">
        <v>107</v>
      </c>
      <c r="K33" s="74">
        <v>246779411455</v>
      </c>
      <c r="L33" s="73" t="s">
        <v>57</v>
      </c>
      <c r="M33" s="16">
        <v>1.91</v>
      </c>
    </row>
    <row r="34" spans="1:13" x14ac:dyDescent="0.35">
      <c r="A34" s="55">
        <v>1800001790</v>
      </c>
      <c r="B34" s="37">
        <v>246779411455</v>
      </c>
      <c r="C34" s="56" t="s">
        <v>57</v>
      </c>
      <c r="D34" s="57">
        <v>45730</v>
      </c>
      <c r="E34" s="56" t="s">
        <v>45</v>
      </c>
      <c r="F34" s="59">
        <v>1.91</v>
      </c>
      <c r="G34" s="56" t="s">
        <v>34</v>
      </c>
      <c r="H34" s="59">
        <v>165.58</v>
      </c>
      <c r="I34" s="56" t="s">
        <v>107</v>
      </c>
      <c r="K34" s="74">
        <v>246779411456</v>
      </c>
      <c r="L34" s="73" t="s">
        <v>57</v>
      </c>
      <c r="M34" s="16">
        <v>4.7699999999999996</v>
      </c>
    </row>
    <row r="35" spans="1:13" x14ac:dyDescent="0.35">
      <c r="A35" s="55">
        <v>1800001791</v>
      </c>
      <c r="B35" s="37">
        <v>246779411456</v>
      </c>
      <c r="C35" s="56" t="s">
        <v>57</v>
      </c>
      <c r="D35" s="57">
        <v>45730</v>
      </c>
      <c r="E35" s="56" t="s">
        <v>45</v>
      </c>
      <c r="F35" s="59">
        <v>4.7699999999999996</v>
      </c>
      <c r="G35" s="56" t="s">
        <v>34</v>
      </c>
      <c r="H35" s="59">
        <v>413.52</v>
      </c>
      <c r="I35" s="56" t="s">
        <v>107</v>
      </c>
      <c r="K35" s="74">
        <v>246779411485</v>
      </c>
      <c r="L35" s="73" t="s">
        <v>57</v>
      </c>
      <c r="M35" s="16">
        <v>100</v>
      </c>
    </row>
    <row r="36" spans="1:13" x14ac:dyDescent="0.35">
      <c r="A36" s="55">
        <v>1800001583</v>
      </c>
      <c r="B36" s="37">
        <v>246779412240</v>
      </c>
      <c r="C36" s="56" t="s">
        <v>57</v>
      </c>
      <c r="D36" s="57">
        <v>45730</v>
      </c>
      <c r="E36" s="56" t="s">
        <v>45</v>
      </c>
      <c r="F36" s="59">
        <v>2.86</v>
      </c>
      <c r="G36" s="56" t="s">
        <v>34</v>
      </c>
      <c r="H36" s="59">
        <v>247.94</v>
      </c>
      <c r="I36" s="56" t="s">
        <v>107</v>
      </c>
      <c r="K36" s="74">
        <v>246779411622</v>
      </c>
      <c r="L36" s="73" t="s">
        <v>57</v>
      </c>
      <c r="M36" s="16">
        <v>3.82</v>
      </c>
    </row>
    <row r="37" spans="1:13" x14ac:dyDescent="0.35">
      <c r="A37" s="55">
        <v>1800001584</v>
      </c>
      <c r="B37" s="37">
        <v>246779412241</v>
      </c>
      <c r="C37" s="56" t="s">
        <v>57</v>
      </c>
      <c r="D37" s="57">
        <v>45730</v>
      </c>
      <c r="E37" s="56" t="s">
        <v>45</v>
      </c>
      <c r="F37" s="59">
        <v>0.95</v>
      </c>
      <c r="G37" s="56" t="s">
        <v>34</v>
      </c>
      <c r="H37" s="59">
        <v>82.36</v>
      </c>
      <c r="I37" s="56" t="s">
        <v>107</v>
      </c>
      <c r="K37" s="74">
        <v>246779411623</v>
      </c>
      <c r="L37" s="73" t="s">
        <v>57</v>
      </c>
      <c r="M37" s="16">
        <v>1.91</v>
      </c>
    </row>
    <row r="38" spans="1:13" x14ac:dyDescent="0.35">
      <c r="A38" s="55">
        <v>1800001585</v>
      </c>
      <c r="B38" s="37">
        <v>246779412242</v>
      </c>
      <c r="C38" s="56" t="s">
        <v>57</v>
      </c>
      <c r="D38" s="57">
        <v>45730</v>
      </c>
      <c r="E38" s="56" t="s">
        <v>45</v>
      </c>
      <c r="F38" s="59">
        <v>4.7699999999999996</v>
      </c>
      <c r="G38" s="56" t="s">
        <v>34</v>
      </c>
      <c r="H38" s="59">
        <v>413.52</v>
      </c>
      <c r="I38" s="56" t="s">
        <v>107</v>
      </c>
      <c r="K38" s="74">
        <v>246779412240</v>
      </c>
      <c r="L38" s="73" t="s">
        <v>57</v>
      </c>
      <c r="M38" s="16">
        <v>2.86</v>
      </c>
    </row>
    <row r="39" spans="1:13" x14ac:dyDescent="0.35">
      <c r="A39" s="55">
        <v>1800001586</v>
      </c>
      <c r="B39" s="37">
        <v>246779412243</v>
      </c>
      <c r="C39" s="56" t="s">
        <v>57</v>
      </c>
      <c r="D39" s="57">
        <v>45730</v>
      </c>
      <c r="E39" s="56" t="s">
        <v>45</v>
      </c>
      <c r="F39" s="59">
        <v>1.91</v>
      </c>
      <c r="G39" s="56" t="s">
        <v>34</v>
      </c>
      <c r="H39" s="59">
        <v>165.58</v>
      </c>
      <c r="I39" s="56" t="s">
        <v>107</v>
      </c>
      <c r="K39" s="74">
        <v>246779412241</v>
      </c>
      <c r="L39" s="73" t="s">
        <v>57</v>
      </c>
      <c r="M39" s="16">
        <v>0.95</v>
      </c>
    </row>
    <row r="40" spans="1:13" x14ac:dyDescent="0.35">
      <c r="A40" s="55">
        <v>1800001587</v>
      </c>
      <c r="B40" s="37">
        <v>246779412244</v>
      </c>
      <c r="C40" s="56" t="s">
        <v>57</v>
      </c>
      <c r="D40" s="57">
        <v>45730</v>
      </c>
      <c r="E40" s="56" t="s">
        <v>45</v>
      </c>
      <c r="F40" s="59">
        <v>1.91</v>
      </c>
      <c r="G40" s="56" t="s">
        <v>34</v>
      </c>
      <c r="H40" s="59">
        <v>165.58</v>
      </c>
      <c r="I40" s="56" t="s">
        <v>107</v>
      </c>
      <c r="K40" s="74">
        <v>246779412242</v>
      </c>
      <c r="L40" s="73" t="s">
        <v>57</v>
      </c>
      <c r="M40" s="16">
        <v>4.7699999999999996</v>
      </c>
    </row>
    <row r="41" spans="1:13" x14ac:dyDescent="0.35">
      <c r="A41" s="55">
        <v>1800001588</v>
      </c>
      <c r="B41" s="37">
        <v>246779412245</v>
      </c>
      <c r="C41" s="56" t="s">
        <v>57</v>
      </c>
      <c r="D41" s="57">
        <v>45730</v>
      </c>
      <c r="E41" s="56" t="s">
        <v>45</v>
      </c>
      <c r="F41" s="59">
        <v>4.7699999999999996</v>
      </c>
      <c r="G41" s="56" t="s">
        <v>34</v>
      </c>
      <c r="H41" s="59">
        <v>413.52</v>
      </c>
      <c r="I41" s="56" t="s">
        <v>107</v>
      </c>
      <c r="K41" s="74">
        <v>246779412243</v>
      </c>
      <c r="L41" s="73" t="s">
        <v>57</v>
      </c>
      <c r="M41" s="16">
        <v>1.91</v>
      </c>
    </row>
    <row r="42" spans="1:13" x14ac:dyDescent="0.35">
      <c r="A42" s="55">
        <v>1800001957</v>
      </c>
      <c r="B42" s="37">
        <v>246779411622</v>
      </c>
      <c r="C42" s="56" t="s">
        <v>57</v>
      </c>
      <c r="D42" s="57">
        <v>45733</v>
      </c>
      <c r="E42" s="56" t="s">
        <v>45</v>
      </c>
      <c r="F42" s="59">
        <v>3.82</v>
      </c>
      <c r="G42" s="56" t="s">
        <v>34</v>
      </c>
      <c r="H42" s="59">
        <v>331.16</v>
      </c>
      <c r="I42" s="56" t="s">
        <v>96</v>
      </c>
      <c r="K42" s="74">
        <v>246779412244</v>
      </c>
      <c r="L42" s="73" t="s">
        <v>57</v>
      </c>
      <c r="M42" s="16">
        <v>1.91</v>
      </c>
    </row>
    <row r="43" spans="1:13" x14ac:dyDescent="0.35">
      <c r="A43" s="55">
        <v>1800001958</v>
      </c>
      <c r="B43" s="37">
        <v>246779411623</v>
      </c>
      <c r="C43" s="56" t="s">
        <v>57</v>
      </c>
      <c r="D43" s="57">
        <v>45733</v>
      </c>
      <c r="E43" s="56" t="s">
        <v>45</v>
      </c>
      <c r="F43" s="59">
        <v>1.91</v>
      </c>
      <c r="G43" s="56" t="s">
        <v>34</v>
      </c>
      <c r="H43" s="59">
        <v>165.58</v>
      </c>
      <c r="I43" s="56" t="s">
        <v>96</v>
      </c>
      <c r="K43" s="74">
        <v>246779412245</v>
      </c>
      <c r="L43" s="73" t="s">
        <v>57</v>
      </c>
      <c r="M43" s="16">
        <v>4.7699999999999996</v>
      </c>
    </row>
    <row r="44" spans="1:13" x14ac:dyDescent="0.35">
      <c r="A44" s="55">
        <v>1800003125</v>
      </c>
      <c r="B44" s="37">
        <v>246779412992</v>
      </c>
      <c r="C44" s="56" t="s">
        <v>57</v>
      </c>
      <c r="D44" s="57">
        <v>45735</v>
      </c>
      <c r="E44" s="56" t="s">
        <v>45</v>
      </c>
      <c r="F44" s="59">
        <v>1148.6300000000001</v>
      </c>
      <c r="G44" s="56" t="s">
        <v>34</v>
      </c>
      <c r="H44" s="59">
        <v>99576.18</v>
      </c>
      <c r="I44" s="56" t="s">
        <v>191</v>
      </c>
      <c r="K44" s="74">
        <v>246779412274</v>
      </c>
      <c r="L44" s="73" t="s">
        <v>57</v>
      </c>
      <c r="M44" s="16">
        <v>100</v>
      </c>
    </row>
    <row r="45" spans="1:13" x14ac:dyDescent="0.35">
      <c r="A45" s="55">
        <v>1800004097</v>
      </c>
      <c r="B45" s="37">
        <v>246779413953</v>
      </c>
      <c r="C45" s="56" t="s">
        <v>57</v>
      </c>
      <c r="D45" s="57">
        <v>45736</v>
      </c>
      <c r="E45" s="56" t="s">
        <v>45</v>
      </c>
      <c r="F45" s="59">
        <v>3</v>
      </c>
      <c r="G45" s="56" t="s">
        <v>34</v>
      </c>
      <c r="H45" s="59">
        <v>260.07</v>
      </c>
      <c r="I45" s="56" t="s">
        <v>154</v>
      </c>
      <c r="K45" s="74">
        <v>246779412992</v>
      </c>
      <c r="L45" s="73" t="s">
        <v>57</v>
      </c>
      <c r="M45" s="16">
        <v>1148.6300000000001</v>
      </c>
    </row>
    <row r="46" spans="1:13" x14ac:dyDescent="0.35">
      <c r="A46" s="55">
        <v>1800004357</v>
      </c>
      <c r="B46" s="37">
        <v>246779414225</v>
      </c>
      <c r="C46" s="56" t="s">
        <v>57</v>
      </c>
      <c r="D46" s="57">
        <v>45736</v>
      </c>
      <c r="E46" s="56" t="s">
        <v>45</v>
      </c>
      <c r="F46" s="59">
        <v>13.5</v>
      </c>
      <c r="G46" s="56" t="s">
        <v>34</v>
      </c>
      <c r="H46" s="59">
        <v>1170.33</v>
      </c>
      <c r="I46" s="56" t="s">
        <v>155</v>
      </c>
      <c r="K46" s="74">
        <v>246779413953</v>
      </c>
      <c r="L46" s="73" t="s">
        <v>57</v>
      </c>
      <c r="M46" s="16">
        <v>3</v>
      </c>
    </row>
    <row r="47" spans="1:13" x14ac:dyDescent="0.35">
      <c r="A47" s="55">
        <v>1800004532</v>
      </c>
      <c r="B47" s="37">
        <v>246779414400</v>
      </c>
      <c r="C47" s="56" t="s">
        <v>57</v>
      </c>
      <c r="D47" s="57">
        <v>45736</v>
      </c>
      <c r="E47" s="56" t="s">
        <v>45</v>
      </c>
      <c r="F47" s="59">
        <v>80.95</v>
      </c>
      <c r="G47" s="56" t="s">
        <v>34</v>
      </c>
      <c r="H47" s="59">
        <v>7017.66</v>
      </c>
      <c r="I47" s="56" t="s">
        <v>80</v>
      </c>
      <c r="K47" s="74">
        <v>246779414225</v>
      </c>
      <c r="L47" s="73" t="s">
        <v>57</v>
      </c>
      <c r="M47" s="16">
        <v>13.5</v>
      </c>
    </row>
    <row r="48" spans="1:13" x14ac:dyDescent="0.35">
      <c r="A48" s="55">
        <v>1800004533</v>
      </c>
      <c r="B48" s="37">
        <v>246779414401</v>
      </c>
      <c r="C48" s="56" t="s">
        <v>57</v>
      </c>
      <c r="D48" s="57">
        <v>45736</v>
      </c>
      <c r="E48" s="56" t="s">
        <v>45</v>
      </c>
      <c r="F48" s="59">
        <v>15</v>
      </c>
      <c r="G48" s="56" t="s">
        <v>34</v>
      </c>
      <c r="H48" s="59">
        <v>1300.3699999999999</v>
      </c>
      <c r="I48" s="56" t="s">
        <v>156</v>
      </c>
      <c r="K48" s="74">
        <v>246779414400</v>
      </c>
      <c r="L48" s="73" t="s">
        <v>57</v>
      </c>
      <c r="M48" s="16">
        <v>80.95</v>
      </c>
    </row>
    <row r="49" spans="1:13" x14ac:dyDescent="0.35">
      <c r="A49" s="55">
        <v>1800004870</v>
      </c>
      <c r="B49" s="37">
        <v>246779414738</v>
      </c>
      <c r="C49" s="56" t="s">
        <v>57</v>
      </c>
      <c r="D49" s="57">
        <v>45736</v>
      </c>
      <c r="E49" s="56" t="s">
        <v>45</v>
      </c>
      <c r="F49" s="59">
        <v>2.25</v>
      </c>
      <c r="G49" s="56" t="s">
        <v>34</v>
      </c>
      <c r="H49" s="59">
        <v>195.06</v>
      </c>
      <c r="I49" s="56" t="s">
        <v>157</v>
      </c>
      <c r="K49" s="74">
        <v>246779414401</v>
      </c>
      <c r="L49" s="73" t="s">
        <v>57</v>
      </c>
      <c r="M49" s="16">
        <v>15</v>
      </c>
    </row>
    <row r="50" spans="1:13" x14ac:dyDescent="0.35">
      <c r="A50" s="55">
        <v>1800004871</v>
      </c>
      <c r="B50" s="37">
        <v>246779414739</v>
      </c>
      <c r="C50" s="56" t="s">
        <v>57</v>
      </c>
      <c r="D50" s="57">
        <v>45736</v>
      </c>
      <c r="E50" s="56" t="s">
        <v>45</v>
      </c>
      <c r="F50" s="59">
        <v>0.75</v>
      </c>
      <c r="G50" s="56" t="s">
        <v>34</v>
      </c>
      <c r="H50" s="59">
        <v>65.02</v>
      </c>
      <c r="I50" s="56" t="s">
        <v>158</v>
      </c>
      <c r="K50" s="74">
        <v>246779414607</v>
      </c>
      <c r="L50" s="73" t="s">
        <v>57</v>
      </c>
      <c r="M50" s="16">
        <v>2.25</v>
      </c>
    </row>
    <row r="51" spans="1:13" x14ac:dyDescent="0.35">
      <c r="A51" s="55">
        <v>1800004926</v>
      </c>
      <c r="B51" s="37">
        <v>246779414794</v>
      </c>
      <c r="C51" s="56" t="s">
        <v>57</v>
      </c>
      <c r="D51" s="57">
        <v>45736</v>
      </c>
      <c r="E51" s="56" t="s">
        <v>45</v>
      </c>
      <c r="F51" s="59">
        <v>2.25</v>
      </c>
      <c r="G51" s="56" t="s">
        <v>34</v>
      </c>
      <c r="H51" s="59">
        <v>195.06</v>
      </c>
      <c r="I51" s="56" t="s">
        <v>154</v>
      </c>
      <c r="K51" s="74">
        <v>246779414685</v>
      </c>
      <c r="L51" s="73" t="s">
        <v>57</v>
      </c>
      <c r="M51" s="16">
        <v>42.93</v>
      </c>
    </row>
    <row r="52" spans="1:13" x14ac:dyDescent="0.35">
      <c r="A52" s="55">
        <v>1800004927</v>
      </c>
      <c r="B52" s="37">
        <v>246779414795</v>
      </c>
      <c r="C52" s="56" t="s">
        <v>57</v>
      </c>
      <c r="D52" s="57">
        <v>45736</v>
      </c>
      <c r="E52" s="56" t="s">
        <v>45</v>
      </c>
      <c r="F52" s="59">
        <v>0.75</v>
      </c>
      <c r="G52" s="56" t="s">
        <v>34</v>
      </c>
      <c r="H52" s="59">
        <v>65.02</v>
      </c>
      <c r="I52" s="56" t="s">
        <v>159</v>
      </c>
      <c r="K52" s="74">
        <v>246779414738</v>
      </c>
      <c r="L52" s="73" t="s">
        <v>57</v>
      </c>
      <c r="M52" s="16">
        <v>2.25</v>
      </c>
    </row>
    <row r="53" spans="1:13" x14ac:dyDescent="0.35">
      <c r="A53" s="55">
        <v>1800004739</v>
      </c>
      <c r="B53" s="37">
        <v>246779414607</v>
      </c>
      <c r="C53" s="56" t="s">
        <v>57</v>
      </c>
      <c r="D53" s="57">
        <v>45736</v>
      </c>
      <c r="E53" s="56" t="s">
        <v>45</v>
      </c>
      <c r="F53" s="59">
        <v>2.25</v>
      </c>
      <c r="G53" s="56" t="s">
        <v>34</v>
      </c>
      <c r="H53" s="59">
        <v>195.06</v>
      </c>
      <c r="I53" s="56" t="s">
        <v>160</v>
      </c>
      <c r="K53" s="74">
        <v>246779414739</v>
      </c>
      <c r="L53" s="73" t="s">
        <v>57</v>
      </c>
      <c r="M53" s="16">
        <v>0.75</v>
      </c>
    </row>
    <row r="54" spans="1:13" x14ac:dyDescent="0.35">
      <c r="A54" s="55">
        <v>1800004817</v>
      </c>
      <c r="B54" s="37">
        <v>246779414685</v>
      </c>
      <c r="C54" s="56" t="s">
        <v>57</v>
      </c>
      <c r="D54" s="57">
        <v>45736</v>
      </c>
      <c r="E54" s="56" t="s">
        <v>45</v>
      </c>
      <c r="F54" s="59">
        <v>42.93</v>
      </c>
      <c r="G54" s="56" t="s">
        <v>34</v>
      </c>
      <c r="H54" s="59">
        <v>3721.66</v>
      </c>
      <c r="I54" s="56" t="s">
        <v>161</v>
      </c>
      <c r="K54" s="74">
        <v>246779414794</v>
      </c>
      <c r="L54" s="73" t="s">
        <v>57</v>
      </c>
      <c r="M54" s="16">
        <v>2.25</v>
      </c>
    </row>
    <row r="55" spans="1:13" x14ac:dyDescent="0.35">
      <c r="A55" s="55">
        <v>1800005191</v>
      </c>
      <c r="B55" s="37">
        <v>256779410137</v>
      </c>
      <c r="C55" s="56" t="s">
        <v>57</v>
      </c>
      <c r="D55" s="57">
        <v>45750</v>
      </c>
      <c r="E55" s="56" t="s">
        <v>45</v>
      </c>
      <c r="F55" s="59">
        <v>4.5</v>
      </c>
      <c r="G55" s="56" t="s">
        <v>34</v>
      </c>
      <c r="H55" s="59">
        <v>391.15</v>
      </c>
      <c r="I55" s="56" t="s">
        <v>183</v>
      </c>
      <c r="K55" s="74">
        <v>246779414795</v>
      </c>
      <c r="L55" s="73" t="s">
        <v>57</v>
      </c>
      <c r="M55" s="16">
        <v>0.75</v>
      </c>
    </row>
    <row r="56" spans="1:13" x14ac:dyDescent="0.35">
      <c r="A56" s="55">
        <v>1800005192</v>
      </c>
      <c r="B56" s="37">
        <v>256779410138</v>
      </c>
      <c r="C56" s="56" t="s">
        <v>57</v>
      </c>
      <c r="D56" s="57">
        <v>45750</v>
      </c>
      <c r="E56" s="56" t="s">
        <v>45</v>
      </c>
      <c r="F56" s="59">
        <v>1.5</v>
      </c>
      <c r="G56" s="56" t="s">
        <v>34</v>
      </c>
      <c r="H56" s="59">
        <v>130.38</v>
      </c>
      <c r="I56" s="56" t="s">
        <v>184</v>
      </c>
      <c r="K56" s="74">
        <v>256779410137</v>
      </c>
      <c r="L56" s="73" t="s">
        <v>57</v>
      </c>
      <c r="M56" s="16">
        <v>4.5</v>
      </c>
    </row>
    <row r="57" spans="1:13" x14ac:dyDescent="0.35">
      <c r="A57" s="55">
        <v>1800005336</v>
      </c>
      <c r="B57" s="37">
        <v>256779410228</v>
      </c>
      <c r="C57" s="56" t="s">
        <v>57</v>
      </c>
      <c r="D57" s="57">
        <v>45750</v>
      </c>
      <c r="E57" s="56" t="s">
        <v>45</v>
      </c>
      <c r="F57" s="59">
        <v>1166.5899999999999</v>
      </c>
      <c r="G57" s="56" t="s">
        <v>34</v>
      </c>
      <c r="H57" s="59">
        <v>101402.13</v>
      </c>
      <c r="I57" s="56" t="s">
        <v>169</v>
      </c>
      <c r="K57" s="74">
        <v>256779410138</v>
      </c>
      <c r="L57" s="73" t="s">
        <v>57</v>
      </c>
      <c r="M57" s="16">
        <v>1.5</v>
      </c>
    </row>
    <row r="58" spans="1:13" x14ac:dyDescent="0.35">
      <c r="A58" s="55">
        <v>1800005377</v>
      </c>
      <c r="B58" s="37">
        <v>256779410269</v>
      </c>
      <c r="C58" s="56" t="s">
        <v>57</v>
      </c>
      <c r="D58" s="57">
        <v>45750</v>
      </c>
      <c r="E58" s="56" t="s">
        <v>45</v>
      </c>
      <c r="F58" s="59">
        <v>1143.1199999999999</v>
      </c>
      <c r="G58" s="56" t="s">
        <v>34</v>
      </c>
      <c r="H58" s="59">
        <v>99362.07</v>
      </c>
      <c r="I58" s="56" t="s">
        <v>170</v>
      </c>
      <c r="K58" s="74">
        <v>256779410228</v>
      </c>
      <c r="L58" s="73" t="s">
        <v>57</v>
      </c>
      <c r="M58" s="16">
        <v>1166.5899999999999</v>
      </c>
    </row>
    <row r="59" spans="1:13" x14ac:dyDescent="0.35">
      <c r="A59" s="55">
        <v>1800005899</v>
      </c>
      <c r="B59" s="37">
        <v>256779410791</v>
      </c>
      <c r="C59" s="56" t="s">
        <v>57</v>
      </c>
      <c r="D59" s="57">
        <v>45751</v>
      </c>
      <c r="E59" s="56" t="s">
        <v>45</v>
      </c>
      <c r="F59" s="59">
        <v>441.2</v>
      </c>
      <c r="G59" s="56" t="s">
        <v>34</v>
      </c>
      <c r="H59" s="59">
        <v>38349.910000000003</v>
      </c>
      <c r="I59" s="56" t="s">
        <v>74</v>
      </c>
      <c r="K59" s="74">
        <v>256779410269</v>
      </c>
      <c r="L59" s="73" t="s">
        <v>57</v>
      </c>
      <c r="M59" s="16">
        <v>1143.1199999999999</v>
      </c>
    </row>
    <row r="60" spans="1:13" x14ac:dyDescent="0.35">
      <c r="A60" s="55">
        <v>1800005916</v>
      </c>
      <c r="B60" s="37">
        <v>256779410807</v>
      </c>
      <c r="C60" s="56" t="s">
        <v>57</v>
      </c>
      <c r="D60" s="57">
        <v>45751</v>
      </c>
      <c r="E60" s="56" t="s">
        <v>45</v>
      </c>
      <c r="F60" s="59">
        <v>742.7</v>
      </c>
      <c r="G60" s="56" t="s">
        <v>34</v>
      </c>
      <c r="H60" s="59">
        <v>64556.84</v>
      </c>
      <c r="I60" s="56" t="s">
        <v>75</v>
      </c>
      <c r="K60" s="74">
        <v>256779410791</v>
      </c>
      <c r="L60" s="73" t="s">
        <v>57</v>
      </c>
      <c r="M60" s="16">
        <v>441.2</v>
      </c>
    </row>
    <row r="61" spans="1:13" x14ac:dyDescent="0.35">
      <c r="A61" s="55">
        <v>1800006269</v>
      </c>
      <c r="B61" s="37">
        <v>256779411160</v>
      </c>
      <c r="C61" s="56" t="s">
        <v>57</v>
      </c>
      <c r="D61" s="57">
        <v>45762</v>
      </c>
      <c r="E61" s="56" t="s">
        <v>45</v>
      </c>
      <c r="F61" s="59">
        <v>18.38</v>
      </c>
      <c r="G61" s="56" t="s">
        <v>34</v>
      </c>
      <c r="H61" s="59">
        <v>1597.62</v>
      </c>
      <c r="I61" s="56" t="s">
        <v>99</v>
      </c>
      <c r="K61" s="74">
        <v>256779410807</v>
      </c>
      <c r="L61" s="73" t="s">
        <v>57</v>
      </c>
      <c r="M61" s="16">
        <v>742.7</v>
      </c>
    </row>
    <row r="62" spans="1:13" x14ac:dyDescent="0.35">
      <c r="A62" s="55">
        <v>1800006270</v>
      </c>
      <c r="B62" s="37">
        <v>256779411161</v>
      </c>
      <c r="C62" s="56" t="s">
        <v>57</v>
      </c>
      <c r="D62" s="57">
        <v>45762</v>
      </c>
      <c r="E62" s="56" t="s">
        <v>45</v>
      </c>
      <c r="F62" s="59">
        <v>46.76</v>
      </c>
      <c r="G62" s="56" t="s">
        <v>34</v>
      </c>
      <c r="H62" s="59">
        <v>4064.46</v>
      </c>
      <c r="I62" s="56" t="s">
        <v>100</v>
      </c>
      <c r="K62" s="74">
        <v>256779411160</v>
      </c>
      <c r="L62" s="73" t="s">
        <v>57</v>
      </c>
      <c r="M62" s="16">
        <v>18.38</v>
      </c>
    </row>
    <row r="63" spans="1:13" x14ac:dyDescent="0.35">
      <c r="A63" s="55">
        <v>1800006271</v>
      </c>
      <c r="B63" s="37">
        <v>256779411162</v>
      </c>
      <c r="C63" s="56" t="s">
        <v>57</v>
      </c>
      <c r="D63" s="57">
        <v>45762</v>
      </c>
      <c r="E63" s="56" t="s">
        <v>45</v>
      </c>
      <c r="F63" s="59">
        <v>35.25</v>
      </c>
      <c r="G63" s="56" t="s">
        <v>34</v>
      </c>
      <c r="H63" s="59">
        <v>3063.99</v>
      </c>
      <c r="I63" s="56" t="s">
        <v>99</v>
      </c>
      <c r="K63" s="74">
        <v>256779411161</v>
      </c>
      <c r="L63" s="73" t="s">
        <v>57</v>
      </c>
      <c r="M63" s="16">
        <v>46.76</v>
      </c>
    </row>
    <row r="64" spans="1:13" x14ac:dyDescent="0.35">
      <c r="A64" s="55">
        <v>1800006272</v>
      </c>
      <c r="B64" s="37">
        <v>256779411163</v>
      </c>
      <c r="C64" s="56" t="s">
        <v>57</v>
      </c>
      <c r="D64" s="57">
        <v>45762</v>
      </c>
      <c r="E64" s="56" t="s">
        <v>45</v>
      </c>
      <c r="F64" s="59">
        <v>24</v>
      </c>
      <c r="G64" s="56" t="s">
        <v>34</v>
      </c>
      <c r="H64" s="59">
        <v>2086.12</v>
      </c>
      <c r="I64" s="56" t="s">
        <v>99</v>
      </c>
      <c r="K64" s="74">
        <v>256779411162</v>
      </c>
      <c r="L64" s="73" t="s">
        <v>57</v>
      </c>
      <c r="M64" s="16">
        <v>35.25</v>
      </c>
    </row>
    <row r="65" spans="1:13" x14ac:dyDescent="0.35">
      <c r="A65" s="55">
        <v>1800006273</v>
      </c>
      <c r="B65" s="37">
        <v>256779411164</v>
      </c>
      <c r="C65" s="56" t="s">
        <v>57</v>
      </c>
      <c r="D65" s="57">
        <v>45762</v>
      </c>
      <c r="E65" s="56" t="s">
        <v>45</v>
      </c>
      <c r="F65" s="59">
        <v>33</v>
      </c>
      <c r="G65" s="56" t="s">
        <v>34</v>
      </c>
      <c r="H65" s="59">
        <v>2868.42</v>
      </c>
      <c r="I65" s="56" t="s">
        <v>99</v>
      </c>
      <c r="K65" s="74">
        <v>256779411163</v>
      </c>
      <c r="L65" s="73" t="s">
        <v>57</v>
      </c>
      <c r="M65" s="16">
        <v>24</v>
      </c>
    </row>
    <row r="66" spans="1:13" x14ac:dyDescent="0.35">
      <c r="A66" s="55">
        <v>1800006696</v>
      </c>
      <c r="B66" s="37">
        <v>256779411587</v>
      </c>
      <c r="C66" s="56" t="s">
        <v>57</v>
      </c>
      <c r="D66" s="57">
        <v>45762</v>
      </c>
      <c r="E66" s="56" t="s">
        <v>45</v>
      </c>
      <c r="F66" s="59">
        <v>2.25</v>
      </c>
      <c r="G66" s="56" t="s">
        <v>34</v>
      </c>
      <c r="H66" s="59">
        <v>195.57</v>
      </c>
      <c r="I66" s="56" t="s">
        <v>101</v>
      </c>
      <c r="K66" s="74">
        <v>256779411164</v>
      </c>
      <c r="L66" s="73" t="s">
        <v>57</v>
      </c>
      <c r="M66" s="16">
        <v>33</v>
      </c>
    </row>
    <row r="67" spans="1:13" x14ac:dyDescent="0.35">
      <c r="A67" s="55">
        <v>1800006697</v>
      </c>
      <c r="B67" s="37">
        <v>256779411588</v>
      </c>
      <c r="C67" s="56" t="s">
        <v>57</v>
      </c>
      <c r="D67" s="57">
        <v>45762</v>
      </c>
      <c r="E67" s="56" t="s">
        <v>45</v>
      </c>
      <c r="F67" s="59">
        <v>2.25</v>
      </c>
      <c r="G67" s="56" t="s">
        <v>34</v>
      </c>
      <c r="H67" s="59">
        <v>195.57</v>
      </c>
      <c r="I67" s="56" t="s">
        <v>101</v>
      </c>
      <c r="K67" s="74">
        <v>256779411587</v>
      </c>
      <c r="L67" s="73" t="s">
        <v>57</v>
      </c>
      <c r="M67" s="16">
        <v>2.25</v>
      </c>
    </row>
    <row r="68" spans="1:13" x14ac:dyDescent="0.35">
      <c r="A68" s="55">
        <v>1800006698</v>
      </c>
      <c r="B68" s="37">
        <v>256779411589</v>
      </c>
      <c r="C68" s="56" t="s">
        <v>57</v>
      </c>
      <c r="D68" s="57">
        <v>45762</v>
      </c>
      <c r="E68" s="56" t="s">
        <v>45</v>
      </c>
      <c r="F68" s="59">
        <v>3.38</v>
      </c>
      <c r="G68" s="56" t="s">
        <v>34</v>
      </c>
      <c r="H68" s="59">
        <v>293.8</v>
      </c>
      <c r="I68" s="56" t="s">
        <v>101</v>
      </c>
      <c r="K68" s="74">
        <v>256779411588</v>
      </c>
      <c r="L68" s="73" t="s">
        <v>57</v>
      </c>
      <c r="M68" s="16">
        <v>2.25</v>
      </c>
    </row>
    <row r="69" spans="1:13" x14ac:dyDescent="0.35">
      <c r="A69" s="55">
        <v>1800006699</v>
      </c>
      <c r="B69" s="37">
        <v>256779411590</v>
      </c>
      <c r="C69" s="56" t="s">
        <v>57</v>
      </c>
      <c r="D69" s="57">
        <v>45762</v>
      </c>
      <c r="E69" s="56" t="s">
        <v>45</v>
      </c>
      <c r="F69" s="59">
        <v>2.25</v>
      </c>
      <c r="G69" s="56" t="s">
        <v>34</v>
      </c>
      <c r="H69" s="59">
        <v>195.57</v>
      </c>
      <c r="I69" s="56" t="s">
        <v>101</v>
      </c>
      <c r="K69" s="74">
        <v>256779411589</v>
      </c>
      <c r="L69" s="73" t="s">
        <v>57</v>
      </c>
      <c r="M69" s="16">
        <v>3.38</v>
      </c>
    </row>
    <row r="70" spans="1:13" x14ac:dyDescent="0.35">
      <c r="A70" s="55">
        <v>1800006700</v>
      </c>
      <c r="B70" s="37">
        <v>256779411591</v>
      </c>
      <c r="C70" s="56" t="s">
        <v>57</v>
      </c>
      <c r="D70" s="57">
        <v>45762</v>
      </c>
      <c r="E70" s="56" t="s">
        <v>45</v>
      </c>
      <c r="F70" s="59">
        <v>3</v>
      </c>
      <c r="G70" s="56" t="s">
        <v>34</v>
      </c>
      <c r="H70" s="59">
        <v>260.77</v>
      </c>
      <c r="I70" s="56" t="s">
        <v>101</v>
      </c>
      <c r="K70" s="74">
        <v>256779411590</v>
      </c>
      <c r="L70" s="73" t="s">
        <v>57</v>
      </c>
      <c r="M70" s="16">
        <v>2.25</v>
      </c>
    </row>
    <row r="71" spans="1:13" x14ac:dyDescent="0.35">
      <c r="A71" s="55">
        <v>1800006701</v>
      </c>
      <c r="B71" s="37">
        <v>256779411592</v>
      </c>
      <c r="C71" s="56" t="s">
        <v>57</v>
      </c>
      <c r="D71" s="57">
        <v>45762</v>
      </c>
      <c r="E71" s="56" t="s">
        <v>45</v>
      </c>
      <c r="F71" s="59">
        <v>9.59</v>
      </c>
      <c r="G71" s="56" t="s">
        <v>34</v>
      </c>
      <c r="H71" s="59">
        <v>833.58</v>
      </c>
      <c r="I71" s="56" t="s">
        <v>101</v>
      </c>
      <c r="K71" s="74">
        <v>256779411591</v>
      </c>
      <c r="L71" s="73" t="s">
        <v>57</v>
      </c>
      <c r="M71" s="16">
        <v>3</v>
      </c>
    </row>
    <row r="72" spans="1:13" x14ac:dyDescent="0.35">
      <c r="A72" s="55">
        <v>1800006702</v>
      </c>
      <c r="B72" s="37">
        <v>256779411593</v>
      </c>
      <c r="C72" s="56" t="s">
        <v>57</v>
      </c>
      <c r="D72" s="57">
        <v>45762</v>
      </c>
      <c r="E72" s="56" t="s">
        <v>45</v>
      </c>
      <c r="F72" s="59">
        <v>3</v>
      </c>
      <c r="G72" s="56" t="s">
        <v>34</v>
      </c>
      <c r="H72" s="59">
        <v>260.77</v>
      </c>
      <c r="I72" s="56" t="s">
        <v>101</v>
      </c>
      <c r="K72" s="74">
        <v>256779411592</v>
      </c>
      <c r="L72" s="73" t="s">
        <v>57</v>
      </c>
      <c r="M72" s="16">
        <v>9.59</v>
      </c>
    </row>
    <row r="73" spans="1:13" x14ac:dyDescent="0.35">
      <c r="A73" s="55">
        <v>1800006703</v>
      </c>
      <c r="B73" s="37">
        <v>256779411594</v>
      </c>
      <c r="C73" s="56" t="s">
        <v>57</v>
      </c>
      <c r="D73" s="57">
        <v>45762</v>
      </c>
      <c r="E73" s="56" t="s">
        <v>45</v>
      </c>
      <c r="F73" s="59">
        <v>5.25</v>
      </c>
      <c r="G73" s="56" t="s">
        <v>34</v>
      </c>
      <c r="H73" s="59">
        <v>456.34</v>
      </c>
      <c r="I73" s="56" t="s">
        <v>101</v>
      </c>
      <c r="K73" s="74">
        <v>256779411593</v>
      </c>
      <c r="L73" s="73" t="s">
        <v>57</v>
      </c>
      <c r="M73" s="16">
        <v>3</v>
      </c>
    </row>
    <row r="74" spans="1:13" x14ac:dyDescent="0.35">
      <c r="A74" s="55">
        <v>1800006704</v>
      </c>
      <c r="B74" s="37">
        <v>256779411595</v>
      </c>
      <c r="C74" s="56" t="s">
        <v>57</v>
      </c>
      <c r="D74" s="57">
        <v>45762</v>
      </c>
      <c r="E74" s="56" t="s">
        <v>45</v>
      </c>
      <c r="F74" s="59">
        <v>62.35</v>
      </c>
      <c r="G74" s="56" t="s">
        <v>34</v>
      </c>
      <c r="H74" s="59">
        <v>5419.58</v>
      </c>
      <c r="I74" s="56" t="s">
        <v>101</v>
      </c>
      <c r="K74" s="74">
        <v>256779411594</v>
      </c>
      <c r="L74" s="73" t="s">
        <v>57</v>
      </c>
      <c r="M74" s="16">
        <v>5.25</v>
      </c>
    </row>
    <row r="75" spans="1:13" x14ac:dyDescent="0.35">
      <c r="A75" s="55">
        <v>1800006705</v>
      </c>
      <c r="B75" s="37">
        <v>256779411596</v>
      </c>
      <c r="C75" s="56" t="s">
        <v>57</v>
      </c>
      <c r="D75" s="57">
        <v>45762</v>
      </c>
      <c r="E75" s="56" t="s">
        <v>45</v>
      </c>
      <c r="F75" s="59">
        <v>13.88</v>
      </c>
      <c r="G75" s="56" t="s">
        <v>34</v>
      </c>
      <c r="H75" s="59">
        <v>1206.47</v>
      </c>
      <c r="I75" s="56" t="s">
        <v>101</v>
      </c>
      <c r="K75" s="74">
        <v>256779411595</v>
      </c>
      <c r="L75" s="73" t="s">
        <v>57</v>
      </c>
      <c r="M75" s="16">
        <v>62.35</v>
      </c>
    </row>
    <row r="76" spans="1:13" x14ac:dyDescent="0.35">
      <c r="A76" s="55">
        <v>1800006706</v>
      </c>
      <c r="B76" s="37">
        <v>256779411597</v>
      </c>
      <c r="C76" s="56" t="s">
        <v>57</v>
      </c>
      <c r="D76" s="57">
        <v>45762</v>
      </c>
      <c r="E76" s="56" t="s">
        <v>45</v>
      </c>
      <c r="F76" s="59">
        <v>19.95</v>
      </c>
      <c r="G76" s="56" t="s">
        <v>34</v>
      </c>
      <c r="H76" s="59">
        <v>1734.09</v>
      </c>
      <c r="I76" s="56" t="s">
        <v>101</v>
      </c>
      <c r="K76" s="74">
        <v>256779411596</v>
      </c>
      <c r="L76" s="73" t="s">
        <v>57</v>
      </c>
      <c r="M76" s="16">
        <v>13.88</v>
      </c>
    </row>
    <row r="77" spans="1:13" x14ac:dyDescent="0.35">
      <c r="A77" s="55">
        <v>1800006920</v>
      </c>
      <c r="B77" s="37">
        <v>256779411811</v>
      </c>
      <c r="C77" s="56" t="s">
        <v>57</v>
      </c>
      <c r="D77" s="57">
        <v>45763</v>
      </c>
      <c r="E77" s="56" t="s">
        <v>45</v>
      </c>
      <c r="F77" s="59">
        <v>3.24</v>
      </c>
      <c r="G77" s="56" t="s">
        <v>34</v>
      </c>
      <c r="H77" s="59">
        <v>281.63</v>
      </c>
      <c r="I77" s="56" t="s">
        <v>81</v>
      </c>
      <c r="K77" s="74">
        <v>256779411597</v>
      </c>
      <c r="L77" s="73" t="s">
        <v>57</v>
      </c>
      <c r="M77" s="16">
        <v>19.95</v>
      </c>
    </row>
    <row r="78" spans="1:13" x14ac:dyDescent="0.35">
      <c r="A78" s="55">
        <v>1800006921</v>
      </c>
      <c r="B78" s="37">
        <v>256779411812</v>
      </c>
      <c r="C78" s="56" t="s">
        <v>57</v>
      </c>
      <c r="D78" s="57">
        <v>45763</v>
      </c>
      <c r="E78" s="56" t="s">
        <v>45</v>
      </c>
      <c r="F78" s="59">
        <v>15</v>
      </c>
      <c r="G78" s="56" t="s">
        <v>34</v>
      </c>
      <c r="H78" s="59">
        <v>1303.83</v>
      </c>
      <c r="I78" s="56" t="s">
        <v>102</v>
      </c>
      <c r="K78" s="74">
        <v>256779411811</v>
      </c>
      <c r="L78" s="73" t="s">
        <v>57</v>
      </c>
      <c r="M78" s="16">
        <v>3.24</v>
      </c>
    </row>
    <row r="79" spans="1:13" x14ac:dyDescent="0.35">
      <c r="A79" s="55">
        <v>1800006999</v>
      </c>
      <c r="B79" s="37">
        <v>256779411890</v>
      </c>
      <c r="C79" s="56" t="s">
        <v>57</v>
      </c>
      <c r="D79" s="57">
        <v>45763</v>
      </c>
      <c r="E79" s="56" t="s">
        <v>45</v>
      </c>
      <c r="F79" s="59">
        <v>24.75</v>
      </c>
      <c r="G79" s="56" t="s">
        <v>34</v>
      </c>
      <c r="H79" s="59">
        <v>2151.3200000000002</v>
      </c>
      <c r="I79" s="56" t="s">
        <v>103</v>
      </c>
      <c r="K79" s="74">
        <v>256779411812</v>
      </c>
      <c r="L79" s="73" t="s">
        <v>57</v>
      </c>
      <c r="M79" s="16">
        <v>15</v>
      </c>
    </row>
    <row r="80" spans="1:13" x14ac:dyDescent="0.35">
      <c r="A80" s="55">
        <v>1800007000</v>
      </c>
      <c r="B80" s="37">
        <v>256779411891</v>
      </c>
      <c r="C80" s="56" t="s">
        <v>57</v>
      </c>
      <c r="D80" s="57">
        <v>45763</v>
      </c>
      <c r="E80" s="56" t="s">
        <v>45</v>
      </c>
      <c r="F80" s="59">
        <v>2.25</v>
      </c>
      <c r="G80" s="56" t="s">
        <v>34</v>
      </c>
      <c r="H80" s="59">
        <v>195.57</v>
      </c>
      <c r="I80" s="56" t="s">
        <v>104</v>
      </c>
      <c r="K80" s="74">
        <v>256779411890</v>
      </c>
      <c r="L80" s="73" t="s">
        <v>57</v>
      </c>
      <c r="M80" s="16">
        <v>24.75</v>
      </c>
    </row>
    <row r="81" spans="1:13" x14ac:dyDescent="0.35">
      <c r="A81" s="55">
        <v>1800007212</v>
      </c>
      <c r="B81" s="37">
        <v>256779412103</v>
      </c>
      <c r="C81" s="56" t="s">
        <v>57</v>
      </c>
      <c r="D81" s="57">
        <v>45763</v>
      </c>
      <c r="E81" s="56" t="s">
        <v>45</v>
      </c>
      <c r="F81" s="59">
        <v>42.53</v>
      </c>
      <c r="G81" s="56" t="s">
        <v>34</v>
      </c>
      <c r="H81" s="59">
        <v>3696.79</v>
      </c>
      <c r="I81" s="56" t="s">
        <v>105</v>
      </c>
      <c r="K81" s="74">
        <v>256779411891</v>
      </c>
      <c r="L81" s="73" t="s">
        <v>57</v>
      </c>
      <c r="M81" s="16">
        <v>2.25</v>
      </c>
    </row>
    <row r="82" spans="1:13" x14ac:dyDescent="0.35">
      <c r="A82" s="55">
        <v>1800007222</v>
      </c>
      <c r="B82" s="37">
        <v>256779412113</v>
      </c>
      <c r="C82" s="56" t="s">
        <v>57</v>
      </c>
      <c r="D82" s="57">
        <v>45763</v>
      </c>
      <c r="E82" s="56" t="s">
        <v>45</v>
      </c>
      <c r="F82" s="59">
        <v>827.48</v>
      </c>
      <c r="G82" s="56" t="s">
        <v>34</v>
      </c>
      <c r="H82" s="59">
        <v>71926.070000000007</v>
      </c>
      <c r="I82" s="56" t="s">
        <v>106</v>
      </c>
      <c r="K82" s="74">
        <v>256779412103</v>
      </c>
      <c r="L82" s="73" t="s">
        <v>57</v>
      </c>
      <c r="M82" s="16">
        <v>42.53</v>
      </c>
    </row>
    <row r="83" spans="1:13" x14ac:dyDescent="0.35">
      <c r="A83" s="55">
        <v>1800007262</v>
      </c>
      <c r="B83" s="37">
        <v>256779412153</v>
      </c>
      <c r="C83" s="56" t="s">
        <v>57</v>
      </c>
      <c r="D83" s="57">
        <v>45768</v>
      </c>
      <c r="E83" s="56" t="s">
        <v>45</v>
      </c>
      <c r="F83" s="59">
        <v>1165.3699999999999</v>
      </c>
      <c r="G83" s="56" t="s">
        <v>34</v>
      </c>
      <c r="H83" s="59">
        <v>100000.4</v>
      </c>
      <c r="I83" s="56" t="s">
        <v>187</v>
      </c>
      <c r="K83" s="74">
        <v>256779412113</v>
      </c>
      <c r="L83" s="73" t="s">
        <v>57</v>
      </c>
      <c r="M83" s="16">
        <v>827.48</v>
      </c>
    </row>
    <row r="84" spans="1:13" x14ac:dyDescent="0.35">
      <c r="A84" s="55">
        <v>1800007726</v>
      </c>
      <c r="B84" s="37">
        <v>256779412617</v>
      </c>
      <c r="C84" s="56" t="s">
        <v>57</v>
      </c>
      <c r="D84" s="57">
        <v>45769</v>
      </c>
      <c r="E84" s="56" t="s">
        <v>45</v>
      </c>
      <c r="F84" s="59">
        <v>384.63</v>
      </c>
      <c r="G84" s="56" t="s">
        <v>34</v>
      </c>
      <c r="H84" s="59">
        <v>33432.74</v>
      </c>
      <c r="I84" s="56" t="s">
        <v>196</v>
      </c>
      <c r="K84" s="74">
        <v>256779412153</v>
      </c>
      <c r="L84" s="73" t="s">
        <v>57</v>
      </c>
      <c r="M84" s="16">
        <v>1165.3699999999999</v>
      </c>
    </row>
    <row r="85" spans="1:13" x14ac:dyDescent="0.35">
      <c r="A85" s="55">
        <v>1800007769</v>
      </c>
      <c r="B85" s="37">
        <v>256779412660</v>
      </c>
      <c r="C85" s="56" t="s">
        <v>57</v>
      </c>
      <c r="D85" s="57">
        <v>45769</v>
      </c>
      <c r="E85" s="56" t="s">
        <v>45</v>
      </c>
      <c r="F85" s="59">
        <v>7.5</v>
      </c>
      <c r="G85" s="56" t="s">
        <v>34</v>
      </c>
      <c r="H85" s="59">
        <v>651.91</v>
      </c>
      <c r="I85" s="56" t="s">
        <v>197</v>
      </c>
      <c r="K85" s="74">
        <v>256779412617</v>
      </c>
      <c r="L85" s="73" t="s">
        <v>57</v>
      </c>
      <c r="M85" s="16">
        <v>384.63</v>
      </c>
    </row>
    <row r="86" spans="1:13" x14ac:dyDescent="0.35">
      <c r="A86" s="55">
        <v>1800008041</v>
      </c>
      <c r="B86" s="37">
        <v>256779412932</v>
      </c>
      <c r="C86" s="56" t="s">
        <v>57</v>
      </c>
      <c r="D86" s="57">
        <v>45770</v>
      </c>
      <c r="E86" s="56" t="s">
        <v>45</v>
      </c>
      <c r="F86" s="59">
        <v>66.86</v>
      </c>
      <c r="G86" s="56" t="s">
        <v>34</v>
      </c>
      <c r="H86" s="59">
        <v>5811.59</v>
      </c>
      <c r="I86" s="56" t="s">
        <v>200</v>
      </c>
      <c r="K86" s="74">
        <v>256779412660</v>
      </c>
      <c r="L86" s="73" t="s">
        <v>57</v>
      </c>
      <c r="M86" s="16">
        <v>7.5</v>
      </c>
    </row>
    <row r="87" spans="1:13" x14ac:dyDescent="0.35">
      <c r="A87" s="55">
        <v>1800008258</v>
      </c>
      <c r="B87" s="37">
        <v>256779413142</v>
      </c>
      <c r="C87" s="56" t="s">
        <v>57</v>
      </c>
      <c r="D87" s="57">
        <v>45787</v>
      </c>
      <c r="E87" s="56" t="s">
        <v>45</v>
      </c>
      <c r="F87" s="60">
        <v>1162.7906976744187</v>
      </c>
      <c r="G87" s="56" t="s">
        <v>34</v>
      </c>
      <c r="H87" s="59">
        <v>100000</v>
      </c>
      <c r="I87" s="56" t="s">
        <v>59</v>
      </c>
      <c r="K87" s="74">
        <v>256779412932</v>
      </c>
      <c r="L87" s="73" t="s">
        <v>57</v>
      </c>
      <c r="M87" s="16">
        <v>66.86</v>
      </c>
    </row>
    <row r="88" spans="1:13" x14ac:dyDescent="0.35">
      <c r="A88" s="55">
        <v>1600000602</v>
      </c>
      <c r="B88" s="37">
        <v>256779420311</v>
      </c>
      <c r="C88" s="56" t="s">
        <v>82</v>
      </c>
      <c r="D88" s="57">
        <v>45791</v>
      </c>
      <c r="E88" s="56" t="s">
        <v>45</v>
      </c>
      <c r="F88" s="59">
        <v>-1.91</v>
      </c>
      <c r="G88" s="56" t="s">
        <v>34</v>
      </c>
      <c r="H88" s="59">
        <v>-165.58</v>
      </c>
      <c r="I88" s="56" t="s">
        <v>141</v>
      </c>
      <c r="K88" s="74">
        <v>256779413142</v>
      </c>
      <c r="L88" s="73" t="s">
        <v>57</v>
      </c>
      <c r="M88" s="16">
        <v>1162.7906976744187</v>
      </c>
    </row>
    <row r="89" spans="1:13" x14ac:dyDescent="0.35">
      <c r="A89" s="55">
        <v>1600000598</v>
      </c>
      <c r="B89" s="37">
        <v>256779420307</v>
      </c>
      <c r="C89" s="56" t="s">
        <v>82</v>
      </c>
      <c r="D89" s="57">
        <v>45791</v>
      </c>
      <c r="E89" s="56" t="s">
        <v>45</v>
      </c>
      <c r="F89" s="59">
        <v>-2.86</v>
      </c>
      <c r="G89" s="56" t="s">
        <v>34</v>
      </c>
      <c r="H89" s="59">
        <v>-247.94</v>
      </c>
      <c r="I89" s="56" t="s">
        <v>142</v>
      </c>
      <c r="K89" s="74">
        <v>256779413272</v>
      </c>
      <c r="L89" s="73" t="s">
        <v>57</v>
      </c>
      <c r="M89" s="16">
        <v>25.28</v>
      </c>
    </row>
    <row r="90" spans="1:13" x14ac:dyDescent="0.35">
      <c r="A90" s="55">
        <v>1600000599</v>
      </c>
      <c r="B90" s="37">
        <v>256779420308</v>
      </c>
      <c r="C90" s="56" t="s">
        <v>82</v>
      </c>
      <c r="D90" s="57">
        <v>45791</v>
      </c>
      <c r="E90" s="56" t="s">
        <v>45</v>
      </c>
      <c r="F90" s="59">
        <v>-0.95</v>
      </c>
      <c r="G90" s="56" t="s">
        <v>34</v>
      </c>
      <c r="H90" s="59">
        <v>-82.36</v>
      </c>
      <c r="I90" s="56" t="s">
        <v>143</v>
      </c>
      <c r="K90" s="74">
        <v>256779413361</v>
      </c>
      <c r="L90" s="73" t="s">
        <v>57</v>
      </c>
      <c r="M90" s="16">
        <v>3</v>
      </c>
    </row>
    <row r="91" spans="1:13" x14ac:dyDescent="0.35">
      <c r="A91" s="55">
        <v>1600000600</v>
      </c>
      <c r="B91" s="37">
        <v>256779420309</v>
      </c>
      <c r="C91" s="56" t="s">
        <v>82</v>
      </c>
      <c r="D91" s="57">
        <v>45791</v>
      </c>
      <c r="E91" s="56" t="s">
        <v>45</v>
      </c>
      <c r="F91" s="59">
        <v>-4.7699999999999996</v>
      </c>
      <c r="G91" s="56" t="s">
        <v>34</v>
      </c>
      <c r="H91" s="59">
        <v>-413.52</v>
      </c>
      <c r="I91" s="56" t="s">
        <v>144</v>
      </c>
      <c r="K91" s="74">
        <v>256779413490</v>
      </c>
      <c r="L91" s="73" t="s">
        <v>57</v>
      </c>
      <c r="M91" s="16">
        <v>3</v>
      </c>
    </row>
    <row r="92" spans="1:13" x14ac:dyDescent="0.35">
      <c r="A92" s="55">
        <v>1600000601</v>
      </c>
      <c r="B92" s="37">
        <v>256779420310</v>
      </c>
      <c r="C92" s="56" t="s">
        <v>82</v>
      </c>
      <c r="D92" s="57">
        <v>45791</v>
      </c>
      <c r="E92" s="56" t="s">
        <v>45</v>
      </c>
      <c r="F92" s="59">
        <v>-1.91</v>
      </c>
      <c r="G92" s="56" t="s">
        <v>34</v>
      </c>
      <c r="H92" s="59">
        <v>-165.58</v>
      </c>
      <c r="I92" s="56" t="s">
        <v>145</v>
      </c>
      <c r="K92" s="74">
        <v>256779413893</v>
      </c>
      <c r="L92" s="73" t="s">
        <v>57</v>
      </c>
      <c r="M92" s="16">
        <v>797.57</v>
      </c>
    </row>
    <row r="93" spans="1:13" x14ac:dyDescent="0.35">
      <c r="A93" s="55">
        <v>1600000603</v>
      </c>
      <c r="B93" s="37">
        <v>256779420312</v>
      </c>
      <c r="C93" s="56" t="s">
        <v>82</v>
      </c>
      <c r="D93" s="57">
        <v>45791</v>
      </c>
      <c r="E93" s="56" t="s">
        <v>45</v>
      </c>
      <c r="F93" s="59">
        <v>-4.7699999999999996</v>
      </c>
      <c r="G93" s="56" t="s">
        <v>34</v>
      </c>
      <c r="H93" s="59">
        <v>-413.52</v>
      </c>
      <c r="I93" s="56" t="s">
        <v>146</v>
      </c>
      <c r="K93" s="74">
        <v>256779414003</v>
      </c>
      <c r="L93" s="73" t="s">
        <v>57</v>
      </c>
      <c r="M93" s="16">
        <v>807.39</v>
      </c>
    </row>
    <row r="94" spans="1:13" x14ac:dyDescent="0.35">
      <c r="A94" s="55">
        <v>1600000780</v>
      </c>
      <c r="B94" s="37">
        <v>256779420489</v>
      </c>
      <c r="C94" s="56" t="s">
        <v>82</v>
      </c>
      <c r="D94" s="57">
        <v>45791</v>
      </c>
      <c r="E94" s="56" t="s">
        <v>45</v>
      </c>
      <c r="F94" s="59">
        <v>-1166.5899999999999</v>
      </c>
      <c r="G94" s="56" t="s">
        <v>34</v>
      </c>
      <c r="H94" s="59">
        <v>-101402.13</v>
      </c>
      <c r="I94" s="56" t="s">
        <v>147</v>
      </c>
      <c r="K94" s="74">
        <v>256779414004</v>
      </c>
      <c r="L94" s="73" t="s">
        <v>57</v>
      </c>
      <c r="M94" s="16">
        <v>808.16</v>
      </c>
    </row>
    <row r="95" spans="1:13" x14ac:dyDescent="0.35">
      <c r="A95" s="55">
        <v>1600000814</v>
      </c>
      <c r="B95" s="37">
        <v>256779420523</v>
      </c>
      <c r="C95" s="56" t="s">
        <v>82</v>
      </c>
      <c r="D95" s="57">
        <v>45791</v>
      </c>
      <c r="E95" s="56" t="s">
        <v>45</v>
      </c>
      <c r="F95" s="59">
        <v>-1143.1199999999999</v>
      </c>
      <c r="G95" s="56" t="s">
        <v>34</v>
      </c>
      <c r="H95" s="59">
        <v>-99362.07</v>
      </c>
      <c r="I95" s="56" t="s">
        <v>148</v>
      </c>
      <c r="K95" s="74">
        <v>256779414005</v>
      </c>
      <c r="L95" s="73" t="s">
        <v>57</v>
      </c>
      <c r="M95" s="16">
        <v>805.28</v>
      </c>
    </row>
    <row r="96" spans="1:13" x14ac:dyDescent="0.35">
      <c r="A96" s="55">
        <v>1800008504</v>
      </c>
      <c r="B96" s="37">
        <v>256779413272</v>
      </c>
      <c r="C96" s="56" t="s">
        <v>57</v>
      </c>
      <c r="D96" s="57">
        <v>45793</v>
      </c>
      <c r="E96" s="56" t="s">
        <v>45</v>
      </c>
      <c r="F96" s="59">
        <v>25.28</v>
      </c>
      <c r="G96" s="56" t="s">
        <v>34</v>
      </c>
      <c r="H96" s="59">
        <v>2173.67</v>
      </c>
      <c r="I96" s="56" t="s">
        <v>149</v>
      </c>
      <c r="K96" s="74">
        <v>256779414006</v>
      </c>
      <c r="L96" s="73" t="s">
        <v>57</v>
      </c>
      <c r="M96" s="16">
        <v>801.47</v>
      </c>
    </row>
    <row r="97" spans="1:13" x14ac:dyDescent="0.35">
      <c r="A97" s="55">
        <v>1800008597</v>
      </c>
      <c r="B97" s="37">
        <v>256779413361</v>
      </c>
      <c r="C97" s="56" t="s">
        <v>57</v>
      </c>
      <c r="D97" s="57">
        <v>45793</v>
      </c>
      <c r="E97" s="56" t="s">
        <v>45</v>
      </c>
      <c r="F97" s="59">
        <v>3</v>
      </c>
      <c r="G97" s="56" t="s">
        <v>34</v>
      </c>
      <c r="H97" s="59">
        <v>257.95</v>
      </c>
      <c r="I97" s="56" t="s">
        <v>150</v>
      </c>
      <c r="K97" s="74">
        <v>256779414007</v>
      </c>
      <c r="L97" s="73" t="s">
        <v>57</v>
      </c>
      <c r="M97" s="16">
        <v>790.89</v>
      </c>
    </row>
    <row r="98" spans="1:13" x14ac:dyDescent="0.35">
      <c r="A98" s="55">
        <v>1800008726</v>
      </c>
      <c r="B98" s="37">
        <v>256779413490</v>
      </c>
      <c r="C98" s="56" t="s">
        <v>57</v>
      </c>
      <c r="D98" s="57">
        <v>45797</v>
      </c>
      <c r="E98" s="56" t="s">
        <v>45</v>
      </c>
      <c r="F98" s="59">
        <v>3</v>
      </c>
      <c r="G98" s="56" t="s">
        <v>34</v>
      </c>
      <c r="H98" s="59">
        <v>257.95</v>
      </c>
      <c r="I98" s="56" t="s">
        <v>179</v>
      </c>
      <c r="K98" s="74">
        <v>256779414234</v>
      </c>
      <c r="L98" s="73" t="s">
        <v>57</v>
      </c>
      <c r="M98" s="16">
        <v>925.23</v>
      </c>
    </row>
    <row r="99" spans="1:13" x14ac:dyDescent="0.35">
      <c r="A99" s="55">
        <v>1800009129</v>
      </c>
      <c r="B99" s="37">
        <v>256779413893</v>
      </c>
      <c r="C99" s="56" t="s">
        <v>57</v>
      </c>
      <c r="D99" s="57">
        <v>45805</v>
      </c>
      <c r="E99" s="56" t="s">
        <v>45</v>
      </c>
      <c r="F99" s="59">
        <v>797.57</v>
      </c>
      <c r="G99" s="56" t="s">
        <v>34</v>
      </c>
      <c r="H99" s="59">
        <v>68578.02</v>
      </c>
      <c r="I99" s="56" t="s">
        <v>151</v>
      </c>
      <c r="K99" s="74">
        <v>256779414354</v>
      </c>
      <c r="L99" s="73" t="s">
        <v>57</v>
      </c>
      <c r="M99" s="16">
        <v>1169.5906432748538</v>
      </c>
    </row>
    <row r="100" spans="1:13" x14ac:dyDescent="0.35">
      <c r="A100" s="55">
        <v>1800009239</v>
      </c>
      <c r="B100" s="37">
        <v>256779414003</v>
      </c>
      <c r="C100" s="56" t="s">
        <v>57</v>
      </c>
      <c r="D100" s="57">
        <v>45812</v>
      </c>
      <c r="E100" s="56" t="s">
        <v>45</v>
      </c>
      <c r="F100" s="59">
        <v>807.39</v>
      </c>
      <c r="G100" s="56" t="s">
        <v>34</v>
      </c>
      <c r="H100" s="59">
        <v>69024.399999999994</v>
      </c>
      <c r="I100" s="56" t="s">
        <v>136</v>
      </c>
      <c r="K100" s="74">
        <v>256779414435</v>
      </c>
      <c r="L100" s="73" t="s">
        <v>57</v>
      </c>
      <c r="M100" s="16">
        <v>1190.48</v>
      </c>
    </row>
    <row r="101" spans="1:13" x14ac:dyDescent="0.35">
      <c r="A101" s="55">
        <v>1800009240</v>
      </c>
      <c r="B101" s="37">
        <v>256779414004</v>
      </c>
      <c r="C101" s="56" t="s">
        <v>57</v>
      </c>
      <c r="D101" s="57">
        <v>45812</v>
      </c>
      <c r="E101" s="56" t="s">
        <v>45</v>
      </c>
      <c r="F101" s="59">
        <v>808.16</v>
      </c>
      <c r="G101" s="56" t="s">
        <v>34</v>
      </c>
      <c r="H101" s="59">
        <v>69090.23</v>
      </c>
      <c r="I101" s="56" t="s">
        <v>137</v>
      </c>
      <c r="K101" s="74">
        <v>256779414833</v>
      </c>
      <c r="L101" s="73" t="s">
        <v>57</v>
      </c>
      <c r="M101" s="16">
        <v>3</v>
      </c>
    </row>
    <row r="102" spans="1:13" x14ac:dyDescent="0.35">
      <c r="A102" s="55">
        <v>1800009241</v>
      </c>
      <c r="B102" s="37">
        <v>256779414005</v>
      </c>
      <c r="C102" s="56" t="s">
        <v>57</v>
      </c>
      <c r="D102" s="57">
        <v>45812</v>
      </c>
      <c r="E102" s="56" t="s">
        <v>45</v>
      </c>
      <c r="F102" s="59">
        <v>805.28</v>
      </c>
      <c r="G102" s="56" t="s">
        <v>34</v>
      </c>
      <c r="H102" s="59">
        <v>68844.02</v>
      </c>
      <c r="I102" s="56" t="s">
        <v>138</v>
      </c>
      <c r="K102" s="74">
        <v>256779414912</v>
      </c>
      <c r="L102" s="73" t="s">
        <v>57</v>
      </c>
      <c r="M102" s="16">
        <v>1162.7906976744187</v>
      </c>
    </row>
    <row r="103" spans="1:13" x14ac:dyDescent="0.35">
      <c r="A103" s="55">
        <v>1800009242</v>
      </c>
      <c r="B103" s="37">
        <v>256779414006</v>
      </c>
      <c r="C103" s="56" t="s">
        <v>57</v>
      </c>
      <c r="D103" s="57">
        <v>45812</v>
      </c>
      <c r="E103" s="56" t="s">
        <v>45</v>
      </c>
      <c r="F103" s="59">
        <v>801.47</v>
      </c>
      <c r="G103" s="56" t="s">
        <v>34</v>
      </c>
      <c r="H103" s="59">
        <v>68518.3</v>
      </c>
      <c r="I103" s="56" t="s">
        <v>139</v>
      </c>
      <c r="K103" s="74">
        <v>256779415190</v>
      </c>
      <c r="L103" s="73" t="s">
        <v>57</v>
      </c>
      <c r="M103" s="16">
        <v>690.7</v>
      </c>
    </row>
    <row r="104" spans="1:13" x14ac:dyDescent="0.35">
      <c r="A104" s="55">
        <v>1800009243</v>
      </c>
      <c r="B104" s="37">
        <v>256779414007</v>
      </c>
      <c r="C104" s="56" t="s">
        <v>57</v>
      </c>
      <c r="D104" s="57">
        <v>45812</v>
      </c>
      <c r="E104" s="56" t="s">
        <v>45</v>
      </c>
      <c r="F104" s="59">
        <v>790.89</v>
      </c>
      <c r="G104" s="56" t="s">
        <v>34</v>
      </c>
      <c r="H104" s="59">
        <v>67613.8</v>
      </c>
      <c r="I104" s="56" t="s">
        <v>140</v>
      </c>
      <c r="K104" s="74">
        <v>256779415485</v>
      </c>
      <c r="L104" s="73" t="s">
        <v>57</v>
      </c>
      <c r="M104" s="16">
        <v>17.25</v>
      </c>
    </row>
    <row r="105" spans="1:13" x14ac:dyDescent="0.35">
      <c r="A105" s="55">
        <v>1800009470</v>
      </c>
      <c r="B105" s="37">
        <v>256779414234</v>
      </c>
      <c r="C105" s="56" t="s">
        <v>57</v>
      </c>
      <c r="D105" s="57">
        <v>45815</v>
      </c>
      <c r="E105" s="56" t="s">
        <v>45</v>
      </c>
      <c r="F105" s="59">
        <v>925.23</v>
      </c>
      <c r="G105" s="56" t="s">
        <v>34</v>
      </c>
      <c r="H105" s="59">
        <v>79098.63</v>
      </c>
      <c r="I105" s="56" t="s">
        <v>210</v>
      </c>
      <c r="K105" s="74">
        <v>256779415490</v>
      </c>
      <c r="L105" s="73" t="s">
        <v>57</v>
      </c>
      <c r="M105" s="16">
        <v>17.25</v>
      </c>
    </row>
    <row r="106" spans="1:13" x14ac:dyDescent="0.35">
      <c r="A106" s="55">
        <v>1800009590</v>
      </c>
      <c r="B106" s="37">
        <v>256779414354</v>
      </c>
      <c r="C106" s="56" t="s">
        <v>57</v>
      </c>
      <c r="D106" s="57">
        <v>45818</v>
      </c>
      <c r="E106" s="56" t="s">
        <v>45</v>
      </c>
      <c r="F106" s="60">
        <v>1169.5906432748538</v>
      </c>
      <c r="G106" s="56" t="s">
        <v>34</v>
      </c>
      <c r="H106" s="59">
        <v>100000</v>
      </c>
      <c r="I106" s="56" t="s">
        <v>60</v>
      </c>
      <c r="K106" s="74">
        <v>256779415533</v>
      </c>
      <c r="L106" s="73" t="s">
        <v>57</v>
      </c>
      <c r="M106" s="16">
        <v>21.75</v>
      </c>
    </row>
    <row r="107" spans="1:13" x14ac:dyDescent="0.35">
      <c r="A107" s="55">
        <v>1800009671</v>
      </c>
      <c r="B107" s="37">
        <v>256779414435</v>
      </c>
      <c r="C107" s="56" t="s">
        <v>57</v>
      </c>
      <c r="D107" s="57">
        <v>45826</v>
      </c>
      <c r="E107" s="56" t="s">
        <v>45</v>
      </c>
      <c r="F107" s="59">
        <v>1190.48</v>
      </c>
      <c r="G107" s="56" t="s">
        <v>34</v>
      </c>
      <c r="H107" s="59">
        <v>101775.06</v>
      </c>
      <c r="I107" s="56" t="s">
        <v>168</v>
      </c>
      <c r="K107" s="74">
        <v>256779415772</v>
      </c>
      <c r="L107" s="73" t="s">
        <v>57</v>
      </c>
      <c r="M107" s="16">
        <v>59.43</v>
      </c>
    </row>
    <row r="108" spans="1:13" x14ac:dyDescent="0.35">
      <c r="A108" s="55">
        <v>1800010152</v>
      </c>
      <c r="B108" s="37">
        <v>256779414912</v>
      </c>
      <c r="C108" s="56" t="s">
        <v>57</v>
      </c>
      <c r="D108" s="57">
        <v>45842</v>
      </c>
      <c r="E108" s="56" t="s">
        <v>45</v>
      </c>
      <c r="F108" s="60">
        <v>1162.7906976744187</v>
      </c>
      <c r="G108" s="56" t="s">
        <v>34</v>
      </c>
      <c r="H108" s="59">
        <v>100000</v>
      </c>
      <c r="I108" s="56" t="s">
        <v>61</v>
      </c>
      <c r="K108" s="74">
        <v>256779415805</v>
      </c>
      <c r="L108" s="73" t="s">
        <v>57</v>
      </c>
      <c r="M108" s="16">
        <v>17.25</v>
      </c>
    </row>
    <row r="109" spans="1:13" x14ac:dyDescent="0.35">
      <c r="A109" s="55">
        <v>1800010069</v>
      </c>
      <c r="B109" s="37">
        <v>256779414833</v>
      </c>
      <c r="C109" s="56" t="s">
        <v>57</v>
      </c>
      <c r="D109" s="57">
        <v>45842</v>
      </c>
      <c r="E109" s="56" t="s">
        <v>45</v>
      </c>
      <c r="F109" s="59">
        <v>3</v>
      </c>
      <c r="G109" s="56" t="s">
        <v>34</v>
      </c>
      <c r="H109" s="59">
        <v>258</v>
      </c>
      <c r="I109" s="56" t="s">
        <v>114</v>
      </c>
      <c r="K109" s="74">
        <v>256779415810</v>
      </c>
      <c r="L109" s="73" t="s">
        <v>57</v>
      </c>
      <c r="M109" s="16">
        <v>17.25</v>
      </c>
    </row>
    <row r="110" spans="1:13" x14ac:dyDescent="0.35">
      <c r="A110" s="55">
        <v>1800010430</v>
      </c>
      <c r="B110" s="37">
        <v>256779415190</v>
      </c>
      <c r="C110" s="56" t="s">
        <v>57</v>
      </c>
      <c r="D110" s="57">
        <v>45842</v>
      </c>
      <c r="E110" s="56" t="s">
        <v>45</v>
      </c>
      <c r="F110" s="59">
        <v>690.7</v>
      </c>
      <c r="G110" s="56" t="s">
        <v>34</v>
      </c>
      <c r="H110" s="59">
        <v>59400.66</v>
      </c>
      <c r="I110" s="56" t="s">
        <v>115</v>
      </c>
      <c r="K110" s="74">
        <v>256779416024</v>
      </c>
      <c r="L110" s="73" t="s">
        <v>57</v>
      </c>
      <c r="M110" s="16">
        <v>1162.7906976744187</v>
      </c>
    </row>
    <row r="111" spans="1:13" x14ac:dyDescent="0.35">
      <c r="A111" s="55">
        <v>1800010701</v>
      </c>
      <c r="B111" s="37">
        <v>256779415485</v>
      </c>
      <c r="C111" s="56" t="s">
        <v>57</v>
      </c>
      <c r="D111" s="57">
        <v>45856</v>
      </c>
      <c r="E111" s="56" t="s">
        <v>45</v>
      </c>
      <c r="F111" s="59">
        <v>17.25</v>
      </c>
      <c r="G111" s="56" t="s">
        <v>34</v>
      </c>
      <c r="H111" s="59">
        <v>1483.51</v>
      </c>
      <c r="I111" s="56" t="s">
        <v>152</v>
      </c>
      <c r="K111" s="74">
        <v>256779416082</v>
      </c>
      <c r="L111" s="73" t="s">
        <v>57</v>
      </c>
      <c r="M111" s="16">
        <v>759.67</v>
      </c>
    </row>
    <row r="112" spans="1:13" x14ac:dyDescent="0.35">
      <c r="A112" s="55">
        <v>1800010749</v>
      </c>
      <c r="B112" s="37">
        <v>256779415533</v>
      </c>
      <c r="C112" s="56" t="s">
        <v>57</v>
      </c>
      <c r="D112" s="57">
        <v>45856</v>
      </c>
      <c r="E112" s="56" t="s">
        <v>45</v>
      </c>
      <c r="F112" s="59">
        <v>21.75</v>
      </c>
      <c r="G112" s="56" t="s">
        <v>34</v>
      </c>
      <c r="H112" s="59">
        <v>1870.51</v>
      </c>
      <c r="I112" s="56" t="s">
        <v>153</v>
      </c>
      <c r="K112" s="74">
        <v>256779416182</v>
      </c>
      <c r="L112" s="73" t="s">
        <v>57</v>
      </c>
      <c r="M112" s="16">
        <v>18</v>
      </c>
    </row>
    <row r="113" spans="1:13" x14ac:dyDescent="0.35">
      <c r="A113" s="55">
        <v>1800010706</v>
      </c>
      <c r="B113" s="37">
        <v>256779415490</v>
      </c>
      <c r="C113" s="56" t="s">
        <v>57</v>
      </c>
      <c r="D113" s="57">
        <v>45856</v>
      </c>
      <c r="E113" s="56" t="s">
        <v>45</v>
      </c>
      <c r="F113" s="59">
        <v>17.25</v>
      </c>
      <c r="G113" s="56" t="s">
        <v>34</v>
      </c>
      <c r="H113" s="59">
        <v>1483.51</v>
      </c>
      <c r="I113" s="56" t="s">
        <v>152</v>
      </c>
      <c r="K113" s="74">
        <v>256779416228</v>
      </c>
      <c r="L113" s="73" t="s">
        <v>57</v>
      </c>
      <c r="M113" s="16">
        <v>3</v>
      </c>
    </row>
    <row r="114" spans="1:13" x14ac:dyDescent="0.35">
      <c r="A114" s="55">
        <v>1800011045</v>
      </c>
      <c r="B114" s="37">
        <v>256779415805</v>
      </c>
      <c r="C114" s="56" t="s">
        <v>57</v>
      </c>
      <c r="D114" s="57">
        <v>45856</v>
      </c>
      <c r="E114" s="56" t="s">
        <v>45</v>
      </c>
      <c r="F114" s="59">
        <v>17.25</v>
      </c>
      <c r="G114" s="56" t="s">
        <v>34</v>
      </c>
      <c r="H114" s="59">
        <v>1483.51</v>
      </c>
      <c r="I114" s="56" t="s">
        <v>152</v>
      </c>
      <c r="K114" s="74">
        <v>256779416246</v>
      </c>
      <c r="L114" s="73" t="s">
        <v>57</v>
      </c>
      <c r="M114" s="16">
        <v>70.95</v>
      </c>
    </row>
    <row r="115" spans="1:13" x14ac:dyDescent="0.35">
      <c r="A115" s="55">
        <v>1800011050</v>
      </c>
      <c r="B115" s="37">
        <v>256779415810</v>
      </c>
      <c r="C115" s="56" t="s">
        <v>57</v>
      </c>
      <c r="D115" s="57">
        <v>45856</v>
      </c>
      <c r="E115" s="56" t="s">
        <v>45</v>
      </c>
      <c r="F115" s="59">
        <v>17.25</v>
      </c>
      <c r="G115" s="56" t="s">
        <v>34</v>
      </c>
      <c r="H115" s="59">
        <v>1483.51</v>
      </c>
      <c r="I115" s="56" t="s">
        <v>152</v>
      </c>
      <c r="K115" s="74">
        <v>256779416257</v>
      </c>
      <c r="L115" s="73" t="s">
        <v>57</v>
      </c>
      <c r="M115" s="16">
        <v>22.87</v>
      </c>
    </row>
    <row r="116" spans="1:13" x14ac:dyDescent="0.35">
      <c r="A116" s="55">
        <v>1800011012</v>
      </c>
      <c r="B116" s="37">
        <v>256779415772</v>
      </c>
      <c r="C116" s="56" t="s">
        <v>57</v>
      </c>
      <c r="D116" s="57">
        <v>45857</v>
      </c>
      <c r="E116" s="56" t="s">
        <v>45</v>
      </c>
      <c r="F116" s="59">
        <v>59.43</v>
      </c>
      <c r="G116" s="56" t="s">
        <v>34</v>
      </c>
      <c r="H116" s="59">
        <v>5111.0200000000004</v>
      </c>
      <c r="I116" s="56" t="s">
        <v>207</v>
      </c>
      <c r="K116" s="74">
        <v>256779416446</v>
      </c>
      <c r="L116" s="73" t="s">
        <v>57</v>
      </c>
      <c r="M116" s="16">
        <v>2.2799999999999998</v>
      </c>
    </row>
    <row r="117" spans="1:13" x14ac:dyDescent="0.35">
      <c r="A117" s="55">
        <v>1400000797</v>
      </c>
      <c r="B117" s="33" t="s">
        <v>31</v>
      </c>
      <c r="C117" s="56" t="s">
        <v>39</v>
      </c>
      <c r="D117" s="57">
        <v>45861</v>
      </c>
      <c r="E117" s="56" t="s">
        <v>34</v>
      </c>
      <c r="F117" s="59">
        <v>198636.61</v>
      </c>
      <c r="G117" s="56" t="s">
        <v>34</v>
      </c>
      <c r="H117" s="59">
        <v>200764.2</v>
      </c>
      <c r="I117" s="56" t="s">
        <v>31</v>
      </c>
      <c r="K117" s="74">
        <v>256779416604</v>
      </c>
      <c r="L117" s="73" t="s">
        <v>57</v>
      </c>
      <c r="M117" s="16">
        <v>17.309999999999999</v>
      </c>
    </row>
    <row r="118" spans="1:13" x14ac:dyDescent="0.35">
      <c r="A118" s="55">
        <v>1400000797</v>
      </c>
      <c r="B118" s="33" t="s">
        <v>31</v>
      </c>
      <c r="C118" s="56" t="s">
        <v>39</v>
      </c>
      <c r="D118" s="57">
        <v>45861</v>
      </c>
      <c r="E118" s="56" t="s">
        <v>34</v>
      </c>
      <c r="F118" s="59">
        <v>-198636.61</v>
      </c>
      <c r="G118" s="56" t="s">
        <v>34</v>
      </c>
      <c r="H118" s="59">
        <v>-200764.2</v>
      </c>
      <c r="I118" s="56" t="s">
        <v>31</v>
      </c>
      <c r="K118" s="74">
        <v>256779416616</v>
      </c>
      <c r="L118" s="73" t="s">
        <v>57</v>
      </c>
      <c r="M118" s="16">
        <v>63.65</v>
      </c>
    </row>
    <row r="119" spans="1:13" x14ac:dyDescent="0.35">
      <c r="A119" s="55">
        <v>1400000805</v>
      </c>
      <c r="B119" s="33" t="s">
        <v>31</v>
      </c>
      <c r="C119" s="56" t="s">
        <v>43</v>
      </c>
      <c r="D119" s="57">
        <v>45862</v>
      </c>
      <c r="E119" s="56" t="s">
        <v>45</v>
      </c>
      <c r="F119" s="59">
        <v>-8262.11</v>
      </c>
      <c r="G119" s="56" t="s">
        <v>34</v>
      </c>
      <c r="H119" s="59">
        <v>-713050.33</v>
      </c>
      <c r="I119" s="56" t="s">
        <v>48</v>
      </c>
      <c r="K119" s="74">
        <v>256779416847</v>
      </c>
      <c r="L119" s="73" t="s">
        <v>57</v>
      </c>
      <c r="M119" s="16">
        <v>27.83</v>
      </c>
    </row>
    <row r="120" spans="1:13" x14ac:dyDescent="0.35">
      <c r="A120" s="55">
        <v>1600001882</v>
      </c>
      <c r="B120" s="37">
        <v>256779421502</v>
      </c>
      <c r="C120" s="56" t="s">
        <v>82</v>
      </c>
      <c r="D120" s="57">
        <v>45862</v>
      </c>
      <c r="E120" s="56" t="s">
        <v>45</v>
      </c>
      <c r="F120" s="59">
        <v>-1190.48</v>
      </c>
      <c r="G120" s="56" t="s">
        <v>34</v>
      </c>
      <c r="H120" s="59">
        <v>-102382.08</v>
      </c>
      <c r="I120" s="56" t="s">
        <v>188</v>
      </c>
      <c r="K120" s="74">
        <v>256779416882</v>
      </c>
      <c r="L120" s="73" t="s">
        <v>57</v>
      </c>
      <c r="M120" s="16">
        <v>12.83</v>
      </c>
    </row>
    <row r="121" spans="1:13" x14ac:dyDescent="0.35">
      <c r="A121" s="55">
        <v>1800011358</v>
      </c>
      <c r="B121" s="37">
        <v>256779416024</v>
      </c>
      <c r="C121" s="56" t="s">
        <v>57</v>
      </c>
      <c r="D121" s="57">
        <v>45870</v>
      </c>
      <c r="E121" s="56" t="s">
        <v>45</v>
      </c>
      <c r="F121" s="60">
        <v>1162.7906976744187</v>
      </c>
      <c r="G121" s="56" t="s">
        <v>34</v>
      </c>
      <c r="H121" s="59">
        <v>100000</v>
      </c>
      <c r="I121" s="56" t="s">
        <v>62</v>
      </c>
      <c r="K121" s="74">
        <v>256779416912</v>
      </c>
      <c r="L121" s="73" t="s">
        <v>57</v>
      </c>
      <c r="M121" s="16">
        <v>44.96</v>
      </c>
    </row>
    <row r="122" spans="1:13" x14ac:dyDescent="0.35">
      <c r="A122" s="55">
        <v>1600002012</v>
      </c>
      <c r="B122" s="37">
        <v>256779421588</v>
      </c>
      <c r="C122" s="56" t="s">
        <v>82</v>
      </c>
      <c r="D122" s="57">
        <v>45873</v>
      </c>
      <c r="E122" s="56" t="s">
        <v>45</v>
      </c>
      <c r="F122" s="59">
        <v>-17.25</v>
      </c>
      <c r="G122" s="56" t="s">
        <v>34</v>
      </c>
      <c r="H122" s="59">
        <v>-1483.51</v>
      </c>
      <c r="I122" s="56" t="s">
        <v>180</v>
      </c>
      <c r="K122" s="74">
        <v>256779416949</v>
      </c>
      <c r="L122" s="73" t="s">
        <v>57</v>
      </c>
      <c r="M122" s="16">
        <v>30.16</v>
      </c>
    </row>
    <row r="123" spans="1:13" x14ac:dyDescent="0.35">
      <c r="A123" s="55">
        <v>1600002057</v>
      </c>
      <c r="B123" s="37">
        <v>256779421633</v>
      </c>
      <c r="C123" s="56" t="s">
        <v>82</v>
      </c>
      <c r="D123" s="57">
        <v>45873</v>
      </c>
      <c r="E123" s="56" t="s">
        <v>45</v>
      </c>
      <c r="F123" s="59">
        <v>-17.25</v>
      </c>
      <c r="G123" s="56" t="s">
        <v>34</v>
      </c>
      <c r="H123" s="59">
        <v>-1483.51</v>
      </c>
      <c r="I123" s="56" t="s">
        <v>181</v>
      </c>
      <c r="K123" s="74">
        <v>256779417077</v>
      </c>
      <c r="L123" s="73" t="s">
        <v>57</v>
      </c>
      <c r="M123" s="16">
        <v>565.97</v>
      </c>
    </row>
    <row r="124" spans="1:13" x14ac:dyDescent="0.35">
      <c r="A124" s="55">
        <v>1600002062</v>
      </c>
      <c r="B124" s="37">
        <v>256779421638</v>
      </c>
      <c r="C124" s="56" t="s">
        <v>82</v>
      </c>
      <c r="D124" s="57">
        <v>45873</v>
      </c>
      <c r="E124" s="56" t="s">
        <v>45</v>
      </c>
      <c r="F124" s="59">
        <v>-17.25</v>
      </c>
      <c r="G124" s="56" t="s">
        <v>34</v>
      </c>
      <c r="H124" s="59">
        <v>-1483.51</v>
      </c>
      <c r="I124" s="56" t="s">
        <v>182</v>
      </c>
      <c r="K124" s="74">
        <v>256779417136</v>
      </c>
      <c r="L124" s="73" t="s">
        <v>57</v>
      </c>
      <c r="M124" s="16">
        <v>1.71</v>
      </c>
    </row>
    <row r="125" spans="1:13" x14ac:dyDescent="0.35">
      <c r="A125" s="55">
        <v>1800011652</v>
      </c>
      <c r="B125" s="37">
        <v>256779416082</v>
      </c>
      <c r="C125" s="56" t="s">
        <v>57</v>
      </c>
      <c r="D125" s="57">
        <v>45877</v>
      </c>
      <c r="E125" s="56" t="s">
        <v>45</v>
      </c>
      <c r="F125" s="59">
        <v>759.67</v>
      </c>
      <c r="G125" s="56" t="s">
        <v>34</v>
      </c>
      <c r="H125" s="59">
        <v>65354.5</v>
      </c>
      <c r="I125" s="56" t="s">
        <v>130</v>
      </c>
      <c r="K125" s="74">
        <v>256779417162</v>
      </c>
      <c r="L125" s="73" t="s">
        <v>57</v>
      </c>
      <c r="M125" s="16">
        <v>44.74</v>
      </c>
    </row>
    <row r="126" spans="1:13" x14ac:dyDescent="0.35">
      <c r="A126" s="55">
        <v>1800011791</v>
      </c>
      <c r="B126" s="37">
        <v>256779416182</v>
      </c>
      <c r="C126" s="56" t="s">
        <v>57</v>
      </c>
      <c r="D126" s="57">
        <v>45877</v>
      </c>
      <c r="E126" s="56" t="s">
        <v>45</v>
      </c>
      <c r="F126" s="59">
        <v>18</v>
      </c>
      <c r="G126" s="56" t="s">
        <v>34</v>
      </c>
      <c r="H126" s="59">
        <v>1548.54</v>
      </c>
      <c r="I126" s="56" t="s">
        <v>131</v>
      </c>
      <c r="K126" s="74">
        <v>256779417328</v>
      </c>
      <c r="L126" s="73" t="s">
        <v>57</v>
      </c>
      <c r="M126" s="16">
        <v>2.25</v>
      </c>
    </row>
    <row r="127" spans="1:13" x14ac:dyDescent="0.35">
      <c r="A127" s="55">
        <v>1800011710</v>
      </c>
      <c r="B127" s="37">
        <v>256779416228</v>
      </c>
      <c r="C127" s="56" t="s">
        <v>57</v>
      </c>
      <c r="D127" s="57">
        <v>45877</v>
      </c>
      <c r="E127" s="56" t="s">
        <v>45</v>
      </c>
      <c r="F127" s="59">
        <v>3</v>
      </c>
      <c r="G127" s="56" t="s">
        <v>34</v>
      </c>
      <c r="H127" s="59">
        <v>258.08999999999997</v>
      </c>
      <c r="I127" s="56" t="s">
        <v>132</v>
      </c>
      <c r="K127" s="74">
        <v>256779417344</v>
      </c>
      <c r="L127" s="73" t="s">
        <v>57</v>
      </c>
      <c r="M127" s="16">
        <v>1142.8571428571429</v>
      </c>
    </row>
    <row r="128" spans="1:13" x14ac:dyDescent="0.35">
      <c r="A128" s="55">
        <v>1800011396</v>
      </c>
      <c r="B128" s="37">
        <v>256779416246</v>
      </c>
      <c r="C128" s="56" t="s">
        <v>57</v>
      </c>
      <c r="D128" s="57">
        <v>45877</v>
      </c>
      <c r="E128" s="56" t="s">
        <v>45</v>
      </c>
      <c r="F128" s="59">
        <v>70.95</v>
      </c>
      <c r="G128" s="56" t="s">
        <v>34</v>
      </c>
      <c r="H128" s="59">
        <v>6103.84</v>
      </c>
      <c r="I128" s="56" t="s">
        <v>133</v>
      </c>
      <c r="K128" s="74">
        <v>256779417528</v>
      </c>
      <c r="L128" s="73" t="s">
        <v>57</v>
      </c>
      <c r="M128" s="16">
        <v>3</v>
      </c>
    </row>
    <row r="129" spans="1:13" x14ac:dyDescent="0.35">
      <c r="A129" s="55">
        <v>1800011407</v>
      </c>
      <c r="B129" s="37">
        <v>256779416257</v>
      </c>
      <c r="C129" s="56" t="s">
        <v>57</v>
      </c>
      <c r="D129" s="57">
        <v>45877</v>
      </c>
      <c r="E129" s="56" t="s">
        <v>45</v>
      </c>
      <c r="F129" s="59">
        <v>22.87</v>
      </c>
      <c r="G129" s="56" t="s">
        <v>34</v>
      </c>
      <c r="H129" s="59">
        <v>1967.51</v>
      </c>
      <c r="I129" s="56" t="s">
        <v>134</v>
      </c>
      <c r="K129" s="74">
        <v>256779417860</v>
      </c>
      <c r="L129" s="73" t="s">
        <v>57</v>
      </c>
      <c r="M129" s="16">
        <v>50</v>
      </c>
    </row>
    <row r="130" spans="1:13" x14ac:dyDescent="0.35">
      <c r="A130" s="55">
        <v>1800011596</v>
      </c>
      <c r="B130" s="37">
        <v>256779416446</v>
      </c>
      <c r="C130" s="56" t="s">
        <v>57</v>
      </c>
      <c r="D130" s="57">
        <v>45877</v>
      </c>
      <c r="E130" s="56" t="s">
        <v>45</v>
      </c>
      <c r="F130" s="59">
        <v>2.2799999999999998</v>
      </c>
      <c r="G130" s="56" t="s">
        <v>34</v>
      </c>
      <c r="H130" s="59">
        <v>196.15</v>
      </c>
      <c r="I130" s="56" t="s">
        <v>135</v>
      </c>
      <c r="K130" s="74">
        <v>256779417871</v>
      </c>
      <c r="L130" s="73" t="s">
        <v>57</v>
      </c>
      <c r="M130" s="16">
        <v>1136.3636363636363</v>
      </c>
    </row>
    <row r="131" spans="1:13" x14ac:dyDescent="0.35">
      <c r="A131" s="55">
        <v>1800012069</v>
      </c>
      <c r="B131" s="37">
        <v>256779416604</v>
      </c>
      <c r="C131" s="56" t="s">
        <v>57</v>
      </c>
      <c r="D131" s="57">
        <v>45889</v>
      </c>
      <c r="E131" s="56" t="s">
        <v>45</v>
      </c>
      <c r="F131" s="59">
        <v>17.309999999999999</v>
      </c>
      <c r="G131" s="56" t="s">
        <v>34</v>
      </c>
      <c r="H131" s="59">
        <v>1489.18</v>
      </c>
      <c r="I131" s="56" t="s">
        <v>171</v>
      </c>
      <c r="K131" s="74">
        <v>256779418012</v>
      </c>
      <c r="L131" s="73" t="s">
        <v>57</v>
      </c>
      <c r="M131" s="16">
        <v>480.02</v>
      </c>
    </row>
    <row r="132" spans="1:13" x14ac:dyDescent="0.35">
      <c r="A132" s="55">
        <v>1800012178</v>
      </c>
      <c r="B132" s="37">
        <v>256779416616</v>
      </c>
      <c r="C132" s="56" t="s">
        <v>57</v>
      </c>
      <c r="D132" s="57">
        <v>45889</v>
      </c>
      <c r="E132" s="56" t="s">
        <v>45</v>
      </c>
      <c r="F132" s="59">
        <v>63.65</v>
      </c>
      <c r="G132" s="56" t="s">
        <v>34</v>
      </c>
      <c r="H132" s="59">
        <v>5475.82</v>
      </c>
      <c r="I132" s="56" t="s">
        <v>172</v>
      </c>
      <c r="K132" s="74">
        <v>256779418181</v>
      </c>
      <c r="L132" s="73" t="s">
        <v>57</v>
      </c>
      <c r="M132" s="16">
        <v>49.33</v>
      </c>
    </row>
    <row r="133" spans="1:13" x14ac:dyDescent="0.35">
      <c r="A133" s="55">
        <v>1800012251</v>
      </c>
      <c r="B133" s="37">
        <v>256779416847</v>
      </c>
      <c r="C133" s="56" t="s">
        <v>57</v>
      </c>
      <c r="D133" s="57">
        <v>45889</v>
      </c>
      <c r="E133" s="56" t="s">
        <v>45</v>
      </c>
      <c r="F133" s="59">
        <v>27.83</v>
      </c>
      <c r="G133" s="56" t="s">
        <v>34</v>
      </c>
      <c r="H133" s="59">
        <v>2394.2199999999998</v>
      </c>
      <c r="I133" s="56" t="s">
        <v>173</v>
      </c>
      <c r="K133" s="74">
        <v>256779418342</v>
      </c>
      <c r="L133" s="73" t="s">
        <v>57</v>
      </c>
      <c r="M133" s="16">
        <v>458.95</v>
      </c>
    </row>
    <row r="134" spans="1:13" x14ac:dyDescent="0.35">
      <c r="A134" s="55">
        <v>1800012220</v>
      </c>
      <c r="B134" s="37">
        <v>256779416882</v>
      </c>
      <c r="C134" s="56" t="s">
        <v>57</v>
      </c>
      <c r="D134" s="57">
        <v>45889</v>
      </c>
      <c r="E134" s="56" t="s">
        <v>45</v>
      </c>
      <c r="F134" s="59">
        <v>12.83</v>
      </c>
      <c r="G134" s="56" t="s">
        <v>34</v>
      </c>
      <c r="H134" s="59">
        <v>1103.77</v>
      </c>
      <c r="I134" s="56" t="s">
        <v>174</v>
      </c>
      <c r="K134" s="74">
        <v>256779418354</v>
      </c>
      <c r="L134" s="73" t="s">
        <v>57</v>
      </c>
      <c r="M134" s="16">
        <v>108.95</v>
      </c>
    </row>
    <row r="135" spans="1:13" x14ac:dyDescent="0.35">
      <c r="A135" s="55">
        <v>1400001003</v>
      </c>
      <c r="B135" s="33" t="s">
        <v>31</v>
      </c>
      <c r="C135" s="56" t="s">
        <v>43</v>
      </c>
      <c r="D135" s="57">
        <v>45891</v>
      </c>
      <c r="E135" s="56" t="s">
        <v>45</v>
      </c>
      <c r="F135" s="59">
        <v>-4582.99</v>
      </c>
      <c r="G135" s="56" t="s">
        <v>34</v>
      </c>
      <c r="H135" s="59">
        <v>-394140.21</v>
      </c>
      <c r="I135" s="56" t="s">
        <v>31</v>
      </c>
      <c r="K135" s="74">
        <v>256779418401</v>
      </c>
      <c r="L135" s="73" t="s">
        <v>57</v>
      </c>
      <c r="M135" s="16">
        <v>62.52</v>
      </c>
    </row>
    <row r="136" spans="1:13" x14ac:dyDescent="0.35">
      <c r="A136" s="55">
        <v>1400001107</v>
      </c>
      <c r="B136" s="33" t="s">
        <v>31</v>
      </c>
      <c r="C136" s="56" t="s">
        <v>39</v>
      </c>
      <c r="D136" s="57">
        <v>45902</v>
      </c>
      <c r="E136" s="56" t="s">
        <v>34</v>
      </c>
      <c r="F136" s="59">
        <v>104184.06</v>
      </c>
      <c r="G136" s="56" t="s">
        <v>34</v>
      </c>
      <c r="H136" s="59">
        <v>102382.08</v>
      </c>
      <c r="I136" s="56" t="s">
        <v>31</v>
      </c>
      <c r="K136" s="74">
        <v>256779418410</v>
      </c>
      <c r="L136" s="73" t="s">
        <v>57</v>
      </c>
      <c r="M136" s="16">
        <v>480.02</v>
      </c>
    </row>
    <row r="137" spans="1:13" x14ac:dyDescent="0.35">
      <c r="A137" s="55">
        <v>1400001107</v>
      </c>
      <c r="B137" s="33" t="s">
        <v>31</v>
      </c>
      <c r="C137" s="56" t="s">
        <v>39</v>
      </c>
      <c r="D137" s="57">
        <v>45902</v>
      </c>
      <c r="E137" s="56" t="s">
        <v>34</v>
      </c>
      <c r="F137" s="59">
        <v>-104184.06</v>
      </c>
      <c r="G137" s="56" t="s">
        <v>34</v>
      </c>
      <c r="H137" s="59">
        <v>-101775.06</v>
      </c>
      <c r="I137" s="56" t="s">
        <v>31</v>
      </c>
      <c r="K137" s="74">
        <v>256779418440</v>
      </c>
      <c r="L137" s="73" t="s">
        <v>57</v>
      </c>
      <c r="M137" s="16">
        <v>246.92</v>
      </c>
    </row>
    <row r="138" spans="1:13" x14ac:dyDescent="0.35">
      <c r="A138" s="55">
        <v>1800012710</v>
      </c>
      <c r="B138" s="37">
        <v>256779417344</v>
      </c>
      <c r="C138" s="56" t="s">
        <v>57</v>
      </c>
      <c r="D138" s="57">
        <v>45904</v>
      </c>
      <c r="E138" s="56" t="s">
        <v>45</v>
      </c>
      <c r="F138" s="60">
        <v>1142.8571428571429</v>
      </c>
      <c r="G138" s="56" t="s">
        <v>34</v>
      </c>
      <c r="H138" s="59">
        <v>100000</v>
      </c>
      <c r="I138" s="56" t="s">
        <v>64</v>
      </c>
      <c r="K138" s="74">
        <v>256779418478</v>
      </c>
      <c r="L138" s="73" t="s">
        <v>57</v>
      </c>
      <c r="M138" s="16">
        <v>27.64</v>
      </c>
    </row>
    <row r="139" spans="1:13" x14ac:dyDescent="0.35">
      <c r="A139" s="55">
        <v>1800012276</v>
      </c>
      <c r="B139" s="37">
        <v>256779416912</v>
      </c>
      <c r="C139" s="56" t="s">
        <v>57</v>
      </c>
      <c r="D139" s="57">
        <v>45904</v>
      </c>
      <c r="E139" s="56" t="s">
        <v>45</v>
      </c>
      <c r="F139" s="59">
        <v>44.96</v>
      </c>
      <c r="G139" s="56" t="s">
        <v>34</v>
      </c>
      <c r="H139" s="59">
        <v>3934.64</v>
      </c>
      <c r="I139" s="56" t="s">
        <v>108</v>
      </c>
      <c r="K139" s="74">
        <v>256779418493</v>
      </c>
      <c r="L139" s="73" t="s">
        <v>57</v>
      </c>
      <c r="M139" s="16">
        <v>27.64</v>
      </c>
    </row>
    <row r="140" spans="1:13" x14ac:dyDescent="0.35">
      <c r="A140" s="55">
        <v>1800012287</v>
      </c>
      <c r="B140" s="37">
        <v>256779416949</v>
      </c>
      <c r="C140" s="56" t="s">
        <v>57</v>
      </c>
      <c r="D140" s="57">
        <v>45904</v>
      </c>
      <c r="E140" s="56" t="s">
        <v>45</v>
      </c>
      <c r="F140" s="59">
        <v>30.16</v>
      </c>
      <c r="G140" s="56" t="s">
        <v>34</v>
      </c>
      <c r="H140" s="59">
        <v>2639.43</v>
      </c>
      <c r="I140" s="56" t="s">
        <v>109</v>
      </c>
      <c r="K140" s="74">
        <v>256779418704</v>
      </c>
      <c r="L140" s="73" t="s">
        <v>57</v>
      </c>
      <c r="M140" s="16">
        <v>2.25</v>
      </c>
    </row>
    <row r="141" spans="1:13" x14ac:dyDescent="0.35">
      <c r="A141" s="55">
        <v>1800012532</v>
      </c>
      <c r="B141" s="37">
        <v>256779417136</v>
      </c>
      <c r="C141" s="56" t="s">
        <v>57</v>
      </c>
      <c r="D141" s="57">
        <v>45904</v>
      </c>
      <c r="E141" s="56" t="s">
        <v>45</v>
      </c>
      <c r="F141" s="59">
        <v>1.71</v>
      </c>
      <c r="G141" s="56" t="s">
        <v>34</v>
      </c>
      <c r="H141" s="59">
        <v>149.65</v>
      </c>
      <c r="I141" s="56" t="s">
        <v>110</v>
      </c>
      <c r="K141" s="74">
        <v>256779418773</v>
      </c>
      <c r="L141" s="73" t="s">
        <v>57</v>
      </c>
      <c r="M141" s="16">
        <v>1136.3636363636363</v>
      </c>
    </row>
    <row r="142" spans="1:13" x14ac:dyDescent="0.35">
      <c r="A142" s="55">
        <v>1800012462</v>
      </c>
      <c r="B142" s="37">
        <v>256779417162</v>
      </c>
      <c r="C142" s="56" t="s">
        <v>57</v>
      </c>
      <c r="D142" s="57">
        <v>45904</v>
      </c>
      <c r="E142" s="56" t="s">
        <v>45</v>
      </c>
      <c r="F142" s="59">
        <v>44.74</v>
      </c>
      <c r="G142" s="56" t="s">
        <v>34</v>
      </c>
      <c r="H142" s="59">
        <v>3915.39</v>
      </c>
      <c r="I142" s="56" t="s">
        <v>111</v>
      </c>
      <c r="K142" s="74">
        <v>256779418821</v>
      </c>
      <c r="L142" s="73" t="s">
        <v>57</v>
      </c>
      <c r="M142" s="16">
        <v>49.59</v>
      </c>
    </row>
    <row r="143" spans="1:13" x14ac:dyDescent="0.35">
      <c r="A143" s="55">
        <v>1800012688</v>
      </c>
      <c r="B143" s="37">
        <v>256779417328</v>
      </c>
      <c r="C143" s="56" t="s">
        <v>57</v>
      </c>
      <c r="D143" s="57">
        <v>45904</v>
      </c>
      <c r="E143" s="56" t="s">
        <v>45</v>
      </c>
      <c r="F143" s="59">
        <v>2.25</v>
      </c>
      <c r="G143" s="56" t="s">
        <v>34</v>
      </c>
      <c r="H143" s="59">
        <v>196.91</v>
      </c>
      <c r="I143" s="56" t="s">
        <v>113</v>
      </c>
      <c r="K143" s="74">
        <v>256779418827</v>
      </c>
      <c r="L143" s="73" t="s">
        <v>57</v>
      </c>
      <c r="M143" s="16">
        <v>60.86</v>
      </c>
    </row>
    <row r="144" spans="1:13" x14ac:dyDescent="0.35">
      <c r="A144" s="55">
        <v>1800012469</v>
      </c>
      <c r="B144" s="37">
        <v>256779417077</v>
      </c>
      <c r="C144" s="56" t="s">
        <v>57</v>
      </c>
      <c r="D144" s="57">
        <v>45906</v>
      </c>
      <c r="E144" s="56" t="s">
        <v>45</v>
      </c>
      <c r="F144" s="59">
        <v>565.97</v>
      </c>
      <c r="G144" s="56" t="s">
        <v>34</v>
      </c>
      <c r="H144" s="59">
        <v>49530.49</v>
      </c>
      <c r="I144" s="56" t="s">
        <v>216</v>
      </c>
      <c r="K144" s="74">
        <v>256779418870</v>
      </c>
      <c r="L144" s="73" t="s">
        <v>57</v>
      </c>
      <c r="M144" s="16">
        <v>493.91</v>
      </c>
    </row>
    <row r="145" spans="1:13" x14ac:dyDescent="0.35">
      <c r="A145" s="55">
        <v>1800012993</v>
      </c>
      <c r="B145" s="37">
        <v>256779417528</v>
      </c>
      <c r="C145" s="56" t="s">
        <v>57</v>
      </c>
      <c r="D145" s="57">
        <v>45918</v>
      </c>
      <c r="E145" s="56" t="s">
        <v>45</v>
      </c>
      <c r="F145" s="59">
        <v>3</v>
      </c>
      <c r="G145" s="56" t="s">
        <v>34</v>
      </c>
      <c r="H145" s="59">
        <v>262.54000000000002</v>
      </c>
      <c r="I145" s="56" t="s">
        <v>199</v>
      </c>
      <c r="K145" s="74">
        <v>256779418945</v>
      </c>
      <c r="L145" s="73" t="s">
        <v>57</v>
      </c>
      <c r="M145" s="16">
        <v>293.04000000000002</v>
      </c>
    </row>
    <row r="146" spans="1:13" x14ac:dyDescent="0.35">
      <c r="A146" s="55">
        <v>1800013251</v>
      </c>
      <c r="B146" s="37">
        <v>256779417871</v>
      </c>
      <c r="C146" s="56" t="s">
        <v>57</v>
      </c>
      <c r="D146" s="57">
        <v>45935</v>
      </c>
      <c r="E146" s="56" t="s">
        <v>45</v>
      </c>
      <c r="F146" s="60">
        <v>1133.9111111111113</v>
      </c>
      <c r="G146" s="56" t="s">
        <v>34</v>
      </c>
      <c r="H146" s="59">
        <v>100000</v>
      </c>
      <c r="I146" s="56" t="s">
        <v>66</v>
      </c>
      <c r="K146" s="74">
        <v>256779418946</v>
      </c>
      <c r="L146" s="73" t="s">
        <v>57</v>
      </c>
      <c r="M146" s="16">
        <v>293.04000000000002</v>
      </c>
    </row>
    <row r="147" spans="1:13" x14ac:dyDescent="0.35">
      <c r="A147" s="55">
        <v>1800013244</v>
      </c>
      <c r="B147" s="37">
        <v>256779417860</v>
      </c>
      <c r="C147" s="56" t="s">
        <v>57</v>
      </c>
      <c r="D147" s="57">
        <v>45935</v>
      </c>
      <c r="E147" s="56" t="s">
        <v>45</v>
      </c>
      <c r="F147" s="59">
        <v>50</v>
      </c>
      <c r="G147" s="56" t="s">
        <v>34</v>
      </c>
      <c r="H147" s="59">
        <v>4409.54</v>
      </c>
      <c r="I147" s="56" t="s">
        <v>213</v>
      </c>
      <c r="K147" s="74">
        <v>256779418947</v>
      </c>
      <c r="L147" s="73" t="s">
        <v>57</v>
      </c>
      <c r="M147" s="16">
        <v>293.04000000000002</v>
      </c>
    </row>
    <row r="148" spans="1:13" x14ac:dyDescent="0.35">
      <c r="A148" s="55">
        <v>1800013511</v>
      </c>
      <c r="B148" s="37">
        <v>256779418401</v>
      </c>
      <c r="C148" s="56" t="s">
        <v>57</v>
      </c>
      <c r="D148" s="57">
        <v>45935</v>
      </c>
      <c r="E148" s="56" t="s">
        <v>45</v>
      </c>
      <c r="F148" s="59">
        <v>62.52</v>
      </c>
      <c r="G148" s="56" t="s">
        <v>34</v>
      </c>
      <c r="H148" s="59">
        <v>5513.69</v>
      </c>
      <c r="I148" s="56" t="s">
        <v>215</v>
      </c>
      <c r="K148" s="74">
        <v>256779419134</v>
      </c>
      <c r="L148" s="73" t="s">
        <v>57</v>
      </c>
      <c r="M148" s="16">
        <v>21.75</v>
      </c>
    </row>
    <row r="149" spans="1:13" x14ac:dyDescent="0.35">
      <c r="A149" s="55">
        <v>1800013276</v>
      </c>
      <c r="B149" s="37">
        <v>256779418012</v>
      </c>
      <c r="C149" s="56" t="s">
        <v>57</v>
      </c>
      <c r="D149" s="57">
        <v>45936</v>
      </c>
      <c r="E149" s="56" t="s">
        <v>45</v>
      </c>
      <c r="F149" s="59">
        <v>480.02</v>
      </c>
      <c r="G149" s="56" t="s">
        <v>34</v>
      </c>
      <c r="H149" s="59">
        <v>42333.33</v>
      </c>
      <c r="I149" s="56" t="s">
        <v>163</v>
      </c>
      <c r="K149" s="74">
        <v>256779419178</v>
      </c>
      <c r="L149" s="73" t="s">
        <v>57</v>
      </c>
      <c r="M149" s="16">
        <v>2.25</v>
      </c>
    </row>
    <row r="150" spans="1:13" x14ac:dyDescent="0.35">
      <c r="A150" s="55">
        <v>1800013760</v>
      </c>
      <c r="B150" s="37">
        <v>256779418181</v>
      </c>
      <c r="C150" s="56" t="s">
        <v>57</v>
      </c>
      <c r="D150" s="57">
        <v>45937</v>
      </c>
      <c r="E150" s="56" t="s">
        <v>45</v>
      </c>
      <c r="F150" s="59">
        <v>49.33</v>
      </c>
      <c r="G150" s="56" t="s">
        <v>34</v>
      </c>
      <c r="H150" s="59">
        <v>4350.45</v>
      </c>
      <c r="I150" s="56" t="s">
        <v>202</v>
      </c>
      <c r="K150" s="74">
        <v>256779419202</v>
      </c>
      <c r="L150" s="73" t="s">
        <v>57</v>
      </c>
      <c r="M150" s="16">
        <v>62.66</v>
      </c>
    </row>
    <row r="151" spans="1:13" x14ac:dyDescent="0.35">
      <c r="A151" s="55">
        <v>1800013774</v>
      </c>
      <c r="B151" s="37">
        <v>256779418342</v>
      </c>
      <c r="C151" s="56" t="s">
        <v>57</v>
      </c>
      <c r="D151" s="57">
        <v>45937</v>
      </c>
      <c r="E151" s="56" t="s">
        <v>45</v>
      </c>
      <c r="F151" s="59">
        <v>458.95</v>
      </c>
      <c r="G151" s="56" t="s">
        <v>34</v>
      </c>
      <c r="H151" s="59">
        <v>40475.15</v>
      </c>
      <c r="I151" s="56" t="s">
        <v>204</v>
      </c>
      <c r="K151" s="74">
        <v>256779419365</v>
      </c>
      <c r="L151" s="73" t="s">
        <v>57</v>
      </c>
      <c r="M151" s="16">
        <v>292.99</v>
      </c>
    </row>
    <row r="152" spans="1:13" x14ac:dyDescent="0.35">
      <c r="A152" s="55">
        <v>1800013530</v>
      </c>
      <c r="B152" s="37">
        <v>256779418354</v>
      </c>
      <c r="C152" s="56" t="s">
        <v>57</v>
      </c>
      <c r="D152" s="57">
        <v>45937</v>
      </c>
      <c r="E152" s="56" t="s">
        <v>45</v>
      </c>
      <c r="F152" s="59">
        <v>108.95</v>
      </c>
      <c r="G152" s="56" t="s">
        <v>34</v>
      </c>
      <c r="H152" s="59">
        <v>9608.3799999999992</v>
      </c>
      <c r="I152" s="56" t="s">
        <v>206</v>
      </c>
      <c r="K152" s="74">
        <v>256779419592</v>
      </c>
      <c r="L152" s="73" t="s">
        <v>57</v>
      </c>
      <c r="M152" s="16">
        <v>17.62</v>
      </c>
    </row>
    <row r="153" spans="1:13" x14ac:dyDescent="0.35">
      <c r="A153" s="55">
        <v>1600002430</v>
      </c>
      <c r="B153" s="37">
        <v>256779421974</v>
      </c>
      <c r="C153" s="56" t="s">
        <v>82</v>
      </c>
      <c r="D153" s="57">
        <v>45943</v>
      </c>
      <c r="E153" s="56" t="s">
        <v>45</v>
      </c>
      <c r="F153" s="59">
        <v>-435.91</v>
      </c>
      <c r="G153" s="56" t="s">
        <v>34</v>
      </c>
      <c r="H153" s="59">
        <v>-38443.24</v>
      </c>
      <c r="I153" s="56" t="s">
        <v>84</v>
      </c>
      <c r="K153" s="74">
        <v>256779419633</v>
      </c>
      <c r="L153" s="73" t="s">
        <v>57</v>
      </c>
      <c r="M153" s="16">
        <v>9.3699999999999992</v>
      </c>
    </row>
    <row r="154" spans="1:13" x14ac:dyDescent="0.35">
      <c r="A154" s="55">
        <v>1600002431</v>
      </c>
      <c r="B154" s="37">
        <v>256779421975</v>
      </c>
      <c r="C154" s="56" t="s">
        <v>82</v>
      </c>
      <c r="D154" s="57">
        <v>45943</v>
      </c>
      <c r="E154" s="56" t="s">
        <v>45</v>
      </c>
      <c r="F154" s="59">
        <v>-447.05</v>
      </c>
      <c r="G154" s="56" t="s">
        <v>34</v>
      </c>
      <c r="H154" s="59">
        <v>-39425.68</v>
      </c>
      <c r="I154" s="56" t="s">
        <v>85</v>
      </c>
      <c r="K154" s="74">
        <v>256779419870</v>
      </c>
      <c r="L154" s="73" t="s">
        <v>57</v>
      </c>
      <c r="M154" s="16">
        <v>18.96</v>
      </c>
    </row>
    <row r="155" spans="1:13" x14ac:dyDescent="0.35">
      <c r="A155" s="55">
        <v>1600002438</v>
      </c>
      <c r="B155" s="37">
        <v>256779421982</v>
      </c>
      <c r="C155" s="56" t="s">
        <v>82</v>
      </c>
      <c r="D155" s="57">
        <v>45943</v>
      </c>
      <c r="E155" s="56" t="s">
        <v>45</v>
      </c>
      <c r="F155" s="59">
        <v>-480.02</v>
      </c>
      <c r="G155" s="56" t="s">
        <v>34</v>
      </c>
      <c r="H155" s="59">
        <v>-42333.33</v>
      </c>
      <c r="I155" s="56" t="s">
        <v>87</v>
      </c>
      <c r="K155" s="74">
        <v>256779419966</v>
      </c>
      <c r="L155" s="73" t="s">
        <v>57</v>
      </c>
      <c r="M155" s="16">
        <v>1123.5955056179776</v>
      </c>
    </row>
    <row r="156" spans="1:13" x14ac:dyDescent="0.35">
      <c r="A156" s="55">
        <v>1600002432</v>
      </c>
      <c r="B156" s="37">
        <v>256779421976</v>
      </c>
      <c r="C156" s="56" t="s">
        <v>82</v>
      </c>
      <c r="D156" s="57">
        <v>45943</v>
      </c>
      <c r="E156" s="56" t="s">
        <v>45</v>
      </c>
      <c r="F156" s="59">
        <v>-111.25</v>
      </c>
      <c r="G156" s="56" t="s">
        <v>34</v>
      </c>
      <c r="H156" s="59">
        <v>-9811.2199999999993</v>
      </c>
      <c r="I156" s="56" t="s">
        <v>88</v>
      </c>
      <c r="K156" s="74">
        <v>256779420307</v>
      </c>
      <c r="L156" s="73" t="s">
        <v>82</v>
      </c>
      <c r="M156" s="16">
        <v>-2.86</v>
      </c>
    </row>
    <row r="157" spans="1:13" x14ac:dyDescent="0.35">
      <c r="A157" s="55">
        <v>1600002433</v>
      </c>
      <c r="B157" s="37">
        <v>256779421977</v>
      </c>
      <c r="C157" s="56" t="s">
        <v>82</v>
      </c>
      <c r="D157" s="57">
        <v>45943</v>
      </c>
      <c r="E157" s="56" t="s">
        <v>45</v>
      </c>
      <c r="F157" s="59">
        <v>-376.4</v>
      </c>
      <c r="G157" s="56" t="s">
        <v>34</v>
      </c>
      <c r="H157" s="59">
        <v>-33195.01</v>
      </c>
      <c r="I157" s="56" t="s">
        <v>89</v>
      </c>
      <c r="K157" s="74">
        <v>256779420308</v>
      </c>
      <c r="L157" s="73" t="s">
        <v>82</v>
      </c>
      <c r="M157" s="16">
        <v>-0.95</v>
      </c>
    </row>
    <row r="158" spans="1:13" x14ac:dyDescent="0.35">
      <c r="A158" s="55">
        <v>1600002434</v>
      </c>
      <c r="B158" s="37">
        <v>256779421978</v>
      </c>
      <c r="C158" s="56" t="s">
        <v>82</v>
      </c>
      <c r="D158" s="57">
        <v>45943</v>
      </c>
      <c r="E158" s="56" t="s">
        <v>45</v>
      </c>
      <c r="F158" s="59">
        <v>-391.55</v>
      </c>
      <c r="G158" s="56" t="s">
        <v>34</v>
      </c>
      <c r="H158" s="59">
        <v>-34531.1</v>
      </c>
      <c r="I158" s="56" t="s">
        <v>90</v>
      </c>
      <c r="K158" s="74">
        <v>256779420309</v>
      </c>
      <c r="L158" s="73" t="s">
        <v>82</v>
      </c>
      <c r="M158" s="16">
        <v>-4.7699999999999996</v>
      </c>
    </row>
    <row r="159" spans="1:13" x14ac:dyDescent="0.35">
      <c r="A159" s="55">
        <v>1800013794</v>
      </c>
      <c r="B159" s="37">
        <v>256779418410</v>
      </c>
      <c r="C159" s="56" t="s">
        <v>57</v>
      </c>
      <c r="D159" s="57">
        <v>45944</v>
      </c>
      <c r="E159" s="56" t="s">
        <v>45</v>
      </c>
      <c r="F159" s="59">
        <v>480.02</v>
      </c>
      <c r="G159" s="56" t="s">
        <v>34</v>
      </c>
      <c r="H159" s="59">
        <v>42333.33</v>
      </c>
      <c r="I159" s="56" t="s">
        <v>163</v>
      </c>
      <c r="K159" s="74">
        <v>256779420310</v>
      </c>
      <c r="L159" s="73" t="s">
        <v>82</v>
      </c>
      <c r="M159" s="16">
        <v>-1.91</v>
      </c>
    </row>
    <row r="160" spans="1:13" x14ac:dyDescent="0.35">
      <c r="A160" s="55">
        <v>1800014148</v>
      </c>
      <c r="B160" s="37">
        <v>256779418440</v>
      </c>
      <c r="C160" s="56" t="s">
        <v>57</v>
      </c>
      <c r="D160" s="57">
        <v>45948</v>
      </c>
      <c r="E160" s="56" t="s">
        <v>45</v>
      </c>
      <c r="F160" s="59">
        <v>246.92</v>
      </c>
      <c r="G160" s="56" t="s">
        <v>34</v>
      </c>
      <c r="H160" s="59">
        <v>21776.06</v>
      </c>
      <c r="I160" s="56" t="s">
        <v>209</v>
      </c>
      <c r="K160" s="74">
        <v>256779420311</v>
      </c>
      <c r="L160" s="73" t="s">
        <v>82</v>
      </c>
      <c r="M160" s="16">
        <v>-1.91</v>
      </c>
    </row>
    <row r="161" spans="1:13" x14ac:dyDescent="0.35">
      <c r="A161" s="55">
        <v>1800013927</v>
      </c>
      <c r="B161" s="37">
        <v>256779418704</v>
      </c>
      <c r="C161" s="56" t="s">
        <v>57</v>
      </c>
      <c r="D161" s="57">
        <v>45950</v>
      </c>
      <c r="E161" s="56" t="s">
        <v>45</v>
      </c>
      <c r="F161" s="59">
        <v>2.25</v>
      </c>
      <c r="G161" s="56" t="s">
        <v>34</v>
      </c>
      <c r="H161" s="59">
        <v>198.43</v>
      </c>
      <c r="I161" s="56" t="s">
        <v>186</v>
      </c>
      <c r="K161" s="74">
        <v>256779420312</v>
      </c>
      <c r="L161" s="73" t="s">
        <v>82</v>
      </c>
      <c r="M161" s="16">
        <v>-4.7699999999999996</v>
      </c>
    </row>
    <row r="162" spans="1:13" x14ac:dyDescent="0.35">
      <c r="A162" s="55">
        <v>1800013946</v>
      </c>
      <c r="B162" s="37">
        <v>256779418478</v>
      </c>
      <c r="C162" s="56" t="s">
        <v>57</v>
      </c>
      <c r="D162" s="57">
        <v>45951</v>
      </c>
      <c r="E162" s="56" t="s">
        <v>45</v>
      </c>
      <c r="F162" s="59">
        <v>27.64</v>
      </c>
      <c r="G162" s="56" t="s">
        <v>34</v>
      </c>
      <c r="H162" s="59">
        <v>2437.59</v>
      </c>
      <c r="I162" s="56" t="s">
        <v>190</v>
      </c>
      <c r="K162" s="74">
        <v>256779420489</v>
      </c>
      <c r="L162" s="73" t="s">
        <v>82</v>
      </c>
      <c r="M162" s="16">
        <v>-1166.5899999999999</v>
      </c>
    </row>
    <row r="163" spans="1:13" x14ac:dyDescent="0.35">
      <c r="A163" s="55">
        <v>1800013963</v>
      </c>
      <c r="B163" s="37">
        <v>256779418493</v>
      </c>
      <c r="C163" s="56" t="s">
        <v>57</v>
      </c>
      <c r="D163" s="57">
        <v>45951</v>
      </c>
      <c r="E163" s="56" t="s">
        <v>45</v>
      </c>
      <c r="F163" s="59">
        <v>27.64</v>
      </c>
      <c r="G163" s="56" t="s">
        <v>34</v>
      </c>
      <c r="H163" s="59">
        <v>2437.59</v>
      </c>
      <c r="I163" s="56" t="s">
        <v>190</v>
      </c>
      <c r="K163" s="74">
        <v>256779420523</v>
      </c>
      <c r="L163" s="73" t="s">
        <v>82</v>
      </c>
      <c r="M163" s="16">
        <v>-1143.1199999999999</v>
      </c>
    </row>
    <row r="164" spans="1:13" x14ac:dyDescent="0.35">
      <c r="A164" s="55">
        <v>1400001512</v>
      </c>
      <c r="B164" s="33" t="s">
        <v>31</v>
      </c>
      <c r="C164" s="56" t="s">
        <v>43</v>
      </c>
      <c r="D164" s="57">
        <v>45955</v>
      </c>
      <c r="E164" s="56" t="s">
        <v>45</v>
      </c>
      <c r="F164" s="59">
        <v>-4875.1499999999996</v>
      </c>
      <c r="G164" s="56" t="s">
        <v>34</v>
      </c>
      <c r="H164" s="59">
        <v>-429943.23</v>
      </c>
      <c r="I164" s="56" t="s">
        <v>31</v>
      </c>
      <c r="K164" s="74">
        <v>256779421502</v>
      </c>
      <c r="L164" s="73" t="s">
        <v>82</v>
      </c>
      <c r="M164" s="16">
        <v>-1190.48</v>
      </c>
    </row>
    <row r="165" spans="1:13" x14ac:dyDescent="0.35">
      <c r="A165" s="55">
        <v>1600002510</v>
      </c>
      <c r="B165" s="37">
        <v>256779422046</v>
      </c>
      <c r="C165" s="56" t="s">
        <v>82</v>
      </c>
      <c r="D165" s="57">
        <v>45958</v>
      </c>
      <c r="E165" s="56" t="s">
        <v>45</v>
      </c>
      <c r="F165" s="59">
        <v>-246.92</v>
      </c>
      <c r="G165" s="56" t="s">
        <v>34</v>
      </c>
      <c r="H165" s="59">
        <v>-21776.06</v>
      </c>
      <c r="I165" s="56" t="s">
        <v>178</v>
      </c>
      <c r="K165" s="74">
        <v>256779421588</v>
      </c>
      <c r="L165" s="73" t="s">
        <v>82</v>
      </c>
      <c r="M165" s="16">
        <v>-17.25</v>
      </c>
    </row>
    <row r="166" spans="1:13" x14ac:dyDescent="0.35">
      <c r="A166" s="55">
        <v>1800014412</v>
      </c>
      <c r="B166" s="37">
        <v>256779419134</v>
      </c>
      <c r="C166" s="56" t="s">
        <v>57</v>
      </c>
      <c r="D166" s="57">
        <v>45964</v>
      </c>
      <c r="E166" s="56" t="s">
        <v>45</v>
      </c>
      <c r="F166" s="59">
        <v>21.75</v>
      </c>
      <c r="G166" s="56" t="s">
        <v>34</v>
      </c>
      <c r="H166" s="59">
        <v>1914.07</v>
      </c>
      <c r="I166" s="56" t="s">
        <v>129</v>
      </c>
      <c r="K166" s="74">
        <v>256779421633</v>
      </c>
      <c r="L166" s="73" t="s">
        <v>82</v>
      </c>
      <c r="M166" s="16">
        <v>-17.25</v>
      </c>
    </row>
    <row r="167" spans="1:13" x14ac:dyDescent="0.35">
      <c r="A167" s="55">
        <v>1800014233</v>
      </c>
      <c r="B167" s="37">
        <v>256779418773</v>
      </c>
      <c r="C167" s="56" t="s">
        <v>57</v>
      </c>
      <c r="D167" s="57">
        <v>45966</v>
      </c>
      <c r="E167" s="56" t="s">
        <v>45</v>
      </c>
      <c r="F167" s="60">
        <v>1136.3636363636363</v>
      </c>
      <c r="G167" s="56" t="s">
        <v>34</v>
      </c>
      <c r="H167" s="59">
        <v>100000</v>
      </c>
      <c r="I167" s="56" t="s">
        <v>68</v>
      </c>
      <c r="K167" s="74">
        <v>256779421638</v>
      </c>
      <c r="L167" s="73" t="s">
        <v>82</v>
      </c>
      <c r="M167" s="16">
        <v>-17.25</v>
      </c>
    </row>
    <row r="168" spans="1:13" x14ac:dyDescent="0.35">
      <c r="A168" s="55">
        <v>1800014284</v>
      </c>
      <c r="B168" s="37">
        <v>256779418821</v>
      </c>
      <c r="C168" s="56" t="s">
        <v>57</v>
      </c>
      <c r="D168" s="57">
        <v>45966</v>
      </c>
      <c r="E168" s="56" t="s">
        <v>45</v>
      </c>
      <c r="F168" s="59">
        <v>49.59</v>
      </c>
      <c r="G168" s="56" t="s">
        <v>34</v>
      </c>
      <c r="H168" s="59">
        <v>4364.09</v>
      </c>
      <c r="I168" s="56" t="s">
        <v>117</v>
      </c>
      <c r="K168" s="74">
        <v>256779421974</v>
      </c>
      <c r="L168" s="73" t="s">
        <v>82</v>
      </c>
      <c r="M168" s="16">
        <v>-435.91</v>
      </c>
    </row>
    <row r="169" spans="1:13" x14ac:dyDescent="0.35">
      <c r="A169" s="55">
        <v>1800014290</v>
      </c>
      <c r="B169" s="37">
        <v>256779418827</v>
      </c>
      <c r="C169" s="56" t="s">
        <v>57</v>
      </c>
      <c r="D169" s="57">
        <v>45966</v>
      </c>
      <c r="E169" s="56" t="s">
        <v>45</v>
      </c>
      <c r="F169" s="59">
        <v>60.86</v>
      </c>
      <c r="G169" s="56" t="s">
        <v>34</v>
      </c>
      <c r="H169" s="59">
        <v>5355.89</v>
      </c>
      <c r="I169" s="56" t="s">
        <v>118</v>
      </c>
      <c r="K169" s="74">
        <v>256779421975</v>
      </c>
      <c r="L169" s="73" t="s">
        <v>82</v>
      </c>
      <c r="M169" s="16">
        <v>-447.05</v>
      </c>
    </row>
    <row r="170" spans="1:13" x14ac:dyDescent="0.35">
      <c r="A170" s="55">
        <v>1800014538</v>
      </c>
      <c r="B170" s="37">
        <v>256779418870</v>
      </c>
      <c r="C170" s="56" t="s">
        <v>57</v>
      </c>
      <c r="D170" s="57">
        <v>45966</v>
      </c>
      <c r="E170" s="56" t="s">
        <v>45</v>
      </c>
      <c r="F170" s="59">
        <v>493.91</v>
      </c>
      <c r="G170" s="56" t="s">
        <v>34</v>
      </c>
      <c r="H170" s="59">
        <v>43465.75</v>
      </c>
      <c r="I170" s="56" t="s">
        <v>120</v>
      </c>
      <c r="K170" s="74">
        <v>256779421976</v>
      </c>
      <c r="L170" s="73" t="s">
        <v>82</v>
      </c>
      <c r="M170" s="16">
        <v>-111.25</v>
      </c>
    </row>
    <row r="171" spans="1:13" x14ac:dyDescent="0.35">
      <c r="A171" s="55">
        <v>1800014270</v>
      </c>
      <c r="B171" s="37">
        <v>256779418945</v>
      </c>
      <c r="C171" s="56" t="s">
        <v>57</v>
      </c>
      <c r="D171" s="57">
        <v>45966</v>
      </c>
      <c r="E171" s="56" t="s">
        <v>45</v>
      </c>
      <c r="F171" s="59">
        <v>293.04000000000002</v>
      </c>
      <c r="G171" s="56" t="s">
        <v>34</v>
      </c>
      <c r="H171" s="59">
        <v>25788.51</v>
      </c>
      <c r="I171" s="56" t="s">
        <v>121</v>
      </c>
      <c r="K171" s="74">
        <v>256779421977</v>
      </c>
      <c r="L171" s="73" t="s">
        <v>82</v>
      </c>
      <c r="M171" s="16">
        <v>-376.4</v>
      </c>
    </row>
    <row r="172" spans="1:13" x14ac:dyDescent="0.35">
      <c r="A172" s="55">
        <v>1800014271</v>
      </c>
      <c r="B172" s="37">
        <v>256779418946</v>
      </c>
      <c r="C172" s="56" t="s">
        <v>57</v>
      </c>
      <c r="D172" s="57">
        <v>45966</v>
      </c>
      <c r="E172" s="56" t="s">
        <v>45</v>
      </c>
      <c r="F172" s="59">
        <v>293.04000000000002</v>
      </c>
      <c r="G172" s="56" t="s">
        <v>34</v>
      </c>
      <c r="H172" s="59">
        <v>25788.51</v>
      </c>
      <c r="I172" s="56" t="s">
        <v>122</v>
      </c>
      <c r="K172" s="74">
        <v>256779421978</v>
      </c>
      <c r="L172" s="73" t="s">
        <v>82</v>
      </c>
      <c r="M172" s="16">
        <v>-391.55</v>
      </c>
    </row>
    <row r="173" spans="1:13" x14ac:dyDescent="0.35">
      <c r="A173" s="55">
        <v>1800014272</v>
      </c>
      <c r="B173" s="37">
        <v>256779418947</v>
      </c>
      <c r="C173" s="56" t="s">
        <v>57</v>
      </c>
      <c r="D173" s="57">
        <v>45966</v>
      </c>
      <c r="E173" s="56" t="s">
        <v>45</v>
      </c>
      <c r="F173" s="59">
        <v>293.04000000000002</v>
      </c>
      <c r="G173" s="56" t="s">
        <v>34</v>
      </c>
      <c r="H173" s="59">
        <v>25788.51</v>
      </c>
      <c r="I173" s="56" t="s">
        <v>123</v>
      </c>
      <c r="K173" s="74">
        <v>256779421982</v>
      </c>
      <c r="L173" s="73" t="s">
        <v>82</v>
      </c>
      <c r="M173" s="16">
        <v>-480.02</v>
      </c>
    </row>
    <row r="174" spans="1:13" x14ac:dyDescent="0.35">
      <c r="A174" s="55">
        <v>1800014529</v>
      </c>
      <c r="B174" s="37">
        <v>256779419178</v>
      </c>
      <c r="C174" s="56" t="s">
        <v>57</v>
      </c>
      <c r="D174" s="57">
        <v>45966</v>
      </c>
      <c r="E174" s="56" t="s">
        <v>45</v>
      </c>
      <c r="F174" s="59">
        <v>2.25</v>
      </c>
      <c r="G174" s="56" t="s">
        <v>34</v>
      </c>
      <c r="H174" s="59">
        <v>198.01</v>
      </c>
      <c r="I174" s="56" t="s">
        <v>125</v>
      </c>
      <c r="K174" s="74">
        <v>256779422046</v>
      </c>
      <c r="L174" s="73" t="s">
        <v>82</v>
      </c>
      <c r="M174" s="16">
        <v>-246.92</v>
      </c>
    </row>
    <row r="175" spans="1:13" x14ac:dyDescent="0.35">
      <c r="A175" s="55">
        <v>1800014620</v>
      </c>
      <c r="B175" s="37">
        <v>256779419202</v>
      </c>
      <c r="C175" s="56" t="s">
        <v>57</v>
      </c>
      <c r="D175" s="57">
        <v>45966</v>
      </c>
      <c r="E175" s="56" t="s">
        <v>45</v>
      </c>
      <c r="F175" s="59">
        <v>62.66</v>
      </c>
      <c r="G175" s="56" t="s">
        <v>34</v>
      </c>
      <c r="H175" s="59">
        <v>5514.29</v>
      </c>
      <c r="I175" s="56" t="s">
        <v>127</v>
      </c>
      <c r="K175" s="74">
        <v>256779422156</v>
      </c>
      <c r="L175" s="73" t="s">
        <v>82</v>
      </c>
      <c r="M175" s="16">
        <v>-59.62</v>
      </c>
    </row>
    <row r="176" spans="1:13" x14ac:dyDescent="0.35">
      <c r="A176" s="55">
        <v>1400001904</v>
      </c>
      <c r="B176" s="33" t="s">
        <v>55</v>
      </c>
      <c r="C176" s="56" t="s">
        <v>39</v>
      </c>
      <c r="D176" s="57">
        <v>45976</v>
      </c>
      <c r="E176" s="56" t="s">
        <v>45</v>
      </c>
      <c r="F176" s="59">
        <v>0</v>
      </c>
      <c r="G176" s="56" t="s">
        <v>34</v>
      </c>
      <c r="H176" s="59">
        <v>0</v>
      </c>
      <c r="I176" s="56" t="s">
        <v>31</v>
      </c>
      <c r="K176" s="74">
        <v>256779422157</v>
      </c>
      <c r="L176" s="73" t="s">
        <v>82</v>
      </c>
      <c r="M176" s="16">
        <v>-49.33</v>
      </c>
    </row>
    <row r="177" spans="1:13" x14ac:dyDescent="0.35">
      <c r="A177" s="55">
        <v>1400001905</v>
      </c>
      <c r="B177" s="33" t="s">
        <v>55</v>
      </c>
      <c r="C177" s="56" t="s">
        <v>39</v>
      </c>
      <c r="D177" s="57">
        <v>45976</v>
      </c>
      <c r="E177" s="56" t="s">
        <v>45</v>
      </c>
      <c r="F177" s="59">
        <v>879.2</v>
      </c>
      <c r="G177" s="56" t="s">
        <v>34</v>
      </c>
      <c r="H177" s="59">
        <v>77537.33</v>
      </c>
      <c r="I177" s="56" t="s">
        <v>31</v>
      </c>
      <c r="K177" s="74">
        <v>256779422168</v>
      </c>
      <c r="L177" s="73" t="s">
        <v>82</v>
      </c>
      <c r="M177" s="16">
        <v>-27.64</v>
      </c>
    </row>
    <row r="178" spans="1:13" x14ac:dyDescent="0.35">
      <c r="A178" s="55">
        <v>1400001905</v>
      </c>
      <c r="B178" s="33" t="s">
        <v>55</v>
      </c>
      <c r="C178" s="56" t="s">
        <v>39</v>
      </c>
      <c r="D178" s="57">
        <v>45976</v>
      </c>
      <c r="E178" s="56" t="s">
        <v>45</v>
      </c>
      <c r="F178" s="59">
        <v>-111.25</v>
      </c>
      <c r="G178" s="56" t="s">
        <v>34</v>
      </c>
      <c r="H178" s="59">
        <v>-9790.3799999999992</v>
      </c>
      <c r="I178" s="56" t="s">
        <v>31</v>
      </c>
      <c r="K178" s="74">
        <v>256779422208</v>
      </c>
      <c r="L178" s="73" t="s">
        <v>82</v>
      </c>
      <c r="M178" s="16">
        <v>-23.92</v>
      </c>
    </row>
    <row r="179" spans="1:13" x14ac:dyDescent="0.35">
      <c r="A179" s="55">
        <v>1400001905</v>
      </c>
      <c r="B179" s="33" t="s">
        <v>55</v>
      </c>
      <c r="C179" s="56" t="s">
        <v>39</v>
      </c>
      <c r="D179" s="57">
        <v>45976</v>
      </c>
      <c r="E179" s="56" t="s">
        <v>45</v>
      </c>
      <c r="F179" s="59">
        <v>-376.4</v>
      </c>
      <c r="G179" s="56" t="s">
        <v>34</v>
      </c>
      <c r="H179" s="59">
        <v>-33124.480000000003</v>
      </c>
      <c r="I179" s="56" t="s">
        <v>31</v>
      </c>
      <c r="K179" s="74">
        <v>256779422209</v>
      </c>
      <c r="L179" s="73" t="s">
        <v>82</v>
      </c>
      <c r="M179" s="16">
        <v>-45.63</v>
      </c>
    </row>
    <row r="180" spans="1:13" x14ac:dyDescent="0.35">
      <c r="A180" s="55">
        <v>1400001905</v>
      </c>
      <c r="B180" s="33" t="s">
        <v>55</v>
      </c>
      <c r="C180" s="56" t="s">
        <v>39</v>
      </c>
      <c r="D180" s="57">
        <v>45976</v>
      </c>
      <c r="E180" s="56" t="s">
        <v>45</v>
      </c>
      <c r="F180" s="59">
        <v>-391.55</v>
      </c>
      <c r="G180" s="56" t="s">
        <v>34</v>
      </c>
      <c r="H180" s="59">
        <v>-34457.730000000003</v>
      </c>
      <c r="I180" s="56" t="s">
        <v>31</v>
      </c>
      <c r="K180" s="74">
        <v>256779422210</v>
      </c>
      <c r="L180" s="73" t="s">
        <v>82</v>
      </c>
      <c r="M180" s="16">
        <v>-22.64</v>
      </c>
    </row>
    <row r="181" spans="1:13" x14ac:dyDescent="0.35">
      <c r="A181" s="55">
        <v>1800014864</v>
      </c>
      <c r="B181" s="37">
        <v>256779419365</v>
      </c>
      <c r="C181" s="56" t="s">
        <v>57</v>
      </c>
      <c r="D181" s="57">
        <v>45980</v>
      </c>
      <c r="E181" s="56" t="s">
        <v>45</v>
      </c>
      <c r="F181" s="59">
        <v>292.99</v>
      </c>
      <c r="G181" s="56" t="s">
        <v>34</v>
      </c>
      <c r="H181" s="59">
        <v>25784.11</v>
      </c>
      <c r="I181" s="56" t="s">
        <v>98</v>
      </c>
      <c r="K181" s="74">
        <v>256779422211</v>
      </c>
      <c r="L181" s="73" t="s">
        <v>82</v>
      </c>
      <c r="M181" s="16">
        <v>-21.96</v>
      </c>
    </row>
    <row r="182" spans="1:13" x14ac:dyDescent="0.35">
      <c r="A182" s="55">
        <v>1800015079</v>
      </c>
      <c r="B182" s="37">
        <v>256779419592</v>
      </c>
      <c r="C182" s="56" t="s">
        <v>57</v>
      </c>
      <c r="D182" s="57">
        <v>45981</v>
      </c>
      <c r="E182" s="56" t="s">
        <v>45</v>
      </c>
      <c r="F182" s="59">
        <v>17.62</v>
      </c>
      <c r="G182" s="56" t="s">
        <v>34</v>
      </c>
      <c r="H182" s="59">
        <v>1550.62</v>
      </c>
      <c r="I182" s="56" t="s">
        <v>193</v>
      </c>
      <c r="K182" s="74">
        <v>256779440005</v>
      </c>
      <c r="L182" s="73" t="s">
        <v>57</v>
      </c>
      <c r="M182" s="16">
        <v>451.3</v>
      </c>
    </row>
    <row r="183" spans="1:13" x14ac:dyDescent="0.35">
      <c r="A183" s="55">
        <v>1800015134</v>
      </c>
      <c r="B183" s="37">
        <v>256779419633</v>
      </c>
      <c r="C183" s="56" t="s">
        <v>57</v>
      </c>
      <c r="D183" s="57">
        <v>45981</v>
      </c>
      <c r="E183" s="56" t="s">
        <v>45</v>
      </c>
      <c r="F183" s="59">
        <v>9.3699999999999992</v>
      </c>
      <c r="G183" s="56" t="s">
        <v>34</v>
      </c>
      <c r="H183" s="59">
        <v>824.59</v>
      </c>
      <c r="I183" s="56" t="s">
        <v>195</v>
      </c>
      <c r="K183" s="74">
        <v>256779440070</v>
      </c>
      <c r="L183" s="73" t="s">
        <v>57</v>
      </c>
      <c r="M183" s="16">
        <v>7.18</v>
      </c>
    </row>
    <row r="184" spans="1:13" x14ac:dyDescent="0.35">
      <c r="A184" s="55">
        <v>1800015482</v>
      </c>
      <c r="B184" s="37">
        <v>256779419966</v>
      </c>
      <c r="C184" s="56" t="s">
        <v>57</v>
      </c>
      <c r="D184" s="57">
        <v>45995</v>
      </c>
      <c r="E184" s="56" t="s">
        <v>45</v>
      </c>
      <c r="F184" s="60">
        <v>1127.3888888888889</v>
      </c>
      <c r="G184" s="56" t="s">
        <v>34</v>
      </c>
      <c r="H184" s="59">
        <v>100000</v>
      </c>
      <c r="I184" s="56" t="s">
        <v>70</v>
      </c>
      <c r="K184" s="74">
        <v>256779440082</v>
      </c>
      <c r="L184" s="73" t="s">
        <v>57</v>
      </c>
      <c r="M184" s="16">
        <v>2.25</v>
      </c>
    </row>
    <row r="185" spans="1:13" x14ac:dyDescent="0.35">
      <c r="A185" s="55">
        <v>1800015421</v>
      </c>
      <c r="B185" s="37">
        <v>256779419870</v>
      </c>
      <c r="C185" s="56" t="s">
        <v>57</v>
      </c>
      <c r="D185" s="57">
        <v>45999</v>
      </c>
      <c r="E185" s="56" t="s">
        <v>45</v>
      </c>
      <c r="F185" s="59">
        <v>18.96</v>
      </c>
      <c r="G185" s="56" t="s">
        <v>34</v>
      </c>
      <c r="H185" s="59">
        <v>1681.75</v>
      </c>
      <c r="I185" s="56" t="s">
        <v>176</v>
      </c>
      <c r="K185" s="74">
        <v>256779440102</v>
      </c>
      <c r="L185" s="73" t="s">
        <v>57</v>
      </c>
      <c r="M185" s="16">
        <v>20.39</v>
      </c>
    </row>
    <row r="186" spans="1:13" x14ac:dyDescent="0.35">
      <c r="A186" s="55">
        <v>1800015672</v>
      </c>
      <c r="B186" s="37">
        <v>256779440005</v>
      </c>
      <c r="C186" s="56" t="s">
        <v>57</v>
      </c>
      <c r="D186" s="57">
        <v>46024</v>
      </c>
      <c r="E186" s="56" t="s">
        <v>45</v>
      </c>
      <c r="F186" s="59">
        <v>451.3</v>
      </c>
      <c r="G186" s="56" t="s">
        <v>34</v>
      </c>
      <c r="H186" s="59">
        <v>40952.379999999997</v>
      </c>
      <c r="I186" s="56" t="s">
        <v>218</v>
      </c>
      <c r="K186" s="74">
        <v>256779440119</v>
      </c>
      <c r="L186" s="73" t="s">
        <v>57</v>
      </c>
      <c r="M186" s="16">
        <v>17.25</v>
      </c>
    </row>
    <row r="187" spans="1:13" x14ac:dyDescent="0.35">
      <c r="A187" s="55">
        <v>1600002686</v>
      </c>
      <c r="B187" s="37">
        <v>256779422156</v>
      </c>
      <c r="C187" s="56" t="s">
        <v>82</v>
      </c>
      <c r="D187" s="57">
        <v>46027</v>
      </c>
      <c r="E187" s="56" t="s">
        <v>45</v>
      </c>
      <c r="F187" s="59">
        <v>-59.62</v>
      </c>
      <c r="G187" s="56" t="s">
        <v>34</v>
      </c>
      <c r="H187" s="59">
        <v>-5410.11</v>
      </c>
      <c r="I187" s="56" t="s">
        <v>220</v>
      </c>
      <c r="K187" s="74">
        <v>256779440236</v>
      </c>
      <c r="L187" s="73" t="s">
        <v>57</v>
      </c>
      <c r="M187" s="16">
        <v>505.23</v>
      </c>
    </row>
    <row r="188" spans="1:13" x14ac:dyDescent="0.35">
      <c r="A188" s="55">
        <v>1600002687</v>
      </c>
      <c r="B188" s="37">
        <v>256779422157</v>
      </c>
      <c r="C188" s="56" t="s">
        <v>82</v>
      </c>
      <c r="D188" s="57">
        <v>46027</v>
      </c>
      <c r="E188" s="56" t="s">
        <v>45</v>
      </c>
      <c r="F188" s="59">
        <v>-49.33</v>
      </c>
      <c r="G188" s="56" t="s">
        <v>34</v>
      </c>
      <c r="H188" s="59">
        <v>-4476.3599999999997</v>
      </c>
      <c r="I188" s="56" t="s">
        <v>220</v>
      </c>
      <c r="K188" s="74">
        <v>256779440305</v>
      </c>
      <c r="L188" s="73" t="s">
        <v>57</v>
      </c>
      <c r="M188" s="16">
        <v>1098.901098901099</v>
      </c>
    </row>
    <row r="189" spans="1:13" x14ac:dyDescent="0.35">
      <c r="A189" s="55">
        <v>1600002698</v>
      </c>
      <c r="B189" s="37">
        <v>256779422168</v>
      </c>
      <c r="C189" s="56" t="s">
        <v>82</v>
      </c>
      <c r="D189" s="57">
        <v>46027</v>
      </c>
      <c r="E189" s="56" t="s">
        <v>45</v>
      </c>
      <c r="F189" s="59">
        <v>-27.64</v>
      </c>
      <c r="G189" s="56" t="s">
        <v>34</v>
      </c>
      <c r="H189" s="59">
        <v>-2508.14</v>
      </c>
      <c r="I189" s="56" t="s">
        <v>221</v>
      </c>
      <c r="K189" s="74">
        <v>256779440431</v>
      </c>
      <c r="L189" s="73" t="s">
        <v>57</v>
      </c>
      <c r="M189" s="16">
        <v>3</v>
      </c>
    </row>
    <row r="190" spans="1:13" x14ac:dyDescent="0.35">
      <c r="A190" s="55">
        <v>1800015986</v>
      </c>
      <c r="B190" s="37">
        <v>256779440070</v>
      </c>
      <c r="C190" s="56" t="s">
        <v>57</v>
      </c>
      <c r="D190" s="57">
        <v>46027</v>
      </c>
      <c r="E190" s="56" t="s">
        <v>45</v>
      </c>
      <c r="F190" s="59">
        <v>7.18</v>
      </c>
      <c r="G190" s="56" t="s">
        <v>34</v>
      </c>
      <c r="H190" s="59">
        <v>651.54</v>
      </c>
      <c r="I190" s="56" t="s">
        <v>223</v>
      </c>
      <c r="K190" s="75"/>
      <c r="L190" s="76"/>
      <c r="M190" s="76"/>
    </row>
    <row r="191" spans="1:13" x14ac:dyDescent="0.35">
      <c r="A191" s="55">
        <v>1800015968</v>
      </c>
      <c r="B191" s="37">
        <v>256779440082</v>
      </c>
      <c r="C191" s="56" t="s">
        <v>57</v>
      </c>
      <c r="D191" s="57">
        <v>46027</v>
      </c>
      <c r="E191" s="56" t="s">
        <v>45</v>
      </c>
      <c r="F191" s="59">
        <v>2.25</v>
      </c>
      <c r="G191" s="56" t="s">
        <v>34</v>
      </c>
      <c r="H191" s="59">
        <v>204.17</v>
      </c>
      <c r="I191" s="56" t="s">
        <v>225</v>
      </c>
      <c r="K191" s="74"/>
      <c r="L191" s="73"/>
      <c r="M191" s="73"/>
    </row>
    <row r="192" spans="1:13" x14ac:dyDescent="0.35">
      <c r="A192" s="55">
        <v>1800016055</v>
      </c>
      <c r="B192" s="37">
        <v>256779440102</v>
      </c>
      <c r="C192" s="56" t="s">
        <v>57</v>
      </c>
      <c r="D192" s="57">
        <v>46027</v>
      </c>
      <c r="E192" s="56" t="s">
        <v>45</v>
      </c>
      <c r="F192" s="59">
        <v>20.39</v>
      </c>
      <c r="G192" s="56" t="s">
        <v>34</v>
      </c>
      <c r="H192" s="59">
        <v>1850.25</v>
      </c>
      <c r="I192" s="56" t="s">
        <v>227</v>
      </c>
      <c r="K192" s="73"/>
      <c r="L192" s="73"/>
      <c r="M192" s="73"/>
    </row>
    <row r="193" spans="1:13" x14ac:dyDescent="0.35">
      <c r="A193" s="55">
        <v>1800016090</v>
      </c>
      <c r="B193" s="37">
        <v>256779440119</v>
      </c>
      <c r="C193" s="56" t="s">
        <v>57</v>
      </c>
      <c r="D193" s="57">
        <v>46027</v>
      </c>
      <c r="E193" s="56" t="s">
        <v>45</v>
      </c>
      <c r="F193" s="59">
        <v>17.25</v>
      </c>
      <c r="G193" s="56" t="s">
        <v>34</v>
      </c>
      <c r="H193" s="59">
        <v>1565.32</v>
      </c>
      <c r="I193" s="56" t="s">
        <v>229</v>
      </c>
      <c r="K193"/>
      <c r="L193"/>
      <c r="M193"/>
    </row>
    <row r="194" spans="1:13" x14ac:dyDescent="0.35">
      <c r="A194" s="55">
        <v>1800016346</v>
      </c>
      <c r="B194" s="37">
        <v>256779440236</v>
      </c>
      <c r="C194" s="56" t="s">
        <v>57</v>
      </c>
      <c r="D194" s="57">
        <v>46028</v>
      </c>
      <c r="E194" s="56" t="s">
        <v>45</v>
      </c>
      <c r="F194" s="59">
        <v>505.23</v>
      </c>
      <c r="G194" s="56" t="s">
        <v>34</v>
      </c>
      <c r="H194" s="59">
        <v>45846.16</v>
      </c>
      <c r="I194" s="56" t="s">
        <v>231</v>
      </c>
    </row>
    <row r="195" spans="1:13" x14ac:dyDescent="0.35">
      <c r="A195" s="55">
        <v>1800016543</v>
      </c>
      <c r="B195" s="37">
        <v>256779440305</v>
      </c>
      <c r="C195" s="56" t="s">
        <v>57</v>
      </c>
      <c r="D195" s="57">
        <v>46028</v>
      </c>
      <c r="E195" s="56" t="s">
        <v>45</v>
      </c>
      <c r="F195" s="68">
        <v>1102.0111111111109</v>
      </c>
      <c r="G195" s="56" t="s">
        <v>34</v>
      </c>
      <c r="H195" s="59">
        <v>100000</v>
      </c>
      <c r="I195" s="56" t="s">
        <v>233</v>
      </c>
    </row>
    <row r="196" spans="1:13" x14ac:dyDescent="0.35">
      <c r="A196" s="55">
        <v>1600002738</v>
      </c>
      <c r="B196" s="37">
        <v>256779422208</v>
      </c>
      <c r="C196" s="56" t="s">
        <v>82</v>
      </c>
      <c r="D196" s="57">
        <v>46035</v>
      </c>
      <c r="E196" s="56" t="s">
        <v>45</v>
      </c>
      <c r="F196" s="59">
        <v>-23.92</v>
      </c>
      <c r="G196" s="56" t="s">
        <v>34</v>
      </c>
      <c r="H196" s="59">
        <v>-2170.58</v>
      </c>
      <c r="I196" s="56" t="s">
        <v>235</v>
      </c>
    </row>
    <row r="197" spans="1:13" x14ac:dyDescent="0.35">
      <c r="A197" s="55">
        <v>1600002739</v>
      </c>
      <c r="B197" s="37">
        <v>256779422209</v>
      </c>
      <c r="C197" s="56" t="s">
        <v>82</v>
      </c>
      <c r="D197" s="57">
        <v>46035</v>
      </c>
      <c r="E197" s="56" t="s">
        <v>45</v>
      </c>
      <c r="F197" s="59">
        <v>-45.63</v>
      </c>
      <c r="G197" s="56" t="s">
        <v>34</v>
      </c>
      <c r="H197" s="59">
        <v>-4140.6099999999997</v>
      </c>
      <c r="I197" s="56" t="s">
        <v>236</v>
      </c>
    </row>
    <row r="198" spans="1:13" x14ac:dyDescent="0.35">
      <c r="A198" s="55">
        <v>1600002740</v>
      </c>
      <c r="B198" s="37">
        <v>256779422210</v>
      </c>
      <c r="C198" s="56" t="s">
        <v>82</v>
      </c>
      <c r="D198" s="57">
        <v>46035</v>
      </c>
      <c r="E198" s="56" t="s">
        <v>45</v>
      </c>
      <c r="F198" s="59">
        <v>-22.64</v>
      </c>
      <c r="G198" s="56" t="s">
        <v>34</v>
      </c>
      <c r="H198" s="59">
        <v>-2054.42</v>
      </c>
      <c r="I198" s="56" t="s">
        <v>237</v>
      </c>
    </row>
    <row r="199" spans="1:13" x14ac:dyDescent="0.35">
      <c r="A199" s="55">
        <v>1600002741</v>
      </c>
      <c r="B199" s="37">
        <v>256779422211</v>
      </c>
      <c r="C199" s="56" t="s">
        <v>82</v>
      </c>
      <c r="D199" s="57">
        <v>46035</v>
      </c>
      <c r="E199" s="56" t="s">
        <v>45</v>
      </c>
      <c r="F199" s="59">
        <v>-21.96</v>
      </c>
      <c r="G199" s="56" t="s">
        <v>34</v>
      </c>
      <c r="H199" s="59">
        <v>-1992.72</v>
      </c>
      <c r="I199" s="56" t="s">
        <v>238</v>
      </c>
    </row>
    <row r="200" spans="1:13" x14ac:dyDescent="0.35">
      <c r="A200" s="55">
        <v>1800017111</v>
      </c>
      <c r="B200" s="37">
        <v>256779440431</v>
      </c>
      <c r="C200" s="56" t="s">
        <v>57</v>
      </c>
      <c r="D200" s="57">
        <v>46045</v>
      </c>
      <c r="E200" s="56" t="s">
        <v>45</v>
      </c>
      <c r="F200" s="59">
        <v>3</v>
      </c>
      <c r="G200" s="56" t="s">
        <v>34</v>
      </c>
      <c r="H200" s="59">
        <v>272.23</v>
      </c>
      <c r="I200" s="56" t="s">
        <v>240</v>
      </c>
    </row>
    <row r="201" spans="1:13" x14ac:dyDescent="0.35">
      <c r="A201" s="55">
        <v>1400002558</v>
      </c>
      <c r="B201" s="69">
        <v>2166093</v>
      </c>
      <c r="C201" s="56" t="s">
        <v>43</v>
      </c>
      <c r="D201" s="57">
        <v>46050</v>
      </c>
      <c r="E201" s="56" t="s">
        <v>45</v>
      </c>
      <c r="F201" s="59">
        <v>-10691.42</v>
      </c>
      <c r="G201" s="56" t="s">
        <v>34</v>
      </c>
      <c r="H201" s="59">
        <v>-970173.02</v>
      </c>
      <c r="I201" s="56" t="s">
        <v>31</v>
      </c>
    </row>
    <row r="202" spans="1:13" x14ac:dyDescent="0.35">
      <c r="A202" s="71"/>
      <c r="B202" s="70" t="s">
        <v>31</v>
      </c>
      <c r="C202" s="71"/>
      <c r="D202" s="71"/>
      <c r="E202" s="71"/>
      <c r="F202" s="127">
        <f>SUM(F2:F201)</f>
        <v>8974.5146266300089</v>
      </c>
      <c r="G202" s="71"/>
      <c r="H202" s="71"/>
      <c r="I202" s="71"/>
    </row>
    <row r="203" spans="1:13" x14ac:dyDescent="0.35">
      <c r="A203" s="71"/>
      <c r="B203" s="70" t="s">
        <v>31</v>
      </c>
      <c r="C203" s="71"/>
      <c r="D203" s="71"/>
      <c r="E203" s="71"/>
      <c r="F203" s="128"/>
      <c r="G203" s="71"/>
      <c r="H203" s="71"/>
      <c r="I203" s="71"/>
    </row>
    <row r="204" spans="1:13" x14ac:dyDescent="0.35">
      <c r="A204" s="71"/>
      <c r="B204" s="70" t="s">
        <v>31</v>
      </c>
      <c r="C204" s="71"/>
      <c r="D204" s="71"/>
      <c r="E204" s="71"/>
      <c r="F204" s="127"/>
      <c r="G204" s="71"/>
      <c r="H204" s="71"/>
      <c r="I204" s="71"/>
    </row>
    <row r="205" spans="1:13" x14ac:dyDescent="0.35">
      <c r="A205" s="71"/>
      <c r="B205" s="70" t="s">
        <v>31</v>
      </c>
      <c r="C205" s="71"/>
      <c r="D205" s="71"/>
      <c r="E205" s="71"/>
      <c r="F205" s="127"/>
      <c r="G205" s="71"/>
      <c r="H205" s="71"/>
      <c r="I205" s="71"/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7715-62ED-4485-B5A9-7A4BCC4EB66A}">
  <sheetPr filterMode="1"/>
  <dimension ref="A1:AI206"/>
  <sheetViews>
    <sheetView topLeftCell="N1" zoomScaleNormal="100" workbookViewId="0">
      <selection activeCell="U207" sqref="U207"/>
    </sheetView>
  </sheetViews>
  <sheetFormatPr defaultRowHeight="14.5" x14ac:dyDescent="0.35"/>
  <cols>
    <col min="1" max="1" width="9.81640625" bestFit="1" customWidth="1"/>
    <col min="2" max="2" width="33.7265625" bestFit="1" customWidth="1"/>
    <col min="3" max="3" width="11.1796875" bestFit="1" customWidth="1"/>
    <col min="4" max="4" width="19.08984375" bestFit="1" customWidth="1"/>
    <col min="5" max="5" width="10" bestFit="1" customWidth="1"/>
    <col min="6" max="6" width="16.1796875" bestFit="1" customWidth="1"/>
    <col min="7" max="7" width="11.81640625" bestFit="1" customWidth="1"/>
    <col min="8" max="8" width="22.453125" bestFit="1" customWidth="1"/>
    <col min="9" max="9" width="16.08984375" bestFit="1" customWidth="1"/>
    <col min="10" max="10" width="13.1796875" bestFit="1" customWidth="1"/>
    <col min="11" max="11" width="22.81640625" bestFit="1" customWidth="1"/>
    <col min="12" max="12" width="16" bestFit="1" customWidth="1"/>
    <col min="13" max="13" width="12.453125" bestFit="1" customWidth="1"/>
    <col min="14" max="14" width="10.54296875" bestFit="1" customWidth="1"/>
    <col min="15" max="15" width="11.7265625" bestFit="1" customWidth="1"/>
    <col min="16" max="17" width="11" bestFit="1" customWidth="1"/>
    <col min="18" max="19" width="11" customWidth="1"/>
    <col min="20" max="20" width="10.7265625" bestFit="1" customWidth="1"/>
    <col min="21" max="21" width="13.6328125" bestFit="1" customWidth="1"/>
    <col min="22" max="22" width="19.54296875" bestFit="1" customWidth="1"/>
    <col min="23" max="23" width="12.7265625" bestFit="1" customWidth="1"/>
    <col min="24" max="24" width="6.90625" bestFit="1" customWidth="1"/>
    <col min="25" max="25" width="48" bestFit="1" customWidth="1"/>
    <col min="26" max="28" width="16.36328125" bestFit="1" customWidth="1"/>
    <col min="29" max="29" width="21.26953125" bestFit="1" customWidth="1"/>
    <col min="30" max="30" width="14.1796875" bestFit="1" customWidth="1"/>
    <col min="31" max="31" width="19" bestFit="1" customWidth="1"/>
    <col min="32" max="32" width="6.6328125" bestFit="1" customWidth="1"/>
    <col min="33" max="33" width="9.90625" bestFit="1" customWidth="1"/>
    <col min="34" max="34" width="7.453125" bestFit="1" customWidth="1"/>
    <col min="35" max="35" width="11.81640625" bestFit="1" customWidth="1"/>
  </cols>
  <sheetData>
    <row r="1" spans="1:34" x14ac:dyDescent="0.35">
      <c r="A1" s="97"/>
      <c r="O1">
        <f>SUBTOTAL(9,O3:O202)</f>
        <v>90064.439999999988</v>
      </c>
      <c r="Q1">
        <f>SUBTOTAL(9,Q3:Q202)</f>
        <v>-801583.91</v>
      </c>
      <c r="AH1">
        <f>SUBTOTAL(9,AH3:AH202)</f>
        <v>-9.1500000000000021</v>
      </c>
    </row>
    <row r="2" spans="1:34" ht="58" x14ac:dyDescent="0.3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/>
      <c r="S2" s="2"/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22</v>
      </c>
      <c r="AG2" s="36" t="s">
        <v>249</v>
      </c>
    </row>
    <row r="3" spans="1:34" hidden="1" x14ac:dyDescent="0.35">
      <c r="A3" s="32">
        <v>100222345</v>
      </c>
      <c r="B3" s="33" t="s">
        <v>29</v>
      </c>
      <c r="C3" s="34">
        <v>45902</v>
      </c>
      <c r="D3" s="32">
        <v>1400001107</v>
      </c>
      <c r="E3" s="33" t="s">
        <v>39</v>
      </c>
      <c r="F3" s="34">
        <v>45902</v>
      </c>
      <c r="G3" s="34">
        <v>45902</v>
      </c>
      <c r="H3" s="33" t="s">
        <v>31</v>
      </c>
      <c r="I3" s="33" t="s">
        <v>31</v>
      </c>
      <c r="J3" s="33" t="s">
        <v>32</v>
      </c>
      <c r="K3" s="33" t="s">
        <v>33</v>
      </c>
      <c r="L3" s="33" t="s">
        <v>31</v>
      </c>
      <c r="M3" s="33" t="s">
        <v>40</v>
      </c>
      <c r="N3" s="33" t="s">
        <v>34</v>
      </c>
      <c r="O3" s="35">
        <v>104184.06</v>
      </c>
      <c r="P3" s="33" t="s">
        <v>34</v>
      </c>
      <c r="Q3" s="35">
        <v>102382.08</v>
      </c>
      <c r="R3" s="35"/>
      <c r="S3" s="35"/>
      <c r="T3" s="33" t="s">
        <v>31</v>
      </c>
      <c r="U3" s="33" t="s">
        <v>35</v>
      </c>
      <c r="V3" s="33" t="s">
        <v>31</v>
      </c>
      <c r="W3" s="33" t="s">
        <v>31</v>
      </c>
      <c r="X3" s="33" t="s">
        <v>36</v>
      </c>
      <c r="Y3" s="33" t="s">
        <v>31</v>
      </c>
      <c r="Z3" s="33" t="s">
        <v>31</v>
      </c>
      <c r="AA3" s="33" t="s">
        <v>31</v>
      </c>
      <c r="AB3" s="33" t="s">
        <v>31</v>
      </c>
      <c r="AC3" s="34">
        <v>45902</v>
      </c>
      <c r="AD3" s="34">
        <v>45902</v>
      </c>
      <c r="AE3" s="33" t="s">
        <v>38</v>
      </c>
      <c r="AF3" s="19"/>
      <c r="AG3" t="e">
        <f>VLOOKUP(I3,'Customer Data'!$B$2:$F$149,4,0)</f>
        <v>#N/A</v>
      </c>
    </row>
    <row r="4" spans="1:34" hidden="1" x14ac:dyDescent="0.35">
      <c r="A4" s="32">
        <v>100222345</v>
      </c>
      <c r="B4" s="33" t="s">
        <v>29</v>
      </c>
      <c r="C4" s="34">
        <v>45902</v>
      </c>
      <c r="D4" s="32">
        <v>1400001107</v>
      </c>
      <c r="E4" s="33" t="s">
        <v>39</v>
      </c>
      <c r="F4" s="34">
        <v>45902</v>
      </c>
      <c r="G4" s="34">
        <v>45902</v>
      </c>
      <c r="H4" s="33" t="s">
        <v>31</v>
      </c>
      <c r="I4" s="33" t="s">
        <v>31</v>
      </c>
      <c r="J4" s="33" t="s">
        <v>32</v>
      </c>
      <c r="K4" s="33" t="s">
        <v>33</v>
      </c>
      <c r="L4" s="33" t="s">
        <v>31</v>
      </c>
      <c r="M4" s="33" t="s">
        <v>41</v>
      </c>
      <c r="N4" s="33" t="s">
        <v>34</v>
      </c>
      <c r="O4" s="35">
        <v>-104184.06</v>
      </c>
      <c r="P4" s="33" t="s">
        <v>34</v>
      </c>
      <c r="Q4" s="35">
        <v>-101775.06</v>
      </c>
      <c r="R4" s="35"/>
      <c r="S4" s="35"/>
      <c r="T4" s="33" t="s">
        <v>31</v>
      </c>
      <c r="U4" s="33" t="s">
        <v>35</v>
      </c>
      <c r="V4" s="33" t="s">
        <v>31</v>
      </c>
      <c r="W4" s="33" t="s">
        <v>31</v>
      </c>
      <c r="X4" s="33" t="s">
        <v>37</v>
      </c>
      <c r="Y4" s="33" t="s">
        <v>31</v>
      </c>
      <c r="Z4" s="33" t="s">
        <v>31</v>
      </c>
      <c r="AA4" s="33" t="s">
        <v>31</v>
      </c>
      <c r="AB4" s="33" t="s">
        <v>31</v>
      </c>
      <c r="AC4" s="34">
        <v>45902</v>
      </c>
      <c r="AD4" s="34">
        <v>45902</v>
      </c>
      <c r="AE4" s="33" t="s">
        <v>38</v>
      </c>
      <c r="AF4" s="19"/>
      <c r="AG4" t="e">
        <f>VLOOKUP(I4,'Customer Data'!$B$2:$F$149,4,0)</f>
        <v>#N/A</v>
      </c>
    </row>
    <row r="5" spans="1:34" hidden="1" x14ac:dyDescent="0.35">
      <c r="A5" s="32">
        <v>100222345</v>
      </c>
      <c r="B5" s="33" t="s">
        <v>29</v>
      </c>
      <c r="C5" s="34">
        <v>45861</v>
      </c>
      <c r="D5" s="32">
        <v>1400000797</v>
      </c>
      <c r="E5" s="33" t="s">
        <v>39</v>
      </c>
      <c r="F5" s="34">
        <v>45861</v>
      </c>
      <c r="G5" s="34">
        <v>45861</v>
      </c>
      <c r="H5" s="33" t="s">
        <v>31</v>
      </c>
      <c r="I5" s="33" t="s">
        <v>31</v>
      </c>
      <c r="J5" s="33" t="s">
        <v>32</v>
      </c>
      <c r="K5" s="33" t="s">
        <v>33</v>
      </c>
      <c r="L5" s="33" t="s">
        <v>31</v>
      </c>
      <c r="M5" s="33" t="s">
        <v>40</v>
      </c>
      <c r="N5" s="33" t="s">
        <v>34</v>
      </c>
      <c r="O5" s="35">
        <v>198636.61</v>
      </c>
      <c r="P5" s="33" t="s">
        <v>34</v>
      </c>
      <c r="Q5" s="35">
        <v>200764.2</v>
      </c>
      <c r="R5" s="35"/>
      <c r="S5" s="35"/>
      <c r="T5" s="33" t="s">
        <v>31</v>
      </c>
      <c r="U5" s="33" t="s">
        <v>35</v>
      </c>
      <c r="V5" s="33" t="s">
        <v>31</v>
      </c>
      <c r="W5" s="33" t="s">
        <v>31</v>
      </c>
      <c r="X5" s="33" t="s">
        <v>36</v>
      </c>
      <c r="Y5" s="33" t="s">
        <v>31</v>
      </c>
      <c r="Z5" s="33" t="s">
        <v>31</v>
      </c>
      <c r="AA5" s="33" t="s">
        <v>31</v>
      </c>
      <c r="AB5" s="33" t="s">
        <v>31</v>
      </c>
      <c r="AC5" s="34">
        <v>45861</v>
      </c>
      <c r="AD5" s="34">
        <v>45861</v>
      </c>
      <c r="AE5" s="33" t="s">
        <v>42</v>
      </c>
      <c r="AF5" s="19"/>
      <c r="AG5" t="e">
        <f>VLOOKUP(I5,'Customer Data'!$B$2:$F$149,4,0)</f>
        <v>#N/A</v>
      </c>
    </row>
    <row r="6" spans="1:34" hidden="1" x14ac:dyDescent="0.35">
      <c r="A6" s="32">
        <v>100222345</v>
      </c>
      <c r="B6" s="33" t="s">
        <v>29</v>
      </c>
      <c r="C6" s="34">
        <v>45861</v>
      </c>
      <c r="D6" s="32">
        <v>1400000797</v>
      </c>
      <c r="E6" s="33" t="s">
        <v>39</v>
      </c>
      <c r="F6" s="34">
        <v>45861</v>
      </c>
      <c r="G6" s="34">
        <v>45861</v>
      </c>
      <c r="H6" s="33" t="s">
        <v>31</v>
      </c>
      <c r="I6" s="33" t="s">
        <v>31</v>
      </c>
      <c r="J6" s="33" t="s">
        <v>32</v>
      </c>
      <c r="K6" s="33" t="s">
        <v>33</v>
      </c>
      <c r="L6" s="33" t="s">
        <v>31</v>
      </c>
      <c r="M6" s="33" t="s">
        <v>41</v>
      </c>
      <c r="N6" s="33" t="s">
        <v>34</v>
      </c>
      <c r="O6" s="35">
        <v>-198636.61</v>
      </c>
      <c r="P6" s="33" t="s">
        <v>34</v>
      </c>
      <c r="Q6" s="35">
        <v>-200764.2</v>
      </c>
      <c r="R6" s="35"/>
      <c r="S6" s="35"/>
      <c r="T6" s="33" t="s">
        <v>31</v>
      </c>
      <c r="U6" s="33" t="s">
        <v>35</v>
      </c>
      <c r="V6" s="33" t="s">
        <v>31</v>
      </c>
      <c r="W6" s="33" t="s">
        <v>31</v>
      </c>
      <c r="X6" s="33" t="s">
        <v>37</v>
      </c>
      <c r="Y6" s="33" t="s">
        <v>31</v>
      </c>
      <c r="Z6" s="33" t="s">
        <v>31</v>
      </c>
      <c r="AA6" s="33" t="s">
        <v>31</v>
      </c>
      <c r="AB6" s="33" t="s">
        <v>31</v>
      </c>
      <c r="AC6" s="34">
        <v>45861</v>
      </c>
      <c r="AD6" s="34">
        <v>45861</v>
      </c>
      <c r="AE6" s="33" t="s">
        <v>42</v>
      </c>
      <c r="AF6" s="19"/>
      <c r="AG6" t="e">
        <f>VLOOKUP(I6,'Customer Data'!$B$2:$F$149,4,0)</f>
        <v>#N/A</v>
      </c>
    </row>
    <row r="7" spans="1:34" hidden="1" x14ac:dyDescent="0.35">
      <c r="A7" s="32">
        <v>100222345</v>
      </c>
      <c r="B7" s="33" t="s">
        <v>29</v>
      </c>
      <c r="C7" s="34">
        <v>45891</v>
      </c>
      <c r="D7" s="32">
        <v>1400001003</v>
      </c>
      <c r="E7" s="33" t="s">
        <v>43</v>
      </c>
      <c r="F7" s="34">
        <v>45891</v>
      </c>
      <c r="G7" s="34">
        <v>45891</v>
      </c>
      <c r="H7" s="33" t="s">
        <v>44</v>
      </c>
      <c r="I7" s="33" t="s">
        <v>31</v>
      </c>
      <c r="J7" s="33" t="s">
        <v>32</v>
      </c>
      <c r="K7" s="33" t="s">
        <v>33</v>
      </c>
      <c r="L7" s="33" t="s">
        <v>31</v>
      </c>
      <c r="M7" s="33" t="s">
        <v>41</v>
      </c>
      <c r="N7" s="33" t="s">
        <v>45</v>
      </c>
      <c r="O7" s="35">
        <v>-4582.99</v>
      </c>
      <c r="P7" s="33" t="s">
        <v>34</v>
      </c>
      <c r="Q7" s="35">
        <v>-394140.21</v>
      </c>
      <c r="R7" s="35"/>
      <c r="S7" s="35"/>
      <c r="T7" s="33" t="s">
        <v>31</v>
      </c>
      <c r="U7" s="33" t="s">
        <v>46</v>
      </c>
      <c r="V7" s="33" t="s">
        <v>31</v>
      </c>
      <c r="W7" s="33" t="s">
        <v>31</v>
      </c>
      <c r="X7" s="33" t="s">
        <v>37</v>
      </c>
      <c r="Y7" s="33" t="s">
        <v>31</v>
      </c>
      <c r="Z7" s="33" t="s">
        <v>31</v>
      </c>
      <c r="AA7" s="33" t="s">
        <v>31</v>
      </c>
      <c r="AB7" s="33" t="s">
        <v>31</v>
      </c>
      <c r="AC7" s="34">
        <v>45891</v>
      </c>
      <c r="AD7" s="34"/>
      <c r="AE7" s="33" t="s">
        <v>31</v>
      </c>
      <c r="AF7" s="19"/>
      <c r="AG7" t="e">
        <f>VLOOKUP(I7,'Customer Data'!$B$2:$F$149,4,0)</f>
        <v>#N/A</v>
      </c>
    </row>
    <row r="8" spans="1:34" hidden="1" x14ac:dyDescent="0.35">
      <c r="A8" s="32">
        <v>100222345</v>
      </c>
      <c r="B8" s="33" t="s">
        <v>29</v>
      </c>
      <c r="C8" s="34">
        <v>45862</v>
      </c>
      <c r="D8" s="32">
        <v>1400000805</v>
      </c>
      <c r="E8" s="33" t="s">
        <v>43</v>
      </c>
      <c r="F8" s="34">
        <v>45862</v>
      </c>
      <c r="G8" s="34">
        <v>45862</v>
      </c>
      <c r="H8" s="33" t="s">
        <v>48</v>
      </c>
      <c r="I8" s="33" t="s">
        <v>31</v>
      </c>
      <c r="J8" s="33" t="s">
        <v>32</v>
      </c>
      <c r="K8" s="33" t="s">
        <v>33</v>
      </c>
      <c r="L8" s="33" t="s">
        <v>31</v>
      </c>
      <c r="M8" s="33" t="s">
        <v>41</v>
      </c>
      <c r="N8" s="33" t="s">
        <v>45</v>
      </c>
      <c r="O8" s="35">
        <v>-8262.11</v>
      </c>
      <c r="P8" s="33" t="s">
        <v>34</v>
      </c>
      <c r="Q8" s="35">
        <v>-713050.33</v>
      </c>
      <c r="R8" s="35"/>
      <c r="S8" s="35"/>
      <c r="T8" s="33" t="s">
        <v>31</v>
      </c>
      <c r="U8" s="33" t="s">
        <v>35</v>
      </c>
      <c r="V8" s="33" t="s">
        <v>31</v>
      </c>
      <c r="W8" s="33" t="s">
        <v>31</v>
      </c>
      <c r="X8" s="33" t="s">
        <v>49</v>
      </c>
      <c r="Y8" s="33" t="s">
        <v>48</v>
      </c>
      <c r="Z8" s="33" t="s">
        <v>31</v>
      </c>
      <c r="AA8" s="33" t="s">
        <v>31</v>
      </c>
      <c r="AB8" s="33" t="s">
        <v>31</v>
      </c>
      <c r="AC8" s="34">
        <v>45862</v>
      </c>
      <c r="AD8" s="34">
        <v>45862</v>
      </c>
      <c r="AE8" s="33" t="s">
        <v>47</v>
      </c>
      <c r="AF8" s="19"/>
      <c r="AG8" t="e">
        <f>VLOOKUP(I8,'Customer Data'!$B$2:$F$149,4,0)</f>
        <v>#N/A</v>
      </c>
    </row>
    <row r="9" spans="1:34" hidden="1" x14ac:dyDescent="0.35">
      <c r="A9" s="32">
        <v>100222345</v>
      </c>
      <c r="B9" s="33" t="s">
        <v>29</v>
      </c>
      <c r="C9" s="34">
        <v>45955</v>
      </c>
      <c r="D9" s="32">
        <v>1400001512</v>
      </c>
      <c r="E9" s="33" t="s">
        <v>43</v>
      </c>
      <c r="F9" s="34">
        <v>45955</v>
      </c>
      <c r="G9" s="34">
        <v>45955</v>
      </c>
      <c r="H9" s="33" t="s">
        <v>50</v>
      </c>
      <c r="I9" s="33" t="s">
        <v>31</v>
      </c>
      <c r="J9" s="33" t="s">
        <v>32</v>
      </c>
      <c r="K9" s="33" t="s">
        <v>33</v>
      </c>
      <c r="L9" s="33" t="s">
        <v>31</v>
      </c>
      <c r="M9" s="33" t="s">
        <v>41</v>
      </c>
      <c r="N9" s="33" t="s">
        <v>45</v>
      </c>
      <c r="O9" s="35">
        <v>-4875.1499999999996</v>
      </c>
      <c r="P9" s="33" t="s">
        <v>34</v>
      </c>
      <c r="Q9" s="35">
        <v>-429943.23</v>
      </c>
      <c r="R9" s="35"/>
      <c r="S9" s="35"/>
      <c r="T9" s="33" t="s">
        <v>31</v>
      </c>
      <c r="U9" s="33" t="s">
        <v>46</v>
      </c>
      <c r="V9" s="33" t="s">
        <v>31</v>
      </c>
      <c r="W9" s="33" t="s">
        <v>31</v>
      </c>
      <c r="X9" s="33" t="s">
        <v>37</v>
      </c>
      <c r="Y9" s="33" t="s">
        <v>31</v>
      </c>
      <c r="Z9" s="33" t="s">
        <v>31</v>
      </c>
      <c r="AA9" s="33" t="s">
        <v>31</v>
      </c>
      <c r="AB9" s="33" t="s">
        <v>31</v>
      </c>
      <c r="AC9" s="34">
        <v>45955</v>
      </c>
      <c r="AD9" s="34"/>
      <c r="AE9" s="33" t="s">
        <v>31</v>
      </c>
      <c r="AF9" s="19"/>
      <c r="AG9" t="e">
        <f>VLOOKUP(I9,'Customer Data'!$B$2:$F$149,4,0)</f>
        <v>#N/A</v>
      </c>
    </row>
    <row r="10" spans="1:34" hidden="1" x14ac:dyDescent="0.35">
      <c r="A10" s="32">
        <v>100222345</v>
      </c>
      <c r="B10" s="33" t="s">
        <v>29</v>
      </c>
      <c r="C10" s="34">
        <v>45976</v>
      </c>
      <c r="D10" s="32">
        <v>1400001904</v>
      </c>
      <c r="E10" s="33" t="s">
        <v>39</v>
      </c>
      <c r="F10" s="34">
        <v>45976</v>
      </c>
      <c r="G10" s="34">
        <v>45976</v>
      </c>
      <c r="H10" s="33" t="s">
        <v>54</v>
      </c>
      <c r="I10" s="33" t="s">
        <v>55</v>
      </c>
      <c r="J10" s="33" t="s">
        <v>32</v>
      </c>
      <c r="K10" s="33" t="s">
        <v>33</v>
      </c>
      <c r="L10" s="33" t="s">
        <v>31</v>
      </c>
      <c r="M10" s="33" t="s">
        <v>40</v>
      </c>
      <c r="N10" s="33" t="s">
        <v>45</v>
      </c>
      <c r="O10" s="35">
        <v>0</v>
      </c>
      <c r="P10" s="33" t="s">
        <v>34</v>
      </c>
      <c r="Q10" s="35">
        <v>0</v>
      </c>
      <c r="R10" s="35"/>
      <c r="S10" s="35"/>
      <c r="T10" s="33" t="s">
        <v>31</v>
      </c>
      <c r="U10" s="33" t="s">
        <v>35</v>
      </c>
      <c r="V10" s="33" t="s">
        <v>31</v>
      </c>
      <c r="W10" s="33" t="s">
        <v>31</v>
      </c>
      <c r="X10" s="33" t="s">
        <v>36</v>
      </c>
      <c r="Y10" s="33" t="s">
        <v>31</v>
      </c>
      <c r="Z10" s="33" t="s">
        <v>31</v>
      </c>
      <c r="AA10" s="33" t="s">
        <v>31</v>
      </c>
      <c r="AB10" s="33" t="s">
        <v>31</v>
      </c>
      <c r="AC10" s="34">
        <v>45976</v>
      </c>
      <c r="AD10" s="34">
        <v>45976</v>
      </c>
      <c r="AE10" s="33" t="s">
        <v>53</v>
      </c>
      <c r="AF10" s="19"/>
      <c r="AG10" t="e">
        <f>VLOOKUP(I10,'Customer Data'!$B$2:$F$149,4,0)</f>
        <v>#N/A</v>
      </c>
    </row>
    <row r="11" spans="1:34" hidden="1" x14ac:dyDescent="0.35">
      <c r="A11" s="32">
        <v>100222345</v>
      </c>
      <c r="B11" s="33" t="s">
        <v>29</v>
      </c>
      <c r="C11" s="34">
        <v>45976</v>
      </c>
      <c r="D11" s="32">
        <v>1400001905</v>
      </c>
      <c r="E11" s="33" t="s">
        <v>39</v>
      </c>
      <c r="F11" s="34">
        <v>45976</v>
      </c>
      <c r="G11" s="34">
        <v>45976</v>
      </c>
      <c r="H11" s="33" t="s">
        <v>54</v>
      </c>
      <c r="I11" s="33" t="s">
        <v>55</v>
      </c>
      <c r="J11" s="33" t="s">
        <v>32</v>
      </c>
      <c r="K11" s="33" t="s">
        <v>33</v>
      </c>
      <c r="L11" s="33" t="s">
        <v>31</v>
      </c>
      <c r="M11" s="33" t="s">
        <v>40</v>
      </c>
      <c r="N11" s="33" t="s">
        <v>45</v>
      </c>
      <c r="O11" s="35">
        <v>879.2</v>
      </c>
      <c r="P11" s="33" t="s">
        <v>34</v>
      </c>
      <c r="Q11" s="35">
        <v>77537.33</v>
      </c>
      <c r="R11" s="35"/>
      <c r="S11" s="35"/>
      <c r="T11" s="33" t="s">
        <v>31</v>
      </c>
      <c r="U11" s="33" t="s">
        <v>35</v>
      </c>
      <c r="V11" s="33" t="s">
        <v>31</v>
      </c>
      <c r="W11" s="33" t="s">
        <v>31</v>
      </c>
      <c r="X11" s="33" t="s">
        <v>30</v>
      </c>
      <c r="Y11" s="33" t="s">
        <v>31</v>
      </c>
      <c r="Z11" s="33" t="s">
        <v>31</v>
      </c>
      <c r="AA11" s="33" t="s">
        <v>31</v>
      </c>
      <c r="AB11" s="33" t="s">
        <v>31</v>
      </c>
      <c r="AC11" s="34">
        <v>45976</v>
      </c>
      <c r="AD11" s="34">
        <v>45976</v>
      </c>
      <c r="AE11" s="33" t="s">
        <v>56</v>
      </c>
      <c r="AF11" s="19"/>
      <c r="AG11" t="e">
        <f>VLOOKUP(I11,'Customer Data'!$B$2:$F$149,4,0)</f>
        <v>#N/A</v>
      </c>
    </row>
    <row r="12" spans="1:34" hidden="1" x14ac:dyDescent="0.35">
      <c r="A12" s="32">
        <v>100222345</v>
      </c>
      <c r="B12" s="33" t="s">
        <v>29</v>
      </c>
      <c r="C12" s="34">
        <v>45976</v>
      </c>
      <c r="D12" s="32">
        <v>1400001905</v>
      </c>
      <c r="E12" s="33" t="s">
        <v>39</v>
      </c>
      <c r="F12" s="34">
        <v>45976</v>
      </c>
      <c r="G12" s="34">
        <v>45976</v>
      </c>
      <c r="H12" s="33" t="s">
        <v>54</v>
      </c>
      <c r="I12" s="33" t="s">
        <v>55</v>
      </c>
      <c r="J12" s="33" t="s">
        <v>32</v>
      </c>
      <c r="K12" s="33" t="s">
        <v>33</v>
      </c>
      <c r="L12" s="33" t="s">
        <v>31</v>
      </c>
      <c r="M12" s="33" t="s">
        <v>41</v>
      </c>
      <c r="N12" s="33" t="s">
        <v>45</v>
      </c>
      <c r="O12" s="35">
        <v>-111.25</v>
      </c>
      <c r="P12" s="33" t="s">
        <v>34</v>
      </c>
      <c r="Q12" s="35">
        <v>-9790.3799999999992</v>
      </c>
      <c r="R12" s="35"/>
      <c r="S12" s="35"/>
      <c r="T12" s="33" t="s">
        <v>31</v>
      </c>
      <c r="U12" s="33" t="s">
        <v>35</v>
      </c>
      <c r="V12" s="33" t="s">
        <v>31</v>
      </c>
      <c r="W12" s="33" t="s">
        <v>54</v>
      </c>
      <c r="X12" s="33" t="s">
        <v>36</v>
      </c>
      <c r="Y12" s="33" t="s">
        <v>31</v>
      </c>
      <c r="Z12" s="33" t="s">
        <v>31</v>
      </c>
      <c r="AA12" s="33" t="s">
        <v>31</v>
      </c>
      <c r="AB12" s="33" t="s">
        <v>31</v>
      </c>
      <c r="AC12" s="34">
        <v>45976</v>
      </c>
      <c r="AD12" s="34"/>
      <c r="AE12" s="33" t="s">
        <v>31</v>
      </c>
      <c r="AF12" s="19"/>
      <c r="AG12" t="e">
        <f>VLOOKUP(I12,'Customer Data'!$B$2:$F$149,4,0)</f>
        <v>#N/A</v>
      </c>
    </row>
    <row r="13" spans="1:34" hidden="1" x14ac:dyDescent="0.35">
      <c r="A13" s="32">
        <v>100222345</v>
      </c>
      <c r="B13" s="33" t="s">
        <v>29</v>
      </c>
      <c r="C13" s="34">
        <v>45976</v>
      </c>
      <c r="D13" s="32">
        <v>1400001905</v>
      </c>
      <c r="E13" s="33" t="s">
        <v>39</v>
      </c>
      <c r="F13" s="34">
        <v>45976</v>
      </c>
      <c r="G13" s="34">
        <v>45976</v>
      </c>
      <c r="H13" s="33" t="s">
        <v>54</v>
      </c>
      <c r="I13" s="33" t="s">
        <v>55</v>
      </c>
      <c r="J13" s="33" t="s">
        <v>32</v>
      </c>
      <c r="K13" s="33" t="s">
        <v>33</v>
      </c>
      <c r="L13" s="33" t="s">
        <v>31</v>
      </c>
      <c r="M13" s="33" t="s">
        <v>41</v>
      </c>
      <c r="N13" s="33" t="s">
        <v>45</v>
      </c>
      <c r="O13" s="35">
        <v>-376.4</v>
      </c>
      <c r="P13" s="33" t="s">
        <v>34</v>
      </c>
      <c r="Q13" s="35">
        <v>-33124.480000000003</v>
      </c>
      <c r="R13" s="35"/>
      <c r="S13" s="35"/>
      <c r="T13" s="33" t="s">
        <v>31</v>
      </c>
      <c r="U13" s="33" t="s">
        <v>35</v>
      </c>
      <c r="V13" s="33" t="s">
        <v>31</v>
      </c>
      <c r="W13" s="33" t="s">
        <v>54</v>
      </c>
      <c r="X13" s="33" t="s">
        <v>37</v>
      </c>
      <c r="Y13" s="33" t="s">
        <v>31</v>
      </c>
      <c r="Z13" s="33" t="s">
        <v>31</v>
      </c>
      <c r="AA13" s="33" t="s">
        <v>31</v>
      </c>
      <c r="AB13" s="33" t="s">
        <v>31</v>
      </c>
      <c r="AC13" s="34">
        <v>45976</v>
      </c>
      <c r="AD13" s="34"/>
      <c r="AE13" s="33" t="s">
        <v>31</v>
      </c>
      <c r="AF13" s="19"/>
      <c r="AG13" t="e">
        <f>VLOOKUP(I13,'Customer Data'!$B$2:$F$149,4,0)</f>
        <v>#N/A</v>
      </c>
    </row>
    <row r="14" spans="1:34" hidden="1" x14ac:dyDescent="0.35">
      <c r="A14" s="32">
        <v>100222345</v>
      </c>
      <c r="B14" s="33" t="s">
        <v>29</v>
      </c>
      <c r="C14" s="34">
        <v>45976</v>
      </c>
      <c r="D14" s="32">
        <v>1400001905</v>
      </c>
      <c r="E14" s="33" t="s">
        <v>39</v>
      </c>
      <c r="F14" s="34">
        <v>45976</v>
      </c>
      <c r="G14" s="34">
        <v>45976</v>
      </c>
      <c r="H14" s="33" t="s">
        <v>54</v>
      </c>
      <c r="I14" s="33" t="s">
        <v>55</v>
      </c>
      <c r="J14" s="33" t="s">
        <v>32</v>
      </c>
      <c r="K14" s="33" t="s">
        <v>33</v>
      </c>
      <c r="L14" s="33" t="s">
        <v>31</v>
      </c>
      <c r="M14" s="33" t="s">
        <v>41</v>
      </c>
      <c r="N14" s="33" t="s">
        <v>45</v>
      </c>
      <c r="O14" s="35">
        <v>-391.55</v>
      </c>
      <c r="P14" s="33" t="s">
        <v>34</v>
      </c>
      <c r="Q14" s="35">
        <v>-34457.730000000003</v>
      </c>
      <c r="R14" s="35"/>
      <c r="S14" s="35"/>
      <c r="T14" s="33" t="s">
        <v>31</v>
      </c>
      <c r="U14" s="33" t="s">
        <v>35</v>
      </c>
      <c r="V14" s="33" t="s">
        <v>31</v>
      </c>
      <c r="W14" s="33" t="s">
        <v>54</v>
      </c>
      <c r="X14" s="33" t="s">
        <v>49</v>
      </c>
      <c r="Y14" s="33" t="s">
        <v>31</v>
      </c>
      <c r="Z14" s="33" t="s">
        <v>31</v>
      </c>
      <c r="AA14" s="33" t="s">
        <v>31</v>
      </c>
      <c r="AB14" s="33" t="s">
        <v>31</v>
      </c>
      <c r="AC14" s="34">
        <v>45976</v>
      </c>
      <c r="AD14" s="34"/>
      <c r="AE14" s="33" t="s">
        <v>31</v>
      </c>
      <c r="AF14" s="19"/>
      <c r="AG14" t="e">
        <f>VLOOKUP(I14,'Customer Data'!$B$2:$F$149,4,0)</f>
        <v>#N/A</v>
      </c>
    </row>
    <row r="15" spans="1:34" hidden="1" x14ac:dyDescent="0.35">
      <c r="A15" s="32">
        <v>100222345</v>
      </c>
      <c r="B15" s="33" t="s">
        <v>29</v>
      </c>
      <c r="C15" s="34">
        <v>45787</v>
      </c>
      <c r="D15" s="32">
        <v>1800008258</v>
      </c>
      <c r="E15" s="33" t="s">
        <v>57</v>
      </c>
      <c r="F15" s="34">
        <v>45787</v>
      </c>
      <c r="G15" s="34">
        <v>45791</v>
      </c>
      <c r="H15" s="33" t="s">
        <v>54</v>
      </c>
      <c r="I15" s="37">
        <v>256779413142</v>
      </c>
      <c r="J15" s="33" t="s">
        <v>32</v>
      </c>
      <c r="K15" s="33" t="s">
        <v>33</v>
      </c>
      <c r="L15" s="33" t="s">
        <v>31</v>
      </c>
      <c r="M15" s="33" t="s">
        <v>52</v>
      </c>
      <c r="N15" s="33" t="s">
        <v>34</v>
      </c>
      <c r="O15" s="35">
        <v>100000</v>
      </c>
      <c r="P15" s="33" t="s">
        <v>34</v>
      </c>
      <c r="Q15" s="35">
        <v>100000</v>
      </c>
      <c r="R15" s="35"/>
      <c r="S15" s="35"/>
      <c r="T15" s="33" t="s">
        <v>58</v>
      </c>
      <c r="U15" s="33" t="s">
        <v>35</v>
      </c>
      <c r="V15" s="33" t="s">
        <v>31</v>
      </c>
      <c r="W15" s="33" t="s">
        <v>54</v>
      </c>
      <c r="X15" s="33" t="s">
        <v>36</v>
      </c>
      <c r="Y15" s="33" t="s">
        <v>59</v>
      </c>
      <c r="Z15" s="33" t="s">
        <v>31</v>
      </c>
      <c r="AA15" s="33" t="s">
        <v>31</v>
      </c>
      <c r="AB15" s="33" t="s">
        <v>31</v>
      </c>
      <c r="AC15" s="34">
        <v>45787</v>
      </c>
      <c r="AD15" s="34"/>
      <c r="AE15" s="33" t="s">
        <v>31</v>
      </c>
      <c r="AF15" s="19"/>
      <c r="AG15">
        <f>VLOOKUP(I15,'Customer Data'!$B$2:$F$149,4,0)</f>
        <v>1046.71</v>
      </c>
    </row>
    <row r="16" spans="1:34" hidden="1" x14ac:dyDescent="0.35">
      <c r="A16" s="32">
        <v>100222345</v>
      </c>
      <c r="B16" s="33" t="s">
        <v>29</v>
      </c>
      <c r="C16" s="34">
        <v>45818</v>
      </c>
      <c r="D16" s="32">
        <v>1800009590</v>
      </c>
      <c r="E16" s="33" t="s">
        <v>57</v>
      </c>
      <c r="F16" s="34">
        <v>45818</v>
      </c>
      <c r="G16" s="34">
        <v>45825</v>
      </c>
      <c r="H16" s="33" t="s">
        <v>54</v>
      </c>
      <c r="I16" s="37">
        <v>256779414354</v>
      </c>
      <c r="J16" s="33" t="s">
        <v>32</v>
      </c>
      <c r="K16" s="33" t="s">
        <v>33</v>
      </c>
      <c r="L16" s="33" t="s">
        <v>31</v>
      </c>
      <c r="M16" s="33" t="s">
        <v>52</v>
      </c>
      <c r="N16" s="33" t="s">
        <v>34</v>
      </c>
      <c r="O16" s="35">
        <v>100000</v>
      </c>
      <c r="P16" s="33" t="s">
        <v>34</v>
      </c>
      <c r="Q16" s="35">
        <v>100000</v>
      </c>
      <c r="R16" s="35"/>
      <c r="S16" s="35"/>
      <c r="T16" s="33" t="s">
        <v>58</v>
      </c>
      <c r="U16" s="33" t="s">
        <v>35</v>
      </c>
      <c r="V16" s="33" t="s">
        <v>31</v>
      </c>
      <c r="W16" s="33" t="s">
        <v>54</v>
      </c>
      <c r="X16" s="33" t="s">
        <v>36</v>
      </c>
      <c r="Y16" s="33" t="s">
        <v>60</v>
      </c>
      <c r="Z16" s="33" t="s">
        <v>31</v>
      </c>
      <c r="AA16" s="33" t="s">
        <v>31</v>
      </c>
      <c r="AB16" s="33" t="s">
        <v>31</v>
      </c>
      <c r="AC16" s="34">
        <v>45818</v>
      </c>
      <c r="AD16" s="34"/>
      <c r="AE16" s="33" t="s">
        <v>31</v>
      </c>
      <c r="AF16" s="19"/>
      <c r="AG16">
        <f>VLOOKUP(I16,'Customer Data'!$B$2:$F$149,4,0)</f>
        <v>1052.75</v>
      </c>
    </row>
    <row r="17" spans="1:33" hidden="1" x14ac:dyDescent="0.35">
      <c r="A17" s="32">
        <v>100222345</v>
      </c>
      <c r="B17" s="33" t="s">
        <v>29</v>
      </c>
      <c r="C17" s="34">
        <v>45842</v>
      </c>
      <c r="D17" s="32">
        <v>1800010152</v>
      </c>
      <c r="E17" s="33" t="s">
        <v>57</v>
      </c>
      <c r="F17" s="34">
        <v>45842</v>
      </c>
      <c r="G17" s="34">
        <v>45847</v>
      </c>
      <c r="H17" s="33" t="s">
        <v>54</v>
      </c>
      <c r="I17" s="37">
        <v>256779414912</v>
      </c>
      <c r="J17" s="33" t="s">
        <v>32</v>
      </c>
      <c r="K17" s="33" t="s">
        <v>33</v>
      </c>
      <c r="L17" s="33" t="s">
        <v>31</v>
      </c>
      <c r="M17" s="33" t="s">
        <v>52</v>
      </c>
      <c r="N17" s="33" t="s">
        <v>34</v>
      </c>
      <c r="O17" s="35">
        <v>100000</v>
      </c>
      <c r="P17" s="33" t="s">
        <v>34</v>
      </c>
      <c r="Q17" s="35">
        <v>100000</v>
      </c>
      <c r="R17" s="35"/>
      <c r="S17" s="35"/>
      <c r="T17" s="33" t="s">
        <v>58</v>
      </c>
      <c r="U17" s="33" t="s">
        <v>35</v>
      </c>
      <c r="V17" s="33" t="s">
        <v>31</v>
      </c>
      <c r="W17" s="33" t="s">
        <v>54</v>
      </c>
      <c r="X17" s="33" t="s">
        <v>36</v>
      </c>
      <c r="Y17" s="33" t="s">
        <v>61</v>
      </c>
      <c r="Z17" s="33" t="s">
        <v>31</v>
      </c>
      <c r="AA17" s="33" t="s">
        <v>31</v>
      </c>
      <c r="AB17" s="33" t="s">
        <v>31</v>
      </c>
      <c r="AC17" s="34">
        <v>45842</v>
      </c>
      <c r="AD17" s="34"/>
      <c r="AE17" s="33" t="s">
        <v>31</v>
      </c>
      <c r="AF17" s="19"/>
      <c r="AG17">
        <f>VLOOKUP(I17,'Customer Data'!$B$2:$F$149,4,0)</f>
        <v>1046.5</v>
      </c>
    </row>
    <row r="18" spans="1:33" hidden="1" x14ac:dyDescent="0.35">
      <c r="A18" s="32">
        <v>100222345</v>
      </c>
      <c r="B18" s="33" t="s">
        <v>29</v>
      </c>
      <c r="C18" s="34">
        <v>45870</v>
      </c>
      <c r="D18" s="32">
        <v>1800011358</v>
      </c>
      <c r="E18" s="33" t="s">
        <v>57</v>
      </c>
      <c r="F18" s="34">
        <v>45870</v>
      </c>
      <c r="G18" s="34">
        <v>45873</v>
      </c>
      <c r="H18" s="33" t="s">
        <v>54</v>
      </c>
      <c r="I18" s="37">
        <v>256779416024</v>
      </c>
      <c r="J18" s="33" t="s">
        <v>32</v>
      </c>
      <c r="K18" s="33" t="s">
        <v>33</v>
      </c>
      <c r="L18" s="33" t="s">
        <v>31</v>
      </c>
      <c r="M18" s="33" t="s">
        <v>52</v>
      </c>
      <c r="N18" s="33" t="s">
        <v>34</v>
      </c>
      <c r="O18" s="35">
        <v>100000</v>
      </c>
      <c r="P18" s="33" t="s">
        <v>34</v>
      </c>
      <c r="Q18" s="35">
        <v>100000</v>
      </c>
      <c r="R18" s="35"/>
      <c r="S18" s="35"/>
      <c r="T18" s="33" t="s">
        <v>58</v>
      </c>
      <c r="U18" s="33" t="s">
        <v>35</v>
      </c>
      <c r="V18" s="33" t="s">
        <v>31</v>
      </c>
      <c r="W18" s="33" t="s">
        <v>54</v>
      </c>
      <c r="X18" s="33" t="s">
        <v>36</v>
      </c>
      <c r="Y18" s="33" t="s">
        <v>62</v>
      </c>
      <c r="Z18" s="33" t="s">
        <v>31</v>
      </c>
      <c r="AA18" s="33" t="s">
        <v>31</v>
      </c>
      <c r="AB18" s="33" t="s">
        <v>31</v>
      </c>
      <c r="AC18" s="34">
        <v>45870</v>
      </c>
      <c r="AD18" s="34"/>
      <c r="AE18" s="33" t="s">
        <v>31</v>
      </c>
      <c r="AF18" s="19"/>
      <c r="AG18">
        <f>VLOOKUP(I18,'Customer Data'!$B$2:$F$149,4,0)</f>
        <v>1046.1400000000001</v>
      </c>
    </row>
    <row r="19" spans="1:33" hidden="1" x14ac:dyDescent="0.35">
      <c r="A19" s="32">
        <v>100222345</v>
      </c>
      <c r="B19" s="33" t="s">
        <v>29</v>
      </c>
      <c r="C19" s="34">
        <v>45904</v>
      </c>
      <c r="D19" s="32">
        <v>1800012710</v>
      </c>
      <c r="E19" s="33" t="s">
        <v>57</v>
      </c>
      <c r="F19" s="34">
        <v>45904</v>
      </c>
      <c r="G19" s="34">
        <v>45909</v>
      </c>
      <c r="H19" s="33" t="s">
        <v>54</v>
      </c>
      <c r="I19" s="37">
        <v>256779417344</v>
      </c>
      <c r="J19" s="33" t="s">
        <v>32</v>
      </c>
      <c r="K19" s="33" t="s">
        <v>33</v>
      </c>
      <c r="L19" s="33" t="s">
        <v>31</v>
      </c>
      <c r="M19" s="33" t="s">
        <v>52</v>
      </c>
      <c r="N19" s="33" t="s">
        <v>34</v>
      </c>
      <c r="O19" s="35">
        <v>100000</v>
      </c>
      <c r="P19" s="33" t="s">
        <v>34</v>
      </c>
      <c r="Q19" s="35">
        <v>100000</v>
      </c>
      <c r="R19" s="35"/>
      <c r="S19" s="35"/>
      <c r="T19" s="33" t="s">
        <v>58</v>
      </c>
      <c r="U19" s="33" t="s">
        <v>35</v>
      </c>
      <c r="V19" s="33" t="s">
        <v>31</v>
      </c>
      <c r="W19" s="33" t="s">
        <v>63</v>
      </c>
      <c r="X19" s="33" t="s">
        <v>36</v>
      </c>
      <c r="Y19" s="33" t="s">
        <v>64</v>
      </c>
      <c r="Z19" s="33" t="s">
        <v>31</v>
      </c>
      <c r="AA19" s="33" t="s">
        <v>31</v>
      </c>
      <c r="AB19" s="33" t="s">
        <v>31</v>
      </c>
      <c r="AC19" s="34">
        <v>45904</v>
      </c>
      <c r="AD19" s="34"/>
      <c r="AE19" s="33" t="s">
        <v>31</v>
      </c>
      <c r="AF19" s="19"/>
      <c r="AG19">
        <f>VLOOKUP(I19,'Customer Data'!$B$2:$F$149,4,0)</f>
        <v>1028.4000000000001</v>
      </c>
    </row>
    <row r="20" spans="1:33" hidden="1" x14ac:dyDescent="0.35">
      <c r="A20" s="32">
        <v>100222345</v>
      </c>
      <c r="B20" s="33" t="s">
        <v>29</v>
      </c>
      <c r="C20" s="34">
        <v>45935</v>
      </c>
      <c r="D20" s="32">
        <v>1800013251</v>
      </c>
      <c r="E20" s="33" t="s">
        <v>57</v>
      </c>
      <c r="F20" s="34">
        <v>45935</v>
      </c>
      <c r="G20" s="34">
        <v>45937</v>
      </c>
      <c r="H20" s="33" t="s">
        <v>54</v>
      </c>
      <c r="I20" s="37">
        <v>256779417871</v>
      </c>
      <c r="J20" s="33" t="s">
        <v>32</v>
      </c>
      <c r="K20" s="33" t="s">
        <v>33</v>
      </c>
      <c r="L20" s="33" t="s">
        <v>31</v>
      </c>
      <c r="M20" s="33" t="s">
        <v>52</v>
      </c>
      <c r="N20" s="33" t="s">
        <v>34</v>
      </c>
      <c r="O20" s="35">
        <v>100000</v>
      </c>
      <c r="P20" s="33" t="s">
        <v>34</v>
      </c>
      <c r="Q20" s="35">
        <v>100000</v>
      </c>
      <c r="R20" s="35"/>
      <c r="S20" s="35"/>
      <c r="T20" s="33" t="s">
        <v>58</v>
      </c>
      <c r="U20" s="33" t="s">
        <v>35</v>
      </c>
      <c r="V20" s="33" t="s">
        <v>31</v>
      </c>
      <c r="W20" s="33" t="s">
        <v>65</v>
      </c>
      <c r="X20" s="33" t="s">
        <v>36</v>
      </c>
      <c r="Y20" s="33" t="s">
        <v>66</v>
      </c>
      <c r="Z20" s="33" t="s">
        <v>31</v>
      </c>
      <c r="AA20" s="33" t="s">
        <v>31</v>
      </c>
      <c r="AB20" s="33" t="s">
        <v>31</v>
      </c>
      <c r="AC20" s="34">
        <v>45935</v>
      </c>
      <c r="AD20" s="34"/>
      <c r="AE20" s="33" t="s">
        <v>31</v>
      </c>
      <c r="AF20" s="19"/>
      <c r="AG20">
        <f>VLOOKUP(I20,'Customer Data'!$B$2:$F$149,4,0)</f>
        <v>1020.5200000000001</v>
      </c>
    </row>
    <row r="21" spans="1:33" hidden="1" x14ac:dyDescent="0.35">
      <c r="A21" s="32">
        <v>100222345</v>
      </c>
      <c r="B21" s="33" t="s">
        <v>29</v>
      </c>
      <c r="C21" s="34">
        <v>45966</v>
      </c>
      <c r="D21" s="32">
        <v>1800014233</v>
      </c>
      <c r="E21" s="33" t="s">
        <v>57</v>
      </c>
      <c r="F21" s="34">
        <v>45966</v>
      </c>
      <c r="G21" s="34">
        <v>45966</v>
      </c>
      <c r="H21" s="33" t="s">
        <v>54</v>
      </c>
      <c r="I21" s="37">
        <v>256779418773</v>
      </c>
      <c r="J21" s="33" t="s">
        <v>32</v>
      </c>
      <c r="K21" s="33" t="s">
        <v>33</v>
      </c>
      <c r="L21" s="33" t="s">
        <v>31</v>
      </c>
      <c r="M21" s="33" t="s">
        <v>52</v>
      </c>
      <c r="N21" s="33" t="s">
        <v>34</v>
      </c>
      <c r="O21" s="35">
        <v>100000</v>
      </c>
      <c r="P21" s="33" t="s">
        <v>34</v>
      </c>
      <c r="Q21" s="35">
        <v>100000</v>
      </c>
      <c r="R21" s="35"/>
      <c r="S21" s="35"/>
      <c r="T21" s="33" t="s">
        <v>58</v>
      </c>
      <c r="U21" s="33" t="s">
        <v>35</v>
      </c>
      <c r="V21" s="33" t="s">
        <v>31</v>
      </c>
      <c r="W21" s="33" t="s">
        <v>67</v>
      </c>
      <c r="X21" s="33" t="s">
        <v>36</v>
      </c>
      <c r="Y21" s="33" t="s">
        <v>68</v>
      </c>
      <c r="Z21" s="33" t="s">
        <v>31</v>
      </c>
      <c r="AA21" s="33" t="s">
        <v>31</v>
      </c>
      <c r="AB21" s="33" t="s">
        <v>31</v>
      </c>
      <c r="AC21" s="34">
        <v>45966</v>
      </c>
      <c r="AD21" s="34"/>
      <c r="AE21" s="33" t="s">
        <v>31</v>
      </c>
      <c r="AF21" s="19"/>
      <c r="AG21">
        <f>VLOOKUP(I21,'Customer Data'!$B$2:$F$149,4,0)</f>
        <v>1022.6899999999999</v>
      </c>
    </row>
    <row r="22" spans="1:33" hidden="1" x14ac:dyDescent="0.35">
      <c r="A22" s="32">
        <v>100222345</v>
      </c>
      <c r="B22" s="33" t="s">
        <v>29</v>
      </c>
      <c r="C22" s="34">
        <v>45995</v>
      </c>
      <c r="D22" s="32">
        <v>1800015482</v>
      </c>
      <c r="E22" s="33" t="s">
        <v>57</v>
      </c>
      <c r="F22" s="34">
        <v>45995</v>
      </c>
      <c r="G22" s="34">
        <v>46000</v>
      </c>
      <c r="H22" s="33" t="s">
        <v>54</v>
      </c>
      <c r="I22" s="37">
        <v>256779419966</v>
      </c>
      <c r="J22" s="33" t="s">
        <v>32</v>
      </c>
      <c r="K22" s="33" t="s">
        <v>33</v>
      </c>
      <c r="L22" s="33" t="s">
        <v>31</v>
      </c>
      <c r="M22" s="33" t="s">
        <v>52</v>
      </c>
      <c r="N22" s="33" t="s">
        <v>34</v>
      </c>
      <c r="O22" s="35">
        <v>100000</v>
      </c>
      <c r="P22" s="33" t="s">
        <v>34</v>
      </c>
      <c r="Q22" s="35">
        <v>100000</v>
      </c>
      <c r="R22" s="35"/>
      <c r="S22" s="35"/>
      <c r="T22" s="33" t="s">
        <v>58</v>
      </c>
      <c r="U22" s="33" t="s">
        <v>35</v>
      </c>
      <c r="V22" s="33" t="s">
        <v>31</v>
      </c>
      <c r="W22" s="33" t="s">
        <v>69</v>
      </c>
      <c r="X22" s="33" t="s">
        <v>36</v>
      </c>
      <c r="Y22" s="33" t="s">
        <v>70</v>
      </c>
      <c r="Z22" s="33" t="s">
        <v>31</v>
      </c>
      <c r="AA22" s="33" t="s">
        <v>31</v>
      </c>
      <c r="AB22" s="33" t="s">
        <v>31</v>
      </c>
      <c r="AC22" s="34">
        <v>45995</v>
      </c>
      <c r="AD22" s="34"/>
      <c r="AE22" s="33" t="s">
        <v>31</v>
      </c>
      <c r="AF22" s="19"/>
      <c r="AG22">
        <f>VLOOKUP(I22,'Customer Data'!$B$2:$F$149,4,0)</f>
        <v>1014.65</v>
      </c>
    </row>
    <row r="23" spans="1:33" hidden="1" x14ac:dyDescent="0.35">
      <c r="A23" s="32">
        <v>100222345</v>
      </c>
      <c r="B23" s="33" t="s">
        <v>29</v>
      </c>
      <c r="C23" s="34">
        <v>45730</v>
      </c>
      <c r="D23" s="32">
        <v>1800001820</v>
      </c>
      <c r="E23" s="33" t="s">
        <v>57</v>
      </c>
      <c r="F23" s="34">
        <v>45730</v>
      </c>
      <c r="G23" s="34">
        <v>45733</v>
      </c>
      <c r="H23" s="33" t="s">
        <v>54</v>
      </c>
      <c r="I23" s="37">
        <v>246779411485</v>
      </c>
      <c r="J23" s="33" t="s">
        <v>32</v>
      </c>
      <c r="K23" s="33" t="s">
        <v>33</v>
      </c>
      <c r="L23" s="33" t="s">
        <v>31</v>
      </c>
      <c r="M23" s="33" t="s">
        <v>52</v>
      </c>
      <c r="N23" s="33" t="s">
        <v>45</v>
      </c>
      <c r="O23" s="35">
        <v>100</v>
      </c>
      <c r="P23" s="33" t="s">
        <v>34</v>
      </c>
      <c r="Q23" s="35">
        <v>8669.1299999999992</v>
      </c>
      <c r="R23" s="35"/>
      <c r="S23" s="35"/>
      <c r="T23" s="33" t="s">
        <v>58</v>
      </c>
      <c r="U23" s="33" t="s">
        <v>35</v>
      </c>
      <c r="V23" s="33" t="s">
        <v>31</v>
      </c>
      <c r="W23" s="33" t="s">
        <v>54</v>
      </c>
      <c r="X23" s="33" t="s">
        <v>36</v>
      </c>
      <c r="Y23" s="33" t="s">
        <v>71</v>
      </c>
      <c r="Z23" s="33" t="s">
        <v>31</v>
      </c>
      <c r="AA23" s="33" t="s">
        <v>31</v>
      </c>
      <c r="AB23" s="33" t="s">
        <v>31</v>
      </c>
      <c r="AC23" s="34">
        <v>45730</v>
      </c>
      <c r="AD23" s="34"/>
      <c r="AE23" s="33" t="s">
        <v>31</v>
      </c>
      <c r="AF23" s="19"/>
      <c r="AG23">
        <f>VLOOKUP(I23,'Customer Data'!$B$2:$F$149,4,0)</f>
        <v>98</v>
      </c>
    </row>
    <row r="24" spans="1:33" hidden="1" x14ac:dyDescent="0.35">
      <c r="A24" s="32">
        <v>100222345</v>
      </c>
      <c r="B24" s="33" t="s">
        <v>29</v>
      </c>
      <c r="C24" s="34">
        <v>45730</v>
      </c>
      <c r="D24" s="32">
        <v>1800001617</v>
      </c>
      <c r="E24" s="33" t="s">
        <v>57</v>
      </c>
      <c r="F24" s="34">
        <v>45730</v>
      </c>
      <c r="G24" s="34">
        <v>45735</v>
      </c>
      <c r="H24" s="33" t="s">
        <v>54</v>
      </c>
      <c r="I24" s="37">
        <v>246779412274</v>
      </c>
      <c r="J24" s="33" t="s">
        <v>32</v>
      </c>
      <c r="K24" s="33" t="s">
        <v>33</v>
      </c>
      <c r="L24" s="33" t="s">
        <v>31</v>
      </c>
      <c r="M24" s="33" t="s">
        <v>52</v>
      </c>
      <c r="N24" s="33" t="s">
        <v>45</v>
      </c>
      <c r="O24" s="35">
        <v>100</v>
      </c>
      <c r="P24" s="33" t="s">
        <v>34</v>
      </c>
      <c r="Q24" s="35">
        <v>8669.1299999999992</v>
      </c>
      <c r="R24" s="35"/>
      <c r="S24" s="35"/>
      <c r="T24" s="33" t="s">
        <v>58</v>
      </c>
      <c r="U24" s="33" t="s">
        <v>35</v>
      </c>
      <c r="V24" s="33" t="s">
        <v>31</v>
      </c>
      <c r="W24" s="33" t="s">
        <v>54</v>
      </c>
      <c r="X24" s="33" t="s">
        <v>36</v>
      </c>
      <c r="Y24" s="33" t="s">
        <v>71</v>
      </c>
      <c r="Z24" s="33" t="s">
        <v>31</v>
      </c>
      <c r="AA24" s="33" t="s">
        <v>31</v>
      </c>
      <c r="AB24" s="33" t="s">
        <v>31</v>
      </c>
      <c r="AC24" s="34">
        <v>45730</v>
      </c>
      <c r="AD24" s="34"/>
      <c r="AE24" s="33" t="s">
        <v>31</v>
      </c>
      <c r="AF24" s="19"/>
      <c r="AG24" t="e">
        <f>VLOOKUP(I24,'Customer Data'!$B$2:$F$149,4,0)</f>
        <v>#N/A</v>
      </c>
    </row>
    <row r="25" spans="1:33" hidden="1" x14ac:dyDescent="0.35">
      <c r="A25" s="32">
        <v>100222345</v>
      </c>
      <c r="B25" s="33" t="s">
        <v>29</v>
      </c>
      <c r="C25" s="34">
        <v>45720</v>
      </c>
      <c r="D25" s="32">
        <v>1800000754</v>
      </c>
      <c r="E25" s="33" t="s">
        <v>57</v>
      </c>
      <c r="F25" s="34">
        <v>45720</v>
      </c>
      <c r="G25" s="34">
        <v>45720</v>
      </c>
      <c r="H25" s="33" t="s">
        <v>54</v>
      </c>
      <c r="I25" s="37">
        <v>246779410694</v>
      </c>
      <c r="J25" s="33" t="s">
        <v>32</v>
      </c>
      <c r="K25" s="33" t="s">
        <v>33</v>
      </c>
      <c r="L25" s="33" t="s">
        <v>31</v>
      </c>
      <c r="M25" s="33" t="s">
        <v>52</v>
      </c>
      <c r="N25" s="33" t="s">
        <v>45</v>
      </c>
      <c r="O25" s="35">
        <v>59.36</v>
      </c>
      <c r="P25" s="33" t="s">
        <v>34</v>
      </c>
      <c r="Q25" s="35">
        <v>5145.99</v>
      </c>
      <c r="R25" s="35"/>
      <c r="S25" s="35"/>
      <c r="T25" s="33" t="s">
        <v>58</v>
      </c>
      <c r="U25" s="33" t="s">
        <v>35</v>
      </c>
      <c r="V25" s="33" t="s">
        <v>31</v>
      </c>
      <c r="W25" s="33" t="s">
        <v>54</v>
      </c>
      <c r="X25" s="33" t="s">
        <v>36</v>
      </c>
      <c r="Y25" s="33" t="s">
        <v>72</v>
      </c>
      <c r="Z25" s="33" t="s">
        <v>31</v>
      </c>
      <c r="AA25" s="33" t="s">
        <v>31</v>
      </c>
      <c r="AB25" s="33" t="s">
        <v>31</v>
      </c>
      <c r="AC25" s="34">
        <v>45720</v>
      </c>
      <c r="AD25" s="34"/>
      <c r="AE25" s="33" t="s">
        <v>31</v>
      </c>
      <c r="AF25" s="19"/>
      <c r="AG25">
        <f>VLOOKUP(I25,'Customer Data'!$B$2:$F$149,4,0)</f>
        <v>58.17</v>
      </c>
    </row>
    <row r="26" spans="1:33" hidden="1" x14ac:dyDescent="0.35">
      <c r="A26" s="32">
        <v>100222345</v>
      </c>
      <c r="B26" s="33" t="s">
        <v>29</v>
      </c>
      <c r="C26" s="34">
        <v>45720</v>
      </c>
      <c r="D26" s="32">
        <v>1800000915</v>
      </c>
      <c r="E26" s="33" t="s">
        <v>57</v>
      </c>
      <c r="F26" s="34">
        <v>45720</v>
      </c>
      <c r="G26" s="34">
        <v>45721</v>
      </c>
      <c r="H26" s="33" t="s">
        <v>54</v>
      </c>
      <c r="I26" s="37">
        <v>246779410856</v>
      </c>
      <c r="J26" s="33" t="s">
        <v>32</v>
      </c>
      <c r="K26" s="33" t="s">
        <v>33</v>
      </c>
      <c r="L26" s="33" t="s">
        <v>31</v>
      </c>
      <c r="M26" s="33" t="s">
        <v>52</v>
      </c>
      <c r="N26" s="33" t="s">
        <v>45</v>
      </c>
      <c r="O26" s="35">
        <v>18.32</v>
      </c>
      <c r="P26" s="33" t="s">
        <v>34</v>
      </c>
      <c r="Q26" s="35">
        <v>1588.18</v>
      </c>
      <c r="R26" s="35"/>
      <c r="S26" s="35"/>
      <c r="T26" s="33" t="s">
        <v>58</v>
      </c>
      <c r="U26" s="33" t="s">
        <v>35</v>
      </c>
      <c r="V26" s="33" t="s">
        <v>31</v>
      </c>
      <c r="W26" s="33" t="s">
        <v>54</v>
      </c>
      <c r="X26" s="33" t="s">
        <v>36</v>
      </c>
      <c r="Y26" s="33" t="s">
        <v>73</v>
      </c>
      <c r="Z26" s="33" t="s">
        <v>31</v>
      </c>
      <c r="AA26" s="33" t="s">
        <v>31</v>
      </c>
      <c r="AB26" s="33" t="s">
        <v>31</v>
      </c>
      <c r="AC26" s="34">
        <v>45720</v>
      </c>
      <c r="AD26" s="34"/>
      <c r="AE26" s="33" t="s">
        <v>31</v>
      </c>
      <c r="AF26" s="19"/>
      <c r="AG26">
        <f>VLOOKUP(I26,'Customer Data'!$B$2:$F$149,4,0)</f>
        <v>17.95</v>
      </c>
    </row>
    <row r="27" spans="1:33" hidden="1" x14ac:dyDescent="0.35">
      <c r="A27" s="32">
        <v>100222345</v>
      </c>
      <c r="B27" s="33" t="s">
        <v>29</v>
      </c>
      <c r="C27" s="34">
        <v>45751</v>
      </c>
      <c r="D27" s="32">
        <v>1800005899</v>
      </c>
      <c r="E27" s="33" t="s">
        <v>57</v>
      </c>
      <c r="F27" s="34">
        <v>45751</v>
      </c>
      <c r="G27" s="34">
        <v>45752</v>
      </c>
      <c r="H27" s="33" t="s">
        <v>54</v>
      </c>
      <c r="I27" s="37">
        <v>256779410791</v>
      </c>
      <c r="J27" s="33" t="s">
        <v>32</v>
      </c>
      <c r="K27" s="33" t="s">
        <v>33</v>
      </c>
      <c r="L27" s="33" t="s">
        <v>31</v>
      </c>
      <c r="M27" s="33" t="s">
        <v>52</v>
      </c>
      <c r="N27" s="33" t="s">
        <v>45</v>
      </c>
      <c r="O27" s="35">
        <v>441.2</v>
      </c>
      <c r="P27" s="33" t="s">
        <v>34</v>
      </c>
      <c r="Q27" s="35">
        <v>38349.910000000003</v>
      </c>
      <c r="R27" s="35"/>
      <c r="S27" s="35"/>
      <c r="T27" s="33" t="s">
        <v>58</v>
      </c>
      <c r="U27" s="33" t="s">
        <v>31</v>
      </c>
      <c r="V27" s="33" t="s">
        <v>31</v>
      </c>
      <c r="W27" s="33" t="s">
        <v>54</v>
      </c>
      <c r="X27" s="33" t="s">
        <v>36</v>
      </c>
      <c r="Y27" s="33" t="s">
        <v>74</v>
      </c>
      <c r="Z27" s="33" t="s">
        <v>31</v>
      </c>
      <c r="AA27" s="33" t="s">
        <v>31</v>
      </c>
      <c r="AB27" s="33" t="s">
        <v>31</v>
      </c>
      <c r="AC27" s="34">
        <v>45751</v>
      </c>
      <c r="AD27" s="34"/>
      <c r="AE27" s="33" t="s">
        <v>31</v>
      </c>
      <c r="AF27" s="19"/>
      <c r="AG27">
        <f>VLOOKUP(I27,'Customer Data'!$B$2:$F$149,4,0)</f>
        <v>397.08</v>
      </c>
    </row>
    <row r="28" spans="1:33" hidden="1" x14ac:dyDescent="0.35">
      <c r="A28" s="32">
        <v>100222345</v>
      </c>
      <c r="B28" s="33" t="s">
        <v>29</v>
      </c>
      <c r="C28" s="34">
        <v>45751</v>
      </c>
      <c r="D28" s="32">
        <v>1800005916</v>
      </c>
      <c r="E28" s="33" t="s">
        <v>57</v>
      </c>
      <c r="F28" s="34">
        <v>45751</v>
      </c>
      <c r="G28" s="34">
        <v>45752</v>
      </c>
      <c r="H28" s="33" t="s">
        <v>54</v>
      </c>
      <c r="I28" s="37">
        <v>256779410807</v>
      </c>
      <c r="J28" s="33" t="s">
        <v>32</v>
      </c>
      <c r="K28" s="33" t="s">
        <v>33</v>
      </c>
      <c r="L28" s="33" t="s">
        <v>31</v>
      </c>
      <c r="M28" s="33" t="s">
        <v>52</v>
      </c>
      <c r="N28" s="33" t="s">
        <v>45</v>
      </c>
      <c r="O28" s="35">
        <v>742.7</v>
      </c>
      <c r="P28" s="33" t="s">
        <v>34</v>
      </c>
      <c r="Q28" s="35">
        <v>64556.84</v>
      </c>
      <c r="R28" s="35"/>
      <c r="S28" s="35"/>
      <c r="T28" s="33" t="s">
        <v>58</v>
      </c>
      <c r="U28" s="33" t="s">
        <v>31</v>
      </c>
      <c r="V28" s="33" t="s">
        <v>31</v>
      </c>
      <c r="W28" s="33" t="s">
        <v>54</v>
      </c>
      <c r="X28" s="33" t="s">
        <v>36</v>
      </c>
      <c r="Y28" s="33" t="s">
        <v>75</v>
      </c>
      <c r="Z28" s="33" t="s">
        <v>31</v>
      </c>
      <c r="AA28" s="33" t="s">
        <v>31</v>
      </c>
      <c r="AB28" s="33" t="s">
        <v>31</v>
      </c>
      <c r="AC28" s="34">
        <v>45751</v>
      </c>
      <c r="AD28" s="34"/>
      <c r="AE28" s="33" t="s">
        <v>31</v>
      </c>
      <c r="AF28" s="19"/>
      <c r="AG28">
        <f>VLOOKUP(I28,'Customer Data'!$B$2:$F$149,4,0)</f>
        <v>668.43000000000006</v>
      </c>
    </row>
    <row r="29" spans="1:33" hidden="1" x14ac:dyDescent="0.35">
      <c r="A29" s="32">
        <v>100222345</v>
      </c>
      <c r="B29" s="33" t="s">
        <v>29</v>
      </c>
      <c r="C29" s="34">
        <v>45722</v>
      </c>
      <c r="D29" s="32">
        <v>1800000948</v>
      </c>
      <c r="E29" s="33" t="s">
        <v>57</v>
      </c>
      <c r="F29" s="34">
        <v>45722</v>
      </c>
      <c r="G29" s="34">
        <v>45722</v>
      </c>
      <c r="H29" s="33" t="s">
        <v>54</v>
      </c>
      <c r="I29" s="37">
        <v>246779410888</v>
      </c>
      <c r="J29" s="33" t="s">
        <v>32</v>
      </c>
      <c r="K29" s="33" t="s">
        <v>33</v>
      </c>
      <c r="L29" s="33" t="s">
        <v>31</v>
      </c>
      <c r="M29" s="33" t="s">
        <v>52</v>
      </c>
      <c r="N29" s="33" t="s">
        <v>45</v>
      </c>
      <c r="O29" s="35">
        <v>446.38</v>
      </c>
      <c r="P29" s="33" t="s">
        <v>34</v>
      </c>
      <c r="Q29" s="35">
        <v>38697.24</v>
      </c>
      <c r="R29" s="35"/>
      <c r="S29" s="35"/>
      <c r="T29" s="33" t="s">
        <v>58</v>
      </c>
      <c r="U29" s="33" t="s">
        <v>35</v>
      </c>
      <c r="V29" s="33" t="s">
        <v>31</v>
      </c>
      <c r="W29" s="33" t="s">
        <v>54</v>
      </c>
      <c r="X29" s="33" t="s">
        <v>36</v>
      </c>
      <c r="Y29" s="33" t="s">
        <v>76</v>
      </c>
      <c r="Z29" s="33" t="s">
        <v>31</v>
      </c>
      <c r="AA29" s="33" t="s">
        <v>31</v>
      </c>
      <c r="AB29" s="33" t="s">
        <v>31</v>
      </c>
      <c r="AC29" s="34">
        <v>45722</v>
      </c>
      <c r="AD29" s="34"/>
      <c r="AE29" s="33" t="s">
        <v>31</v>
      </c>
      <c r="AF29" s="19"/>
      <c r="AG29">
        <f>VLOOKUP(I29,'Customer Data'!$B$2:$F$149,4,0)</f>
        <v>401.74</v>
      </c>
    </row>
    <row r="30" spans="1:33" hidden="1" x14ac:dyDescent="0.35">
      <c r="A30" s="32">
        <v>100222345</v>
      </c>
      <c r="B30" s="33" t="s">
        <v>29</v>
      </c>
      <c r="C30" s="34">
        <v>45722</v>
      </c>
      <c r="D30" s="32">
        <v>1800000925</v>
      </c>
      <c r="E30" s="33" t="s">
        <v>57</v>
      </c>
      <c r="F30" s="34">
        <v>45722</v>
      </c>
      <c r="G30" s="34">
        <v>45722</v>
      </c>
      <c r="H30" s="33" t="s">
        <v>54</v>
      </c>
      <c r="I30" s="37">
        <v>246779410865</v>
      </c>
      <c r="J30" s="33" t="s">
        <v>32</v>
      </c>
      <c r="K30" s="33" t="s">
        <v>33</v>
      </c>
      <c r="L30" s="33" t="s">
        <v>31</v>
      </c>
      <c r="M30" s="33" t="s">
        <v>52</v>
      </c>
      <c r="N30" s="33" t="s">
        <v>45</v>
      </c>
      <c r="O30" s="35">
        <v>412.11</v>
      </c>
      <c r="P30" s="33" t="s">
        <v>34</v>
      </c>
      <c r="Q30" s="35">
        <v>35726.339999999997</v>
      </c>
      <c r="R30" s="35"/>
      <c r="S30" s="35"/>
      <c r="T30" s="33" t="s">
        <v>58</v>
      </c>
      <c r="U30" s="33" t="s">
        <v>35</v>
      </c>
      <c r="V30" s="33" t="s">
        <v>31</v>
      </c>
      <c r="W30" s="33" t="s">
        <v>54</v>
      </c>
      <c r="X30" s="33" t="s">
        <v>36</v>
      </c>
      <c r="Y30" s="33" t="s">
        <v>77</v>
      </c>
      <c r="Z30" s="33" t="s">
        <v>31</v>
      </c>
      <c r="AA30" s="33" t="s">
        <v>31</v>
      </c>
      <c r="AB30" s="33" t="s">
        <v>31</v>
      </c>
      <c r="AC30" s="34">
        <v>45722</v>
      </c>
      <c r="AD30" s="34"/>
      <c r="AE30" s="33" t="s">
        <v>31</v>
      </c>
      <c r="AF30" s="19"/>
      <c r="AG30">
        <f>VLOOKUP(I30,'Customer Data'!$B$2:$F$149,4,0)</f>
        <v>370.90000000000003</v>
      </c>
    </row>
    <row r="31" spans="1:33" hidden="1" x14ac:dyDescent="0.35">
      <c r="A31" s="32">
        <v>100222345</v>
      </c>
      <c r="B31" s="33" t="s">
        <v>29</v>
      </c>
      <c r="C31" s="34">
        <v>45722</v>
      </c>
      <c r="D31" s="32">
        <v>1800001035</v>
      </c>
      <c r="E31" s="33" t="s">
        <v>57</v>
      </c>
      <c r="F31" s="34">
        <v>45722</v>
      </c>
      <c r="G31" s="34">
        <v>45722</v>
      </c>
      <c r="H31" s="33" t="s">
        <v>54</v>
      </c>
      <c r="I31" s="37">
        <v>246779410975</v>
      </c>
      <c r="J31" s="33" t="s">
        <v>32</v>
      </c>
      <c r="K31" s="33" t="s">
        <v>33</v>
      </c>
      <c r="L31" s="33" t="s">
        <v>31</v>
      </c>
      <c r="M31" s="33" t="s">
        <v>52</v>
      </c>
      <c r="N31" s="33" t="s">
        <v>45</v>
      </c>
      <c r="O31" s="35">
        <v>28.91</v>
      </c>
      <c r="P31" s="33" t="s">
        <v>34</v>
      </c>
      <c r="Q31" s="35">
        <v>2506.2399999999998</v>
      </c>
      <c r="R31" s="35"/>
      <c r="S31" s="35"/>
      <c r="T31" s="33" t="s">
        <v>58</v>
      </c>
      <c r="U31" s="33" t="s">
        <v>35</v>
      </c>
      <c r="V31" s="33" t="s">
        <v>31</v>
      </c>
      <c r="W31" s="33" t="s">
        <v>54</v>
      </c>
      <c r="X31" s="33" t="s">
        <v>36</v>
      </c>
      <c r="Y31" s="33" t="s">
        <v>78</v>
      </c>
      <c r="Z31" s="33" t="s">
        <v>31</v>
      </c>
      <c r="AA31" s="33" t="s">
        <v>31</v>
      </c>
      <c r="AB31" s="33" t="s">
        <v>31</v>
      </c>
      <c r="AC31" s="34">
        <v>45722</v>
      </c>
      <c r="AD31" s="34"/>
      <c r="AE31" s="33" t="s">
        <v>31</v>
      </c>
      <c r="AF31" s="19"/>
      <c r="AG31">
        <f>VLOOKUP(I31,'Customer Data'!$B$2:$F$149,4,0)</f>
        <v>28.330000000000002</v>
      </c>
    </row>
    <row r="32" spans="1:33" hidden="1" x14ac:dyDescent="0.35">
      <c r="A32" s="32">
        <v>100222345</v>
      </c>
      <c r="B32" s="33" t="s">
        <v>29</v>
      </c>
      <c r="C32" s="34">
        <v>45722</v>
      </c>
      <c r="D32" s="32">
        <v>1800001036</v>
      </c>
      <c r="E32" s="33" t="s">
        <v>57</v>
      </c>
      <c r="F32" s="34">
        <v>45722</v>
      </c>
      <c r="G32" s="34">
        <v>45722</v>
      </c>
      <c r="H32" s="33" t="s">
        <v>54</v>
      </c>
      <c r="I32" s="37">
        <v>246779410976</v>
      </c>
      <c r="J32" s="33" t="s">
        <v>32</v>
      </c>
      <c r="K32" s="33" t="s">
        <v>33</v>
      </c>
      <c r="L32" s="33" t="s">
        <v>31</v>
      </c>
      <c r="M32" s="33" t="s">
        <v>52</v>
      </c>
      <c r="N32" s="33" t="s">
        <v>45</v>
      </c>
      <c r="O32" s="35">
        <v>24</v>
      </c>
      <c r="P32" s="33" t="s">
        <v>34</v>
      </c>
      <c r="Q32" s="35">
        <v>2080.59</v>
      </c>
      <c r="R32" s="35"/>
      <c r="S32" s="35"/>
      <c r="T32" s="33" t="s">
        <v>58</v>
      </c>
      <c r="U32" s="33" t="s">
        <v>35</v>
      </c>
      <c r="V32" s="33" t="s">
        <v>31</v>
      </c>
      <c r="W32" s="33" t="s">
        <v>54</v>
      </c>
      <c r="X32" s="33" t="s">
        <v>36</v>
      </c>
      <c r="Y32" s="33" t="s">
        <v>78</v>
      </c>
      <c r="Z32" s="33" t="s">
        <v>31</v>
      </c>
      <c r="AA32" s="33" t="s">
        <v>31</v>
      </c>
      <c r="AB32" s="33" t="s">
        <v>31</v>
      </c>
      <c r="AC32" s="34">
        <v>45722</v>
      </c>
      <c r="AD32" s="34"/>
      <c r="AE32" s="33" t="s">
        <v>31</v>
      </c>
      <c r="AF32" s="19"/>
      <c r="AG32">
        <f>VLOOKUP(I32,'Customer Data'!$B$2:$F$149,4,0)</f>
        <v>23.51</v>
      </c>
    </row>
    <row r="33" spans="1:35" hidden="1" x14ac:dyDescent="0.35">
      <c r="A33" s="32">
        <v>100222345</v>
      </c>
      <c r="B33" s="33" t="s">
        <v>29</v>
      </c>
      <c r="C33" s="34">
        <v>45722</v>
      </c>
      <c r="D33" s="32">
        <v>1800001120</v>
      </c>
      <c r="E33" s="33" t="s">
        <v>57</v>
      </c>
      <c r="F33" s="34">
        <v>45722</v>
      </c>
      <c r="G33" s="34">
        <v>45723</v>
      </c>
      <c r="H33" s="33" t="s">
        <v>54</v>
      </c>
      <c r="I33" s="37">
        <v>246779411056</v>
      </c>
      <c r="J33" s="33" t="s">
        <v>32</v>
      </c>
      <c r="K33" s="33" t="s">
        <v>33</v>
      </c>
      <c r="L33" s="33" t="s">
        <v>31</v>
      </c>
      <c r="M33" s="33" t="s">
        <v>52</v>
      </c>
      <c r="N33" s="33" t="s">
        <v>45</v>
      </c>
      <c r="O33" s="35">
        <v>59.36</v>
      </c>
      <c r="P33" s="33" t="s">
        <v>34</v>
      </c>
      <c r="Q33" s="35">
        <v>5145.99</v>
      </c>
      <c r="R33" s="35"/>
      <c r="S33" s="35"/>
      <c r="T33" s="33" t="s">
        <v>58</v>
      </c>
      <c r="U33" s="33" t="s">
        <v>35</v>
      </c>
      <c r="V33" s="33" t="s">
        <v>31</v>
      </c>
      <c r="W33" s="33" t="s">
        <v>54</v>
      </c>
      <c r="X33" s="33" t="s">
        <v>36</v>
      </c>
      <c r="Y33" s="33" t="s">
        <v>79</v>
      </c>
      <c r="Z33" s="33" t="s">
        <v>31</v>
      </c>
      <c r="AA33" s="33" t="s">
        <v>31</v>
      </c>
      <c r="AB33" s="33" t="s">
        <v>31</v>
      </c>
      <c r="AC33" s="34">
        <v>45722</v>
      </c>
      <c r="AD33" s="34"/>
      <c r="AE33" s="33" t="s">
        <v>31</v>
      </c>
      <c r="AF33" s="19"/>
      <c r="AG33">
        <f>VLOOKUP(I33,'Customer Data'!$B$2:$F$149,4,0)</f>
        <v>58.17</v>
      </c>
    </row>
    <row r="34" spans="1:35" hidden="1" x14ac:dyDescent="0.35">
      <c r="A34" s="32">
        <v>100222345</v>
      </c>
      <c r="B34" s="33" t="s">
        <v>29</v>
      </c>
      <c r="C34" s="34">
        <v>45722</v>
      </c>
      <c r="D34" s="32">
        <v>1800001121</v>
      </c>
      <c r="E34" s="33" t="s">
        <v>57</v>
      </c>
      <c r="F34" s="34">
        <v>45722</v>
      </c>
      <c r="G34" s="34">
        <v>45723</v>
      </c>
      <c r="H34" s="33" t="s">
        <v>54</v>
      </c>
      <c r="I34" s="37">
        <v>246779411057</v>
      </c>
      <c r="J34" s="33" t="s">
        <v>32</v>
      </c>
      <c r="K34" s="33" t="s">
        <v>33</v>
      </c>
      <c r="L34" s="33" t="s">
        <v>31</v>
      </c>
      <c r="M34" s="33" t="s">
        <v>52</v>
      </c>
      <c r="N34" s="33" t="s">
        <v>45</v>
      </c>
      <c r="O34" s="35">
        <v>67.67</v>
      </c>
      <c r="P34" s="33" t="s">
        <v>34</v>
      </c>
      <c r="Q34" s="35">
        <v>5866.4</v>
      </c>
      <c r="R34" s="35"/>
      <c r="S34" s="35"/>
      <c r="T34" s="33" t="s">
        <v>58</v>
      </c>
      <c r="U34" s="33" t="s">
        <v>35</v>
      </c>
      <c r="V34" s="33" t="s">
        <v>31</v>
      </c>
      <c r="W34" s="33" t="s">
        <v>54</v>
      </c>
      <c r="X34" s="33" t="s">
        <v>36</v>
      </c>
      <c r="Y34" s="33" t="s">
        <v>79</v>
      </c>
      <c r="Z34" s="33" t="s">
        <v>31</v>
      </c>
      <c r="AA34" s="33" t="s">
        <v>31</v>
      </c>
      <c r="AB34" s="33" t="s">
        <v>31</v>
      </c>
      <c r="AC34" s="34">
        <v>45722</v>
      </c>
      <c r="AD34" s="34"/>
      <c r="AE34" s="33" t="s">
        <v>31</v>
      </c>
      <c r="AF34" s="19"/>
      <c r="AG34">
        <f>VLOOKUP(I34,'Customer Data'!$B$2:$F$149,4,0)</f>
        <v>66.320000000000007</v>
      </c>
    </row>
    <row r="35" spans="1:35" hidden="1" x14ac:dyDescent="0.35">
      <c r="A35" s="32">
        <v>100222345</v>
      </c>
      <c r="B35" s="33" t="s">
        <v>29</v>
      </c>
      <c r="C35" s="34">
        <v>45722</v>
      </c>
      <c r="D35" s="32">
        <v>1800001321</v>
      </c>
      <c r="E35" s="33" t="s">
        <v>57</v>
      </c>
      <c r="F35" s="34">
        <v>45722</v>
      </c>
      <c r="G35" s="34">
        <v>45723</v>
      </c>
      <c r="H35" s="33" t="s">
        <v>54</v>
      </c>
      <c r="I35" s="37">
        <v>246779411190</v>
      </c>
      <c r="J35" s="33" t="s">
        <v>32</v>
      </c>
      <c r="K35" s="33" t="s">
        <v>33</v>
      </c>
      <c r="L35" s="33" t="s">
        <v>31</v>
      </c>
      <c r="M35" s="33" t="s">
        <v>52</v>
      </c>
      <c r="N35" s="33" t="s">
        <v>45</v>
      </c>
      <c r="O35" s="35">
        <v>17.25</v>
      </c>
      <c r="P35" s="33" t="s">
        <v>34</v>
      </c>
      <c r="Q35" s="35">
        <v>1495.42</v>
      </c>
      <c r="R35" s="35"/>
      <c r="S35" s="35"/>
      <c r="T35" s="33" t="s">
        <v>58</v>
      </c>
      <c r="U35" s="33" t="s">
        <v>35</v>
      </c>
      <c r="V35" s="33" t="s">
        <v>31</v>
      </c>
      <c r="W35" s="33" t="s">
        <v>54</v>
      </c>
      <c r="X35" s="33" t="s">
        <v>36</v>
      </c>
      <c r="Y35" s="33" t="s">
        <v>80</v>
      </c>
      <c r="Z35" s="33" t="s">
        <v>31</v>
      </c>
      <c r="AA35" s="33" t="s">
        <v>31</v>
      </c>
      <c r="AB35" s="33" t="s">
        <v>31</v>
      </c>
      <c r="AC35" s="34">
        <v>45722</v>
      </c>
      <c r="AD35" s="34"/>
      <c r="AE35" s="33" t="s">
        <v>31</v>
      </c>
      <c r="AF35" s="19"/>
      <c r="AG35">
        <f>VLOOKUP(I35,'Customer Data'!$B$2:$F$149,4,0)</f>
        <v>16.899999999999999</v>
      </c>
    </row>
    <row r="36" spans="1:35" hidden="1" x14ac:dyDescent="0.35">
      <c r="A36" s="32">
        <v>100222345</v>
      </c>
      <c r="B36" s="33" t="s">
        <v>29</v>
      </c>
      <c r="C36" s="34">
        <v>45722</v>
      </c>
      <c r="D36" s="32">
        <v>1800001322</v>
      </c>
      <c r="E36" s="33" t="s">
        <v>57</v>
      </c>
      <c r="F36" s="34">
        <v>45722</v>
      </c>
      <c r="G36" s="34">
        <v>45723</v>
      </c>
      <c r="H36" s="33" t="s">
        <v>54</v>
      </c>
      <c r="I36" s="37">
        <v>246779411191</v>
      </c>
      <c r="J36" s="33" t="s">
        <v>32</v>
      </c>
      <c r="K36" s="33" t="s">
        <v>33</v>
      </c>
      <c r="L36" s="33" t="s">
        <v>31</v>
      </c>
      <c r="M36" s="33" t="s">
        <v>52</v>
      </c>
      <c r="N36" s="33" t="s">
        <v>45</v>
      </c>
      <c r="O36" s="35">
        <v>26.15</v>
      </c>
      <c r="P36" s="33" t="s">
        <v>34</v>
      </c>
      <c r="Q36" s="35">
        <v>2266.98</v>
      </c>
      <c r="R36" s="35"/>
      <c r="S36" s="35"/>
      <c r="T36" s="33" t="s">
        <v>58</v>
      </c>
      <c r="U36" s="33" t="s">
        <v>35</v>
      </c>
      <c r="V36" s="33" t="s">
        <v>31</v>
      </c>
      <c r="W36" s="33" t="s">
        <v>54</v>
      </c>
      <c r="X36" s="33" t="s">
        <v>36</v>
      </c>
      <c r="Y36" s="33" t="s">
        <v>80</v>
      </c>
      <c r="Z36" s="33" t="s">
        <v>31</v>
      </c>
      <c r="AA36" s="33" t="s">
        <v>31</v>
      </c>
      <c r="AB36" s="33" t="s">
        <v>31</v>
      </c>
      <c r="AC36" s="34">
        <v>45722</v>
      </c>
      <c r="AD36" s="34"/>
      <c r="AE36" s="33" t="s">
        <v>31</v>
      </c>
      <c r="AF36" s="19"/>
      <c r="AG36">
        <f>VLOOKUP(I36,'Customer Data'!$B$2:$F$149,4,0)</f>
        <v>25.63</v>
      </c>
    </row>
    <row r="37" spans="1:35" hidden="1" x14ac:dyDescent="0.35">
      <c r="A37" s="32">
        <v>100222345</v>
      </c>
      <c r="B37" s="33" t="s">
        <v>29</v>
      </c>
      <c r="C37" s="34">
        <v>45722</v>
      </c>
      <c r="D37" s="32">
        <v>1800001384</v>
      </c>
      <c r="E37" s="33" t="s">
        <v>57</v>
      </c>
      <c r="F37" s="34">
        <v>45722</v>
      </c>
      <c r="G37" s="34">
        <v>45723</v>
      </c>
      <c r="H37" s="33" t="s">
        <v>54</v>
      </c>
      <c r="I37" s="37">
        <v>246779411253</v>
      </c>
      <c r="J37" s="33" t="s">
        <v>32</v>
      </c>
      <c r="K37" s="33" t="s">
        <v>33</v>
      </c>
      <c r="L37" s="33" t="s">
        <v>31</v>
      </c>
      <c r="M37" s="33" t="s">
        <v>52</v>
      </c>
      <c r="N37" s="33" t="s">
        <v>45</v>
      </c>
      <c r="O37" s="35">
        <v>20</v>
      </c>
      <c r="P37" s="33" t="s">
        <v>34</v>
      </c>
      <c r="Q37" s="35">
        <v>1733.83</v>
      </c>
      <c r="R37" s="35"/>
      <c r="S37" s="35"/>
      <c r="T37" s="33" t="s">
        <v>58</v>
      </c>
      <c r="U37" s="33" t="s">
        <v>35</v>
      </c>
      <c r="V37" s="33" t="s">
        <v>31</v>
      </c>
      <c r="W37" s="33" t="s">
        <v>54</v>
      </c>
      <c r="X37" s="33" t="s">
        <v>36</v>
      </c>
      <c r="Y37" s="33" t="s">
        <v>81</v>
      </c>
      <c r="Z37" s="33" t="s">
        <v>31</v>
      </c>
      <c r="AA37" s="33" t="s">
        <v>31</v>
      </c>
      <c r="AB37" s="33" t="s">
        <v>31</v>
      </c>
      <c r="AC37" s="34">
        <v>45722</v>
      </c>
      <c r="AD37" s="34"/>
      <c r="AE37" s="33" t="s">
        <v>31</v>
      </c>
      <c r="AF37" s="19"/>
      <c r="AG37">
        <f>VLOOKUP(I37,'Customer Data'!$B$2:$F$149,4,0)</f>
        <v>19.600000000000001</v>
      </c>
    </row>
    <row r="38" spans="1:35" hidden="1" x14ac:dyDescent="0.35">
      <c r="A38" s="32">
        <v>100222345</v>
      </c>
      <c r="B38" s="33" t="s">
        <v>29</v>
      </c>
      <c r="C38" s="34">
        <v>45943</v>
      </c>
      <c r="D38" s="32">
        <v>1600002430</v>
      </c>
      <c r="E38" s="33" t="s">
        <v>82</v>
      </c>
      <c r="F38" s="34">
        <v>45943</v>
      </c>
      <c r="G38" s="34">
        <v>45944</v>
      </c>
      <c r="H38" s="33" t="s">
        <v>54</v>
      </c>
      <c r="I38" s="37">
        <v>256779421974</v>
      </c>
      <c r="J38" s="33" t="s">
        <v>32</v>
      </c>
      <c r="K38" s="33" t="s">
        <v>33</v>
      </c>
      <c r="L38" s="33" t="s">
        <v>31</v>
      </c>
      <c r="M38" s="33" t="s">
        <v>51</v>
      </c>
      <c r="N38" s="33" t="s">
        <v>45</v>
      </c>
      <c r="O38" s="35">
        <v>-435.91</v>
      </c>
      <c r="P38" s="33" t="s">
        <v>34</v>
      </c>
      <c r="Q38" s="35">
        <v>-38443.24</v>
      </c>
      <c r="R38" s="35"/>
      <c r="S38" s="35"/>
      <c r="T38" s="33" t="s">
        <v>58</v>
      </c>
      <c r="U38" s="33" t="s">
        <v>35</v>
      </c>
      <c r="V38" s="33" t="s">
        <v>31</v>
      </c>
      <c r="W38" s="33" t="s">
        <v>83</v>
      </c>
      <c r="X38" s="33" t="s">
        <v>36</v>
      </c>
      <c r="Y38" s="33" t="s">
        <v>84</v>
      </c>
      <c r="Z38" s="33" t="s">
        <v>31</v>
      </c>
      <c r="AA38" s="33" t="s">
        <v>31</v>
      </c>
      <c r="AB38" s="33" t="s">
        <v>31</v>
      </c>
      <c r="AC38" s="34">
        <v>45943</v>
      </c>
      <c r="AD38" s="34"/>
      <c r="AE38" s="33" t="s">
        <v>31</v>
      </c>
      <c r="AF38" s="19"/>
      <c r="AG38">
        <f>VLOOKUP(I38,'Customer Data'!$B$2:$F$149,4,0)</f>
        <v>-392.32000000000005</v>
      </c>
      <c r="AH38" s="42">
        <f>O38-AG38</f>
        <v>-43.589999999999975</v>
      </c>
      <c r="AI38">
        <f>AH38/O38*100</f>
        <v>9.9997705948475542</v>
      </c>
    </row>
    <row r="39" spans="1:35" hidden="1" x14ac:dyDescent="0.35">
      <c r="A39" s="32">
        <v>100222345</v>
      </c>
      <c r="B39" s="33" t="s">
        <v>29</v>
      </c>
      <c r="C39" s="34">
        <v>45943</v>
      </c>
      <c r="D39" s="32">
        <v>1600002431</v>
      </c>
      <c r="E39" s="33" t="s">
        <v>82</v>
      </c>
      <c r="F39" s="34">
        <v>45943</v>
      </c>
      <c r="G39" s="34">
        <v>45944</v>
      </c>
      <c r="H39" s="33" t="s">
        <v>54</v>
      </c>
      <c r="I39" s="37">
        <v>256779421975</v>
      </c>
      <c r="J39" s="33" t="s">
        <v>32</v>
      </c>
      <c r="K39" s="33" t="s">
        <v>33</v>
      </c>
      <c r="L39" s="33" t="s">
        <v>31</v>
      </c>
      <c r="M39" s="33" t="s">
        <v>51</v>
      </c>
      <c r="N39" s="33" t="s">
        <v>45</v>
      </c>
      <c r="O39" s="35">
        <v>-447.05</v>
      </c>
      <c r="P39" s="33" t="s">
        <v>34</v>
      </c>
      <c r="Q39" s="35">
        <v>-39425.68</v>
      </c>
      <c r="R39" s="35"/>
      <c r="S39" s="35"/>
      <c r="T39" s="33" t="s">
        <v>58</v>
      </c>
      <c r="U39" s="33" t="s">
        <v>35</v>
      </c>
      <c r="V39" s="33" t="s">
        <v>31</v>
      </c>
      <c r="W39" s="33" t="s">
        <v>83</v>
      </c>
      <c r="X39" s="33" t="s">
        <v>36</v>
      </c>
      <c r="Y39" s="33" t="s">
        <v>85</v>
      </c>
      <c r="Z39" s="33" t="s">
        <v>31</v>
      </c>
      <c r="AA39" s="33" t="s">
        <v>31</v>
      </c>
      <c r="AB39" s="33" t="s">
        <v>31</v>
      </c>
      <c r="AC39" s="34">
        <v>45943</v>
      </c>
      <c r="AD39" s="34"/>
      <c r="AE39" s="33" t="s">
        <v>31</v>
      </c>
      <c r="AF39" s="19"/>
      <c r="AG39">
        <f>VLOOKUP(I39,'Customer Data'!$B$2:$F$149,4,0)</f>
        <v>-402.34000000000003</v>
      </c>
      <c r="AH39" s="42">
        <f>O39-AG39</f>
        <v>-44.70999999999998</v>
      </c>
      <c r="AI39">
        <f>AH39/O39*100</f>
        <v>10.001118443127162</v>
      </c>
    </row>
    <row r="40" spans="1:35" hidden="1" x14ac:dyDescent="0.35">
      <c r="A40" s="32">
        <v>100222345</v>
      </c>
      <c r="B40" s="33" t="s">
        <v>29</v>
      </c>
      <c r="C40" s="34">
        <v>45943</v>
      </c>
      <c r="D40" s="32">
        <v>1600002438</v>
      </c>
      <c r="E40" s="33" t="s">
        <v>82</v>
      </c>
      <c r="F40" s="34">
        <v>45943</v>
      </c>
      <c r="G40" s="34">
        <v>45944</v>
      </c>
      <c r="H40" s="33" t="s">
        <v>54</v>
      </c>
      <c r="I40" s="37">
        <v>256779421982</v>
      </c>
      <c r="J40" s="33" t="s">
        <v>32</v>
      </c>
      <c r="K40" s="33" t="s">
        <v>33</v>
      </c>
      <c r="L40" s="33" t="s">
        <v>31</v>
      </c>
      <c r="M40" s="33" t="s">
        <v>51</v>
      </c>
      <c r="N40" s="33" t="s">
        <v>45</v>
      </c>
      <c r="O40" s="35">
        <v>-480.02</v>
      </c>
      <c r="P40" s="33" t="s">
        <v>34</v>
      </c>
      <c r="Q40" s="35">
        <v>-42333.33</v>
      </c>
      <c r="R40" s="35"/>
      <c r="S40" s="35"/>
      <c r="T40" s="33" t="s">
        <v>58</v>
      </c>
      <c r="U40" s="33" t="s">
        <v>35</v>
      </c>
      <c r="V40" s="33" t="s">
        <v>31</v>
      </c>
      <c r="W40" s="33" t="s">
        <v>86</v>
      </c>
      <c r="X40" s="33" t="s">
        <v>36</v>
      </c>
      <c r="Y40" s="33" t="s">
        <v>87</v>
      </c>
      <c r="Z40" s="33" t="s">
        <v>31</v>
      </c>
      <c r="AA40" s="33" t="s">
        <v>31</v>
      </c>
      <c r="AB40" s="33" t="s">
        <v>31</v>
      </c>
      <c r="AC40" s="34">
        <v>45943</v>
      </c>
      <c r="AD40" s="34">
        <v>45976</v>
      </c>
      <c r="AE40" s="33" t="s">
        <v>53</v>
      </c>
      <c r="AF40" s="19"/>
      <c r="AG40" t="e">
        <f>VLOOKUP(I40,'Customer Data'!$B$2:$F$149,4,0)</f>
        <v>#N/A</v>
      </c>
    </row>
    <row r="41" spans="1:35" hidden="1" x14ac:dyDescent="0.35">
      <c r="A41" s="32">
        <v>100222345</v>
      </c>
      <c r="B41" s="33" t="s">
        <v>29</v>
      </c>
      <c r="C41" s="34">
        <v>45943</v>
      </c>
      <c r="D41" s="32">
        <v>1600002432</v>
      </c>
      <c r="E41" s="33" t="s">
        <v>82</v>
      </c>
      <c r="F41" s="34">
        <v>45943</v>
      </c>
      <c r="G41" s="34">
        <v>45944</v>
      </c>
      <c r="H41" s="33" t="s">
        <v>54</v>
      </c>
      <c r="I41" s="37">
        <v>256779421976</v>
      </c>
      <c r="J41" s="33" t="s">
        <v>32</v>
      </c>
      <c r="K41" s="33" t="s">
        <v>33</v>
      </c>
      <c r="L41" s="33" t="s">
        <v>31</v>
      </c>
      <c r="M41" s="33" t="s">
        <v>51</v>
      </c>
      <c r="N41" s="33" t="s">
        <v>45</v>
      </c>
      <c r="O41" s="35">
        <v>-111.25</v>
      </c>
      <c r="P41" s="33" t="s">
        <v>34</v>
      </c>
      <c r="Q41" s="35">
        <v>-9811.2199999999993</v>
      </c>
      <c r="R41" s="35"/>
      <c r="S41" s="35"/>
      <c r="T41" s="33" t="s">
        <v>58</v>
      </c>
      <c r="U41" s="33" t="s">
        <v>35</v>
      </c>
      <c r="V41" s="33" t="s">
        <v>31</v>
      </c>
      <c r="W41" s="33" t="s">
        <v>83</v>
      </c>
      <c r="X41" s="33" t="s">
        <v>36</v>
      </c>
      <c r="Y41" s="33" t="s">
        <v>88</v>
      </c>
      <c r="Z41" s="33" t="s">
        <v>31</v>
      </c>
      <c r="AA41" s="33" t="s">
        <v>31</v>
      </c>
      <c r="AB41" s="33" t="s">
        <v>31</v>
      </c>
      <c r="AC41" s="34">
        <v>45943</v>
      </c>
      <c r="AD41" s="34">
        <v>45976</v>
      </c>
      <c r="AE41" s="33" t="s">
        <v>56</v>
      </c>
      <c r="AF41" s="19"/>
      <c r="AG41">
        <f>VLOOKUP(I41,'Customer Data'!$B$2:$F$149,4,0)</f>
        <v>-100.12</v>
      </c>
      <c r="AH41" s="42">
        <f>O41-AG41</f>
        <v>-11.129999999999995</v>
      </c>
      <c r="AI41">
        <f>AH41/O41*100</f>
        <v>10.004494382022468</v>
      </c>
    </row>
    <row r="42" spans="1:35" hidden="1" x14ac:dyDescent="0.35">
      <c r="A42" s="32">
        <v>100222345</v>
      </c>
      <c r="B42" s="33" t="s">
        <v>29</v>
      </c>
      <c r="C42" s="34">
        <v>45943</v>
      </c>
      <c r="D42" s="32">
        <v>1600002433</v>
      </c>
      <c r="E42" s="33" t="s">
        <v>82</v>
      </c>
      <c r="F42" s="34">
        <v>45943</v>
      </c>
      <c r="G42" s="34">
        <v>45944</v>
      </c>
      <c r="H42" s="33" t="s">
        <v>54</v>
      </c>
      <c r="I42" s="37">
        <v>256779421977</v>
      </c>
      <c r="J42" s="33" t="s">
        <v>32</v>
      </c>
      <c r="K42" s="33" t="s">
        <v>33</v>
      </c>
      <c r="L42" s="33" t="s">
        <v>31</v>
      </c>
      <c r="M42" s="33" t="s">
        <v>51</v>
      </c>
      <c r="N42" s="33" t="s">
        <v>45</v>
      </c>
      <c r="O42" s="35">
        <v>-376.4</v>
      </c>
      <c r="P42" s="33" t="s">
        <v>34</v>
      </c>
      <c r="Q42" s="35">
        <v>-33195.01</v>
      </c>
      <c r="R42" s="35"/>
      <c r="S42" s="35"/>
      <c r="T42" s="33" t="s">
        <v>58</v>
      </c>
      <c r="U42" s="33" t="s">
        <v>35</v>
      </c>
      <c r="V42" s="33" t="s">
        <v>31</v>
      </c>
      <c r="W42" s="33" t="s">
        <v>83</v>
      </c>
      <c r="X42" s="33" t="s">
        <v>36</v>
      </c>
      <c r="Y42" s="33" t="s">
        <v>89</v>
      </c>
      <c r="Z42" s="33" t="s">
        <v>31</v>
      </c>
      <c r="AA42" s="33" t="s">
        <v>31</v>
      </c>
      <c r="AB42" s="33" t="s">
        <v>31</v>
      </c>
      <c r="AC42" s="34">
        <v>45943</v>
      </c>
      <c r="AD42" s="34">
        <v>45976</v>
      </c>
      <c r="AE42" s="33" t="s">
        <v>56</v>
      </c>
      <c r="AF42" s="19"/>
      <c r="AG42">
        <f>VLOOKUP(I42,'Customer Data'!$B$2:$F$149,4,0)</f>
        <v>-338.76</v>
      </c>
      <c r="AH42" s="42">
        <f>O42-AG42</f>
        <v>-37.639999999999986</v>
      </c>
      <c r="AI42">
        <f>AH42/O42*100</f>
        <v>9.9999999999999964</v>
      </c>
    </row>
    <row r="43" spans="1:35" hidden="1" x14ac:dyDescent="0.35">
      <c r="A43" s="32">
        <v>100222345</v>
      </c>
      <c r="B43" s="33" t="s">
        <v>29</v>
      </c>
      <c r="C43" s="34">
        <v>45943</v>
      </c>
      <c r="D43" s="32">
        <v>1600002434</v>
      </c>
      <c r="E43" s="33" t="s">
        <v>82</v>
      </c>
      <c r="F43" s="34">
        <v>45943</v>
      </c>
      <c r="G43" s="34">
        <v>45944</v>
      </c>
      <c r="H43" s="33" t="s">
        <v>54</v>
      </c>
      <c r="I43" s="37">
        <v>256779421978</v>
      </c>
      <c r="J43" s="33" t="s">
        <v>32</v>
      </c>
      <c r="K43" s="33" t="s">
        <v>33</v>
      </c>
      <c r="L43" s="33" t="s">
        <v>31</v>
      </c>
      <c r="M43" s="33" t="s">
        <v>51</v>
      </c>
      <c r="N43" s="33" t="s">
        <v>45</v>
      </c>
      <c r="O43" s="35">
        <v>-391.55</v>
      </c>
      <c r="P43" s="33" t="s">
        <v>34</v>
      </c>
      <c r="Q43" s="35">
        <v>-34531.1</v>
      </c>
      <c r="R43" s="35"/>
      <c r="S43" s="35"/>
      <c r="T43" s="33" t="s">
        <v>58</v>
      </c>
      <c r="U43" s="33" t="s">
        <v>35</v>
      </c>
      <c r="V43" s="33" t="s">
        <v>31</v>
      </c>
      <c r="W43" s="33" t="s">
        <v>83</v>
      </c>
      <c r="X43" s="33" t="s">
        <v>36</v>
      </c>
      <c r="Y43" s="33" t="s">
        <v>90</v>
      </c>
      <c r="Z43" s="33" t="s">
        <v>31</v>
      </c>
      <c r="AA43" s="33" t="s">
        <v>31</v>
      </c>
      <c r="AB43" s="33" t="s">
        <v>31</v>
      </c>
      <c r="AC43" s="34">
        <v>45943</v>
      </c>
      <c r="AD43" s="34">
        <v>45976</v>
      </c>
      <c r="AE43" s="33" t="s">
        <v>56</v>
      </c>
      <c r="AF43" s="19"/>
      <c r="AG43">
        <f>VLOOKUP(I43,'Customer Data'!$B$2:$F$149,4,0)</f>
        <v>-352.39</v>
      </c>
      <c r="AH43" s="42">
        <f>O43-AG43</f>
        <v>-39.160000000000025</v>
      </c>
      <c r="AI43">
        <f>AH43/O43*100</f>
        <v>10.001276976120552</v>
      </c>
    </row>
    <row r="44" spans="1:35" hidden="1" x14ac:dyDescent="0.35">
      <c r="A44" s="32">
        <v>100222345</v>
      </c>
      <c r="B44" s="33" t="s">
        <v>29</v>
      </c>
      <c r="C44" s="34">
        <v>45719</v>
      </c>
      <c r="D44" s="32">
        <v>1800000406</v>
      </c>
      <c r="E44" s="33" t="s">
        <v>57</v>
      </c>
      <c r="F44" s="34">
        <v>45719</v>
      </c>
      <c r="G44" s="34">
        <v>45719</v>
      </c>
      <c r="H44" s="33" t="s">
        <v>54</v>
      </c>
      <c r="I44" s="37">
        <v>246779410368</v>
      </c>
      <c r="J44" s="33" t="s">
        <v>32</v>
      </c>
      <c r="K44" s="33" t="s">
        <v>33</v>
      </c>
      <c r="L44" s="33" t="s">
        <v>31</v>
      </c>
      <c r="M44" s="33" t="s">
        <v>52</v>
      </c>
      <c r="N44" s="33" t="s">
        <v>45</v>
      </c>
      <c r="O44" s="35">
        <v>356.43</v>
      </c>
      <c r="P44" s="33" t="s">
        <v>34</v>
      </c>
      <c r="Q44" s="35">
        <v>30899.37</v>
      </c>
      <c r="R44" s="35"/>
      <c r="S44" s="35"/>
      <c r="T44" s="33" t="s">
        <v>58</v>
      </c>
      <c r="U44" s="33" t="s">
        <v>35</v>
      </c>
      <c r="V44" s="33" t="s">
        <v>31</v>
      </c>
      <c r="W44" s="33" t="s">
        <v>54</v>
      </c>
      <c r="X44" s="33" t="s">
        <v>36</v>
      </c>
      <c r="Y44" s="33" t="s">
        <v>91</v>
      </c>
      <c r="Z44" s="33" t="s">
        <v>31</v>
      </c>
      <c r="AA44" s="33" t="s">
        <v>31</v>
      </c>
      <c r="AB44" s="33" t="s">
        <v>31</v>
      </c>
      <c r="AC44" s="34">
        <v>45719</v>
      </c>
      <c r="AD44" s="34"/>
      <c r="AE44" s="33" t="s">
        <v>31</v>
      </c>
      <c r="AF44" s="19"/>
      <c r="AG44">
        <f>VLOOKUP(I44,'Customer Data'!$B$2:$F$149,4,0)</f>
        <v>320.78000000000003</v>
      </c>
    </row>
    <row r="45" spans="1:35" hidden="1" x14ac:dyDescent="0.35">
      <c r="A45" s="32">
        <v>100222345</v>
      </c>
      <c r="B45" s="33" t="s">
        <v>29</v>
      </c>
      <c r="C45" s="34">
        <v>45719</v>
      </c>
      <c r="D45" s="32">
        <v>1800000675</v>
      </c>
      <c r="E45" s="33" t="s">
        <v>57</v>
      </c>
      <c r="F45" s="34">
        <v>45719</v>
      </c>
      <c r="G45" s="34">
        <v>45720</v>
      </c>
      <c r="H45" s="33" t="s">
        <v>54</v>
      </c>
      <c r="I45" s="37">
        <v>246779410615</v>
      </c>
      <c r="J45" s="33" t="s">
        <v>32</v>
      </c>
      <c r="K45" s="33" t="s">
        <v>33</v>
      </c>
      <c r="L45" s="33" t="s">
        <v>31</v>
      </c>
      <c r="M45" s="33" t="s">
        <v>52</v>
      </c>
      <c r="N45" s="33" t="s">
        <v>45</v>
      </c>
      <c r="O45" s="35">
        <v>9</v>
      </c>
      <c r="P45" s="33" t="s">
        <v>34</v>
      </c>
      <c r="Q45" s="35">
        <v>780.22</v>
      </c>
      <c r="R45" s="35"/>
      <c r="S45" s="35"/>
      <c r="T45" s="33" t="s">
        <v>58</v>
      </c>
      <c r="U45" s="33" t="s">
        <v>35</v>
      </c>
      <c r="V45" s="33" t="s">
        <v>31</v>
      </c>
      <c r="W45" s="33" t="s">
        <v>54</v>
      </c>
      <c r="X45" s="33" t="s">
        <v>36</v>
      </c>
      <c r="Y45" s="33" t="s">
        <v>92</v>
      </c>
      <c r="Z45" s="33" t="s">
        <v>31</v>
      </c>
      <c r="AA45" s="33" t="s">
        <v>31</v>
      </c>
      <c r="AB45" s="33" t="s">
        <v>31</v>
      </c>
      <c r="AC45" s="34">
        <v>45719</v>
      </c>
      <c r="AD45" s="34"/>
      <c r="AE45" s="33" t="s">
        <v>31</v>
      </c>
      <c r="AF45" s="19"/>
      <c r="AG45">
        <f>VLOOKUP(I45,'Customer Data'!$B$2:$F$149,4,0)</f>
        <v>8.81</v>
      </c>
    </row>
    <row r="46" spans="1:35" hidden="1" x14ac:dyDescent="0.35">
      <c r="A46" s="32">
        <v>100222345</v>
      </c>
      <c r="B46" s="33" t="s">
        <v>29</v>
      </c>
      <c r="C46" s="34">
        <v>45719</v>
      </c>
      <c r="D46" s="32">
        <v>1800000432</v>
      </c>
      <c r="E46" s="33" t="s">
        <v>57</v>
      </c>
      <c r="F46" s="34">
        <v>45719</v>
      </c>
      <c r="G46" s="34">
        <v>45719</v>
      </c>
      <c r="H46" s="33" t="s">
        <v>54</v>
      </c>
      <c r="I46" s="37">
        <v>246779410394</v>
      </c>
      <c r="J46" s="33" t="s">
        <v>32</v>
      </c>
      <c r="K46" s="33" t="s">
        <v>33</v>
      </c>
      <c r="L46" s="33" t="s">
        <v>31</v>
      </c>
      <c r="M46" s="33" t="s">
        <v>52</v>
      </c>
      <c r="N46" s="33" t="s">
        <v>45</v>
      </c>
      <c r="O46" s="35">
        <v>505.86</v>
      </c>
      <c r="P46" s="33" t="s">
        <v>34</v>
      </c>
      <c r="Q46" s="35">
        <v>43853.64</v>
      </c>
      <c r="R46" s="35"/>
      <c r="S46" s="35"/>
      <c r="T46" s="33" t="s">
        <v>58</v>
      </c>
      <c r="U46" s="33" t="s">
        <v>35</v>
      </c>
      <c r="V46" s="33" t="s">
        <v>31</v>
      </c>
      <c r="W46" s="33" t="s">
        <v>54</v>
      </c>
      <c r="X46" s="33" t="s">
        <v>36</v>
      </c>
      <c r="Y46" s="33" t="s">
        <v>93</v>
      </c>
      <c r="Z46" s="33" t="s">
        <v>31</v>
      </c>
      <c r="AA46" s="33" t="s">
        <v>31</v>
      </c>
      <c r="AB46" s="33" t="s">
        <v>31</v>
      </c>
      <c r="AC46" s="34">
        <v>45719</v>
      </c>
      <c r="AD46" s="34"/>
      <c r="AE46" s="33" t="s">
        <v>31</v>
      </c>
      <c r="AF46" s="19"/>
      <c r="AG46">
        <f>VLOOKUP(I46,'Customer Data'!$B$2:$F$149,4,0)</f>
        <v>455.27</v>
      </c>
    </row>
    <row r="47" spans="1:35" hidden="1" x14ac:dyDescent="0.35">
      <c r="A47" s="32">
        <v>100222345</v>
      </c>
      <c r="B47" s="33" t="s">
        <v>29</v>
      </c>
      <c r="C47" s="34">
        <v>45719</v>
      </c>
      <c r="D47" s="32">
        <v>1800000456</v>
      </c>
      <c r="E47" s="33" t="s">
        <v>57</v>
      </c>
      <c r="F47" s="34">
        <v>45719</v>
      </c>
      <c r="G47" s="34">
        <v>45719</v>
      </c>
      <c r="H47" s="33" t="s">
        <v>54</v>
      </c>
      <c r="I47" s="37">
        <v>246779410418</v>
      </c>
      <c r="J47" s="33" t="s">
        <v>32</v>
      </c>
      <c r="K47" s="33" t="s">
        <v>33</v>
      </c>
      <c r="L47" s="33" t="s">
        <v>31</v>
      </c>
      <c r="M47" s="33" t="s">
        <v>52</v>
      </c>
      <c r="N47" s="33" t="s">
        <v>45</v>
      </c>
      <c r="O47" s="35">
        <v>562.6</v>
      </c>
      <c r="P47" s="33" t="s">
        <v>34</v>
      </c>
      <c r="Q47" s="35">
        <v>48772.5</v>
      </c>
      <c r="R47" s="35"/>
      <c r="S47" s="35"/>
      <c r="T47" s="33" t="s">
        <v>58</v>
      </c>
      <c r="U47" s="33" t="s">
        <v>35</v>
      </c>
      <c r="V47" s="33" t="s">
        <v>31</v>
      </c>
      <c r="W47" s="33" t="s">
        <v>54</v>
      </c>
      <c r="X47" s="33" t="s">
        <v>36</v>
      </c>
      <c r="Y47" s="33" t="s">
        <v>94</v>
      </c>
      <c r="Z47" s="33" t="s">
        <v>31</v>
      </c>
      <c r="AA47" s="33" t="s">
        <v>31</v>
      </c>
      <c r="AB47" s="33" t="s">
        <v>31</v>
      </c>
      <c r="AC47" s="34">
        <v>45719</v>
      </c>
      <c r="AD47" s="34"/>
      <c r="AE47" s="33" t="s">
        <v>31</v>
      </c>
      <c r="AF47" s="19"/>
      <c r="AG47">
        <f>VLOOKUP(I47,'Customer Data'!$B$2:$F$149,4,0)</f>
        <v>506.34000000000003</v>
      </c>
    </row>
    <row r="48" spans="1:35" hidden="1" x14ac:dyDescent="0.35">
      <c r="A48" s="32">
        <v>100222345</v>
      </c>
      <c r="B48" s="33" t="s">
        <v>29</v>
      </c>
      <c r="C48" s="34">
        <v>45719</v>
      </c>
      <c r="D48" s="32">
        <v>1800000559</v>
      </c>
      <c r="E48" s="33" t="s">
        <v>57</v>
      </c>
      <c r="F48" s="34">
        <v>45719</v>
      </c>
      <c r="G48" s="34">
        <v>45719</v>
      </c>
      <c r="H48" s="33" t="s">
        <v>54</v>
      </c>
      <c r="I48" s="37">
        <v>246779410509</v>
      </c>
      <c r="J48" s="33" t="s">
        <v>32</v>
      </c>
      <c r="K48" s="33" t="s">
        <v>33</v>
      </c>
      <c r="L48" s="33" t="s">
        <v>31</v>
      </c>
      <c r="M48" s="33" t="s">
        <v>52</v>
      </c>
      <c r="N48" s="33" t="s">
        <v>45</v>
      </c>
      <c r="O48" s="35">
        <v>29.25</v>
      </c>
      <c r="P48" s="33" t="s">
        <v>34</v>
      </c>
      <c r="Q48" s="35">
        <v>2535.7199999999998</v>
      </c>
      <c r="R48" s="35"/>
      <c r="S48" s="35"/>
      <c r="T48" s="33" t="s">
        <v>58</v>
      </c>
      <c r="U48" s="33" t="s">
        <v>35</v>
      </c>
      <c r="V48" s="33" t="s">
        <v>31</v>
      </c>
      <c r="W48" s="33" t="s">
        <v>54</v>
      </c>
      <c r="X48" s="33" t="s">
        <v>36</v>
      </c>
      <c r="Y48" s="33" t="s">
        <v>95</v>
      </c>
      <c r="Z48" s="33" t="s">
        <v>31</v>
      </c>
      <c r="AA48" s="33" t="s">
        <v>31</v>
      </c>
      <c r="AB48" s="33" t="s">
        <v>31</v>
      </c>
      <c r="AC48" s="34">
        <v>45719</v>
      </c>
      <c r="AD48" s="34"/>
      <c r="AE48" s="33" t="s">
        <v>31</v>
      </c>
      <c r="AF48" s="19"/>
      <c r="AG48" t="e">
        <f>VLOOKUP(I48,'Customer Data'!$B$2:$F$149,4,0)</f>
        <v>#N/A</v>
      </c>
    </row>
    <row r="49" spans="1:33" hidden="1" x14ac:dyDescent="0.35">
      <c r="A49" s="32">
        <v>100222345</v>
      </c>
      <c r="B49" s="33" t="s">
        <v>29</v>
      </c>
      <c r="C49" s="34">
        <v>45719</v>
      </c>
      <c r="D49" s="32">
        <v>1800000560</v>
      </c>
      <c r="E49" s="33" t="s">
        <v>57</v>
      </c>
      <c r="F49" s="34">
        <v>45719</v>
      </c>
      <c r="G49" s="34">
        <v>45719</v>
      </c>
      <c r="H49" s="33" t="s">
        <v>54</v>
      </c>
      <c r="I49" s="37">
        <v>246779410510</v>
      </c>
      <c r="J49" s="33" t="s">
        <v>32</v>
      </c>
      <c r="K49" s="33" t="s">
        <v>33</v>
      </c>
      <c r="L49" s="33" t="s">
        <v>31</v>
      </c>
      <c r="M49" s="33" t="s">
        <v>52</v>
      </c>
      <c r="N49" s="33" t="s">
        <v>45</v>
      </c>
      <c r="O49" s="35">
        <v>194.9</v>
      </c>
      <c r="P49" s="33" t="s">
        <v>34</v>
      </c>
      <c r="Q49" s="35">
        <v>16896.13</v>
      </c>
      <c r="R49" s="35"/>
      <c r="S49" s="35"/>
      <c r="T49" s="33" t="s">
        <v>58</v>
      </c>
      <c r="U49" s="33" t="s">
        <v>35</v>
      </c>
      <c r="V49" s="33" t="s">
        <v>31</v>
      </c>
      <c r="W49" s="33" t="s">
        <v>54</v>
      </c>
      <c r="X49" s="33" t="s">
        <v>36</v>
      </c>
      <c r="Y49" s="33" t="s">
        <v>95</v>
      </c>
      <c r="Z49" s="33" t="s">
        <v>31</v>
      </c>
      <c r="AA49" s="33" t="s">
        <v>31</v>
      </c>
      <c r="AB49" s="33" t="s">
        <v>31</v>
      </c>
      <c r="AC49" s="34">
        <v>45719</v>
      </c>
      <c r="AD49" s="34"/>
      <c r="AE49" s="33" t="s">
        <v>31</v>
      </c>
      <c r="AF49" s="19"/>
      <c r="AG49">
        <f>VLOOKUP(I49,'Customer Data'!$B$2:$F$149,4,0)</f>
        <v>191</v>
      </c>
    </row>
    <row r="50" spans="1:33" hidden="1" x14ac:dyDescent="0.35">
      <c r="A50" s="32">
        <v>100222345</v>
      </c>
      <c r="B50" s="33" t="s">
        <v>29</v>
      </c>
      <c r="C50" s="34">
        <v>45719</v>
      </c>
      <c r="D50" s="32">
        <v>1800000561</v>
      </c>
      <c r="E50" s="33" t="s">
        <v>57</v>
      </c>
      <c r="F50" s="34">
        <v>45719</v>
      </c>
      <c r="G50" s="34">
        <v>45719</v>
      </c>
      <c r="H50" s="33" t="s">
        <v>54</v>
      </c>
      <c r="I50" s="37">
        <v>246779410511</v>
      </c>
      <c r="J50" s="33" t="s">
        <v>32</v>
      </c>
      <c r="K50" s="33" t="s">
        <v>33</v>
      </c>
      <c r="L50" s="33" t="s">
        <v>31</v>
      </c>
      <c r="M50" s="33" t="s">
        <v>52</v>
      </c>
      <c r="N50" s="33" t="s">
        <v>45</v>
      </c>
      <c r="O50" s="35">
        <v>13.91</v>
      </c>
      <c r="P50" s="33" t="s">
        <v>34</v>
      </c>
      <c r="Q50" s="35">
        <v>1205.8800000000001</v>
      </c>
      <c r="R50" s="35"/>
      <c r="S50" s="35"/>
      <c r="T50" s="33" t="s">
        <v>58</v>
      </c>
      <c r="U50" s="33" t="s">
        <v>35</v>
      </c>
      <c r="V50" s="33" t="s">
        <v>31</v>
      </c>
      <c r="W50" s="33" t="s">
        <v>54</v>
      </c>
      <c r="X50" s="33" t="s">
        <v>36</v>
      </c>
      <c r="Y50" s="33" t="s">
        <v>95</v>
      </c>
      <c r="Z50" s="33" t="s">
        <v>31</v>
      </c>
      <c r="AA50" s="33" t="s">
        <v>31</v>
      </c>
      <c r="AB50" s="33" t="s">
        <v>31</v>
      </c>
      <c r="AC50" s="34">
        <v>45719</v>
      </c>
      <c r="AD50" s="34"/>
      <c r="AE50" s="33" t="s">
        <v>31</v>
      </c>
      <c r="AF50" s="19"/>
      <c r="AG50">
        <f>VLOOKUP(I50,'Customer Data'!$B$2:$F$149,4,0)</f>
        <v>13.63</v>
      </c>
    </row>
    <row r="51" spans="1:33" hidden="1" x14ac:dyDescent="0.35">
      <c r="A51" s="32">
        <v>100222345</v>
      </c>
      <c r="B51" s="33" t="s">
        <v>29</v>
      </c>
      <c r="C51" s="34">
        <v>45719</v>
      </c>
      <c r="D51" s="32">
        <v>1800000674</v>
      </c>
      <c r="E51" s="33" t="s">
        <v>57</v>
      </c>
      <c r="F51" s="34">
        <v>45719</v>
      </c>
      <c r="G51" s="34">
        <v>45720</v>
      </c>
      <c r="H51" s="33" t="s">
        <v>54</v>
      </c>
      <c r="I51" s="37">
        <v>246779410614</v>
      </c>
      <c r="J51" s="33" t="s">
        <v>32</v>
      </c>
      <c r="K51" s="33" t="s">
        <v>33</v>
      </c>
      <c r="L51" s="33" t="s">
        <v>31</v>
      </c>
      <c r="M51" s="33" t="s">
        <v>52</v>
      </c>
      <c r="N51" s="33" t="s">
        <v>45</v>
      </c>
      <c r="O51" s="35">
        <v>2.25</v>
      </c>
      <c r="P51" s="33" t="s">
        <v>34</v>
      </c>
      <c r="Q51" s="35">
        <v>195.06</v>
      </c>
      <c r="R51" s="35"/>
      <c r="S51" s="35"/>
      <c r="T51" s="33" t="s">
        <v>58</v>
      </c>
      <c r="U51" s="33" t="s">
        <v>35</v>
      </c>
      <c r="V51" s="33" t="s">
        <v>31</v>
      </c>
      <c r="W51" s="33" t="s">
        <v>54</v>
      </c>
      <c r="X51" s="33" t="s">
        <v>36</v>
      </c>
      <c r="Y51" s="33" t="s">
        <v>92</v>
      </c>
      <c r="Z51" s="33" t="s">
        <v>31</v>
      </c>
      <c r="AA51" s="33" t="s">
        <v>31</v>
      </c>
      <c r="AB51" s="33" t="s">
        <v>31</v>
      </c>
      <c r="AC51" s="34">
        <v>45719</v>
      </c>
      <c r="AD51" s="34"/>
      <c r="AE51" s="33" t="s">
        <v>31</v>
      </c>
      <c r="AF51" s="19"/>
      <c r="AG51">
        <f>VLOOKUP(I51,'Customer Data'!$B$2:$F$149,4,0)</f>
        <v>2.2000000000000002</v>
      </c>
    </row>
    <row r="52" spans="1:33" hidden="1" x14ac:dyDescent="0.35">
      <c r="A52" s="32">
        <v>100222345</v>
      </c>
      <c r="B52" s="33" t="s">
        <v>29</v>
      </c>
      <c r="C52" s="34">
        <v>45733</v>
      </c>
      <c r="D52" s="32">
        <v>1800001957</v>
      </c>
      <c r="E52" s="33" t="s">
        <v>57</v>
      </c>
      <c r="F52" s="34">
        <v>45733</v>
      </c>
      <c r="G52" s="34">
        <v>45733</v>
      </c>
      <c r="H52" s="33" t="s">
        <v>54</v>
      </c>
      <c r="I52" s="37">
        <v>246779411622</v>
      </c>
      <c r="J52" s="33" t="s">
        <v>32</v>
      </c>
      <c r="K52" s="33" t="s">
        <v>33</v>
      </c>
      <c r="L52" s="33" t="s">
        <v>31</v>
      </c>
      <c r="M52" s="33" t="s">
        <v>52</v>
      </c>
      <c r="N52" s="33" t="s">
        <v>45</v>
      </c>
      <c r="O52" s="35">
        <v>3.82</v>
      </c>
      <c r="P52" s="33" t="s">
        <v>34</v>
      </c>
      <c r="Q52" s="35">
        <v>331.16</v>
      </c>
      <c r="R52" s="35"/>
      <c r="S52" s="35"/>
      <c r="T52" s="33" t="s">
        <v>58</v>
      </c>
      <c r="U52" s="33" t="s">
        <v>35</v>
      </c>
      <c r="V52" s="33" t="s">
        <v>31</v>
      </c>
      <c r="W52" s="33" t="s">
        <v>54</v>
      </c>
      <c r="X52" s="33" t="s">
        <v>36</v>
      </c>
      <c r="Y52" s="33" t="s">
        <v>96</v>
      </c>
      <c r="Z52" s="33" t="s">
        <v>31</v>
      </c>
      <c r="AA52" s="33" t="s">
        <v>31</v>
      </c>
      <c r="AB52" s="33" t="s">
        <v>31</v>
      </c>
      <c r="AC52" s="34">
        <v>45733</v>
      </c>
      <c r="AD52" s="34"/>
      <c r="AE52" s="33" t="s">
        <v>31</v>
      </c>
      <c r="AF52" s="19"/>
      <c r="AG52">
        <f>VLOOKUP(I52,'Customer Data'!$B$2:$F$149,4,0)</f>
        <v>3.7399999999999998</v>
      </c>
    </row>
    <row r="53" spans="1:33" hidden="1" x14ac:dyDescent="0.35">
      <c r="A53" s="32">
        <v>100222345</v>
      </c>
      <c r="B53" s="33" t="s">
        <v>29</v>
      </c>
      <c r="C53" s="34">
        <v>45733</v>
      </c>
      <c r="D53" s="32">
        <v>1800001958</v>
      </c>
      <c r="E53" s="33" t="s">
        <v>57</v>
      </c>
      <c r="F53" s="34">
        <v>45733</v>
      </c>
      <c r="G53" s="34">
        <v>45733</v>
      </c>
      <c r="H53" s="33" t="s">
        <v>54</v>
      </c>
      <c r="I53" s="37">
        <v>246779411623</v>
      </c>
      <c r="J53" s="33" t="s">
        <v>32</v>
      </c>
      <c r="K53" s="33" t="s">
        <v>33</v>
      </c>
      <c r="L53" s="33" t="s">
        <v>31</v>
      </c>
      <c r="M53" s="33" t="s">
        <v>52</v>
      </c>
      <c r="N53" s="33" t="s">
        <v>45</v>
      </c>
      <c r="O53" s="35">
        <v>1.91</v>
      </c>
      <c r="P53" s="33" t="s">
        <v>34</v>
      </c>
      <c r="Q53" s="35">
        <v>165.58</v>
      </c>
      <c r="R53" s="35"/>
      <c r="S53" s="35"/>
      <c r="T53" s="33" t="s">
        <v>58</v>
      </c>
      <c r="U53" s="33" t="s">
        <v>35</v>
      </c>
      <c r="V53" s="33" t="s">
        <v>31</v>
      </c>
      <c r="W53" s="33" t="s">
        <v>54</v>
      </c>
      <c r="X53" s="33" t="s">
        <v>36</v>
      </c>
      <c r="Y53" s="33" t="s">
        <v>96</v>
      </c>
      <c r="Z53" s="33" t="s">
        <v>31</v>
      </c>
      <c r="AA53" s="33" t="s">
        <v>31</v>
      </c>
      <c r="AB53" s="33" t="s">
        <v>31</v>
      </c>
      <c r="AC53" s="34">
        <v>45733</v>
      </c>
      <c r="AD53" s="34"/>
      <c r="AE53" s="33" t="s">
        <v>31</v>
      </c>
      <c r="AF53" s="19"/>
      <c r="AG53">
        <f>VLOOKUP(I53,'Customer Data'!$B$2:$F$149,4,0)</f>
        <v>1.8699999999999999</v>
      </c>
    </row>
    <row r="54" spans="1:33" hidden="1" x14ac:dyDescent="0.35">
      <c r="A54" s="32">
        <v>100222345</v>
      </c>
      <c r="B54" s="33" t="s">
        <v>29</v>
      </c>
      <c r="C54" s="34">
        <v>45980</v>
      </c>
      <c r="D54" s="32">
        <v>1800014864</v>
      </c>
      <c r="E54" s="33" t="s">
        <v>57</v>
      </c>
      <c r="F54" s="34">
        <v>45980</v>
      </c>
      <c r="G54" s="34">
        <v>45982</v>
      </c>
      <c r="H54" s="33" t="s">
        <v>54</v>
      </c>
      <c r="I54" s="37">
        <v>256779419365</v>
      </c>
      <c r="J54" s="33" t="s">
        <v>32</v>
      </c>
      <c r="K54" s="33" t="s">
        <v>33</v>
      </c>
      <c r="L54" s="33" t="s">
        <v>31</v>
      </c>
      <c r="M54" s="33" t="s">
        <v>52</v>
      </c>
      <c r="N54" s="33" t="s">
        <v>45</v>
      </c>
      <c r="O54" s="35">
        <v>292.99</v>
      </c>
      <c r="P54" s="33" t="s">
        <v>34</v>
      </c>
      <c r="Q54" s="35">
        <v>25784.11</v>
      </c>
      <c r="R54" s="35"/>
      <c r="S54" s="35"/>
      <c r="T54" s="33" t="s">
        <v>58</v>
      </c>
      <c r="U54" s="33" t="s">
        <v>35</v>
      </c>
      <c r="V54" s="33" t="s">
        <v>31</v>
      </c>
      <c r="W54" s="33" t="s">
        <v>97</v>
      </c>
      <c r="X54" s="33" t="s">
        <v>36</v>
      </c>
      <c r="Y54" s="33" t="s">
        <v>98</v>
      </c>
      <c r="Z54" s="33" t="s">
        <v>31</v>
      </c>
      <c r="AA54" s="33" t="s">
        <v>31</v>
      </c>
      <c r="AB54" s="33" t="s">
        <v>31</v>
      </c>
      <c r="AC54" s="34">
        <v>45980</v>
      </c>
      <c r="AD54" s="34"/>
      <c r="AE54" s="33" t="s">
        <v>31</v>
      </c>
      <c r="AF54" s="19"/>
      <c r="AG54">
        <f>VLOOKUP(I54,'Customer Data'!$B$2:$F$149,4,0)</f>
        <v>287.13</v>
      </c>
    </row>
    <row r="55" spans="1:33" hidden="1" x14ac:dyDescent="0.35">
      <c r="A55" s="32">
        <v>100222345</v>
      </c>
      <c r="B55" s="33" t="s">
        <v>29</v>
      </c>
      <c r="C55" s="34">
        <v>45762</v>
      </c>
      <c r="D55" s="32">
        <v>1800006269</v>
      </c>
      <c r="E55" s="33" t="s">
        <v>57</v>
      </c>
      <c r="F55" s="34">
        <v>45762</v>
      </c>
      <c r="G55" s="34">
        <v>45763</v>
      </c>
      <c r="H55" s="33" t="s">
        <v>54</v>
      </c>
      <c r="I55" s="37">
        <v>256779411160</v>
      </c>
      <c r="J55" s="33" t="s">
        <v>32</v>
      </c>
      <c r="K55" s="33" t="s">
        <v>33</v>
      </c>
      <c r="L55" s="33" t="s">
        <v>31</v>
      </c>
      <c r="M55" s="33" t="s">
        <v>52</v>
      </c>
      <c r="N55" s="33" t="s">
        <v>45</v>
      </c>
      <c r="O55" s="35">
        <v>18.38</v>
      </c>
      <c r="P55" s="33" t="s">
        <v>34</v>
      </c>
      <c r="Q55" s="35">
        <v>1597.62</v>
      </c>
      <c r="R55" s="35"/>
      <c r="S55" s="35"/>
      <c r="T55" s="33" t="s">
        <v>58</v>
      </c>
      <c r="U55" s="33" t="s">
        <v>31</v>
      </c>
      <c r="V55" s="33" t="s">
        <v>31</v>
      </c>
      <c r="W55" s="33" t="s">
        <v>54</v>
      </c>
      <c r="X55" s="33" t="s">
        <v>36</v>
      </c>
      <c r="Y55" s="33" t="s">
        <v>99</v>
      </c>
      <c r="Z55" s="33" t="s">
        <v>31</v>
      </c>
      <c r="AA55" s="33" t="s">
        <v>31</v>
      </c>
      <c r="AB55" s="33" t="s">
        <v>31</v>
      </c>
      <c r="AC55" s="34">
        <v>45762</v>
      </c>
      <c r="AD55" s="34"/>
      <c r="AE55" s="33" t="s">
        <v>31</v>
      </c>
      <c r="AF55" s="19"/>
      <c r="AG55">
        <f>VLOOKUP(I55,'Customer Data'!$B$2:$F$149,4,0)</f>
        <v>18.009999999999998</v>
      </c>
    </row>
    <row r="56" spans="1:33" hidden="1" x14ac:dyDescent="0.35">
      <c r="A56" s="32">
        <v>100222345</v>
      </c>
      <c r="B56" s="33" t="s">
        <v>29</v>
      </c>
      <c r="C56" s="34">
        <v>45762</v>
      </c>
      <c r="D56" s="32">
        <v>1800006270</v>
      </c>
      <c r="E56" s="33" t="s">
        <v>57</v>
      </c>
      <c r="F56" s="34">
        <v>45762</v>
      </c>
      <c r="G56" s="34">
        <v>45763</v>
      </c>
      <c r="H56" s="33" t="s">
        <v>54</v>
      </c>
      <c r="I56" s="37">
        <v>256779411161</v>
      </c>
      <c r="J56" s="33" t="s">
        <v>32</v>
      </c>
      <c r="K56" s="33" t="s">
        <v>33</v>
      </c>
      <c r="L56" s="33" t="s">
        <v>31</v>
      </c>
      <c r="M56" s="33" t="s">
        <v>52</v>
      </c>
      <c r="N56" s="33" t="s">
        <v>45</v>
      </c>
      <c r="O56" s="35">
        <v>46.76</v>
      </c>
      <c r="P56" s="33" t="s">
        <v>34</v>
      </c>
      <c r="Q56" s="35">
        <v>4064.46</v>
      </c>
      <c r="R56" s="35"/>
      <c r="S56" s="35"/>
      <c r="T56" s="33" t="s">
        <v>58</v>
      </c>
      <c r="U56" s="33" t="s">
        <v>31</v>
      </c>
      <c r="V56" s="33" t="s">
        <v>31</v>
      </c>
      <c r="W56" s="33" t="s">
        <v>54</v>
      </c>
      <c r="X56" s="33" t="s">
        <v>36</v>
      </c>
      <c r="Y56" s="33" t="s">
        <v>100</v>
      </c>
      <c r="Z56" s="33" t="s">
        <v>31</v>
      </c>
      <c r="AA56" s="33" t="s">
        <v>31</v>
      </c>
      <c r="AB56" s="33" t="s">
        <v>31</v>
      </c>
      <c r="AC56" s="34">
        <v>45762</v>
      </c>
      <c r="AD56" s="34"/>
      <c r="AE56" s="33" t="s">
        <v>31</v>
      </c>
      <c r="AF56" s="19"/>
      <c r="AG56">
        <f>VLOOKUP(I56,'Customer Data'!$B$2:$F$149,4,0)</f>
        <v>45.82</v>
      </c>
    </row>
    <row r="57" spans="1:33" hidden="1" x14ac:dyDescent="0.35">
      <c r="A57" s="32">
        <v>100222345</v>
      </c>
      <c r="B57" s="33" t="s">
        <v>29</v>
      </c>
      <c r="C57" s="34">
        <v>45762</v>
      </c>
      <c r="D57" s="32">
        <v>1800006271</v>
      </c>
      <c r="E57" s="33" t="s">
        <v>57</v>
      </c>
      <c r="F57" s="34">
        <v>45762</v>
      </c>
      <c r="G57" s="34">
        <v>45763</v>
      </c>
      <c r="H57" s="33" t="s">
        <v>54</v>
      </c>
      <c r="I57" s="37">
        <v>256779411162</v>
      </c>
      <c r="J57" s="33" t="s">
        <v>32</v>
      </c>
      <c r="K57" s="33" t="s">
        <v>33</v>
      </c>
      <c r="L57" s="33" t="s">
        <v>31</v>
      </c>
      <c r="M57" s="33" t="s">
        <v>52</v>
      </c>
      <c r="N57" s="33" t="s">
        <v>45</v>
      </c>
      <c r="O57" s="35">
        <v>35.25</v>
      </c>
      <c r="P57" s="33" t="s">
        <v>34</v>
      </c>
      <c r="Q57" s="35">
        <v>3063.99</v>
      </c>
      <c r="R57" s="35"/>
      <c r="S57" s="35"/>
      <c r="T57" s="33" t="s">
        <v>58</v>
      </c>
      <c r="U57" s="33" t="s">
        <v>31</v>
      </c>
      <c r="V57" s="33" t="s">
        <v>31</v>
      </c>
      <c r="W57" s="33" t="s">
        <v>54</v>
      </c>
      <c r="X57" s="33" t="s">
        <v>36</v>
      </c>
      <c r="Y57" s="33" t="s">
        <v>99</v>
      </c>
      <c r="Z57" s="33" t="s">
        <v>31</v>
      </c>
      <c r="AA57" s="33" t="s">
        <v>31</v>
      </c>
      <c r="AB57" s="33" t="s">
        <v>31</v>
      </c>
      <c r="AC57" s="34">
        <v>45762</v>
      </c>
      <c r="AD57" s="34"/>
      <c r="AE57" s="33" t="s">
        <v>31</v>
      </c>
      <c r="AF57" s="19"/>
      <c r="AG57">
        <f>VLOOKUP(I57,'Customer Data'!$B$2:$F$149,4,0)</f>
        <v>34.54</v>
      </c>
    </row>
    <row r="58" spans="1:33" hidden="1" x14ac:dyDescent="0.35">
      <c r="A58" s="32">
        <v>100222345</v>
      </c>
      <c r="B58" s="33" t="s">
        <v>29</v>
      </c>
      <c r="C58" s="34">
        <v>45762</v>
      </c>
      <c r="D58" s="32">
        <v>1800006272</v>
      </c>
      <c r="E58" s="33" t="s">
        <v>57</v>
      </c>
      <c r="F58" s="34">
        <v>45762</v>
      </c>
      <c r="G58" s="34">
        <v>45763</v>
      </c>
      <c r="H58" s="33" t="s">
        <v>54</v>
      </c>
      <c r="I58" s="37">
        <v>256779411163</v>
      </c>
      <c r="J58" s="33" t="s">
        <v>32</v>
      </c>
      <c r="K58" s="33" t="s">
        <v>33</v>
      </c>
      <c r="L58" s="33" t="s">
        <v>31</v>
      </c>
      <c r="M58" s="33" t="s">
        <v>52</v>
      </c>
      <c r="N58" s="33" t="s">
        <v>45</v>
      </c>
      <c r="O58" s="35">
        <v>24</v>
      </c>
      <c r="P58" s="33" t="s">
        <v>34</v>
      </c>
      <c r="Q58" s="35">
        <v>2086.12</v>
      </c>
      <c r="R58" s="35"/>
      <c r="S58" s="35"/>
      <c r="T58" s="33" t="s">
        <v>58</v>
      </c>
      <c r="U58" s="33" t="s">
        <v>31</v>
      </c>
      <c r="V58" s="33" t="s">
        <v>31</v>
      </c>
      <c r="W58" s="33" t="s">
        <v>54</v>
      </c>
      <c r="X58" s="33" t="s">
        <v>36</v>
      </c>
      <c r="Y58" s="33" t="s">
        <v>99</v>
      </c>
      <c r="Z58" s="33" t="s">
        <v>31</v>
      </c>
      <c r="AA58" s="33" t="s">
        <v>31</v>
      </c>
      <c r="AB58" s="33" t="s">
        <v>31</v>
      </c>
      <c r="AC58" s="34">
        <v>45762</v>
      </c>
      <c r="AD58" s="34"/>
      <c r="AE58" s="33" t="s">
        <v>31</v>
      </c>
      <c r="AF58" s="19"/>
      <c r="AG58">
        <f>VLOOKUP(I58,'Customer Data'!$B$2:$F$149,4,0)</f>
        <v>23.52</v>
      </c>
    </row>
    <row r="59" spans="1:33" hidden="1" x14ac:dyDescent="0.35">
      <c r="A59" s="32">
        <v>100222345</v>
      </c>
      <c r="B59" s="33" t="s">
        <v>29</v>
      </c>
      <c r="C59" s="34">
        <v>45762</v>
      </c>
      <c r="D59" s="32">
        <v>1800006273</v>
      </c>
      <c r="E59" s="33" t="s">
        <v>57</v>
      </c>
      <c r="F59" s="34">
        <v>45762</v>
      </c>
      <c r="G59" s="34">
        <v>45763</v>
      </c>
      <c r="H59" s="33" t="s">
        <v>54</v>
      </c>
      <c r="I59" s="37">
        <v>256779411164</v>
      </c>
      <c r="J59" s="33" t="s">
        <v>32</v>
      </c>
      <c r="K59" s="33" t="s">
        <v>33</v>
      </c>
      <c r="L59" s="33" t="s">
        <v>31</v>
      </c>
      <c r="M59" s="33" t="s">
        <v>52</v>
      </c>
      <c r="N59" s="33" t="s">
        <v>45</v>
      </c>
      <c r="O59" s="35">
        <v>33</v>
      </c>
      <c r="P59" s="33" t="s">
        <v>34</v>
      </c>
      <c r="Q59" s="35">
        <v>2868.42</v>
      </c>
      <c r="R59" s="35"/>
      <c r="S59" s="35"/>
      <c r="T59" s="33" t="s">
        <v>58</v>
      </c>
      <c r="U59" s="33" t="s">
        <v>31</v>
      </c>
      <c r="V59" s="33" t="s">
        <v>31</v>
      </c>
      <c r="W59" s="33" t="s">
        <v>54</v>
      </c>
      <c r="X59" s="33" t="s">
        <v>36</v>
      </c>
      <c r="Y59" s="33" t="s">
        <v>99</v>
      </c>
      <c r="Z59" s="33" t="s">
        <v>31</v>
      </c>
      <c r="AA59" s="33" t="s">
        <v>31</v>
      </c>
      <c r="AB59" s="33" t="s">
        <v>31</v>
      </c>
      <c r="AC59" s="34">
        <v>45762</v>
      </c>
      <c r="AD59" s="34"/>
      <c r="AE59" s="33" t="s">
        <v>31</v>
      </c>
      <c r="AF59" s="19"/>
      <c r="AG59">
        <f>VLOOKUP(I59,'Customer Data'!$B$2:$F$149,4,0)</f>
        <v>32.340000000000003</v>
      </c>
    </row>
    <row r="60" spans="1:33" hidden="1" x14ac:dyDescent="0.35">
      <c r="A60" s="32">
        <v>100222345</v>
      </c>
      <c r="B60" s="33" t="s">
        <v>29</v>
      </c>
      <c r="C60" s="34">
        <v>45762</v>
      </c>
      <c r="D60" s="32">
        <v>1800006696</v>
      </c>
      <c r="E60" s="33" t="s">
        <v>57</v>
      </c>
      <c r="F60" s="34">
        <v>45762</v>
      </c>
      <c r="G60" s="34">
        <v>45763</v>
      </c>
      <c r="H60" s="33" t="s">
        <v>54</v>
      </c>
      <c r="I60" s="37">
        <v>256779411587</v>
      </c>
      <c r="J60" s="33" t="s">
        <v>32</v>
      </c>
      <c r="K60" s="33" t="s">
        <v>33</v>
      </c>
      <c r="L60" s="33" t="s">
        <v>31</v>
      </c>
      <c r="M60" s="33" t="s">
        <v>52</v>
      </c>
      <c r="N60" s="33" t="s">
        <v>45</v>
      </c>
      <c r="O60" s="35">
        <v>2.25</v>
      </c>
      <c r="P60" s="33" t="s">
        <v>34</v>
      </c>
      <c r="Q60" s="35">
        <v>195.57</v>
      </c>
      <c r="R60" s="35"/>
      <c r="S60" s="35"/>
      <c r="T60" s="33" t="s">
        <v>58</v>
      </c>
      <c r="U60" s="33" t="s">
        <v>31</v>
      </c>
      <c r="V60" s="33" t="s">
        <v>31</v>
      </c>
      <c r="W60" s="33" t="s">
        <v>54</v>
      </c>
      <c r="X60" s="33" t="s">
        <v>36</v>
      </c>
      <c r="Y60" s="33" t="s">
        <v>101</v>
      </c>
      <c r="Z60" s="33" t="s">
        <v>31</v>
      </c>
      <c r="AA60" s="33" t="s">
        <v>31</v>
      </c>
      <c r="AB60" s="33" t="s">
        <v>31</v>
      </c>
      <c r="AC60" s="34">
        <v>45762</v>
      </c>
      <c r="AD60" s="34"/>
      <c r="AE60" s="33" t="s">
        <v>31</v>
      </c>
      <c r="AF60" s="19"/>
      <c r="AG60">
        <f>VLOOKUP(I60,'Customer Data'!$B$2:$F$149,4,0)</f>
        <v>2.2000000000000002</v>
      </c>
    </row>
    <row r="61" spans="1:33" hidden="1" x14ac:dyDescent="0.35">
      <c r="A61" s="32">
        <v>100222345</v>
      </c>
      <c r="B61" s="33" t="s">
        <v>29</v>
      </c>
      <c r="C61" s="34">
        <v>45762</v>
      </c>
      <c r="D61" s="32">
        <v>1800006697</v>
      </c>
      <c r="E61" s="33" t="s">
        <v>57</v>
      </c>
      <c r="F61" s="34">
        <v>45762</v>
      </c>
      <c r="G61" s="34">
        <v>45763</v>
      </c>
      <c r="H61" s="33" t="s">
        <v>54</v>
      </c>
      <c r="I61" s="37">
        <v>256779411588</v>
      </c>
      <c r="J61" s="33" t="s">
        <v>32</v>
      </c>
      <c r="K61" s="33" t="s">
        <v>33</v>
      </c>
      <c r="L61" s="33" t="s">
        <v>31</v>
      </c>
      <c r="M61" s="33" t="s">
        <v>52</v>
      </c>
      <c r="N61" s="33" t="s">
        <v>45</v>
      </c>
      <c r="O61" s="35">
        <v>2.25</v>
      </c>
      <c r="P61" s="33" t="s">
        <v>34</v>
      </c>
      <c r="Q61" s="35">
        <v>195.57</v>
      </c>
      <c r="R61" s="35"/>
      <c r="S61" s="35"/>
      <c r="T61" s="33" t="s">
        <v>58</v>
      </c>
      <c r="U61" s="33" t="s">
        <v>31</v>
      </c>
      <c r="V61" s="33" t="s">
        <v>31</v>
      </c>
      <c r="W61" s="33" t="s">
        <v>54</v>
      </c>
      <c r="X61" s="33" t="s">
        <v>36</v>
      </c>
      <c r="Y61" s="33" t="s">
        <v>101</v>
      </c>
      <c r="Z61" s="33" t="s">
        <v>31</v>
      </c>
      <c r="AA61" s="33" t="s">
        <v>31</v>
      </c>
      <c r="AB61" s="33" t="s">
        <v>31</v>
      </c>
      <c r="AC61" s="34">
        <v>45762</v>
      </c>
      <c r="AD61" s="34"/>
      <c r="AE61" s="33" t="s">
        <v>31</v>
      </c>
      <c r="AF61" s="19"/>
      <c r="AG61">
        <f>VLOOKUP(I61,'Customer Data'!$B$2:$F$149,4,0)</f>
        <v>2.2000000000000002</v>
      </c>
    </row>
    <row r="62" spans="1:33" hidden="1" x14ac:dyDescent="0.35">
      <c r="A62" s="32">
        <v>100222345</v>
      </c>
      <c r="B62" s="33" t="s">
        <v>29</v>
      </c>
      <c r="C62" s="34">
        <v>45762</v>
      </c>
      <c r="D62" s="32">
        <v>1800006698</v>
      </c>
      <c r="E62" s="33" t="s">
        <v>57</v>
      </c>
      <c r="F62" s="34">
        <v>45762</v>
      </c>
      <c r="G62" s="34">
        <v>45763</v>
      </c>
      <c r="H62" s="33" t="s">
        <v>54</v>
      </c>
      <c r="I62" s="37">
        <v>256779411589</v>
      </c>
      <c r="J62" s="33" t="s">
        <v>32</v>
      </c>
      <c r="K62" s="33" t="s">
        <v>33</v>
      </c>
      <c r="L62" s="33" t="s">
        <v>31</v>
      </c>
      <c r="M62" s="33" t="s">
        <v>52</v>
      </c>
      <c r="N62" s="33" t="s">
        <v>45</v>
      </c>
      <c r="O62" s="35">
        <v>3.38</v>
      </c>
      <c r="P62" s="33" t="s">
        <v>34</v>
      </c>
      <c r="Q62" s="35">
        <v>293.8</v>
      </c>
      <c r="R62" s="35"/>
      <c r="S62" s="35"/>
      <c r="T62" s="33" t="s">
        <v>58</v>
      </c>
      <c r="U62" s="33" t="s">
        <v>31</v>
      </c>
      <c r="V62" s="33" t="s">
        <v>31</v>
      </c>
      <c r="W62" s="33" t="s">
        <v>54</v>
      </c>
      <c r="X62" s="33" t="s">
        <v>36</v>
      </c>
      <c r="Y62" s="33" t="s">
        <v>101</v>
      </c>
      <c r="Z62" s="33" t="s">
        <v>31</v>
      </c>
      <c r="AA62" s="33" t="s">
        <v>31</v>
      </c>
      <c r="AB62" s="33" t="s">
        <v>31</v>
      </c>
      <c r="AC62" s="34">
        <v>45762</v>
      </c>
      <c r="AD62" s="34"/>
      <c r="AE62" s="33" t="s">
        <v>31</v>
      </c>
      <c r="AF62" s="19"/>
      <c r="AG62" t="e">
        <f>VLOOKUP(I62,'Customer Data'!$B$2:$F$149,4,0)</f>
        <v>#N/A</v>
      </c>
    </row>
    <row r="63" spans="1:33" hidden="1" x14ac:dyDescent="0.35">
      <c r="A63" s="32">
        <v>100222345</v>
      </c>
      <c r="B63" s="33" t="s">
        <v>29</v>
      </c>
      <c r="C63" s="34">
        <v>45762</v>
      </c>
      <c r="D63" s="32">
        <v>1800006699</v>
      </c>
      <c r="E63" s="33" t="s">
        <v>57</v>
      </c>
      <c r="F63" s="34">
        <v>45762</v>
      </c>
      <c r="G63" s="34">
        <v>45763</v>
      </c>
      <c r="H63" s="33" t="s">
        <v>54</v>
      </c>
      <c r="I63" s="37">
        <v>256779411590</v>
      </c>
      <c r="J63" s="33" t="s">
        <v>32</v>
      </c>
      <c r="K63" s="33" t="s">
        <v>33</v>
      </c>
      <c r="L63" s="33" t="s">
        <v>31</v>
      </c>
      <c r="M63" s="33" t="s">
        <v>52</v>
      </c>
      <c r="N63" s="33" t="s">
        <v>45</v>
      </c>
      <c r="O63" s="35">
        <v>2.25</v>
      </c>
      <c r="P63" s="33" t="s">
        <v>34</v>
      </c>
      <c r="Q63" s="35">
        <v>195.57</v>
      </c>
      <c r="R63" s="35"/>
      <c r="S63" s="35"/>
      <c r="T63" s="33" t="s">
        <v>58</v>
      </c>
      <c r="U63" s="33" t="s">
        <v>31</v>
      </c>
      <c r="V63" s="33" t="s">
        <v>31</v>
      </c>
      <c r="W63" s="33" t="s">
        <v>54</v>
      </c>
      <c r="X63" s="33" t="s">
        <v>36</v>
      </c>
      <c r="Y63" s="33" t="s">
        <v>101</v>
      </c>
      <c r="Z63" s="33" t="s">
        <v>31</v>
      </c>
      <c r="AA63" s="33" t="s">
        <v>31</v>
      </c>
      <c r="AB63" s="33" t="s">
        <v>31</v>
      </c>
      <c r="AC63" s="34">
        <v>45762</v>
      </c>
      <c r="AD63" s="34"/>
      <c r="AE63" s="33" t="s">
        <v>31</v>
      </c>
      <c r="AF63" s="19"/>
      <c r="AG63">
        <f>VLOOKUP(I63,'Customer Data'!$B$2:$F$149,4,0)</f>
        <v>2.2000000000000002</v>
      </c>
    </row>
    <row r="64" spans="1:33" hidden="1" x14ac:dyDescent="0.35">
      <c r="A64" s="32">
        <v>100222345</v>
      </c>
      <c r="B64" s="33" t="s">
        <v>29</v>
      </c>
      <c r="C64" s="34">
        <v>45762</v>
      </c>
      <c r="D64" s="32">
        <v>1800006700</v>
      </c>
      <c r="E64" s="33" t="s">
        <v>57</v>
      </c>
      <c r="F64" s="34">
        <v>45762</v>
      </c>
      <c r="G64" s="34">
        <v>45763</v>
      </c>
      <c r="H64" s="33" t="s">
        <v>54</v>
      </c>
      <c r="I64" s="37">
        <v>256779411591</v>
      </c>
      <c r="J64" s="33" t="s">
        <v>32</v>
      </c>
      <c r="K64" s="33" t="s">
        <v>33</v>
      </c>
      <c r="L64" s="33" t="s">
        <v>31</v>
      </c>
      <c r="M64" s="33" t="s">
        <v>52</v>
      </c>
      <c r="N64" s="33" t="s">
        <v>45</v>
      </c>
      <c r="O64" s="35">
        <v>3</v>
      </c>
      <c r="P64" s="33" t="s">
        <v>34</v>
      </c>
      <c r="Q64" s="35">
        <v>260.77</v>
      </c>
      <c r="R64" s="35"/>
      <c r="S64" s="35"/>
      <c r="T64" s="33" t="s">
        <v>58</v>
      </c>
      <c r="U64" s="33" t="s">
        <v>31</v>
      </c>
      <c r="V64" s="33" t="s">
        <v>31</v>
      </c>
      <c r="W64" s="33" t="s">
        <v>54</v>
      </c>
      <c r="X64" s="33" t="s">
        <v>36</v>
      </c>
      <c r="Y64" s="33" t="s">
        <v>101</v>
      </c>
      <c r="Z64" s="33" t="s">
        <v>31</v>
      </c>
      <c r="AA64" s="33" t="s">
        <v>31</v>
      </c>
      <c r="AB64" s="33" t="s">
        <v>31</v>
      </c>
      <c r="AC64" s="34">
        <v>45762</v>
      </c>
      <c r="AD64" s="34"/>
      <c r="AE64" s="33" t="s">
        <v>31</v>
      </c>
      <c r="AF64" s="19"/>
      <c r="AG64">
        <f>VLOOKUP(I64,'Customer Data'!$B$2:$F$149,4,0)</f>
        <v>2.94</v>
      </c>
    </row>
    <row r="65" spans="1:33" hidden="1" x14ac:dyDescent="0.35">
      <c r="A65" s="32">
        <v>100222345</v>
      </c>
      <c r="B65" s="33" t="s">
        <v>29</v>
      </c>
      <c r="C65" s="34">
        <v>45762</v>
      </c>
      <c r="D65" s="32">
        <v>1800006701</v>
      </c>
      <c r="E65" s="33" t="s">
        <v>57</v>
      </c>
      <c r="F65" s="34">
        <v>45762</v>
      </c>
      <c r="G65" s="34">
        <v>45763</v>
      </c>
      <c r="H65" s="33" t="s">
        <v>54</v>
      </c>
      <c r="I65" s="37">
        <v>256779411592</v>
      </c>
      <c r="J65" s="33" t="s">
        <v>32</v>
      </c>
      <c r="K65" s="33" t="s">
        <v>33</v>
      </c>
      <c r="L65" s="33" t="s">
        <v>31</v>
      </c>
      <c r="M65" s="33" t="s">
        <v>52</v>
      </c>
      <c r="N65" s="33" t="s">
        <v>45</v>
      </c>
      <c r="O65" s="35">
        <v>9.59</v>
      </c>
      <c r="P65" s="33" t="s">
        <v>34</v>
      </c>
      <c r="Q65" s="35">
        <v>833.58</v>
      </c>
      <c r="R65" s="35"/>
      <c r="S65" s="35"/>
      <c r="T65" s="33" t="s">
        <v>58</v>
      </c>
      <c r="U65" s="33" t="s">
        <v>31</v>
      </c>
      <c r="V65" s="33" t="s">
        <v>31</v>
      </c>
      <c r="W65" s="33" t="s">
        <v>54</v>
      </c>
      <c r="X65" s="33" t="s">
        <v>36</v>
      </c>
      <c r="Y65" s="33" t="s">
        <v>101</v>
      </c>
      <c r="Z65" s="33" t="s">
        <v>31</v>
      </c>
      <c r="AA65" s="33" t="s">
        <v>31</v>
      </c>
      <c r="AB65" s="33" t="s">
        <v>31</v>
      </c>
      <c r="AC65" s="34">
        <v>45762</v>
      </c>
      <c r="AD65" s="34"/>
      <c r="AE65" s="33" t="s">
        <v>31</v>
      </c>
      <c r="AF65" s="19"/>
      <c r="AG65">
        <f>VLOOKUP(I65,'Customer Data'!$B$2:$F$149,4,0)</f>
        <v>9.4</v>
      </c>
    </row>
    <row r="66" spans="1:33" hidden="1" x14ac:dyDescent="0.35">
      <c r="A66" s="32">
        <v>100222345</v>
      </c>
      <c r="B66" s="33" t="s">
        <v>29</v>
      </c>
      <c r="C66" s="34">
        <v>45762</v>
      </c>
      <c r="D66" s="32">
        <v>1800006702</v>
      </c>
      <c r="E66" s="33" t="s">
        <v>57</v>
      </c>
      <c r="F66" s="34">
        <v>45762</v>
      </c>
      <c r="G66" s="34">
        <v>45763</v>
      </c>
      <c r="H66" s="33" t="s">
        <v>54</v>
      </c>
      <c r="I66" s="37">
        <v>256779411593</v>
      </c>
      <c r="J66" s="33" t="s">
        <v>32</v>
      </c>
      <c r="K66" s="33" t="s">
        <v>33</v>
      </c>
      <c r="L66" s="33" t="s">
        <v>31</v>
      </c>
      <c r="M66" s="33" t="s">
        <v>52</v>
      </c>
      <c r="N66" s="33" t="s">
        <v>45</v>
      </c>
      <c r="O66" s="35">
        <v>3</v>
      </c>
      <c r="P66" s="33" t="s">
        <v>34</v>
      </c>
      <c r="Q66" s="35">
        <v>260.77</v>
      </c>
      <c r="R66" s="35"/>
      <c r="S66" s="35"/>
      <c r="T66" s="33" t="s">
        <v>58</v>
      </c>
      <c r="U66" s="33" t="s">
        <v>31</v>
      </c>
      <c r="V66" s="33" t="s">
        <v>31</v>
      </c>
      <c r="W66" s="33" t="s">
        <v>54</v>
      </c>
      <c r="X66" s="33" t="s">
        <v>36</v>
      </c>
      <c r="Y66" s="33" t="s">
        <v>101</v>
      </c>
      <c r="Z66" s="33" t="s">
        <v>31</v>
      </c>
      <c r="AA66" s="33" t="s">
        <v>31</v>
      </c>
      <c r="AB66" s="33" t="s">
        <v>31</v>
      </c>
      <c r="AC66" s="34">
        <v>45762</v>
      </c>
      <c r="AD66" s="34"/>
      <c r="AE66" s="33" t="s">
        <v>31</v>
      </c>
      <c r="AF66" s="19"/>
      <c r="AG66">
        <f>VLOOKUP(I66,'Customer Data'!$B$2:$F$149,4,0)</f>
        <v>2.94</v>
      </c>
    </row>
    <row r="67" spans="1:33" hidden="1" x14ac:dyDescent="0.35">
      <c r="A67" s="32">
        <v>100222345</v>
      </c>
      <c r="B67" s="33" t="s">
        <v>29</v>
      </c>
      <c r="C67" s="34">
        <v>45762</v>
      </c>
      <c r="D67" s="32">
        <v>1800006703</v>
      </c>
      <c r="E67" s="33" t="s">
        <v>57</v>
      </c>
      <c r="F67" s="34">
        <v>45762</v>
      </c>
      <c r="G67" s="34">
        <v>45763</v>
      </c>
      <c r="H67" s="33" t="s">
        <v>54</v>
      </c>
      <c r="I67" s="37">
        <v>256779411594</v>
      </c>
      <c r="J67" s="33" t="s">
        <v>32</v>
      </c>
      <c r="K67" s="33" t="s">
        <v>33</v>
      </c>
      <c r="L67" s="33" t="s">
        <v>31</v>
      </c>
      <c r="M67" s="33" t="s">
        <v>52</v>
      </c>
      <c r="N67" s="33" t="s">
        <v>45</v>
      </c>
      <c r="O67" s="35">
        <v>5.25</v>
      </c>
      <c r="P67" s="33" t="s">
        <v>34</v>
      </c>
      <c r="Q67" s="35">
        <v>456.34</v>
      </c>
      <c r="R67" s="35"/>
      <c r="S67" s="35"/>
      <c r="T67" s="33" t="s">
        <v>58</v>
      </c>
      <c r="U67" s="33" t="s">
        <v>31</v>
      </c>
      <c r="V67" s="33" t="s">
        <v>31</v>
      </c>
      <c r="W67" s="33" t="s">
        <v>54</v>
      </c>
      <c r="X67" s="33" t="s">
        <v>36</v>
      </c>
      <c r="Y67" s="33" t="s">
        <v>101</v>
      </c>
      <c r="Z67" s="33" t="s">
        <v>31</v>
      </c>
      <c r="AA67" s="33" t="s">
        <v>31</v>
      </c>
      <c r="AB67" s="33" t="s">
        <v>31</v>
      </c>
      <c r="AC67" s="34">
        <v>45762</v>
      </c>
      <c r="AD67" s="34"/>
      <c r="AE67" s="33" t="s">
        <v>31</v>
      </c>
      <c r="AF67" s="19"/>
      <c r="AG67">
        <f>VLOOKUP(I67,'Customer Data'!$B$2:$F$149,4,0)</f>
        <v>5.14</v>
      </c>
    </row>
    <row r="68" spans="1:33" hidden="1" x14ac:dyDescent="0.35">
      <c r="A68" s="32">
        <v>100222345</v>
      </c>
      <c r="B68" s="33" t="s">
        <v>29</v>
      </c>
      <c r="C68" s="34">
        <v>45762</v>
      </c>
      <c r="D68" s="32">
        <v>1800006704</v>
      </c>
      <c r="E68" s="33" t="s">
        <v>57</v>
      </c>
      <c r="F68" s="34">
        <v>45762</v>
      </c>
      <c r="G68" s="34">
        <v>45763</v>
      </c>
      <c r="H68" s="33" t="s">
        <v>54</v>
      </c>
      <c r="I68" s="37">
        <v>256779411595</v>
      </c>
      <c r="J68" s="33" t="s">
        <v>32</v>
      </c>
      <c r="K68" s="33" t="s">
        <v>33</v>
      </c>
      <c r="L68" s="33" t="s">
        <v>31</v>
      </c>
      <c r="M68" s="33" t="s">
        <v>52</v>
      </c>
      <c r="N68" s="33" t="s">
        <v>45</v>
      </c>
      <c r="O68" s="35">
        <v>62.35</v>
      </c>
      <c r="P68" s="33" t="s">
        <v>34</v>
      </c>
      <c r="Q68" s="35">
        <v>5419.58</v>
      </c>
      <c r="R68" s="35"/>
      <c r="S68" s="35"/>
      <c r="T68" s="33" t="s">
        <v>58</v>
      </c>
      <c r="U68" s="33" t="s">
        <v>31</v>
      </c>
      <c r="V68" s="33" t="s">
        <v>31</v>
      </c>
      <c r="W68" s="33" t="s">
        <v>54</v>
      </c>
      <c r="X68" s="33" t="s">
        <v>36</v>
      </c>
      <c r="Y68" s="33" t="s">
        <v>101</v>
      </c>
      <c r="Z68" s="33" t="s">
        <v>31</v>
      </c>
      <c r="AA68" s="33" t="s">
        <v>31</v>
      </c>
      <c r="AB68" s="33" t="s">
        <v>31</v>
      </c>
      <c r="AC68" s="34">
        <v>45762</v>
      </c>
      <c r="AD68" s="34"/>
      <c r="AE68" s="33" t="s">
        <v>31</v>
      </c>
      <c r="AF68" s="19"/>
      <c r="AG68">
        <f>VLOOKUP(I68,'Customer Data'!$B$2:$F$149,4,0)</f>
        <v>61.1</v>
      </c>
    </row>
    <row r="69" spans="1:33" hidden="1" x14ac:dyDescent="0.35">
      <c r="A69" s="32">
        <v>100222345</v>
      </c>
      <c r="B69" s="33" t="s">
        <v>29</v>
      </c>
      <c r="C69" s="34">
        <v>45762</v>
      </c>
      <c r="D69" s="32">
        <v>1800006705</v>
      </c>
      <c r="E69" s="33" t="s">
        <v>57</v>
      </c>
      <c r="F69" s="34">
        <v>45762</v>
      </c>
      <c r="G69" s="34">
        <v>45763</v>
      </c>
      <c r="H69" s="33" t="s">
        <v>54</v>
      </c>
      <c r="I69" s="37">
        <v>256779411596</v>
      </c>
      <c r="J69" s="33" t="s">
        <v>32</v>
      </c>
      <c r="K69" s="33" t="s">
        <v>33</v>
      </c>
      <c r="L69" s="33" t="s">
        <v>31</v>
      </c>
      <c r="M69" s="33" t="s">
        <v>52</v>
      </c>
      <c r="N69" s="33" t="s">
        <v>45</v>
      </c>
      <c r="O69" s="35">
        <v>13.88</v>
      </c>
      <c r="P69" s="33" t="s">
        <v>34</v>
      </c>
      <c r="Q69" s="35">
        <v>1206.47</v>
      </c>
      <c r="R69" s="35"/>
      <c r="S69" s="35"/>
      <c r="T69" s="33" t="s">
        <v>58</v>
      </c>
      <c r="U69" s="33" t="s">
        <v>31</v>
      </c>
      <c r="V69" s="33" t="s">
        <v>31</v>
      </c>
      <c r="W69" s="33" t="s">
        <v>54</v>
      </c>
      <c r="X69" s="33" t="s">
        <v>36</v>
      </c>
      <c r="Y69" s="33" t="s">
        <v>101</v>
      </c>
      <c r="Z69" s="33" t="s">
        <v>31</v>
      </c>
      <c r="AA69" s="33" t="s">
        <v>31</v>
      </c>
      <c r="AB69" s="33" t="s">
        <v>31</v>
      </c>
      <c r="AC69" s="34">
        <v>45762</v>
      </c>
      <c r="AD69" s="34"/>
      <c r="AE69" s="33" t="s">
        <v>31</v>
      </c>
      <c r="AF69" s="19"/>
      <c r="AG69">
        <f>VLOOKUP(I69,'Customer Data'!$B$2:$F$149,4,0)</f>
        <v>13.600000000000001</v>
      </c>
    </row>
    <row r="70" spans="1:33" hidden="1" x14ac:dyDescent="0.35">
      <c r="A70" s="32">
        <v>100222345</v>
      </c>
      <c r="B70" s="33" t="s">
        <v>29</v>
      </c>
      <c r="C70" s="34">
        <v>45762</v>
      </c>
      <c r="D70" s="32">
        <v>1800006706</v>
      </c>
      <c r="E70" s="33" t="s">
        <v>57</v>
      </c>
      <c r="F70" s="34">
        <v>45762</v>
      </c>
      <c r="G70" s="34">
        <v>45763</v>
      </c>
      <c r="H70" s="33" t="s">
        <v>54</v>
      </c>
      <c r="I70" s="37">
        <v>256779411597</v>
      </c>
      <c r="J70" s="33" t="s">
        <v>32</v>
      </c>
      <c r="K70" s="33" t="s">
        <v>33</v>
      </c>
      <c r="L70" s="33" t="s">
        <v>31</v>
      </c>
      <c r="M70" s="33" t="s">
        <v>52</v>
      </c>
      <c r="N70" s="33" t="s">
        <v>45</v>
      </c>
      <c r="O70" s="35">
        <v>19.95</v>
      </c>
      <c r="P70" s="33" t="s">
        <v>34</v>
      </c>
      <c r="Q70" s="35">
        <v>1734.09</v>
      </c>
      <c r="R70" s="35"/>
      <c r="S70" s="35"/>
      <c r="T70" s="33" t="s">
        <v>58</v>
      </c>
      <c r="U70" s="33" t="s">
        <v>31</v>
      </c>
      <c r="V70" s="33" t="s">
        <v>31</v>
      </c>
      <c r="W70" s="33" t="s">
        <v>54</v>
      </c>
      <c r="X70" s="33" t="s">
        <v>36</v>
      </c>
      <c r="Y70" s="33" t="s">
        <v>101</v>
      </c>
      <c r="Z70" s="33" t="s">
        <v>31</v>
      </c>
      <c r="AA70" s="33" t="s">
        <v>31</v>
      </c>
      <c r="AB70" s="33" t="s">
        <v>31</v>
      </c>
      <c r="AC70" s="34">
        <v>45762</v>
      </c>
      <c r="AD70" s="34"/>
      <c r="AE70" s="33" t="s">
        <v>31</v>
      </c>
      <c r="AF70" s="19"/>
      <c r="AG70">
        <f>VLOOKUP(I70,'Customer Data'!$B$2:$F$149,4,0)</f>
        <v>19.55</v>
      </c>
    </row>
    <row r="71" spans="1:33" hidden="1" x14ac:dyDescent="0.35">
      <c r="A71" s="32">
        <v>100222345</v>
      </c>
      <c r="B71" s="33" t="s">
        <v>29</v>
      </c>
      <c r="C71" s="34">
        <v>45763</v>
      </c>
      <c r="D71" s="32">
        <v>1800006920</v>
      </c>
      <c r="E71" s="33" t="s">
        <v>57</v>
      </c>
      <c r="F71" s="34">
        <v>45763</v>
      </c>
      <c r="G71" s="34">
        <v>45764</v>
      </c>
      <c r="H71" s="33" t="s">
        <v>54</v>
      </c>
      <c r="I71" s="37">
        <v>256779411811</v>
      </c>
      <c r="J71" s="33" t="s">
        <v>32</v>
      </c>
      <c r="K71" s="33" t="s">
        <v>33</v>
      </c>
      <c r="L71" s="33" t="s">
        <v>31</v>
      </c>
      <c r="M71" s="33" t="s">
        <v>52</v>
      </c>
      <c r="N71" s="33" t="s">
        <v>45</v>
      </c>
      <c r="O71" s="35">
        <v>3.24</v>
      </c>
      <c r="P71" s="33" t="s">
        <v>34</v>
      </c>
      <c r="Q71" s="35">
        <v>281.63</v>
      </c>
      <c r="R71" s="35"/>
      <c r="S71" s="35"/>
      <c r="T71" s="33" t="s">
        <v>58</v>
      </c>
      <c r="U71" s="33" t="s">
        <v>35</v>
      </c>
      <c r="V71" s="33" t="s">
        <v>31</v>
      </c>
      <c r="W71" s="33" t="s">
        <v>54</v>
      </c>
      <c r="X71" s="33" t="s">
        <v>36</v>
      </c>
      <c r="Y71" s="33" t="s">
        <v>81</v>
      </c>
      <c r="Z71" s="33" t="s">
        <v>31</v>
      </c>
      <c r="AA71" s="33" t="s">
        <v>31</v>
      </c>
      <c r="AB71" s="33" t="s">
        <v>31</v>
      </c>
      <c r="AC71" s="34">
        <v>45763</v>
      </c>
      <c r="AD71" s="34"/>
      <c r="AE71" s="33" t="s">
        <v>31</v>
      </c>
      <c r="AF71" s="19"/>
      <c r="AG71">
        <f>VLOOKUP(I71,'Customer Data'!$B$2:$F$149,4,0)</f>
        <v>3.18</v>
      </c>
    </row>
    <row r="72" spans="1:33" hidden="1" x14ac:dyDescent="0.35">
      <c r="A72" s="32">
        <v>100222345</v>
      </c>
      <c r="B72" s="33" t="s">
        <v>29</v>
      </c>
      <c r="C72" s="34">
        <v>45763</v>
      </c>
      <c r="D72" s="32">
        <v>1800006921</v>
      </c>
      <c r="E72" s="33" t="s">
        <v>57</v>
      </c>
      <c r="F72" s="34">
        <v>45763</v>
      </c>
      <c r="G72" s="34">
        <v>45764</v>
      </c>
      <c r="H72" s="33" t="s">
        <v>54</v>
      </c>
      <c r="I72" s="37">
        <v>256779411812</v>
      </c>
      <c r="J72" s="33" t="s">
        <v>32</v>
      </c>
      <c r="K72" s="33" t="s">
        <v>33</v>
      </c>
      <c r="L72" s="33" t="s">
        <v>31</v>
      </c>
      <c r="M72" s="33" t="s">
        <v>52</v>
      </c>
      <c r="N72" s="33" t="s">
        <v>45</v>
      </c>
      <c r="O72" s="35">
        <v>15</v>
      </c>
      <c r="P72" s="33" t="s">
        <v>34</v>
      </c>
      <c r="Q72" s="35">
        <v>1303.83</v>
      </c>
      <c r="R72" s="35"/>
      <c r="S72" s="35"/>
      <c r="T72" s="33" t="s">
        <v>58</v>
      </c>
      <c r="U72" s="33" t="s">
        <v>35</v>
      </c>
      <c r="V72" s="33" t="s">
        <v>31</v>
      </c>
      <c r="W72" s="33" t="s">
        <v>54</v>
      </c>
      <c r="X72" s="33" t="s">
        <v>36</v>
      </c>
      <c r="Y72" s="33" t="s">
        <v>102</v>
      </c>
      <c r="Z72" s="33" t="s">
        <v>31</v>
      </c>
      <c r="AA72" s="33" t="s">
        <v>31</v>
      </c>
      <c r="AB72" s="33" t="s">
        <v>31</v>
      </c>
      <c r="AC72" s="34">
        <v>45763</v>
      </c>
      <c r="AD72" s="34"/>
      <c r="AE72" s="33" t="s">
        <v>31</v>
      </c>
      <c r="AF72" s="19"/>
      <c r="AG72">
        <f>VLOOKUP(I72,'Customer Data'!$B$2:$F$149,4,0)</f>
        <v>14.7</v>
      </c>
    </row>
    <row r="73" spans="1:33" hidden="1" x14ac:dyDescent="0.35">
      <c r="A73" s="32">
        <v>100222345</v>
      </c>
      <c r="B73" s="33" t="s">
        <v>29</v>
      </c>
      <c r="C73" s="34">
        <v>45763</v>
      </c>
      <c r="D73" s="32">
        <v>1800006999</v>
      </c>
      <c r="E73" s="33" t="s">
        <v>57</v>
      </c>
      <c r="F73" s="34">
        <v>45763</v>
      </c>
      <c r="G73" s="34">
        <v>45764</v>
      </c>
      <c r="H73" s="33" t="s">
        <v>54</v>
      </c>
      <c r="I73" s="37">
        <v>256779411890</v>
      </c>
      <c r="J73" s="33" t="s">
        <v>32</v>
      </c>
      <c r="K73" s="33" t="s">
        <v>33</v>
      </c>
      <c r="L73" s="33" t="s">
        <v>31</v>
      </c>
      <c r="M73" s="33" t="s">
        <v>52</v>
      </c>
      <c r="N73" s="33" t="s">
        <v>45</v>
      </c>
      <c r="O73" s="35">
        <v>24.75</v>
      </c>
      <c r="P73" s="33" t="s">
        <v>34</v>
      </c>
      <c r="Q73" s="35">
        <v>2151.3200000000002</v>
      </c>
      <c r="R73" s="35"/>
      <c r="S73" s="35"/>
      <c r="T73" s="33" t="s">
        <v>58</v>
      </c>
      <c r="U73" s="33" t="s">
        <v>35</v>
      </c>
      <c r="V73" s="33" t="s">
        <v>31</v>
      </c>
      <c r="W73" s="33" t="s">
        <v>54</v>
      </c>
      <c r="X73" s="33" t="s">
        <v>36</v>
      </c>
      <c r="Y73" s="33" t="s">
        <v>103</v>
      </c>
      <c r="Z73" s="33" t="s">
        <v>31</v>
      </c>
      <c r="AA73" s="33" t="s">
        <v>31</v>
      </c>
      <c r="AB73" s="33" t="s">
        <v>31</v>
      </c>
      <c r="AC73" s="34">
        <v>45763</v>
      </c>
      <c r="AD73" s="34"/>
      <c r="AE73" s="33" t="s">
        <v>31</v>
      </c>
      <c r="AF73" s="19"/>
      <c r="AG73">
        <f>VLOOKUP(I73,'Customer Data'!$B$2:$F$149,4,0)</f>
        <v>24.25</v>
      </c>
    </row>
    <row r="74" spans="1:33" hidden="1" x14ac:dyDescent="0.35">
      <c r="A74" s="32">
        <v>100222345</v>
      </c>
      <c r="B74" s="33" t="s">
        <v>29</v>
      </c>
      <c r="C74" s="34">
        <v>45763</v>
      </c>
      <c r="D74" s="32">
        <v>1800007000</v>
      </c>
      <c r="E74" s="33" t="s">
        <v>57</v>
      </c>
      <c r="F74" s="34">
        <v>45763</v>
      </c>
      <c r="G74" s="34">
        <v>45764</v>
      </c>
      <c r="H74" s="33" t="s">
        <v>54</v>
      </c>
      <c r="I74" s="37">
        <v>256779411891</v>
      </c>
      <c r="J74" s="33" t="s">
        <v>32</v>
      </c>
      <c r="K74" s="33" t="s">
        <v>33</v>
      </c>
      <c r="L74" s="33" t="s">
        <v>31</v>
      </c>
      <c r="M74" s="33" t="s">
        <v>52</v>
      </c>
      <c r="N74" s="33" t="s">
        <v>45</v>
      </c>
      <c r="O74" s="35">
        <v>2.25</v>
      </c>
      <c r="P74" s="33" t="s">
        <v>34</v>
      </c>
      <c r="Q74" s="35">
        <v>195.57</v>
      </c>
      <c r="R74" s="35"/>
      <c r="S74" s="35"/>
      <c r="T74" s="33" t="s">
        <v>58</v>
      </c>
      <c r="U74" s="33" t="s">
        <v>35</v>
      </c>
      <c r="V74" s="33" t="s">
        <v>31</v>
      </c>
      <c r="W74" s="33" t="s">
        <v>54</v>
      </c>
      <c r="X74" s="33" t="s">
        <v>36</v>
      </c>
      <c r="Y74" s="33" t="s">
        <v>104</v>
      </c>
      <c r="Z74" s="33" t="s">
        <v>31</v>
      </c>
      <c r="AA74" s="33" t="s">
        <v>31</v>
      </c>
      <c r="AB74" s="33" t="s">
        <v>31</v>
      </c>
      <c r="AC74" s="34">
        <v>45763</v>
      </c>
      <c r="AD74" s="34"/>
      <c r="AE74" s="33" t="s">
        <v>31</v>
      </c>
      <c r="AF74" s="19"/>
      <c r="AG74">
        <f>VLOOKUP(I74,'Customer Data'!$B$2:$F$149,4,0)</f>
        <v>2.2000000000000002</v>
      </c>
    </row>
    <row r="75" spans="1:33" hidden="1" x14ac:dyDescent="0.35">
      <c r="A75" s="32">
        <v>100222345</v>
      </c>
      <c r="B75" s="33" t="s">
        <v>29</v>
      </c>
      <c r="C75" s="34">
        <v>45763</v>
      </c>
      <c r="D75" s="32">
        <v>1800007212</v>
      </c>
      <c r="E75" s="33" t="s">
        <v>57</v>
      </c>
      <c r="F75" s="34">
        <v>45763</v>
      </c>
      <c r="G75" s="34">
        <v>45764</v>
      </c>
      <c r="H75" s="33" t="s">
        <v>54</v>
      </c>
      <c r="I75" s="37">
        <v>256779412103</v>
      </c>
      <c r="J75" s="33" t="s">
        <v>32</v>
      </c>
      <c r="K75" s="33" t="s">
        <v>33</v>
      </c>
      <c r="L75" s="33" t="s">
        <v>31</v>
      </c>
      <c r="M75" s="33" t="s">
        <v>52</v>
      </c>
      <c r="N75" s="33" t="s">
        <v>45</v>
      </c>
      <c r="O75" s="35">
        <v>42.53</v>
      </c>
      <c r="P75" s="33" t="s">
        <v>34</v>
      </c>
      <c r="Q75" s="35">
        <v>3696.79</v>
      </c>
      <c r="R75" s="35"/>
      <c r="S75" s="35"/>
      <c r="T75" s="33" t="s">
        <v>58</v>
      </c>
      <c r="U75" s="33" t="s">
        <v>35</v>
      </c>
      <c r="V75" s="33" t="s">
        <v>31</v>
      </c>
      <c r="W75" s="33" t="s">
        <v>54</v>
      </c>
      <c r="X75" s="33" t="s">
        <v>36</v>
      </c>
      <c r="Y75" s="33" t="s">
        <v>105</v>
      </c>
      <c r="Z75" s="33" t="s">
        <v>31</v>
      </c>
      <c r="AA75" s="33" t="s">
        <v>31</v>
      </c>
      <c r="AB75" s="33" t="s">
        <v>31</v>
      </c>
      <c r="AC75" s="34">
        <v>45763</v>
      </c>
      <c r="AD75" s="34"/>
      <c r="AE75" s="33" t="s">
        <v>31</v>
      </c>
      <c r="AF75" s="19"/>
      <c r="AG75">
        <f>VLOOKUP(I75,'Customer Data'!$B$2:$F$149,4,0)</f>
        <v>41.67</v>
      </c>
    </row>
    <row r="76" spans="1:33" hidden="1" x14ac:dyDescent="0.35">
      <c r="A76" s="32">
        <v>100222345</v>
      </c>
      <c r="B76" s="33" t="s">
        <v>29</v>
      </c>
      <c r="C76" s="34">
        <v>45763</v>
      </c>
      <c r="D76" s="32">
        <v>1800007222</v>
      </c>
      <c r="E76" s="33" t="s">
        <v>57</v>
      </c>
      <c r="F76" s="34">
        <v>45763</v>
      </c>
      <c r="G76" s="34">
        <v>45764</v>
      </c>
      <c r="H76" s="33" t="s">
        <v>54</v>
      </c>
      <c r="I76" s="37">
        <v>256779412113</v>
      </c>
      <c r="J76" s="33" t="s">
        <v>32</v>
      </c>
      <c r="K76" s="33" t="s">
        <v>33</v>
      </c>
      <c r="L76" s="33" t="s">
        <v>31</v>
      </c>
      <c r="M76" s="33" t="s">
        <v>52</v>
      </c>
      <c r="N76" s="33" t="s">
        <v>45</v>
      </c>
      <c r="O76" s="35">
        <v>827.48</v>
      </c>
      <c r="P76" s="33" t="s">
        <v>34</v>
      </c>
      <c r="Q76" s="35">
        <v>71926.070000000007</v>
      </c>
      <c r="R76" s="35"/>
      <c r="S76" s="35"/>
      <c r="T76" s="33" t="s">
        <v>58</v>
      </c>
      <c r="U76" s="33" t="s">
        <v>35</v>
      </c>
      <c r="V76" s="33" t="s">
        <v>31</v>
      </c>
      <c r="W76" s="33" t="s">
        <v>54</v>
      </c>
      <c r="X76" s="33" t="s">
        <v>36</v>
      </c>
      <c r="Y76" s="33" t="s">
        <v>106</v>
      </c>
      <c r="Z76" s="33" t="s">
        <v>31</v>
      </c>
      <c r="AA76" s="33" t="s">
        <v>31</v>
      </c>
      <c r="AB76" s="33" t="s">
        <v>31</v>
      </c>
      <c r="AC76" s="34">
        <v>45763</v>
      </c>
      <c r="AD76" s="34"/>
      <c r="AE76" s="33" t="s">
        <v>31</v>
      </c>
      <c r="AF76" s="19"/>
      <c r="AG76">
        <f>VLOOKUP(I76,'Customer Data'!$B$2:$F$149,4,0)</f>
        <v>744.73</v>
      </c>
    </row>
    <row r="77" spans="1:33" hidden="1" x14ac:dyDescent="0.35">
      <c r="A77" s="32">
        <v>100222345</v>
      </c>
      <c r="B77" s="33" t="s">
        <v>29</v>
      </c>
      <c r="C77" s="34">
        <v>45730</v>
      </c>
      <c r="D77" s="32">
        <v>1800001786</v>
      </c>
      <c r="E77" s="33" t="s">
        <v>57</v>
      </c>
      <c r="F77" s="34">
        <v>45730</v>
      </c>
      <c r="G77" s="34">
        <v>45733</v>
      </c>
      <c r="H77" s="33" t="s">
        <v>54</v>
      </c>
      <c r="I77" s="37">
        <v>246779411451</v>
      </c>
      <c r="J77" s="33" t="s">
        <v>32</v>
      </c>
      <c r="K77" s="33" t="s">
        <v>33</v>
      </c>
      <c r="L77" s="33" t="s">
        <v>31</v>
      </c>
      <c r="M77" s="33" t="s">
        <v>52</v>
      </c>
      <c r="N77" s="33" t="s">
        <v>45</v>
      </c>
      <c r="O77" s="35">
        <v>2.86</v>
      </c>
      <c r="P77" s="33" t="s">
        <v>34</v>
      </c>
      <c r="Q77" s="35">
        <v>247.94</v>
      </c>
      <c r="R77" s="35"/>
      <c r="S77" s="35"/>
      <c r="T77" s="33" t="s">
        <v>58</v>
      </c>
      <c r="U77" s="33" t="s">
        <v>35</v>
      </c>
      <c r="V77" s="33" t="s">
        <v>31</v>
      </c>
      <c r="W77" s="33" t="s">
        <v>54</v>
      </c>
      <c r="X77" s="33" t="s">
        <v>36</v>
      </c>
      <c r="Y77" s="33" t="s">
        <v>107</v>
      </c>
      <c r="Z77" s="33" t="s">
        <v>31</v>
      </c>
      <c r="AA77" s="33" t="s">
        <v>31</v>
      </c>
      <c r="AB77" s="33" t="s">
        <v>31</v>
      </c>
      <c r="AC77" s="34">
        <v>45730</v>
      </c>
      <c r="AD77" s="34"/>
      <c r="AE77" s="33" t="s">
        <v>31</v>
      </c>
      <c r="AF77" s="19"/>
      <c r="AG77" t="e">
        <f>VLOOKUP(I77,'Customer Data'!$B$2:$F$149,4,0)</f>
        <v>#N/A</v>
      </c>
    </row>
    <row r="78" spans="1:33" hidden="1" x14ac:dyDescent="0.35">
      <c r="A78" s="32">
        <v>100222345</v>
      </c>
      <c r="B78" s="33" t="s">
        <v>29</v>
      </c>
      <c r="C78" s="34">
        <v>45730</v>
      </c>
      <c r="D78" s="32">
        <v>1800001787</v>
      </c>
      <c r="E78" s="33" t="s">
        <v>57</v>
      </c>
      <c r="F78" s="34">
        <v>45730</v>
      </c>
      <c r="G78" s="34">
        <v>45733</v>
      </c>
      <c r="H78" s="33" t="s">
        <v>54</v>
      </c>
      <c r="I78" s="37">
        <v>246779411452</v>
      </c>
      <c r="J78" s="33" t="s">
        <v>32</v>
      </c>
      <c r="K78" s="33" t="s">
        <v>33</v>
      </c>
      <c r="L78" s="33" t="s">
        <v>31</v>
      </c>
      <c r="M78" s="33" t="s">
        <v>52</v>
      </c>
      <c r="N78" s="33" t="s">
        <v>45</v>
      </c>
      <c r="O78" s="35">
        <v>0.95</v>
      </c>
      <c r="P78" s="33" t="s">
        <v>34</v>
      </c>
      <c r="Q78" s="35">
        <v>82.36</v>
      </c>
      <c r="R78" s="35"/>
      <c r="S78" s="35"/>
      <c r="T78" s="33" t="s">
        <v>58</v>
      </c>
      <c r="U78" s="33" t="s">
        <v>35</v>
      </c>
      <c r="V78" s="33" t="s">
        <v>31</v>
      </c>
      <c r="W78" s="33" t="s">
        <v>54</v>
      </c>
      <c r="X78" s="33" t="s">
        <v>36</v>
      </c>
      <c r="Y78" s="33" t="s">
        <v>107</v>
      </c>
      <c r="Z78" s="33" t="s">
        <v>31</v>
      </c>
      <c r="AA78" s="33" t="s">
        <v>31</v>
      </c>
      <c r="AB78" s="33" t="s">
        <v>31</v>
      </c>
      <c r="AC78" s="34">
        <v>45730</v>
      </c>
      <c r="AD78" s="34"/>
      <c r="AE78" s="33" t="s">
        <v>31</v>
      </c>
      <c r="AF78" s="19"/>
      <c r="AG78">
        <f>VLOOKUP(I78,'Customer Data'!$B$2:$F$149,4,0)</f>
        <v>0.92999999999999994</v>
      </c>
    </row>
    <row r="79" spans="1:33" hidden="1" x14ac:dyDescent="0.35">
      <c r="A79" s="32">
        <v>100222345</v>
      </c>
      <c r="B79" s="33" t="s">
        <v>29</v>
      </c>
      <c r="C79" s="34">
        <v>45730</v>
      </c>
      <c r="D79" s="32">
        <v>1800001788</v>
      </c>
      <c r="E79" s="33" t="s">
        <v>57</v>
      </c>
      <c r="F79" s="34">
        <v>45730</v>
      </c>
      <c r="G79" s="34">
        <v>45733</v>
      </c>
      <c r="H79" s="33" t="s">
        <v>54</v>
      </c>
      <c r="I79" s="37">
        <v>246779411453</v>
      </c>
      <c r="J79" s="33" t="s">
        <v>32</v>
      </c>
      <c r="K79" s="33" t="s">
        <v>33</v>
      </c>
      <c r="L79" s="33" t="s">
        <v>31</v>
      </c>
      <c r="M79" s="33" t="s">
        <v>52</v>
      </c>
      <c r="N79" s="33" t="s">
        <v>45</v>
      </c>
      <c r="O79" s="35">
        <v>4.7699999999999996</v>
      </c>
      <c r="P79" s="33" t="s">
        <v>34</v>
      </c>
      <c r="Q79" s="35">
        <v>413.52</v>
      </c>
      <c r="R79" s="35"/>
      <c r="S79" s="35"/>
      <c r="T79" s="33" t="s">
        <v>58</v>
      </c>
      <c r="U79" s="33" t="s">
        <v>35</v>
      </c>
      <c r="V79" s="33" t="s">
        <v>31</v>
      </c>
      <c r="W79" s="33" t="s">
        <v>54</v>
      </c>
      <c r="X79" s="33" t="s">
        <v>36</v>
      </c>
      <c r="Y79" s="33" t="s">
        <v>107</v>
      </c>
      <c r="Z79" s="33" t="s">
        <v>31</v>
      </c>
      <c r="AA79" s="33" t="s">
        <v>31</v>
      </c>
      <c r="AB79" s="33" t="s">
        <v>31</v>
      </c>
      <c r="AC79" s="34">
        <v>45730</v>
      </c>
      <c r="AD79" s="34"/>
      <c r="AE79" s="33" t="s">
        <v>31</v>
      </c>
      <c r="AF79" s="19"/>
      <c r="AG79" t="e">
        <f>VLOOKUP(I79,'Customer Data'!$B$2:$F$149,4,0)</f>
        <v>#N/A</v>
      </c>
    </row>
    <row r="80" spans="1:33" hidden="1" x14ac:dyDescent="0.35">
      <c r="A80" s="32">
        <v>100222345</v>
      </c>
      <c r="B80" s="33" t="s">
        <v>29</v>
      </c>
      <c r="C80" s="34">
        <v>45730</v>
      </c>
      <c r="D80" s="32">
        <v>1800001789</v>
      </c>
      <c r="E80" s="33" t="s">
        <v>57</v>
      </c>
      <c r="F80" s="34">
        <v>45730</v>
      </c>
      <c r="G80" s="34">
        <v>45733</v>
      </c>
      <c r="H80" s="33" t="s">
        <v>54</v>
      </c>
      <c r="I80" s="37">
        <v>246779411454</v>
      </c>
      <c r="J80" s="33" t="s">
        <v>32</v>
      </c>
      <c r="K80" s="33" t="s">
        <v>33</v>
      </c>
      <c r="L80" s="33" t="s">
        <v>31</v>
      </c>
      <c r="M80" s="33" t="s">
        <v>52</v>
      </c>
      <c r="N80" s="33" t="s">
        <v>45</v>
      </c>
      <c r="O80" s="35">
        <v>1.91</v>
      </c>
      <c r="P80" s="33" t="s">
        <v>34</v>
      </c>
      <c r="Q80" s="35">
        <v>165.58</v>
      </c>
      <c r="R80" s="35"/>
      <c r="S80" s="35"/>
      <c r="T80" s="33" t="s">
        <v>58</v>
      </c>
      <c r="U80" s="33" t="s">
        <v>35</v>
      </c>
      <c r="V80" s="33" t="s">
        <v>31</v>
      </c>
      <c r="W80" s="33" t="s">
        <v>54</v>
      </c>
      <c r="X80" s="33" t="s">
        <v>36</v>
      </c>
      <c r="Y80" s="33" t="s">
        <v>107</v>
      </c>
      <c r="Z80" s="33" t="s">
        <v>31</v>
      </c>
      <c r="AA80" s="33" t="s">
        <v>31</v>
      </c>
      <c r="AB80" s="33" t="s">
        <v>31</v>
      </c>
      <c r="AC80" s="34">
        <v>45730</v>
      </c>
      <c r="AD80" s="34"/>
      <c r="AE80" s="33" t="s">
        <v>31</v>
      </c>
      <c r="AF80" s="19"/>
      <c r="AG80" t="e">
        <f>VLOOKUP(I80,'Customer Data'!$B$2:$F$149,4,0)</f>
        <v>#N/A</v>
      </c>
    </row>
    <row r="81" spans="1:33" hidden="1" x14ac:dyDescent="0.35">
      <c r="A81" s="32">
        <v>100222345</v>
      </c>
      <c r="B81" s="33" t="s">
        <v>29</v>
      </c>
      <c r="C81" s="34">
        <v>45730</v>
      </c>
      <c r="D81" s="32">
        <v>1800001790</v>
      </c>
      <c r="E81" s="33" t="s">
        <v>57</v>
      </c>
      <c r="F81" s="34">
        <v>45730</v>
      </c>
      <c r="G81" s="34">
        <v>45733</v>
      </c>
      <c r="H81" s="33" t="s">
        <v>54</v>
      </c>
      <c r="I81" s="37">
        <v>246779411455</v>
      </c>
      <c r="J81" s="33" t="s">
        <v>32</v>
      </c>
      <c r="K81" s="33" t="s">
        <v>33</v>
      </c>
      <c r="L81" s="33" t="s">
        <v>31</v>
      </c>
      <c r="M81" s="33" t="s">
        <v>52</v>
      </c>
      <c r="N81" s="33" t="s">
        <v>45</v>
      </c>
      <c r="O81" s="35">
        <v>1.91</v>
      </c>
      <c r="P81" s="33" t="s">
        <v>34</v>
      </c>
      <c r="Q81" s="35">
        <v>165.58</v>
      </c>
      <c r="R81" s="35"/>
      <c r="S81" s="35"/>
      <c r="T81" s="33" t="s">
        <v>58</v>
      </c>
      <c r="U81" s="33" t="s">
        <v>35</v>
      </c>
      <c r="V81" s="33" t="s">
        <v>31</v>
      </c>
      <c r="W81" s="33" t="s">
        <v>54</v>
      </c>
      <c r="X81" s="33" t="s">
        <v>36</v>
      </c>
      <c r="Y81" s="33" t="s">
        <v>107</v>
      </c>
      <c r="Z81" s="33" t="s">
        <v>31</v>
      </c>
      <c r="AA81" s="33" t="s">
        <v>31</v>
      </c>
      <c r="AB81" s="33" t="s">
        <v>31</v>
      </c>
      <c r="AC81" s="34">
        <v>45730</v>
      </c>
      <c r="AD81" s="34"/>
      <c r="AE81" s="33" t="s">
        <v>31</v>
      </c>
      <c r="AF81" s="19"/>
      <c r="AG81" t="e">
        <f>VLOOKUP(I81,'Customer Data'!$B$2:$F$149,4,0)</f>
        <v>#N/A</v>
      </c>
    </row>
    <row r="82" spans="1:33" hidden="1" x14ac:dyDescent="0.35">
      <c r="A82" s="32">
        <v>100222345</v>
      </c>
      <c r="B82" s="33" t="s">
        <v>29</v>
      </c>
      <c r="C82" s="34">
        <v>45730</v>
      </c>
      <c r="D82" s="32">
        <v>1800001791</v>
      </c>
      <c r="E82" s="33" t="s">
        <v>57</v>
      </c>
      <c r="F82" s="34">
        <v>45730</v>
      </c>
      <c r="G82" s="34">
        <v>45733</v>
      </c>
      <c r="H82" s="33" t="s">
        <v>54</v>
      </c>
      <c r="I82" s="37">
        <v>246779411456</v>
      </c>
      <c r="J82" s="33" t="s">
        <v>32</v>
      </c>
      <c r="K82" s="33" t="s">
        <v>33</v>
      </c>
      <c r="L82" s="33" t="s">
        <v>31</v>
      </c>
      <c r="M82" s="33" t="s">
        <v>52</v>
      </c>
      <c r="N82" s="33" t="s">
        <v>45</v>
      </c>
      <c r="O82" s="35">
        <v>4.7699999999999996</v>
      </c>
      <c r="P82" s="33" t="s">
        <v>34</v>
      </c>
      <c r="Q82" s="35">
        <v>413.52</v>
      </c>
      <c r="R82" s="35"/>
      <c r="S82" s="35"/>
      <c r="T82" s="33" t="s">
        <v>58</v>
      </c>
      <c r="U82" s="33" t="s">
        <v>35</v>
      </c>
      <c r="V82" s="33" t="s">
        <v>31</v>
      </c>
      <c r="W82" s="33" t="s">
        <v>54</v>
      </c>
      <c r="X82" s="33" t="s">
        <v>36</v>
      </c>
      <c r="Y82" s="33" t="s">
        <v>107</v>
      </c>
      <c r="Z82" s="33" t="s">
        <v>31</v>
      </c>
      <c r="AA82" s="33" t="s">
        <v>31</v>
      </c>
      <c r="AB82" s="33" t="s">
        <v>31</v>
      </c>
      <c r="AC82" s="34">
        <v>45730</v>
      </c>
      <c r="AD82" s="34"/>
      <c r="AE82" s="33" t="s">
        <v>31</v>
      </c>
      <c r="AF82" s="19"/>
      <c r="AG82" t="e">
        <f>VLOOKUP(I82,'Customer Data'!$B$2:$F$149,4,0)</f>
        <v>#N/A</v>
      </c>
    </row>
    <row r="83" spans="1:33" hidden="1" x14ac:dyDescent="0.35">
      <c r="A83" s="32">
        <v>100222345</v>
      </c>
      <c r="B83" s="33" t="s">
        <v>29</v>
      </c>
      <c r="C83" s="34">
        <v>45730</v>
      </c>
      <c r="D83" s="32">
        <v>1800001583</v>
      </c>
      <c r="E83" s="33" t="s">
        <v>57</v>
      </c>
      <c r="F83" s="34">
        <v>45730</v>
      </c>
      <c r="G83" s="34">
        <v>45735</v>
      </c>
      <c r="H83" s="33" t="s">
        <v>54</v>
      </c>
      <c r="I83" s="37">
        <v>246779412240</v>
      </c>
      <c r="J83" s="33" t="s">
        <v>32</v>
      </c>
      <c r="K83" s="33" t="s">
        <v>33</v>
      </c>
      <c r="L83" s="33" t="s">
        <v>31</v>
      </c>
      <c r="M83" s="33" t="s">
        <v>52</v>
      </c>
      <c r="N83" s="33" t="s">
        <v>45</v>
      </c>
      <c r="O83" s="35">
        <v>2.86</v>
      </c>
      <c r="P83" s="33" t="s">
        <v>34</v>
      </c>
      <c r="Q83" s="35">
        <v>247.94</v>
      </c>
      <c r="R83" s="35"/>
      <c r="S83" s="35"/>
      <c r="T83" s="33" t="s">
        <v>58</v>
      </c>
      <c r="U83" s="33" t="s">
        <v>35</v>
      </c>
      <c r="V83" s="33" t="s">
        <v>31</v>
      </c>
      <c r="W83" s="33" t="s">
        <v>54</v>
      </c>
      <c r="X83" s="33" t="s">
        <v>36</v>
      </c>
      <c r="Y83" s="33" t="s">
        <v>107</v>
      </c>
      <c r="Z83" s="33" t="s">
        <v>31</v>
      </c>
      <c r="AA83" s="33" t="s">
        <v>31</v>
      </c>
      <c r="AB83" s="33" t="s">
        <v>31</v>
      </c>
      <c r="AC83" s="34">
        <v>45730</v>
      </c>
      <c r="AD83" s="34">
        <v>45861</v>
      </c>
      <c r="AE83" s="33" t="s">
        <v>42</v>
      </c>
      <c r="AF83" s="19"/>
      <c r="AG83">
        <f>VLOOKUP(I83,'Customer Data'!$B$2:$F$149,4,0)</f>
        <v>2.8</v>
      </c>
    </row>
    <row r="84" spans="1:33" hidden="1" x14ac:dyDescent="0.35">
      <c r="A84" s="32">
        <v>100222345</v>
      </c>
      <c r="B84" s="33" t="s">
        <v>29</v>
      </c>
      <c r="C84" s="34">
        <v>45730</v>
      </c>
      <c r="D84" s="32">
        <v>1800001584</v>
      </c>
      <c r="E84" s="33" t="s">
        <v>57</v>
      </c>
      <c r="F84" s="34">
        <v>45730</v>
      </c>
      <c r="G84" s="34">
        <v>45735</v>
      </c>
      <c r="H84" s="33" t="s">
        <v>54</v>
      </c>
      <c r="I84" s="37">
        <v>246779412241</v>
      </c>
      <c r="J84" s="33" t="s">
        <v>32</v>
      </c>
      <c r="K84" s="33" t="s">
        <v>33</v>
      </c>
      <c r="L84" s="33" t="s">
        <v>31</v>
      </c>
      <c r="M84" s="33" t="s">
        <v>52</v>
      </c>
      <c r="N84" s="33" t="s">
        <v>45</v>
      </c>
      <c r="O84" s="35">
        <v>0.95</v>
      </c>
      <c r="P84" s="33" t="s">
        <v>34</v>
      </c>
      <c r="Q84" s="35">
        <v>82.36</v>
      </c>
      <c r="R84" s="35"/>
      <c r="S84" s="35"/>
      <c r="T84" s="33" t="s">
        <v>58</v>
      </c>
      <c r="U84" s="33" t="s">
        <v>35</v>
      </c>
      <c r="V84" s="33" t="s">
        <v>31</v>
      </c>
      <c r="W84" s="33" t="s">
        <v>54</v>
      </c>
      <c r="X84" s="33" t="s">
        <v>36</v>
      </c>
      <c r="Y84" s="33" t="s">
        <v>107</v>
      </c>
      <c r="Z84" s="33" t="s">
        <v>31</v>
      </c>
      <c r="AA84" s="33" t="s">
        <v>31</v>
      </c>
      <c r="AB84" s="33" t="s">
        <v>31</v>
      </c>
      <c r="AC84" s="34">
        <v>45730</v>
      </c>
      <c r="AD84" s="34">
        <v>45861</v>
      </c>
      <c r="AE84" s="33" t="s">
        <v>42</v>
      </c>
      <c r="AF84" s="19"/>
      <c r="AG84" t="e">
        <f>VLOOKUP(I84,'Customer Data'!$B$2:$F$149,4,0)</f>
        <v>#N/A</v>
      </c>
    </row>
    <row r="85" spans="1:33" hidden="1" x14ac:dyDescent="0.35">
      <c r="A85" s="32">
        <v>100222345</v>
      </c>
      <c r="B85" s="33" t="s">
        <v>29</v>
      </c>
      <c r="C85" s="34">
        <v>45730</v>
      </c>
      <c r="D85" s="32">
        <v>1800001585</v>
      </c>
      <c r="E85" s="33" t="s">
        <v>57</v>
      </c>
      <c r="F85" s="34">
        <v>45730</v>
      </c>
      <c r="G85" s="34">
        <v>45735</v>
      </c>
      <c r="H85" s="33" t="s">
        <v>54</v>
      </c>
      <c r="I85" s="37">
        <v>246779412242</v>
      </c>
      <c r="J85" s="33" t="s">
        <v>32</v>
      </c>
      <c r="K85" s="33" t="s">
        <v>33</v>
      </c>
      <c r="L85" s="33" t="s">
        <v>31</v>
      </c>
      <c r="M85" s="33" t="s">
        <v>52</v>
      </c>
      <c r="N85" s="33" t="s">
        <v>45</v>
      </c>
      <c r="O85" s="35">
        <v>4.7699999999999996</v>
      </c>
      <c r="P85" s="33" t="s">
        <v>34</v>
      </c>
      <c r="Q85" s="35">
        <v>413.52</v>
      </c>
      <c r="R85" s="35"/>
      <c r="S85" s="35"/>
      <c r="T85" s="33" t="s">
        <v>58</v>
      </c>
      <c r="U85" s="33" t="s">
        <v>35</v>
      </c>
      <c r="V85" s="33" t="s">
        <v>31</v>
      </c>
      <c r="W85" s="33" t="s">
        <v>54</v>
      </c>
      <c r="X85" s="33" t="s">
        <v>36</v>
      </c>
      <c r="Y85" s="33" t="s">
        <v>107</v>
      </c>
      <c r="Z85" s="33" t="s">
        <v>31</v>
      </c>
      <c r="AA85" s="33" t="s">
        <v>31</v>
      </c>
      <c r="AB85" s="33" t="s">
        <v>31</v>
      </c>
      <c r="AC85" s="34">
        <v>45730</v>
      </c>
      <c r="AD85" s="34">
        <v>45861</v>
      </c>
      <c r="AE85" s="33" t="s">
        <v>42</v>
      </c>
      <c r="AF85" s="19"/>
      <c r="AG85">
        <f>VLOOKUP(I85,'Customer Data'!$B$2:$F$149,4,0)</f>
        <v>4.67</v>
      </c>
    </row>
    <row r="86" spans="1:33" hidden="1" x14ac:dyDescent="0.35">
      <c r="A86" s="32">
        <v>100222345</v>
      </c>
      <c r="B86" s="33" t="s">
        <v>29</v>
      </c>
      <c r="C86" s="34">
        <v>45730</v>
      </c>
      <c r="D86" s="32">
        <v>1800001586</v>
      </c>
      <c r="E86" s="33" t="s">
        <v>57</v>
      </c>
      <c r="F86" s="34">
        <v>45730</v>
      </c>
      <c r="G86" s="34">
        <v>45735</v>
      </c>
      <c r="H86" s="33" t="s">
        <v>54</v>
      </c>
      <c r="I86" s="37">
        <v>246779412243</v>
      </c>
      <c r="J86" s="33" t="s">
        <v>32</v>
      </c>
      <c r="K86" s="33" t="s">
        <v>33</v>
      </c>
      <c r="L86" s="33" t="s">
        <v>31</v>
      </c>
      <c r="M86" s="33" t="s">
        <v>52</v>
      </c>
      <c r="N86" s="33" t="s">
        <v>45</v>
      </c>
      <c r="O86" s="35">
        <v>1.91</v>
      </c>
      <c r="P86" s="33" t="s">
        <v>34</v>
      </c>
      <c r="Q86" s="35">
        <v>165.58</v>
      </c>
      <c r="R86" s="35"/>
      <c r="S86" s="35"/>
      <c r="T86" s="33" t="s">
        <v>58</v>
      </c>
      <c r="U86" s="33" t="s">
        <v>35</v>
      </c>
      <c r="V86" s="33" t="s">
        <v>31</v>
      </c>
      <c r="W86" s="33" t="s">
        <v>54</v>
      </c>
      <c r="X86" s="33" t="s">
        <v>36</v>
      </c>
      <c r="Y86" s="33" t="s">
        <v>107</v>
      </c>
      <c r="Z86" s="33" t="s">
        <v>31</v>
      </c>
      <c r="AA86" s="33" t="s">
        <v>31</v>
      </c>
      <c r="AB86" s="33" t="s">
        <v>31</v>
      </c>
      <c r="AC86" s="34">
        <v>45730</v>
      </c>
      <c r="AD86" s="34">
        <v>45861</v>
      </c>
      <c r="AE86" s="33" t="s">
        <v>42</v>
      </c>
      <c r="AF86" s="19"/>
      <c r="AG86">
        <f>VLOOKUP(I86,'Customer Data'!$B$2:$F$149,4,0)</f>
        <v>1.8699999999999999</v>
      </c>
    </row>
    <row r="87" spans="1:33" hidden="1" x14ac:dyDescent="0.35">
      <c r="A87" s="32">
        <v>100222345</v>
      </c>
      <c r="B87" s="33" t="s">
        <v>29</v>
      </c>
      <c r="C87" s="34">
        <v>45730</v>
      </c>
      <c r="D87" s="32">
        <v>1800001587</v>
      </c>
      <c r="E87" s="33" t="s">
        <v>57</v>
      </c>
      <c r="F87" s="34">
        <v>45730</v>
      </c>
      <c r="G87" s="34">
        <v>45735</v>
      </c>
      <c r="H87" s="33" t="s">
        <v>54</v>
      </c>
      <c r="I87" s="37">
        <v>246779412244</v>
      </c>
      <c r="J87" s="33" t="s">
        <v>32</v>
      </c>
      <c r="K87" s="33" t="s">
        <v>33</v>
      </c>
      <c r="L87" s="33" t="s">
        <v>31</v>
      </c>
      <c r="M87" s="33" t="s">
        <v>52</v>
      </c>
      <c r="N87" s="33" t="s">
        <v>45</v>
      </c>
      <c r="O87" s="35">
        <v>1.91</v>
      </c>
      <c r="P87" s="33" t="s">
        <v>34</v>
      </c>
      <c r="Q87" s="35">
        <v>165.58</v>
      </c>
      <c r="R87" s="35"/>
      <c r="S87" s="35"/>
      <c r="T87" s="33" t="s">
        <v>58</v>
      </c>
      <c r="U87" s="33" t="s">
        <v>35</v>
      </c>
      <c r="V87" s="33" t="s">
        <v>31</v>
      </c>
      <c r="W87" s="33" t="s">
        <v>54</v>
      </c>
      <c r="X87" s="33" t="s">
        <v>36</v>
      </c>
      <c r="Y87" s="33" t="s">
        <v>107</v>
      </c>
      <c r="Z87" s="33" t="s">
        <v>31</v>
      </c>
      <c r="AA87" s="33" t="s">
        <v>31</v>
      </c>
      <c r="AB87" s="33" t="s">
        <v>31</v>
      </c>
      <c r="AC87" s="34">
        <v>45730</v>
      </c>
      <c r="AD87" s="34">
        <v>45861</v>
      </c>
      <c r="AE87" s="33" t="s">
        <v>42</v>
      </c>
      <c r="AF87" s="19"/>
      <c r="AG87">
        <f>VLOOKUP(I87,'Customer Data'!$B$2:$F$149,4,0)</f>
        <v>1.8699999999999999</v>
      </c>
    </row>
    <row r="88" spans="1:33" hidden="1" x14ac:dyDescent="0.35">
      <c r="A88" s="32">
        <v>100222345</v>
      </c>
      <c r="B88" s="33" t="s">
        <v>29</v>
      </c>
      <c r="C88" s="34">
        <v>45730</v>
      </c>
      <c r="D88" s="32">
        <v>1800001588</v>
      </c>
      <c r="E88" s="33" t="s">
        <v>57</v>
      </c>
      <c r="F88" s="34">
        <v>45730</v>
      </c>
      <c r="G88" s="34">
        <v>45735</v>
      </c>
      <c r="H88" s="33" t="s">
        <v>54</v>
      </c>
      <c r="I88" s="37">
        <v>246779412245</v>
      </c>
      <c r="J88" s="33" t="s">
        <v>32</v>
      </c>
      <c r="K88" s="33" t="s">
        <v>33</v>
      </c>
      <c r="L88" s="33" t="s">
        <v>31</v>
      </c>
      <c r="M88" s="33" t="s">
        <v>52</v>
      </c>
      <c r="N88" s="33" t="s">
        <v>45</v>
      </c>
      <c r="O88" s="35">
        <v>4.7699999999999996</v>
      </c>
      <c r="P88" s="33" t="s">
        <v>34</v>
      </c>
      <c r="Q88" s="35">
        <v>413.52</v>
      </c>
      <c r="R88" s="35"/>
      <c r="S88" s="35"/>
      <c r="T88" s="33" t="s">
        <v>58</v>
      </c>
      <c r="U88" s="33" t="s">
        <v>35</v>
      </c>
      <c r="V88" s="33" t="s">
        <v>31</v>
      </c>
      <c r="W88" s="33" t="s">
        <v>54</v>
      </c>
      <c r="X88" s="33" t="s">
        <v>36</v>
      </c>
      <c r="Y88" s="33" t="s">
        <v>107</v>
      </c>
      <c r="Z88" s="33" t="s">
        <v>31</v>
      </c>
      <c r="AA88" s="33" t="s">
        <v>31</v>
      </c>
      <c r="AB88" s="33" t="s">
        <v>31</v>
      </c>
      <c r="AC88" s="34">
        <v>45730</v>
      </c>
      <c r="AD88" s="34">
        <v>45861</v>
      </c>
      <c r="AE88" s="33" t="s">
        <v>42</v>
      </c>
      <c r="AF88" s="19"/>
      <c r="AG88">
        <f>VLOOKUP(I88,'Customer Data'!$B$2:$F$149,4,0)</f>
        <v>4.68</v>
      </c>
    </row>
    <row r="89" spans="1:33" hidden="1" x14ac:dyDescent="0.35">
      <c r="A89" s="32">
        <v>100222345</v>
      </c>
      <c r="B89" s="33" t="s">
        <v>29</v>
      </c>
      <c r="C89" s="34">
        <v>45904</v>
      </c>
      <c r="D89" s="32">
        <v>1800012276</v>
      </c>
      <c r="E89" s="33" t="s">
        <v>57</v>
      </c>
      <c r="F89" s="34">
        <v>45904</v>
      </c>
      <c r="G89" s="34">
        <v>45908</v>
      </c>
      <c r="H89" s="33" t="s">
        <v>54</v>
      </c>
      <c r="I89" s="37">
        <v>256779416912</v>
      </c>
      <c r="J89" s="33" t="s">
        <v>32</v>
      </c>
      <c r="K89" s="33" t="s">
        <v>33</v>
      </c>
      <c r="L89" s="33" t="s">
        <v>31</v>
      </c>
      <c r="M89" s="33" t="s">
        <v>52</v>
      </c>
      <c r="N89" s="33" t="s">
        <v>45</v>
      </c>
      <c r="O89" s="35">
        <v>44.96</v>
      </c>
      <c r="P89" s="33" t="s">
        <v>34</v>
      </c>
      <c r="Q89" s="35">
        <v>3934.64</v>
      </c>
      <c r="R89" s="35"/>
      <c r="S89" s="35"/>
      <c r="T89" s="33" t="s">
        <v>58</v>
      </c>
      <c r="U89" s="33" t="s">
        <v>35</v>
      </c>
      <c r="V89" s="33" t="s">
        <v>31</v>
      </c>
      <c r="W89" s="33" t="s">
        <v>54</v>
      </c>
      <c r="X89" s="33" t="s">
        <v>36</v>
      </c>
      <c r="Y89" s="33" t="s">
        <v>108</v>
      </c>
      <c r="Z89" s="33" t="s">
        <v>31</v>
      </c>
      <c r="AA89" s="33" t="s">
        <v>31</v>
      </c>
      <c r="AB89" s="33" t="s">
        <v>31</v>
      </c>
      <c r="AC89" s="34">
        <v>45904</v>
      </c>
      <c r="AD89" s="34"/>
      <c r="AE89" s="33" t="s">
        <v>31</v>
      </c>
      <c r="AF89" s="19"/>
      <c r="AG89">
        <f>VLOOKUP(I89,'Customer Data'!$B$2:$F$149,4,0)</f>
        <v>44.06</v>
      </c>
    </row>
    <row r="90" spans="1:33" hidden="1" x14ac:dyDescent="0.35">
      <c r="A90" s="32">
        <v>100222345</v>
      </c>
      <c r="B90" s="33" t="s">
        <v>29</v>
      </c>
      <c r="C90" s="34">
        <v>45904</v>
      </c>
      <c r="D90" s="32">
        <v>1800012287</v>
      </c>
      <c r="E90" s="33" t="s">
        <v>57</v>
      </c>
      <c r="F90" s="34">
        <v>45904</v>
      </c>
      <c r="G90" s="34">
        <v>45908</v>
      </c>
      <c r="H90" s="33" t="s">
        <v>54</v>
      </c>
      <c r="I90" s="37">
        <v>256779416949</v>
      </c>
      <c r="J90" s="33" t="s">
        <v>32</v>
      </c>
      <c r="K90" s="33" t="s">
        <v>33</v>
      </c>
      <c r="L90" s="33" t="s">
        <v>31</v>
      </c>
      <c r="M90" s="33" t="s">
        <v>52</v>
      </c>
      <c r="N90" s="33" t="s">
        <v>45</v>
      </c>
      <c r="O90" s="35">
        <v>30.16</v>
      </c>
      <c r="P90" s="33" t="s">
        <v>34</v>
      </c>
      <c r="Q90" s="35">
        <v>2639.43</v>
      </c>
      <c r="R90" s="35"/>
      <c r="S90" s="35"/>
      <c r="T90" s="33" t="s">
        <v>58</v>
      </c>
      <c r="U90" s="33" t="s">
        <v>35</v>
      </c>
      <c r="V90" s="33" t="s">
        <v>31</v>
      </c>
      <c r="W90" s="33" t="s">
        <v>54</v>
      </c>
      <c r="X90" s="33" t="s">
        <v>36</v>
      </c>
      <c r="Y90" s="33" t="s">
        <v>109</v>
      </c>
      <c r="Z90" s="33" t="s">
        <v>31</v>
      </c>
      <c r="AA90" s="33" t="s">
        <v>31</v>
      </c>
      <c r="AB90" s="33" t="s">
        <v>31</v>
      </c>
      <c r="AC90" s="34">
        <v>45904</v>
      </c>
      <c r="AD90" s="34"/>
      <c r="AE90" s="33" t="s">
        <v>31</v>
      </c>
      <c r="AF90" s="19"/>
      <c r="AG90">
        <f>VLOOKUP(I90,'Customer Data'!$B$2:$F$149,4,0)</f>
        <v>29.55</v>
      </c>
    </row>
    <row r="91" spans="1:33" hidden="1" x14ac:dyDescent="0.35">
      <c r="A91" s="32">
        <v>100222345</v>
      </c>
      <c r="B91" s="33" t="s">
        <v>29</v>
      </c>
      <c r="C91" s="34">
        <v>45904</v>
      </c>
      <c r="D91" s="32">
        <v>1800012532</v>
      </c>
      <c r="E91" s="33" t="s">
        <v>57</v>
      </c>
      <c r="F91" s="34">
        <v>45904</v>
      </c>
      <c r="G91" s="34">
        <v>45909</v>
      </c>
      <c r="H91" s="33" t="s">
        <v>54</v>
      </c>
      <c r="I91" s="37">
        <v>256779417136</v>
      </c>
      <c r="J91" s="33" t="s">
        <v>32</v>
      </c>
      <c r="K91" s="33" t="s">
        <v>33</v>
      </c>
      <c r="L91" s="33" t="s">
        <v>31</v>
      </c>
      <c r="M91" s="33" t="s">
        <v>52</v>
      </c>
      <c r="N91" s="33" t="s">
        <v>45</v>
      </c>
      <c r="O91" s="35">
        <v>1.71</v>
      </c>
      <c r="P91" s="33" t="s">
        <v>34</v>
      </c>
      <c r="Q91" s="35">
        <v>149.65</v>
      </c>
      <c r="R91" s="35"/>
      <c r="S91" s="35"/>
      <c r="T91" s="33" t="s">
        <v>58</v>
      </c>
      <c r="U91" s="33" t="s">
        <v>35</v>
      </c>
      <c r="V91" s="33" t="s">
        <v>31</v>
      </c>
      <c r="W91" s="33" t="s">
        <v>54</v>
      </c>
      <c r="X91" s="33" t="s">
        <v>36</v>
      </c>
      <c r="Y91" s="33" t="s">
        <v>110</v>
      </c>
      <c r="Z91" s="33" t="s">
        <v>31</v>
      </c>
      <c r="AA91" s="33" t="s">
        <v>31</v>
      </c>
      <c r="AB91" s="33" t="s">
        <v>31</v>
      </c>
      <c r="AC91" s="34">
        <v>45904</v>
      </c>
      <c r="AD91" s="34"/>
      <c r="AE91" s="33" t="s">
        <v>31</v>
      </c>
      <c r="AF91" s="19"/>
      <c r="AG91">
        <f>VLOOKUP(I91,'Customer Data'!$B$2:$F$149,4,0)</f>
        <v>1.68</v>
      </c>
    </row>
    <row r="92" spans="1:33" hidden="1" x14ac:dyDescent="0.35">
      <c r="A92" s="32">
        <v>100222345</v>
      </c>
      <c r="B92" s="33" t="s">
        <v>29</v>
      </c>
      <c r="C92" s="34">
        <v>45904</v>
      </c>
      <c r="D92" s="32">
        <v>1800012462</v>
      </c>
      <c r="E92" s="33" t="s">
        <v>57</v>
      </c>
      <c r="F92" s="34">
        <v>45904</v>
      </c>
      <c r="G92" s="34">
        <v>45909</v>
      </c>
      <c r="H92" s="33" t="s">
        <v>54</v>
      </c>
      <c r="I92" s="37">
        <v>256779417162</v>
      </c>
      <c r="J92" s="33" t="s">
        <v>32</v>
      </c>
      <c r="K92" s="33" t="s">
        <v>33</v>
      </c>
      <c r="L92" s="33" t="s">
        <v>31</v>
      </c>
      <c r="M92" s="33" t="s">
        <v>52</v>
      </c>
      <c r="N92" s="33" t="s">
        <v>45</v>
      </c>
      <c r="O92" s="35">
        <v>44.74</v>
      </c>
      <c r="P92" s="33" t="s">
        <v>34</v>
      </c>
      <c r="Q92" s="35">
        <v>3915.39</v>
      </c>
      <c r="R92" s="35"/>
      <c r="S92" s="35"/>
      <c r="T92" s="33" t="s">
        <v>58</v>
      </c>
      <c r="U92" s="33" t="s">
        <v>35</v>
      </c>
      <c r="V92" s="33" t="s">
        <v>31</v>
      </c>
      <c r="W92" s="33" t="s">
        <v>54</v>
      </c>
      <c r="X92" s="33" t="s">
        <v>36</v>
      </c>
      <c r="Y92" s="33" t="s">
        <v>111</v>
      </c>
      <c r="Z92" s="33" t="s">
        <v>31</v>
      </c>
      <c r="AA92" s="33" t="s">
        <v>31</v>
      </c>
      <c r="AB92" s="33" t="s">
        <v>31</v>
      </c>
      <c r="AC92" s="34">
        <v>45904</v>
      </c>
      <c r="AD92" s="34"/>
      <c r="AE92" s="33" t="s">
        <v>31</v>
      </c>
      <c r="AF92" s="19"/>
      <c r="AG92" t="e">
        <f>VLOOKUP(I92,'Customer Data'!$B$2:$F$149,4,0)</f>
        <v>#N/A</v>
      </c>
    </row>
    <row r="93" spans="1:33" hidden="1" x14ac:dyDescent="0.35">
      <c r="A93" s="32">
        <v>100222345</v>
      </c>
      <c r="B93" s="33" t="s">
        <v>29</v>
      </c>
      <c r="C93" s="34">
        <v>45904</v>
      </c>
      <c r="D93" s="32">
        <v>1800012688</v>
      </c>
      <c r="E93" s="33" t="s">
        <v>57</v>
      </c>
      <c r="F93" s="34">
        <v>45904</v>
      </c>
      <c r="G93" s="34">
        <v>45909</v>
      </c>
      <c r="H93" s="33" t="s">
        <v>54</v>
      </c>
      <c r="I93" s="37">
        <v>256779417328</v>
      </c>
      <c r="J93" s="33" t="s">
        <v>32</v>
      </c>
      <c r="K93" s="33" t="s">
        <v>33</v>
      </c>
      <c r="L93" s="33" t="s">
        <v>31</v>
      </c>
      <c r="M93" s="33" t="s">
        <v>52</v>
      </c>
      <c r="N93" s="33" t="s">
        <v>45</v>
      </c>
      <c r="O93" s="35">
        <v>2.25</v>
      </c>
      <c r="P93" s="33" t="s">
        <v>34</v>
      </c>
      <c r="Q93" s="35">
        <v>196.91</v>
      </c>
      <c r="R93" s="35"/>
      <c r="S93" s="35"/>
      <c r="T93" s="33" t="s">
        <v>58</v>
      </c>
      <c r="U93" s="33" t="s">
        <v>35</v>
      </c>
      <c r="V93" s="33" t="s">
        <v>31</v>
      </c>
      <c r="W93" s="33" t="s">
        <v>112</v>
      </c>
      <c r="X93" s="33" t="s">
        <v>36</v>
      </c>
      <c r="Y93" s="33" t="s">
        <v>113</v>
      </c>
      <c r="Z93" s="33" t="s">
        <v>31</v>
      </c>
      <c r="AA93" s="33" t="s">
        <v>31</v>
      </c>
      <c r="AB93" s="33" t="s">
        <v>31</v>
      </c>
      <c r="AC93" s="34">
        <v>45904</v>
      </c>
      <c r="AD93" s="34"/>
      <c r="AE93" s="33" t="s">
        <v>31</v>
      </c>
      <c r="AF93" s="19"/>
      <c r="AG93">
        <f>VLOOKUP(I93,'Customer Data'!$B$2:$F$149,4,0)</f>
        <v>2.2000000000000002</v>
      </c>
    </row>
    <row r="94" spans="1:33" hidden="1" x14ac:dyDescent="0.35">
      <c r="A94" s="32">
        <v>100222345</v>
      </c>
      <c r="B94" s="33" t="s">
        <v>29</v>
      </c>
      <c r="C94" s="34">
        <v>45842</v>
      </c>
      <c r="D94" s="32">
        <v>1800010069</v>
      </c>
      <c r="E94" s="33" t="s">
        <v>57</v>
      </c>
      <c r="F94" s="34">
        <v>45842</v>
      </c>
      <c r="G94" s="34">
        <v>45845</v>
      </c>
      <c r="H94" s="33" t="s">
        <v>54</v>
      </c>
      <c r="I94" s="37">
        <v>256779414833</v>
      </c>
      <c r="J94" s="33" t="s">
        <v>32</v>
      </c>
      <c r="K94" s="33" t="s">
        <v>33</v>
      </c>
      <c r="L94" s="33" t="s">
        <v>31</v>
      </c>
      <c r="M94" s="33" t="s">
        <v>52</v>
      </c>
      <c r="N94" s="33" t="s">
        <v>45</v>
      </c>
      <c r="O94" s="35">
        <v>3</v>
      </c>
      <c r="P94" s="33" t="s">
        <v>34</v>
      </c>
      <c r="Q94" s="35">
        <v>258</v>
      </c>
      <c r="R94" s="35"/>
      <c r="S94" s="35"/>
      <c r="T94" s="33" t="s">
        <v>58</v>
      </c>
      <c r="U94" s="33" t="s">
        <v>35</v>
      </c>
      <c r="V94" s="33" t="s">
        <v>31</v>
      </c>
      <c r="W94" s="33" t="s">
        <v>54</v>
      </c>
      <c r="X94" s="33" t="s">
        <v>36</v>
      </c>
      <c r="Y94" s="33" t="s">
        <v>114</v>
      </c>
      <c r="Z94" s="33" t="s">
        <v>31</v>
      </c>
      <c r="AA94" s="33" t="s">
        <v>31</v>
      </c>
      <c r="AB94" s="33" t="s">
        <v>31</v>
      </c>
      <c r="AC94" s="34">
        <v>45842</v>
      </c>
      <c r="AD94" s="34"/>
      <c r="AE94" s="33" t="s">
        <v>31</v>
      </c>
      <c r="AF94" s="19"/>
      <c r="AG94">
        <f>VLOOKUP(I94,'Customer Data'!$B$2:$F$149,4,0)</f>
        <v>2.94</v>
      </c>
    </row>
    <row r="95" spans="1:33" hidden="1" x14ac:dyDescent="0.35">
      <c r="A95" s="32">
        <v>100222345</v>
      </c>
      <c r="B95" s="33" t="s">
        <v>29</v>
      </c>
      <c r="C95" s="34">
        <v>45842</v>
      </c>
      <c r="D95" s="32">
        <v>1800010430</v>
      </c>
      <c r="E95" s="33" t="s">
        <v>57</v>
      </c>
      <c r="F95" s="34">
        <v>45842</v>
      </c>
      <c r="G95" s="34">
        <v>45847</v>
      </c>
      <c r="H95" s="33" t="s">
        <v>54</v>
      </c>
      <c r="I95" s="37">
        <v>256779415190</v>
      </c>
      <c r="J95" s="33" t="s">
        <v>32</v>
      </c>
      <c r="K95" s="33" t="s">
        <v>33</v>
      </c>
      <c r="L95" s="33" t="s">
        <v>31</v>
      </c>
      <c r="M95" s="33" t="s">
        <v>52</v>
      </c>
      <c r="N95" s="33" t="s">
        <v>45</v>
      </c>
      <c r="O95" s="35">
        <v>690.7</v>
      </c>
      <c r="P95" s="33" t="s">
        <v>34</v>
      </c>
      <c r="Q95" s="35">
        <v>59400.66</v>
      </c>
      <c r="R95" s="35"/>
      <c r="S95" s="35"/>
      <c r="T95" s="33" t="s">
        <v>58</v>
      </c>
      <c r="U95" s="33" t="s">
        <v>35</v>
      </c>
      <c r="V95" s="33" t="s">
        <v>31</v>
      </c>
      <c r="W95" s="33" t="s">
        <v>54</v>
      </c>
      <c r="X95" s="33" t="s">
        <v>36</v>
      </c>
      <c r="Y95" s="33" t="s">
        <v>115</v>
      </c>
      <c r="Z95" s="33" t="s">
        <v>31</v>
      </c>
      <c r="AA95" s="33" t="s">
        <v>31</v>
      </c>
      <c r="AB95" s="33" t="s">
        <v>31</v>
      </c>
      <c r="AC95" s="34">
        <v>45842</v>
      </c>
      <c r="AD95" s="34"/>
      <c r="AE95" s="33" t="s">
        <v>31</v>
      </c>
      <c r="AF95" s="19"/>
      <c r="AG95">
        <f>VLOOKUP(I95,'Customer Data'!$B$2:$F$149,4,0)</f>
        <v>621.63000000000011</v>
      </c>
    </row>
    <row r="96" spans="1:33" hidden="1" x14ac:dyDescent="0.35">
      <c r="A96" s="32">
        <v>100222345</v>
      </c>
      <c r="B96" s="33" t="s">
        <v>29</v>
      </c>
      <c r="C96" s="34">
        <v>45966</v>
      </c>
      <c r="D96" s="32">
        <v>1800014284</v>
      </c>
      <c r="E96" s="33" t="s">
        <v>57</v>
      </c>
      <c r="F96" s="34">
        <v>45966</v>
      </c>
      <c r="G96" s="34">
        <v>45967</v>
      </c>
      <c r="H96" s="33" t="s">
        <v>54</v>
      </c>
      <c r="I96" s="37">
        <v>256779418821</v>
      </c>
      <c r="J96" s="33" t="s">
        <v>32</v>
      </c>
      <c r="K96" s="33" t="s">
        <v>33</v>
      </c>
      <c r="L96" s="33" t="s">
        <v>31</v>
      </c>
      <c r="M96" s="33" t="s">
        <v>52</v>
      </c>
      <c r="N96" s="33" t="s">
        <v>45</v>
      </c>
      <c r="O96" s="35">
        <v>49.59</v>
      </c>
      <c r="P96" s="33" t="s">
        <v>34</v>
      </c>
      <c r="Q96" s="35">
        <v>4364.09</v>
      </c>
      <c r="R96" s="35"/>
      <c r="S96" s="35"/>
      <c r="T96" s="33" t="s">
        <v>58</v>
      </c>
      <c r="U96" s="33" t="s">
        <v>35</v>
      </c>
      <c r="V96" s="33" t="s">
        <v>31</v>
      </c>
      <c r="W96" s="33" t="s">
        <v>116</v>
      </c>
      <c r="X96" s="33" t="s">
        <v>36</v>
      </c>
      <c r="Y96" s="33" t="s">
        <v>117</v>
      </c>
      <c r="Z96" s="33" t="s">
        <v>31</v>
      </c>
      <c r="AA96" s="33" t="s">
        <v>31</v>
      </c>
      <c r="AB96" s="33" t="s">
        <v>31</v>
      </c>
      <c r="AC96" s="34">
        <v>45966</v>
      </c>
      <c r="AD96" s="34"/>
      <c r="AE96" s="33" t="s">
        <v>31</v>
      </c>
      <c r="AF96" s="19"/>
      <c r="AG96">
        <f>VLOOKUP(I96,'Customer Data'!$B$2:$F$149,4,0)</f>
        <v>48.6</v>
      </c>
    </row>
    <row r="97" spans="1:33" hidden="1" x14ac:dyDescent="0.35">
      <c r="A97" s="32">
        <v>100222345</v>
      </c>
      <c r="B97" s="33" t="s">
        <v>29</v>
      </c>
      <c r="C97" s="34">
        <v>45966</v>
      </c>
      <c r="D97" s="32">
        <v>1800014290</v>
      </c>
      <c r="E97" s="33" t="s">
        <v>57</v>
      </c>
      <c r="F97" s="34">
        <v>45966</v>
      </c>
      <c r="G97" s="34">
        <v>45967</v>
      </c>
      <c r="H97" s="33" t="s">
        <v>54</v>
      </c>
      <c r="I97" s="37">
        <v>256779418827</v>
      </c>
      <c r="J97" s="33" t="s">
        <v>32</v>
      </c>
      <c r="K97" s="33" t="s">
        <v>33</v>
      </c>
      <c r="L97" s="33" t="s">
        <v>31</v>
      </c>
      <c r="M97" s="33" t="s">
        <v>52</v>
      </c>
      <c r="N97" s="33" t="s">
        <v>45</v>
      </c>
      <c r="O97" s="35">
        <v>60.86</v>
      </c>
      <c r="P97" s="33" t="s">
        <v>34</v>
      </c>
      <c r="Q97" s="35">
        <v>5355.89</v>
      </c>
      <c r="R97" s="35"/>
      <c r="S97" s="35"/>
      <c r="T97" s="33" t="s">
        <v>58</v>
      </c>
      <c r="U97" s="33" t="s">
        <v>35</v>
      </c>
      <c r="V97" s="33" t="s">
        <v>31</v>
      </c>
      <c r="W97" s="33" t="s">
        <v>116</v>
      </c>
      <c r="X97" s="33" t="s">
        <v>36</v>
      </c>
      <c r="Y97" s="33" t="s">
        <v>118</v>
      </c>
      <c r="Z97" s="33" t="s">
        <v>31</v>
      </c>
      <c r="AA97" s="33" t="s">
        <v>31</v>
      </c>
      <c r="AB97" s="33" t="s">
        <v>31</v>
      </c>
      <c r="AC97" s="34">
        <v>45966</v>
      </c>
      <c r="AD97" s="34"/>
      <c r="AE97" s="33" t="s">
        <v>31</v>
      </c>
      <c r="AF97" s="19"/>
      <c r="AG97" t="e">
        <f>VLOOKUP(I97,'Customer Data'!$B$2:$F$149,4,0)</f>
        <v>#N/A</v>
      </c>
    </row>
    <row r="98" spans="1:33" hidden="1" x14ac:dyDescent="0.35">
      <c r="A98" s="32">
        <v>100222345</v>
      </c>
      <c r="B98" s="33" t="s">
        <v>29</v>
      </c>
      <c r="C98" s="34">
        <v>45966</v>
      </c>
      <c r="D98" s="32">
        <v>1800014538</v>
      </c>
      <c r="E98" s="33" t="s">
        <v>57</v>
      </c>
      <c r="F98" s="34">
        <v>45966</v>
      </c>
      <c r="G98" s="34">
        <v>45967</v>
      </c>
      <c r="H98" s="33" t="s">
        <v>54</v>
      </c>
      <c r="I98" s="37">
        <v>256779418870</v>
      </c>
      <c r="J98" s="33" t="s">
        <v>32</v>
      </c>
      <c r="K98" s="33" t="s">
        <v>33</v>
      </c>
      <c r="L98" s="33" t="s">
        <v>31</v>
      </c>
      <c r="M98" s="33" t="s">
        <v>52</v>
      </c>
      <c r="N98" s="33" t="s">
        <v>45</v>
      </c>
      <c r="O98" s="35">
        <v>493.91</v>
      </c>
      <c r="P98" s="33" t="s">
        <v>34</v>
      </c>
      <c r="Q98" s="35">
        <v>43465.75</v>
      </c>
      <c r="R98" s="35"/>
      <c r="S98" s="35"/>
      <c r="T98" s="33" t="s">
        <v>58</v>
      </c>
      <c r="U98" s="33" t="s">
        <v>35</v>
      </c>
      <c r="V98" s="33" t="s">
        <v>31</v>
      </c>
      <c r="W98" s="33" t="s">
        <v>119</v>
      </c>
      <c r="X98" s="33" t="s">
        <v>36</v>
      </c>
      <c r="Y98" s="33" t="s">
        <v>120</v>
      </c>
      <c r="Z98" s="33" t="s">
        <v>31</v>
      </c>
      <c r="AA98" s="33" t="s">
        <v>31</v>
      </c>
      <c r="AB98" s="33" t="s">
        <v>31</v>
      </c>
      <c r="AC98" s="34">
        <v>45966</v>
      </c>
      <c r="AD98" s="34"/>
      <c r="AE98" s="33" t="s">
        <v>31</v>
      </c>
      <c r="AF98" s="19"/>
      <c r="AG98">
        <f>VLOOKUP(I98,'Customer Data'!$B$2:$F$149,4,0)</f>
        <v>444.51000000000005</v>
      </c>
    </row>
    <row r="99" spans="1:33" hidden="1" x14ac:dyDescent="0.35">
      <c r="A99" s="32">
        <v>100222345</v>
      </c>
      <c r="B99" s="33" t="s">
        <v>29</v>
      </c>
      <c r="C99" s="34">
        <v>45966</v>
      </c>
      <c r="D99" s="32">
        <v>1800014270</v>
      </c>
      <c r="E99" s="33" t="s">
        <v>57</v>
      </c>
      <c r="F99" s="34">
        <v>45966</v>
      </c>
      <c r="G99" s="34">
        <v>45967</v>
      </c>
      <c r="H99" s="33" t="s">
        <v>54</v>
      </c>
      <c r="I99" s="37">
        <v>256779418945</v>
      </c>
      <c r="J99" s="33" t="s">
        <v>32</v>
      </c>
      <c r="K99" s="33" t="s">
        <v>33</v>
      </c>
      <c r="L99" s="33" t="s">
        <v>31</v>
      </c>
      <c r="M99" s="33" t="s">
        <v>52</v>
      </c>
      <c r="N99" s="33" t="s">
        <v>45</v>
      </c>
      <c r="O99" s="35">
        <v>293.04000000000002</v>
      </c>
      <c r="P99" s="33" t="s">
        <v>34</v>
      </c>
      <c r="Q99" s="35">
        <v>25788.51</v>
      </c>
      <c r="R99" s="35"/>
      <c r="S99" s="35"/>
      <c r="T99" s="33" t="s">
        <v>58</v>
      </c>
      <c r="U99" s="33" t="s">
        <v>35</v>
      </c>
      <c r="V99" s="33" t="s">
        <v>31</v>
      </c>
      <c r="W99" s="33" t="s">
        <v>54</v>
      </c>
      <c r="X99" s="33" t="s">
        <v>36</v>
      </c>
      <c r="Y99" s="33" t="s">
        <v>121</v>
      </c>
      <c r="Z99" s="33" t="s">
        <v>31</v>
      </c>
      <c r="AA99" s="33" t="s">
        <v>31</v>
      </c>
      <c r="AB99" s="33" t="s">
        <v>31</v>
      </c>
      <c r="AC99" s="34">
        <v>45966</v>
      </c>
      <c r="AD99" s="34"/>
      <c r="AE99" s="33" t="s">
        <v>31</v>
      </c>
      <c r="AF99" s="19"/>
      <c r="AG99">
        <f>VLOOKUP(I99,'Customer Data'!$B$2:$F$149,4,0)</f>
        <v>287.18</v>
      </c>
    </row>
    <row r="100" spans="1:33" hidden="1" x14ac:dyDescent="0.35">
      <c r="A100" s="32">
        <v>100222345</v>
      </c>
      <c r="B100" s="33" t="s">
        <v>29</v>
      </c>
      <c r="C100" s="34">
        <v>45966</v>
      </c>
      <c r="D100" s="32">
        <v>1800014271</v>
      </c>
      <c r="E100" s="33" t="s">
        <v>57</v>
      </c>
      <c r="F100" s="34">
        <v>45966</v>
      </c>
      <c r="G100" s="34">
        <v>45967</v>
      </c>
      <c r="H100" s="33" t="s">
        <v>54</v>
      </c>
      <c r="I100" s="37">
        <v>256779418946</v>
      </c>
      <c r="J100" s="33" t="s">
        <v>32</v>
      </c>
      <c r="K100" s="33" t="s">
        <v>33</v>
      </c>
      <c r="L100" s="33" t="s">
        <v>31</v>
      </c>
      <c r="M100" s="33" t="s">
        <v>52</v>
      </c>
      <c r="N100" s="33" t="s">
        <v>45</v>
      </c>
      <c r="O100" s="35">
        <v>293.04000000000002</v>
      </c>
      <c r="P100" s="33" t="s">
        <v>34</v>
      </c>
      <c r="Q100" s="35">
        <v>25788.51</v>
      </c>
      <c r="R100" s="35"/>
      <c r="S100" s="35"/>
      <c r="T100" s="33" t="s">
        <v>58</v>
      </c>
      <c r="U100" s="33" t="s">
        <v>35</v>
      </c>
      <c r="V100" s="33" t="s">
        <v>31</v>
      </c>
      <c r="W100" s="33" t="s">
        <v>54</v>
      </c>
      <c r="X100" s="33" t="s">
        <v>36</v>
      </c>
      <c r="Y100" s="33" t="s">
        <v>122</v>
      </c>
      <c r="Z100" s="33" t="s">
        <v>31</v>
      </c>
      <c r="AA100" s="33" t="s">
        <v>31</v>
      </c>
      <c r="AB100" s="33" t="s">
        <v>31</v>
      </c>
      <c r="AC100" s="34">
        <v>45966</v>
      </c>
      <c r="AD100" s="34"/>
      <c r="AE100" s="33" t="s">
        <v>31</v>
      </c>
      <c r="AF100" s="19"/>
      <c r="AG100">
        <f>VLOOKUP(I100,'Customer Data'!$B$2:$F$149,4,0)</f>
        <v>287.18</v>
      </c>
    </row>
    <row r="101" spans="1:33" hidden="1" x14ac:dyDescent="0.35">
      <c r="A101" s="32">
        <v>100222345</v>
      </c>
      <c r="B101" s="33" t="s">
        <v>29</v>
      </c>
      <c r="C101" s="34">
        <v>45966</v>
      </c>
      <c r="D101" s="32">
        <v>1800014272</v>
      </c>
      <c r="E101" s="33" t="s">
        <v>57</v>
      </c>
      <c r="F101" s="34">
        <v>45966</v>
      </c>
      <c r="G101" s="34">
        <v>45967</v>
      </c>
      <c r="H101" s="33" t="s">
        <v>54</v>
      </c>
      <c r="I101" s="37">
        <v>256779418947</v>
      </c>
      <c r="J101" s="33" t="s">
        <v>32</v>
      </c>
      <c r="K101" s="33" t="s">
        <v>33</v>
      </c>
      <c r="L101" s="33" t="s">
        <v>31</v>
      </c>
      <c r="M101" s="33" t="s">
        <v>52</v>
      </c>
      <c r="N101" s="33" t="s">
        <v>45</v>
      </c>
      <c r="O101" s="35">
        <v>293.04000000000002</v>
      </c>
      <c r="P101" s="33" t="s">
        <v>34</v>
      </c>
      <c r="Q101" s="35">
        <v>25788.51</v>
      </c>
      <c r="R101" s="35"/>
      <c r="S101" s="35"/>
      <c r="T101" s="33" t="s">
        <v>58</v>
      </c>
      <c r="U101" s="33" t="s">
        <v>35</v>
      </c>
      <c r="V101" s="33" t="s">
        <v>31</v>
      </c>
      <c r="W101" s="33" t="s">
        <v>54</v>
      </c>
      <c r="X101" s="33" t="s">
        <v>36</v>
      </c>
      <c r="Y101" s="33" t="s">
        <v>123</v>
      </c>
      <c r="Z101" s="33" t="s">
        <v>31</v>
      </c>
      <c r="AA101" s="33" t="s">
        <v>31</v>
      </c>
      <c r="AB101" s="33" t="s">
        <v>31</v>
      </c>
      <c r="AC101" s="34">
        <v>45966</v>
      </c>
      <c r="AD101" s="34"/>
      <c r="AE101" s="33" t="s">
        <v>31</v>
      </c>
      <c r="AF101" s="19"/>
      <c r="AG101">
        <f>VLOOKUP(I101,'Customer Data'!$B$2:$F$149,4,0)</f>
        <v>287.18</v>
      </c>
    </row>
    <row r="102" spans="1:33" hidden="1" x14ac:dyDescent="0.35">
      <c r="A102" s="32">
        <v>100222345</v>
      </c>
      <c r="B102" s="33" t="s">
        <v>29</v>
      </c>
      <c r="C102" s="34">
        <v>45966</v>
      </c>
      <c r="D102" s="32">
        <v>1800014529</v>
      </c>
      <c r="E102" s="33" t="s">
        <v>57</v>
      </c>
      <c r="F102" s="34">
        <v>45966</v>
      </c>
      <c r="G102" s="34">
        <v>45967</v>
      </c>
      <c r="H102" s="33" t="s">
        <v>54</v>
      </c>
      <c r="I102" s="37">
        <v>256779419178</v>
      </c>
      <c r="J102" s="33" t="s">
        <v>32</v>
      </c>
      <c r="K102" s="33" t="s">
        <v>33</v>
      </c>
      <c r="L102" s="33" t="s">
        <v>31</v>
      </c>
      <c r="M102" s="33" t="s">
        <v>52</v>
      </c>
      <c r="N102" s="33" t="s">
        <v>45</v>
      </c>
      <c r="O102" s="35">
        <v>2.25</v>
      </c>
      <c r="P102" s="33" t="s">
        <v>34</v>
      </c>
      <c r="Q102" s="35">
        <v>198.01</v>
      </c>
      <c r="R102" s="35"/>
      <c r="S102" s="35"/>
      <c r="T102" s="33" t="s">
        <v>58</v>
      </c>
      <c r="U102" s="33" t="s">
        <v>35</v>
      </c>
      <c r="V102" s="33" t="s">
        <v>31</v>
      </c>
      <c r="W102" s="33" t="s">
        <v>124</v>
      </c>
      <c r="X102" s="33" t="s">
        <v>36</v>
      </c>
      <c r="Y102" s="33" t="s">
        <v>125</v>
      </c>
      <c r="Z102" s="33" t="s">
        <v>31</v>
      </c>
      <c r="AA102" s="33" t="s">
        <v>31</v>
      </c>
      <c r="AB102" s="33" t="s">
        <v>31</v>
      </c>
      <c r="AC102" s="34">
        <v>45966</v>
      </c>
      <c r="AD102" s="34"/>
      <c r="AE102" s="33" t="s">
        <v>31</v>
      </c>
      <c r="AF102" s="19"/>
      <c r="AG102">
        <f>VLOOKUP(I102,'Customer Data'!$B$2:$F$149,4,0)</f>
        <v>2.2000000000000002</v>
      </c>
    </row>
    <row r="103" spans="1:33" hidden="1" x14ac:dyDescent="0.35">
      <c r="A103" s="32">
        <v>100222345</v>
      </c>
      <c r="B103" s="33" t="s">
        <v>29</v>
      </c>
      <c r="C103" s="34">
        <v>45966</v>
      </c>
      <c r="D103" s="32">
        <v>1800014620</v>
      </c>
      <c r="E103" s="33" t="s">
        <v>57</v>
      </c>
      <c r="F103" s="34">
        <v>45966</v>
      </c>
      <c r="G103" s="34">
        <v>45967</v>
      </c>
      <c r="H103" s="33" t="s">
        <v>54</v>
      </c>
      <c r="I103" s="37">
        <v>256779419202</v>
      </c>
      <c r="J103" s="33" t="s">
        <v>32</v>
      </c>
      <c r="K103" s="33" t="s">
        <v>33</v>
      </c>
      <c r="L103" s="33" t="s">
        <v>31</v>
      </c>
      <c r="M103" s="33" t="s">
        <v>52</v>
      </c>
      <c r="N103" s="33" t="s">
        <v>45</v>
      </c>
      <c r="O103" s="35">
        <v>62.66</v>
      </c>
      <c r="P103" s="33" t="s">
        <v>34</v>
      </c>
      <c r="Q103" s="35">
        <v>5514.29</v>
      </c>
      <c r="R103" s="35"/>
      <c r="S103" s="35"/>
      <c r="T103" s="33" t="s">
        <v>58</v>
      </c>
      <c r="U103" s="33" t="s">
        <v>35</v>
      </c>
      <c r="V103" s="33" t="s">
        <v>31</v>
      </c>
      <c r="W103" s="33" t="s">
        <v>126</v>
      </c>
      <c r="X103" s="33" t="s">
        <v>36</v>
      </c>
      <c r="Y103" s="33" t="s">
        <v>127</v>
      </c>
      <c r="Z103" s="33" t="s">
        <v>31</v>
      </c>
      <c r="AA103" s="33" t="s">
        <v>31</v>
      </c>
      <c r="AB103" s="33" t="s">
        <v>31</v>
      </c>
      <c r="AC103" s="34">
        <v>45966</v>
      </c>
      <c r="AD103" s="34"/>
      <c r="AE103" s="33" t="s">
        <v>31</v>
      </c>
      <c r="AF103" s="19"/>
      <c r="AG103">
        <f>VLOOKUP(I103,'Customer Data'!$B$2:$F$149,4,0)</f>
        <v>61.41</v>
      </c>
    </row>
    <row r="104" spans="1:33" hidden="1" x14ac:dyDescent="0.35">
      <c r="A104" s="32">
        <v>100222345</v>
      </c>
      <c r="B104" s="33" t="s">
        <v>29</v>
      </c>
      <c r="C104" s="34">
        <v>45964</v>
      </c>
      <c r="D104" s="32">
        <v>1800014412</v>
      </c>
      <c r="E104" s="33" t="s">
        <v>57</v>
      </c>
      <c r="F104" s="34">
        <v>45964</v>
      </c>
      <c r="G104" s="34">
        <v>45967</v>
      </c>
      <c r="H104" s="33" t="s">
        <v>54</v>
      </c>
      <c r="I104" s="37">
        <v>256779419134</v>
      </c>
      <c r="J104" s="33" t="s">
        <v>32</v>
      </c>
      <c r="K104" s="33" t="s">
        <v>33</v>
      </c>
      <c r="L104" s="33" t="s">
        <v>31</v>
      </c>
      <c r="M104" s="33" t="s">
        <v>52</v>
      </c>
      <c r="N104" s="33" t="s">
        <v>45</v>
      </c>
      <c r="O104" s="35">
        <v>21.75</v>
      </c>
      <c r="P104" s="33" t="s">
        <v>34</v>
      </c>
      <c r="Q104" s="35">
        <v>1914.07</v>
      </c>
      <c r="R104" s="35"/>
      <c r="S104" s="35"/>
      <c r="T104" s="33" t="s">
        <v>58</v>
      </c>
      <c r="U104" s="33" t="s">
        <v>35</v>
      </c>
      <c r="V104" s="33" t="s">
        <v>31</v>
      </c>
      <c r="W104" s="33" t="s">
        <v>128</v>
      </c>
      <c r="X104" s="33" t="s">
        <v>36</v>
      </c>
      <c r="Y104" s="33" t="s">
        <v>129</v>
      </c>
      <c r="Z104" s="33" t="s">
        <v>31</v>
      </c>
      <c r="AA104" s="33" t="s">
        <v>31</v>
      </c>
      <c r="AB104" s="33" t="s">
        <v>31</v>
      </c>
      <c r="AC104" s="34">
        <v>45964</v>
      </c>
      <c r="AD104" s="34"/>
      <c r="AE104" s="33" t="s">
        <v>31</v>
      </c>
      <c r="AF104" s="19"/>
      <c r="AG104">
        <f>VLOOKUP(I104,'Customer Data'!$B$2:$F$149,4,0)</f>
        <v>21.31</v>
      </c>
    </row>
    <row r="105" spans="1:33" hidden="1" x14ac:dyDescent="0.35">
      <c r="A105" s="32">
        <v>100222345</v>
      </c>
      <c r="B105" s="33" t="s">
        <v>29</v>
      </c>
      <c r="C105" s="34">
        <v>45877</v>
      </c>
      <c r="D105" s="32">
        <v>1800011652</v>
      </c>
      <c r="E105" s="33" t="s">
        <v>57</v>
      </c>
      <c r="F105" s="34">
        <v>45877</v>
      </c>
      <c r="G105" s="34">
        <v>45877</v>
      </c>
      <c r="H105" s="33" t="s">
        <v>54</v>
      </c>
      <c r="I105" s="37">
        <v>256779416082</v>
      </c>
      <c r="J105" s="33" t="s">
        <v>32</v>
      </c>
      <c r="K105" s="33" t="s">
        <v>33</v>
      </c>
      <c r="L105" s="33" t="s">
        <v>31</v>
      </c>
      <c r="M105" s="33" t="s">
        <v>52</v>
      </c>
      <c r="N105" s="33" t="s">
        <v>45</v>
      </c>
      <c r="O105" s="35">
        <v>759.67</v>
      </c>
      <c r="P105" s="33" t="s">
        <v>34</v>
      </c>
      <c r="Q105" s="35">
        <v>65354.5</v>
      </c>
      <c r="R105" s="35"/>
      <c r="S105" s="35"/>
      <c r="T105" s="33" t="s">
        <v>58</v>
      </c>
      <c r="U105" s="33" t="s">
        <v>35</v>
      </c>
      <c r="V105" s="33" t="s">
        <v>31</v>
      </c>
      <c r="W105" s="33" t="s">
        <v>54</v>
      </c>
      <c r="X105" s="33" t="s">
        <v>36</v>
      </c>
      <c r="Y105" s="33" t="s">
        <v>130</v>
      </c>
      <c r="Z105" s="33" t="s">
        <v>31</v>
      </c>
      <c r="AA105" s="33" t="s">
        <v>31</v>
      </c>
      <c r="AB105" s="33" t="s">
        <v>31</v>
      </c>
      <c r="AC105" s="34">
        <v>45877</v>
      </c>
      <c r="AD105" s="34"/>
      <c r="AE105" s="33" t="s">
        <v>31</v>
      </c>
      <c r="AF105" s="19"/>
      <c r="AG105">
        <f>VLOOKUP(I105,'Customer Data'!$B$2:$F$149,4,0)</f>
        <v>683.69999999999993</v>
      </c>
    </row>
    <row r="106" spans="1:33" hidden="1" x14ac:dyDescent="0.35">
      <c r="A106" s="32">
        <v>100222345</v>
      </c>
      <c r="B106" s="33" t="s">
        <v>29</v>
      </c>
      <c r="C106" s="34">
        <v>45877</v>
      </c>
      <c r="D106" s="32">
        <v>1800011791</v>
      </c>
      <c r="E106" s="33" t="s">
        <v>57</v>
      </c>
      <c r="F106" s="34">
        <v>45877</v>
      </c>
      <c r="G106" s="34">
        <v>45877</v>
      </c>
      <c r="H106" s="33" t="s">
        <v>54</v>
      </c>
      <c r="I106" s="37">
        <v>256779416182</v>
      </c>
      <c r="J106" s="33" t="s">
        <v>32</v>
      </c>
      <c r="K106" s="33" t="s">
        <v>33</v>
      </c>
      <c r="L106" s="33" t="s">
        <v>31</v>
      </c>
      <c r="M106" s="33" t="s">
        <v>52</v>
      </c>
      <c r="N106" s="33" t="s">
        <v>45</v>
      </c>
      <c r="O106" s="35">
        <v>18</v>
      </c>
      <c r="P106" s="33" t="s">
        <v>34</v>
      </c>
      <c r="Q106" s="35">
        <v>1548.54</v>
      </c>
      <c r="R106" s="35"/>
      <c r="S106" s="35"/>
      <c r="T106" s="33" t="s">
        <v>58</v>
      </c>
      <c r="U106" s="33" t="s">
        <v>35</v>
      </c>
      <c r="V106" s="33" t="s">
        <v>31</v>
      </c>
      <c r="W106" s="33" t="s">
        <v>54</v>
      </c>
      <c r="X106" s="33" t="s">
        <v>36</v>
      </c>
      <c r="Y106" s="33" t="s">
        <v>131</v>
      </c>
      <c r="Z106" s="33" t="s">
        <v>31</v>
      </c>
      <c r="AA106" s="33" t="s">
        <v>31</v>
      </c>
      <c r="AB106" s="33" t="s">
        <v>31</v>
      </c>
      <c r="AC106" s="34">
        <v>45877</v>
      </c>
      <c r="AD106" s="34"/>
      <c r="AE106" s="33" t="s">
        <v>31</v>
      </c>
      <c r="AF106" s="19"/>
      <c r="AG106">
        <f>VLOOKUP(I106,'Customer Data'!$B$2:$F$149,4,0)</f>
        <v>17.64</v>
      </c>
    </row>
    <row r="107" spans="1:33" hidden="1" x14ac:dyDescent="0.35">
      <c r="A107" s="32">
        <v>100222345</v>
      </c>
      <c r="B107" s="33" t="s">
        <v>29</v>
      </c>
      <c r="C107" s="34">
        <v>45877</v>
      </c>
      <c r="D107" s="32">
        <v>1800011710</v>
      </c>
      <c r="E107" s="33" t="s">
        <v>57</v>
      </c>
      <c r="F107" s="34">
        <v>45877</v>
      </c>
      <c r="G107" s="34">
        <v>45877</v>
      </c>
      <c r="H107" s="33" t="s">
        <v>54</v>
      </c>
      <c r="I107" s="37">
        <v>256779416228</v>
      </c>
      <c r="J107" s="33" t="s">
        <v>32</v>
      </c>
      <c r="K107" s="33" t="s">
        <v>33</v>
      </c>
      <c r="L107" s="33" t="s">
        <v>31</v>
      </c>
      <c r="M107" s="33" t="s">
        <v>52</v>
      </c>
      <c r="N107" s="33" t="s">
        <v>45</v>
      </c>
      <c r="O107" s="35">
        <v>3</v>
      </c>
      <c r="P107" s="33" t="s">
        <v>34</v>
      </c>
      <c r="Q107" s="35">
        <v>258.08999999999997</v>
      </c>
      <c r="R107" s="35"/>
      <c r="S107" s="35"/>
      <c r="T107" s="33" t="s">
        <v>58</v>
      </c>
      <c r="U107" s="33" t="s">
        <v>35</v>
      </c>
      <c r="V107" s="33" t="s">
        <v>31</v>
      </c>
      <c r="W107" s="33" t="s">
        <v>54</v>
      </c>
      <c r="X107" s="33" t="s">
        <v>36</v>
      </c>
      <c r="Y107" s="33" t="s">
        <v>132</v>
      </c>
      <c r="Z107" s="33" t="s">
        <v>31</v>
      </c>
      <c r="AA107" s="33" t="s">
        <v>31</v>
      </c>
      <c r="AB107" s="33" t="s">
        <v>31</v>
      </c>
      <c r="AC107" s="34">
        <v>45877</v>
      </c>
      <c r="AD107" s="34"/>
      <c r="AE107" s="33" t="s">
        <v>31</v>
      </c>
      <c r="AF107" s="19"/>
      <c r="AG107">
        <f>VLOOKUP(I107,'Customer Data'!$B$2:$F$149,4,0)</f>
        <v>2.94</v>
      </c>
    </row>
    <row r="108" spans="1:33" hidden="1" x14ac:dyDescent="0.35">
      <c r="A108" s="32">
        <v>100222345</v>
      </c>
      <c r="B108" s="33" t="s">
        <v>29</v>
      </c>
      <c r="C108" s="34">
        <v>45877</v>
      </c>
      <c r="D108" s="32">
        <v>1800011396</v>
      </c>
      <c r="E108" s="33" t="s">
        <v>57</v>
      </c>
      <c r="F108" s="34">
        <v>45877</v>
      </c>
      <c r="G108" s="34">
        <v>45877</v>
      </c>
      <c r="H108" s="33" t="s">
        <v>54</v>
      </c>
      <c r="I108" s="37">
        <v>256779416246</v>
      </c>
      <c r="J108" s="33" t="s">
        <v>32</v>
      </c>
      <c r="K108" s="33" t="s">
        <v>33</v>
      </c>
      <c r="L108" s="33" t="s">
        <v>31</v>
      </c>
      <c r="M108" s="33" t="s">
        <v>52</v>
      </c>
      <c r="N108" s="33" t="s">
        <v>45</v>
      </c>
      <c r="O108" s="35">
        <v>70.95</v>
      </c>
      <c r="P108" s="33" t="s">
        <v>34</v>
      </c>
      <c r="Q108" s="35">
        <v>6103.84</v>
      </c>
      <c r="R108" s="35"/>
      <c r="S108" s="35"/>
      <c r="T108" s="33" t="s">
        <v>58</v>
      </c>
      <c r="U108" s="33" t="s">
        <v>35</v>
      </c>
      <c r="V108" s="33" t="s">
        <v>31</v>
      </c>
      <c r="W108" s="33" t="s">
        <v>54</v>
      </c>
      <c r="X108" s="33" t="s">
        <v>36</v>
      </c>
      <c r="Y108" s="33" t="s">
        <v>133</v>
      </c>
      <c r="Z108" s="33" t="s">
        <v>31</v>
      </c>
      <c r="AA108" s="33" t="s">
        <v>31</v>
      </c>
      <c r="AB108" s="33" t="s">
        <v>31</v>
      </c>
      <c r="AC108" s="34">
        <v>45877</v>
      </c>
      <c r="AD108" s="34"/>
      <c r="AE108" s="33" t="s">
        <v>31</v>
      </c>
      <c r="AF108" s="19"/>
      <c r="AG108">
        <f>VLOOKUP(I108,'Customer Data'!$B$2:$F$149,4,0)</f>
        <v>69.540000000000006</v>
      </c>
    </row>
    <row r="109" spans="1:33" hidden="1" x14ac:dyDescent="0.35">
      <c r="A109" s="32">
        <v>100222345</v>
      </c>
      <c r="B109" s="33" t="s">
        <v>29</v>
      </c>
      <c r="C109" s="34">
        <v>45877</v>
      </c>
      <c r="D109" s="32">
        <v>1800011407</v>
      </c>
      <c r="E109" s="33" t="s">
        <v>57</v>
      </c>
      <c r="F109" s="34">
        <v>45877</v>
      </c>
      <c r="G109" s="34">
        <v>45877</v>
      </c>
      <c r="H109" s="33" t="s">
        <v>54</v>
      </c>
      <c r="I109" s="37">
        <v>256779416257</v>
      </c>
      <c r="J109" s="33" t="s">
        <v>32</v>
      </c>
      <c r="K109" s="33" t="s">
        <v>33</v>
      </c>
      <c r="L109" s="33" t="s">
        <v>31</v>
      </c>
      <c r="M109" s="33" t="s">
        <v>52</v>
      </c>
      <c r="N109" s="33" t="s">
        <v>45</v>
      </c>
      <c r="O109" s="35">
        <v>22.87</v>
      </c>
      <c r="P109" s="33" t="s">
        <v>34</v>
      </c>
      <c r="Q109" s="35">
        <v>1967.51</v>
      </c>
      <c r="R109" s="35"/>
      <c r="S109" s="35"/>
      <c r="T109" s="33" t="s">
        <v>58</v>
      </c>
      <c r="U109" s="33" t="s">
        <v>35</v>
      </c>
      <c r="V109" s="33" t="s">
        <v>31</v>
      </c>
      <c r="W109" s="33" t="s">
        <v>54</v>
      </c>
      <c r="X109" s="33" t="s">
        <v>36</v>
      </c>
      <c r="Y109" s="33" t="s">
        <v>134</v>
      </c>
      <c r="Z109" s="33" t="s">
        <v>31</v>
      </c>
      <c r="AA109" s="33" t="s">
        <v>31</v>
      </c>
      <c r="AB109" s="33" t="s">
        <v>31</v>
      </c>
      <c r="AC109" s="34">
        <v>45877</v>
      </c>
      <c r="AD109" s="34"/>
      <c r="AE109" s="33" t="s">
        <v>31</v>
      </c>
      <c r="AF109" s="19"/>
      <c r="AG109">
        <f>VLOOKUP(I109,'Customer Data'!$B$2:$F$149,4,0)</f>
        <v>22.42</v>
      </c>
    </row>
    <row r="110" spans="1:33" hidden="1" x14ac:dyDescent="0.35">
      <c r="A110" s="32">
        <v>100222345</v>
      </c>
      <c r="B110" s="33" t="s">
        <v>29</v>
      </c>
      <c r="C110" s="34">
        <v>45877</v>
      </c>
      <c r="D110" s="32">
        <v>1800011596</v>
      </c>
      <c r="E110" s="33" t="s">
        <v>57</v>
      </c>
      <c r="F110" s="34">
        <v>45877</v>
      </c>
      <c r="G110" s="34">
        <v>45877</v>
      </c>
      <c r="H110" s="33" t="s">
        <v>54</v>
      </c>
      <c r="I110" s="37">
        <v>256779416446</v>
      </c>
      <c r="J110" s="33" t="s">
        <v>32</v>
      </c>
      <c r="K110" s="33" t="s">
        <v>33</v>
      </c>
      <c r="L110" s="33" t="s">
        <v>31</v>
      </c>
      <c r="M110" s="33" t="s">
        <v>52</v>
      </c>
      <c r="N110" s="33" t="s">
        <v>45</v>
      </c>
      <c r="O110" s="35">
        <v>2.2799999999999998</v>
      </c>
      <c r="P110" s="33" t="s">
        <v>34</v>
      </c>
      <c r="Q110" s="35">
        <v>196.15</v>
      </c>
      <c r="R110" s="35"/>
      <c r="S110" s="35"/>
      <c r="T110" s="33" t="s">
        <v>58</v>
      </c>
      <c r="U110" s="33" t="s">
        <v>35</v>
      </c>
      <c r="V110" s="33" t="s">
        <v>31</v>
      </c>
      <c r="W110" s="33" t="s">
        <v>54</v>
      </c>
      <c r="X110" s="33" t="s">
        <v>36</v>
      </c>
      <c r="Y110" s="33" t="s">
        <v>135</v>
      </c>
      <c r="Z110" s="33" t="s">
        <v>31</v>
      </c>
      <c r="AA110" s="33" t="s">
        <v>31</v>
      </c>
      <c r="AB110" s="33" t="s">
        <v>31</v>
      </c>
      <c r="AC110" s="34">
        <v>45877</v>
      </c>
      <c r="AD110" s="34"/>
      <c r="AE110" s="33" t="s">
        <v>31</v>
      </c>
      <c r="AF110" s="19"/>
      <c r="AG110">
        <f>VLOOKUP(I110,'Customer Data'!$B$2:$F$149,4,0)</f>
        <v>2.23</v>
      </c>
    </row>
    <row r="111" spans="1:33" hidden="1" x14ac:dyDescent="0.35">
      <c r="A111" s="32">
        <v>100222345</v>
      </c>
      <c r="B111" s="33" t="s">
        <v>29</v>
      </c>
      <c r="C111" s="34">
        <v>45812</v>
      </c>
      <c r="D111" s="32">
        <v>1800009239</v>
      </c>
      <c r="E111" s="33" t="s">
        <v>57</v>
      </c>
      <c r="F111" s="34">
        <v>45812</v>
      </c>
      <c r="G111" s="34">
        <v>45817</v>
      </c>
      <c r="H111" s="33" t="s">
        <v>54</v>
      </c>
      <c r="I111" s="37">
        <v>256779414003</v>
      </c>
      <c r="J111" s="33" t="s">
        <v>32</v>
      </c>
      <c r="K111" s="33" t="s">
        <v>33</v>
      </c>
      <c r="L111" s="33" t="s">
        <v>31</v>
      </c>
      <c r="M111" s="33" t="s">
        <v>52</v>
      </c>
      <c r="N111" s="33" t="s">
        <v>45</v>
      </c>
      <c r="O111" s="35">
        <v>807.39</v>
      </c>
      <c r="P111" s="33" t="s">
        <v>34</v>
      </c>
      <c r="Q111" s="35">
        <v>69024.399999999994</v>
      </c>
      <c r="R111" s="35"/>
      <c r="S111" s="35"/>
      <c r="T111" s="33" t="s">
        <v>58</v>
      </c>
      <c r="U111" s="33" t="s">
        <v>35</v>
      </c>
      <c r="V111" s="33" t="s">
        <v>31</v>
      </c>
      <c r="W111" s="33" t="s">
        <v>54</v>
      </c>
      <c r="X111" s="33" t="s">
        <v>36</v>
      </c>
      <c r="Y111" s="33" t="s">
        <v>136</v>
      </c>
      <c r="Z111" s="33" t="s">
        <v>31</v>
      </c>
      <c r="AA111" s="33" t="s">
        <v>31</v>
      </c>
      <c r="AB111" s="33" t="s">
        <v>31</v>
      </c>
      <c r="AC111" s="34">
        <v>45812</v>
      </c>
      <c r="AD111" s="34"/>
      <c r="AE111" s="33" t="s">
        <v>31</v>
      </c>
      <c r="AF111" s="19"/>
      <c r="AG111">
        <f>VLOOKUP(I111,'Customer Data'!$B$2:$F$149,4,0)</f>
        <v>726.65</v>
      </c>
    </row>
    <row r="112" spans="1:33" hidden="1" x14ac:dyDescent="0.35">
      <c r="A112" s="32">
        <v>100222345</v>
      </c>
      <c r="B112" s="33" t="s">
        <v>29</v>
      </c>
      <c r="C112" s="34">
        <v>45812</v>
      </c>
      <c r="D112" s="32">
        <v>1800009240</v>
      </c>
      <c r="E112" s="33" t="s">
        <v>57</v>
      </c>
      <c r="F112" s="34">
        <v>45812</v>
      </c>
      <c r="G112" s="34">
        <v>45817</v>
      </c>
      <c r="H112" s="33" t="s">
        <v>54</v>
      </c>
      <c r="I112" s="37">
        <v>256779414004</v>
      </c>
      <c r="J112" s="33" t="s">
        <v>32</v>
      </c>
      <c r="K112" s="33" t="s">
        <v>33</v>
      </c>
      <c r="L112" s="33" t="s">
        <v>31</v>
      </c>
      <c r="M112" s="33" t="s">
        <v>52</v>
      </c>
      <c r="N112" s="33" t="s">
        <v>45</v>
      </c>
      <c r="O112" s="35">
        <v>808.16</v>
      </c>
      <c r="P112" s="33" t="s">
        <v>34</v>
      </c>
      <c r="Q112" s="35">
        <v>69090.23</v>
      </c>
      <c r="R112" s="35"/>
      <c r="S112" s="35"/>
      <c r="T112" s="33" t="s">
        <v>58</v>
      </c>
      <c r="U112" s="33" t="s">
        <v>35</v>
      </c>
      <c r="V112" s="33" t="s">
        <v>31</v>
      </c>
      <c r="W112" s="33" t="s">
        <v>54</v>
      </c>
      <c r="X112" s="33" t="s">
        <v>36</v>
      </c>
      <c r="Y112" s="33" t="s">
        <v>137</v>
      </c>
      <c r="Z112" s="33" t="s">
        <v>31</v>
      </c>
      <c r="AA112" s="33" t="s">
        <v>31</v>
      </c>
      <c r="AB112" s="33" t="s">
        <v>31</v>
      </c>
      <c r="AC112" s="34">
        <v>45812</v>
      </c>
      <c r="AD112" s="34"/>
      <c r="AE112" s="33" t="s">
        <v>31</v>
      </c>
      <c r="AF112" s="19"/>
      <c r="AG112">
        <f>VLOOKUP(I112,'Customer Data'!$B$2:$F$149,4,0)</f>
        <v>727.33999999999992</v>
      </c>
    </row>
    <row r="113" spans="1:33" hidden="1" x14ac:dyDescent="0.35">
      <c r="A113" s="32">
        <v>100222345</v>
      </c>
      <c r="B113" s="33" t="s">
        <v>29</v>
      </c>
      <c r="C113" s="34">
        <v>45812</v>
      </c>
      <c r="D113" s="32">
        <v>1800009241</v>
      </c>
      <c r="E113" s="33" t="s">
        <v>57</v>
      </c>
      <c r="F113" s="34">
        <v>45812</v>
      </c>
      <c r="G113" s="34">
        <v>45817</v>
      </c>
      <c r="H113" s="33" t="s">
        <v>54</v>
      </c>
      <c r="I113" s="37">
        <v>256779414005</v>
      </c>
      <c r="J113" s="33" t="s">
        <v>32</v>
      </c>
      <c r="K113" s="33" t="s">
        <v>33</v>
      </c>
      <c r="L113" s="33" t="s">
        <v>31</v>
      </c>
      <c r="M113" s="33" t="s">
        <v>52</v>
      </c>
      <c r="N113" s="33" t="s">
        <v>45</v>
      </c>
      <c r="O113" s="35">
        <v>805.28</v>
      </c>
      <c r="P113" s="33" t="s">
        <v>34</v>
      </c>
      <c r="Q113" s="35">
        <v>68844.02</v>
      </c>
      <c r="R113" s="35"/>
      <c r="S113" s="35"/>
      <c r="T113" s="33" t="s">
        <v>58</v>
      </c>
      <c r="U113" s="33" t="s">
        <v>35</v>
      </c>
      <c r="V113" s="33" t="s">
        <v>31</v>
      </c>
      <c r="W113" s="33" t="s">
        <v>54</v>
      </c>
      <c r="X113" s="33" t="s">
        <v>36</v>
      </c>
      <c r="Y113" s="33" t="s">
        <v>138</v>
      </c>
      <c r="Z113" s="33" t="s">
        <v>31</v>
      </c>
      <c r="AA113" s="33" t="s">
        <v>31</v>
      </c>
      <c r="AB113" s="33" t="s">
        <v>31</v>
      </c>
      <c r="AC113" s="34">
        <v>45812</v>
      </c>
      <c r="AD113" s="34"/>
      <c r="AE113" s="33" t="s">
        <v>31</v>
      </c>
      <c r="AF113" s="19"/>
      <c r="AG113">
        <f>VLOOKUP(I113,'Customer Data'!$B$2:$F$149,4,0)</f>
        <v>724.75</v>
      </c>
    </row>
    <row r="114" spans="1:33" hidden="1" x14ac:dyDescent="0.35">
      <c r="A114" s="32">
        <v>100222345</v>
      </c>
      <c r="B114" s="33" t="s">
        <v>29</v>
      </c>
      <c r="C114" s="34">
        <v>45812</v>
      </c>
      <c r="D114" s="32">
        <v>1800009242</v>
      </c>
      <c r="E114" s="33" t="s">
        <v>57</v>
      </c>
      <c r="F114" s="34">
        <v>45812</v>
      </c>
      <c r="G114" s="34">
        <v>45817</v>
      </c>
      <c r="H114" s="33" t="s">
        <v>54</v>
      </c>
      <c r="I114" s="37">
        <v>256779414006</v>
      </c>
      <c r="J114" s="33" t="s">
        <v>32</v>
      </c>
      <c r="K114" s="33" t="s">
        <v>33</v>
      </c>
      <c r="L114" s="33" t="s">
        <v>31</v>
      </c>
      <c r="M114" s="33" t="s">
        <v>52</v>
      </c>
      <c r="N114" s="33" t="s">
        <v>45</v>
      </c>
      <c r="O114" s="35">
        <v>801.47</v>
      </c>
      <c r="P114" s="33" t="s">
        <v>34</v>
      </c>
      <c r="Q114" s="35">
        <v>68518.3</v>
      </c>
      <c r="R114" s="35"/>
      <c r="S114" s="35"/>
      <c r="T114" s="33" t="s">
        <v>58</v>
      </c>
      <c r="U114" s="33" t="s">
        <v>35</v>
      </c>
      <c r="V114" s="33" t="s">
        <v>31</v>
      </c>
      <c r="W114" s="33" t="s">
        <v>54</v>
      </c>
      <c r="X114" s="33" t="s">
        <v>36</v>
      </c>
      <c r="Y114" s="33" t="s">
        <v>139</v>
      </c>
      <c r="Z114" s="33" t="s">
        <v>31</v>
      </c>
      <c r="AA114" s="33" t="s">
        <v>31</v>
      </c>
      <c r="AB114" s="33" t="s">
        <v>31</v>
      </c>
      <c r="AC114" s="34">
        <v>45812</v>
      </c>
      <c r="AD114" s="34"/>
      <c r="AE114" s="33" t="s">
        <v>31</v>
      </c>
      <c r="AF114" s="19"/>
      <c r="AG114">
        <f>VLOOKUP(I114,'Customer Data'!$B$2:$F$149,4,0)</f>
        <v>721.32</v>
      </c>
    </row>
    <row r="115" spans="1:33" hidden="1" x14ac:dyDescent="0.35">
      <c r="A115" s="32">
        <v>100222345</v>
      </c>
      <c r="B115" s="33" t="s">
        <v>29</v>
      </c>
      <c r="C115" s="34">
        <v>45812</v>
      </c>
      <c r="D115" s="32">
        <v>1800009243</v>
      </c>
      <c r="E115" s="33" t="s">
        <v>57</v>
      </c>
      <c r="F115" s="34">
        <v>45812</v>
      </c>
      <c r="G115" s="34">
        <v>45817</v>
      </c>
      <c r="H115" s="33" t="s">
        <v>54</v>
      </c>
      <c r="I115" s="37">
        <v>256779414007</v>
      </c>
      <c r="J115" s="33" t="s">
        <v>32</v>
      </c>
      <c r="K115" s="33" t="s">
        <v>33</v>
      </c>
      <c r="L115" s="33" t="s">
        <v>31</v>
      </c>
      <c r="M115" s="33" t="s">
        <v>52</v>
      </c>
      <c r="N115" s="33" t="s">
        <v>45</v>
      </c>
      <c r="O115" s="35">
        <v>790.89</v>
      </c>
      <c r="P115" s="33" t="s">
        <v>34</v>
      </c>
      <c r="Q115" s="35">
        <v>67613.8</v>
      </c>
      <c r="R115" s="35"/>
      <c r="S115" s="35"/>
      <c r="T115" s="33" t="s">
        <v>58</v>
      </c>
      <c r="U115" s="33" t="s">
        <v>35</v>
      </c>
      <c r="V115" s="33" t="s">
        <v>31</v>
      </c>
      <c r="W115" s="33" t="s">
        <v>54</v>
      </c>
      <c r="X115" s="33" t="s">
        <v>36</v>
      </c>
      <c r="Y115" s="33" t="s">
        <v>140</v>
      </c>
      <c r="Z115" s="33" t="s">
        <v>31</v>
      </c>
      <c r="AA115" s="33" t="s">
        <v>31</v>
      </c>
      <c r="AB115" s="33" t="s">
        <v>31</v>
      </c>
      <c r="AC115" s="34">
        <v>45812</v>
      </c>
      <c r="AD115" s="34"/>
      <c r="AE115" s="33" t="s">
        <v>31</v>
      </c>
      <c r="AF115" s="19"/>
      <c r="AG115">
        <f>VLOOKUP(I115,'Customer Data'!$B$2:$F$149,4,0)</f>
        <v>711.8</v>
      </c>
    </row>
    <row r="116" spans="1:33" hidden="1" x14ac:dyDescent="0.35">
      <c r="A116" s="32">
        <v>100222345</v>
      </c>
      <c r="B116" s="33" t="s">
        <v>29</v>
      </c>
      <c r="C116" s="34">
        <v>45791</v>
      </c>
      <c r="D116" s="32">
        <v>1600000602</v>
      </c>
      <c r="E116" s="33" t="s">
        <v>82</v>
      </c>
      <c r="F116" s="34">
        <v>45791</v>
      </c>
      <c r="G116" s="34">
        <v>45793</v>
      </c>
      <c r="H116" s="33" t="s">
        <v>54</v>
      </c>
      <c r="I116" s="37">
        <v>256779420311</v>
      </c>
      <c r="J116" s="33" t="s">
        <v>32</v>
      </c>
      <c r="K116" s="33" t="s">
        <v>33</v>
      </c>
      <c r="L116" s="33" t="s">
        <v>31</v>
      </c>
      <c r="M116" s="33" t="s">
        <v>51</v>
      </c>
      <c r="N116" s="33" t="s">
        <v>45</v>
      </c>
      <c r="O116" s="35">
        <v>-1.91</v>
      </c>
      <c r="P116" s="33" t="s">
        <v>34</v>
      </c>
      <c r="Q116" s="35">
        <v>-165.58</v>
      </c>
      <c r="R116" s="35"/>
      <c r="S116" s="35"/>
      <c r="T116" s="33" t="s">
        <v>58</v>
      </c>
      <c r="U116" s="33" t="s">
        <v>35</v>
      </c>
      <c r="V116" s="33" t="s">
        <v>31</v>
      </c>
      <c r="W116" s="33" t="s">
        <v>54</v>
      </c>
      <c r="X116" s="33" t="s">
        <v>36</v>
      </c>
      <c r="Y116" s="33" t="s">
        <v>141</v>
      </c>
      <c r="Z116" s="33" t="s">
        <v>31</v>
      </c>
      <c r="AA116" s="33" t="s">
        <v>31</v>
      </c>
      <c r="AB116" s="33" t="s">
        <v>31</v>
      </c>
      <c r="AC116" s="34">
        <v>45791</v>
      </c>
      <c r="AD116" s="34">
        <v>45861</v>
      </c>
      <c r="AE116" s="33" t="s">
        <v>42</v>
      </c>
      <c r="AF116" s="19"/>
      <c r="AG116" t="e">
        <f>VLOOKUP(I116,'Customer Data'!$B$2:$F$149,4,0)</f>
        <v>#N/A</v>
      </c>
    </row>
    <row r="117" spans="1:33" hidden="1" x14ac:dyDescent="0.35">
      <c r="A117" s="32">
        <v>100222345</v>
      </c>
      <c r="B117" s="33" t="s">
        <v>29</v>
      </c>
      <c r="C117" s="34">
        <v>45791</v>
      </c>
      <c r="D117" s="32">
        <v>1600000598</v>
      </c>
      <c r="E117" s="33" t="s">
        <v>82</v>
      </c>
      <c r="F117" s="34">
        <v>45791</v>
      </c>
      <c r="G117" s="34">
        <v>45793</v>
      </c>
      <c r="H117" s="33" t="s">
        <v>54</v>
      </c>
      <c r="I117" s="37">
        <v>256779420307</v>
      </c>
      <c r="J117" s="33" t="s">
        <v>32</v>
      </c>
      <c r="K117" s="33" t="s">
        <v>33</v>
      </c>
      <c r="L117" s="33" t="s">
        <v>31</v>
      </c>
      <c r="M117" s="33" t="s">
        <v>51</v>
      </c>
      <c r="N117" s="33" t="s">
        <v>45</v>
      </c>
      <c r="O117" s="35">
        <v>-2.86</v>
      </c>
      <c r="P117" s="33" t="s">
        <v>34</v>
      </c>
      <c r="Q117" s="35">
        <v>-247.94</v>
      </c>
      <c r="R117" s="35"/>
      <c r="S117" s="35"/>
      <c r="T117" s="33" t="s">
        <v>58</v>
      </c>
      <c r="U117" s="33" t="s">
        <v>35</v>
      </c>
      <c r="V117" s="33" t="s">
        <v>31</v>
      </c>
      <c r="W117" s="33" t="s">
        <v>54</v>
      </c>
      <c r="X117" s="33" t="s">
        <v>36</v>
      </c>
      <c r="Y117" s="33" t="s">
        <v>142</v>
      </c>
      <c r="Z117" s="33" t="s">
        <v>31</v>
      </c>
      <c r="AA117" s="33" t="s">
        <v>31</v>
      </c>
      <c r="AB117" s="33" t="s">
        <v>31</v>
      </c>
      <c r="AC117" s="34">
        <v>45791</v>
      </c>
      <c r="AD117" s="34">
        <v>45861</v>
      </c>
      <c r="AE117" s="33" t="s">
        <v>42</v>
      </c>
      <c r="AF117" s="19"/>
      <c r="AG117" t="e">
        <f>VLOOKUP(I117,'Customer Data'!$B$2:$F$149,4,0)</f>
        <v>#N/A</v>
      </c>
    </row>
    <row r="118" spans="1:33" hidden="1" x14ac:dyDescent="0.35">
      <c r="A118" s="32">
        <v>100222345</v>
      </c>
      <c r="B118" s="33" t="s">
        <v>29</v>
      </c>
      <c r="C118" s="34">
        <v>45791</v>
      </c>
      <c r="D118" s="32">
        <v>1600000599</v>
      </c>
      <c r="E118" s="33" t="s">
        <v>82</v>
      </c>
      <c r="F118" s="34">
        <v>45791</v>
      </c>
      <c r="G118" s="34">
        <v>45793</v>
      </c>
      <c r="H118" s="33" t="s">
        <v>54</v>
      </c>
      <c r="I118" s="37">
        <v>256779420308</v>
      </c>
      <c r="J118" s="33" t="s">
        <v>32</v>
      </c>
      <c r="K118" s="33" t="s">
        <v>33</v>
      </c>
      <c r="L118" s="33" t="s">
        <v>31</v>
      </c>
      <c r="M118" s="33" t="s">
        <v>51</v>
      </c>
      <c r="N118" s="33" t="s">
        <v>45</v>
      </c>
      <c r="O118" s="35">
        <v>-0.95</v>
      </c>
      <c r="P118" s="33" t="s">
        <v>34</v>
      </c>
      <c r="Q118" s="35">
        <v>-82.36</v>
      </c>
      <c r="R118" s="35"/>
      <c r="S118" s="35"/>
      <c r="T118" s="33" t="s">
        <v>58</v>
      </c>
      <c r="U118" s="33" t="s">
        <v>35</v>
      </c>
      <c r="V118" s="33" t="s">
        <v>31</v>
      </c>
      <c r="W118" s="33" t="s">
        <v>54</v>
      </c>
      <c r="X118" s="33" t="s">
        <v>36</v>
      </c>
      <c r="Y118" s="33" t="s">
        <v>143</v>
      </c>
      <c r="Z118" s="33" t="s">
        <v>31</v>
      </c>
      <c r="AA118" s="33" t="s">
        <v>31</v>
      </c>
      <c r="AB118" s="33" t="s">
        <v>31</v>
      </c>
      <c r="AC118" s="34">
        <v>45791</v>
      </c>
      <c r="AD118" s="34">
        <v>45861</v>
      </c>
      <c r="AE118" s="33" t="s">
        <v>42</v>
      </c>
      <c r="AF118" s="19"/>
      <c r="AG118" t="e">
        <f>VLOOKUP(I118,'Customer Data'!$B$2:$F$149,4,0)</f>
        <v>#N/A</v>
      </c>
    </row>
    <row r="119" spans="1:33" hidden="1" x14ac:dyDescent="0.35">
      <c r="A119" s="32">
        <v>100222345</v>
      </c>
      <c r="B119" s="33" t="s">
        <v>29</v>
      </c>
      <c r="C119" s="34">
        <v>45791</v>
      </c>
      <c r="D119" s="32">
        <v>1600000600</v>
      </c>
      <c r="E119" s="33" t="s">
        <v>82</v>
      </c>
      <c r="F119" s="34">
        <v>45791</v>
      </c>
      <c r="G119" s="34">
        <v>45793</v>
      </c>
      <c r="H119" s="33" t="s">
        <v>54</v>
      </c>
      <c r="I119" s="37">
        <v>256779420309</v>
      </c>
      <c r="J119" s="33" t="s">
        <v>32</v>
      </c>
      <c r="K119" s="33" t="s">
        <v>33</v>
      </c>
      <c r="L119" s="33" t="s">
        <v>31</v>
      </c>
      <c r="M119" s="33" t="s">
        <v>51</v>
      </c>
      <c r="N119" s="33" t="s">
        <v>45</v>
      </c>
      <c r="O119" s="35">
        <v>-4.7699999999999996</v>
      </c>
      <c r="P119" s="33" t="s">
        <v>34</v>
      </c>
      <c r="Q119" s="35">
        <v>-413.52</v>
      </c>
      <c r="R119" s="35"/>
      <c r="S119" s="35"/>
      <c r="T119" s="33" t="s">
        <v>58</v>
      </c>
      <c r="U119" s="33" t="s">
        <v>35</v>
      </c>
      <c r="V119" s="33" t="s">
        <v>31</v>
      </c>
      <c r="W119" s="33" t="s">
        <v>54</v>
      </c>
      <c r="X119" s="33" t="s">
        <v>36</v>
      </c>
      <c r="Y119" s="33" t="s">
        <v>144</v>
      </c>
      <c r="Z119" s="33" t="s">
        <v>31</v>
      </c>
      <c r="AA119" s="33" t="s">
        <v>31</v>
      </c>
      <c r="AB119" s="33" t="s">
        <v>31</v>
      </c>
      <c r="AC119" s="34">
        <v>45791</v>
      </c>
      <c r="AD119" s="34">
        <v>45861</v>
      </c>
      <c r="AE119" s="33" t="s">
        <v>42</v>
      </c>
      <c r="AF119" s="19"/>
      <c r="AG119" t="e">
        <f>VLOOKUP(I119,'Customer Data'!$B$2:$F$149,4,0)</f>
        <v>#N/A</v>
      </c>
    </row>
    <row r="120" spans="1:33" hidden="1" x14ac:dyDescent="0.35">
      <c r="A120" s="32">
        <v>100222345</v>
      </c>
      <c r="B120" s="33" t="s">
        <v>29</v>
      </c>
      <c r="C120" s="34">
        <v>45791</v>
      </c>
      <c r="D120" s="32">
        <v>1600000601</v>
      </c>
      <c r="E120" s="33" t="s">
        <v>82</v>
      </c>
      <c r="F120" s="34">
        <v>45791</v>
      </c>
      <c r="G120" s="34">
        <v>45793</v>
      </c>
      <c r="H120" s="33" t="s">
        <v>54</v>
      </c>
      <c r="I120" s="37">
        <v>256779420310</v>
      </c>
      <c r="J120" s="33" t="s">
        <v>32</v>
      </c>
      <c r="K120" s="33" t="s">
        <v>33</v>
      </c>
      <c r="L120" s="33" t="s">
        <v>31</v>
      </c>
      <c r="M120" s="33" t="s">
        <v>51</v>
      </c>
      <c r="N120" s="33" t="s">
        <v>45</v>
      </c>
      <c r="O120" s="35">
        <v>-1.91</v>
      </c>
      <c r="P120" s="33" t="s">
        <v>34</v>
      </c>
      <c r="Q120" s="35">
        <v>-165.58</v>
      </c>
      <c r="R120" s="35"/>
      <c r="S120" s="35"/>
      <c r="T120" s="33" t="s">
        <v>58</v>
      </c>
      <c r="U120" s="33" t="s">
        <v>35</v>
      </c>
      <c r="V120" s="33" t="s">
        <v>31</v>
      </c>
      <c r="W120" s="33" t="s">
        <v>54</v>
      </c>
      <c r="X120" s="33" t="s">
        <v>36</v>
      </c>
      <c r="Y120" s="33" t="s">
        <v>145</v>
      </c>
      <c r="Z120" s="33" t="s">
        <v>31</v>
      </c>
      <c r="AA120" s="33" t="s">
        <v>31</v>
      </c>
      <c r="AB120" s="33" t="s">
        <v>31</v>
      </c>
      <c r="AC120" s="34">
        <v>45791</v>
      </c>
      <c r="AD120" s="34">
        <v>45861</v>
      </c>
      <c r="AE120" s="33" t="s">
        <v>42</v>
      </c>
      <c r="AF120" s="19"/>
      <c r="AG120" t="e">
        <f>VLOOKUP(I120,'Customer Data'!$B$2:$F$149,4,0)</f>
        <v>#N/A</v>
      </c>
    </row>
    <row r="121" spans="1:33" hidden="1" x14ac:dyDescent="0.35">
      <c r="A121" s="32">
        <v>100222345</v>
      </c>
      <c r="B121" s="33" t="s">
        <v>29</v>
      </c>
      <c r="C121" s="34">
        <v>45791</v>
      </c>
      <c r="D121" s="32">
        <v>1600000603</v>
      </c>
      <c r="E121" s="33" t="s">
        <v>82</v>
      </c>
      <c r="F121" s="34">
        <v>45791</v>
      </c>
      <c r="G121" s="34">
        <v>45793</v>
      </c>
      <c r="H121" s="33" t="s">
        <v>54</v>
      </c>
      <c r="I121" s="37">
        <v>256779420312</v>
      </c>
      <c r="J121" s="33" t="s">
        <v>32</v>
      </c>
      <c r="K121" s="33" t="s">
        <v>33</v>
      </c>
      <c r="L121" s="33" t="s">
        <v>31</v>
      </c>
      <c r="M121" s="33" t="s">
        <v>51</v>
      </c>
      <c r="N121" s="33" t="s">
        <v>45</v>
      </c>
      <c r="O121" s="35">
        <v>-4.7699999999999996</v>
      </c>
      <c r="P121" s="33" t="s">
        <v>34</v>
      </c>
      <c r="Q121" s="35">
        <v>-413.52</v>
      </c>
      <c r="R121" s="35"/>
      <c r="S121" s="35"/>
      <c r="T121" s="33" t="s">
        <v>58</v>
      </c>
      <c r="U121" s="33" t="s">
        <v>35</v>
      </c>
      <c r="V121" s="33" t="s">
        <v>31</v>
      </c>
      <c r="W121" s="33" t="s">
        <v>54</v>
      </c>
      <c r="X121" s="33" t="s">
        <v>36</v>
      </c>
      <c r="Y121" s="33" t="s">
        <v>146</v>
      </c>
      <c r="Z121" s="33" t="s">
        <v>31</v>
      </c>
      <c r="AA121" s="33" t="s">
        <v>31</v>
      </c>
      <c r="AB121" s="33" t="s">
        <v>31</v>
      </c>
      <c r="AC121" s="34">
        <v>45791</v>
      </c>
      <c r="AD121" s="34">
        <v>45861</v>
      </c>
      <c r="AE121" s="33" t="s">
        <v>42</v>
      </c>
      <c r="AF121" s="19"/>
      <c r="AG121" t="e">
        <f>VLOOKUP(I121,'Customer Data'!$B$2:$F$149,4,0)</f>
        <v>#N/A</v>
      </c>
    </row>
    <row r="122" spans="1:33" hidden="1" x14ac:dyDescent="0.35">
      <c r="A122" s="32">
        <v>100222345</v>
      </c>
      <c r="B122" s="33" t="s">
        <v>29</v>
      </c>
      <c r="C122" s="34">
        <v>45791</v>
      </c>
      <c r="D122" s="32">
        <v>1600000780</v>
      </c>
      <c r="E122" s="33" t="s">
        <v>82</v>
      </c>
      <c r="F122" s="34">
        <v>45791</v>
      </c>
      <c r="G122" s="34">
        <v>45793</v>
      </c>
      <c r="H122" s="33" t="s">
        <v>54</v>
      </c>
      <c r="I122" s="37">
        <v>256779420489</v>
      </c>
      <c r="J122" s="33" t="s">
        <v>32</v>
      </c>
      <c r="K122" s="33" t="s">
        <v>33</v>
      </c>
      <c r="L122" s="33" t="s">
        <v>31</v>
      </c>
      <c r="M122" s="33" t="s">
        <v>51</v>
      </c>
      <c r="N122" s="33" t="s">
        <v>45</v>
      </c>
      <c r="O122" s="35">
        <v>-1166.5899999999999</v>
      </c>
      <c r="P122" s="33" t="s">
        <v>34</v>
      </c>
      <c r="Q122" s="35">
        <v>-101402.13</v>
      </c>
      <c r="R122" s="35"/>
      <c r="S122" s="35"/>
      <c r="T122" s="33" t="s">
        <v>58</v>
      </c>
      <c r="U122" s="33" t="s">
        <v>35</v>
      </c>
      <c r="V122" s="33" t="s">
        <v>31</v>
      </c>
      <c r="W122" s="33" t="s">
        <v>54</v>
      </c>
      <c r="X122" s="33" t="s">
        <v>36</v>
      </c>
      <c r="Y122" s="33" t="s">
        <v>147</v>
      </c>
      <c r="Z122" s="33" t="s">
        <v>31</v>
      </c>
      <c r="AA122" s="33" t="s">
        <v>31</v>
      </c>
      <c r="AB122" s="33" t="s">
        <v>31</v>
      </c>
      <c r="AC122" s="34">
        <v>45791</v>
      </c>
      <c r="AD122" s="34">
        <v>45861</v>
      </c>
      <c r="AE122" s="33" t="s">
        <v>42</v>
      </c>
      <c r="AF122" s="19"/>
      <c r="AG122" t="e">
        <f>VLOOKUP(I122,'Customer Data'!$B$2:$F$149,4,0)</f>
        <v>#N/A</v>
      </c>
    </row>
    <row r="123" spans="1:33" hidden="1" x14ac:dyDescent="0.35">
      <c r="A123" s="32">
        <v>100222345</v>
      </c>
      <c r="B123" s="33" t="s">
        <v>29</v>
      </c>
      <c r="C123" s="34">
        <v>45791</v>
      </c>
      <c r="D123" s="32">
        <v>1600000814</v>
      </c>
      <c r="E123" s="33" t="s">
        <v>82</v>
      </c>
      <c r="F123" s="34">
        <v>45791</v>
      </c>
      <c r="G123" s="34">
        <v>45793</v>
      </c>
      <c r="H123" s="33" t="s">
        <v>54</v>
      </c>
      <c r="I123" s="37">
        <v>256779420523</v>
      </c>
      <c r="J123" s="33" t="s">
        <v>32</v>
      </c>
      <c r="K123" s="33" t="s">
        <v>33</v>
      </c>
      <c r="L123" s="33" t="s">
        <v>31</v>
      </c>
      <c r="M123" s="33" t="s">
        <v>51</v>
      </c>
      <c r="N123" s="33" t="s">
        <v>45</v>
      </c>
      <c r="O123" s="35">
        <v>-1143.1199999999999</v>
      </c>
      <c r="P123" s="33" t="s">
        <v>34</v>
      </c>
      <c r="Q123" s="35">
        <v>-99362.07</v>
      </c>
      <c r="R123" s="35"/>
      <c r="S123" s="35"/>
      <c r="T123" s="33" t="s">
        <v>58</v>
      </c>
      <c r="U123" s="33" t="s">
        <v>35</v>
      </c>
      <c r="V123" s="33" t="s">
        <v>31</v>
      </c>
      <c r="W123" s="33" t="s">
        <v>54</v>
      </c>
      <c r="X123" s="33" t="s">
        <v>36</v>
      </c>
      <c r="Y123" s="33" t="s">
        <v>148</v>
      </c>
      <c r="Z123" s="33" t="s">
        <v>31</v>
      </c>
      <c r="AA123" s="33" t="s">
        <v>31</v>
      </c>
      <c r="AB123" s="33" t="s">
        <v>31</v>
      </c>
      <c r="AC123" s="34">
        <v>45791</v>
      </c>
      <c r="AD123" s="34">
        <v>45861</v>
      </c>
      <c r="AE123" s="33" t="s">
        <v>42</v>
      </c>
      <c r="AF123" s="19"/>
      <c r="AG123" t="e">
        <f>VLOOKUP(I123,'Customer Data'!$B$2:$F$149,4,0)</f>
        <v>#N/A</v>
      </c>
    </row>
    <row r="124" spans="1:33" hidden="1" x14ac:dyDescent="0.35">
      <c r="A124" s="32">
        <v>100222345</v>
      </c>
      <c r="B124" s="33" t="s">
        <v>29</v>
      </c>
      <c r="C124" s="34">
        <v>45793</v>
      </c>
      <c r="D124" s="32">
        <v>1800008504</v>
      </c>
      <c r="E124" s="33" t="s">
        <v>57</v>
      </c>
      <c r="F124" s="34">
        <v>45793</v>
      </c>
      <c r="G124" s="34">
        <v>45800</v>
      </c>
      <c r="H124" s="33" t="s">
        <v>54</v>
      </c>
      <c r="I124" s="37">
        <v>256779413272</v>
      </c>
      <c r="J124" s="33" t="s">
        <v>32</v>
      </c>
      <c r="K124" s="33" t="s">
        <v>33</v>
      </c>
      <c r="L124" s="33" t="s">
        <v>31</v>
      </c>
      <c r="M124" s="33" t="s">
        <v>52</v>
      </c>
      <c r="N124" s="33" t="s">
        <v>45</v>
      </c>
      <c r="O124" s="35">
        <v>25.28</v>
      </c>
      <c r="P124" s="33" t="s">
        <v>34</v>
      </c>
      <c r="Q124" s="35">
        <v>2173.67</v>
      </c>
      <c r="R124" s="35"/>
      <c r="S124" s="35"/>
      <c r="T124" s="33" t="s">
        <v>58</v>
      </c>
      <c r="U124" s="33" t="s">
        <v>35</v>
      </c>
      <c r="V124" s="33" t="s">
        <v>31</v>
      </c>
      <c r="W124" s="33" t="s">
        <v>54</v>
      </c>
      <c r="X124" s="33" t="s">
        <v>36</v>
      </c>
      <c r="Y124" s="33" t="s">
        <v>149</v>
      </c>
      <c r="Z124" s="33" t="s">
        <v>31</v>
      </c>
      <c r="AA124" s="33" t="s">
        <v>31</v>
      </c>
      <c r="AB124" s="33" t="s">
        <v>31</v>
      </c>
      <c r="AC124" s="34">
        <v>45793</v>
      </c>
      <c r="AD124" s="34"/>
      <c r="AE124" s="33" t="s">
        <v>31</v>
      </c>
      <c r="AF124" s="19"/>
      <c r="AG124">
        <f>VLOOKUP(I124,'Customer Data'!$B$2:$F$149,4,0)</f>
        <v>24.77</v>
      </c>
    </row>
    <row r="125" spans="1:33" hidden="1" x14ac:dyDescent="0.35">
      <c r="A125" s="32">
        <v>100222345</v>
      </c>
      <c r="B125" s="33" t="s">
        <v>29</v>
      </c>
      <c r="C125" s="34">
        <v>45793</v>
      </c>
      <c r="D125" s="32">
        <v>1800008597</v>
      </c>
      <c r="E125" s="33" t="s">
        <v>57</v>
      </c>
      <c r="F125" s="34">
        <v>45793</v>
      </c>
      <c r="G125" s="34">
        <v>45800</v>
      </c>
      <c r="H125" s="33" t="s">
        <v>54</v>
      </c>
      <c r="I125" s="37">
        <v>256779413361</v>
      </c>
      <c r="J125" s="33" t="s">
        <v>32</v>
      </c>
      <c r="K125" s="33" t="s">
        <v>33</v>
      </c>
      <c r="L125" s="33" t="s">
        <v>31</v>
      </c>
      <c r="M125" s="33" t="s">
        <v>52</v>
      </c>
      <c r="N125" s="33" t="s">
        <v>45</v>
      </c>
      <c r="O125" s="35">
        <v>3</v>
      </c>
      <c r="P125" s="33" t="s">
        <v>34</v>
      </c>
      <c r="Q125" s="35">
        <v>257.95</v>
      </c>
      <c r="R125" s="35"/>
      <c r="S125" s="35"/>
      <c r="T125" s="33" t="s">
        <v>58</v>
      </c>
      <c r="U125" s="33" t="s">
        <v>35</v>
      </c>
      <c r="V125" s="33" t="s">
        <v>31</v>
      </c>
      <c r="W125" s="33" t="s">
        <v>54</v>
      </c>
      <c r="X125" s="33" t="s">
        <v>36</v>
      </c>
      <c r="Y125" s="33" t="s">
        <v>150</v>
      </c>
      <c r="Z125" s="33" t="s">
        <v>31</v>
      </c>
      <c r="AA125" s="33" t="s">
        <v>31</v>
      </c>
      <c r="AB125" s="33" t="s">
        <v>31</v>
      </c>
      <c r="AC125" s="34">
        <v>45793</v>
      </c>
      <c r="AD125" s="34"/>
      <c r="AE125" s="33" t="s">
        <v>31</v>
      </c>
      <c r="AF125" s="19"/>
      <c r="AG125">
        <f>VLOOKUP(I125,'Customer Data'!$B$2:$F$149,4,0)</f>
        <v>2.94</v>
      </c>
    </row>
    <row r="126" spans="1:33" hidden="1" x14ac:dyDescent="0.35">
      <c r="A126" s="32">
        <v>100222345</v>
      </c>
      <c r="B126" s="33" t="s">
        <v>29</v>
      </c>
      <c r="C126" s="34">
        <v>45805</v>
      </c>
      <c r="D126" s="32">
        <v>1800009129</v>
      </c>
      <c r="E126" s="33" t="s">
        <v>57</v>
      </c>
      <c r="F126" s="34">
        <v>45805</v>
      </c>
      <c r="G126" s="34">
        <v>45805</v>
      </c>
      <c r="H126" s="33" t="s">
        <v>54</v>
      </c>
      <c r="I126" s="37">
        <v>256779413893</v>
      </c>
      <c r="J126" s="33" t="s">
        <v>32</v>
      </c>
      <c r="K126" s="33" t="s">
        <v>33</v>
      </c>
      <c r="L126" s="33" t="s">
        <v>31</v>
      </c>
      <c r="M126" s="33" t="s">
        <v>52</v>
      </c>
      <c r="N126" s="33" t="s">
        <v>45</v>
      </c>
      <c r="O126" s="35">
        <v>797.57</v>
      </c>
      <c r="P126" s="33" t="s">
        <v>34</v>
      </c>
      <c r="Q126" s="35">
        <v>68578.02</v>
      </c>
      <c r="R126" s="35"/>
      <c r="S126" s="35"/>
      <c r="T126" s="33" t="s">
        <v>58</v>
      </c>
      <c r="U126" s="33" t="s">
        <v>35</v>
      </c>
      <c r="V126" s="33" t="s">
        <v>31</v>
      </c>
      <c r="W126" s="33" t="s">
        <v>54</v>
      </c>
      <c r="X126" s="33" t="s">
        <v>36</v>
      </c>
      <c r="Y126" s="33" t="s">
        <v>151</v>
      </c>
      <c r="Z126" s="33" t="s">
        <v>31</v>
      </c>
      <c r="AA126" s="33" t="s">
        <v>31</v>
      </c>
      <c r="AB126" s="33" t="s">
        <v>31</v>
      </c>
      <c r="AC126" s="34">
        <v>45805</v>
      </c>
      <c r="AD126" s="34"/>
      <c r="AE126" s="33" t="s">
        <v>31</v>
      </c>
      <c r="AF126" s="19"/>
      <c r="AG126">
        <f>VLOOKUP(I126,'Customer Data'!$B$2:$F$149,4,0)</f>
        <v>717.81</v>
      </c>
    </row>
    <row r="127" spans="1:33" hidden="1" x14ac:dyDescent="0.35">
      <c r="A127" s="32">
        <v>100222345</v>
      </c>
      <c r="B127" s="33" t="s">
        <v>29</v>
      </c>
      <c r="C127" s="34">
        <v>45856</v>
      </c>
      <c r="D127" s="32">
        <v>1800010701</v>
      </c>
      <c r="E127" s="33" t="s">
        <v>57</v>
      </c>
      <c r="F127" s="34">
        <v>45856</v>
      </c>
      <c r="G127" s="34">
        <v>45859</v>
      </c>
      <c r="H127" s="33" t="s">
        <v>54</v>
      </c>
      <c r="I127" s="37">
        <v>256779415485</v>
      </c>
      <c r="J127" s="33" t="s">
        <v>32</v>
      </c>
      <c r="K127" s="33" t="s">
        <v>33</v>
      </c>
      <c r="L127" s="33" t="s">
        <v>31</v>
      </c>
      <c r="M127" s="33" t="s">
        <v>52</v>
      </c>
      <c r="N127" s="33" t="s">
        <v>45</v>
      </c>
      <c r="O127" s="35">
        <v>17.25</v>
      </c>
      <c r="P127" s="33" t="s">
        <v>34</v>
      </c>
      <c r="Q127" s="35">
        <v>1483.51</v>
      </c>
      <c r="R127" s="35"/>
      <c r="S127" s="35"/>
      <c r="T127" s="33" t="s">
        <v>58</v>
      </c>
      <c r="U127" s="33" t="s">
        <v>35</v>
      </c>
      <c r="V127" s="33" t="s">
        <v>31</v>
      </c>
      <c r="W127" s="33" t="s">
        <v>54</v>
      </c>
      <c r="X127" s="33" t="s">
        <v>36</v>
      </c>
      <c r="Y127" s="33" t="s">
        <v>152</v>
      </c>
      <c r="Z127" s="33" t="s">
        <v>31</v>
      </c>
      <c r="AA127" s="33" t="s">
        <v>31</v>
      </c>
      <c r="AB127" s="33" t="s">
        <v>31</v>
      </c>
      <c r="AC127" s="34">
        <v>45856</v>
      </c>
      <c r="AD127" s="34"/>
      <c r="AE127" s="33" t="s">
        <v>31</v>
      </c>
      <c r="AF127" s="19"/>
      <c r="AG127">
        <f>VLOOKUP(I127,'Customer Data'!$B$2:$F$149,4,0)</f>
        <v>16.899999999999999</v>
      </c>
    </row>
    <row r="128" spans="1:33" hidden="1" x14ac:dyDescent="0.35">
      <c r="A128" s="32">
        <v>100222345</v>
      </c>
      <c r="B128" s="33" t="s">
        <v>29</v>
      </c>
      <c r="C128" s="34">
        <v>45856</v>
      </c>
      <c r="D128" s="32">
        <v>1800010749</v>
      </c>
      <c r="E128" s="33" t="s">
        <v>57</v>
      </c>
      <c r="F128" s="34">
        <v>45856</v>
      </c>
      <c r="G128" s="34">
        <v>45859</v>
      </c>
      <c r="H128" s="33" t="s">
        <v>54</v>
      </c>
      <c r="I128" s="37">
        <v>256779415533</v>
      </c>
      <c r="J128" s="33" t="s">
        <v>32</v>
      </c>
      <c r="K128" s="33" t="s">
        <v>33</v>
      </c>
      <c r="L128" s="33" t="s">
        <v>31</v>
      </c>
      <c r="M128" s="33" t="s">
        <v>52</v>
      </c>
      <c r="N128" s="33" t="s">
        <v>45</v>
      </c>
      <c r="O128" s="35">
        <v>21.75</v>
      </c>
      <c r="P128" s="33" t="s">
        <v>34</v>
      </c>
      <c r="Q128" s="35">
        <v>1870.51</v>
      </c>
      <c r="R128" s="35"/>
      <c r="S128" s="35"/>
      <c r="T128" s="33" t="s">
        <v>58</v>
      </c>
      <c r="U128" s="33" t="s">
        <v>35</v>
      </c>
      <c r="V128" s="33" t="s">
        <v>31</v>
      </c>
      <c r="W128" s="33" t="s">
        <v>54</v>
      </c>
      <c r="X128" s="33" t="s">
        <v>36</v>
      </c>
      <c r="Y128" s="33" t="s">
        <v>153</v>
      </c>
      <c r="Z128" s="33" t="s">
        <v>31</v>
      </c>
      <c r="AA128" s="33" t="s">
        <v>31</v>
      </c>
      <c r="AB128" s="33" t="s">
        <v>31</v>
      </c>
      <c r="AC128" s="34">
        <v>45856</v>
      </c>
      <c r="AD128" s="34"/>
      <c r="AE128" s="33" t="s">
        <v>31</v>
      </c>
      <c r="AF128" s="19"/>
      <c r="AG128">
        <f>VLOOKUP(I128,'Customer Data'!$B$2:$F$149,4,0)</f>
        <v>21.31</v>
      </c>
    </row>
    <row r="129" spans="1:33" hidden="1" x14ac:dyDescent="0.35">
      <c r="A129" s="32">
        <v>100222345</v>
      </c>
      <c r="B129" s="33" t="s">
        <v>29</v>
      </c>
      <c r="C129" s="34">
        <v>45856</v>
      </c>
      <c r="D129" s="32">
        <v>1800010706</v>
      </c>
      <c r="E129" s="33" t="s">
        <v>57</v>
      </c>
      <c r="F129" s="34">
        <v>45856</v>
      </c>
      <c r="G129" s="34">
        <v>45859</v>
      </c>
      <c r="H129" s="33" t="s">
        <v>54</v>
      </c>
      <c r="I129" s="37">
        <v>256779415490</v>
      </c>
      <c r="J129" s="33" t="s">
        <v>32</v>
      </c>
      <c r="K129" s="33" t="s">
        <v>33</v>
      </c>
      <c r="L129" s="33" t="s">
        <v>31</v>
      </c>
      <c r="M129" s="33" t="s">
        <v>52</v>
      </c>
      <c r="N129" s="33" t="s">
        <v>45</v>
      </c>
      <c r="O129" s="35">
        <v>17.25</v>
      </c>
      <c r="P129" s="33" t="s">
        <v>34</v>
      </c>
      <c r="Q129" s="35">
        <v>1483.51</v>
      </c>
      <c r="R129" s="35"/>
      <c r="S129" s="35"/>
      <c r="T129" s="33" t="s">
        <v>58</v>
      </c>
      <c r="U129" s="33" t="s">
        <v>35</v>
      </c>
      <c r="V129" s="33" t="s">
        <v>31</v>
      </c>
      <c r="W129" s="33" t="s">
        <v>54</v>
      </c>
      <c r="X129" s="33" t="s">
        <v>36</v>
      </c>
      <c r="Y129" s="33" t="s">
        <v>152</v>
      </c>
      <c r="Z129" s="33" t="s">
        <v>31</v>
      </c>
      <c r="AA129" s="33" t="s">
        <v>31</v>
      </c>
      <c r="AB129" s="33" t="s">
        <v>31</v>
      </c>
      <c r="AC129" s="34">
        <v>45856</v>
      </c>
      <c r="AD129" s="34">
        <v>45976</v>
      </c>
      <c r="AE129" s="33" t="s">
        <v>53</v>
      </c>
      <c r="AF129" s="19"/>
      <c r="AG129" t="e">
        <f>VLOOKUP(I129,'Customer Data'!$B$2:$F$149,4,0)</f>
        <v>#N/A</v>
      </c>
    </row>
    <row r="130" spans="1:33" hidden="1" x14ac:dyDescent="0.35">
      <c r="A130" s="32">
        <v>100222345</v>
      </c>
      <c r="B130" s="33" t="s">
        <v>29</v>
      </c>
      <c r="C130" s="34">
        <v>45856</v>
      </c>
      <c r="D130" s="32">
        <v>1800011045</v>
      </c>
      <c r="E130" s="33" t="s">
        <v>57</v>
      </c>
      <c r="F130" s="34">
        <v>45856</v>
      </c>
      <c r="G130" s="34">
        <v>45859</v>
      </c>
      <c r="H130" s="33" t="s">
        <v>54</v>
      </c>
      <c r="I130" s="37">
        <v>256779415805</v>
      </c>
      <c r="J130" s="33" t="s">
        <v>32</v>
      </c>
      <c r="K130" s="33" t="s">
        <v>33</v>
      </c>
      <c r="L130" s="33" t="s">
        <v>31</v>
      </c>
      <c r="M130" s="33" t="s">
        <v>52</v>
      </c>
      <c r="N130" s="33" t="s">
        <v>45</v>
      </c>
      <c r="O130" s="35">
        <v>17.25</v>
      </c>
      <c r="P130" s="33" t="s">
        <v>34</v>
      </c>
      <c r="Q130" s="35">
        <v>1483.51</v>
      </c>
      <c r="R130" s="35"/>
      <c r="S130" s="35"/>
      <c r="T130" s="33" t="s">
        <v>58</v>
      </c>
      <c r="U130" s="33" t="s">
        <v>35</v>
      </c>
      <c r="V130" s="33" t="s">
        <v>31</v>
      </c>
      <c r="W130" s="33" t="s">
        <v>54</v>
      </c>
      <c r="X130" s="33" t="s">
        <v>36</v>
      </c>
      <c r="Y130" s="33" t="s">
        <v>152</v>
      </c>
      <c r="Z130" s="33" t="s">
        <v>31</v>
      </c>
      <c r="AA130" s="33" t="s">
        <v>31</v>
      </c>
      <c r="AB130" s="33" t="s">
        <v>31</v>
      </c>
      <c r="AC130" s="34">
        <v>45856</v>
      </c>
      <c r="AD130" s="34">
        <v>45976</v>
      </c>
      <c r="AE130" s="33" t="s">
        <v>53</v>
      </c>
      <c r="AF130" s="19"/>
      <c r="AG130" t="e">
        <f>VLOOKUP(I130,'Customer Data'!$B$2:$F$149,4,0)</f>
        <v>#N/A</v>
      </c>
    </row>
    <row r="131" spans="1:33" hidden="1" x14ac:dyDescent="0.35">
      <c r="A131" s="32">
        <v>100222345</v>
      </c>
      <c r="B131" s="33" t="s">
        <v>29</v>
      </c>
      <c r="C131" s="34">
        <v>45856</v>
      </c>
      <c r="D131" s="32">
        <v>1800011050</v>
      </c>
      <c r="E131" s="33" t="s">
        <v>57</v>
      </c>
      <c r="F131" s="34">
        <v>45856</v>
      </c>
      <c r="G131" s="34">
        <v>45859</v>
      </c>
      <c r="H131" s="33" t="s">
        <v>54</v>
      </c>
      <c r="I131" s="37">
        <v>256779415810</v>
      </c>
      <c r="J131" s="33" t="s">
        <v>32</v>
      </c>
      <c r="K131" s="33" t="s">
        <v>33</v>
      </c>
      <c r="L131" s="33" t="s">
        <v>31</v>
      </c>
      <c r="M131" s="33" t="s">
        <v>52</v>
      </c>
      <c r="N131" s="33" t="s">
        <v>45</v>
      </c>
      <c r="O131" s="35">
        <v>17.25</v>
      </c>
      <c r="P131" s="33" t="s">
        <v>34</v>
      </c>
      <c r="Q131" s="35">
        <v>1483.51</v>
      </c>
      <c r="R131" s="35"/>
      <c r="S131" s="35"/>
      <c r="T131" s="33" t="s">
        <v>58</v>
      </c>
      <c r="U131" s="33" t="s">
        <v>35</v>
      </c>
      <c r="V131" s="33" t="s">
        <v>31</v>
      </c>
      <c r="W131" s="33" t="s">
        <v>54</v>
      </c>
      <c r="X131" s="33" t="s">
        <v>36</v>
      </c>
      <c r="Y131" s="33" t="s">
        <v>152</v>
      </c>
      <c r="Z131" s="33" t="s">
        <v>31</v>
      </c>
      <c r="AA131" s="33" t="s">
        <v>31</v>
      </c>
      <c r="AB131" s="33" t="s">
        <v>31</v>
      </c>
      <c r="AC131" s="34">
        <v>45856</v>
      </c>
      <c r="AD131" s="34">
        <v>45976</v>
      </c>
      <c r="AE131" s="33" t="s">
        <v>53</v>
      </c>
      <c r="AF131" s="19"/>
      <c r="AG131" t="e">
        <f>VLOOKUP(I131,'Customer Data'!$B$2:$F$149,4,0)</f>
        <v>#N/A</v>
      </c>
    </row>
    <row r="132" spans="1:33" hidden="1" x14ac:dyDescent="0.35">
      <c r="A132" s="32">
        <v>100222345</v>
      </c>
      <c r="B132" s="33" t="s">
        <v>29</v>
      </c>
      <c r="C132" s="34">
        <v>45736</v>
      </c>
      <c r="D132" s="32">
        <v>1800004097</v>
      </c>
      <c r="E132" s="33" t="s">
        <v>57</v>
      </c>
      <c r="F132" s="34">
        <v>45736</v>
      </c>
      <c r="G132" s="34">
        <v>45737</v>
      </c>
      <c r="H132" s="33" t="s">
        <v>54</v>
      </c>
      <c r="I132" s="37">
        <v>246779413953</v>
      </c>
      <c r="J132" s="33" t="s">
        <v>32</v>
      </c>
      <c r="K132" s="33" t="s">
        <v>33</v>
      </c>
      <c r="L132" s="33" t="s">
        <v>31</v>
      </c>
      <c r="M132" s="33" t="s">
        <v>52</v>
      </c>
      <c r="N132" s="33" t="s">
        <v>45</v>
      </c>
      <c r="O132" s="35">
        <v>3</v>
      </c>
      <c r="P132" s="33" t="s">
        <v>34</v>
      </c>
      <c r="Q132" s="35">
        <v>260.07</v>
      </c>
      <c r="R132" s="35"/>
      <c r="S132" s="35"/>
      <c r="T132" s="33" t="s">
        <v>58</v>
      </c>
      <c r="U132" s="33" t="s">
        <v>35</v>
      </c>
      <c r="V132" s="33" t="s">
        <v>31</v>
      </c>
      <c r="W132" s="33" t="s">
        <v>54</v>
      </c>
      <c r="X132" s="33" t="s">
        <v>36</v>
      </c>
      <c r="Y132" s="33" t="s">
        <v>154</v>
      </c>
      <c r="Z132" s="33" t="s">
        <v>31</v>
      </c>
      <c r="AA132" s="33" t="s">
        <v>31</v>
      </c>
      <c r="AB132" s="33" t="s">
        <v>31</v>
      </c>
      <c r="AC132" s="34">
        <v>45736</v>
      </c>
      <c r="AD132" s="34"/>
      <c r="AE132" s="33" t="s">
        <v>31</v>
      </c>
      <c r="AF132" s="19"/>
      <c r="AG132">
        <f>VLOOKUP(I132,'Customer Data'!$B$2:$F$149,4,0)</f>
        <v>2.94</v>
      </c>
    </row>
    <row r="133" spans="1:33" hidden="1" x14ac:dyDescent="0.35">
      <c r="A133" s="32">
        <v>100222345</v>
      </c>
      <c r="B133" s="33" t="s">
        <v>29</v>
      </c>
      <c r="C133" s="34">
        <v>45736</v>
      </c>
      <c r="D133" s="32">
        <v>1800004357</v>
      </c>
      <c r="E133" s="33" t="s">
        <v>57</v>
      </c>
      <c r="F133" s="34">
        <v>45736</v>
      </c>
      <c r="G133" s="34">
        <v>45737</v>
      </c>
      <c r="H133" s="33" t="s">
        <v>54</v>
      </c>
      <c r="I133" s="37">
        <v>246779414225</v>
      </c>
      <c r="J133" s="33" t="s">
        <v>32</v>
      </c>
      <c r="K133" s="33" t="s">
        <v>33</v>
      </c>
      <c r="L133" s="33" t="s">
        <v>31</v>
      </c>
      <c r="M133" s="33" t="s">
        <v>52</v>
      </c>
      <c r="N133" s="33" t="s">
        <v>45</v>
      </c>
      <c r="O133" s="35">
        <v>13.5</v>
      </c>
      <c r="P133" s="33" t="s">
        <v>34</v>
      </c>
      <c r="Q133" s="35">
        <v>1170.33</v>
      </c>
      <c r="R133" s="35"/>
      <c r="S133" s="35"/>
      <c r="T133" s="33" t="s">
        <v>58</v>
      </c>
      <c r="U133" s="33" t="s">
        <v>35</v>
      </c>
      <c r="V133" s="33" t="s">
        <v>31</v>
      </c>
      <c r="W133" s="33" t="s">
        <v>54</v>
      </c>
      <c r="X133" s="33" t="s">
        <v>36</v>
      </c>
      <c r="Y133" s="33" t="s">
        <v>155</v>
      </c>
      <c r="Z133" s="33" t="s">
        <v>31</v>
      </c>
      <c r="AA133" s="33" t="s">
        <v>31</v>
      </c>
      <c r="AB133" s="33" t="s">
        <v>31</v>
      </c>
      <c r="AC133" s="34">
        <v>45736</v>
      </c>
      <c r="AD133" s="34"/>
      <c r="AE133" s="33" t="s">
        <v>31</v>
      </c>
      <c r="AF133" s="19"/>
      <c r="AG133">
        <f>VLOOKUP(I133,'Customer Data'!$B$2:$F$149,4,0)</f>
        <v>13.23</v>
      </c>
    </row>
    <row r="134" spans="1:33" hidden="1" x14ac:dyDescent="0.35">
      <c r="A134" s="32">
        <v>100222345</v>
      </c>
      <c r="B134" s="33" t="s">
        <v>29</v>
      </c>
      <c r="C134" s="34">
        <v>45736</v>
      </c>
      <c r="D134" s="32">
        <v>1800004532</v>
      </c>
      <c r="E134" s="33" t="s">
        <v>57</v>
      </c>
      <c r="F134" s="34">
        <v>45736</v>
      </c>
      <c r="G134" s="34">
        <v>45737</v>
      </c>
      <c r="H134" s="33" t="s">
        <v>54</v>
      </c>
      <c r="I134" s="37">
        <v>246779414400</v>
      </c>
      <c r="J134" s="33" t="s">
        <v>32</v>
      </c>
      <c r="K134" s="33" t="s">
        <v>33</v>
      </c>
      <c r="L134" s="33" t="s">
        <v>31</v>
      </c>
      <c r="M134" s="33" t="s">
        <v>52</v>
      </c>
      <c r="N134" s="33" t="s">
        <v>45</v>
      </c>
      <c r="O134" s="35">
        <v>80.95</v>
      </c>
      <c r="P134" s="33" t="s">
        <v>34</v>
      </c>
      <c r="Q134" s="35">
        <v>7017.66</v>
      </c>
      <c r="R134" s="35"/>
      <c r="S134" s="35"/>
      <c r="T134" s="33" t="s">
        <v>58</v>
      </c>
      <c r="U134" s="33" t="s">
        <v>35</v>
      </c>
      <c r="V134" s="33" t="s">
        <v>31</v>
      </c>
      <c r="W134" s="33" t="s">
        <v>54</v>
      </c>
      <c r="X134" s="33" t="s">
        <v>36</v>
      </c>
      <c r="Y134" s="33" t="s">
        <v>80</v>
      </c>
      <c r="Z134" s="33" t="s">
        <v>31</v>
      </c>
      <c r="AA134" s="33" t="s">
        <v>31</v>
      </c>
      <c r="AB134" s="33" t="s">
        <v>31</v>
      </c>
      <c r="AC134" s="34">
        <v>45736</v>
      </c>
      <c r="AD134" s="34"/>
      <c r="AE134" s="33" t="s">
        <v>31</v>
      </c>
      <c r="AF134" s="19"/>
      <c r="AG134" t="e">
        <f>VLOOKUP(I134,'Customer Data'!$B$2:$F$149,4,0)</f>
        <v>#N/A</v>
      </c>
    </row>
    <row r="135" spans="1:33" hidden="1" x14ac:dyDescent="0.35">
      <c r="A135" s="32">
        <v>100222345</v>
      </c>
      <c r="B135" s="33" t="s">
        <v>29</v>
      </c>
      <c r="C135" s="34">
        <v>45736</v>
      </c>
      <c r="D135" s="32">
        <v>1800004533</v>
      </c>
      <c r="E135" s="33" t="s">
        <v>57</v>
      </c>
      <c r="F135" s="34">
        <v>45736</v>
      </c>
      <c r="G135" s="34">
        <v>45737</v>
      </c>
      <c r="H135" s="33" t="s">
        <v>54</v>
      </c>
      <c r="I135" s="37">
        <v>246779414401</v>
      </c>
      <c r="J135" s="33" t="s">
        <v>32</v>
      </c>
      <c r="K135" s="33" t="s">
        <v>33</v>
      </c>
      <c r="L135" s="33" t="s">
        <v>31</v>
      </c>
      <c r="M135" s="33" t="s">
        <v>52</v>
      </c>
      <c r="N135" s="33" t="s">
        <v>45</v>
      </c>
      <c r="O135" s="35">
        <v>15</v>
      </c>
      <c r="P135" s="33" t="s">
        <v>34</v>
      </c>
      <c r="Q135" s="35">
        <v>1300.3699999999999</v>
      </c>
      <c r="R135" s="35"/>
      <c r="S135" s="35"/>
      <c r="T135" s="33" t="s">
        <v>58</v>
      </c>
      <c r="U135" s="33" t="s">
        <v>35</v>
      </c>
      <c r="V135" s="33" t="s">
        <v>31</v>
      </c>
      <c r="W135" s="33" t="s">
        <v>54</v>
      </c>
      <c r="X135" s="33" t="s">
        <v>36</v>
      </c>
      <c r="Y135" s="33" t="s">
        <v>156</v>
      </c>
      <c r="Z135" s="33" t="s">
        <v>31</v>
      </c>
      <c r="AA135" s="33" t="s">
        <v>31</v>
      </c>
      <c r="AB135" s="33" t="s">
        <v>31</v>
      </c>
      <c r="AC135" s="34">
        <v>45736</v>
      </c>
      <c r="AD135" s="34"/>
      <c r="AE135" s="33" t="s">
        <v>31</v>
      </c>
      <c r="AF135" s="19"/>
      <c r="AG135" t="e">
        <f>VLOOKUP(I135,'Customer Data'!$B$2:$F$149,4,0)</f>
        <v>#N/A</v>
      </c>
    </row>
    <row r="136" spans="1:33" hidden="1" x14ac:dyDescent="0.35">
      <c r="A136" s="32">
        <v>100222345</v>
      </c>
      <c r="B136" s="33" t="s">
        <v>29</v>
      </c>
      <c r="C136" s="34">
        <v>45736</v>
      </c>
      <c r="D136" s="32">
        <v>1800004870</v>
      </c>
      <c r="E136" s="33" t="s">
        <v>57</v>
      </c>
      <c r="F136" s="34">
        <v>45736</v>
      </c>
      <c r="G136" s="34">
        <v>45737</v>
      </c>
      <c r="H136" s="33" t="s">
        <v>54</v>
      </c>
      <c r="I136" s="37">
        <v>246779414738</v>
      </c>
      <c r="J136" s="33" t="s">
        <v>32</v>
      </c>
      <c r="K136" s="33" t="s">
        <v>33</v>
      </c>
      <c r="L136" s="33" t="s">
        <v>31</v>
      </c>
      <c r="M136" s="33" t="s">
        <v>52</v>
      </c>
      <c r="N136" s="33" t="s">
        <v>45</v>
      </c>
      <c r="O136" s="35">
        <v>2.25</v>
      </c>
      <c r="P136" s="33" t="s">
        <v>34</v>
      </c>
      <c r="Q136" s="35">
        <v>195.06</v>
      </c>
      <c r="R136" s="35"/>
      <c r="S136" s="35"/>
      <c r="T136" s="33" t="s">
        <v>58</v>
      </c>
      <c r="U136" s="33" t="s">
        <v>35</v>
      </c>
      <c r="V136" s="33" t="s">
        <v>31</v>
      </c>
      <c r="W136" s="33" t="s">
        <v>54</v>
      </c>
      <c r="X136" s="33" t="s">
        <v>36</v>
      </c>
      <c r="Y136" s="33" t="s">
        <v>157</v>
      </c>
      <c r="Z136" s="33" t="s">
        <v>31</v>
      </c>
      <c r="AA136" s="33" t="s">
        <v>31</v>
      </c>
      <c r="AB136" s="33" t="s">
        <v>31</v>
      </c>
      <c r="AC136" s="34">
        <v>45736</v>
      </c>
      <c r="AD136" s="34"/>
      <c r="AE136" s="33" t="s">
        <v>31</v>
      </c>
      <c r="AF136" s="19"/>
      <c r="AG136">
        <f>VLOOKUP(I136,'Customer Data'!$B$2:$F$149,4,0)</f>
        <v>2.2000000000000002</v>
      </c>
    </row>
    <row r="137" spans="1:33" hidden="1" x14ac:dyDescent="0.35">
      <c r="A137" s="32">
        <v>100222345</v>
      </c>
      <c r="B137" s="33" t="s">
        <v>29</v>
      </c>
      <c r="C137" s="34">
        <v>45736</v>
      </c>
      <c r="D137" s="32">
        <v>1800004871</v>
      </c>
      <c r="E137" s="33" t="s">
        <v>57</v>
      </c>
      <c r="F137" s="34">
        <v>45736</v>
      </c>
      <c r="G137" s="34">
        <v>45737</v>
      </c>
      <c r="H137" s="33" t="s">
        <v>54</v>
      </c>
      <c r="I137" s="37">
        <v>246779414739</v>
      </c>
      <c r="J137" s="33" t="s">
        <v>32</v>
      </c>
      <c r="K137" s="33" t="s">
        <v>33</v>
      </c>
      <c r="L137" s="33" t="s">
        <v>31</v>
      </c>
      <c r="M137" s="33" t="s">
        <v>52</v>
      </c>
      <c r="N137" s="33" t="s">
        <v>45</v>
      </c>
      <c r="O137" s="35">
        <v>0.75</v>
      </c>
      <c r="P137" s="33" t="s">
        <v>34</v>
      </c>
      <c r="Q137" s="35">
        <v>65.02</v>
      </c>
      <c r="R137" s="35"/>
      <c r="S137" s="35"/>
      <c r="T137" s="33" t="s">
        <v>58</v>
      </c>
      <c r="U137" s="33" t="s">
        <v>35</v>
      </c>
      <c r="V137" s="33" t="s">
        <v>31</v>
      </c>
      <c r="W137" s="33" t="s">
        <v>54</v>
      </c>
      <c r="X137" s="33" t="s">
        <v>36</v>
      </c>
      <c r="Y137" s="33" t="s">
        <v>158</v>
      </c>
      <c r="Z137" s="33" t="s">
        <v>31</v>
      </c>
      <c r="AA137" s="33" t="s">
        <v>31</v>
      </c>
      <c r="AB137" s="33" t="s">
        <v>31</v>
      </c>
      <c r="AC137" s="34">
        <v>45736</v>
      </c>
      <c r="AD137" s="34"/>
      <c r="AE137" s="33" t="s">
        <v>31</v>
      </c>
      <c r="AF137" s="19"/>
      <c r="AG137">
        <f>VLOOKUP(I137,'Customer Data'!$B$2:$F$149,4,0)</f>
        <v>0.73</v>
      </c>
    </row>
    <row r="138" spans="1:33" hidden="1" x14ac:dyDescent="0.35">
      <c r="A138" s="32">
        <v>100222345</v>
      </c>
      <c r="B138" s="33" t="s">
        <v>29</v>
      </c>
      <c r="C138" s="34">
        <v>45736</v>
      </c>
      <c r="D138" s="32">
        <v>1800004926</v>
      </c>
      <c r="E138" s="33" t="s">
        <v>57</v>
      </c>
      <c r="F138" s="34">
        <v>45736</v>
      </c>
      <c r="G138" s="34">
        <v>45737</v>
      </c>
      <c r="H138" s="33" t="s">
        <v>54</v>
      </c>
      <c r="I138" s="37">
        <v>246779414794</v>
      </c>
      <c r="J138" s="33" t="s">
        <v>32</v>
      </c>
      <c r="K138" s="33" t="s">
        <v>33</v>
      </c>
      <c r="L138" s="33" t="s">
        <v>31</v>
      </c>
      <c r="M138" s="33" t="s">
        <v>52</v>
      </c>
      <c r="N138" s="33" t="s">
        <v>45</v>
      </c>
      <c r="O138" s="35">
        <v>2.25</v>
      </c>
      <c r="P138" s="33" t="s">
        <v>34</v>
      </c>
      <c r="Q138" s="35">
        <v>195.06</v>
      </c>
      <c r="R138" s="35"/>
      <c r="S138" s="35"/>
      <c r="T138" s="33" t="s">
        <v>58</v>
      </c>
      <c r="U138" s="33" t="s">
        <v>35</v>
      </c>
      <c r="V138" s="33" t="s">
        <v>31</v>
      </c>
      <c r="W138" s="33" t="s">
        <v>54</v>
      </c>
      <c r="X138" s="33" t="s">
        <v>36</v>
      </c>
      <c r="Y138" s="33" t="s">
        <v>154</v>
      </c>
      <c r="Z138" s="33" t="s">
        <v>31</v>
      </c>
      <c r="AA138" s="33" t="s">
        <v>31</v>
      </c>
      <c r="AB138" s="33" t="s">
        <v>31</v>
      </c>
      <c r="AC138" s="34">
        <v>45736</v>
      </c>
      <c r="AD138" s="34"/>
      <c r="AE138" s="33" t="s">
        <v>31</v>
      </c>
      <c r="AF138" s="19"/>
      <c r="AG138">
        <f>VLOOKUP(I138,'Customer Data'!$B$2:$F$149,4,0)</f>
        <v>2.2000000000000002</v>
      </c>
    </row>
    <row r="139" spans="1:33" hidden="1" x14ac:dyDescent="0.35">
      <c r="A139" s="32">
        <v>100222345</v>
      </c>
      <c r="B139" s="33" t="s">
        <v>29</v>
      </c>
      <c r="C139" s="34">
        <v>45736</v>
      </c>
      <c r="D139" s="32">
        <v>1800004927</v>
      </c>
      <c r="E139" s="33" t="s">
        <v>57</v>
      </c>
      <c r="F139" s="34">
        <v>45736</v>
      </c>
      <c r="G139" s="34">
        <v>45737</v>
      </c>
      <c r="H139" s="33" t="s">
        <v>54</v>
      </c>
      <c r="I139" s="37">
        <v>246779414795</v>
      </c>
      <c r="J139" s="33" t="s">
        <v>32</v>
      </c>
      <c r="K139" s="33" t="s">
        <v>33</v>
      </c>
      <c r="L139" s="33" t="s">
        <v>31</v>
      </c>
      <c r="M139" s="33" t="s">
        <v>52</v>
      </c>
      <c r="N139" s="33" t="s">
        <v>45</v>
      </c>
      <c r="O139" s="35">
        <v>0.75</v>
      </c>
      <c r="P139" s="33" t="s">
        <v>34</v>
      </c>
      <c r="Q139" s="35">
        <v>65.02</v>
      </c>
      <c r="R139" s="35"/>
      <c r="S139" s="35"/>
      <c r="T139" s="33" t="s">
        <v>58</v>
      </c>
      <c r="U139" s="33" t="s">
        <v>35</v>
      </c>
      <c r="V139" s="33" t="s">
        <v>31</v>
      </c>
      <c r="W139" s="33" t="s">
        <v>54</v>
      </c>
      <c r="X139" s="33" t="s">
        <v>36</v>
      </c>
      <c r="Y139" s="33" t="s">
        <v>159</v>
      </c>
      <c r="Z139" s="33" t="s">
        <v>31</v>
      </c>
      <c r="AA139" s="33" t="s">
        <v>31</v>
      </c>
      <c r="AB139" s="33" t="s">
        <v>31</v>
      </c>
      <c r="AC139" s="34">
        <v>45736</v>
      </c>
      <c r="AD139" s="34"/>
      <c r="AE139" s="33" t="s">
        <v>31</v>
      </c>
      <c r="AF139" s="19"/>
      <c r="AG139">
        <f>VLOOKUP(I139,'Customer Data'!$B$2:$F$149,4,0)</f>
        <v>0.73</v>
      </c>
    </row>
    <row r="140" spans="1:33" hidden="1" x14ac:dyDescent="0.35">
      <c r="A140" s="32">
        <v>100222345</v>
      </c>
      <c r="B140" s="33" t="s">
        <v>29</v>
      </c>
      <c r="C140" s="34">
        <v>45736</v>
      </c>
      <c r="D140" s="32">
        <v>1800004739</v>
      </c>
      <c r="E140" s="33" t="s">
        <v>57</v>
      </c>
      <c r="F140" s="34">
        <v>45736</v>
      </c>
      <c r="G140" s="34">
        <v>45737</v>
      </c>
      <c r="H140" s="33" t="s">
        <v>54</v>
      </c>
      <c r="I140" s="37">
        <v>246779414607</v>
      </c>
      <c r="J140" s="33" t="s">
        <v>32</v>
      </c>
      <c r="K140" s="33" t="s">
        <v>33</v>
      </c>
      <c r="L140" s="33" t="s">
        <v>31</v>
      </c>
      <c r="M140" s="33" t="s">
        <v>52</v>
      </c>
      <c r="N140" s="33" t="s">
        <v>45</v>
      </c>
      <c r="O140" s="35">
        <v>2.25</v>
      </c>
      <c r="P140" s="33" t="s">
        <v>34</v>
      </c>
      <c r="Q140" s="35">
        <v>195.06</v>
      </c>
      <c r="R140" s="35"/>
      <c r="S140" s="35"/>
      <c r="T140" s="33" t="s">
        <v>58</v>
      </c>
      <c r="U140" s="33" t="s">
        <v>35</v>
      </c>
      <c r="V140" s="33" t="s">
        <v>31</v>
      </c>
      <c r="W140" s="33" t="s">
        <v>54</v>
      </c>
      <c r="X140" s="33" t="s">
        <v>36</v>
      </c>
      <c r="Y140" s="33" t="s">
        <v>160</v>
      </c>
      <c r="Z140" s="33" t="s">
        <v>31</v>
      </c>
      <c r="AA140" s="33" t="s">
        <v>31</v>
      </c>
      <c r="AB140" s="33" t="s">
        <v>31</v>
      </c>
      <c r="AC140" s="34">
        <v>45736</v>
      </c>
      <c r="AD140" s="34"/>
      <c r="AE140" s="33" t="s">
        <v>31</v>
      </c>
      <c r="AF140" s="19"/>
      <c r="AG140">
        <f>VLOOKUP(I140,'Customer Data'!$B$2:$F$149,4,0)</f>
        <v>2.2000000000000002</v>
      </c>
    </row>
    <row r="141" spans="1:33" hidden="1" x14ac:dyDescent="0.35">
      <c r="A141" s="32">
        <v>100222345</v>
      </c>
      <c r="B141" s="33" t="s">
        <v>29</v>
      </c>
      <c r="C141" s="34">
        <v>45736</v>
      </c>
      <c r="D141" s="32">
        <v>1800004817</v>
      </c>
      <c r="E141" s="33" t="s">
        <v>57</v>
      </c>
      <c r="F141" s="34">
        <v>45736</v>
      </c>
      <c r="G141" s="34">
        <v>45737</v>
      </c>
      <c r="H141" s="33" t="s">
        <v>54</v>
      </c>
      <c r="I141" s="37">
        <v>246779414685</v>
      </c>
      <c r="J141" s="33" t="s">
        <v>32</v>
      </c>
      <c r="K141" s="33" t="s">
        <v>33</v>
      </c>
      <c r="L141" s="33" t="s">
        <v>31</v>
      </c>
      <c r="M141" s="33" t="s">
        <v>52</v>
      </c>
      <c r="N141" s="33" t="s">
        <v>45</v>
      </c>
      <c r="O141" s="35">
        <v>42.93</v>
      </c>
      <c r="P141" s="33" t="s">
        <v>34</v>
      </c>
      <c r="Q141" s="35">
        <v>3721.66</v>
      </c>
      <c r="R141" s="35"/>
      <c r="S141" s="35"/>
      <c r="T141" s="33" t="s">
        <v>58</v>
      </c>
      <c r="U141" s="33" t="s">
        <v>35</v>
      </c>
      <c r="V141" s="33" t="s">
        <v>31</v>
      </c>
      <c r="W141" s="33" t="s">
        <v>54</v>
      </c>
      <c r="X141" s="33" t="s">
        <v>36</v>
      </c>
      <c r="Y141" s="33" t="s">
        <v>161</v>
      </c>
      <c r="Z141" s="33" t="s">
        <v>31</v>
      </c>
      <c r="AA141" s="33" t="s">
        <v>31</v>
      </c>
      <c r="AB141" s="33" t="s">
        <v>31</v>
      </c>
      <c r="AC141" s="34">
        <v>45736</v>
      </c>
      <c r="AD141" s="34"/>
      <c r="AE141" s="33" t="s">
        <v>31</v>
      </c>
      <c r="AF141" s="19"/>
      <c r="AG141">
        <f>VLOOKUP(I141,'Customer Data'!$B$2:$F$149,4,0)</f>
        <v>42.07</v>
      </c>
    </row>
    <row r="142" spans="1:33" hidden="1" x14ac:dyDescent="0.35">
      <c r="A142" s="32">
        <v>100222345</v>
      </c>
      <c r="B142" s="33" t="s">
        <v>29</v>
      </c>
      <c r="C142" s="34">
        <v>45944</v>
      </c>
      <c r="D142" s="32">
        <v>1800013794</v>
      </c>
      <c r="E142" s="33" t="s">
        <v>57</v>
      </c>
      <c r="F142" s="34">
        <v>45944</v>
      </c>
      <c r="G142" s="34">
        <v>45945</v>
      </c>
      <c r="H142" s="33" t="s">
        <v>54</v>
      </c>
      <c r="I142" s="37">
        <v>256779418410</v>
      </c>
      <c r="J142" s="33" t="s">
        <v>32</v>
      </c>
      <c r="K142" s="33" t="s">
        <v>33</v>
      </c>
      <c r="L142" s="33" t="s">
        <v>31</v>
      </c>
      <c r="M142" s="33" t="s">
        <v>52</v>
      </c>
      <c r="N142" s="33" t="s">
        <v>45</v>
      </c>
      <c r="O142" s="35">
        <v>480.02</v>
      </c>
      <c r="P142" s="33" t="s">
        <v>34</v>
      </c>
      <c r="Q142" s="35">
        <v>42333.33</v>
      </c>
      <c r="R142" s="35"/>
      <c r="S142" s="35"/>
      <c r="T142" s="33" t="s">
        <v>58</v>
      </c>
      <c r="U142" s="33" t="s">
        <v>35</v>
      </c>
      <c r="V142" s="33" t="s">
        <v>31</v>
      </c>
      <c r="W142" s="33" t="s">
        <v>162</v>
      </c>
      <c r="X142" s="33" t="s">
        <v>36</v>
      </c>
      <c r="Y142" s="33" t="s">
        <v>163</v>
      </c>
      <c r="Z142" s="33" t="s">
        <v>31</v>
      </c>
      <c r="AA142" s="33" t="s">
        <v>31</v>
      </c>
      <c r="AB142" s="33" t="s">
        <v>31</v>
      </c>
      <c r="AC142" s="34">
        <v>45944</v>
      </c>
      <c r="AD142" s="34"/>
      <c r="AE142" s="33" t="s">
        <v>31</v>
      </c>
      <c r="AF142" s="19"/>
      <c r="AG142">
        <f>VLOOKUP(I142,'Customer Data'!$B$2:$F$149,4,0)</f>
        <v>432.01</v>
      </c>
    </row>
    <row r="143" spans="1:33" hidden="1" x14ac:dyDescent="0.35">
      <c r="A143" s="32">
        <v>100222345</v>
      </c>
      <c r="B143" s="33" t="s">
        <v>29</v>
      </c>
      <c r="C143" s="34">
        <v>45708</v>
      </c>
      <c r="D143" s="32">
        <v>1800000035</v>
      </c>
      <c r="E143" s="33" t="s">
        <v>57</v>
      </c>
      <c r="F143" s="34">
        <v>45708</v>
      </c>
      <c r="G143" s="34">
        <v>45708</v>
      </c>
      <c r="H143" s="33" t="s">
        <v>54</v>
      </c>
      <c r="I143" s="37">
        <v>246779410007</v>
      </c>
      <c r="J143" s="33" t="s">
        <v>32</v>
      </c>
      <c r="K143" s="33" t="s">
        <v>33</v>
      </c>
      <c r="L143" s="33" t="s">
        <v>31</v>
      </c>
      <c r="M143" s="33" t="s">
        <v>52</v>
      </c>
      <c r="N143" s="33" t="s">
        <v>45</v>
      </c>
      <c r="O143" s="35">
        <v>1190.48</v>
      </c>
      <c r="P143" s="33" t="s">
        <v>34</v>
      </c>
      <c r="Q143" s="35">
        <v>102742.78</v>
      </c>
      <c r="R143" s="35"/>
      <c r="S143" s="35"/>
      <c r="T143" s="33" t="s">
        <v>58</v>
      </c>
      <c r="U143" s="33" t="s">
        <v>35</v>
      </c>
      <c r="V143" s="33" t="s">
        <v>31</v>
      </c>
      <c r="W143" s="33" t="s">
        <v>54</v>
      </c>
      <c r="X143" s="33" t="s">
        <v>36</v>
      </c>
      <c r="Y143" s="33" t="s">
        <v>164</v>
      </c>
      <c r="Z143" s="33" t="s">
        <v>31</v>
      </c>
      <c r="AA143" s="33" t="s">
        <v>31</v>
      </c>
      <c r="AB143" s="33" t="s">
        <v>31</v>
      </c>
      <c r="AC143" s="34">
        <v>45708</v>
      </c>
      <c r="AD143" s="34">
        <v>45862</v>
      </c>
      <c r="AE143" s="33" t="s">
        <v>47</v>
      </c>
      <c r="AF143" s="19"/>
      <c r="AG143">
        <f>VLOOKUP(I143,'Customer Data'!$B$2:$F$149,4,0)</f>
        <v>1071.43</v>
      </c>
    </row>
    <row r="144" spans="1:33" hidden="1" x14ac:dyDescent="0.35">
      <c r="A144" s="32">
        <v>100222345</v>
      </c>
      <c r="B144" s="33" t="s">
        <v>29</v>
      </c>
      <c r="C144" s="34">
        <v>45708</v>
      </c>
      <c r="D144" s="32">
        <v>1800000079</v>
      </c>
      <c r="E144" s="33" t="s">
        <v>57</v>
      </c>
      <c r="F144" s="34">
        <v>45708</v>
      </c>
      <c r="G144" s="34">
        <v>45709</v>
      </c>
      <c r="H144" s="33" t="s">
        <v>54</v>
      </c>
      <c r="I144" s="37">
        <v>246779410274</v>
      </c>
      <c r="J144" s="33" t="s">
        <v>32</v>
      </c>
      <c r="K144" s="33" t="s">
        <v>33</v>
      </c>
      <c r="L144" s="33" t="s">
        <v>31</v>
      </c>
      <c r="M144" s="33" t="s">
        <v>52</v>
      </c>
      <c r="N144" s="33" t="s">
        <v>45</v>
      </c>
      <c r="O144" s="35">
        <v>1190.48</v>
      </c>
      <c r="P144" s="33" t="s">
        <v>34</v>
      </c>
      <c r="Q144" s="35">
        <v>102742.78</v>
      </c>
      <c r="R144" s="35"/>
      <c r="S144" s="35"/>
      <c r="T144" s="33" t="s">
        <v>58</v>
      </c>
      <c r="U144" s="33" t="s">
        <v>35</v>
      </c>
      <c r="V144" s="33" t="s">
        <v>31</v>
      </c>
      <c r="W144" s="33" t="s">
        <v>54</v>
      </c>
      <c r="X144" s="33" t="s">
        <v>36</v>
      </c>
      <c r="Y144" s="33" t="s">
        <v>165</v>
      </c>
      <c r="Z144" s="33" t="s">
        <v>31</v>
      </c>
      <c r="AA144" s="33" t="s">
        <v>31</v>
      </c>
      <c r="AB144" s="33" t="s">
        <v>31</v>
      </c>
      <c r="AC144" s="34">
        <v>45708</v>
      </c>
      <c r="AD144" s="34">
        <v>45862</v>
      </c>
      <c r="AE144" s="33" t="s">
        <v>47</v>
      </c>
      <c r="AF144" s="19"/>
      <c r="AG144">
        <f>VLOOKUP(I144,'Customer Data'!$B$2:$F$149,4,0)</f>
        <v>1071.43</v>
      </c>
    </row>
    <row r="145" spans="1:33" hidden="1" x14ac:dyDescent="0.35">
      <c r="A145" s="32">
        <v>100222345</v>
      </c>
      <c r="B145" s="33" t="s">
        <v>29</v>
      </c>
      <c r="C145" s="34">
        <v>45708</v>
      </c>
      <c r="D145" s="32">
        <v>1800000099</v>
      </c>
      <c r="E145" s="33" t="s">
        <v>57</v>
      </c>
      <c r="F145" s="34">
        <v>45708</v>
      </c>
      <c r="G145" s="34">
        <v>45708</v>
      </c>
      <c r="H145" s="33" t="s">
        <v>54</v>
      </c>
      <c r="I145" s="37">
        <v>246779410027</v>
      </c>
      <c r="J145" s="33" t="s">
        <v>32</v>
      </c>
      <c r="K145" s="33" t="s">
        <v>33</v>
      </c>
      <c r="L145" s="33" t="s">
        <v>31</v>
      </c>
      <c r="M145" s="33" t="s">
        <v>52</v>
      </c>
      <c r="N145" s="33" t="s">
        <v>45</v>
      </c>
      <c r="O145" s="35">
        <v>1190.48</v>
      </c>
      <c r="P145" s="33" t="s">
        <v>34</v>
      </c>
      <c r="Q145" s="35">
        <v>102742.78</v>
      </c>
      <c r="R145" s="35"/>
      <c r="S145" s="35"/>
      <c r="T145" s="33" t="s">
        <v>58</v>
      </c>
      <c r="U145" s="33" t="s">
        <v>35</v>
      </c>
      <c r="V145" s="33" t="s">
        <v>31</v>
      </c>
      <c r="W145" s="33" t="s">
        <v>54</v>
      </c>
      <c r="X145" s="33" t="s">
        <v>36</v>
      </c>
      <c r="Y145" s="33" t="s">
        <v>166</v>
      </c>
      <c r="Z145" s="33" t="s">
        <v>31</v>
      </c>
      <c r="AA145" s="33" t="s">
        <v>31</v>
      </c>
      <c r="AB145" s="33" t="s">
        <v>31</v>
      </c>
      <c r="AC145" s="34">
        <v>45708</v>
      </c>
      <c r="AD145" s="34">
        <v>45862</v>
      </c>
      <c r="AE145" s="33" t="s">
        <v>47</v>
      </c>
      <c r="AF145" s="19"/>
      <c r="AG145">
        <f>VLOOKUP(I145,'Customer Data'!$B$2:$F$149,4,0)</f>
        <v>1071.43</v>
      </c>
    </row>
    <row r="146" spans="1:33" hidden="1" x14ac:dyDescent="0.35">
      <c r="A146" s="32">
        <v>100222345</v>
      </c>
      <c r="B146" s="33" t="s">
        <v>29</v>
      </c>
      <c r="C146" s="34">
        <v>45708</v>
      </c>
      <c r="D146" s="32">
        <v>1800000168</v>
      </c>
      <c r="E146" s="33" t="s">
        <v>57</v>
      </c>
      <c r="F146" s="34">
        <v>45708</v>
      </c>
      <c r="G146" s="34">
        <v>45708</v>
      </c>
      <c r="H146" s="33" t="s">
        <v>54</v>
      </c>
      <c r="I146" s="37">
        <v>246779410095</v>
      </c>
      <c r="J146" s="33" t="s">
        <v>32</v>
      </c>
      <c r="K146" s="33" t="s">
        <v>33</v>
      </c>
      <c r="L146" s="33" t="s">
        <v>31</v>
      </c>
      <c r="M146" s="33" t="s">
        <v>52</v>
      </c>
      <c r="N146" s="33" t="s">
        <v>45</v>
      </c>
      <c r="O146" s="35">
        <v>1190.48</v>
      </c>
      <c r="P146" s="33" t="s">
        <v>34</v>
      </c>
      <c r="Q146" s="35">
        <v>102742.78</v>
      </c>
      <c r="R146" s="35"/>
      <c r="S146" s="35"/>
      <c r="T146" s="33" t="s">
        <v>58</v>
      </c>
      <c r="U146" s="33" t="s">
        <v>35</v>
      </c>
      <c r="V146" s="33" t="s">
        <v>31</v>
      </c>
      <c r="W146" s="33" t="s">
        <v>54</v>
      </c>
      <c r="X146" s="33" t="s">
        <v>36</v>
      </c>
      <c r="Y146" s="33" t="s">
        <v>167</v>
      </c>
      <c r="Z146" s="33" t="s">
        <v>31</v>
      </c>
      <c r="AA146" s="33" t="s">
        <v>31</v>
      </c>
      <c r="AB146" s="33" t="s">
        <v>31</v>
      </c>
      <c r="AC146" s="34">
        <v>45708</v>
      </c>
      <c r="AD146" s="34">
        <v>45862</v>
      </c>
      <c r="AE146" s="33" t="s">
        <v>47</v>
      </c>
      <c r="AF146" s="19"/>
      <c r="AG146">
        <f>VLOOKUP(I146,'Customer Data'!$B$2:$F$149,4,0)</f>
        <v>1071.43</v>
      </c>
    </row>
    <row r="147" spans="1:33" hidden="1" x14ac:dyDescent="0.35">
      <c r="A147" s="32">
        <v>100222345</v>
      </c>
      <c r="B147" s="33" t="s">
        <v>29</v>
      </c>
      <c r="C147" s="34">
        <v>45708</v>
      </c>
      <c r="D147" s="32">
        <v>1800000211</v>
      </c>
      <c r="E147" s="33" t="s">
        <v>57</v>
      </c>
      <c r="F147" s="34">
        <v>45708</v>
      </c>
      <c r="G147" s="34">
        <v>45708</v>
      </c>
      <c r="H147" s="33" t="s">
        <v>54</v>
      </c>
      <c r="I147" s="37">
        <v>246779410138</v>
      </c>
      <c r="J147" s="33" t="s">
        <v>32</v>
      </c>
      <c r="K147" s="33" t="s">
        <v>33</v>
      </c>
      <c r="L147" s="33" t="s">
        <v>31</v>
      </c>
      <c r="M147" s="33" t="s">
        <v>52</v>
      </c>
      <c r="N147" s="33" t="s">
        <v>45</v>
      </c>
      <c r="O147" s="35">
        <v>1190.48</v>
      </c>
      <c r="P147" s="33" t="s">
        <v>34</v>
      </c>
      <c r="Q147" s="35">
        <v>102742.78</v>
      </c>
      <c r="R147" s="35"/>
      <c r="S147" s="35"/>
      <c r="T147" s="33" t="s">
        <v>58</v>
      </c>
      <c r="U147" s="33" t="s">
        <v>35</v>
      </c>
      <c r="V147" s="33" t="s">
        <v>31</v>
      </c>
      <c r="W147" s="33" t="s">
        <v>54</v>
      </c>
      <c r="X147" s="33" t="s">
        <v>36</v>
      </c>
      <c r="Y147" s="33" t="s">
        <v>168</v>
      </c>
      <c r="Z147" s="33" t="s">
        <v>31</v>
      </c>
      <c r="AA147" s="33" t="s">
        <v>31</v>
      </c>
      <c r="AB147" s="33" t="s">
        <v>31</v>
      </c>
      <c r="AC147" s="34">
        <v>45708</v>
      </c>
      <c r="AD147" s="34">
        <v>45862</v>
      </c>
      <c r="AE147" s="33" t="s">
        <v>47</v>
      </c>
      <c r="AF147" s="19"/>
      <c r="AG147">
        <f>VLOOKUP(I147,'Customer Data'!$B$2:$F$149,4,0)</f>
        <v>1071.43</v>
      </c>
    </row>
    <row r="148" spans="1:33" hidden="1" x14ac:dyDescent="0.35">
      <c r="A148" s="32">
        <v>100222345</v>
      </c>
      <c r="B148" s="33" t="s">
        <v>29</v>
      </c>
      <c r="C148" s="34">
        <v>45708</v>
      </c>
      <c r="D148" s="32">
        <v>1800000254</v>
      </c>
      <c r="E148" s="33" t="s">
        <v>57</v>
      </c>
      <c r="F148" s="34">
        <v>45708</v>
      </c>
      <c r="G148" s="34">
        <v>45708</v>
      </c>
      <c r="H148" s="33" t="s">
        <v>54</v>
      </c>
      <c r="I148" s="37">
        <v>246779410181</v>
      </c>
      <c r="J148" s="33" t="s">
        <v>32</v>
      </c>
      <c r="K148" s="33" t="s">
        <v>33</v>
      </c>
      <c r="L148" s="33" t="s">
        <v>31</v>
      </c>
      <c r="M148" s="33" t="s">
        <v>52</v>
      </c>
      <c r="N148" s="33" t="s">
        <v>45</v>
      </c>
      <c r="O148" s="35">
        <v>1166.5899999999999</v>
      </c>
      <c r="P148" s="33" t="s">
        <v>34</v>
      </c>
      <c r="Q148" s="35">
        <v>100680.99</v>
      </c>
      <c r="R148" s="35"/>
      <c r="S148" s="35"/>
      <c r="T148" s="33" t="s">
        <v>58</v>
      </c>
      <c r="U148" s="33" t="s">
        <v>35</v>
      </c>
      <c r="V148" s="33" t="s">
        <v>31</v>
      </c>
      <c r="W148" s="33" t="s">
        <v>54</v>
      </c>
      <c r="X148" s="33" t="s">
        <v>36</v>
      </c>
      <c r="Y148" s="33" t="s">
        <v>169</v>
      </c>
      <c r="Z148" s="33" t="s">
        <v>31</v>
      </c>
      <c r="AA148" s="33" t="s">
        <v>31</v>
      </c>
      <c r="AB148" s="33" t="s">
        <v>31</v>
      </c>
      <c r="AC148" s="34">
        <v>45708</v>
      </c>
      <c r="AD148" s="34">
        <v>45862</v>
      </c>
      <c r="AE148" s="33" t="s">
        <v>47</v>
      </c>
      <c r="AF148" s="19"/>
      <c r="AG148">
        <f>VLOOKUP(I148,'Customer Data'!$B$2:$F$149,4,0)</f>
        <v>1049.9299999999998</v>
      </c>
    </row>
    <row r="149" spans="1:33" hidden="1" x14ac:dyDescent="0.35">
      <c r="A149" s="32">
        <v>100222345</v>
      </c>
      <c r="B149" s="33" t="s">
        <v>29</v>
      </c>
      <c r="C149" s="34">
        <v>45708</v>
      </c>
      <c r="D149" s="32">
        <v>1800000297</v>
      </c>
      <c r="E149" s="33" t="s">
        <v>57</v>
      </c>
      <c r="F149" s="34">
        <v>45708</v>
      </c>
      <c r="G149" s="34">
        <v>45708</v>
      </c>
      <c r="H149" s="33" t="s">
        <v>54</v>
      </c>
      <c r="I149" s="37">
        <v>246779410224</v>
      </c>
      <c r="J149" s="33" t="s">
        <v>32</v>
      </c>
      <c r="K149" s="33" t="s">
        <v>33</v>
      </c>
      <c r="L149" s="33" t="s">
        <v>31</v>
      </c>
      <c r="M149" s="33" t="s">
        <v>52</v>
      </c>
      <c r="N149" s="33" t="s">
        <v>45</v>
      </c>
      <c r="O149" s="35">
        <v>1143.1199999999999</v>
      </c>
      <c r="P149" s="33" t="s">
        <v>34</v>
      </c>
      <c r="Q149" s="35">
        <v>98655.44</v>
      </c>
      <c r="R149" s="35"/>
      <c r="S149" s="35"/>
      <c r="T149" s="33" t="s">
        <v>58</v>
      </c>
      <c r="U149" s="33" t="s">
        <v>35</v>
      </c>
      <c r="V149" s="33" t="s">
        <v>31</v>
      </c>
      <c r="W149" s="33" t="s">
        <v>54</v>
      </c>
      <c r="X149" s="33" t="s">
        <v>36</v>
      </c>
      <c r="Y149" s="33" t="s">
        <v>170</v>
      </c>
      <c r="Z149" s="33" t="s">
        <v>31</v>
      </c>
      <c r="AA149" s="33" t="s">
        <v>31</v>
      </c>
      <c r="AB149" s="33" t="s">
        <v>31</v>
      </c>
      <c r="AC149" s="34">
        <v>45708</v>
      </c>
      <c r="AD149" s="34">
        <v>45862</v>
      </c>
      <c r="AE149" s="33" t="s">
        <v>47</v>
      </c>
      <c r="AF149" s="19"/>
      <c r="AG149">
        <f>VLOOKUP(I149,'Customer Data'!$B$2:$F$149,4,0)</f>
        <v>1028.81</v>
      </c>
    </row>
    <row r="150" spans="1:33" hidden="1" x14ac:dyDescent="0.35">
      <c r="A150" s="32">
        <v>100222345</v>
      </c>
      <c r="B150" s="33" t="s">
        <v>29</v>
      </c>
      <c r="C150" s="34">
        <v>45889</v>
      </c>
      <c r="D150" s="32">
        <v>1800012069</v>
      </c>
      <c r="E150" s="33" t="s">
        <v>57</v>
      </c>
      <c r="F150" s="34">
        <v>45889</v>
      </c>
      <c r="G150" s="34">
        <v>45891</v>
      </c>
      <c r="H150" s="33" t="s">
        <v>54</v>
      </c>
      <c r="I150" s="37">
        <v>256779416604</v>
      </c>
      <c r="J150" s="33" t="s">
        <v>32</v>
      </c>
      <c r="K150" s="33" t="s">
        <v>33</v>
      </c>
      <c r="L150" s="33" t="s">
        <v>31</v>
      </c>
      <c r="M150" s="33" t="s">
        <v>52</v>
      </c>
      <c r="N150" s="33" t="s">
        <v>45</v>
      </c>
      <c r="O150" s="35">
        <v>17.309999999999999</v>
      </c>
      <c r="P150" s="33" t="s">
        <v>34</v>
      </c>
      <c r="Q150" s="35">
        <v>1489.18</v>
      </c>
      <c r="R150" s="35"/>
      <c r="S150" s="35"/>
      <c r="T150" s="33" t="s">
        <v>58</v>
      </c>
      <c r="U150" s="33" t="s">
        <v>35</v>
      </c>
      <c r="V150" s="33" t="s">
        <v>31</v>
      </c>
      <c r="W150" s="33" t="s">
        <v>54</v>
      </c>
      <c r="X150" s="33" t="s">
        <v>36</v>
      </c>
      <c r="Y150" s="33" t="s">
        <v>171</v>
      </c>
      <c r="Z150" s="33" t="s">
        <v>31</v>
      </c>
      <c r="AA150" s="33" t="s">
        <v>31</v>
      </c>
      <c r="AB150" s="33" t="s">
        <v>31</v>
      </c>
      <c r="AC150" s="34">
        <v>45889</v>
      </c>
      <c r="AD150" s="34"/>
      <c r="AE150" s="33" t="s">
        <v>31</v>
      </c>
      <c r="AF150" s="19"/>
      <c r="AG150">
        <f>VLOOKUP(I150,'Customer Data'!$B$2:$F$149,4,0)</f>
        <v>16.959999999999997</v>
      </c>
    </row>
    <row r="151" spans="1:33" hidden="1" x14ac:dyDescent="0.35">
      <c r="A151" s="32">
        <v>100222345</v>
      </c>
      <c r="B151" s="33" t="s">
        <v>29</v>
      </c>
      <c r="C151" s="34">
        <v>45889</v>
      </c>
      <c r="D151" s="32">
        <v>1800012178</v>
      </c>
      <c r="E151" s="33" t="s">
        <v>57</v>
      </c>
      <c r="F151" s="34">
        <v>45889</v>
      </c>
      <c r="G151" s="34">
        <v>45891</v>
      </c>
      <c r="H151" s="33" t="s">
        <v>54</v>
      </c>
      <c r="I151" s="37">
        <v>256779416616</v>
      </c>
      <c r="J151" s="33" t="s">
        <v>32</v>
      </c>
      <c r="K151" s="33" t="s">
        <v>33</v>
      </c>
      <c r="L151" s="33" t="s">
        <v>31</v>
      </c>
      <c r="M151" s="33" t="s">
        <v>52</v>
      </c>
      <c r="N151" s="33" t="s">
        <v>45</v>
      </c>
      <c r="O151" s="35">
        <v>63.65</v>
      </c>
      <c r="P151" s="33" t="s">
        <v>34</v>
      </c>
      <c r="Q151" s="35">
        <v>5475.82</v>
      </c>
      <c r="R151" s="35"/>
      <c r="S151" s="35"/>
      <c r="T151" s="33" t="s">
        <v>58</v>
      </c>
      <c r="U151" s="33" t="s">
        <v>35</v>
      </c>
      <c r="V151" s="33" t="s">
        <v>31</v>
      </c>
      <c r="W151" s="33" t="s">
        <v>54</v>
      </c>
      <c r="X151" s="33" t="s">
        <v>36</v>
      </c>
      <c r="Y151" s="33" t="s">
        <v>172</v>
      </c>
      <c r="Z151" s="33" t="s">
        <v>31</v>
      </c>
      <c r="AA151" s="33" t="s">
        <v>31</v>
      </c>
      <c r="AB151" s="33" t="s">
        <v>31</v>
      </c>
      <c r="AC151" s="34">
        <v>45889</v>
      </c>
      <c r="AD151" s="34"/>
      <c r="AE151" s="33" t="s">
        <v>31</v>
      </c>
      <c r="AF151" s="19"/>
      <c r="AG151">
        <f>VLOOKUP(I151,'Customer Data'!$B$2:$F$149,4,0)</f>
        <v>62.379999999999995</v>
      </c>
    </row>
    <row r="152" spans="1:33" hidden="1" x14ac:dyDescent="0.35">
      <c r="A152" s="32">
        <v>100222345</v>
      </c>
      <c r="B152" s="33" t="s">
        <v>29</v>
      </c>
      <c r="C152" s="34">
        <v>45889</v>
      </c>
      <c r="D152" s="32">
        <v>1800012251</v>
      </c>
      <c r="E152" s="33" t="s">
        <v>57</v>
      </c>
      <c r="F152" s="34">
        <v>45889</v>
      </c>
      <c r="G152" s="34">
        <v>45891</v>
      </c>
      <c r="H152" s="33" t="s">
        <v>54</v>
      </c>
      <c r="I152" s="37">
        <v>256779416847</v>
      </c>
      <c r="J152" s="33" t="s">
        <v>32</v>
      </c>
      <c r="K152" s="33" t="s">
        <v>33</v>
      </c>
      <c r="L152" s="33" t="s">
        <v>31</v>
      </c>
      <c r="M152" s="33" t="s">
        <v>52</v>
      </c>
      <c r="N152" s="33" t="s">
        <v>45</v>
      </c>
      <c r="O152" s="35">
        <v>27.83</v>
      </c>
      <c r="P152" s="33" t="s">
        <v>34</v>
      </c>
      <c r="Q152" s="35">
        <v>2394.2199999999998</v>
      </c>
      <c r="R152" s="35"/>
      <c r="S152" s="35"/>
      <c r="T152" s="33" t="s">
        <v>58</v>
      </c>
      <c r="U152" s="33" t="s">
        <v>35</v>
      </c>
      <c r="V152" s="33" t="s">
        <v>31</v>
      </c>
      <c r="W152" s="33" t="s">
        <v>54</v>
      </c>
      <c r="X152" s="33" t="s">
        <v>36</v>
      </c>
      <c r="Y152" s="33" t="s">
        <v>173</v>
      </c>
      <c r="Z152" s="33" t="s">
        <v>31</v>
      </c>
      <c r="AA152" s="33" t="s">
        <v>31</v>
      </c>
      <c r="AB152" s="33" t="s">
        <v>31</v>
      </c>
      <c r="AC152" s="34">
        <v>45889</v>
      </c>
      <c r="AD152" s="34"/>
      <c r="AE152" s="33" t="s">
        <v>31</v>
      </c>
      <c r="AF152" s="19"/>
      <c r="AG152">
        <f>VLOOKUP(I152,'Customer Data'!$B$2:$F$149,4,0)</f>
        <v>27.27</v>
      </c>
    </row>
    <row r="153" spans="1:33" hidden="1" x14ac:dyDescent="0.35">
      <c r="A153" s="32">
        <v>100222345</v>
      </c>
      <c r="B153" s="33" t="s">
        <v>29</v>
      </c>
      <c r="C153" s="34">
        <v>45889</v>
      </c>
      <c r="D153" s="32">
        <v>1800012220</v>
      </c>
      <c r="E153" s="33" t="s">
        <v>57</v>
      </c>
      <c r="F153" s="34">
        <v>45889</v>
      </c>
      <c r="G153" s="34">
        <v>45891</v>
      </c>
      <c r="H153" s="33" t="s">
        <v>54</v>
      </c>
      <c r="I153" s="37">
        <v>256779416882</v>
      </c>
      <c r="J153" s="33" t="s">
        <v>32</v>
      </c>
      <c r="K153" s="33" t="s">
        <v>33</v>
      </c>
      <c r="L153" s="33" t="s">
        <v>31</v>
      </c>
      <c r="M153" s="33" t="s">
        <v>52</v>
      </c>
      <c r="N153" s="33" t="s">
        <v>45</v>
      </c>
      <c r="O153" s="35">
        <v>12.83</v>
      </c>
      <c r="P153" s="33" t="s">
        <v>34</v>
      </c>
      <c r="Q153" s="35">
        <v>1103.77</v>
      </c>
      <c r="R153" s="35"/>
      <c r="S153" s="35"/>
      <c r="T153" s="33" t="s">
        <v>58</v>
      </c>
      <c r="U153" s="33" t="s">
        <v>35</v>
      </c>
      <c r="V153" s="33" t="s">
        <v>31</v>
      </c>
      <c r="W153" s="33" t="s">
        <v>54</v>
      </c>
      <c r="X153" s="33" t="s">
        <v>36</v>
      </c>
      <c r="Y153" s="33" t="s">
        <v>174</v>
      </c>
      <c r="Z153" s="33" t="s">
        <v>31</v>
      </c>
      <c r="AA153" s="33" t="s">
        <v>31</v>
      </c>
      <c r="AB153" s="33" t="s">
        <v>31</v>
      </c>
      <c r="AC153" s="34">
        <v>45889</v>
      </c>
      <c r="AD153" s="34"/>
      <c r="AE153" s="33" t="s">
        <v>31</v>
      </c>
      <c r="AF153" s="19"/>
      <c r="AG153">
        <f>VLOOKUP(I153,'Customer Data'!$B$2:$F$149,4,0)</f>
        <v>12.57</v>
      </c>
    </row>
    <row r="154" spans="1:33" hidden="1" x14ac:dyDescent="0.35">
      <c r="A154" s="32">
        <v>100222345</v>
      </c>
      <c r="B154" s="33" t="s">
        <v>29</v>
      </c>
      <c r="C154" s="34">
        <v>45999</v>
      </c>
      <c r="D154" s="32">
        <v>1800015421</v>
      </c>
      <c r="E154" s="33" t="s">
        <v>57</v>
      </c>
      <c r="F154" s="34">
        <v>45999</v>
      </c>
      <c r="G154" s="34">
        <v>46000</v>
      </c>
      <c r="H154" s="33" t="s">
        <v>54</v>
      </c>
      <c r="I154" s="37">
        <v>256779419870</v>
      </c>
      <c r="J154" s="33" t="s">
        <v>32</v>
      </c>
      <c r="K154" s="33" t="s">
        <v>33</v>
      </c>
      <c r="L154" s="33" t="s">
        <v>31</v>
      </c>
      <c r="M154" s="33" t="s">
        <v>52</v>
      </c>
      <c r="N154" s="33" t="s">
        <v>45</v>
      </c>
      <c r="O154" s="35">
        <v>18.96</v>
      </c>
      <c r="P154" s="33" t="s">
        <v>34</v>
      </c>
      <c r="Q154" s="35">
        <v>1681.75</v>
      </c>
      <c r="R154" s="35"/>
      <c r="S154" s="35"/>
      <c r="T154" s="33" t="s">
        <v>58</v>
      </c>
      <c r="U154" s="33" t="s">
        <v>35</v>
      </c>
      <c r="V154" s="33" t="s">
        <v>31</v>
      </c>
      <c r="W154" s="33" t="s">
        <v>175</v>
      </c>
      <c r="X154" s="33" t="s">
        <v>36</v>
      </c>
      <c r="Y154" s="33" t="s">
        <v>176</v>
      </c>
      <c r="Z154" s="33" t="s">
        <v>31</v>
      </c>
      <c r="AA154" s="33" t="s">
        <v>31</v>
      </c>
      <c r="AB154" s="33" t="s">
        <v>31</v>
      </c>
      <c r="AC154" s="34">
        <v>45999</v>
      </c>
      <c r="AD154" s="34"/>
      <c r="AE154" s="33" t="s">
        <v>31</v>
      </c>
      <c r="AF154" s="19"/>
      <c r="AG154">
        <f>VLOOKUP(I154,'Customer Data'!$B$2:$F$149,4,0)</f>
        <v>18.579999999999998</v>
      </c>
    </row>
    <row r="155" spans="1:33" hidden="1" x14ac:dyDescent="0.35">
      <c r="A155" s="32">
        <v>100222345</v>
      </c>
      <c r="B155" s="33" t="s">
        <v>29</v>
      </c>
      <c r="C155" s="34">
        <v>45958</v>
      </c>
      <c r="D155" s="32">
        <v>1600002510</v>
      </c>
      <c r="E155" s="33" t="s">
        <v>82</v>
      </c>
      <c r="F155" s="34">
        <v>45958</v>
      </c>
      <c r="G155" s="34">
        <v>45958</v>
      </c>
      <c r="H155" s="33" t="s">
        <v>54</v>
      </c>
      <c r="I155" s="37">
        <v>256779422046</v>
      </c>
      <c r="J155" s="33" t="s">
        <v>32</v>
      </c>
      <c r="K155" s="33" t="s">
        <v>33</v>
      </c>
      <c r="L155" s="33" t="s">
        <v>31</v>
      </c>
      <c r="M155" s="33" t="s">
        <v>51</v>
      </c>
      <c r="N155" s="33" t="s">
        <v>45</v>
      </c>
      <c r="O155" s="35">
        <v>-246.92</v>
      </c>
      <c r="P155" s="33" t="s">
        <v>34</v>
      </c>
      <c r="Q155" s="35">
        <v>-21776.06</v>
      </c>
      <c r="R155" s="35"/>
      <c r="S155" s="35"/>
      <c r="T155" s="33" t="s">
        <v>58</v>
      </c>
      <c r="U155" s="33" t="s">
        <v>35</v>
      </c>
      <c r="V155" s="33" t="s">
        <v>31</v>
      </c>
      <c r="W155" s="33" t="s">
        <v>177</v>
      </c>
      <c r="X155" s="33" t="s">
        <v>36</v>
      </c>
      <c r="Y155" s="33" t="s">
        <v>178</v>
      </c>
      <c r="Z155" s="33" t="s">
        <v>31</v>
      </c>
      <c r="AA155" s="33" t="s">
        <v>31</v>
      </c>
      <c r="AB155" s="33" t="s">
        <v>31</v>
      </c>
      <c r="AC155" s="34">
        <v>45958</v>
      </c>
      <c r="AD155" s="34">
        <v>45976</v>
      </c>
      <c r="AE155" s="33" t="s">
        <v>53</v>
      </c>
      <c r="AF155" s="19"/>
      <c r="AG155" t="e">
        <f>VLOOKUP(I155,'Customer Data'!$B$2:$F$149,4,0)</f>
        <v>#N/A</v>
      </c>
    </row>
    <row r="156" spans="1:33" hidden="1" x14ac:dyDescent="0.35">
      <c r="A156" s="32">
        <v>100222345</v>
      </c>
      <c r="B156" s="33" t="s">
        <v>29</v>
      </c>
      <c r="C156" s="34">
        <v>45797</v>
      </c>
      <c r="D156" s="32">
        <v>1800008726</v>
      </c>
      <c r="E156" s="33" t="s">
        <v>57</v>
      </c>
      <c r="F156" s="34">
        <v>45797</v>
      </c>
      <c r="G156" s="34">
        <v>45805</v>
      </c>
      <c r="H156" s="33" t="s">
        <v>54</v>
      </c>
      <c r="I156" s="37">
        <v>256779413490</v>
      </c>
      <c r="J156" s="33" t="s">
        <v>32</v>
      </c>
      <c r="K156" s="33" t="s">
        <v>33</v>
      </c>
      <c r="L156" s="33" t="s">
        <v>31</v>
      </c>
      <c r="M156" s="33" t="s">
        <v>52</v>
      </c>
      <c r="N156" s="33" t="s">
        <v>45</v>
      </c>
      <c r="O156" s="35">
        <v>3</v>
      </c>
      <c r="P156" s="33" t="s">
        <v>34</v>
      </c>
      <c r="Q156" s="35">
        <v>257.95</v>
      </c>
      <c r="R156" s="35"/>
      <c r="S156" s="35"/>
      <c r="T156" s="33" t="s">
        <v>58</v>
      </c>
      <c r="U156" s="33" t="s">
        <v>35</v>
      </c>
      <c r="V156" s="33" t="s">
        <v>31</v>
      </c>
      <c r="W156" s="33" t="s">
        <v>54</v>
      </c>
      <c r="X156" s="33" t="s">
        <v>36</v>
      </c>
      <c r="Y156" s="33" t="s">
        <v>179</v>
      </c>
      <c r="Z156" s="33" t="s">
        <v>31</v>
      </c>
      <c r="AA156" s="33" t="s">
        <v>31</v>
      </c>
      <c r="AB156" s="33" t="s">
        <v>31</v>
      </c>
      <c r="AC156" s="34">
        <v>45797</v>
      </c>
      <c r="AD156" s="34"/>
      <c r="AE156" s="33" t="s">
        <v>31</v>
      </c>
      <c r="AF156" s="19"/>
      <c r="AG156">
        <f>VLOOKUP(I156,'Customer Data'!$B$2:$F$149,4,0)</f>
        <v>2.94</v>
      </c>
    </row>
    <row r="157" spans="1:33" hidden="1" x14ac:dyDescent="0.35">
      <c r="A157" s="32">
        <v>100222345</v>
      </c>
      <c r="B157" s="33" t="s">
        <v>29</v>
      </c>
      <c r="C157" s="34">
        <v>45873</v>
      </c>
      <c r="D157" s="32">
        <v>1600002012</v>
      </c>
      <c r="E157" s="33" t="s">
        <v>82</v>
      </c>
      <c r="F157" s="34">
        <v>45873</v>
      </c>
      <c r="G157" s="34">
        <v>45873</v>
      </c>
      <c r="H157" s="33" t="s">
        <v>54</v>
      </c>
      <c r="I157" s="37">
        <v>256779421588</v>
      </c>
      <c r="J157" s="33" t="s">
        <v>32</v>
      </c>
      <c r="K157" s="33" t="s">
        <v>33</v>
      </c>
      <c r="L157" s="33" t="s">
        <v>31</v>
      </c>
      <c r="M157" s="33" t="s">
        <v>51</v>
      </c>
      <c r="N157" s="33" t="s">
        <v>45</v>
      </c>
      <c r="O157" s="35">
        <v>-17.25</v>
      </c>
      <c r="P157" s="33" t="s">
        <v>34</v>
      </c>
      <c r="Q157" s="35">
        <v>-1483.51</v>
      </c>
      <c r="R157" s="35"/>
      <c r="S157" s="35"/>
      <c r="T157" s="33" t="s">
        <v>58</v>
      </c>
      <c r="U157" s="33" t="s">
        <v>35</v>
      </c>
      <c r="V157" s="33" t="s">
        <v>31</v>
      </c>
      <c r="W157" s="33" t="s">
        <v>54</v>
      </c>
      <c r="X157" s="33" t="s">
        <v>36</v>
      </c>
      <c r="Y157" s="33" t="s">
        <v>180</v>
      </c>
      <c r="Z157" s="33" t="s">
        <v>31</v>
      </c>
      <c r="AA157" s="33" t="s">
        <v>31</v>
      </c>
      <c r="AB157" s="33" t="s">
        <v>31</v>
      </c>
      <c r="AC157" s="34">
        <v>45873</v>
      </c>
      <c r="AD157" s="34">
        <v>45976</v>
      </c>
      <c r="AE157" s="33" t="s">
        <v>53</v>
      </c>
      <c r="AF157" s="19"/>
      <c r="AG157" t="e">
        <f>VLOOKUP(I157,'Customer Data'!$B$2:$F$149,4,0)</f>
        <v>#N/A</v>
      </c>
    </row>
    <row r="158" spans="1:33" hidden="1" x14ac:dyDescent="0.35">
      <c r="A158" s="32">
        <v>100222345</v>
      </c>
      <c r="B158" s="33" t="s">
        <v>29</v>
      </c>
      <c r="C158" s="34">
        <v>45873</v>
      </c>
      <c r="D158" s="32">
        <v>1600002057</v>
      </c>
      <c r="E158" s="33" t="s">
        <v>82</v>
      </c>
      <c r="F158" s="34">
        <v>45873</v>
      </c>
      <c r="G158" s="34">
        <v>45873</v>
      </c>
      <c r="H158" s="33" t="s">
        <v>54</v>
      </c>
      <c r="I158" s="37">
        <v>256779421633</v>
      </c>
      <c r="J158" s="33" t="s">
        <v>32</v>
      </c>
      <c r="K158" s="33" t="s">
        <v>33</v>
      </c>
      <c r="L158" s="33" t="s">
        <v>31</v>
      </c>
      <c r="M158" s="33" t="s">
        <v>51</v>
      </c>
      <c r="N158" s="33" t="s">
        <v>45</v>
      </c>
      <c r="O158" s="35">
        <v>-17.25</v>
      </c>
      <c r="P158" s="33" t="s">
        <v>34</v>
      </c>
      <c r="Q158" s="35">
        <v>-1483.51</v>
      </c>
      <c r="R158" s="35"/>
      <c r="S158" s="35"/>
      <c r="T158" s="33" t="s">
        <v>58</v>
      </c>
      <c r="U158" s="33" t="s">
        <v>35</v>
      </c>
      <c r="V158" s="33" t="s">
        <v>31</v>
      </c>
      <c r="W158" s="33" t="s">
        <v>54</v>
      </c>
      <c r="X158" s="33" t="s">
        <v>36</v>
      </c>
      <c r="Y158" s="33" t="s">
        <v>181</v>
      </c>
      <c r="Z158" s="33" t="s">
        <v>31</v>
      </c>
      <c r="AA158" s="33" t="s">
        <v>31</v>
      </c>
      <c r="AB158" s="33" t="s">
        <v>31</v>
      </c>
      <c r="AC158" s="34">
        <v>45873</v>
      </c>
      <c r="AD158" s="34">
        <v>45976</v>
      </c>
      <c r="AE158" s="33" t="s">
        <v>53</v>
      </c>
      <c r="AF158" s="19"/>
      <c r="AG158" t="e">
        <f>VLOOKUP(I158,'Customer Data'!$B$2:$F$149,4,0)</f>
        <v>#N/A</v>
      </c>
    </row>
    <row r="159" spans="1:33" hidden="1" x14ac:dyDescent="0.35">
      <c r="A159" s="32">
        <v>100222345</v>
      </c>
      <c r="B159" s="33" t="s">
        <v>29</v>
      </c>
      <c r="C159" s="34">
        <v>45873</v>
      </c>
      <c r="D159" s="32">
        <v>1600002062</v>
      </c>
      <c r="E159" s="33" t="s">
        <v>82</v>
      </c>
      <c r="F159" s="34">
        <v>45873</v>
      </c>
      <c r="G159" s="34">
        <v>45873</v>
      </c>
      <c r="H159" s="33" t="s">
        <v>54</v>
      </c>
      <c r="I159" s="37">
        <v>256779421638</v>
      </c>
      <c r="J159" s="33" t="s">
        <v>32</v>
      </c>
      <c r="K159" s="33" t="s">
        <v>33</v>
      </c>
      <c r="L159" s="33" t="s">
        <v>31</v>
      </c>
      <c r="M159" s="33" t="s">
        <v>51</v>
      </c>
      <c r="N159" s="33" t="s">
        <v>45</v>
      </c>
      <c r="O159" s="35">
        <v>-17.25</v>
      </c>
      <c r="P159" s="33" t="s">
        <v>34</v>
      </c>
      <c r="Q159" s="35">
        <v>-1483.51</v>
      </c>
      <c r="R159" s="35"/>
      <c r="S159" s="35"/>
      <c r="T159" s="33" t="s">
        <v>58</v>
      </c>
      <c r="U159" s="33" t="s">
        <v>35</v>
      </c>
      <c r="V159" s="33" t="s">
        <v>31</v>
      </c>
      <c r="W159" s="33" t="s">
        <v>54</v>
      </c>
      <c r="X159" s="33" t="s">
        <v>36</v>
      </c>
      <c r="Y159" s="33" t="s">
        <v>182</v>
      </c>
      <c r="Z159" s="33" t="s">
        <v>31</v>
      </c>
      <c r="AA159" s="33" t="s">
        <v>31</v>
      </c>
      <c r="AB159" s="33" t="s">
        <v>31</v>
      </c>
      <c r="AC159" s="34">
        <v>45873</v>
      </c>
      <c r="AD159" s="34">
        <v>45976</v>
      </c>
      <c r="AE159" s="33" t="s">
        <v>53</v>
      </c>
      <c r="AF159" s="19"/>
      <c r="AG159" t="e">
        <f>VLOOKUP(I159,'Customer Data'!$B$2:$F$149,4,0)</f>
        <v>#N/A</v>
      </c>
    </row>
    <row r="160" spans="1:33" hidden="1" x14ac:dyDescent="0.35">
      <c r="A160" s="32">
        <v>100222345</v>
      </c>
      <c r="B160" s="33" t="s">
        <v>29</v>
      </c>
      <c r="C160" s="34">
        <v>45750</v>
      </c>
      <c r="D160" s="32">
        <v>1800005191</v>
      </c>
      <c r="E160" s="33" t="s">
        <v>57</v>
      </c>
      <c r="F160" s="34">
        <v>45750</v>
      </c>
      <c r="G160" s="34">
        <v>45752</v>
      </c>
      <c r="H160" s="33" t="s">
        <v>54</v>
      </c>
      <c r="I160" s="37">
        <v>256779410137</v>
      </c>
      <c r="J160" s="33" t="s">
        <v>32</v>
      </c>
      <c r="K160" s="33" t="s">
        <v>33</v>
      </c>
      <c r="L160" s="33" t="s">
        <v>31</v>
      </c>
      <c r="M160" s="33" t="s">
        <v>52</v>
      </c>
      <c r="N160" s="33" t="s">
        <v>45</v>
      </c>
      <c r="O160" s="35">
        <v>4.5</v>
      </c>
      <c r="P160" s="33" t="s">
        <v>34</v>
      </c>
      <c r="Q160" s="35">
        <v>391.15</v>
      </c>
      <c r="R160" s="35"/>
      <c r="S160" s="35"/>
      <c r="T160" s="33" t="s">
        <v>58</v>
      </c>
      <c r="U160" s="33" t="s">
        <v>31</v>
      </c>
      <c r="V160" s="33" t="s">
        <v>31</v>
      </c>
      <c r="W160" s="33" t="s">
        <v>54</v>
      </c>
      <c r="X160" s="33" t="s">
        <v>36</v>
      </c>
      <c r="Y160" s="33" t="s">
        <v>183</v>
      </c>
      <c r="Z160" s="33" t="s">
        <v>31</v>
      </c>
      <c r="AA160" s="33" t="s">
        <v>31</v>
      </c>
      <c r="AB160" s="33" t="s">
        <v>31</v>
      </c>
      <c r="AC160" s="34">
        <v>45750</v>
      </c>
      <c r="AD160" s="34"/>
      <c r="AE160" s="33" t="s">
        <v>31</v>
      </c>
      <c r="AF160" s="19"/>
      <c r="AG160">
        <f>VLOOKUP(I160,'Customer Data'!$B$2:$F$149,4,0)</f>
        <v>4.41</v>
      </c>
    </row>
    <row r="161" spans="1:33" hidden="1" x14ac:dyDescent="0.35">
      <c r="A161" s="32">
        <v>100222345</v>
      </c>
      <c r="B161" s="33" t="s">
        <v>29</v>
      </c>
      <c r="C161" s="34">
        <v>45750</v>
      </c>
      <c r="D161" s="32">
        <v>1800005192</v>
      </c>
      <c r="E161" s="33" t="s">
        <v>57</v>
      </c>
      <c r="F161" s="34">
        <v>45750</v>
      </c>
      <c r="G161" s="34">
        <v>45752</v>
      </c>
      <c r="H161" s="33" t="s">
        <v>54</v>
      </c>
      <c r="I161" s="37">
        <v>256779410138</v>
      </c>
      <c r="J161" s="33" t="s">
        <v>32</v>
      </c>
      <c r="K161" s="33" t="s">
        <v>33</v>
      </c>
      <c r="L161" s="33" t="s">
        <v>31</v>
      </c>
      <c r="M161" s="33" t="s">
        <v>52</v>
      </c>
      <c r="N161" s="33" t="s">
        <v>45</v>
      </c>
      <c r="O161" s="35">
        <v>1.5</v>
      </c>
      <c r="P161" s="33" t="s">
        <v>34</v>
      </c>
      <c r="Q161" s="35">
        <v>130.38</v>
      </c>
      <c r="R161" s="35"/>
      <c r="S161" s="35"/>
      <c r="T161" s="33" t="s">
        <v>58</v>
      </c>
      <c r="U161" s="33" t="s">
        <v>31</v>
      </c>
      <c r="V161" s="33" t="s">
        <v>31</v>
      </c>
      <c r="W161" s="33" t="s">
        <v>54</v>
      </c>
      <c r="X161" s="33" t="s">
        <v>36</v>
      </c>
      <c r="Y161" s="33" t="s">
        <v>184</v>
      </c>
      <c r="Z161" s="33" t="s">
        <v>31</v>
      </c>
      <c r="AA161" s="33" t="s">
        <v>31</v>
      </c>
      <c r="AB161" s="33" t="s">
        <v>31</v>
      </c>
      <c r="AC161" s="34">
        <v>45750</v>
      </c>
      <c r="AD161" s="34"/>
      <c r="AE161" s="33" t="s">
        <v>31</v>
      </c>
      <c r="AF161" s="19"/>
      <c r="AG161">
        <f>VLOOKUP(I161,'Customer Data'!$B$2:$F$149,4,0)</f>
        <v>1.47</v>
      </c>
    </row>
    <row r="162" spans="1:33" hidden="1" x14ac:dyDescent="0.35">
      <c r="A162" s="32">
        <v>100222345</v>
      </c>
      <c r="B162" s="33" t="s">
        <v>29</v>
      </c>
      <c r="C162" s="34">
        <v>45750</v>
      </c>
      <c r="D162" s="32">
        <v>1800005336</v>
      </c>
      <c r="E162" s="33" t="s">
        <v>57</v>
      </c>
      <c r="F162" s="34">
        <v>45750</v>
      </c>
      <c r="G162" s="34">
        <v>45752</v>
      </c>
      <c r="H162" s="33" t="s">
        <v>54</v>
      </c>
      <c r="I162" s="37">
        <v>256779410228</v>
      </c>
      <c r="J162" s="33" t="s">
        <v>32</v>
      </c>
      <c r="K162" s="33" t="s">
        <v>33</v>
      </c>
      <c r="L162" s="33" t="s">
        <v>31</v>
      </c>
      <c r="M162" s="33" t="s">
        <v>52</v>
      </c>
      <c r="N162" s="33" t="s">
        <v>45</v>
      </c>
      <c r="O162" s="35">
        <v>1166.5899999999999</v>
      </c>
      <c r="P162" s="33" t="s">
        <v>34</v>
      </c>
      <c r="Q162" s="35">
        <v>101402.13</v>
      </c>
      <c r="R162" s="35"/>
      <c r="S162" s="35"/>
      <c r="T162" s="33" t="s">
        <v>58</v>
      </c>
      <c r="U162" s="33" t="s">
        <v>31</v>
      </c>
      <c r="V162" s="33" t="s">
        <v>31</v>
      </c>
      <c r="W162" s="33" t="s">
        <v>54</v>
      </c>
      <c r="X162" s="33" t="s">
        <v>36</v>
      </c>
      <c r="Y162" s="33" t="s">
        <v>169</v>
      </c>
      <c r="Z162" s="33" t="s">
        <v>31</v>
      </c>
      <c r="AA162" s="33" t="s">
        <v>31</v>
      </c>
      <c r="AB162" s="33" t="s">
        <v>31</v>
      </c>
      <c r="AC162" s="34">
        <v>45750</v>
      </c>
      <c r="AD162" s="34">
        <v>45861</v>
      </c>
      <c r="AE162" s="33" t="s">
        <v>42</v>
      </c>
      <c r="AF162" s="19"/>
      <c r="AG162" t="e">
        <f>VLOOKUP(I162,'Customer Data'!$B$2:$F$149,4,0)</f>
        <v>#N/A</v>
      </c>
    </row>
    <row r="163" spans="1:33" hidden="1" x14ac:dyDescent="0.35">
      <c r="A163" s="32">
        <v>100222345</v>
      </c>
      <c r="B163" s="33" t="s">
        <v>29</v>
      </c>
      <c r="C163" s="34">
        <v>45750</v>
      </c>
      <c r="D163" s="32">
        <v>1800005377</v>
      </c>
      <c r="E163" s="33" t="s">
        <v>57</v>
      </c>
      <c r="F163" s="34">
        <v>45750</v>
      </c>
      <c r="G163" s="34">
        <v>45752</v>
      </c>
      <c r="H163" s="33" t="s">
        <v>54</v>
      </c>
      <c r="I163" s="37">
        <v>256779410269</v>
      </c>
      <c r="J163" s="33" t="s">
        <v>32</v>
      </c>
      <c r="K163" s="33" t="s">
        <v>33</v>
      </c>
      <c r="L163" s="33" t="s">
        <v>31</v>
      </c>
      <c r="M163" s="33" t="s">
        <v>52</v>
      </c>
      <c r="N163" s="33" t="s">
        <v>45</v>
      </c>
      <c r="O163" s="35">
        <v>1143.1199999999999</v>
      </c>
      <c r="P163" s="33" t="s">
        <v>34</v>
      </c>
      <c r="Q163" s="35">
        <v>99362.07</v>
      </c>
      <c r="R163" s="35"/>
      <c r="S163" s="35"/>
      <c r="T163" s="33" t="s">
        <v>58</v>
      </c>
      <c r="U163" s="33" t="s">
        <v>31</v>
      </c>
      <c r="V163" s="33" t="s">
        <v>31</v>
      </c>
      <c r="W163" s="33" t="s">
        <v>54</v>
      </c>
      <c r="X163" s="33" t="s">
        <v>36</v>
      </c>
      <c r="Y163" s="33" t="s">
        <v>170</v>
      </c>
      <c r="Z163" s="33" t="s">
        <v>31</v>
      </c>
      <c r="AA163" s="33" t="s">
        <v>31</v>
      </c>
      <c r="AB163" s="33" t="s">
        <v>31</v>
      </c>
      <c r="AC163" s="34">
        <v>45750</v>
      </c>
      <c r="AD163" s="34">
        <v>45861</v>
      </c>
      <c r="AE163" s="33" t="s">
        <v>42</v>
      </c>
      <c r="AF163" s="19"/>
      <c r="AG163" t="e">
        <f>VLOOKUP(I163,'Customer Data'!$B$2:$F$149,4,0)</f>
        <v>#N/A</v>
      </c>
    </row>
    <row r="164" spans="1:33" hidden="1" x14ac:dyDescent="0.35">
      <c r="A164" s="32">
        <v>100222345</v>
      </c>
      <c r="B164" s="33" t="s">
        <v>29</v>
      </c>
      <c r="C164" s="34">
        <v>45950</v>
      </c>
      <c r="D164" s="32">
        <v>1800013927</v>
      </c>
      <c r="E164" s="33" t="s">
        <v>57</v>
      </c>
      <c r="F164" s="34">
        <v>45950</v>
      </c>
      <c r="G164" s="34">
        <v>45951</v>
      </c>
      <c r="H164" s="33" t="s">
        <v>54</v>
      </c>
      <c r="I164" s="37">
        <v>256779418704</v>
      </c>
      <c r="J164" s="33" t="s">
        <v>32</v>
      </c>
      <c r="K164" s="33" t="s">
        <v>33</v>
      </c>
      <c r="L164" s="33" t="s">
        <v>31</v>
      </c>
      <c r="M164" s="33" t="s">
        <v>52</v>
      </c>
      <c r="N164" s="33" t="s">
        <v>45</v>
      </c>
      <c r="O164" s="35">
        <v>2.25</v>
      </c>
      <c r="P164" s="33" t="s">
        <v>34</v>
      </c>
      <c r="Q164" s="35">
        <v>198.43</v>
      </c>
      <c r="R164" s="35"/>
      <c r="S164" s="35"/>
      <c r="T164" s="33" t="s">
        <v>58</v>
      </c>
      <c r="U164" s="33" t="s">
        <v>35</v>
      </c>
      <c r="V164" s="33" t="s">
        <v>31</v>
      </c>
      <c r="W164" s="33" t="s">
        <v>185</v>
      </c>
      <c r="X164" s="33" t="s">
        <v>36</v>
      </c>
      <c r="Y164" s="33" t="s">
        <v>186</v>
      </c>
      <c r="Z164" s="33" t="s">
        <v>31</v>
      </c>
      <c r="AA164" s="33" t="s">
        <v>31</v>
      </c>
      <c r="AB164" s="33" t="s">
        <v>31</v>
      </c>
      <c r="AC164" s="34">
        <v>45950</v>
      </c>
      <c r="AD164" s="34"/>
      <c r="AE164" s="33" t="s">
        <v>31</v>
      </c>
      <c r="AF164" s="19"/>
      <c r="AG164">
        <f>VLOOKUP(I164,'Customer Data'!$B$2:$F$149,4,0)</f>
        <v>2.2000000000000002</v>
      </c>
    </row>
    <row r="165" spans="1:33" hidden="1" x14ac:dyDescent="0.35">
      <c r="A165" s="32">
        <v>100222345</v>
      </c>
      <c r="B165" s="33" t="s">
        <v>29</v>
      </c>
      <c r="C165" s="34">
        <v>45768</v>
      </c>
      <c r="D165" s="32">
        <v>1800007262</v>
      </c>
      <c r="E165" s="33" t="s">
        <v>57</v>
      </c>
      <c r="F165" s="34">
        <v>45768</v>
      </c>
      <c r="G165" s="34">
        <v>45769</v>
      </c>
      <c r="H165" s="33" t="s">
        <v>54</v>
      </c>
      <c r="I165" s="37">
        <v>256779412153</v>
      </c>
      <c r="J165" s="33" t="s">
        <v>32</v>
      </c>
      <c r="K165" s="33" t="s">
        <v>33</v>
      </c>
      <c r="L165" s="33" t="s">
        <v>31</v>
      </c>
      <c r="M165" s="33" t="s">
        <v>52</v>
      </c>
      <c r="N165" s="33" t="s">
        <v>45</v>
      </c>
      <c r="O165" s="35">
        <v>1165.3699999999999</v>
      </c>
      <c r="P165" s="33" t="s">
        <v>34</v>
      </c>
      <c r="Q165" s="35">
        <v>100000.4</v>
      </c>
      <c r="R165" s="35"/>
      <c r="S165" s="35"/>
      <c r="T165" s="33" t="s">
        <v>58</v>
      </c>
      <c r="U165" s="33" t="s">
        <v>35</v>
      </c>
      <c r="V165" s="33" t="s">
        <v>31</v>
      </c>
      <c r="W165" s="33" t="s">
        <v>54</v>
      </c>
      <c r="X165" s="33" t="s">
        <v>36</v>
      </c>
      <c r="Y165" s="33" t="s">
        <v>187</v>
      </c>
      <c r="Z165" s="33" t="s">
        <v>31</v>
      </c>
      <c r="AA165" s="33" t="s">
        <v>31</v>
      </c>
      <c r="AB165" s="33" t="s">
        <v>31</v>
      </c>
      <c r="AC165" s="34">
        <v>45768</v>
      </c>
      <c r="AD165" s="34"/>
      <c r="AE165" s="33" t="s">
        <v>31</v>
      </c>
      <c r="AF165" s="19"/>
      <c r="AG165">
        <f>VLOOKUP(I165,'Customer Data'!$B$2:$F$149,4,0)</f>
        <v>1048.83</v>
      </c>
    </row>
    <row r="166" spans="1:33" hidden="1" x14ac:dyDescent="0.35">
      <c r="A166" s="32">
        <v>100222345</v>
      </c>
      <c r="B166" s="33" t="s">
        <v>29</v>
      </c>
      <c r="C166" s="34">
        <v>45862</v>
      </c>
      <c r="D166" s="32">
        <v>1600001882</v>
      </c>
      <c r="E166" s="33" t="s">
        <v>82</v>
      </c>
      <c r="F166" s="34">
        <v>45862</v>
      </c>
      <c r="G166" s="34">
        <v>45862</v>
      </c>
      <c r="H166" s="33" t="s">
        <v>54</v>
      </c>
      <c r="I166" s="37">
        <v>256779421502</v>
      </c>
      <c r="J166" s="33" t="s">
        <v>32</v>
      </c>
      <c r="K166" s="33" t="s">
        <v>33</v>
      </c>
      <c r="L166" s="33" t="s">
        <v>31</v>
      </c>
      <c r="M166" s="33" t="s">
        <v>51</v>
      </c>
      <c r="N166" s="33" t="s">
        <v>45</v>
      </c>
      <c r="O166" s="35">
        <v>-1190.48</v>
      </c>
      <c r="P166" s="33" t="s">
        <v>34</v>
      </c>
      <c r="Q166" s="35">
        <v>-102382.08</v>
      </c>
      <c r="R166" s="35"/>
      <c r="S166" s="35"/>
      <c r="T166" s="33" t="s">
        <v>58</v>
      </c>
      <c r="U166" s="33" t="s">
        <v>35</v>
      </c>
      <c r="V166" s="33" t="s">
        <v>31</v>
      </c>
      <c r="W166" s="33" t="s">
        <v>54</v>
      </c>
      <c r="X166" s="33" t="s">
        <v>36</v>
      </c>
      <c r="Y166" s="33" t="s">
        <v>188</v>
      </c>
      <c r="Z166" s="33" t="s">
        <v>31</v>
      </c>
      <c r="AA166" s="33" t="s">
        <v>31</v>
      </c>
      <c r="AB166" s="33" t="s">
        <v>31</v>
      </c>
      <c r="AC166" s="34">
        <v>45862</v>
      </c>
      <c r="AD166" s="34">
        <v>45902</v>
      </c>
      <c r="AE166" s="33" t="s">
        <v>38</v>
      </c>
      <c r="AF166" s="19"/>
      <c r="AG166" t="e">
        <f>VLOOKUP(I166,'Customer Data'!$B$2:$F$149,4,0)</f>
        <v>#N/A</v>
      </c>
    </row>
    <row r="167" spans="1:33" hidden="1" x14ac:dyDescent="0.35">
      <c r="A167" s="32">
        <v>100222345</v>
      </c>
      <c r="B167" s="33" t="s">
        <v>29</v>
      </c>
      <c r="C167" s="34">
        <v>45826</v>
      </c>
      <c r="D167" s="32">
        <v>1800009671</v>
      </c>
      <c r="E167" s="33" t="s">
        <v>57</v>
      </c>
      <c r="F167" s="34">
        <v>45826</v>
      </c>
      <c r="G167" s="34">
        <v>45827</v>
      </c>
      <c r="H167" s="33" t="s">
        <v>54</v>
      </c>
      <c r="I167" s="37">
        <v>256779414435</v>
      </c>
      <c r="J167" s="33" t="s">
        <v>32</v>
      </c>
      <c r="K167" s="33" t="s">
        <v>33</v>
      </c>
      <c r="L167" s="33" t="s">
        <v>31</v>
      </c>
      <c r="M167" s="33" t="s">
        <v>52</v>
      </c>
      <c r="N167" s="33" t="s">
        <v>45</v>
      </c>
      <c r="O167" s="35">
        <v>1190.48</v>
      </c>
      <c r="P167" s="33" t="s">
        <v>34</v>
      </c>
      <c r="Q167" s="35">
        <v>101775.06</v>
      </c>
      <c r="R167" s="35"/>
      <c r="S167" s="35"/>
      <c r="T167" s="33" t="s">
        <v>58</v>
      </c>
      <c r="U167" s="33" t="s">
        <v>35</v>
      </c>
      <c r="V167" s="33" t="s">
        <v>31</v>
      </c>
      <c r="W167" s="33" t="s">
        <v>54</v>
      </c>
      <c r="X167" s="33" t="s">
        <v>36</v>
      </c>
      <c r="Y167" s="33" t="s">
        <v>168</v>
      </c>
      <c r="Z167" s="33" t="s">
        <v>31</v>
      </c>
      <c r="AA167" s="33" t="s">
        <v>31</v>
      </c>
      <c r="AB167" s="33" t="s">
        <v>31</v>
      </c>
      <c r="AC167" s="34">
        <v>45826</v>
      </c>
      <c r="AD167" s="34">
        <v>45902</v>
      </c>
      <c r="AE167" s="33" t="s">
        <v>38</v>
      </c>
      <c r="AF167" s="19"/>
      <c r="AG167" t="e">
        <f>VLOOKUP(I167,'Customer Data'!$B$2:$F$149,4,0)</f>
        <v>#N/A</v>
      </c>
    </row>
    <row r="168" spans="1:33" hidden="1" x14ac:dyDescent="0.35">
      <c r="A168" s="32">
        <v>100222345</v>
      </c>
      <c r="B168" s="33" t="s">
        <v>29</v>
      </c>
      <c r="C168" s="34">
        <v>45951</v>
      </c>
      <c r="D168" s="32">
        <v>1800013946</v>
      </c>
      <c r="E168" s="33" t="s">
        <v>57</v>
      </c>
      <c r="F168" s="34">
        <v>45951</v>
      </c>
      <c r="G168" s="34">
        <v>45951</v>
      </c>
      <c r="H168" s="33" t="s">
        <v>54</v>
      </c>
      <c r="I168" s="37">
        <v>256779418478</v>
      </c>
      <c r="J168" s="33" t="s">
        <v>32</v>
      </c>
      <c r="K168" s="33" t="s">
        <v>33</v>
      </c>
      <c r="L168" s="33" t="s">
        <v>31</v>
      </c>
      <c r="M168" s="33" t="s">
        <v>52</v>
      </c>
      <c r="N168" s="33" t="s">
        <v>45</v>
      </c>
      <c r="O168" s="35">
        <v>27.64</v>
      </c>
      <c r="P168" s="33" t="s">
        <v>34</v>
      </c>
      <c r="Q168" s="35">
        <v>2437.59</v>
      </c>
      <c r="R168" s="35"/>
      <c r="S168" s="35"/>
      <c r="T168" s="33" t="s">
        <v>58</v>
      </c>
      <c r="U168" s="33" t="s">
        <v>35</v>
      </c>
      <c r="V168" s="33" t="s">
        <v>31</v>
      </c>
      <c r="W168" s="33" t="s">
        <v>189</v>
      </c>
      <c r="X168" s="33" t="s">
        <v>36</v>
      </c>
      <c r="Y168" s="33" t="s">
        <v>190</v>
      </c>
      <c r="Z168" s="33" t="s">
        <v>31</v>
      </c>
      <c r="AA168" s="33" t="s">
        <v>31</v>
      </c>
      <c r="AB168" s="33" t="s">
        <v>31</v>
      </c>
      <c r="AC168" s="34">
        <v>45951</v>
      </c>
      <c r="AD168" s="34"/>
      <c r="AE168" s="33" t="s">
        <v>31</v>
      </c>
      <c r="AF168" s="19"/>
      <c r="AG168">
        <f>VLOOKUP(I168,'Customer Data'!$B$2:$F$149,4,0)</f>
        <v>27.09</v>
      </c>
    </row>
    <row r="169" spans="1:33" hidden="1" x14ac:dyDescent="0.35">
      <c r="A169" s="32">
        <v>100222345</v>
      </c>
      <c r="B169" s="33" t="s">
        <v>29</v>
      </c>
      <c r="C169" s="34">
        <v>45951</v>
      </c>
      <c r="D169" s="32">
        <v>1800013963</v>
      </c>
      <c r="E169" s="33" t="s">
        <v>57</v>
      </c>
      <c r="F169" s="34">
        <v>45951</v>
      </c>
      <c r="G169" s="34">
        <v>45951</v>
      </c>
      <c r="H169" s="33" t="s">
        <v>54</v>
      </c>
      <c r="I169" s="37">
        <v>256779418493</v>
      </c>
      <c r="J169" s="33" t="s">
        <v>32</v>
      </c>
      <c r="K169" s="33" t="s">
        <v>33</v>
      </c>
      <c r="L169" s="33" t="s">
        <v>31</v>
      </c>
      <c r="M169" s="33" t="s">
        <v>52</v>
      </c>
      <c r="N169" s="33" t="s">
        <v>45</v>
      </c>
      <c r="O169" s="35">
        <v>27.64</v>
      </c>
      <c r="P169" s="33" t="s">
        <v>34</v>
      </c>
      <c r="Q169" s="35">
        <v>2437.59</v>
      </c>
      <c r="R169" s="35"/>
      <c r="S169" s="35"/>
      <c r="T169" s="33" t="s">
        <v>58</v>
      </c>
      <c r="U169" s="33" t="s">
        <v>35</v>
      </c>
      <c r="V169" s="33" t="s">
        <v>31</v>
      </c>
      <c r="W169" s="33" t="s">
        <v>189</v>
      </c>
      <c r="X169" s="33" t="s">
        <v>36</v>
      </c>
      <c r="Y169" s="33" t="s">
        <v>190</v>
      </c>
      <c r="Z169" s="33" t="s">
        <v>31</v>
      </c>
      <c r="AA169" s="33" t="s">
        <v>31</v>
      </c>
      <c r="AB169" s="33" t="s">
        <v>31</v>
      </c>
      <c r="AC169" s="34">
        <v>45951</v>
      </c>
      <c r="AD169" s="34"/>
      <c r="AE169" s="33" t="s">
        <v>31</v>
      </c>
      <c r="AF169" s="19"/>
      <c r="AG169" t="e">
        <f>VLOOKUP(I169,'Customer Data'!$B$2:$F$149,4,0)</f>
        <v>#N/A</v>
      </c>
    </row>
    <row r="170" spans="1:33" hidden="1" x14ac:dyDescent="0.35">
      <c r="A170" s="32">
        <v>100222345</v>
      </c>
      <c r="B170" s="33" t="s">
        <v>29</v>
      </c>
      <c r="C170" s="34">
        <v>45735</v>
      </c>
      <c r="D170" s="32">
        <v>1800003125</v>
      </c>
      <c r="E170" s="33" t="s">
        <v>57</v>
      </c>
      <c r="F170" s="34">
        <v>45735</v>
      </c>
      <c r="G170" s="34">
        <v>45736</v>
      </c>
      <c r="H170" s="33" t="s">
        <v>54</v>
      </c>
      <c r="I170" s="37">
        <v>246779412992</v>
      </c>
      <c r="J170" s="33" t="s">
        <v>32</v>
      </c>
      <c r="K170" s="33" t="s">
        <v>33</v>
      </c>
      <c r="L170" s="33" t="s">
        <v>31</v>
      </c>
      <c r="M170" s="33" t="s">
        <v>52</v>
      </c>
      <c r="N170" s="33" t="s">
        <v>45</v>
      </c>
      <c r="O170" s="35">
        <v>1148.6300000000001</v>
      </c>
      <c r="P170" s="33" t="s">
        <v>34</v>
      </c>
      <c r="Q170" s="35">
        <v>99576.18</v>
      </c>
      <c r="R170" s="35"/>
      <c r="S170" s="35"/>
      <c r="T170" s="33" t="s">
        <v>58</v>
      </c>
      <c r="U170" s="33" t="s">
        <v>35</v>
      </c>
      <c r="V170" s="33" t="s">
        <v>31</v>
      </c>
      <c r="W170" s="33" t="s">
        <v>54</v>
      </c>
      <c r="X170" s="33" t="s">
        <v>36</v>
      </c>
      <c r="Y170" s="33" t="s">
        <v>191</v>
      </c>
      <c r="Z170" s="33" t="s">
        <v>31</v>
      </c>
      <c r="AA170" s="33" t="s">
        <v>31</v>
      </c>
      <c r="AB170" s="33" t="s">
        <v>31</v>
      </c>
      <c r="AC170" s="34">
        <v>45735</v>
      </c>
      <c r="AD170" s="34"/>
      <c r="AE170" s="33" t="s">
        <v>31</v>
      </c>
      <c r="AF170" s="19"/>
      <c r="AG170">
        <f>VLOOKUP(I170,'Customer Data'!$B$2:$F$149,4,0)</f>
        <v>1033.7700000000002</v>
      </c>
    </row>
    <row r="171" spans="1:33" hidden="1" x14ac:dyDescent="0.35">
      <c r="A171" s="32">
        <v>100222345</v>
      </c>
      <c r="B171" s="33" t="s">
        <v>29</v>
      </c>
      <c r="C171" s="34">
        <v>45981</v>
      </c>
      <c r="D171" s="32">
        <v>1800015079</v>
      </c>
      <c r="E171" s="33" t="s">
        <v>57</v>
      </c>
      <c r="F171" s="34">
        <v>45981</v>
      </c>
      <c r="G171" s="34">
        <v>45985</v>
      </c>
      <c r="H171" s="33" t="s">
        <v>54</v>
      </c>
      <c r="I171" s="37">
        <v>256779419592</v>
      </c>
      <c r="J171" s="33" t="s">
        <v>32</v>
      </c>
      <c r="K171" s="33" t="s">
        <v>33</v>
      </c>
      <c r="L171" s="33" t="s">
        <v>31</v>
      </c>
      <c r="M171" s="33" t="s">
        <v>52</v>
      </c>
      <c r="N171" s="33" t="s">
        <v>45</v>
      </c>
      <c r="O171" s="35">
        <v>17.62</v>
      </c>
      <c r="P171" s="33" t="s">
        <v>34</v>
      </c>
      <c r="Q171" s="35">
        <v>1550.62</v>
      </c>
      <c r="R171" s="35"/>
      <c r="S171" s="35"/>
      <c r="T171" s="33" t="s">
        <v>58</v>
      </c>
      <c r="U171" s="33" t="s">
        <v>35</v>
      </c>
      <c r="V171" s="33" t="s">
        <v>31</v>
      </c>
      <c r="W171" s="33" t="s">
        <v>192</v>
      </c>
      <c r="X171" s="33" t="s">
        <v>36</v>
      </c>
      <c r="Y171" s="33" t="s">
        <v>193</v>
      </c>
      <c r="Z171" s="33" t="s">
        <v>31</v>
      </c>
      <c r="AA171" s="33" t="s">
        <v>31</v>
      </c>
      <c r="AB171" s="33" t="s">
        <v>31</v>
      </c>
      <c r="AC171" s="34">
        <v>45981</v>
      </c>
      <c r="AD171" s="34"/>
      <c r="AE171" s="33" t="s">
        <v>31</v>
      </c>
      <c r="AF171" s="19"/>
      <c r="AG171">
        <f>VLOOKUP(I171,'Customer Data'!$B$2:$F$149,4,0)</f>
        <v>17.27</v>
      </c>
    </row>
    <row r="172" spans="1:33" hidden="1" x14ac:dyDescent="0.35">
      <c r="A172" s="32">
        <v>100222345</v>
      </c>
      <c r="B172" s="33" t="s">
        <v>29</v>
      </c>
      <c r="C172" s="34">
        <v>45981</v>
      </c>
      <c r="D172" s="32">
        <v>1800015134</v>
      </c>
      <c r="E172" s="33" t="s">
        <v>57</v>
      </c>
      <c r="F172" s="34">
        <v>45981</v>
      </c>
      <c r="G172" s="34">
        <v>45985</v>
      </c>
      <c r="H172" s="33" t="s">
        <v>54</v>
      </c>
      <c r="I172" s="37">
        <v>256779419633</v>
      </c>
      <c r="J172" s="33" t="s">
        <v>32</v>
      </c>
      <c r="K172" s="33" t="s">
        <v>33</v>
      </c>
      <c r="L172" s="33" t="s">
        <v>31</v>
      </c>
      <c r="M172" s="33" t="s">
        <v>52</v>
      </c>
      <c r="N172" s="33" t="s">
        <v>45</v>
      </c>
      <c r="O172" s="35">
        <v>9.3699999999999992</v>
      </c>
      <c r="P172" s="33" t="s">
        <v>34</v>
      </c>
      <c r="Q172" s="35">
        <v>824.59</v>
      </c>
      <c r="R172" s="35"/>
      <c r="S172" s="35"/>
      <c r="T172" s="33" t="s">
        <v>58</v>
      </c>
      <c r="U172" s="33" t="s">
        <v>35</v>
      </c>
      <c r="V172" s="33" t="s">
        <v>31</v>
      </c>
      <c r="W172" s="33" t="s">
        <v>194</v>
      </c>
      <c r="X172" s="33" t="s">
        <v>36</v>
      </c>
      <c r="Y172" s="33" t="s">
        <v>195</v>
      </c>
      <c r="Z172" s="33" t="s">
        <v>31</v>
      </c>
      <c r="AA172" s="33" t="s">
        <v>31</v>
      </c>
      <c r="AB172" s="33" t="s">
        <v>31</v>
      </c>
      <c r="AC172" s="34">
        <v>45981</v>
      </c>
      <c r="AD172" s="34"/>
      <c r="AE172" s="33" t="s">
        <v>31</v>
      </c>
      <c r="AF172" s="19"/>
      <c r="AG172">
        <f>VLOOKUP(I172,'Customer Data'!$B$2:$F$149,4,0)</f>
        <v>9.18</v>
      </c>
    </row>
    <row r="173" spans="1:33" hidden="1" x14ac:dyDescent="0.35">
      <c r="A173" s="32">
        <v>100222345</v>
      </c>
      <c r="B173" s="33" t="s">
        <v>29</v>
      </c>
      <c r="C173" s="34">
        <v>45769</v>
      </c>
      <c r="D173" s="32">
        <v>1800007726</v>
      </c>
      <c r="E173" s="33" t="s">
        <v>57</v>
      </c>
      <c r="F173" s="34">
        <v>45769</v>
      </c>
      <c r="G173" s="34">
        <v>45770</v>
      </c>
      <c r="H173" s="33" t="s">
        <v>54</v>
      </c>
      <c r="I173" s="37">
        <v>256779412617</v>
      </c>
      <c r="J173" s="33" t="s">
        <v>32</v>
      </c>
      <c r="K173" s="33" t="s">
        <v>33</v>
      </c>
      <c r="L173" s="33" t="s">
        <v>31</v>
      </c>
      <c r="M173" s="33" t="s">
        <v>52</v>
      </c>
      <c r="N173" s="33" t="s">
        <v>45</v>
      </c>
      <c r="O173" s="35">
        <v>384.63</v>
      </c>
      <c r="P173" s="33" t="s">
        <v>34</v>
      </c>
      <c r="Q173" s="35">
        <v>33432.74</v>
      </c>
      <c r="R173" s="35"/>
      <c r="S173" s="35"/>
      <c r="T173" s="33" t="s">
        <v>58</v>
      </c>
      <c r="U173" s="33" t="s">
        <v>35</v>
      </c>
      <c r="V173" s="33" t="s">
        <v>31</v>
      </c>
      <c r="W173" s="33" t="s">
        <v>54</v>
      </c>
      <c r="X173" s="33" t="s">
        <v>36</v>
      </c>
      <c r="Y173" s="33" t="s">
        <v>196</v>
      </c>
      <c r="Z173" s="33" t="s">
        <v>31</v>
      </c>
      <c r="AA173" s="33" t="s">
        <v>31</v>
      </c>
      <c r="AB173" s="33" t="s">
        <v>31</v>
      </c>
      <c r="AC173" s="34">
        <v>45769</v>
      </c>
      <c r="AD173" s="34"/>
      <c r="AE173" s="33" t="s">
        <v>31</v>
      </c>
      <c r="AF173" s="19"/>
      <c r="AG173">
        <f>VLOOKUP(I173,'Customer Data'!$B$2:$F$149,4,0)</f>
        <v>376.93</v>
      </c>
    </row>
    <row r="174" spans="1:33" hidden="1" x14ac:dyDescent="0.35">
      <c r="A174" s="32">
        <v>100222345</v>
      </c>
      <c r="B174" s="33" t="s">
        <v>29</v>
      </c>
      <c r="C174" s="34">
        <v>45769</v>
      </c>
      <c r="D174" s="32">
        <v>1800007769</v>
      </c>
      <c r="E174" s="33" t="s">
        <v>57</v>
      </c>
      <c r="F174" s="34">
        <v>45769</v>
      </c>
      <c r="G174" s="34">
        <v>45770</v>
      </c>
      <c r="H174" s="33" t="s">
        <v>54</v>
      </c>
      <c r="I174" s="37">
        <v>256779412660</v>
      </c>
      <c r="J174" s="33" t="s">
        <v>32</v>
      </c>
      <c r="K174" s="33" t="s">
        <v>33</v>
      </c>
      <c r="L174" s="33" t="s">
        <v>31</v>
      </c>
      <c r="M174" s="33" t="s">
        <v>52</v>
      </c>
      <c r="N174" s="33" t="s">
        <v>45</v>
      </c>
      <c r="O174" s="35">
        <v>7.5</v>
      </c>
      <c r="P174" s="33" t="s">
        <v>34</v>
      </c>
      <c r="Q174" s="35">
        <v>651.91</v>
      </c>
      <c r="R174" s="35"/>
      <c r="S174" s="35"/>
      <c r="T174" s="33" t="s">
        <v>58</v>
      </c>
      <c r="U174" s="33" t="s">
        <v>35</v>
      </c>
      <c r="V174" s="33" t="s">
        <v>31</v>
      </c>
      <c r="W174" s="33" t="s">
        <v>54</v>
      </c>
      <c r="X174" s="33" t="s">
        <v>36</v>
      </c>
      <c r="Y174" s="33" t="s">
        <v>197</v>
      </c>
      <c r="Z174" s="33" t="s">
        <v>31</v>
      </c>
      <c r="AA174" s="33" t="s">
        <v>31</v>
      </c>
      <c r="AB174" s="33" t="s">
        <v>31</v>
      </c>
      <c r="AC174" s="34">
        <v>45769</v>
      </c>
      <c r="AD174" s="34"/>
      <c r="AE174" s="33" t="s">
        <v>31</v>
      </c>
      <c r="AF174" s="19"/>
      <c r="AG174">
        <f>VLOOKUP(I174,'Customer Data'!$B$2:$F$149,4,0)</f>
        <v>7.34</v>
      </c>
    </row>
    <row r="175" spans="1:33" hidden="1" x14ac:dyDescent="0.35">
      <c r="A175" s="32">
        <v>100222345</v>
      </c>
      <c r="B175" s="33" t="s">
        <v>29</v>
      </c>
      <c r="C175" s="34">
        <v>45918</v>
      </c>
      <c r="D175" s="32">
        <v>1800012993</v>
      </c>
      <c r="E175" s="33" t="s">
        <v>57</v>
      </c>
      <c r="F175" s="34">
        <v>45918</v>
      </c>
      <c r="G175" s="34">
        <v>45922</v>
      </c>
      <c r="H175" s="33" t="s">
        <v>54</v>
      </c>
      <c r="I175" s="37">
        <v>256779417528</v>
      </c>
      <c r="J175" s="33" t="s">
        <v>32</v>
      </c>
      <c r="K175" s="33" t="s">
        <v>33</v>
      </c>
      <c r="L175" s="33" t="s">
        <v>31</v>
      </c>
      <c r="M175" s="33" t="s">
        <v>52</v>
      </c>
      <c r="N175" s="33" t="s">
        <v>45</v>
      </c>
      <c r="O175" s="35">
        <v>3</v>
      </c>
      <c r="P175" s="33" t="s">
        <v>34</v>
      </c>
      <c r="Q175" s="35">
        <v>262.54000000000002</v>
      </c>
      <c r="R175" s="35"/>
      <c r="S175" s="35"/>
      <c r="T175" s="33" t="s">
        <v>58</v>
      </c>
      <c r="U175" s="33" t="s">
        <v>35</v>
      </c>
      <c r="V175" s="33" t="s">
        <v>31</v>
      </c>
      <c r="W175" s="33" t="s">
        <v>198</v>
      </c>
      <c r="X175" s="33" t="s">
        <v>36</v>
      </c>
      <c r="Y175" s="33" t="s">
        <v>199</v>
      </c>
      <c r="Z175" s="33" t="s">
        <v>31</v>
      </c>
      <c r="AA175" s="33" t="s">
        <v>31</v>
      </c>
      <c r="AB175" s="33" t="s">
        <v>31</v>
      </c>
      <c r="AC175" s="34">
        <v>45918</v>
      </c>
      <c r="AD175" s="34"/>
      <c r="AE175" s="33" t="s">
        <v>31</v>
      </c>
      <c r="AF175" s="19"/>
      <c r="AG175">
        <f>VLOOKUP(I175,'Customer Data'!$B$2:$F$149,4,0)</f>
        <v>2.94</v>
      </c>
    </row>
    <row r="176" spans="1:33" hidden="1" x14ac:dyDescent="0.35">
      <c r="A176" s="32">
        <v>100222345</v>
      </c>
      <c r="B176" s="33" t="s">
        <v>29</v>
      </c>
      <c r="C176" s="34">
        <v>45770</v>
      </c>
      <c r="D176" s="32">
        <v>1800008041</v>
      </c>
      <c r="E176" s="33" t="s">
        <v>57</v>
      </c>
      <c r="F176" s="34">
        <v>45770</v>
      </c>
      <c r="G176" s="34">
        <v>45776</v>
      </c>
      <c r="H176" s="33" t="s">
        <v>54</v>
      </c>
      <c r="I176" s="37">
        <v>256779412932</v>
      </c>
      <c r="J176" s="33" t="s">
        <v>32</v>
      </c>
      <c r="K176" s="33" t="s">
        <v>33</v>
      </c>
      <c r="L176" s="33" t="s">
        <v>31</v>
      </c>
      <c r="M176" s="33" t="s">
        <v>52</v>
      </c>
      <c r="N176" s="33" t="s">
        <v>45</v>
      </c>
      <c r="O176" s="35">
        <v>66.86</v>
      </c>
      <c r="P176" s="33" t="s">
        <v>34</v>
      </c>
      <c r="Q176" s="35">
        <v>5811.59</v>
      </c>
      <c r="R176" s="35"/>
      <c r="S176" s="35"/>
      <c r="T176" s="33" t="s">
        <v>58</v>
      </c>
      <c r="U176" s="33" t="s">
        <v>35</v>
      </c>
      <c r="V176" s="33" t="s">
        <v>31</v>
      </c>
      <c r="W176" s="33" t="s">
        <v>54</v>
      </c>
      <c r="X176" s="33" t="s">
        <v>36</v>
      </c>
      <c r="Y176" s="33" t="s">
        <v>200</v>
      </c>
      <c r="Z176" s="33" t="s">
        <v>31</v>
      </c>
      <c r="AA176" s="33" t="s">
        <v>31</v>
      </c>
      <c r="AB176" s="33" t="s">
        <v>31</v>
      </c>
      <c r="AC176" s="34">
        <v>45770</v>
      </c>
      <c r="AD176" s="34"/>
      <c r="AE176" s="33" t="s">
        <v>31</v>
      </c>
      <c r="AF176" s="19"/>
      <c r="AG176">
        <f>VLOOKUP(I176,'Customer Data'!$B$2:$F$149,4,0)</f>
        <v>65.52</v>
      </c>
    </row>
    <row r="177" spans="1:33" hidden="1" x14ac:dyDescent="0.35">
      <c r="A177" s="32">
        <v>100222345</v>
      </c>
      <c r="B177" s="33" t="s">
        <v>29</v>
      </c>
      <c r="C177" s="34">
        <v>45937</v>
      </c>
      <c r="D177" s="32">
        <v>1800013760</v>
      </c>
      <c r="E177" s="33" t="s">
        <v>57</v>
      </c>
      <c r="F177" s="34">
        <v>45937</v>
      </c>
      <c r="G177" s="34">
        <v>45939</v>
      </c>
      <c r="H177" s="33" t="s">
        <v>54</v>
      </c>
      <c r="I177" s="37">
        <v>256779418181</v>
      </c>
      <c r="J177" s="33" t="s">
        <v>32</v>
      </c>
      <c r="K177" s="33" t="s">
        <v>33</v>
      </c>
      <c r="L177" s="33" t="s">
        <v>31</v>
      </c>
      <c r="M177" s="33" t="s">
        <v>52</v>
      </c>
      <c r="N177" s="33" t="s">
        <v>45</v>
      </c>
      <c r="O177" s="35">
        <v>49.33</v>
      </c>
      <c r="P177" s="33" t="s">
        <v>34</v>
      </c>
      <c r="Q177" s="35">
        <v>4350.45</v>
      </c>
      <c r="R177" s="35"/>
      <c r="S177" s="35"/>
      <c r="T177" s="33" t="s">
        <v>58</v>
      </c>
      <c r="U177" s="33" t="s">
        <v>35</v>
      </c>
      <c r="V177" s="33" t="s">
        <v>31</v>
      </c>
      <c r="W177" s="33" t="s">
        <v>201</v>
      </c>
      <c r="X177" s="33" t="s">
        <v>36</v>
      </c>
      <c r="Y177" s="33" t="s">
        <v>202</v>
      </c>
      <c r="Z177" s="33" t="s">
        <v>31</v>
      </c>
      <c r="AA177" s="33" t="s">
        <v>31</v>
      </c>
      <c r="AB177" s="33" t="s">
        <v>31</v>
      </c>
      <c r="AC177" s="34">
        <v>45937</v>
      </c>
      <c r="AD177" s="34"/>
      <c r="AE177" s="33" t="s">
        <v>31</v>
      </c>
      <c r="AF177" s="19"/>
      <c r="AG177" t="e">
        <f>VLOOKUP(I177,'Customer Data'!$B$2:$F$149,4,0)</f>
        <v>#N/A</v>
      </c>
    </row>
    <row r="178" spans="1:33" hidden="1" x14ac:dyDescent="0.35">
      <c r="A178" s="32">
        <v>100222345</v>
      </c>
      <c r="B178" s="33" t="s">
        <v>29</v>
      </c>
      <c r="C178" s="34">
        <v>45937</v>
      </c>
      <c r="D178" s="32">
        <v>1800013774</v>
      </c>
      <c r="E178" s="33" t="s">
        <v>57</v>
      </c>
      <c r="F178" s="34">
        <v>45937</v>
      </c>
      <c r="G178" s="34">
        <v>45940</v>
      </c>
      <c r="H178" s="33" t="s">
        <v>54</v>
      </c>
      <c r="I178" s="37">
        <v>256779418342</v>
      </c>
      <c r="J178" s="33" t="s">
        <v>32</v>
      </c>
      <c r="K178" s="33" t="s">
        <v>33</v>
      </c>
      <c r="L178" s="33" t="s">
        <v>31</v>
      </c>
      <c r="M178" s="33" t="s">
        <v>52</v>
      </c>
      <c r="N178" s="33" t="s">
        <v>45</v>
      </c>
      <c r="O178" s="35">
        <v>458.95</v>
      </c>
      <c r="P178" s="33" t="s">
        <v>34</v>
      </c>
      <c r="Q178" s="35">
        <v>40475.15</v>
      </c>
      <c r="R178" s="35"/>
      <c r="S178" s="35"/>
      <c r="T178" s="33" t="s">
        <v>58</v>
      </c>
      <c r="U178" s="33" t="s">
        <v>35</v>
      </c>
      <c r="V178" s="33" t="s">
        <v>31</v>
      </c>
      <c r="W178" s="33" t="s">
        <v>203</v>
      </c>
      <c r="X178" s="33" t="s">
        <v>36</v>
      </c>
      <c r="Y178" s="33" t="s">
        <v>204</v>
      </c>
      <c r="Z178" s="33" t="s">
        <v>31</v>
      </c>
      <c r="AA178" s="33" t="s">
        <v>31</v>
      </c>
      <c r="AB178" s="33" t="s">
        <v>31</v>
      </c>
      <c r="AC178" s="34">
        <v>45937</v>
      </c>
      <c r="AD178" s="34"/>
      <c r="AE178" s="33" t="s">
        <v>31</v>
      </c>
      <c r="AF178" s="19"/>
      <c r="AG178">
        <f>VLOOKUP(I178,'Customer Data'!$B$2:$F$149,4,0)</f>
        <v>449.77</v>
      </c>
    </row>
    <row r="179" spans="1:33" hidden="1" x14ac:dyDescent="0.35">
      <c r="A179" s="32">
        <v>100222345</v>
      </c>
      <c r="B179" s="33" t="s">
        <v>29</v>
      </c>
      <c r="C179" s="34">
        <v>45937</v>
      </c>
      <c r="D179" s="32">
        <v>1800013530</v>
      </c>
      <c r="E179" s="33" t="s">
        <v>57</v>
      </c>
      <c r="F179" s="34">
        <v>45937</v>
      </c>
      <c r="G179" s="34">
        <v>45940</v>
      </c>
      <c r="H179" s="33" t="s">
        <v>54</v>
      </c>
      <c r="I179" s="37">
        <v>256779418354</v>
      </c>
      <c r="J179" s="33" t="s">
        <v>32</v>
      </c>
      <c r="K179" s="33" t="s">
        <v>33</v>
      </c>
      <c r="L179" s="33" t="s">
        <v>31</v>
      </c>
      <c r="M179" s="33" t="s">
        <v>52</v>
      </c>
      <c r="N179" s="33" t="s">
        <v>45</v>
      </c>
      <c r="O179" s="35">
        <v>108.95</v>
      </c>
      <c r="P179" s="33" t="s">
        <v>34</v>
      </c>
      <c r="Q179" s="35">
        <v>9608.3799999999992</v>
      </c>
      <c r="R179" s="35"/>
      <c r="S179" s="35"/>
      <c r="T179" s="33" t="s">
        <v>58</v>
      </c>
      <c r="U179" s="33" t="s">
        <v>35</v>
      </c>
      <c r="V179" s="33" t="s">
        <v>31</v>
      </c>
      <c r="W179" s="33" t="s">
        <v>205</v>
      </c>
      <c r="X179" s="33" t="s">
        <v>36</v>
      </c>
      <c r="Y179" s="33" t="s">
        <v>206</v>
      </c>
      <c r="Z179" s="33" t="s">
        <v>31</v>
      </c>
      <c r="AA179" s="33" t="s">
        <v>31</v>
      </c>
      <c r="AB179" s="33" t="s">
        <v>31</v>
      </c>
      <c r="AC179" s="34">
        <v>45937</v>
      </c>
      <c r="AD179" s="34"/>
      <c r="AE179" s="33" t="s">
        <v>31</v>
      </c>
      <c r="AF179" s="19"/>
      <c r="AG179">
        <f>VLOOKUP(I179,'Customer Data'!$B$2:$F$149,4,0)</f>
        <v>106.77</v>
      </c>
    </row>
    <row r="180" spans="1:33" hidden="1" x14ac:dyDescent="0.35">
      <c r="A180" s="32">
        <v>100222345</v>
      </c>
      <c r="B180" s="33" t="s">
        <v>29</v>
      </c>
      <c r="C180" s="34">
        <v>45857</v>
      </c>
      <c r="D180" s="32">
        <v>1800011012</v>
      </c>
      <c r="E180" s="33" t="s">
        <v>57</v>
      </c>
      <c r="F180" s="34">
        <v>45857</v>
      </c>
      <c r="G180" s="34">
        <v>45859</v>
      </c>
      <c r="H180" s="33" t="s">
        <v>54</v>
      </c>
      <c r="I180" s="37">
        <v>256779415772</v>
      </c>
      <c r="J180" s="33" t="s">
        <v>32</v>
      </c>
      <c r="K180" s="33" t="s">
        <v>33</v>
      </c>
      <c r="L180" s="33" t="s">
        <v>31</v>
      </c>
      <c r="M180" s="33" t="s">
        <v>52</v>
      </c>
      <c r="N180" s="33" t="s">
        <v>45</v>
      </c>
      <c r="O180" s="35">
        <v>59.43</v>
      </c>
      <c r="P180" s="33" t="s">
        <v>34</v>
      </c>
      <c r="Q180" s="35">
        <v>5111.0200000000004</v>
      </c>
      <c r="R180" s="35"/>
      <c r="S180" s="35"/>
      <c r="T180" s="33" t="s">
        <v>58</v>
      </c>
      <c r="U180" s="33" t="s">
        <v>35</v>
      </c>
      <c r="V180" s="33" t="s">
        <v>31</v>
      </c>
      <c r="W180" s="33" t="s">
        <v>54</v>
      </c>
      <c r="X180" s="33" t="s">
        <v>36</v>
      </c>
      <c r="Y180" s="33" t="s">
        <v>207</v>
      </c>
      <c r="Z180" s="33" t="s">
        <v>31</v>
      </c>
      <c r="AA180" s="33" t="s">
        <v>31</v>
      </c>
      <c r="AB180" s="33" t="s">
        <v>31</v>
      </c>
      <c r="AC180" s="34">
        <v>45857</v>
      </c>
      <c r="AD180" s="34"/>
      <c r="AE180" s="33" t="s">
        <v>31</v>
      </c>
      <c r="AF180" s="19"/>
      <c r="AG180">
        <f>VLOOKUP(I180,'Customer Data'!$B$2:$F$149,4,0)</f>
        <v>58.24</v>
      </c>
    </row>
    <row r="181" spans="1:33" hidden="1" x14ac:dyDescent="0.35">
      <c r="A181" s="32">
        <v>100222345</v>
      </c>
      <c r="B181" s="33" t="s">
        <v>29</v>
      </c>
      <c r="C181" s="34">
        <v>45948</v>
      </c>
      <c r="D181" s="32">
        <v>1800014148</v>
      </c>
      <c r="E181" s="33" t="s">
        <v>57</v>
      </c>
      <c r="F181" s="34">
        <v>45948</v>
      </c>
      <c r="G181" s="34">
        <v>45951</v>
      </c>
      <c r="H181" s="33" t="s">
        <v>54</v>
      </c>
      <c r="I181" s="37">
        <v>256779418440</v>
      </c>
      <c r="J181" s="33" t="s">
        <v>32</v>
      </c>
      <c r="K181" s="33" t="s">
        <v>33</v>
      </c>
      <c r="L181" s="33" t="s">
        <v>31</v>
      </c>
      <c r="M181" s="33" t="s">
        <v>52</v>
      </c>
      <c r="N181" s="33" t="s">
        <v>45</v>
      </c>
      <c r="O181" s="35">
        <v>246.92</v>
      </c>
      <c r="P181" s="33" t="s">
        <v>34</v>
      </c>
      <c r="Q181" s="35">
        <v>21776.06</v>
      </c>
      <c r="R181" s="35"/>
      <c r="S181" s="35"/>
      <c r="T181" s="33" t="s">
        <v>58</v>
      </c>
      <c r="U181" s="33" t="s">
        <v>35</v>
      </c>
      <c r="V181" s="33" t="s">
        <v>31</v>
      </c>
      <c r="W181" s="33" t="s">
        <v>208</v>
      </c>
      <c r="X181" s="33" t="s">
        <v>36</v>
      </c>
      <c r="Y181" s="33" t="s">
        <v>209</v>
      </c>
      <c r="Z181" s="33" t="s">
        <v>31</v>
      </c>
      <c r="AA181" s="33" t="s">
        <v>31</v>
      </c>
      <c r="AB181" s="33" t="s">
        <v>31</v>
      </c>
      <c r="AC181" s="34">
        <v>45948</v>
      </c>
      <c r="AD181" s="34">
        <v>45976</v>
      </c>
      <c r="AE181" s="33" t="s">
        <v>53</v>
      </c>
      <c r="AF181" s="19"/>
      <c r="AG181" t="e">
        <f>VLOOKUP(I181,'Customer Data'!$B$2:$F$149,4,0)</f>
        <v>#N/A</v>
      </c>
    </row>
    <row r="182" spans="1:33" hidden="1" x14ac:dyDescent="0.35">
      <c r="A182" s="32">
        <v>100222345</v>
      </c>
      <c r="B182" s="33" t="s">
        <v>29</v>
      </c>
      <c r="C182" s="34">
        <v>45815</v>
      </c>
      <c r="D182" s="32">
        <v>1800009470</v>
      </c>
      <c r="E182" s="33" t="s">
        <v>57</v>
      </c>
      <c r="F182" s="34">
        <v>45815</v>
      </c>
      <c r="G182" s="34">
        <v>45817</v>
      </c>
      <c r="H182" s="33" t="s">
        <v>54</v>
      </c>
      <c r="I182" s="37">
        <v>256779414234</v>
      </c>
      <c r="J182" s="33" t="s">
        <v>32</v>
      </c>
      <c r="K182" s="33" t="s">
        <v>33</v>
      </c>
      <c r="L182" s="33" t="s">
        <v>31</v>
      </c>
      <c r="M182" s="33" t="s">
        <v>52</v>
      </c>
      <c r="N182" s="33" t="s">
        <v>45</v>
      </c>
      <c r="O182" s="35">
        <v>925.23</v>
      </c>
      <c r="P182" s="33" t="s">
        <v>34</v>
      </c>
      <c r="Q182" s="35">
        <v>79098.63</v>
      </c>
      <c r="R182" s="35"/>
      <c r="S182" s="35"/>
      <c r="T182" s="33" t="s">
        <v>58</v>
      </c>
      <c r="U182" s="33" t="s">
        <v>35</v>
      </c>
      <c r="V182" s="33" t="s">
        <v>31</v>
      </c>
      <c r="W182" s="33" t="s">
        <v>54</v>
      </c>
      <c r="X182" s="33" t="s">
        <v>36</v>
      </c>
      <c r="Y182" s="33" t="s">
        <v>210</v>
      </c>
      <c r="Z182" s="33" t="s">
        <v>31</v>
      </c>
      <c r="AA182" s="33" t="s">
        <v>31</v>
      </c>
      <c r="AB182" s="33" t="s">
        <v>31</v>
      </c>
      <c r="AC182" s="34">
        <v>45815</v>
      </c>
      <c r="AD182" s="34"/>
      <c r="AE182" s="33" t="s">
        <v>31</v>
      </c>
      <c r="AF182" s="19"/>
      <c r="AG182" t="e">
        <f>VLOOKUP(I182,'Customer Data'!$B$2:$F$149,4,0)</f>
        <v>#N/A</v>
      </c>
    </row>
    <row r="183" spans="1:33" hidden="1" x14ac:dyDescent="0.35">
      <c r="A183" s="32">
        <v>100222345</v>
      </c>
      <c r="B183" s="33" t="s">
        <v>29</v>
      </c>
      <c r="C183" s="34">
        <v>45936</v>
      </c>
      <c r="D183" s="32">
        <v>1800013276</v>
      </c>
      <c r="E183" s="33" t="s">
        <v>57</v>
      </c>
      <c r="F183" s="34">
        <v>45936</v>
      </c>
      <c r="G183" s="34">
        <v>45937</v>
      </c>
      <c r="H183" s="33" t="s">
        <v>54</v>
      </c>
      <c r="I183" s="37">
        <v>256779418012</v>
      </c>
      <c r="J183" s="33" t="s">
        <v>32</v>
      </c>
      <c r="K183" s="33" t="s">
        <v>33</v>
      </c>
      <c r="L183" s="33" t="s">
        <v>31</v>
      </c>
      <c r="M183" s="33" t="s">
        <v>52</v>
      </c>
      <c r="N183" s="33" t="s">
        <v>45</v>
      </c>
      <c r="O183" s="35">
        <v>480.02</v>
      </c>
      <c r="P183" s="33" t="s">
        <v>34</v>
      </c>
      <c r="Q183" s="35">
        <v>42333.33</v>
      </c>
      <c r="R183" s="35"/>
      <c r="S183" s="35"/>
      <c r="T183" s="33" t="s">
        <v>58</v>
      </c>
      <c r="U183" s="33" t="s">
        <v>35</v>
      </c>
      <c r="V183" s="33" t="s">
        <v>31</v>
      </c>
      <c r="W183" s="33" t="s">
        <v>211</v>
      </c>
      <c r="X183" s="33" t="s">
        <v>36</v>
      </c>
      <c r="Y183" s="33" t="s">
        <v>163</v>
      </c>
      <c r="Z183" s="33" t="s">
        <v>31</v>
      </c>
      <c r="AA183" s="33" t="s">
        <v>31</v>
      </c>
      <c r="AB183" s="33" t="s">
        <v>31</v>
      </c>
      <c r="AC183" s="34">
        <v>45936</v>
      </c>
      <c r="AD183" s="34">
        <v>45976</v>
      </c>
      <c r="AE183" s="33" t="s">
        <v>53</v>
      </c>
      <c r="AF183" s="19"/>
      <c r="AG183" t="e">
        <f>VLOOKUP(I183,'Customer Data'!$B$2:$F$149,4,0)</f>
        <v>#N/A</v>
      </c>
    </row>
    <row r="184" spans="1:33" hidden="1" x14ac:dyDescent="0.35">
      <c r="A184" s="32">
        <v>100222345</v>
      </c>
      <c r="B184" s="33" t="s">
        <v>29</v>
      </c>
      <c r="C184" s="34">
        <v>45935</v>
      </c>
      <c r="D184" s="32">
        <v>1800013244</v>
      </c>
      <c r="E184" s="33" t="s">
        <v>57</v>
      </c>
      <c r="F184" s="34">
        <v>45935</v>
      </c>
      <c r="G184" s="34">
        <v>45937</v>
      </c>
      <c r="H184" s="33" t="s">
        <v>54</v>
      </c>
      <c r="I184" s="37">
        <v>256779417860</v>
      </c>
      <c r="J184" s="33" t="s">
        <v>32</v>
      </c>
      <c r="K184" s="33" t="s">
        <v>33</v>
      </c>
      <c r="L184" s="33" t="s">
        <v>31</v>
      </c>
      <c r="M184" s="33" t="s">
        <v>52</v>
      </c>
      <c r="N184" s="33" t="s">
        <v>45</v>
      </c>
      <c r="O184" s="35">
        <v>50</v>
      </c>
      <c r="P184" s="33" t="s">
        <v>34</v>
      </c>
      <c r="Q184" s="35">
        <v>4409.54</v>
      </c>
      <c r="R184" s="35"/>
      <c r="S184" s="35"/>
      <c r="T184" s="33" t="s">
        <v>58</v>
      </c>
      <c r="U184" s="33" t="s">
        <v>35</v>
      </c>
      <c r="V184" s="33" t="s">
        <v>31</v>
      </c>
      <c r="W184" s="33" t="s">
        <v>212</v>
      </c>
      <c r="X184" s="33" t="s">
        <v>36</v>
      </c>
      <c r="Y184" s="33" t="s">
        <v>213</v>
      </c>
      <c r="Z184" s="33" t="s">
        <v>31</v>
      </c>
      <c r="AA184" s="33" t="s">
        <v>31</v>
      </c>
      <c r="AB184" s="33" t="s">
        <v>31</v>
      </c>
      <c r="AC184" s="34">
        <v>45935</v>
      </c>
      <c r="AD184" s="34"/>
      <c r="AE184" s="33" t="s">
        <v>31</v>
      </c>
      <c r="AF184" s="19"/>
      <c r="AG184">
        <f>VLOOKUP(I184,'Customer Data'!$B$2:$F$149,4,0)</f>
        <v>49</v>
      </c>
    </row>
    <row r="185" spans="1:33" hidden="1" x14ac:dyDescent="0.35">
      <c r="A185" s="32">
        <v>100222345</v>
      </c>
      <c r="B185" s="33" t="s">
        <v>29</v>
      </c>
      <c r="C185" s="34">
        <v>45935</v>
      </c>
      <c r="D185" s="32">
        <v>1800013511</v>
      </c>
      <c r="E185" s="33" t="s">
        <v>57</v>
      </c>
      <c r="F185" s="34">
        <v>45935</v>
      </c>
      <c r="G185" s="34">
        <v>45940</v>
      </c>
      <c r="H185" s="33" t="s">
        <v>54</v>
      </c>
      <c r="I185" s="37">
        <v>256779418401</v>
      </c>
      <c r="J185" s="33" t="s">
        <v>32</v>
      </c>
      <c r="K185" s="33" t="s">
        <v>33</v>
      </c>
      <c r="L185" s="33" t="s">
        <v>31</v>
      </c>
      <c r="M185" s="33" t="s">
        <v>52</v>
      </c>
      <c r="N185" s="33" t="s">
        <v>45</v>
      </c>
      <c r="O185" s="35">
        <v>62.52</v>
      </c>
      <c r="P185" s="33" t="s">
        <v>34</v>
      </c>
      <c r="Q185" s="35">
        <v>5513.69</v>
      </c>
      <c r="R185" s="35"/>
      <c r="S185" s="35"/>
      <c r="T185" s="33" t="s">
        <v>58</v>
      </c>
      <c r="U185" s="33" t="s">
        <v>35</v>
      </c>
      <c r="V185" s="33" t="s">
        <v>31</v>
      </c>
      <c r="W185" s="33" t="s">
        <v>214</v>
      </c>
      <c r="X185" s="33" t="s">
        <v>36</v>
      </c>
      <c r="Y185" s="33" t="s">
        <v>215</v>
      </c>
      <c r="Z185" s="33" t="s">
        <v>31</v>
      </c>
      <c r="AA185" s="33" t="s">
        <v>31</v>
      </c>
      <c r="AB185" s="33" t="s">
        <v>31</v>
      </c>
      <c r="AC185" s="34">
        <v>45935</v>
      </c>
      <c r="AD185" s="34"/>
      <c r="AE185" s="33" t="s">
        <v>31</v>
      </c>
      <c r="AF185" s="19"/>
      <c r="AG185" t="e">
        <f>VLOOKUP(I185,'Customer Data'!$B$2:$F$149,4,0)</f>
        <v>#N/A</v>
      </c>
    </row>
    <row r="186" spans="1:33" hidden="1" x14ac:dyDescent="0.35">
      <c r="A186" s="32">
        <v>100222345</v>
      </c>
      <c r="B186" s="33" t="s">
        <v>29</v>
      </c>
      <c r="C186" s="34">
        <v>45906</v>
      </c>
      <c r="D186" s="32">
        <v>1800012469</v>
      </c>
      <c r="E186" s="33" t="s">
        <v>57</v>
      </c>
      <c r="F186" s="34">
        <v>45906</v>
      </c>
      <c r="G186" s="34">
        <v>45909</v>
      </c>
      <c r="H186" s="33" t="s">
        <v>54</v>
      </c>
      <c r="I186" s="37">
        <v>256779417077</v>
      </c>
      <c r="J186" s="33" t="s">
        <v>32</v>
      </c>
      <c r="K186" s="33" t="s">
        <v>33</v>
      </c>
      <c r="L186" s="33" t="s">
        <v>31</v>
      </c>
      <c r="M186" s="33" t="s">
        <v>52</v>
      </c>
      <c r="N186" s="33" t="s">
        <v>45</v>
      </c>
      <c r="O186" s="35">
        <v>565.97</v>
      </c>
      <c r="P186" s="33" t="s">
        <v>34</v>
      </c>
      <c r="Q186" s="35">
        <v>49530.49</v>
      </c>
      <c r="R186" s="35"/>
      <c r="S186" s="35"/>
      <c r="T186" s="33" t="s">
        <v>58</v>
      </c>
      <c r="U186" s="33" t="s">
        <v>35</v>
      </c>
      <c r="V186" s="33" t="s">
        <v>31</v>
      </c>
      <c r="W186" s="33" t="s">
        <v>54</v>
      </c>
      <c r="X186" s="33" t="s">
        <v>36</v>
      </c>
      <c r="Y186" s="33" t="s">
        <v>216</v>
      </c>
      <c r="Z186" s="33" t="s">
        <v>31</v>
      </c>
      <c r="AA186" s="33" t="s">
        <v>31</v>
      </c>
      <c r="AB186" s="33" t="s">
        <v>31</v>
      </c>
      <c r="AC186" s="34">
        <v>45906</v>
      </c>
      <c r="AD186" s="34"/>
      <c r="AE186" s="33" t="s">
        <v>31</v>
      </c>
      <c r="AF186" s="19"/>
      <c r="AG186">
        <f>VLOOKUP(I186,'Customer Data'!$B$2:$F$149,4,0)</f>
        <v>509.36</v>
      </c>
    </row>
    <row r="187" spans="1:33" x14ac:dyDescent="0.35">
      <c r="A187" s="32">
        <v>100222345</v>
      </c>
      <c r="B187" s="33" t="s">
        <v>29</v>
      </c>
      <c r="C187" s="34">
        <v>46024</v>
      </c>
      <c r="D187" s="32">
        <v>1800015672</v>
      </c>
      <c r="E187" s="33" t="s">
        <v>57</v>
      </c>
      <c r="F187" s="34">
        <v>46024</v>
      </c>
      <c r="G187" s="34">
        <v>46024</v>
      </c>
      <c r="H187" s="33" t="s">
        <v>54</v>
      </c>
      <c r="I187" s="37">
        <v>256779440005</v>
      </c>
      <c r="J187" s="33" t="s">
        <v>32</v>
      </c>
      <c r="K187" s="33" t="s">
        <v>33</v>
      </c>
      <c r="L187" s="33" t="s">
        <v>31</v>
      </c>
      <c r="M187" s="33" t="s">
        <v>52</v>
      </c>
      <c r="N187" s="33" t="s">
        <v>45</v>
      </c>
      <c r="O187" s="35">
        <v>451.3</v>
      </c>
      <c r="P187" s="33" t="s">
        <v>34</v>
      </c>
      <c r="Q187" s="35">
        <v>40952.379999999997</v>
      </c>
      <c r="R187" s="35"/>
      <c r="S187" s="35"/>
      <c r="T187" s="33" t="s">
        <v>58</v>
      </c>
      <c r="U187" s="33" t="s">
        <v>35</v>
      </c>
      <c r="V187" s="33" t="s">
        <v>31</v>
      </c>
      <c r="W187" s="33" t="s">
        <v>217</v>
      </c>
      <c r="X187" s="33" t="s">
        <v>36</v>
      </c>
      <c r="Y187" s="33" t="s">
        <v>218</v>
      </c>
      <c r="Z187" s="33" t="s">
        <v>31</v>
      </c>
      <c r="AA187" s="33" t="s">
        <v>31</v>
      </c>
      <c r="AB187" s="33" t="s">
        <v>31</v>
      </c>
      <c r="AC187" s="34">
        <v>46024</v>
      </c>
      <c r="AD187" s="34"/>
      <c r="AE187" s="33" t="s">
        <v>31</v>
      </c>
      <c r="AF187" s="19"/>
      <c r="AG187">
        <f>VLOOKUP(I187,'Customer Data'!$B$2:$F$149,4,0)</f>
        <v>406.16300000000001</v>
      </c>
    </row>
    <row r="188" spans="1:33" x14ac:dyDescent="0.35">
      <c r="A188" s="32">
        <v>100222345</v>
      </c>
      <c r="B188" s="33" t="s">
        <v>29</v>
      </c>
      <c r="C188" s="34">
        <v>46027</v>
      </c>
      <c r="D188" s="32">
        <v>1600002686</v>
      </c>
      <c r="E188" s="33" t="s">
        <v>82</v>
      </c>
      <c r="F188" s="34">
        <v>46027</v>
      </c>
      <c r="G188" s="34">
        <v>46027</v>
      </c>
      <c r="H188" s="33" t="s">
        <v>54</v>
      </c>
      <c r="I188" s="37">
        <v>256779422156</v>
      </c>
      <c r="J188" s="33" t="s">
        <v>32</v>
      </c>
      <c r="K188" s="33" t="s">
        <v>33</v>
      </c>
      <c r="L188" s="33" t="s">
        <v>31</v>
      </c>
      <c r="M188" s="33" t="s">
        <v>51</v>
      </c>
      <c r="N188" s="33" t="s">
        <v>45</v>
      </c>
      <c r="O188" s="35">
        <v>-59.62</v>
      </c>
      <c r="P188" s="33" t="s">
        <v>34</v>
      </c>
      <c r="Q188" s="35">
        <v>-5410.11</v>
      </c>
      <c r="R188" s="35"/>
      <c r="S188" s="35"/>
      <c r="T188" s="33" t="s">
        <v>58</v>
      </c>
      <c r="U188" s="33" t="s">
        <v>35</v>
      </c>
      <c r="V188" s="33" t="s">
        <v>31</v>
      </c>
      <c r="W188" s="33" t="s">
        <v>219</v>
      </c>
      <c r="X188" s="33" t="s">
        <v>36</v>
      </c>
      <c r="Y188" s="33" t="s">
        <v>220</v>
      </c>
      <c r="Z188" s="33" t="s">
        <v>31</v>
      </c>
      <c r="AA188" s="33" t="s">
        <v>31</v>
      </c>
      <c r="AB188" s="33" t="s">
        <v>31</v>
      </c>
      <c r="AC188" s="34">
        <v>46027</v>
      </c>
      <c r="AD188" s="34"/>
      <c r="AE188" s="33" t="s">
        <v>31</v>
      </c>
      <c r="AF188" s="19"/>
      <c r="AG188" t="e">
        <f>VLOOKUP(I188,'Customer Data'!$B$2:$F$149,4,0)</f>
        <v>#N/A</v>
      </c>
    </row>
    <row r="189" spans="1:33" x14ac:dyDescent="0.35">
      <c r="A189" s="32">
        <v>100222345</v>
      </c>
      <c r="B189" s="33" t="s">
        <v>29</v>
      </c>
      <c r="C189" s="34">
        <v>46027</v>
      </c>
      <c r="D189" s="32">
        <v>1600002687</v>
      </c>
      <c r="E189" s="33" t="s">
        <v>82</v>
      </c>
      <c r="F189" s="34">
        <v>46027</v>
      </c>
      <c r="G189" s="34">
        <v>46027</v>
      </c>
      <c r="H189" s="33" t="s">
        <v>54</v>
      </c>
      <c r="I189" s="37">
        <v>256779422157</v>
      </c>
      <c r="J189" s="33" t="s">
        <v>32</v>
      </c>
      <c r="K189" s="33" t="s">
        <v>33</v>
      </c>
      <c r="L189" s="33" t="s">
        <v>31</v>
      </c>
      <c r="M189" s="33" t="s">
        <v>51</v>
      </c>
      <c r="N189" s="33" t="s">
        <v>45</v>
      </c>
      <c r="O189" s="35">
        <v>-49.33</v>
      </c>
      <c r="P189" s="33" t="s">
        <v>34</v>
      </c>
      <c r="Q189" s="35">
        <v>-4476.3599999999997</v>
      </c>
      <c r="R189" s="35"/>
      <c r="S189" s="35"/>
      <c r="T189" s="33" t="s">
        <v>58</v>
      </c>
      <c r="U189" s="33" t="s">
        <v>35</v>
      </c>
      <c r="V189" s="33" t="s">
        <v>31</v>
      </c>
      <c r="W189" s="33" t="s">
        <v>219</v>
      </c>
      <c r="X189" s="33" t="s">
        <v>36</v>
      </c>
      <c r="Y189" s="33" t="s">
        <v>220</v>
      </c>
      <c r="Z189" s="33" t="s">
        <v>31</v>
      </c>
      <c r="AA189" s="33" t="s">
        <v>31</v>
      </c>
      <c r="AB189" s="33" t="s">
        <v>31</v>
      </c>
      <c r="AC189" s="34">
        <v>46027</v>
      </c>
      <c r="AD189" s="34"/>
      <c r="AE189" s="33" t="s">
        <v>31</v>
      </c>
      <c r="AF189" s="19"/>
      <c r="AG189" t="e">
        <f>VLOOKUP(I189,'Customer Data'!$B$2:$F$149,4,0)</f>
        <v>#N/A</v>
      </c>
    </row>
    <row r="190" spans="1:33" x14ac:dyDescent="0.35">
      <c r="A190" s="32">
        <v>100222345</v>
      </c>
      <c r="B190" s="33" t="s">
        <v>29</v>
      </c>
      <c r="C190" s="34">
        <v>46027</v>
      </c>
      <c r="D190" s="32">
        <v>1600002698</v>
      </c>
      <c r="E190" s="33" t="s">
        <v>82</v>
      </c>
      <c r="F190" s="34">
        <v>46027</v>
      </c>
      <c r="G190" s="34">
        <v>46027</v>
      </c>
      <c r="H190" s="33" t="s">
        <v>54</v>
      </c>
      <c r="I190" s="37">
        <v>256779422168</v>
      </c>
      <c r="J190" s="33" t="s">
        <v>32</v>
      </c>
      <c r="K190" s="33" t="s">
        <v>33</v>
      </c>
      <c r="L190" s="33" t="s">
        <v>31</v>
      </c>
      <c r="M190" s="33" t="s">
        <v>51</v>
      </c>
      <c r="N190" s="33" t="s">
        <v>45</v>
      </c>
      <c r="O190" s="35">
        <v>-27.64</v>
      </c>
      <c r="P190" s="33" t="s">
        <v>34</v>
      </c>
      <c r="Q190" s="35">
        <v>-2508.14</v>
      </c>
      <c r="R190" s="35"/>
      <c r="S190" s="35"/>
      <c r="T190" s="33" t="s">
        <v>58</v>
      </c>
      <c r="U190" s="33" t="s">
        <v>35</v>
      </c>
      <c r="V190" s="33" t="s">
        <v>31</v>
      </c>
      <c r="W190" s="33" t="s">
        <v>219</v>
      </c>
      <c r="X190" s="33" t="s">
        <v>36</v>
      </c>
      <c r="Y190" s="33" t="s">
        <v>221</v>
      </c>
      <c r="Z190" s="33" t="s">
        <v>31</v>
      </c>
      <c r="AA190" s="33" t="s">
        <v>31</v>
      </c>
      <c r="AB190" s="33" t="s">
        <v>31</v>
      </c>
      <c r="AC190" s="34">
        <v>46027</v>
      </c>
      <c r="AD190" s="34"/>
      <c r="AE190" s="33" t="s">
        <v>31</v>
      </c>
      <c r="AF190" s="19"/>
      <c r="AG190" t="e">
        <f>VLOOKUP(I190,'Customer Data'!$B$2:$F$149,4,0)</f>
        <v>#N/A</v>
      </c>
    </row>
    <row r="191" spans="1:33" x14ac:dyDescent="0.35">
      <c r="A191" s="32">
        <v>100222345</v>
      </c>
      <c r="B191" s="33" t="s">
        <v>29</v>
      </c>
      <c r="C191" s="34">
        <v>46027</v>
      </c>
      <c r="D191" s="32">
        <v>1800015986</v>
      </c>
      <c r="E191" s="33" t="s">
        <v>57</v>
      </c>
      <c r="F191" s="34">
        <v>46027</v>
      </c>
      <c r="G191" s="34">
        <v>46027</v>
      </c>
      <c r="H191" s="33" t="s">
        <v>54</v>
      </c>
      <c r="I191" s="37">
        <v>256779440070</v>
      </c>
      <c r="J191" s="33" t="s">
        <v>32</v>
      </c>
      <c r="K191" s="33" t="s">
        <v>33</v>
      </c>
      <c r="L191" s="33" t="s">
        <v>31</v>
      </c>
      <c r="M191" s="33" t="s">
        <v>52</v>
      </c>
      <c r="N191" s="33" t="s">
        <v>45</v>
      </c>
      <c r="O191" s="35">
        <v>7.18</v>
      </c>
      <c r="P191" s="33" t="s">
        <v>34</v>
      </c>
      <c r="Q191" s="35">
        <v>651.54</v>
      </c>
      <c r="R191" s="35"/>
      <c r="S191" s="35"/>
      <c r="T191" s="33" t="s">
        <v>58</v>
      </c>
      <c r="U191" s="33" t="s">
        <v>35</v>
      </c>
      <c r="V191" s="33" t="s">
        <v>31</v>
      </c>
      <c r="W191" s="33" t="s">
        <v>222</v>
      </c>
      <c r="X191" s="33" t="s">
        <v>36</v>
      </c>
      <c r="Y191" s="33" t="s">
        <v>223</v>
      </c>
      <c r="Z191" s="33" t="s">
        <v>31</v>
      </c>
      <c r="AA191" s="33" t="s">
        <v>31</v>
      </c>
      <c r="AB191" s="33" t="s">
        <v>31</v>
      </c>
      <c r="AC191" s="34">
        <v>46027</v>
      </c>
      <c r="AD191" s="34"/>
      <c r="AE191" s="33" t="s">
        <v>31</v>
      </c>
      <c r="AF191" s="19"/>
      <c r="AG191">
        <f>VLOOKUP(I191,'Customer Data'!$B$2:$F$149,4,0)</f>
        <v>7.04</v>
      </c>
    </row>
    <row r="192" spans="1:33" x14ac:dyDescent="0.35">
      <c r="A192" s="32">
        <v>100222345</v>
      </c>
      <c r="B192" s="33" t="s">
        <v>29</v>
      </c>
      <c r="C192" s="34">
        <v>46027</v>
      </c>
      <c r="D192" s="32">
        <v>1800015968</v>
      </c>
      <c r="E192" s="33" t="s">
        <v>57</v>
      </c>
      <c r="F192" s="34">
        <v>46027</v>
      </c>
      <c r="G192" s="34">
        <v>46027</v>
      </c>
      <c r="H192" s="33" t="s">
        <v>224</v>
      </c>
      <c r="I192" s="37">
        <v>256779440082</v>
      </c>
      <c r="J192" s="33" t="s">
        <v>32</v>
      </c>
      <c r="K192" s="33" t="s">
        <v>33</v>
      </c>
      <c r="L192" s="33" t="s">
        <v>31</v>
      </c>
      <c r="M192" s="33" t="s">
        <v>52</v>
      </c>
      <c r="N192" s="33" t="s">
        <v>45</v>
      </c>
      <c r="O192" s="35">
        <v>2.25</v>
      </c>
      <c r="P192" s="33" t="s">
        <v>34</v>
      </c>
      <c r="Q192" s="35">
        <v>204.17</v>
      </c>
      <c r="R192" s="35"/>
      <c r="S192" s="35"/>
      <c r="T192" s="33" t="s">
        <v>58</v>
      </c>
      <c r="U192" s="33" t="s">
        <v>35</v>
      </c>
      <c r="V192" s="33" t="s">
        <v>31</v>
      </c>
      <c r="W192" s="33" t="s">
        <v>54</v>
      </c>
      <c r="X192" s="33" t="s">
        <v>36</v>
      </c>
      <c r="Y192" s="33" t="s">
        <v>225</v>
      </c>
      <c r="Z192" s="33" t="s">
        <v>31</v>
      </c>
      <c r="AA192" s="33" t="s">
        <v>31</v>
      </c>
      <c r="AB192" s="33" t="s">
        <v>31</v>
      </c>
      <c r="AC192" s="34">
        <v>46027</v>
      </c>
      <c r="AD192" s="34"/>
      <c r="AE192" s="33" t="s">
        <v>31</v>
      </c>
      <c r="AF192" s="19"/>
      <c r="AG192">
        <f>VLOOKUP(I192,'Customer Data'!$B$2:$F$149,4,0)</f>
        <v>2.2000000000000002</v>
      </c>
    </row>
    <row r="193" spans="1:35" x14ac:dyDescent="0.35">
      <c r="A193" s="32">
        <v>100222345</v>
      </c>
      <c r="B193" s="33" t="s">
        <v>29</v>
      </c>
      <c r="C193" s="34">
        <v>46027</v>
      </c>
      <c r="D193" s="32">
        <v>1800016055</v>
      </c>
      <c r="E193" s="33" t="s">
        <v>57</v>
      </c>
      <c r="F193" s="34">
        <v>46027</v>
      </c>
      <c r="G193" s="34">
        <v>46027</v>
      </c>
      <c r="H193" s="33" t="s">
        <v>226</v>
      </c>
      <c r="I193" s="37">
        <v>256779440102</v>
      </c>
      <c r="J193" s="33" t="s">
        <v>32</v>
      </c>
      <c r="K193" s="33" t="s">
        <v>33</v>
      </c>
      <c r="L193" s="33" t="s">
        <v>31</v>
      </c>
      <c r="M193" s="33" t="s">
        <v>52</v>
      </c>
      <c r="N193" s="33" t="s">
        <v>45</v>
      </c>
      <c r="O193" s="35">
        <v>20.39</v>
      </c>
      <c r="P193" s="33" t="s">
        <v>34</v>
      </c>
      <c r="Q193" s="35">
        <v>1850.25</v>
      </c>
      <c r="R193" s="35"/>
      <c r="S193" s="35"/>
      <c r="T193" s="33" t="s">
        <v>58</v>
      </c>
      <c r="U193" s="33" t="s">
        <v>35</v>
      </c>
      <c r="V193" s="33" t="s">
        <v>31</v>
      </c>
      <c r="W193" s="33" t="s">
        <v>54</v>
      </c>
      <c r="X193" s="33" t="s">
        <v>36</v>
      </c>
      <c r="Y193" s="33" t="s">
        <v>227</v>
      </c>
      <c r="Z193" s="33" t="s">
        <v>31</v>
      </c>
      <c r="AA193" s="33" t="s">
        <v>31</v>
      </c>
      <c r="AB193" s="33" t="s">
        <v>31</v>
      </c>
      <c r="AC193" s="34">
        <v>46027</v>
      </c>
      <c r="AD193" s="34"/>
      <c r="AE193" s="33" t="s">
        <v>31</v>
      </c>
      <c r="AF193" s="19"/>
      <c r="AG193">
        <f>VLOOKUP(I193,'Customer Data'!$B$2:$F$149,4,0)</f>
        <v>19.98</v>
      </c>
    </row>
    <row r="194" spans="1:35" x14ac:dyDescent="0.35">
      <c r="A194" s="32">
        <v>100222345</v>
      </c>
      <c r="B194" s="33" t="s">
        <v>29</v>
      </c>
      <c r="C194" s="34">
        <v>46027</v>
      </c>
      <c r="D194" s="32">
        <v>1800016090</v>
      </c>
      <c r="E194" s="33" t="s">
        <v>57</v>
      </c>
      <c r="F194" s="34">
        <v>46027</v>
      </c>
      <c r="G194" s="34">
        <v>46027</v>
      </c>
      <c r="H194" s="33" t="s">
        <v>228</v>
      </c>
      <c r="I194" s="37">
        <v>256779440119</v>
      </c>
      <c r="J194" s="33" t="s">
        <v>32</v>
      </c>
      <c r="K194" s="33" t="s">
        <v>33</v>
      </c>
      <c r="L194" s="33" t="s">
        <v>31</v>
      </c>
      <c r="M194" s="33" t="s">
        <v>52</v>
      </c>
      <c r="N194" s="33" t="s">
        <v>45</v>
      </c>
      <c r="O194" s="35">
        <v>17.25</v>
      </c>
      <c r="P194" s="33" t="s">
        <v>34</v>
      </c>
      <c r="Q194" s="35">
        <v>1565.32</v>
      </c>
      <c r="R194" s="35"/>
      <c r="S194" s="35"/>
      <c r="T194" s="33" t="s">
        <v>58</v>
      </c>
      <c r="U194" s="33" t="s">
        <v>35</v>
      </c>
      <c r="V194" s="33" t="s">
        <v>31</v>
      </c>
      <c r="W194" s="33" t="s">
        <v>54</v>
      </c>
      <c r="X194" s="33" t="s">
        <v>36</v>
      </c>
      <c r="Y194" s="33" t="s">
        <v>229</v>
      </c>
      <c r="Z194" s="33" t="s">
        <v>31</v>
      </c>
      <c r="AA194" s="33" t="s">
        <v>31</v>
      </c>
      <c r="AB194" s="33" t="s">
        <v>31</v>
      </c>
      <c r="AC194" s="34">
        <v>46027</v>
      </c>
      <c r="AD194" s="34"/>
      <c r="AE194" s="33" t="s">
        <v>31</v>
      </c>
      <c r="AF194" s="19"/>
      <c r="AG194">
        <f>VLOOKUP(I194,'Customer Data'!$B$2:$F$149,4,0)</f>
        <v>16.899999999999999</v>
      </c>
    </row>
    <row r="195" spans="1:35" x14ac:dyDescent="0.35">
      <c r="A195" s="32">
        <v>100222345</v>
      </c>
      <c r="B195" s="33" t="s">
        <v>29</v>
      </c>
      <c r="C195" s="34">
        <v>46028</v>
      </c>
      <c r="D195" s="32">
        <v>1800016346</v>
      </c>
      <c r="E195" s="33" t="s">
        <v>57</v>
      </c>
      <c r="F195" s="34">
        <v>46028</v>
      </c>
      <c r="G195" s="34">
        <v>46034</v>
      </c>
      <c r="H195" s="33" t="s">
        <v>230</v>
      </c>
      <c r="I195" s="37">
        <v>256779440236</v>
      </c>
      <c r="J195" s="33" t="s">
        <v>32</v>
      </c>
      <c r="K195" s="33" t="s">
        <v>33</v>
      </c>
      <c r="L195" s="33" t="s">
        <v>31</v>
      </c>
      <c r="M195" s="33" t="s">
        <v>52</v>
      </c>
      <c r="N195" s="33" t="s">
        <v>45</v>
      </c>
      <c r="O195" s="35">
        <v>505.23</v>
      </c>
      <c r="P195" s="33" t="s">
        <v>34</v>
      </c>
      <c r="Q195" s="35">
        <v>45846.16</v>
      </c>
      <c r="R195" s="35"/>
      <c r="S195" s="35"/>
      <c r="T195" s="33" t="s">
        <v>58</v>
      </c>
      <c r="U195" s="33" t="s">
        <v>35</v>
      </c>
      <c r="V195" s="33" t="s">
        <v>31</v>
      </c>
      <c r="W195" s="33" t="s">
        <v>54</v>
      </c>
      <c r="X195" s="33" t="s">
        <v>36</v>
      </c>
      <c r="Y195" s="33" t="s">
        <v>231</v>
      </c>
      <c r="Z195" s="33" t="s">
        <v>31</v>
      </c>
      <c r="AA195" s="33" t="s">
        <v>31</v>
      </c>
      <c r="AB195" s="33" t="s">
        <v>31</v>
      </c>
      <c r="AC195" s="34">
        <v>46028</v>
      </c>
      <c r="AD195" s="34"/>
      <c r="AE195" s="33" t="s">
        <v>31</v>
      </c>
      <c r="AF195" s="19"/>
      <c r="AG195">
        <f>VLOOKUP(I195,'Customer Data'!$B$2:$F$149,4,0)</f>
        <v>454.71</v>
      </c>
    </row>
    <row r="196" spans="1:35" x14ac:dyDescent="0.35">
      <c r="A196" s="32">
        <v>100222345</v>
      </c>
      <c r="B196" s="33" t="s">
        <v>29</v>
      </c>
      <c r="C196" s="34">
        <v>46028</v>
      </c>
      <c r="D196" s="32">
        <v>1800016543</v>
      </c>
      <c r="E196" s="33" t="s">
        <v>57</v>
      </c>
      <c r="F196" s="34">
        <v>46028</v>
      </c>
      <c r="G196" s="34">
        <v>46035</v>
      </c>
      <c r="H196" s="33" t="s">
        <v>232</v>
      </c>
      <c r="I196" s="37">
        <v>256779440305</v>
      </c>
      <c r="J196" s="33" t="s">
        <v>32</v>
      </c>
      <c r="K196" s="33" t="s">
        <v>33</v>
      </c>
      <c r="L196" s="33" t="s">
        <v>31</v>
      </c>
      <c r="M196" s="33" t="s">
        <v>52</v>
      </c>
      <c r="N196" s="33" t="s">
        <v>34</v>
      </c>
      <c r="O196" s="35">
        <v>100000</v>
      </c>
      <c r="P196" s="33" t="s">
        <v>34</v>
      </c>
      <c r="Q196" s="35">
        <v>100000</v>
      </c>
      <c r="R196" s="35"/>
      <c r="S196" s="35"/>
      <c r="T196" s="33" t="s">
        <v>58</v>
      </c>
      <c r="U196" s="33" t="s">
        <v>35</v>
      </c>
      <c r="V196" s="33" t="s">
        <v>31</v>
      </c>
      <c r="W196" s="33" t="s">
        <v>54</v>
      </c>
      <c r="X196" s="33" t="s">
        <v>36</v>
      </c>
      <c r="Y196" s="33" t="s">
        <v>233</v>
      </c>
      <c r="Z196" s="33" t="s">
        <v>31</v>
      </c>
      <c r="AA196" s="33" t="s">
        <v>31</v>
      </c>
      <c r="AB196" s="33" t="s">
        <v>31</v>
      </c>
      <c r="AC196" s="34">
        <v>46028</v>
      </c>
      <c r="AD196" s="34"/>
      <c r="AE196" s="33" t="s">
        <v>31</v>
      </c>
      <c r="AF196" s="19"/>
      <c r="AG196">
        <f>VLOOKUP(I196,'Customer Data'!$B$2:$F$149,4,0)</f>
        <v>991.81</v>
      </c>
    </row>
    <row r="197" spans="1:35" x14ac:dyDescent="0.35">
      <c r="A197" s="32">
        <v>100222345</v>
      </c>
      <c r="B197" s="33" t="s">
        <v>29</v>
      </c>
      <c r="C197" s="34">
        <v>46035</v>
      </c>
      <c r="D197" s="32">
        <v>1600002738</v>
      </c>
      <c r="E197" s="33" t="s">
        <v>82</v>
      </c>
      <c r="F197" s="34">
        <v>46035</v>
      </c>
      <c r="G197" s="34">
        <v>46035</v>
      </c>
      <c r="H197" s="33" t="s">
        <v>234</v>
      </c>
      <c r="I197" s="37">
        <v>256779422208</v>
      </c>
      <c r="J197" s="33" t="s">
        <v>32</v>
      </c>
      <c r="K197" s="33" t="s">
        <v>33</v>
      </c>
      <c r="L197" s="33" t="s">
        <v>31</v>
      </c>
      <c r="M197" s="33" t="s">
        <v>51</v>
      </c>
      <c r="N197" s="33" t="s">
        <v>45</v>
      </c>
      <c r="O197" s="35">
        <v>-23.92</v>
      </c>
      <c r="P197" s="33" t="s">
        <v>34</v>
      </c>
      <c r="Q197" s="35">
        <v>-2170.58</v>
      </c>
      <c r="R197" s="35"/>
      <c r="S197" s="35"/>
      <c r="T197" s="33" t="s">
        <v>58</v>
      </c>
      <c r="U197" s="33" t="s">
        <v>35</v>
      </c>
      <c r="V197" s="33" t="s">
        <v>31</v>
      </c>
      <c r="W197" s="33" t="s">
        <v>54</v>
      </c>
      <c r="X197" s="33" t="s">
        <v>36</v>
      </c>
      <c r="Y197" s="33" t="s">
        <v>235</v>
      </c>
      <c r="Z197" s="33" t="s">
        <v>31</v>
      </c>
      <c r="AA197" s="33" t="s">
        <v>31</v>
      </c>
      <c r="AB197" s="33" t="s">
        <v>31</v>
      </c>
      <c r="AC197" s="34">
        <v>46035</v>
      </c>
      <c r="AD197" s="34"/>
      <c r="AE197" s="33" t="s">
        <v>31</v>
      </c>
      <c r="AF197" s="19"/>
      <c r="AG197">
        <f>VLOOKUP(I197,'Customer Data'!$B$2:$F$149,4,0)</f>
        <v>-21.53</v>
      </c>
      <c r="AH197" s="42">
        <f>O197-AG197</f>
        <v>-2.3900000000000006</v>
      </c>
      <c r="AI197">
        <f>AH197/O197*100</f>
        <v>9.9916387959866242</v>
      </c>
    </row>
    <row r="198" spans="1:35" x14ac:dyDescent="0.35">
      <c r="A198" s="32">
        <v>100222345</v>
      </c>
      <c r="B198" s="33" t="s">
        <v>29</v>
      </c>
      <c r="C198" s="34">
        <v>46035</v>
      </c>
      <c r="D198" s="32">
        <v>1600002739</v>
      </c>
      <c r="E198" s="33" t="s">
        <v>82</v>
      </c>
      <c r="F198" s="34">
        <v>46035</v>
      </c>
      <c r="G198" s="34">
        <v>46035</v>
      </c>
      <c r="H198" s="33" t="s">
        <v>234</v>
      </c>
      <c r="I198" s="37">
        <v>256779422209</v>
      </c>
      <c r="J198" s="33" t="s">
        <v>32</v>
      </c>
      <c r="K198" s="33" t="s">
        <v>33</v>
      </c>
      <c r="L198" s="33" t="s">
        <v>31</v>
      </c>
      <c r="M198" s="33" t="s">
        <v>51</v>
      </c>
      <c r="N198" s="33" t="s">
        <v>45</v>
      </c>
      <c r="O198" s="35">
        <v>-45.63</v>
      </c>
      <c r="P198" s="33" t="s">
        <v>34</v>
      </c>
      <c r="Q198" s="35">
        <v>-4140.6099999999997</v>
      </c>
      <c r="R198" s="35"/>
      <c r="S198" s="35"/>
      <c r="T198" s="33" t="s">
        <v>58</v>
      </c>
      <c r="U198" s="33" t="s">
        <v>35</v>
      </c>
      <c r="V198" s="33" t="s">
        <v>31</v>
      </c>
      <c r="W198" s="33" t="s">
        <v>54</v>
      </c>
      <c r="X198" s="33" t="s">
        <v>36</v>
      </c>
      <c r="Y198" s="33" t="s">
        <v>236</v>
      </c>
      <c r="Z198" s="33" t="s">
        <v>31</v>
      </c>
      <c r="AA198" s="33" t="s">
        <v>31</v>
      </c>
      <c r="AB198" s="33" t="s">
        <v>31</v>
      </c>
      <c r="AC198" s="34">
        <v>46035</v>
      </c>
      <c r="AD198" s="34"/>
      <c r="AE198" s="33" t="s">
        <v>31</v>
      </c>
      <c r="AF198" s="19"/>
      <c r="AG198">
        <f>VLOOKUP(I198,'Customer Data'!$B$2:$F$149,4,0)</f>
        <v>-41.07</v>
      </c>
      <c r="AH198" s="42">
        <f>O198-AG198</f>
        <v>-4.5600000000000023</v>
      </c>
      <c r="AI198">
        <f>AH198/O198*100</f>
        <v>9.9934253780407669</v>
      </c>
    </row>
    <row r="199" spans="1:35" x14ac:dyDescent="0.35">
      <c r="A199" s="32">
        <v>100222345</v>
      </c>
      <c r="B199" s="33" t="s">
        <v>29</v>
      </c>
      <c r="C199" s="34">
        <v>46035</v>
      </c>
      <c r="D199" s="32">
        <v>1600002740</v>
      </c>
      <c r="E199" s="33" t="s">
        <v>82</v>
      </c>
      <c r="F199" s="34">
        <v>46035</v>
      </c>
      <c r="G199" s="34">
        <v>46035</v>
      </c>
      <c r="H199" s="33" t="s">
        <v>234</v>
      </c>
      <c r="I199" s="37">
        <v>256779422210</v>
      </c>
      <c r="J199" s="33" t="s">
        <v>32</v>
      </c>
      <c r="K199" s="33" t="s">
        <v>33</v>
      </c>
      <c r="L199" s="33" t="s">
        <v>31</v>
      </c>
      <c r="M199" s="33" t="s">
        <v>51</v>
      </c>
      <c r="N199" s="33" t="s">
        <v>45</v>
      </c>
      <c r="O199" s="35">
        <v>-22.64</v>
      </c>
      <c r="P199" s="33" t="s">
        <v>34</v>
      </c>
      <c r="Q199" s="35">
        <v>-2054.42</v>
      </c>
      <c r="R199" s="35"/>
      <c r="S199" s="35"/>
      <c r="T199" s="33" t="s">
        <v>58</v>
      </c>
      <c r="U199" s="33" t="s">
        <v>35</v>
      </c>
      <c r="V199" s="33" t="s">
        <v>31</v>
      </c>
      <c r="W199" s="33" t="s">
        <v>54</v>
      </c>
      <c r="X199" s="33" t="s">
        <v>36</v>
      </c>
      <c r="Y199" s="33" t="s">
        <v>237</v>
      </c>
      <c r="Z199" s="33" t="s">
        <v>31</v>
      </c>
      <c r="AA199" s="33" t="s">
        <v>31</v>
      </c>
      <c r="AB199" s="33" t="s">
        <v>31</v>
      </c>
      <c r="AC199" s="34">
        <v>46035</v>
      </c>
      <c r="AD199" s="34"/>
      <c r="AE199" s="33" t="s">
        <v>31</v>
      </c>
      <c r="AF199" s="19"/>
      <c r="AG199" t="e">
        <f>VLOOKUP(I199,'Customer Data'!$B$2:$F$149,4,0)</f>
        <v>#N/A</v>
      </c>
    </row>
    <row r="200" spans="1:35" x14ac:dyDescent="0.35">
      <c r="A200" s="32">
        <v>100222345</v>
      </c>
      <c r="B200" s="33" t="s">
        <v>29</v>
      </c>
      <c r="C200" s="34">
        <v>46035</v>
      </c>
      <c r="D200" s="32">
        <v>1600002741</v>
      </c>
      <c r="E200" s="33" t="s">
        <v>82</v>
      </c>
      <c r="F200" s="34">
        <v>46035</v>
      </c>
      <c r="G200" s="34">
        <v>46035</v>
      </c>
      <c r="H200" s="33" t="s">
        <v>234</v>
      </c>
      <c r="I200" s="37">
        <v>256779422211</v>
      </c>
      <c r="J200" s="33" t="s">
        <v>32</v>
      </c>
      <c r="K200" s="33" t="s">
        <v>33</v>
      </c>
      <c r="L200" s="33" t="s">
        <v>31</v>
      </c>
      <c r="M200" s="33" t="s">
        <v>51</v>
      </c>
      <c r="N200" s="33" t="s">
        <v>45</v>
      </c>
      <c r="O200" s="35">
        <v>-21.96</v>
      </c>
      <c r="P200" s="33" t="s">
        <v>34</v>
      </c>
      <c r="Q200" s="35">
        <v>-1992.72</v>
      </c>
      <c r="R200" s="35"/>
      <c r="S200" s="35"/>
      <c r="T200" s="33" t="s">
        <v>58</v>
      </c>
      <c r="U200" s="33" t="s">
        <v>35</v>
      </c>
      <c r="V200" s="33" t="s">
        <v>31</v>
      </c>
      <c r="W200" s="33" t="s">
        <v>54</v>
      </c>
      <c r="X200" s="33" t="s">
        <v>36</v>
      </c>
      <c r="Y200" s="33" t="s">
        <v>238</v>
      </c>
      <c r="Z200" s="33" t="s">
        <v>31</v>
      </c>
      <c r="AA200" s="33" t="s">
        <v>31</v>
      </c>
      <c r="AB200" s="33" t="s">
        <v>31</v>
      </c>
      <c r="AC200" s="34">
        <v>46035</v>
      </c>
      <c r="AD200" s="34"/>
      <c r="AE200" s="33" t="s">
        <v>31</v>
      </c>
      <c r="AF200" s="19"/>
      <c r="AG200">
        <f>VLOOKUP(I200,'Customer Data'!$B$2:$F$149,4,0)</f>
        <v>-19.760000000000002</v>
      </c>
      <c r="AH200" s="42">
        <f>O200-AG200</f>
        <v>-2.1999999999999993</v>
      </c>
      <c r="AI200">
        <f>AH200/O200*100</f>
        <v>10.01821493624772</v>
      </c>
    </row>
    <row r="201" spans="1:35" x14ac:dyDescent="0.35">
      <c r="A201" s="32">
        <v>100222345</v>
      </c>
      <c r="B201" s="33" t="s">
        <v>29</v>
      </c>
      <c r="C201" s="34">
        <v>46045</v>
      </c>
      <c r="D201" s="32">
        <v>1800017111</v>
      </c>
      <c r="E201" s="33" t="s">
        <v>57</v>
      </c>
      <c r="F201" s="34">
        <v>46045</v>
      </c>
      <c r="G201" s="34">
        <v>46049</v>
      </c>
      <c r="H201" s="33" t="s">
        <v>239</v>
      </c>
      <c r="I201" s="37">
        <v>256779440431</v>
      </c>
      <c r="J201" s="33" t="s">
        <v>32</v>
      </c>
      <c r="K201" s="33" t="s">
        <v>33</v>
      </c>
      <c r="L201" s="33" t="s">
        <v>31</v>
      </c>
      <c r="M201" s="33" t="s">
        <v>52</v>
      </c>
      <c r="N201" s="33" t="s">
        <v>45</v>
      </c>
      <c r="O201" s="35">
        <v>3</v>
      </c>
      <c r="P201" s="33" t="s">
        <v>34</v>
      </c>
      <c r="Q201" s="35">
        <v>272.23</v>
      </c>
      <c r="R201" s="35"/>
      <c r="S201" s="35"/>
      <c r="T201" s="33" t="s">
        <v>58</v>
      </c>
      <c r="U201" s="33" t="s">
        <v>35</v>
      </c>
      <c r="V201" s="33" t="s">
        <v>31</v>
      </c>
      <c r="W201" s="33" t="s">
        <v>54</v>
      </c>
      <c r="X201" s="33" t="s">
        <v>36</v>
      </c>
      <c r="Y201" s="33" t="s">
        <v>240</v>
      </c>
      <c r="Z201" s="33" t="s">
        <v>31</v>
      </c>
      <c r="AA201" s="33" t="s">
        <v>31</v>
      </c>
      <c r="AB201" s="33" t="s">
        <v>31</v>
      </c>
      <c r="AC201" s="34">
        <v>46045</v>
      </c>
      <c r="AD201" s="34"/>
      <c r="AE201" s="33" t="s">
        <v>31</v>
      </c>
      <c r="AF201" s="19"/>
      <c r="AG201">
        <f>VLOOKUP(I201,'Customer Data'!$B$2:$F$149,4,0)</f>
        <v>2.94</v>
      </c>
    </row>
    <row r="202" spans="1:35" x14ac:dyDescent="0.35">
      <c r="A202" s="32">
        <v>100222345</v>
      </c>
      <c r="B202" s="33" t="s">
        <v>29</v>
      </c>
      <c r="C202" s="34">
        <v>46050</v>
      </c>
      <c r="D202" s="32">
        <v>1400002558</v>
      </c>
      <c r="E202" s="33" t="s">
        <v>43</v>
      </c>
      <c r="F202" s="34">
        <v>46050</v>
      </c>
      <c r="G202" s="34">
        <v>46050</v>
      </c>
      <c r="H202" s="33" t="s">
        <v>241</v>
      </c>
      <c r="I202" s="37">
        <v>2166093</v>
      </c>
      <c r="J202" s="33" t="s">
        <v>32</v>
      </c>
      <c r="K202" s="33" t="s">
        <v>33</v>
      </c>
      <c r="L202" s="33" t="s">
        <v>31</v>
      </c>
      <c r="M202" s="33" t="s">
        <v>41</v>
      </c>
      <c r="N202" s="33" t="s">
        <v>45</v>
      </c>
      <c r="O202" s="35">
        <v>-10691.42</v>
      </c>
      <c r="P202" s="33" t="s">
        <v>34</v>
      </c>
      <c r="Q202" s="35">
        <v>-970173.02</v>
      </c>
      <c r="R202" s="35"/>
      <c r="S202" s="35"/>
      <c r="T202" s="33" t="s">
        <v>31</v>
      </c>
      <c r="U202" s="33" t="s">
        <v>46</v>
      </c>
      <c r="V202" s="33" t="s">
        <v>31</v>
      </c>
      <c r="W202" s="33" t="s">
        <v>31</v>
      </c>
      <c r="X202" s="33" t="s">
        <v>37</v>
      </c>
      <c r="Y202" s="33" t="s">
        <v>31</v>
      </c>
      <c r="Z202" s="33" t="s">
        <v>31</v>
      </c>
      <c r="AA202" s="33" t="s">
        <v>31</v>
      </c>
      <c r="AB202" s="33" t="s">
        <v>31</v>
      </c>
      <c r="AC202" s="34">
        <v>46050</v>
      </c>
      <c r="AD202" s="34"/>
      <c r="AE202" s="33" t="s">
        <v>31</v>
      </c>
      <c r="AF202" s="19"/>
      <c r="AG202" t="e">
        <f>VLOOKUP(I202,'Customer Data'!$B$2:$F$149,4,0)</f>
        <v>#N/A</v>
      </c>
    </row>
    <row r="203" spans="1:35" hidden="1" x14ac:dyDescent="0.35">
      <c r="A203" s="3" t="s">
        <v>31</v>
      </c>
      <c r="B203" s="3" t="s">
        <v>31</v>
      </c>
      <c r="C203" s="4"/>
      <c r="D203" s="3" t="s">
        <v>31</v>
      </c>
      <c r="E203" s="3" t="s">
        <v>31</v>
      </c>
      <c r="F203" s="4"/>
      <c r="G203" s="4"/>
      <c r="H203" s="3" t="s">
        <v>31</v>
      </c>
      <c r="I203" s="38" t="s">
        <v>31</v>
      </c>
      <c r="J203" s="3" t="s">
        <v>32</v>
      </c>
      <c r="K203" s="3" t="s">
        <v>31</v>
      </c>
      <c r="L203" s="3" t="s">
        <v>31</v>
      </c>
      <c r="M203" s="3" t="s">
        <v>31</v>
      </c>
      <c r="N203" s="3" t="s">
        <v>34</v>
      </c>
      <c r="O203" s="5">
        <v>900000</v>
      </c>
      <c r="P203" s="3" t="s">
        <v>34</v>
      </c>
      <c r="Q203" s="5">
        <v>735064.89</v>
      </c>
      <c r="R203" s="5"/>
      <c r="S203" s="5"/>
      <c r="T203" s="3" t="s">
        <v>31</v>
      </c>
      <c r="U203" s="3" t="s">
        <v>31</v>
      </c>
      <c r="V203" s="3" t="s">
        <v>31</v>
      </c>
      <c r="W203" s="3" t="s">
        <v>31</v>
      </c>
      <c r="X203" s="3" t="s">
        <v>31</v>
      </c>
      <c r="Y203" s="3" t="s">
        <v>31</v>
      </c>
      <c r="Z203" s="3" t="s">
        <v>31</v>
      </c>
      <c r="AA203" s="3" t="s">
        <v>31</v>
      </c>
      <c r="AB203" s="3" t="s">
        <v>31</v>
      </c>
      <c r="AC203" s="4"/>
      <c r="AD203" s="4"/>
      <c r="AE203" s="3" t="s">
        <v>31</v>
      </c>
      <c r="AF203" s="19"/>
    </row>
    <row r="204" spans="1:35" hidden="1" x14ac:dyDescent="0.35">
      <c r="A204" s="3" t="s">
        <v>31</v>
      </c>
      <c r="B204" s="3" t="s">
        <v>31</v>
      </c>
      <c r="C204" s="4"/>
      <c r="D204" s="3" t="s">
        <v>31</v>
      </c>
      <c r="E204" s="3" t="s">
        <v>31</v>
      </c>
      <c r="F204" s="4"/>
      <c r="G204" s="4"/>
      <c r="H204" s="3" t="s">
        <v>31</v>
      </c>
      <c r="I204" s="38" t="s">
        <v>31</v>
      </c>
      <c r="J204" s="3" t="s">
        <v>31</v>
      </c>
      <c r="K204" s="3" t="s">
        <v>31</v>
      </c>
      <c r="L204" s="3" t="s">
        <v>31</v>
      </c>
      <c r="M204" s="3" t="s">
        <v>31</v>
      </c>
      <c r="N204" s="3" t="s">
        <v>45</v>
      </c>
      <c r="O204" s="5">
        <v>-1325.98</v>
      </c>
      <c r="P204" s="3" t="s">
        <v>31</v>
      </c>
      <c r="Q204" s="6"/>
      <c r="R204" s="6"/>
      <c r="S204" s="6"/>
      <c r="T204" s="3" t="s">
        <v>31</v>
      </c>
      <c r="U204" s="3" t="s">
        <v>31</v>
      </c>
      <c r="V204" s="3" t="s">
        <v>31</v>
      </c>
      <c r="W204" s="3" t="s">
        <v>31</v>
      </c>
      <c r="X204" s="3" t="s">
        <v>31</v>
      </c>
      <c r="Y204" s="3" t="s">
        <v>31</v>
      </c>
      <c r="Z204" s="3" t="s">
        <v>31</v>
      </c>
      <c r="AA204" s="3" t="s">
        <v>31</v>
      </c>
      <c r="AB204" s="3" t="s">
        <v>31</v>
      </c>
      <c r="AC204" s="4"/>
      <c r="AD204" s="4"/>
      <c r="AE204" s="3" t="s">
        <v>31</v>
      </c>
      <c r="AF204" s="19"/>
    </row>
    <row r="205" spans="1:35" hidden="1" x14ac:dyDescent="0.35">
      <c r="A205" s="7" t="s">
        <v>31</v>
      </c>
      <c r="B205" s="7" t="s">
        <v>31</v>
      </c>
      <c r="C205" s="8"/>
      <c r="D205" s="7" t="s">
        <v>31</v>
      </c>
      <c r="E205" s="7" t="s">
        <v>31</v>
      </c>
      <c r="F205" s="8"/>
      <c r="G205" s="8"/>
      <c r="H205" s="7" t="s">
        <v>31</v>
      </c>
      <c r="I205" s="39" t="s">
        <v>31</v>
      </c>
      <c r="J205" s="7" t="s">
        <v>31</v>
      </c>
      <c r="K205" s="7" t="s">
        <v>31</v>
      </c>
      <c r="L205" s="7" t="s">
        <v>31</v>
      </c>
      <c r="M205" s="7" t="s">
        <v>31</v>
      </c>
      <c r="N205" s="7" t="s">
        <v>34</v>
      </c>
      <c r="O205" s="9">
        <v>900000</v>
      </c>
      <c r="P205" s="7" t="s">
        <v>34</v>
      </c>
      <c r="Q205" s="9">
        <v>735064.89</v>
      </c>
      <c r="R205" s="9"/>
      <c r="S205" s="9"/>
      <c r="T205" s="7" t="s">
        <v>31</v>
      </c>
      <c r="U205" s="7" t="s">
        <v>31</v>
      </c>
      <c r="V205" s="7" t="s">
        <v>31</v>
      </c>
      <c r="W205" s="7" t="s">
        <v>31</v>
      </c>
      <c r="X205" s="7" t="s">
        <v>31</v>
      </c>
      <c r="Y205" s="7" t="s">
        <v>31</v>
      </c>
      <c r="Z205" s="7" t="s">
        <v>31</v>
      </c>
      <c r="AA205" s="7" t="s">
        <v>31</v>
      </c>
      <c r="AB205" s="7" t="s">
        <v>31</v>
      </c>
      <c r="AC205" s="8"/>
      <c r="AD205" s="8"/>
      <c r="AE205" s="7" t="s">
        <v>31</v>
      </c>
      <c r="AF205" s="19"/>
    </row>
    <row r="206" spans="1:35" hidden="1" x14ac:dyDescent="0.35">
      <c r="A206" s="7" t="s">
        <v>31</v>
      </c>
      <c r="B206" s="7" t="s">
        <v>31</v>
      </c>
      <c r="C206" s="8"/>
      <c r="D206" s="7" t="s">
        <v>31</v>
      </c>
      <c r="E206" s="7" t="s">
        <v>31</v>
      </c>
      <c r="F206" s="8"/>
      <c r="G206" s="8"/>
      <c r="H206" s="7" t="s">
        <v>31</v>
      </c>
      <c r="I206" s="39" t="s">
        <v>31</v>
      </c>
      <c r="J206" s="7" t="s">
        <v>31</v>
      </c>
      <c r="K206" s="7" t="s">
        <v>31</v>
      </c>
      <c r="L206" s="7" t="s">
        <v>31</v>
      </c>
      <c r="M206" s="7" t="s">
        <v>31</v>
      </c>
      <c r="N206" s="7" t="s">
        <v>45</v>
      </c>
      <c r="O206" s="9">
        <v>-1325.98</v>
      </c>
      <c r="P206" s="7" t="s">
        <v>31</v>
      </c>
      <c r="Q206" s="10"/>
      <c r="R206" s="10"/>
      <c r="S206" s="10"/>
      <c r="T206" s="7" t="s">
        <v>31</v>
      </c>
      <c r="U206" s="7" t="s">
        <v>31</v>
      </c>
      <c r="V206" s="7" t="s">
        <v>31</v>
      </c>
      <c r="W206" s="7" t="s">
        <v>31</v>
      </c>
      <c r="X206" s="7" t="s">
        <v>31</v>
      </c>
      <c r="Y206" s="7" t="s">
        <v>31</v>
      </c>
      <c r="Z206" s="7" t="s">
        <v>31</v>
      </c>
      <c r="AA206" s="7" t="s">
        <v>31</v>
      </c>
      <c r="AB206" s="7" t="s">
        <v>31</v>
      </c>
      <c r="AC206" s="8"/>
      <c r="AD206" s="8"/>
      <c r="AE206" s="7" t="s">
        <v>31</v>
      </c>
      <c r="AF206" s="19"/>
    </row>
  </sheetData>
  <autoFilter ref="A2:AH206" xr:uid="{1D1A7715-62ED-4485-B5A9-7A4BCC4EB66A}">
    <filterColumn colId="2">
      <filters>
        <dateGroupItem year="2026" dateTimeGrouping="year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FAE5-981C-488C-9D3A-75486D055DE0}">
  <dimension ref="A1:M151"/>
  <sheetViews>
    <sheetView topLeftCell="A124" zoomScaleNormal="100" workbookViewId="0">
      <selection activeCell="E152" sqref="E152"/>
    </sheetView>
  </sheetViews>
  <sheetFormatPr defaultRowHeight="14.5" x14ac:dyDescent="0.35"/>
  <cols>
    <col min="1" max="1" width="10.54296875" bestFit="1" customWidth="1"/>
    <col min="2" max="2" width="16.7265625" bestFit="1" customWidth="1"/>
    <col min="3" max="3" width="11.453125" style="97" bestFit="1" customWidth="1"/>
    <col min="4" max="5" width="9.81640625" bestFit="1" customWidth="1"/>
    <col min="6" max="6" width="8.81640625" bestFit="1" customWidth="1"/>
    <col min="8" max="8" width="16.7265625" hidden="1" customWidth="1"/>
    <col min="9" max="9" width="16.81640625" hidden="1" customWidth="1"/>
    <col min="10" max="10" width="17.453125" hidden="1" customWidth="1"/>
    <col min="11" max="11" width="11.81640625" hidden="1" customWidth="1"/>
    <col min="12" max="12" width="17" hidden="1" customWidth="1"/>
    <col min="13" max="13" width="17.54296875" hidden="1" customWidth="1"/>
    <col min="14" max="35" width="0" hidden="1" customWidth="1"/>
  </cols>
  <sheetData>
    <row r="1" spans="1:11" s="104" customFormat="1" ht="29" x14ac:dyDescent="0.35">
      <c r="A1" s="105" t="s">
        <v>242</v>
      </c>
      <c r="B1" s="105" t="s">
        <v>243</v>
      </c>
      <c r="C1" s="103" t="s">
        <v>244</v>
      </c>
      <c r="D1" s="105" t="s">
        <v>245</v>
      </c>
      <c r="E1" s="105" t="s">
        <v>246</v>
      </c>
      <c r="F1" s="106"/>
      <c r="H1" s="107" t="s">
        <v>269</v>
      </c>
      <c r="I1" s="107" t="s">
        <v>266</v>
      </c>
      <c r="J1" s="107" t="s">
        <v>267</v>
      </c>
    </row>
    <row r="2" spans="1:11" x14ac:dyDescent="0.35">
      <c r="A2" s="12"/>
      <c r="B2" s="13">
        <v>246779410007</v>
      </c>
      <c r="C2" s="77">
        <v>45708</v>
      </c>
      <c r="D2" s="14"/>
      <c r="E2" s="15">
        <v>1071.43</v>
      </c>
      <c r="F2" s="16">
        <f>VLOOKUP(B2,'Ascendus data working'!$B$2:$F$201,5,0)</f>
        <v>1190.48</v>
      </c>
      <c r="G2" s="41">
        <f>F2-E2</f>
        <v>119.04999999999995</v>
      </c>
      <c r="H2" s="73">
        <v>246779410007</v>
      </c>
      <c r="I2" s="54"/>
      <c r="J2" s="54">
        <v>1071.43</v>
      </c>
      <c r="K2">
        <f>VLOOKUP(H2,'Ascendus data working'!$K$1:$M$189,3,0)</f>
        <v>1190.48</v>
      </c>
    </row>
    <row r="3" spans="1:11" x14ac:dyDescent="0.35">
      <c r="A3" s="12"/>
      <c r="B3" s="13">
        <v>246779410138</v>
      </c>
      <c r="C3" s="77">
        <v>45708</v>
      </c>
      <c r="D3" s="14"/>
      <c r="E3" s="15">
        <v>1071.43</v>
      </c>
      <c r="F3" s="16">
        <f>VLOOKUP(B3,'Ascendus data working'!$B$2:$F$201,5,0)</f>
        <v>1190.48</v>
      </c>
      <c r="G3" s="41">
        <f t="shared" ref="G3:G66" si="0">F3-E3</f>
        <v>119.04999999999995</v>
      </c>
      <c r="H3" s="73">
        <v>246779410027</v>
      </c>
      <c r="I3" s="54"/>
      <c r="J3" s="54">
        <v>1071.43</v>
      </c>
      <c r="K3">
        <f>VLOOKUP(H3,'Ascendus data working'!$K$1:$M$189,3,0)</f>
        <v>1190.48</v>
      </c>
    </row>
    <row r="4" spans="1:11" x14ac:dyDescent="0.35">
      <c r="A4" s="12"/>
      <c r="B4" s="13">
        <v>246779410095</v>
      </c>
      <c r="C4" s="77">
        <v>45708</v>
      </c>
      <c r="D4" s="14"/>
      <c r="E4" s="15">
        <v>1071.43</v>
      </c>
      <c r="F4" s="16">
        <f>VLOOKUP(B4,'Ascendus data working'!$B$2:$F$201,5,0)</f>
        <v>1190.48</v>
      </c>
      <c r="G4" s="41">
        <f t="shared" si="0"/>
        <v>119.04999999999995</v>
      </c>
      <c r="H4" s="73">
        <v>246779410095</v>
      </c>
      <c r="I4" s="54"/>
      <c r="J4" s="54">
        <v>1071.43</v>
      </c>
      <c r="K4">
        <f>VLOOKUP(H4,'Ascendus data working'!$K$1:$M$189,3,0)</f>
        <v>1190.48</v>
      </c>
    </row>
    <row r="5" spans="1:11" x14ac:dyDescent="0.35">
      <c r="A5" s="12"/>
      <c r="B5" s="13">
        <v>246779410274</v>
      </c>
      <c r="C5" s="77">
        <v>45708</v>
      </c>
      <c r="D5" s="14"/>
      <c r="E5" s="15">
        <v>1071.43</v>
      </c>
      <c r="F5" s="16">
        <f>VLOOKUP(B5,'Ascendus data working'!$B$2:$F$201,5,0)</f>
        <v>1190.48</v>
      </c>
      <c r="G5" s="41">
        <f t="shared" si="0"/>
        <v>119.04999999999995</v>
      </c>
      <c r="H5" s="73">
        <v>246779410138</v>
      </c>
      <c r="I5" s="54"/>
      <c r="J5" s="54">
        <v>1071.43</v>
      </c>
      <c r="K5">
        <f>VLOOKUP(H5,'Ascendus data working'!$K$1:$M$189,3,0)</f>
        <v>1190.48</v>
      </c>
    </row>
    <row r="6" spans="1:11" x14ac:dyDescent="0.35">
      <c r="A6" s="12"/>
      <c r="B6" s="13">
        <v>246779410027</v>
      </c>
      <c r="C6" s="77">
        <v>45708</v>
      </c>
      <c r="D6" s="14"/>
      <c r="E6" s="15">
        <v>1071.43</v>
      </c>
      <c r="F6" s="16">
        <f>VLOOKUP(B6,'Ascendus data working'!$B$2:$F$201,5,0)</f>
        <v>1190.48</v>
      </c>
      <c r="G6" s="41">
        <f t="shared" si="0"/>
        <v>119.04999999999995</v>
      </c>
      <c r="H6" s="73">
        <v>246779410181</v>
      </c>
      <c r="I6" s="54"/>
      <c r="J6" s="54">
        <v>1049.9299999999998</v>
      </c>
      <c r="K6">
        <f>VLOOKUP(H6,'Ascendus data working'!$K$1:$M$189,3,0)</f>
        <v>1166.5899999999999</v>
      </c>
    </row>
    <row r="7" spans="1:11" x14ac:dyDescent="0.35">
      <c r="A7" s="12"/>
      <c r="B7" s="13">
        <v>246779410181</v>
      </c>
      <c r="C7" s="77">
        <v>45708</v>
      </c>
      <c r="D7" s="14"/>
      <c r="E7" s="15">
        <v>1049.9299999999998</v>
      </c>
      <c r="F7" s="16">
        <f>VLOOKUP(B7,'Ascendus data working'!$B$2:$F$201,5,0)</f>
        <v>1166.5899999999999</v>
      </c>
      <c r="G7" s="41">
        <f t="shared" si="0"/>
        <v>116.66000000000008</v>
      </c>
      <c r="H7" s="73">
        <v>246779410224</v>
      </c>
      <c r="I7" s="54"/>
      <c r="J7" s="54">
        <v>1028.81</v>
      </c>
      <c r="K7">
        <f>VLOOKUP(H7,'Ascendus data working'!$K$1:$M$189,3,0)</f>
        <v>1143.1199999999999</v>
      </c>
    </row>
    <row r="8" spans="1:11" x14ac:dyDescent="0.35">
      <c r="A8" s="12"/>
      <c r="B8" s="13">
        <v>246779410224</v>
      </c>
      <c r="C8" s="77">
        <v>45708</v>
      </c>
      <c r="D8" s="14"/>
      <c r="E8" s="15">
        <v>1028.81</v>
      </c>
      <c r="F8" s="16">
        <f>VLOOKUP(B8,'Ascendus data working'!$B$2:$F$201,5,0)</f>
        <v>1143.1199999999999</v>
      </c>
      <c r="G8" s="41">
        <f t="shared" si="0"/>
        <v>114.30999999999995</v>
      </c>
      <c r="H8" s="73">
        <v>246779410274</v>
      </c>
      <c r="I8" s="54"/>
      <c r="J8" s="54">
        <v>1071.43</v>
      </c>
      <c r="K8">
        <f>VLOOKUP(H8,'Ascendus data working'!$K$1:$M$189,3,0)</f>
        <v>1190.48</v>
      </c>
    </row>
    <row r="9" spans="1:11" x14ac:dyDescent="0.35">
      <c r="A9" s="17">
        <v>45800</v>
      </c>
      <c r="B9" s="18" t="s">
        <v>247</v>
      </c>
      <c r="C9" s="99">
        <v>45800</v>
      </c>
      <c r="D9" s="16">
        <v>7435.89</v>
      </c>
      <c r="E9" s="16"/>
      <c r="F9" s="16" t="e">
        <f>VLOOKUP(B9,'Ascendus data working'!$B$2:$F$201,5,0)</f>
        <v>#N/A</v>
      </c>
      <c r="G9" s="41"/>
      <c r="H9" s="73">
        <v>246779410368</v>
      </c>
      <c r="I9" s="54"/>
      <c r="J9" s="54">
        <v>320.78000000000003</v>
      </c>
      <c r="K9">
        <f>VLOOKUP(H9,'Ascendus data working'!$K$1:$M$189,3,0)</f>
        <v>356.43</v>
      </c>
    </row>
    <row r="10" spans="1:11" x14ac:dyDescent="0.35">
      <c r="A10" s="19"/>
      <c r="B10" s="20">
        <v>246779410694</v>
      </c>
      <c r="C10" s="77">
        <v>45720</v>
      </c>
      <c r="D10" s="16"/>
      <c r="E10" s="21">
        <v>58.17</v>
      </c>
      <c r="F10" s="16">
        <f>VLOOKUP(B10,'Ascendus data working'!$B$2:$F$201,5,0)</f>
        <v>59.36</v>
      </c>
      <c r="G10" s="41">
        <f t="shared" si="0"/>
        <v>1.1899999999999977</v>
      </c>
      <c r="H10" s="73">
        <v>246779410394</v>
      </c>
      <c r="I10" s="54"/>
      <c r="J10" s="54">
        <v>455.27</v>
      </c>
      <c r="K10">
        <f>VLOOKUP(H10,'Ascendus data working'!$K$1:$M$189,3,0)</f>
        <v>505.86</v>
      </c>
    </row>
    <row r="11" spans="1:11" x14ac:dyDescent="0.35">
      <c r="A11" s="19"/>
      <c r="B11" s="20">
        <v>246779410614</v>
      </c>
      <c r="C11" s="77">
        <v>45719</v>
      </c>
      <c r="D11" s="16"/>
      <c r="E11" s="21">
        <v>2.2000000000000002</v>
      </c>
      <c r="F11" s="16">
        <f>VLOOKUP(B11,'Ascendus data working'!$B$2:$F$201,5,0)</f>
        <v>2.25</v>
      </c>
      <c r="G11" s="41">
        <f t="shared" si="0"/>
        <v>4.9999999999999822E-2</v>
      </c>
      <c r="H11" s="73">
        <v>246779410418</v>
      </c>
      <c r="I11" s="54"/>
      <c r="J11" s="54">
        <v>506.34000000000003</v>
      </c>
      <c r="K11">
        <f>VLOOKUP(H11,'Ascendus data working'!$K$1:$M$189,3,0)</f>
        <v>562.6</v>
      </c>
    </row>
    <row r="12" spans="1:11" x14ac:dyDescent="0.35">
      <c r="A12" s="19"/>
      <c r="B12" s="22">
        <v>246779410615</v>
      </c>
      <c r="C12" s="100">
        <v>45719</v>
      </c>
      <c r="D12" s="16"/>
      <c r="E12" s="23">
        <v>8.81</v>
      </c>
      <c r="F12" s="16">
        <f>VLOOKUP(B12,'Ascendus data working'!$B$2:$F$201,5,0)</f>
        <v>9</v>
      </c>
      <c r="G12" s="41">
        <f t="shared" si="0"/>
        <v>0.1899999999999995</v>
      </c>
      <c r="H12" s="73">
        <v>246779410510</v>
      </c>
      <c r="I12" s="54"/>
      <c r="J12" s="54">
        <v>191</v>
      </c>
      <c r="K12">
        <f>VLOOKUP(H12,'Ascendus data working'!$K$1:$M$189,3,0)</f>
        <v>194.9</v>
      </c>
    </row>
    <row r="13" spans="1:11" x14ac:dyDescent="0.35">
      <c r="A13" s="19"/>
      <c r="B13" s="20">
        <v>246779410975</v>
      </c>
      <c r="C13" s="77">
        <v>45722</v>
      </c>
      <c r="D13" s="16"/>
      <c r="E13" s="21">
        <v>28.330000000000002</v>
      </c>
      <c r="F13" s="16">
        <f>VLOOKUP(B13,'Ascendus data working'!$B$2:$F$201,5,0)</f>
        <v>28.91</v>
      </c>
      <c r="G13" s="41">
        <f t="shared" si="0"/>
        <v>0.57999999999999829</v>
      </c>
      <c r="H13" s="73">
        <v>246779410511</v>
      </c>
      <c r="I13" s="54"/>
      <c r="J13" s="54">
        <v>13.63</v>
      </c>
      <c r="K13">
        <f>VLOOKUP(H13,'Ascendus data working'!$K$1:$M$189,3,0)</f>
        <v>13.91</v>
      </c>
    </row>
    <row r="14" spans="1:11" x14ac:dyDescent="0.35">
      <c r="A14" s="19"/>
      <c r="B14" s="22">
        <v>246779410976</v>
      </c>
      <c r="C14" s="100">
        <v>45722</v>
      </c>
      <c r="D14" s="16"/>
      <c r="E14" s="23">
        <v>23.51</v>
      </c>
      <c r="F14" s="16">
        <f>VLOOKUP(B14,'Ascendus data working'!$B$2:$F$201,5,0)</f>
        <v>24</v>
      </c>
      <c r="G14" s="41">
        <f t="shared" si="0"/>
        <v>0.48999999999999844</v>
      </c>
      <c r="H14" s="73">
        <v>246779410614</v>
      </c>
      <c r="I14" s="54"/>
      <c r="J14" s="54">
        <v>2.2000000000000002</v>
      </c>
      <c r="K14">
        <f>VLOOKUP(H14,'Ascendus data working'!$K$1:$M$189,3,0)</f>
        <v>2.25</v>
      </c>
    </row>
    <row r="15" spans="1:11" x14ac:dyDescent="0.35">
      <c r="A15" s="19"/>
      <c r="B15" s="20">
        <v>246779411190</v>
      </c>
      <c r="C15" s="77">
        <v>45722</v>
      </c>
      <c r="D15" s="16"/>
      <c r="E15" s="21">
        <v>16.899999999999999</v>
      </c>
      <c r="F15" s="16">
        <f>VLOOKUP(B15,'Ascendus data working'!$B$2:$F$201,5,0)</f>
        <v>17.25</v>
      </c>
      <c r="G15" s="41">
        <f t="shared" si="0"/>
        <v>0.35000000000000142</v>
      </c>
      <c r="H15" s="73">
        <v>246779410615</v>
      </c>
      <c r="I15" s="54"/>
      <c r="J15" s="54">
        <v>8.81</v>
      </c>
      <c r="K15">
        <f>VLOOKUP(H15,'Ascendus data working'!$K$1:$M$189,3,0)</f>
        <v>9</v>
      </c>
    </row>
    <row r="16" spans="1:11" x14ac:dyDescent="0.35">
      <c r="A16" s="19"/>
      <c r="B16" s="20">
        <v>246779411191</v>
      </c>
      <c r="C16" s="77">
        <v>45722</v>
      </c>
      <c r="D16" s="16"/>
      <c r="E16" s="21">
        <v>25.63</v>
      </c>
      <c r="F16" s="16">
        <f>VLOOKUP(B16,'Ascendus data working'!$B$2:$F$201,5,0)</f>
        <v>26.15</v>
      </c>
      <c r="G16" s="41">
        <f t="shared" si="0"/>
        <v>0.51999999999999957</v>
      </c>
      <c r="H16" s="73">
        <v>246779410694</v>
      </c>
      <c r="I16" s="54"/>
      <c r="J16" s="54">
        <v>58.17</v>
      </c>
      <c r="K16">
        <f>VLOOKUP(H16,'Ascendus data working'!$K$1:$M$189,3,0)</f>
        <v>59.36</v>
      </c>
    </row>
    <row r="17" spans="1:11" x14ac:dyDescent="0.35">
      <c r="A17" s="19"/>
      <c r="B17" s="20">
        <v>246779410511</v>
      </c>
      <c r="C17" s="77">
        <v>45719</v>
      </c>
      <c r="D17" s="16"/>
      <c r="E17" s="21">
        <v>13.63</v>
      </c>
      <c r="F17" s="16">
        <f>VLOOKUP(B17,'Ascendus data working'!$B$2:$F$201,5,0)</f>
        <v>13.91</v>
      </c>
      <c r="G17" s="41">
        <f t="shared" si="0"/>
        <v>0.27999999999999936</v>
      </c>
      <c r="H17" s="73">
        <v>246779410856</v>
      </c>
      <c r="I17" s="54"/>
      <c r="J17" s="54">
        <v>17.95</v>
      </c>
      <c r="K17">
        <f>VLOOKUP(H17,'Ascendus data working'!$K$1:$M$189,3,0)</f>
        <v>18.32</v>
      </c>
    </row>
    <row r="18" spans="1:11" x14ac:dyDescent="0.35">
      <c r="A18" s="19"/>
      <c r="B18" s="20">
        <v>246779412992</v>
      </c>
      <c r="C18" s="77">
        <v>45735</v>
      </c>
      <c r="D18" s="16"/>
      <c r="E18" s="21">
        <v>1033.7700000000002</v>
      </c>
      <c r="F18" s="16">
        <f>VLOOKUP(B18,'Ascendus data working'!$B$2:$F$201,5,0)</f>
        <v>1148.6300000000001</v>
      </c>
      <c r="G18" s="41">
        <f t="shared" si="0"/>
        <v>114.8599999999999</v>
      </c>
      <c r="H18" s="73">
        <v>246779410865</v>
      </c>
      <c r="I18" s="54"/>
      <c r="J18" s="54">
        <v>370.90000000000003</v>
      </c>
      <c r="K18">
        <f>VLOOKUP(H18,'Ascendus data working'!$K$1:$M$189,3,0)</f>
        <v>412.11</v>
      </c>
    </row>
    <row r="19" spans="1:11" x14ac:dyDescent="0.35">
      <c r="A19" s="19"/>
      <c r="B19" s="20">
        <v>246779410510</v>
      </c>
      <c r="C19" s="77">
        <v>45719</v>
      </c>
      <c r="D19" s="16"/>
      <c r="E19" s="21">
        <v>191</v>
      </c>
      <c r="F19" s="16">
        <f>VLOOKUP(B19,'Ascendus data working'!$B$2:$F$201,5,0)</f>
        <v>194.9</v>
      </c>
      <c r="G19" s="41">
        <f t="shared" si="0"/>
        <v>3.9000000000000057</v>
      </c>
      <c r="H19" s="73">
        <v>246779410888</v>
      </c>
      <c r="I19" s="54"/>
      <c r="J19" s="54">
        <v>401.74</v>
      </c>
      <c r="K19">
        <f>VLOOKUP(H19,'Ascendus data working'!$K$1:$M$189,3,0)</f>
        <v>446.38</v>
      </c>
    </row>
    <row r="20" spans="1:11" x14ac:dyDescent="0.35">
      <c r="A20" s="19"/>
      <c r="B20" s="20">
        <v>246779412240</v>
      </c>
      <c r="C20" s="77">
        <v>45747</v>
      </c>
      <c r="D20" s="16"/>
      <c r="E20" s="21">
        <v>2.8</v>
      </c>
      <c r="F20" s="16">
        <f>VLOOKUP(B20,'Ascendus data working'!$B$2:$F$201,5,0)</f>
        <v>2.86</v>
      </c>
      <c r="G20" s="41">
        <f t="shared" si="0"/>
        <v>6.0000000000000053E-2</v>
      </c>
      <c r="H20" s="73">
        <v>246779410975</v>
      </c>
      <c r="I20" s="54"/>
      <c r="J20" s="54">
        <v>28.330000000000002</v>
      </c>
      <c r="K20">
        <f>VLOOKUP(H20,'Ascendus data working'!$K$1:$M$189,3,0)</f>
        <v>28.91</v>
      </c>
    </row>
    <row r="21" spans="1:11" x14ac:dyDescent="0.35">
      <c r="A21" s="19"/>
      <c r="B21" s="20">
        <v>246779411452</v>
      </c>
      <c r="C21" s="77">
        <v>45747</v>
      </c>
      <c r="D21" s="16"/>
      <c r="E21" s="21">
        <v>0.92999999999999994</v>
      </c>
      <c r="F21" s="16">
        <f>VLOOKUP(B21,'Ascendus data working'!$B$2:$F$201,5,0)</f>
        <v>0.95</v>
      </c>
      <c r="G21" s="41">
        <f t="shared" si="0"/>
        <v>2.0000000000000018E-2</v>
      </c>
      <c r="H21" s="73">
        <v>246779410976</v>
      </c>
      <c r="I21" s="54"/>
      <c r="J21" s="54">
        <v>23.51</v>
      </c>
      <c r="K21">
        <f>VLOOKUP(H21,'Ascendus data working'!$K$1:$M$189,3,0)</f>
        <v>24</v>
      </c>
    </row>
    <row r="22" spans="1:11" x14ac:dyDescent="0.35">
      <c r="A22" s="19"/>
      <c r="B22" s="20">
        <v>246779412242</v>
      </c>
      <c r="C22" s="77">
        <v>45730</v>
      </c>
      <c r="D22" s="16"/>
      <c r="E22" s="21">
        <v>4.67</v>
      </c>
      <c r="F22" s="16">
        <f>VLOOKUP(B22,'Ascendus data working'!$B$2:$F$201,5,0)</f>
        <v>4.7699999999999996</v>
      </c>
      <c r="G22" s="41"/>
      <c r="H22" s="73">
        <v>246779411056</v>
      </c>
      <c r="I22" s="54"/>
      <c r="J22" s="54">
        <v>58.17</v>
      </c>
      <c r="K22">
        <f>VLOOKUP(H22,'Ascendus data working'!$K$1:$M$189,3,0)</f>
        <v>59.36</v>
      </c>
    </row>
    <row r="23" spans="1:11" x14ac:dyDescent="0.35">
      <c r="A23" s="19"/>
      <c r="B23" s="20">
        <v>246779412243</v>
      </c>
      <c r="C23" s="77">
        <v>45730</v>
      </c>
      <c r="D23" s="16"/>
      <c r="E23" s="21">
        <v>1.8699999999999999</v>
      </c>
      <c r="F23" s="16">
        <f>VLOOKUP(B23,'Ascendus data working'!$B$2:$F$201,5,0)</f>
        <v>1.91</v>
      </c>
      <c r="G23" s="41">
        <f t="shared" si="0"/>
        <v>4.0000000000000036E-2</v>
      </c>
      <c r="H23" s="73">
        <v>246779411057</v>
      </c>
      <c r="I23" s="54"/>
      <c r="J23" s="54">
        <v>66.320000000000007</v>
      </c>
      <c r="K23">
        <f>VLOOKUP(H23,'Ascendus data working'!$K$1:$M$189,3,0)</f>
        <v>67.67</v>
      </c>
    </row>
    <row r="24" spans="1:11" x14ac:dyDescent="0.35">
      <c r="A24" s="19"/>
      <c r="B24" s="20">
        <v>246779412244</v>
      </c>
      <c r="C24" s="77">
        <v>45730</v>
      </c>
      <c r="D24" s="16"/>
      <c r="E24" s="21">
        <v>1.8699999999999999</v>
      </c>
      <c r="F24" s="16">
        <f>VLOOKUP(B24,'Ascendus data working'!$B$2:$F$201,5,0)</f>
        <v>1.91</v>
      </c>
      <c r="G24" s="41">
        <f t="shared" si="0"/>
        <v>4.0000000000000036E-2</v>
      </c>
      <c r="H24" s="73">
        <v>246779411190</v>
      </c>
      <c r="I24" s="54"/>
      <c r="J24" s="54">
        <v>16.899999999999999</v>
      </c>
      <c r="K24">
        <f>VLOOKUP(H24,'Ascendus data working'!$K$1:$M$189,3,0)</f>
        <v>17.25</v>
      </c>
    </row>
    <row r="25" spans="1:11" x14ac:dyDescent="0.35">
      <c r="A25" s="19"/>
      <c r="B25" s="20">
        <v>246779412245</v>
      </c>
      <c r="C25" s="77">
        <v>45730</v>
      </c>
      <c r="D25" s="16"/>
      <c r="E25" s="21">
        <v>4.68</v>
      </c>
      <c r="F25" s="16">
        <f>VLOOKUP(B25,'Ascendus data working'!$B$2:$F$201,5,0)</f>
        <v>4.7699999999999996</v>
      </c>
      <c r="G25" s="41">
        <f t="shared" si="0"/>
        <v>8.9999999999999858E-2</v>
      </c>
      <c r="H25" s="73">
        <v>246779411191</v>
      </c>
      <c r="I25" s="54"/>
      <c r="J25" s="54">
        <v>25.63</v>
      </c>
      <c r="K25">
        <f>VLOOKUP(H25,'Ascendus data working'!$K$1:$M$189,3,0)</f>
        <v>26.15</v>
      </c>
    </row>
    <row r="26" spans="1:11" x14ac:dyDescent="0.35">
      <c r="A26" s="19"/>
      <c r="B26" s="20">
        <v>246779411622</v>
      </c>
      <c r="C26" s="77">
        <v>45733</v>
      </c>
      <c r="D26" s="16"/>
      <c r="E26" s="21">
        <v>3.7399999999999998</v>
      </c>
      <c r="F26" s="16">
        <f>VLOOKUP(B26,'Ascendus data working'!$B$2:$F$201,5,0)</f>
        <v>3.82</v>
      </c>
      <c r="G26" s="41">
        <f t="shared" si="0"/>
        <v>8.0000000000000071E-2</v>
      </c>
      <c r="H26" s="73">
        <v>246779411253</v>
      </c>
      <c r="I26" s="54"/>
      <c r="J26" s="54">
        <v>19.600000000000001</v>
      </c>
      <c r="K26">
        <f>VLOOKUP(H26,'Ascendus data working'!$K$1:$M$189,3,0)</f>
        <v>20</v>
      </c>
    </row>
    <row r="27" spans="1:11" x14ac:dyDescent="0.35">
      <c r="A27" s="19"/>
      <c r="B27" s="20">
        <v>246779411623</v>
      </c>
      <c r="C27" s="77">
        <v>45733</v>
      </c>
      <c r="D27" s="16"/>
      <c r="E27" s="21">
        <v>1.8699999999999999</v>
      </c>
      <c r="F27" s="16">
        <f>VLOOKUP(B27,'Ascendus data working'!$B$2:$F$201,5,0)</f>
        <v>1.91</v>
      </c>
      <c r="G27" s="41">
        <f t="shared" si="0"/>
        <v>4.0000000000000036E-2</v>
      </c>
      <c r="H27" s="73">
        <v>246779411452</v>
      </c>
      <c r="I27" s="54"/>
      <c r="J27" s="54">
        <v>0.92999999999999994</v>
      </c>
      <c r="K27">
        <f>VLOOKUP(H27,'Ascendus data working'!$K$1:$M$189,3,0)</f>
        <v>0.95</v>
      </c>
    </row>
    <row r="28" spans="1:11" x14ac:dyDescent="0.35">
      <c r="A28" s="19"/>
      <c r="B28" s="20">
        <v>246779410856</v>
      </c>
      <c r="C28" s="77">
        <v>45748</v>
      </c>
      <c r="D28" s="16"/>
      <c r="E28" s="21">
        <v>17.95</v>
      </c>
      <c r="F28" s="16">
        <f>VLOOKUP(B28,'Ascendus data working'!$B$2:$F$201,5,0)</f>
        <v>18.32</v>
      </c>
      <c r="G28" s="41">
        <f t="shared" si="0"/>
        <v>0.37000000000000099</v>
      </c>
      <c r="H28" s="73">
        <v>246779411485</v>
      </c>
      <c r="I28" s="54"/>
      <c r="J28" s="54">
        <v>98</v>
      </c>
      <c r="K28">
        <f>VLOOKUP(H28,'Ascendus data working'!$K$1:$M$189,3,0)</f>
        <v>100</v>
      </c>
    </row>
    <row r="29" spans="1:11" x14ac:dyDescent="0.35">
      <c r="A29" s="19"/>
      <c r="B29" s="20">
        <v>246779411253</v>
      </c>
      <c r="C29" s="77">
        <v>45748</v>
      </c>
      <c r="D29" s="16"/>
      <c r="E29" s="21">
        <v>19.600000000000001</v>
      </c>
      <c r="F29" s="16">
        <f>VLOOKUP(B29,'Ascendus data working'!$B$2:$F$201,5,0)</f>
        <v>20</v>
      </c>
      <c r="G29" s="41">
        <f t="shared" si="0"/>
        <v>0.39999999999999858</v>
      </c>
      <c r="H29" s="73">
        <v>246779411622</v>
      </c>
      <c r="I29" s="54"/>
      <c r="J29" s="54">
        <v>3.7399999999999998</v>
      </c>
      <c r="K29">
        <f>VLOOKUP(H29,'Ascendus data working'!$K$1:$M$189,3,0)</f>
        <v>3.82</v>
      </c>
    </row>
    <row r="30" spans="1:11" x14ac:dyDescent="0.35">
      <c r="A30" s="19"/>
      <c r="B30" s="20">
        <v>246779411056</v>
      </c>
      <c r="C30" s="77">
        <v>45748</v>
      </c>
      <c r="D30" s="16"/>
      <c r="E30" s="21">
        <v>58.17</v>
      </c>
      <c r="F30" s="16">
        <f>VLOOKUP(B30,'Ascendus data working'!$B$2:$F$201,5,0)</f>
        <v>59.36</v>
      </c>
      <c r="G30" s="41">
        <f t="shared" si="0"/>
        <v>1.1899999999999977</v>
      </c>
      <c r="H30" s="73">
        <v>246779411623</v>
      </c>
      <c r="I30" s="54"/>
      <c r="J30" s="54">
        <v>1.8699999999999999</v>
      </c>
      <c r="K30">
        <f>VLOOKUP(H30,'Ascendus data working'!$K$1:$M$189,3,0)</f>
        <v>1.91</v>
      </c>
    </row>
    <row r="31" spans="1:11" x14ac:dyDescent="0.35">
      <c r="A31" s="19"/>
      <c r="B31" s="20">
        <v>246779411485</v>
      </c>
      <c r="C31" s="77">
        <v>45748</v>
      </c>
      <c r="D31" s="16"/>
      <c r="E31" s="21">
        <v>98</v>
      </c>
      <c r="F31" s="16">
        <f>VLOOKUP(B31,'Ascendus data working'!$B$2:$F$201,5,0)</f>
        <v>100</v>
      </c>
      <c r="G31" s="41">
        <f t="shared" si="0"/>
        <v>2</v>
      </c>
      <c r="H31" s="73">
        <v>246779412240</v>
      </c>
      <c r="I31" s="54"/>
      <c r="J31" s="54">
        <v>2.8</v>
      </c>
      <c r="K31">
        <f>VLOOKUP(H31,'Ascendus data working'!$K$1:$M$189,3,0)</f>
        <v>2.86</v>
      </c>
    </row>
    <row r="32" spans="1:11" x14ac:dyDescent="0.35">
      <c r="A32" s="19"/>
      <c r="B32" s="20">
        <v>246779414225</v>
      </c>
      <c r="C32" s="77">
        <v>45748</v>
      </c>
      <c r="D32" s="16"/>
      <c r="E32" s="21">
        <v>13.23</v>
      </c>
      <c r="F32" s="16">
        <f>VLOOKUP(B32,'Ascendus data working'!$B$2:$F$201,5,0)</f>
        <v>13.5</v>
      </c>
      <c r="G32" s="41">
        <f t="shared" si="0"/>
        <v>0.26999999999999957</v>
      </c>
      <c r="H32" s="73">
        <v>246779412243</v>
      </c>
      <c r="I32" s="54"/>
      <c r="J32" s="54">
        <v>1.8699999999999999</v>
      </c>
      <c r="K32">
        <f>VLOOKUP(H32,'Ascendus data working'!$K$1:$M$189,3,0)</f>
        <v>1.91</v>
      </c>
    </row>
    <row r="33" spans="1:11" x14ac:dyDescent="0.35">
      <c r="A33" s="19"/>
      <c r="B33" s="20">
        <v>246779414607</v>
      </c>
      <c r="C33" s="77">
        <v>45748</v>
      </c>
      <c r="D33" s="16"/>
      <c r="E33" s="21">
        <v>2.2000000000000002</v>
      </c>
      <c r="F33" s="16">
        <f>VLOOKUP(B33,'Ascendus data working'!$B$2:$F$201,5,0)</f>
        <v>2.25</v>
      </c>
      <c r="G33" s="41">
        <f t="shared" si="0"/>
        <v>4.9999999999999822E-2</v>
      </c>
      <c r="H33" s="73">
        <v>246779412244</v>
      </c>
      <c r="I33" s="54"/>
      <c r="J33" s="54">
        <v>1.8699999999999999</v>
      </c>
      <c r="K33">
        <f>VLOOKUP(H33,'Ascendus data working'!$K$1:$M$189,3,0)</f>
        <v>1.91</v>
      </c>
    </row>
    <row r="34" spans="1:11" x14ac:dyDescent="0.35">
      <c r="A34" s="19"/>
      <c r="B34" s="20">
        <v>246779414738</v>
      </c>
      <c r="C34" s="77">
        <v>45748</v>
      </c>
      <c r="D34" s="16"/>
      <c r="E34" s="21">
        <v>2.2000000000000002</v>
      </c>
      <c r="F34" s="16">
        <f>VLOOKUP(B34,'Ascendus data working'!$B$2:$F$201,5,0)</f>
        <v>2.25</v>
      </c>
      <c r="G34" s="41">
        <f t="shared" si="0"/>
        <v>4.9999999999999822E-2</v>
      </c>
      <c r="H34" s="73">
        <v>246779412245</v>
      </c>
      <c r="I34" s="54"/>
      <c r="J34" s="54">
        <v>4.68</v>
      </c>
      <c r="K34">
        <f>VLOOKUP(H34,'Ascendus data working'!$K$1:$M$189,3,0)</f>
        <v>4.7699999999999996</v>
      </c>
    </row>
    <row r="35" spans="1:11" x14ac:dyDescent="0.35">
      <c r="A35" s="19"/>
      <c r="B35" s="20">
        <v>246779414685</v>
      </c>
      <c r="C35" s="77">
        <v>45748</v>
      </c>
      <c r="D35" s="16"/>
      <c r="E35" s="21">
        <v>42.07</v>
      </c>
      <c r="F35" s="16">
        <f>VLOOKUP(B35,'Ascendus data working'!$B$2:$F$201,5,0)</f>
        <v>42.93</v>
      </c>
      <c r="G35" s="41">
        <f t="shared" si="0"/>
        <v>0.85999999999999943</v>
      </c>
      <c r="H35" s="73">
        <v>246779412992</v>
      </c>
      <c r="I35" s="54"/>
      <c r="J35" s="54">
        <v>1033.7700000000002</v>
      </c>
      <c r="K35">
        <f>VLOOKUP(H35,'Ascendus data working'!$K$1:$M$189,3,0)</f>
        <v>1148.6300000000001</v>
      </c>
    </row>
    <row r="36" spans="1:11" x14ac:dyDescent="0.35">
      <c r="A36" s="19"/>
      <c r="B36" s="20">
        <v>256779411890</v>
      </c>
      <c r="C36" s="77">
        <v>45763</v>
      </c>
      <c r="D36" s="16"/>
      <c r="E36" s="21">
        <v>24.25</v>
      </c>
      <c r="F36" s="16">
        <f>VLOOKUP(B36,'Ascendus data working'!$B$2:$F$201,5,0)</f>
        <v>24.75</v>
      </c>
      <c r="G36" s="41">
        <f t="shared" si="0"/>
        <v>0.5</v>
      </c>
      <c r="H36" s="73">
        <v>246779413953</v>
      </c>
      <c r="I36" s="54"/>
      <c r="J36" s="54">
        <v>2.94</v>
      </c>
      <c r="K36">
        <f>VLOOKUP(H36,'Ascendus data working'!$K$1:$M$189,3,0)</f>
        <v>3</v>
      </c>
    </row>
    <row r="37" spans="1:11" x14ac:dyDescent="0.35">
      <c r="A37" s="19"/>
      <c r="B37" s="20">
        <v>256779411891</v>
      </c>
      <c r="C37" s="77">
        <v>45759</v>
      </c>
      <c r="D37" s="16"/>
      <c r="E37" s="21">
        <v>2.2000000000000002</v>
      </c>
      <c r="F37" s="16">
        <f>VLOOKUP(B37,'Ascendus data working'!$B$2:$F$201,5,0)</f>
        <v>2.25</v>
      </c>
      <c r="G37" s="41">
        <f t="shared" si="0"/>
        <v>4.9999999999999822E-2</v>
      </c>
      <c r="H37" s="73">
        <v>246779414225</v>
      </c>
      <c r="I37" s="54"/>
      <c r="J37" s="54">
        <v>13.23</v>
      </c>
      <c r="K37">
        <f>VLOOKUP(H37,'Ascendus data working'!$K$1:$M$189,3,0)</f>
        <v>13.5</v>
      </c>
    </row>
    <row r="38" spans="1:11" x14ac:dyDescent="0.35">
      <c r="A38" s="19"/>
      <c r="B38" s="20">
        <v>246779414739</v>
      </c>
      <c r="C38" s="77">
        <v>45748</v>
      </c>
      <c r="D38" s="16"/>
      <c r="E38" s="21">
        <v>0.73</v>
      </c>
      <c r="F38" s="16">
        <f>VLOOKUP(B38,'Ascendus data working'!$B$2:$F$201,5,0)</f>
        <v>0.75</v>
      </c>
      <c r="G38" s="41">
        <f t="shared" si="0"/>
        <v>2.0000000000000018E-2</v>
      </c>
      <c r="H38" s="73">
        <v>246779414607</v>
      </c>
      <c r="I38" s="54"/>
      <c r="J38" s="54">
        <v>2.2000000000000002</v>
      </c>
      <c r="K38">
        <f>VLOOKUP(H38,'Ascendus data working'!$K$1:$M$189,3,0)</f>
        <v>2.25</v>
      </c>
    </row>
    <row r="39" spans="1:11" x14ac:dyDescent="0.35">
      <c r="A39" s="19"/>
      <c r="B39" s="20">
        <v>246779413953</v>
      </c>
      <c r="C39" s="77">
        <v>45748</v>
      </c>
      <c r="D39" s="16"/>
      <c r="E39" s="21">
        <v>2.94</v>
      </c>
      <c r="F39" s="16">
        <f>VLOOKUP(B39,'Ascendus data working'!$B$2:$F$201,5,0)</f>
        <v>3</v>
      </c>
      <c r="G39" s="41">
        <f t="shared" si="0"/>
        <v>6.0000000000000053E-2</v>
      </c>
      <c r="H39" s="73">
        <v>246779414685</v>
      </c>
      <c r="I39" s="54"/>
      <c r="J39" s="54">
        <v>42.07</v>
      </c>
      <c r="K39">
        <f>VLOOKUP(H39,'Ascendus data working'!$K$1:$M$189,3,0)</f>
        <v>42.93</v>
      </c>
    </row>
    <row r="40" spans="1:11" x14ac:dyDescent="0.35">
      <c r="A40" s="19"/>
      <c r="B40" s="20">
        <v>246779414794</v>
      </c>
      <c r="C40" s="77">
        <v>45748</v>
      </c>
      <c r="D40" s="16"/>
      <c r="E40" s="21">
        <v>2.2000000000000002</v>
      </c>
      <c r="F40" s="16">
        <f>VLOOKUP(B40,'Ascendus data working'!$B$2:$F$201,5,0)</f>
        <v>2.25</v>
      </c>
      <c r="G40" s="41">
        <f t="shared" si="0"/>
        <v>4.9999999999999822E-2</v>
      </c>
      <c r="H40" s="73">
        <v>246779414738</v>
      </c>
      <c r="I40" s="54"/>
      <c r="J40" s="54">
        <v>2.2000000000000002</v>
      </c>
      <c r="K40">
        <f>VLOOKUP(H40,'Ascendus data working'!$K$1:$M$189,3,0)</f>
        <v>2.25</v>
      </c>
    </row>
    <row r="41" spans="1:11" x14ac:dyDescent="0.35">
      <c r="A41" s="19"/>
      <c r="B41" s="20">
        <v>246779414795</v>
      </c>
      <c r="C41" s="77">
        <v>45748</v>
      </c>
      <c r="D41" s="16"/>
      <c r="E41" s="21">
        <v>0.73</v>
      </c>
      <c r="F41" s="16">
        <f>VLOOKUP(B41,'Ascendus data working'!$B$2:$F$201,5,0)</f>
        <v>0.75</v>
      </c>
      <c r="G41" s="41">
        <f t="shared" si="0"/>
        <v>2.0000000000000018E-2</v>
      </c>
      <c r="H41" s="73">
        <v>246779414739</v>
      </c>
      <c r="I41" s="54"/>
      <c r="J41" s="54">
        <v>0.73</v>
      </c>
      <c r="K41">
        <f>VLOOKUP(H41,'Ascendus data working'!$K$1:$M$189,3,0)</f>
        <v>0.75</v>
      </c>
    </row>
    <row r="42" spans="1:11" x14ac:dyDescent="0.35">
      <c r="A42" s="19"/>
      <c r="B42" s="20">
        <v>256779410138</v>
      </c>
      <c r="C42" s="77">
        <v>45750</v>
      </c>
      <c r="D42" s="16"/>
      <c r="E42" s="21">
        <v>1.47</v>
      </c>
      <c r="F42" s="16">
        <f>VLOOKUP(B42,'Ascendus data working'!$B$2:$F$201,5,0)</f>
        <v>1.5</v>
      </c>
      <c r="G42" s="41">
        <f t="shared" si="0"/>
        <v>3.0000000000000027E-2</v>
      </c>
      <c r="H42" s="73">
        <v>246779414794</v>
      </c>
      <c r="I42" s="54"/>
      <c r="J42" s="54">
        <v>2.2000000000000002</v>
      </c>
      <c r="K42">
        <f>VLOOKUP(H42,'Ascendus data working'!$K$1:$M$189,3,0)</f>
        <v>2.25</v>
      </c>
    </row>
    <row r="43" spans="1:11" x14ac:dyDescent="0.35">
      <c r="A43" s="19"/>
      <c r="B43" s="20">
        <v>256779410137</v>
      </c>
      <c r="C43" s="77">
        <v>45750</v>
      </c>
      <c r="D43" s="16"/>
      <c r="E43" s="21">
        <v>4.41</v>
      </c>
      <c r="F43" s="16">
        <f>VLOOKUP(B43,'Ascendus data working'!$B$2:$F$201,5,0)</f>
        <v>4.5</v>
      </c>
      <c r="G43" s="41">
        <f t="shared" si="0"/>
        <v>8.9999999999999858E-2</v>
      </c>
      <c r="H43" s="73">
        <v>246779414795</v>
      </c>
      <c r="I43" s="54"/>
      <c r="J43" s="54">
        <v>0.73</v>
      </c>
      <c r="K43">
        <f>VLOOKUP(H43,'Ascendus data working'!$K$1:$M$189,3,0)</f>
        <v>0.75</v>
      </c>
    </row>
    <row r="44" spans="1:11" x14ac:dyDescent="0.35">
      <c r="A44" s="19"/>
      <c r="B44" s="20">
        <v>256779411587</v>
      </c>
      <c r="C44" s="77">
        <v>45762</v>
      </c>
      <c r="D44" s="16"/>
      <c r="E44" s="21">
        <v>2.2000000000000002</v>
      </c>
      <c r="F44" s="16">
        <f>VLOOKUP(B44,'Ascendus data working'!$B$2:$F$201,5,0)</f>
        <v>2.25</v>
      </c>
      <c r="G44" s="41">
        <f t="shared" si="0"/>
        <v>4.9999999999999822E-2</v>
      </c>
      <c r="H44" s="73">
        <v>246779418945</v>
      </c>
      <c r="I44" s="54"/>
      <c r="J44" s="54">
        <v>287.18</v>
      </c>
      <c r="K44" t="e">
        <f>VLOOKUP(H44,'Ascendus data working'!$K$1:$M$189,3,0)</f>
        <v>#N/A</v>
      </c>
    </row>
    <row r="45" spans="1:11" x14ac:dyDescent="0.35">
      <c r="A45" s="19"/>
      <c r="B45" s="20">
        <v>256779411588</v>
      </c>
      <c r="C45" s="77">
        <v>45762</v>
      </c>
      <c r="D45" s="16"/>
      <c r="E45" s="21">
        <v>2.2000000000000002</v>
      </c>
      <c r="F45" s="16">
        <f>VLOOKUP(B45,'Ascendus data working'!$B$2:$F$201,5,0)</f>
        <v>2.25</v>
      </c>
      <c r="G45" s="41">
        <f t="shared" si="0"/>
        <v>4.9999999999999822E-2</v>
      </c>
      <c r="H45" s="73">
        <v>246799412242</v>
      </c>
      <c r="I45" s="54"/>
      <c r="J45" s="54">
        <v>4.67</v>
      </c>
      <c r="K45" t="e">
        <f>VLOOKUP(H45,'Ascendus data working'!$K$1:$M$189,3,0)</f>
        <v>#N/A</v>
      </c>
    </row>
    <row r="46" spans="1:11" x14ac:dyDescent="0.35">
      <c r="A46" s="19"/>
      <c r="B46" s="20">
        <v>256779411590</v>
      </c>
      <c r="C46" s="77">
        <v>45789</v>
      </c>
      <c r="D46" s="16"/>
      <c r="E46" s="21">
        <v>2.2000000000000002</v>
      </c>
      <c r="F46" s="16">
        <f>VLOOKUP(B46,'Ascendus data working'!$B$2:$F$201,5,0)</f>
        <v>2.25</v>
      </c>
      <c r="G46" s="41">
        <f t="shared" si="0"/>
        <v>4.9999999999999822E-2</v>
      </c>
      <c r="H46" s="73">
        <v>256779410137</v>
      </c>
      <c r="I46" s="54"/>
      <c r="J46" s="54">
        <v>4.41</v>
      </c>
      <c r="K46">
        <f>VLOOKUP(H46,'Ascendus data working'!$K$1:$M$189,3,0)</f>
        <v>4.5</v>
      </c>
    </row>
    <row r="47" spans="1:11" x14ac:dyDescent="0.35">
      <c r="A47" s="19"/>
      <c r="B47" s="20">
        <v>256779411591</v>
      </c>
      <c r="C47" s="77">
        <v>45762</v>
      </c>
      <c r="D47" s="16"/>
      <c r="E47" s="21">
        <v>2.94</v>
      </c>
      <c r="F47" s="16">
        <f>VLOOKUP(B47,'Ascendus data working'!$B$2:$F$201,5,0)</f>
        <v>3</v>
      </c>
      <c r="G47" s="41">
        <f t="shared" si="0"/>
        <v>6.0000000000000053E-2</v>
      </c>
      <c r="H47" s="73">
        <v>256779410138</v>
      </c>
      <c r="I47" s="54"/>
      <c r="J47" s="54">
        <v>1.47</v>
      </c>
      <c r="K47">
        <f>VLOOKUP(H47,'Ascendus data working'!$K$1:$M$189,3,0)</f>
        <v>1.5</v>
      </c>
    </row>
    <row r="48" spans="1:11" x14ac:dyDescent="0.35">
      <c r="A48" s="19"/>
      <c r="B48" s="20">
        <v>256779411592</v>
      </c>
      <c r="C48" s="77">
        <v>45762</v>
      </c>
      <c r="D48" s="16"/>
      <c r="E48" s="21">
        <v>9.4</v>
      </c>
      <c r="F48" s="16">
        <f>VLOOKUP(B48,'Ascendus data working'!$B$2:$F$201,5,0)</f>
        <v>9.59</v>
      </c>
      <c r="G48" s="41">
        <f t="shared" si="0"/>
        <v>0.1899999999999995</v>
      </c>
      <c r="H48" s="73">
        <v>256779410791</v>
      </c>
      <c r="I48" s="54"/>
      <c r="J48" s="54">
        <v>397.08</v>
      </c>
      <c r="K48">
        <f>VLOOKUP(H48,'Ascendus data working'!$K$1:$M$189,3,0)</f>
        <v>441.2</v>
      </c>
    </row>
    <row r="49" spans="1:11" x14ac:dyDescent="0.35">
      <c r="A49" s="19"/>
      <c r="B49" s="20">
        <v>256779411593</v>
      </c>
      <c r="C49" s="77">
        <v>45762</v>
      </c>
      <c r="D49" s="16"/>
      <c r="E49" s="21">
        <v>2.94</v>
      </c>
      <c r="F49" s="16">
        <f>VLOOKUP(B49,'Ascendus data working'!$B$2:$F$201,5,0)</f>
        <v>3</v>
      </c>
      <c r="G49" s="41">
        <f t="shared" si="0"/>
        <v>6.0000000000000053E-2</v>
      </c>
      <c r="H49" s="73">
        <v>256779410807</v>
      </c>
      <c r="I49" s="54"/>
      <c r="J49" s="54">
        <v>668.43000000000006</v>
      </c>
      <c r="K49">
        <f>VLOOKUP(H49,'Ascendus data working'!$K$1:$M$189,3,0)</f>
        <v>742.7</v>
      </c>
    </row>
    <row r="50" spans="1:11" x14ac:dyDescent="0.35">
      <c r="A50" s="19"/>
      <c r="B50" s="20">
        <v>256779411594</v>
      </c>
      <c r="C50" s="77">
        <v>45762</v>
      </c>
      <c r="D50" s="16"/>
      <c r="E50" s="21">
        <v>5.14</v>
      </c>
      <c r="F50" s="16">
        <f>VLOOKUP(B50,'Ascendus data working'!$B$2:$F$201,5,0)</f>
        <v>5.25</v>
      </c>
      <c r="G50" s="41">
        <f t="shared" si="0"/>
        <v>0.11000000000000032</v>
      </c>
      <c r="H50" s="73">
        <v>256779411160</v>
      </c>
      <c r="I50" s="54"/>
      <c r="J50" s="54">
        <v>18.009999999999998</v>
      </c>
      <c r="K50">
        <f>VLOOKUP(H50,'Ascendus data working'!$K$1:$M$189,3,0)</f>
        <v>18.38</v>
      </c>
    </row>
    <row r="51" spans="1:11" x14ac:dyDescent="0.35">
      <c r="A51" s="19"/>
      <c r="B51" s="20">
        <v>256779411595</v>
      </c>
      <c r="C51" s="77">
        <v>45762</v>
      </c>
      <c r="D51" s="16"/>
      <c r="E51" s="21">
        <v>61.1</v>
      </c>
      <c r="F51" s="16">
        <f>VLOOKUP(B51,'Ascendus data working'!$B$2:$F$201,5,0)</f>
        <v>62.35</v>
      </c>
      <c r="G51" s="41">
        <f t="shared" si="0"/>
        <v>1.25</v>
      </c>
      <c r="H51" s="73">
        <v>256779411161</v>
      </c>
      <c r="I51" s="54"/>
      <c r="J51" s="54">
        <v>45.82</v>
      </c>
      <c r="K51">
        <f>VLOOKUP(H51,'Ascendus data working'!$K$1:$M$189,3,0)</f>
        <v>46.76</v>
      </c>
    </row>
    <row r="52" spans="1:11" x14ac:dyDescent="0.35">
      <c r="A52" s="19"/>
      <c r="B52" s="20">
        <v>256779411596</v>
      </c>
      <c r="C52" s="77">
        <v>45762</v>
      </c>
      <c r="D52" s="16"/>
      <c r="E52" s="21">
        <v>13.600000000000001</v>
      </c>
      <c r="F52" s="16">
        <f>VLOOKUP(B52,'Ascendus data working'!$B$2:$F$201,5,0)</f>
        <v>13.88</v>
      </c>
      <c r="G52" s="41">
        <f t="shared" si="0"/>
        <v>0.27999999999999936</v>
      </c>
      <c r="H52" s="73">
        <v>256779411162</v>
      </c>
      <c r="I52" s="54"/>
      <c r="J52" s="54">
        <v>34.54</v>
      </c>
      <c r="K52">
        <f>VLOOKUP(H52,'Ascendus data working'!$K$1:$M$189,3,0)</f>
        <v>35.25</v>
      </c>
    </row>
    <row r="53" spans="1:11" x14ac:dyDescent="0.35">
      <c r="A53" s="19"/>
      <c r="B53" s="20">
        <v>256779411597</v>
      </c>
      <c r="C53" s="77">
        <v>45762</v>
      </c>
      <c r="D53" s="16"/>
      <c r="E53" s="21">
        <v>19.55</v>
      </c>
      <c r="F53" s="16">
        <f>VLOOKUP(B53,'Ascendus data working'!$B$2:$F$201,5,0)</f>
        <v>19.95</v>
      </c>
      <c r="G53" s="41">
        <f t="shared" si="0"/>
        <v>0.39999999999999858</v>
      </c>
      <c r="H53" s="73">
        <v>256779411163</v>
      </c>
      <c r="I53" s="54"/>
      <c r="J53" s="54">
        <v>23.52</v>
      </c>
      <c r="K53">
        <f>VLOOKUP(H53,'Ascendus data working'!$K$1:$M$189,3,0)</f>
        <v>24</v>
      </c>
    </row>
    <row r="54" spans="1:11" x14ac:dyDescent="0.35">
      <c r="A54" s="19"/>
      <c r="B54" s="20">
        <v>256779411160</v>
      </c>
      <c r="C54" s="77">
        <v>45762</v>
      </c>
      <c r="D54" s="16"/>
      <c r="E54" s="21">
        <v>18.009999999999998</v>
      </c>
      <c r="F54" s="16">
        <f>VLOOKUP(B54,'Ascendus data working'!$B$2:$F$201,5,0)</f>
        <v>18.38</v>
      </c>
      <c r="G54" s="41">
        <f t="shared" si="0"/>
        <v>0.37000000000000099</v>
      </c>
      <c r="H54" s="73">
        <v>256779411164</v>
      </c>
      <c r="I54" s="54"/>
      <c r="J54" s="54">
        <v>32.340000000000003</v>
      </c>
      <c r="K54">
        <f>VLOOKUP(H54,'Ascendus data working'!$K$1:$M$189,3,0)</f>
        <v>33</v>
      </c>
    </row>
    <row r="55" spans="1:11" x14ac:dyDescent="0.35">
      <c r="A55" s="19"/>
      <c r="B55" s="20">
        <v>256779411161</v>
      </c>
      <c r="C55" s="77">
        <v>45762</v>
      </c>
      <c r="D55" s="16"/>
      <c r="E55" s="21">
        <v>45.82</v>
      </c>
      <c r="F55" s="16">
        <f>VLOOKUP(B55,'Ascendus data working'!$B$2:$F$201,5,0)</f>
        <v>46.76</v>
      </c>
      <c r="G55" s="41">
        <f t="shared" si="0"/>
        <v>0.93999999999999773</v>
      </c>
      <c r="H55" s="73">
        <v>256779411587</v>
      </c>
      <c r="I55" s="54"/>
      <c r="J55" s="54">
        <v>2.2000000000000002</v>
      </c>
      <c r="K55">
        <f>VLOOKUP(H55,'Ascendus data working'!$K$1:$M$189,3,0)</f>
        <v>2.25</v>
      </c>
    </row>
    <row r="56" spans="1:11" x14ac:dyDescent="0.35">
      <c r="A56" s="19"/>
      <c r="B56" s="20">
        <v>256779411162</v>
      </c>
      <c r="C56" s="77">
        <v>45762</v>
      </c>
      <c r="D56" s="16"/>
      <c r="E56" s="21">
        <v>34.54</v>
      </c>
      <c r="F56" s="16">
        <f>VLOOKUP(B56,'Ascendus data working'!$B$2:$F$201,5,0)</f>
        <v>35.25</v>
      </c>
      <c r="G56" s="41">
        <f t="shared" si="0"/>
        <v>0.71000000000000085</v>
      </c>
      <c r="H56" s="73">
        <v>256779411588</v>
      </c>
      <c r="I56" s="54"/>
      <c r="J56" s="54">
        <v>2.2000000000000002</v>
      </c>
      <c r="K56">
        <f>VLOOKUP(H56,'Ascendus data working'!$K$1:$M$189,3,0)</f>
        <v>2.25</v>
      </c>
    </row>
    <row r="57" spans="1:11" x14ac:dyDescent="0.35">
      <c r="A57" s="19"/>
      <c r="B57" s="20">
        <v>256779411163</v>
      </c>
      <c r="C57" s="77">
        <v>45762</v>
      </c>
      <c r="D57" s="16"/>
      <c r="E57" s="21">
        <v>23.52</v>
      </c>
      <c r="F57" s="16">
        <f>VLOOKUP(B57,'Ascendus data working'!$B$2:$F$201,5,0)</f>
        <v>24</v>
      </c>
      <c r="G57" s="41">
        <f t="shared" si="0"/>
        <v>0.48000000000000043</v>
      </c>
      <c r="H57" s="73">
        <v>256779411590</v>
      </c>
      <c r="I57" s="54"/>
      <c r="J57" s="54">
        <v>2.2000000000000002</v>
      </c>
      <c r="K57">
        <f>VLOOKUP(H57,'Ascendus data working'!$K$1:$M$189,3,0)</f>
        <v>2.25</v>
      </c>
    </row>
    <row r="58" spans="1:11" x14ac:dyDescent="0.35">
      <c r="A58" s="19"/>
      <c r="B58" s="20">
        <v>256779411164</v>
      </c>
      <c r="C58" s="77">
        <v>45762</v>
      </c>
      <c r="D58" s="16"/>
      <c r="E58" s="21">
        <v>32.340000000000003</v>
      </c>
      <c r="F58" s="16">
        <f>VLOOKUP(B58,'Ascendus data working'!$B$2:$F$201,5,0)</f>
        <v>33</v>
      </c>
      <c r="G58" s="41">
        <f t="shared" si="0"/>
        <v>0.65999999999999659</v>
      </c>
      <c r="H58" s="73">
        <v>256779411591</v>
      </c>
      <c r="I58" s="54"/>
      <c r="J58" s="54">
        <v>2.94</v>
      </c>
      <c r="K58">
        <f>VLOOKUP(H58,'Ascendus data working'!$K$1:$M$189,3,0)</f>
        <v>3</v>
      </c>
    </row>
    <row r="59" spans="1:11" x14ac:dyDescent="0.35">
      <c r="A59" s="19"/>
      <c r="B59" s="20">
        <v>256779411811</v>
      </c>
      <c r="C59" s="77">
        <v>45763</v>
      </c>
      <c r="D59" s="16"/>
      <c r="E59" s="21">
        <v>3.18</v>
      </c>
      <c r="F59" s="16">
        <f>VLOOKUP(B59,'Ascendus data working'!$B$2:$F$201,5,0)</f>
        <v>3.24</v>
      </c>
      <c r="G59" s="41">
        <f t="shared" si="0"/>
        <v>6.0000000000000053E-2</v>
      </c>
      <c r="H59" s="73">
        <v>256779411592</v>
      </c>
      <c r="I59" s="54"/>
      <c r="J59" s="54">
        <v>9.4</v>
      </c>
      <c r="K59">
        <f>VLOOKUP(H59,'Ascendus data working'!$K$1:$M$189,3,0)</f>
        <v>9.59</v>
      </c>
    </row>
    <row r="60" spans="1:11" x14ac:dyDescent="0.35">
      <c r="A60" s="19"/>
      <c r="B60" s="20">
        <v>256779411812</v>
      </c>
      <c r="C60" s="77">
        <v>45763</v>
      </c>
      <c r="D60" s="16"/>
      <c r="E60" s="21">
        <v>14.7</v>
      </c>
      <c r="F60" s="16">
        <f>VLOOKUP(B60,'Ascendus data working'!$B$2:$F$201,5,0)</f>
        <v>15</v>
      </c>
      <c r="G60" s="41">
        <f t="shared" si="0"/>
        <v>0.30000000000000071</v>
      </c>
      <c r="H60" s="73">
        <v>256779411593</v>
      </c>
      <c r="I60" s="54"/>
      <c r="J60" s="54">
        <v>2.94</v>
      </c>
      <c r="K60">
        <f>VLOOKUP(H60,'Ascendus data working'!$K$1:$M$189,3,0)</f>
        <v>3</v>
      </c>
    </row>
    <row r="61" spans="1:11" x14ac:dyDescent="0.35">
      <c r="A61" s="19"/>
      <c r="B61" s="20">
        <v>256779412103</v>
      </c>
      <c r="C61" s="77">
        <v>45763</v>
      </c>
      <c r="D61" s="16"/>
      <c r="E61" s="21">
        <v>41.67</v>
      </c>
      <c r="F61" s="16">
        <f>VLOOKUP(B61,'Ascendus data working'!$B$2:$F$201,5,0)</f>
        <v>42.53</v>
      </c>
      <c r="G61" s="41">
        <f t="shared" si="0"/>
        <v>0.85999999999999943</v>
      </c>
      <c r="H61" s="73">
        <v>256779411594</v>
      </c>
      <c r="I61" s="54"/>
      <c r="J61" s="54">
        <v>5.14</v>
      </c>
      <c r="K61">
        <f>VLOOKUP(H61,'Ascendus data working'!$K$1:$M$189,3,0)</f>
        <v>5.25</v>
      </c>
    </row>
    <row r="62" spans="1:11" x14ac:dyDescent="0.35">
      <c r="A62" s="19"/>
      <c r="B62" s="20">
        <v>256779412153</v>
      </c>
      <c r="C62" s="77">
        <v>45768</v>
      </c>
      <c r="D62" s="16"/>
      <c r="E62" s="21">
        <v>1048.83</v>
      </c>
      <c r="F62" s="16">
        <f>VLOOKUP(B62,'Ascendus data working'!$B$2:$F$201,5,0)</f>
        <v>1165.3699999999999</v>
      </c>
      <c r="G62" s="41">
        <f t="shared" si="0"/>
        <v>116.53999999999996</v>
      </c>
      <c r="H62" s="73">
        <v>256779411595</v>
      </c>
      <c r="I62" s="54"/>
      <c r="J62" s="54">
        <v>61.1</v>
      </c>
      <c r="K62">
        <f>VLOOKUP(H62,'Ascendus data working'!$K$1:$M$189,3,0)</f>
        <v>62.35</v>
      </c>
    </row>
    <row r="63" spans="1:11" x14ac:dyDescent="0.35">
      <c r="A63" s="19"/>
      <c r="B63" s="20">
        <v>256779412617</v>
      </c>
      <c r="C63" s="77">
        <v>45769</v>
      </c>
      <c r="D63" s="16"/>
      <c r="E63" s="21">
        <v>376.93</v>
      </c>
      <c r="F63" s="16">
        <f>VLOOKUP(B63,'Ascendus data working'!$B$2:$F$201,5,0)</f>
        <v>384.63</v>
      </c>
      <c r="G63" s="41">
        <f t="shared" si="0"/>
        <v>7.6999999999999886</v>
      </c>
      <c r="H63" s="73">
        <v>256779411596</v>
      </c>
      <c r="I63" s="54"/>
      <c r="J63" s="54">
        <v>13.600000000000001</v>
      </c>
      <c r="K63">
        <f>VLOOKUP(H63,'Ascendus data working'!$K$1:$M$189,3,0)</f>
        <v>13.88</v>
      </c>
    </row>
    <row r="64" spans="1:11" x14ac:dyDescent="0.35">
      <c r="A64" s="19"/>
      <c r="B64" s="20">
        <v>256779412932</v>
      </c>
      <c r="C64" s="77">
        <v>45770</v>
      </c>
      <c r="D64" s="16"/>
      <c r="E64" s="21">
        <v>65.52</v>
      </c>
      <c r="F64" s="16">
        <f>VLOOKUP(B64,'Ascendus data working'!$B$2:$F$201,5,0)</f>
        <v>66.86</v>
      </c>
      <c r="G64" s="41">
        <f t="shared" si="0"/>
        <v>1.3400000000000034</v>
      </c>
      <c r="H64" s="73">
        <v>256779411597</v>
      </c>
      <c r="I64" s="54"/>
      <c r="J64" s="54">
        <v>19.55</v>
      </c>
      <c r="K64">
        <f>VLOOKUP(H64,'Ascendus data working'!$K$1:$M$189,3,0)</f>
        <v>19.95</v>
      </c>
    </row>
    <row r="65" spans="1:11" x14ac:dyDescent="0.35">
      <c r="A65" s="19"/>
      <c r="B65" s="22">
        <v>256779412660</v>
      </c>
      <c r="C65" s="100">
        <v>45769</v>
      </c>
      <c r="D65" s="16"/>
      <c r="E65" s="23">
        <v>7.34</v>
      </c>
      <c r="F65" s="16">
        <f>VLOOKUP(B65,'Ascendus data working'!$B$2:$F$201,5,0)</f>
        <v>7.5</v>
      </c>
      <c r="G65" s="41">
        <f t="shared" si="0"/>
        <v>0.16000000000000014</v>
      </c>
      <c r="H65" s="73">
        <v>256779411811</v>
      </c>
      <c r="I65" s="54"/>
      <c r="J65" s="54">
        <v>3.18</v>
      </c>
      <c r="K65">
        <f>VLOOKUP(H65,'Ascendus data working'!$K$1:$M$189,3,0)</f>
        <v>3.24</v>
      </c>
    </row>
    <row r="66" spans="1:11" x14ac:dyDescent="0.35">
      <c r="A66" s="19"/>
      <c r="B66" s="20">
        <v>256779413142</v>
      </c>
      <c r="C66" s="77">
        <v>45787</v>
      </c>
      <c r="D66" s="16"/>
      <c r="E66" s="21">
        <v>1046.71</v>
      </c>
      <c r="F66" s="16">
        <f>VLOOKUP(B66,'Ascendus data working'!$B$2:$F$201,5,0)</f>
        <v>1162.7906976744187</v>
      </c>
      <c r="G66" s="41">
        <f t="shared" si="0"/>
        <v>116.08069767441862</v>
      </c>
      <c r="H66" s="73">
        <v>256779411812</v>
      </c>
      <c r="I66" s="54"/>
      <c r="J66" s="54">
        <v>14.7</v>
      </c>
      <c r="K66">
        <f>VLOOKUP(H66,'Ascendus data working'!$K$1:$M$189,3,0)</f>
        <v>15</v>
      </c>
    </row>
    <row r="67" spans="1:11" x14ac:dyDescent="0.35">
      <c r="A67" s="19"/>
      <c r="B67" s="20">
        <v>256779413361</v>
      </c>
      <c r="C67" s="77">
        <v>45793</v>
      </c>
      <c r="D67" s="16"/>
      <c r="E67" s="21">
        <v>2.94</v>
      </c>
      <c r="F67" s="16">
        <f>VLOOKUP(B67,'Ascendus data working'!$B$2:$F$201,5,0)</f>
        <v>3</v>
      </c>
      <c r="G67" s="41">
        <f t="shared" ref="G67:G130" si="1">F67-E67</f>
        <v>6.0000000000000053E-2</v>
      </c>
      <c r="H67" s="73">
        <v>256779411890</v>
      </c>
      <c r="I67" s="54"/>
      <c r="J67" s="54">
        <v>24.25</v>
      </c>
      <c r="K67">
        <f>VLOOKUP(H67,'Ascendus data working'!$K$1:$M$189,3,0)</f>
        <v>24.75</v>
      </c>
    </row>
    <row r="68" spans="1:11" x14ac:dyDescent="0.35">
      <c r="A68" s="19"/>
      <c r="B68" s="24">
        <v>256779413490</v>
      </c>
      <c r="C68" s="77">
        <v>45797</v>
      </c>
      <c r="D68" s="16"/>
      <c r="E68" s="21">
        <v>2.94</v>
      </c>
      <c r="F68" s="16">
        <f>VLOOKUP(B68,'Ascendus data working'!$B$2:$F$201,5,0)</f>
        <v>3</v>
      </c>
      <c r="G68" s="41">
        <f t="shared" si="1"/>
        <v>6.0000000000000053E-2</v>
      </c>
      <c r="H68" s="73">
        <v>256779411891</v>
      </c>
      <c r="I68" s="54"/>
      <c r="J68" s="54">
        <v>2.2000000000000002</v>
      </c>
      <c r="K68">
        <f>VLOOKUP(H68,'Ascendus data working'!$K$1:$M$189,3,0)</f>
        <v>2.25</v>
      </c>
    </row>
    <row r="69" spans="1:11" x14ac:dyDescent="0.35">
      <c r="A69" s="17">
        <v>45856</v>
      </c>
      <c r="B69" s="18" t="s">
        <v>247</v>
      </c>
      <c r="C69" s="99">
        <v>45856</v>
      </c>
      <c r="D69" s="16">
        <v>4602.99</v>
      </c>
      <c r="E69" s="16"/>
      <c r="F69" s="16" t="e">
        <f>VLOOKUP(B69,'Ascendus data working'!$B$2:$F$201,5,0)</f>
        <v>#N/A</v>
      </c>
      <c r="G69" s="41"/>
      <c r="H69" s="73">
        <v>256779412103</v>
      </c>
      <c r="I69" s="54"/>
      <c r="J69" s="54">
        <v>41.67</v>
      </c>
      <c r="K69">
        <f>VLOOKUP(H69,'Ascendus data working'!$K$1:$M$189,3,0)</f>
        <v>42.53</v>
      </c>
    </row>
    <row r="70" spans="1:11" x14ac:dyDescent="0.35">
      <c r="A70" s="19"/>
      <c r="B70" s="18">
        <v>256779414354</v>
      </c>
      <c r="C70" s="101">
        <v>45818</v>
      </c>
      <c r="D70" s="16"/>
      <c r="E70" s="21">
        <v>1052.75</v>
      </c>
      <c r="F70" s="16">
        <f>VLOOKUP(B70,'Ascendus data working'!$B$2:$F$201,5,0)</f>
        <v>1169.5906432748538</v>
      </c>
      <c r="G70" s="41">
        <f t="shared" si="1"/>
        <v>116.84064327485385</v>
      </c>
      <c r="H70" s="73">
        <v>256779412113</v>
      </c>
      <c r="I70" s="54"/>
      <c r="J70" s="54">
        <v>744.73</v>
      </c>
      <c r="K70">
        <f>VLOOKUP(H70,'Ascendus data working'!$K$1:$M$189,3,0)</f>
        <v>827.48</v>
      </c>
    </row>
    <row r="71" spans="1:11" x14ac:dyDescent="0.35">
      <c r="A71" s="19"/>
      <c r="B71" s="18">
        <v>246779411057</v>
      </c>
      <c r="C71" s="101">
        <v>45748</v>
      </c>
      <c r="D71" s="16"/>
      <c r="E71" s="21">
        <v>66.320000000000007</v>
      </c>
      <c r="F71" s="16">
        <f>VLOOKUP(B71,'Ascendus data working'!$B$2:$F$201,5,0)</f>
        <v>67.67</v>
      </c>
      <c r="G71" s="41">
        <f t="shared" si="1"/>
        <v>1.3499999999999943</v>
      </c>
      <c r="H71" s="73">
        <v>256779412153</v>
      </c>
      <c r="I71" s="54"/>
      <c r="J71" s="54">
        <v>1048.83</v>
      </c>
      <c r="K71">
        <f>VLOOKUP(H71,'Ascendus data working'!$K$1:$M$189,3,0)</f>
        <v>1165.3699999999999</v>
      </c>
    </row>
    <row r="72" spans="1:11" x14ac:dyDescent="0.35">
      <c r="A72" s="19"/>
      <c r="B72" s="18">
        <v>256779414912</v>
      </c>
      <c r="C72" s="101">
        <v>45842</v>
      </c>
      <c r="D72" s="16"/>
      <c r="E72" s="25">
        <v>1046.5</v>
      </c>
      <c r="F72" s="16">
        <f>VLOOKUP(B72,'Ascendus data working'!$B$2:$F$201,5,0)</f>
        <v>1162.7906976744187</v>
      </c>
      <c r="G72" s="41">
        <f t="shared" si="1"/>
        <v>116.29069767441865</v>
      </c>
      <c r="H72" s="73">
        <v>256779412617</v>
      </c>
      <c r="I72" s="54"/>
      <c r="J72" s="54">
        <v>376.93</v>
      </c>
      <c r="K72">
        <f>VLOOKUP(H72,'Ascendus data working'!$K$1:$M$189,3,0)</f>
        <v>384.63</v>
      </c>
    </row>
    <row r="73" spans="1:11" x14ac:dyDescent="0.35">
      <c r="A73" s="19"/>
      <c r="B73" s="26">
        <v>256779415190</v>
      </c>
      <c r="C73" s="101">
        <v>45842</v>
      </c>
      <c r="D73" s="16"/>
      <c r="E73" s="25">
        <v>621.63000000000011</v>
      </c>
      <c r="F73" s="16">
        <f>VLOOKUP(B73,'Ascendus data working'!$B$2:$F$201,5,0)</f>
        <v>690.7</v>
      </c>
      <c r="G73" s="41">
        <f t="shared" si="1"/>
        <v>69.069999999999936</v>
      </c>
      <c r="H73" s="73">
        <v>256779412660</v>
      </c>
      <c r="I73" s="54"/>
      <c r="J73" s="54">
        <v>7.34</v>
      </c>
      <c r="K73">
        <f>VLOOKUP(H73,'Ascendus data working'!$K$1:$M$189,3,0)</f>
        <v>7.5</v>
      </c>
    </row>
    <row r="74" spans="1:11" x14ac:dyDescent="0.35">
      <c r="A74" s="19"/>
      <c r="B74" s="18">
        <v>256779414833</v>
      </c>
      <c r="C74" s="101">
        <v>45842</v>
      </c>
      <c r="D74" s="16"/>
      <c r="E74" s="21">
        <v>2.94</v>
      </c>
      <c r="F74" s="16">
        <f>VLOOKUP(B74,'Ascendus data working'!$B$2:$F$201,5,0)</f>
        <v>3</v>
      </c>
      <c r="G74" s="41">
        <f t="shared" si="1"/>
        <v>6.0000000000000053E-2</v>
      </c>
      <c r="H74" s="73">
        <v>256779412932</v>
      </c>
      <c r="I74" s="54"/>
      <c r="J74" s="54">
        <v>65.52</v>
      </c>
      <c r="K74">
        <f>VLOOKUP(H74,'Ascendus data working'!$K$1:$M$189,3,0)</f>
        <v>66.86</v>
      </c>
    </row>
    <row r="75" spans="1:11" x14ac:dyDescent="0.35">
      <c r="A75" s="19"/>
      <c r="B75" s="18">
        <v>256779415485</v>
      </c>
      <c r="C75" s="101">
        <v>45856</v>
      </c>
      <c r="D75" s="16"/>
      <c r="E75" s="21">
        <v>16.899999999999999</v>
      </c>
      <c r="F75" s="16">
        <f>VLOOKUP(B75,'Ascendus data working'!$B$2:$F$201,5,0)</f>
        <v>17.25</v>
      </c>
      <c r="G75" s="41">
        <f t="shared" si="1"/>
        <v>0.35000000000000142</v>
      </c>
      <c r="H75" s="73">
        <v>256779413142</v>
      </c>
      <c r="I75" s="54"/>
      <c r="J75" s="54">
        <v>1046.71</v>
      </c>
      <c r="K75">
        <f>VLOOKUP(H75,'Ascendus data working'!$K$1:$M$189,3,0)</f>
        <v>1162.7906976744187</v>
      </c>
    </row>
    <row r="76" spans="1:11" x14ac:dyDescent="0.35">
      <c r="A76" s="19"/>
      <c r="B76" s="18">
        <v>256779415533</v>
      </c>
      <c r="C76" s="101">
        <v>45856</v>
      </c>
      <c r="D76" s="16"/>
      <c r="E76" s="21">
        <v>21.31</v>
      </c>
      <c r="F76" s="16">
        <f>VLOOKUP(B76,'Ascendus data working'!$B$2:$F$201,5,0)</f>
        <v>21.75</v>
      </c>
      <c r="G76" s="41">
        <f t="shared" si="1"/>
        <v>0.44000000000000128</v>
      </c>
      <c r="H76" s="73">
        <v>256779413272</v>
      </c>
      <c r="I76" s="54"/>
      <c r="J76" s="54">
        <v>24.77</v>
      </c>
      <c r="K76">
        <f>VLOOKUP(H76,'Ascendus data working'!$K$1:$M$189,3,0)</f>
        <v>25.28</v>
      </c>
    </row>
    <row r="77" spans="1:11" x14ac:dyDescent="0.35">
      <c r="A77" s="19"/>
      <c r="B77" s="18">
        <v>256779415772</v>
      </c>
      <c r="C77" s="101">
        <v>45857</v>
      </c>
      <c r="D77" s="16"/>
      <c r="E77" s="21">
        <v>58.24</v>
      </c>
      <c r="F77" s="16">
        <f>VLOOKUP(B77,'Ascendus data working'!$B$2:$F$201,5,0)</f>
        <v>59.43</v>
      </c>
      <c r="G77" s="41">
        <f t="shared" si="1"/>
        <v>1.1899999999999977</v>
      </c>
      <c r="H77" s="73">
        <v>256779413361</v>
      </c>
      <c r="I77" s="54"/>
      <c r="J77" s="54">
        <v>2.94</v>
      </c>
      <c r="K77">
        <f>VLOOKUP(H77,'Ascendus data working'!$K$1:$M$189,3,0)</f>
        <v>3</v>
      </c>
    </row>
    <row r="78" spans="1:11" x14ac:dyDescent="0.35">
      <c r="A78" s="19"/>
      <c r="B78" s="18">
        <v>256779416024</v>
      </c>
      <c r="C78" s="101">
        <v>45870</v>
      </c>
      <c r="D78" s="16"/>
      <c r="E78" s="21">
        <v>1046.1400000000001</v>
      </c>
      <c r="F78" s="16">
        <f>VLOOKUP(B78,'Ascendus data working'!$B$2:$F$201,5,0)</f>
        <v>1162.7906976744187</v>
      </c>
      <c r="G78" s="41">
        <f t="shared" si="1"/>
        <v>116.65069767441855</v>
      </c>
      <c r="H78" s="73">
        <v>256779413490</v>
      </c>
      <c r="I78" s="54"/>
      <c r="J78" s="54">
        <v>2.94</v>
      </c>
      <c r="K78">
        <f>VLOOKUP(H78,'Ascendus data working'!$K$1:$M$189,3,0)</f>
        <v>3</v>
      </c>
    </row>
    <row r="79" spans="1:11" x14ac:dyDescent="0.35">
      <c r="A79" s="19"/>
      <c r="B79" s="18">
        <v>256779416082</v>
      </c>
      <c r="C79" s="101">
        <v>45877</v>
      </c>
      <c r="D79" s="16"/>
      <c r="E79" s="21">
        <v>683.69999999999993</v>
      </c>
      <c r="F79" s="16">
        <f>VLOOKUP(B79,'Ascendus data working'!$B$2:$F$201,5,0)</f>
        <v>759.67</v>
      </c>
      <c r="G79" s="41">
        <f t="shared" si="1"/>
        <v>75.970000000000027</v>
      </c>
      <c r="H79" s="73">
        <v>256779413893</v>
      </c>
      <c r="I79" s="54"/>
      <c r="J79" s="54">
        <v>717.81</v>
      </c>
      <c r="K79">
        <f>VLOOKUP(H79,'Ascendus data working'!$K$1:$M$189,3,0)</f>
        <v>797.57</v>
      </c>
    </row>
    <row r="80" spans="1:11" x14ac:dyDescent="0.35">
      <c r="A80" s="19"/>
      <c r="B80" s="18">
        <v>256779416446</v>
      </c>
      <c r="C80" s="101">
        <v>45877</v>
      </c>
      <c r="D80" s="16"/>
      <c r="E80" s="21">
        <v>2.23</v>
      </c>
      <c r="F80" s="16">
        <f>VLOOKUP(B80,'Ascendus data working'!$B$2:$F$201,5,0)</f>
        <v>2.2799999999999998</v>
      </c>
      <c r="G80" s="41">
        <f t="shared" si="1"/>
        <v>4.9999999999999822E-2</v>
      </c>
      <c r="H80" s="73">
        <v>256779414003</v>
      </c>
      <c r="I80" s="54"/>
      <c r="J80" s="54">
        <v>726.65</v>
      </c>
      <c r="K80">
        <f>VLOOKUP(H80,'Ascendus data working'!$K$1:$M$189,3,0)</f>
        <v>807.39</v>
      </c>
    </row>
    <row r="81" spans="1:11" x14ac:dyDescent="0.35">
      <c r="A81" s="19"/>
      <c r="B81" s="18">
        <v>256779416257</v>
      </c>
      <c r="C81" s="101">
        <v>45877</v>
      </c>
      <c r="D81" s="16"/>
      <c r="E81" s="21">
        <v>22.42</v>
      </c>
      <c r="F81" s="16">
        <f>VLOOKUP(B81,'Ascendus data working'!$B$2:$F$201,5,0)</f>
        <v>22.87</v>
      </c>
      <c r="G81" s="41">
        <f t="shared" si="1"/>
        <v>0.44999999999999929</v>
      </c>
      <c r="H81" s="73">
        <v>256779414004</v>
      </c>
      <c r="I81" s="54"/>
      <c r="J81" s="54">
        <v>727.33999999999992</v>
      </c>
      <c r="K81">
        <f>VLOOKUP(H81,'Ascendus data working'!$K$1:$M$189,3,0)</f>
        <v>808.16</v>
      </c>
    </row>
    <row r="82" spans="1:11" x14ac:dyDescent="0.35">
      <c r="A82" s="19"/>
      <c r="B82" s="18">
        <v>256779416228</v>
      </c>
      <c r="C82" s="101">
        <v>45877</v>
      </c>
      <c r="D82" s="16"/>
      <c r="E82" s="21">
        <v>2.94</v>
      </c>
      <c r="F82" s="16">
        <f>VLOOKUP(B82,'Ascendus data working'!$B$2:$F$201,5,0)</f>
        <v>3</v>
      </c>
      <c r="G82" s="41">
        <f t="shared" si="1"/>
        <v>6.0000000000000053E-2</v>
      </c>
      <c r="H82" s="73">
        <v>256779414005</v>
      </c>
      <c r="I82" s="54"/>
      <c r="J82" s="54">
        <v>724.75</v>
      </c>
      <c r="K82">
        <f>VLOOKUP(H82,'Ascendus data working'!$K$1:$M$189,3,0)</f>
        <v>805.28</v>
      </c>
    </row>
    <row r="83" spans="1:11" x14ac:dyDescent="0.35">
      <c r="A83" s="19"/>
      <c r="B83" s="18">
        <v>256779416246</v>
      </c>
      <c r="C83" s="101">
        <v>45877</v>
      </c>
      <c r="D83" s="16"/>
      <c r="E83" s="21">
        <v>69.540000000000006</v>
      </c>
      <c r="F83" s="16">
        <f>VLOOKUP(B83,'Ascendus data working'!$B$2:$F$201,5,0)</f>
        <v>70.95</v>
      </c>
      <c r="G83" s="41">
        <f t="shared" si="1"/>
        <v>1.4099999999999966</v>
      </c>
      <c r="H83" s="73">
        <v>256779414006</v>
      </c>
      <c r="I83" s="54"/>
      <c r="J83" s="54">
        <v>721.32</v>
      </c>
      <c r="K83">
        <f>VLOOKUP(H83,'Ascendus data working'!$K$1:$M$189,3,0)</f>
        <v>801.47</v>
      </c>
    </row>
    <row r="84" spans="1:11" x14ac:dyDescent="0.35">
      <c r="A84" s="19"/>
      <c r="B84" s="18">
        <v>256779416182</v>
      </c>
      <c r="C84" s="101">
        <v>45877</v>
      </c>
      <c r="D84" s="16"/>
      <c r="E84" s="21">
        <v>17.64</v>
      </c>
      <c r="F84" s="16">
        <f>VLOOKUP(B84,'Ascendus data working'!$B$2:$F$201,5,0)</f>
        <v>18</v>
      </c>
      <c r="G84" s="41">
        <f t="shared" si="1"/>
        <v>0.35999999999999943</v>
      </c>
      <c r="H84" s="73">
        <v>256779414007</v>
      </c>
      <c r="I84" s="54"/>
      <c r="J84" s="54">
        <v>711.8</v>
      </c>
      <c r="K84">
        <f>VLOOKUP(H84,'Ascendus data working'!$K$1:$M$189,3,0)</f>
        <v>790.89</v>
      </c>
    </row>
    <row r="85" spans="1:11" x14ac:dyDescent="0.35">
      <c r="A85" s="19"/>
      <c r="B85" s="18">
        <v>256779413272</v>
      </c>
      <c r="C85" s="101">
        <v>45793</v>
      </c>
      <c r="D85" s="16"/>
      <c r="E85" s="21">
        <v>24.77</v>
      </c>
      <c r="F85" s="16">
        <f>VLOOKUP(B85,'Ascendus data working'!$B$2:$F$201,5,0)</f>
        <v>25.28</v>
      </c>
      <c r="G85" s="41">
        <f t="shared" si="1"/>
        <v>0.51000000000000156</v>
      </c>
      <c r="H85" s="73">
        <v>256779414354</v>
      </c>
      <c r="I85" s="54"/>
      <c r="J85" s="54">
        <v>1052.75</v>
      </c>
      <c r="K85">
        <f>VLOOKUP(H85,'Ascendus data working'!$K$1:$M$189,3,0)</f>
        <v>1169.5906432748538</v>
      </c>
    </row>
    <row r="86" spans="1:11" x14ac:dyDescent="0.35">
      <c r="A86" s="19"/>
      <c r="B86" s="18">
        <v>256779416604</v>
      </c>
      <c r="C86" s="101">
        <v>45889</v>
      </c>
      <c r="D86" s="16"/>
      <c r="E86" s="21">
        <v>16.959999999999997</v>
      </c>
      <c r="F86" s="16">
        <f>VLOOKUP(B86,'Ascendus data working'!$B$2:$F$201,5,0)</f>
        <v>17.309999999999999</v>
      </c>
      <c r="G86" s="41">
        <f t="shared" si="1"/>
        <v>0.35000000000000142</v>
      </c>
      <c r="H86" s="73">
        <v>256779414833</v>
      </c>
      <c r="I86" s="54"/>
      <c r="J86" s="54">
        <v>2.94</v>
      </c>
      <c r="K86">
        <f>VLOOKUP(H86,'Ascendus data working'!$K$1:$M$189,3,0)</f>
        <v>3</v>
      </c>
    </row>
    <row r="87" spans="1:11" x14ac:dyDescent="0.35">
      <c r="A87" s="19"/>
      <c r="B87" s="18">
        <v>256779416847</v>
      </c>
      <c r="C87" s="101">
        <v>45889</v>
      </c>
      <c r="D87" s="16"/>
      <c r="E87" s="21">
        <v>27.27</v>
      </c>
      <c r="F87" s="16">
        <f>VLOOKUP(B87,'Ascendus data working'!$B$2:$F$201,5,0)</f>
        <v>27.83</v>
      </c>
      <c r="G87" s="41">
        <f t="shared" si="1"/>
        <v>0.55999999999999872</v>
      </c>
      <c r="H87" s="73">
        <v>256779414912</v>
      </c>
      <c r="I87" s="54"/>
      <c r="J87" s="54">
        <v>1046.5</v>
      </c>
      <c r="K87">
        <f>VLOOKUP(H87,'Ascendus data working'!$K$1:$M$189,3,0)</f>
        <v>1162.7906976744187</v>
      </c>
    </row>
    <row r="88" spans="1:11" x14ac:dyDescent="0.35">
      <c r="A88" s="19"/>
      <c r="B88" s="18">
        <v>256779416882</v>
      </c>
      <c r="C88" s="101">
        <v>45889</v>
      </c>
      <c r="D88" s="16"/>
      <c r="E88" s="21">
        <v>12.57</v>
      </c>
      <c r="F88" s="16">
        <f>VLOOKUP(B88,'Ascendus data working'!$B$2:$F$201,5,0)</f>
        <v>12.83</v>
      </c>
      <c r="G88" s="41">
        <f t="shared" si="1"/>
        <v>0.25999999999999979</v>
      </c>
      <c r="H88" s="73">
        <v>256779415190</v>
      </c>
      <c r="I88" s="54"/>
      <c r="J88" s="54">
        <v>621.63000000000011</v>
      </c>
      <c r="K88">
        <f>VLOOKUP(H88,'Ascendus data working'!$K$1:$M$189,3,0)</f>
        <v>690.7</v>
      </c>
    </row>
    <row r="89" spans="1:11" x14ac:dyDescent="0.35">
      <c r="A89" s="19"/>
      <c r="B89" s="18">
        <v>256779416616</v>
      </c>
      <c r="C89" s="101">
        <v>45889</v>
      </c>
      <c r="D89" s="16"/>
      <c r="E89" s="21">
        <v>62.379999999999995</v>
      </c>
      <c r="F89" s="16">
        <f>VLOOKUP(B89,'Ascendus data working'!$B$2:$F$201,5,0)</f>
        <v>63.65</v>
      </c>
      <c r="G89" s="41">
        <f t="shared" si="1"/>
        <v>1.2700000000000031</v>
      </c>
      <c r="H89" s="73">
        <v>256779415485</v>
      </c>
      <c r="I89" s="54"/>
      <c r="J89" s="54">
        <v>16.899999999999999</v>
      </c>
      <c r="K89">
        <f>VLOOKUP(H89,'Ascendus data working'!$K$1:$M$189,3,0)</f>
        <v>17.25</v>
      </c>
    </row>
    <row r="90" spans="1:11" x14ac:dyDescent="0.35">
      <c r="A90" s="17">
        <v>45945</v>
      </c>
      <c r="B90" s="18" t="s">
        <v>247</v>
      </c>
      <c r="C90" s="99">
        <v>45945</v>
      </c>
      <c r="D90" s="16">
        <v>4875.1499999999996</v>
      </c>
      <c r="E90" s="16"/>
      <c r="F90" s="16" t="e">
        <f>VLOOKUP(B90,'Ascendus data working'!$B$2:$F$201,5,0)</f>
        <v>#N/A</v>
      </c>
      <c r="G90" s="41"/>
      <c r="H90" s="73">
        <v>256779415533</v>
      </c>
      <c r="I90" s="54"/>
      <c r="J90" s="54">
        <v>21.31</v>
      </c>
      <c r="K90">
        <f>VLOOKUP(H90,'Ascendus data working'!$K$1:$M$189,3,0)</f>
        <v>21.75</v>
      </c>
    </row>
    <row r="91" spans="1:11" x14ac:dyDescent="0.35">
      <c r="A91" s="19"/>
      <c r="B91" s="27">
        <v>256779417344</v>
      </c>
      <c r="C91" s="78">
        <v>45904</v>
      </c>
      <c r="D91" s="16"/>
      <c r="E91" s="21">
        <v>1028.4000000000001</v>
      </c>
      <c r="F91" s="16">
        <f>VLOOKUP(B91,'Ascendus data working'!$B$2:$F$201,5,0)</f>
        <v>1142.8571428571429</v>
      </c>
      <c r="G91" s="41">
        <f t="shared" si="1"/>
        <v>114.4571428571428</v>
      </c>
      <c r="H91" s="73">
        <v>256779415772</v>
      </c>
      <c r="I91" s="54"/>
      <c r="J91" s="54">
        <v>58.24</v>
      </c>
      <c r="K91">
        <f>VLOOKUP(H91,'Ascendus data working'!$K$1:$M$189,3,0)</f>
        <v>59.43</v>
      </c>
    </row>
    <row r="92" spans="1:11" x14ac:dyDescent="0.35">
      <c r="A92" s="19"/>
      <c r="B92" s="27">
        <v>256779417328</v>
      </c>
      <c r="C92" s="78">
        <v>45904</v>
      </c>
      <c r="D92" s="16"/>
      <c r="E92" s="21">
        <v>2.2000000000000002</v>
      </c>
      <c r="F92" s="16">
        <f>VLOOKUP(B92,'Ascendus data working'!$B$2:$F$201,5,0)</f>
        <v>2.25</v>
      </c>
      <c r="G92" s="41">
        <f t="shared" si="1"/>
        <v>4.9999999999999822E-2</v>
      </c>
      <c r="H92" s="73">
        <v>256779416024</v>
      </c>
      <c r="I92" s="54"/>
      <c r="J92" s="54">
        <v>1046.1400000000001</v>
      </c>
      <c r="K92">
        <f>VLOOKUP(H92,'Ascendus data working'!$K$1:$M$189,3,0)</f>
        <v>1162.7906976744187</v>
      </c>
    </row>
    <row r="93" spans="1:11" x14ac:dyDescent="0.35">
      <c r="A93" s="19"/>
      <c r="B93" s="27">
        <v>256779416912</v>
      </c>
      <c r="C93" s="78">
        <v>45904</v>
      </c>
      <c r="D93" s="16"/>
      <c r="E93" s="23">
        <v>44.06</v>
      </c>
      <c r="F93" s="16">
        <f>VLOOKUP(B93,'Ascendus data working'!$B$2:$F$201,5,0)</f>
        <v>44.96</v>
      </c>
      <c r="G93" s="41">
        <f t="shared" si="1"/>
        <v>0.89999999999999858</v>
      </c>
      <c r="H93" s="73">
        <v>256779416082</v>
      </c>
      <c r="I93" s="54"/>
      <c r="J93" s="54">
        <v>683.69999999999993</v>
      </c>
      <c r="K93">
        <f>VLOOKUP(H93,'Ascendus data working'!$K$1:$M$189,3,0)</f>
        <v>759.67</v>
      </c>
    </row>
    <row r="94" spans="1:11" x14ac:dyDescent="0.35">
      <c r="A94" s="19"/>
      <c r="B94" s="27">
        <v>256779417136</v>
      </c>
      <c r="C94" s="78">
        <v>45904</v>
      </c>
      <c r="D94" s="16"/>
      <c r="E94" s="21">
        <v>1.68</v>
      </c>
      <c r="F94" s="16">
        <f>VLOOKUP(B94,'Ascendus data working'!$B$2:$F$201,5,0)</f>
        <v>1.71</v>
      </c>
      <c r="G94" s="41">
        <f t="shared" si="1"/>
        <v>3.0000000000000027E-2</v>
      </c>
      <c r="H94" s="73">
        <v>256779416182</v>
      </c>
      <c r="I94" s="54"/>
      <c r="J94" s="54">
        <v>17.64</v>
      </c>
      <c r="K94">
        <f>VLOOKUP(H94,'Ascendus data working'!$K$1:$M$189,3,0)</f>
        <v>18</v>
      </c>
    </row>
    <row r="95" spans="1:11" x14ac:dyDescent="0.35">
      <c r="A95" s="19"/>
      <c r="B95" s="27">
        <v>256779416949</v>
      </c>
      <c r="C95" s="78">
        <v>45904</v>
      </c>
      <c r="D95" s="16"/>
      <c r="E95" s="21">
        <v>29.55</v>
      </c>
      <c r="F95" s="16">
        <f>VLOOKUP(B95,'Ascendus data working'!$B$2:$F$201,5,0)</f>
        <v>30.16</v>
      </c>
      <c r="G95" s="41">
        <f t="shared" si="1"/>
        <v>0.60999999999999943</v>
      </c>
      <c r="H95" s="73">
        <v>256779416228</v>
      </c>
      <c r="I95" s="54"/>
      <c r="J95" s="54">
        <v>2.94</v>
      </c>
      <c r="K95">
        <f>VLOOKUP(H95,'Ascendus data working'!$K$1:$M$189,3,0)</f>
        <v>3</v>
      </c>
    </row>
    <row r="96" spans="1:11" x14ac:dyDescent="0.35">
      <c r="A96" s="19"/>
      <c r="B96" s="27">
        <v>256779417528</v>
      </c>
      <c r="C96" s="78">
        <v>45918</v>
      </c>
      <c r="D96" s="16"/>
      <c r="E96" s="21">
        <v>2.94</v>
      </c>
      <c r="F96" s="16">
        <f>VLOOKUP(B96,'Ascendus data working'!$B$2:$F$201,5,0)</f>
        <v>3</v>
      </c>
      <c r="G96" s="41">
        <f t="shared" si="1"/>
        <v>6.0000000000000053E-2</v>
      </c>
      <c r="H96" s="73">
        <v>256779416246</v>
      </c>
      <c r="I96" s="54"/>
      <c r="J96" s="54">
        <v>69.540000000000006</v>
      </c>
      <c r="K96">
        <f>VLOOKUP(H96,'Ascendus data working'!$K$1:$M$189,3,0)</f>
        <v>70.95</v>
      </c>
    </row>
    <row r="97" spans="1:11" x14ac:dyDescent="0.35">
      <c r="A97" s="19"/>
      <c r="B97" s="27">
        <v>256779417871</v>
      </c>
      <c r="C97" s="78">
        <v>45935</v>
      </c>
      <c r="D97" s="16"/>
      <c r="E97" s="21">
        <v>1020.5200000000001</v>
      </c>
      <c r="F97" s="16">
        <f>VLOOKUP(B97,'Ascendus data working'!$B$2:$F$201,5,0)</f>
        <v>1133.9111111111113</v>
      </c>
      <c r="G97" s="41">
        <f t="shared" si="1"/>
        <v>113.39111111111117</v>
      </c>
      <c r="H97" s="73">
        <v>256779416257</v>
      </c>
      <c r="I97" s="54"/>
      <c r="J97" s="54">
        <v>22.42</v>
      </c>
      <c r="K97">
        <f>VLOOKUP(H97,'Ascendus data working'!$K$1:$M$189,3,0)</f>
        <v>22.87</v>
      </c>
    </row>
    <row r="98" spans="1:11" x14ac:dyDescent="0.35">
      <c r="A98" s="19"/>
      <c r="B98" s="27">
        <v>256779417860</v>
      </c>
      <c r="C98" s="78">
        <v>45967</v>
      </c>
      <c r="D98" s="16"/>
      <c r="E98" s="21">
        <v>49</v>
      </c>
      <c r="F98" s="16">
        <f>VLOOKUP(B98,'Ascendus data working'!$B$2:$F$201,5,0)</f>
        <v>50</v>
      </c>
      <c r="G98" s="41">
        <f t="shared" si="1"/>
        <v>1</v>
      </c>
      <c r="H98" s="73">
        <v>256779416446</v>
      </c>
      <c r="I98" s="54"/>
      <c r="J98" s="54">
        <v>2.23</v>
      </c>
      <c r="K98">
        <f>VLOOKUP(H98,'Ascendus data working'!$K$1:$M$189,3,0)</f>
        <v>2.2799999999999998</v>
      </c>
    </row>
    <row r="99" spans="1:11" x14ac:dyDescent="0.35">
      <c r="A99" s="19"/>
      <c r="B99" s="27">
        <v>256779418704</v>
      </c>
      <c r="C99" s="78">
        <v>45935</v>
      </c>
      <c r="D99" s="16"/>
      <c r="E99" s="21">
        <v>2.2000000000000002</v>
      </c>
      <c r="F99" s="16">
        <f>VLOOKUP(B99,'Ascendus data working'!$B$2:$F$201,5,0)</f>
        <v>2.25</v>
      </c>
      <c r="G99" s="41">
        <f t="shared" si="1"/>
        <v>4.9999999999999822E-2</v>
      </c>
      <c r="H99" s="73">
        <v>256779416604</v>
      </c>
      <c r="I99" s="54"/>
      <c r="J99" s="54">
        <v>16.959999999999997</v>
      </c>
      <c r="K99">
        <f>VLOOKUP(H99,'Ascendus data working'!$K$1:$M$189,3,0)</f>
        <v>17.309999999999999</v>
      </c>
    </row>
    <row r="100" spans="1:11" x14ac:dyDescent="0.35">
      <c r="A100" s="19"/>
      <c r="B100" s="27">
        <v>256779418478</v>
      </c>
      <c r="C100" s="78">
        <v>45935</v>
      </c>
      <c r="D100" s="16"/>
      <c r="E100" s="28">
        <v>27.09</v>
      </c>
      <c r="F100" s="16">
        <f>VLOOKUP(B100,'Ascendus data working'!$B$2:$F$201,5,0)</f>
        <v>27.64</v>
      </c>
      <c r="G100" s="41">
        <f t="shared" si="1"/>
        <v>0.55000000000000071</v>
      </c>
      <c r="H100" s="73">
        <v>256779416616</v>
      </c>
      <c r="I100" s="54"/>
      <c r="J100" s="54">
        <v>62.379999999999995</v>
      </c>
      <c r="K100">
        <f>VLOOKUP(H100,'Ascendus data working'!$K$1:$M$189,3,0)</f>
        <v>63.65</v>
      </c>
    </row>
    <row r="101" spans="1:11" x14ac:dyDescent="0.35">
      <c r="A101" s="19"/>
      <c r="B101" s="27">
        <v>256779418354</v>
      </c>
      <c r="C101" s="78">
        <v>45935</v>
      </c>
      <c r="D101" s="16"/>
      <c r="E101" s="28">
        <v>106.77</v>
      </c>
      <c r="F101" s="16">
        <f>VLOOKUP(B101,'Ascendus data working'!$B$2:$F$201,5,0)</f>
        <v>108.95</v>
      </c>
      <c r="G101" s="41">
        <f t="shared" si="1"/>
        <v>2.1800000000000068</v>
      </c>
      <c r="H101" s="73">
        <v>256779416847</v>
      </c>
      <c r="I101" s="54"/>
      <c r="J101" s="54">
        <v>27.27</v>
      </c>
      <c r="K101">
        <f>VLOOKUP(H101,'Ascendus data working'!$K$1:$M$189,3,0)</f>
        <v>27.83</v>
      </c>
    </row>
    <row r="102" spans="1:11" x14ac:dyDescent="0.35">
      <c r="A102" s="19"/>
      <c r="B102" s="27">
        <v>256779418342</v>
      </c>
      <c r="C102" s="78">
        <v>45937</v>
      </c>
      <c r="D102" s="16"/>
      <c r="E102" s="21">
        <v>449.77</v>
      </c>
      <c r="F102" s="16">
        <f>VLOOKUP(B102,'Ascendus data working'!$B$2:$F$201,5,0)</f>
        <v>458.95</v>
      </c>
      <c r="G102" s="41">
        <f t="shared" si="1"/>
        <v>9.1800000000000068</v>
      </c>
      <c r="H102" s="73">
        <v>256779416882</v>
      </c>
      <c r="I102" s="54"/>
      <c r="J102" s="54">
        <v>12.57</v>
      </c>
      <c r="K102">
        <f>VLOOKUP(H102,'Ascendus data working'!$K$1:$M$189,3,0)</f>
        <v>12.83</v>
      </c>
    </row>
    <row r="103" spans="1:11" x14ac:dyDescent="0.35">
      <c r="A103" s="19"/>
      <c r="B103" s="27">
        <v>256779418410</v>
      </c>
      <c r="C103" s="78">
        <v>45944</v>
      </c>
      <c r="D103" s="16"/>
      <c r="E103" s="21">
        <v>432.01</v>
      </c>
      <c r="F103" s="16">
        <f>VLOOKUP(B103,'Ascendus data working'!$B$2:$F$201,5,0)</f>
        <v>480.02</v>
      </c>
      <c r="G103" s="41">
        <f t="shared" si="1"/>
        <v>48.009999999999991</v>
      </c>
      <c r="H103" s="73">
        <v>256779416912</v>
      </c>
      <c r="I103" s="54"/>
      <c r="J103" s="54">
        <v>44.06</v>
      </c>
      <c r="K103">
        <f>VLOOKUP(H103,'Ascendus data working'!$K$1:$M$189,3,0)</f>
        <v>44.96</v>
      </c>
    </row>
    <row r="104" spans="1:11" x14ac:dyDescent="0.35">
      <c r="A104" s="19"/>
      <c r="B104" s="27">
        <v>256779418773</v>
      </c>
      <c r="C104" s="78">
        <v>45966</v>
      </c>
      <c r="D104" s="16"/>
      <c r="E104" s="21">
        <v>1022.6899999999999</v>
      </c>
      <c r="F104" s="16">
        <f>VLOOKUP(B104,'Ascendus data working'!$B$2:$F$201,5,0)</f>
        <v>1136.3636363636363</v>
      </c>
      <c r="G104" s="41">
        <f t="shared" si="1"/>
        <v>113.67363636363632</v>
      </c>
      <c r="H104" s="73">
        <v>256779416949</v>
      </c>
      <c r="I104" s="54"/>
      <c r="J104" s="54">
        <v>29.55</v>
      </c>
      <c r="K104">
        <f>VLOOKUP(H104,'Ascendus data working'!$K$1:$M$189,3,0)</f>
        <v>30.16</v>
      </c>
    </row>
    <row r="105" spans="1:11" x14ac:dyDescent="0.35">
      <c r="A105" s="19"/>
      <c r="B105" s="27">
        <v>256779418821</v>
      </c>
      <c r="C105" s="78">
        <v>45966</v>
      </c>
      <c r="D105" s="16"/>
      <c r="E105" s="21">
        <v>48.6</v>
      </c>
      <c r="F105" s="16">
        <f>VLOOKUP(B105,'Ascendus data working'!$B$2:$F$201,5,0)</f>
        <v>49.59</v>
      </c>
      <c r="G105" s="41">
        <f t="shared" si="1"/>
        <v>0.99000000000000199</v>
      </c>
      <c r="H105" s="73">
        <v>256779417077</v>
      </c>
      <c r="I105" s="54"/>
      <c r="J105" s="54">
        <v>509.36</v>
      </c>
      <c r="K105">
        <f>VLOOKUP(H105,'Ascendus data working'!$K$1:$M$189,3,0)</f>
        <v>565.97</v>
      </c>
    </row>
    <row r="106" spans="1:11" x14ac:dyDescent="0.35">
      <c r="A106" s="19"/>
      <c r="B106" s="27">
        <v>256779418945</v>
      </c>
      <c r="C106" s="78">
        <v>45966</v>
      </c>
      <c r="D106" s="16"/>
      <c r="E106" s="21">
        <v>287.18</v>
      </c>
      <c r="F106" s="16">
        <f>VLOOKUP(B106,'Ascendus data working'!$B$2:$F$201,5,0)</f>
        <v>293.04000000000002</v>
      </c>
      <c r="G106" s="41">
        <f t="shared" si="1"/>
        <v>5.8600000000000136</v>
      </c>
      <c r="H106" s="73">
        <v>256779417136</v>
      </c>
      <c r="I106" s="54"/>
      <c r="J106" s="54">
        <v>1.68</v>
      </c>
      <c r="K106">
        <f>VLOOKUP(H106,'Ascendus data working'!$K$1:$M$189,3,0)</f>
        <v>1.71</v>
      </c>
    </row>
    <row r="107" spans="1:11" x14ac:dyDescent="0.35">
      <c r="A107" s="19"/>
      <c r="B107" s="27">
        <v>256779418946</v>
      </c>
      <c r="C107" s="78">
        <v>45966</v>
      </c>
      <c r="D107" s="16"/>
      <c r="E107" s="21">
        <v>287.18</v>
      </c>
      <c r="F107" s="16">
        <f>VLOOKUP(B107,'Ascendus data working'!$B$2:$F$201,5,0)</f>
        <v>293.04000000000002</v>
      </c>
      <c r="G107" s="41">
        <f t="shared" si="1"/>
        <v>5.8600000000000136</v>
      </c>
      <c r="H107" s="73">
        <v>256779417328</v>
      </c>
      <c r="I107" s="54"/>
      <c r="J107" s="54">
        <v>2.2000000000000002</v>
      </c>
      <c r="K107">
        <f>VLOOKUP(H107,'Ascendus data working'!$K$1:$M$189,3,0)</f>
        <v>2.25</v>
      </c>
    </row>
    <row r="108" spans="1:11" x14ac:dyDescent="0.35">
      <c r="A108" s="19"/>
      <c r="B108" s="27">
        <v>256779418947</v>
      </c>
      <c r="C108" s="78">
        <v>45966</v>
      </c>
      <c r="D108" s="16"/>
      <c r="E108" s="21">
        <v>287.18</v>
      </c>
      <c r="F108" s="16">
        <f>VLOOKUP(B108,'Ascendus data working'!$B$2:$F$201,5,0)</f>
        <v>293.04000000000002</v>
      </c>
      <c r="G108" s="41">
        <f t="shared" si="1"/>
        <v>5.8600000000000136</v>
      </c>
      <c r="H108" s="73">
        <v>256779417344</v>
      </c>
      <c r="I108" s="54"/>
      <c r="J108" s="54">
        <v>1028.4000000000001</v>
      </c>
      <c r="K108">
        <f>VLOOKUP(H108,'Ascendus data working'!$K$1:$M$189,3,0)</f>
        <v>1142.8571428571429</v>
      </c>
    </row>
    <row r="109" spans="1:11" x14ac:dyDescent="0.35">
      <c r="A109" s="19"/>
      <c r="B109" s="27">
        <v>256779419134</v>
      </c>
      <c r="C109" s="78">
        <v>45964</v>
      </c>
      <c r="D109" s="16"/>
      <c r="E109" s="21">
        <v>21.31</v>
      </c>
      <c r="F109" s="16">
        <f>VLOOKUP(B109,'Ascendus data working'!$B$2:$F$201,5,0)</f>
        <v>21.75</v>
      </c>
      <c r="G109" s="41">
        <f t="shared" si="1"/>
        <v>0.44000000000000128</v>
      </c>
      <c r="H109" s="73">
        <v>256779417528</v>
      </c>
      <c r="I109" s="54"/>
      <c r="J109" s="54">
        <v>2.94</v>
      </c>
      <c r="K109">
        <f>VLOOKUP(H109,'Ascendus data working'!$K$1:$M$189,3,0)</f>
        <v>3</v>
      </c>
    </row>
    <row r="110" spans="1:11" x14ac:dyDescent="0.35">
      <c r="A110" s="19"/>
      <c r="B110" s="27">
        <v>256779419178</v>
      </c>
      <c r="C110" s="78">
        <v>45966</v>
      </c>
      <c r="D110" s="16"/>
      <c r="E110" s="21">
        <v>2.2000000000000002</v>
      </c>
      <c r="F110" s="16">
        <f>VLOOKUP(B110,'Ascendus data working'!$B$2:$F$201,5,0)</f>
        <v>2.25</v>
      </c>
      <c r="G110" s="41">
        <f t="shared" si="1"/>
        <v>4.9999999999999822E-2</v>
      </c>
      <c r="H110" s="73">
        <v>256779417860</v>
      </c>
      <c r="I110" s="54"/>
      <c r="J110" s="54">
        <v>49</v>
      </c>
      <c r="K110">
        <f>VLOOKUP(H110,'Ascendus data working'!$K$1:$M$189,3,0)</f>
        <v>50</v>
      </c>
    </row>
    <row r="111" spans="1:11" x14ac:dyDescent="0.35">
      <c r="A111" s="19"/>
      <c r="B111" s="27">
        <v>256779418870</v>
      </c>
      <c r="C111" s="78">
        <v>45966</v>
      </c>
      <c r="D111" s="16"/>
      <c r="E111" s="21">
        <v>444.51000000000005</v>
      </c>
      <c r="F111" s="16">
        <f>VLOOKUP(B111,'Ascendus data working'!$B$2:$F$201,5,0)</f>
        <v>493.91</v>
      </c>
      <c r="G111" s="41">
        <f t="shared" si="1"/>
        <v>49.399999999999977</v>
      </c>
      <c r="H111" s="73">
        <v>256779417871</v>
      </c>
      <c r="I111" s="54"/>
      <c r="J111" s="54">
        <v>1020.5200000000001</v>
      </c>
      <c r="K111">
        <f>VLOOKUP(H111,'Ascendus data working'!$K$1:$M$189,3,0)</f>
        <v>1136.3636363636363</v>
      </c>
    </row>
    <row r="112" spans="1:11" x14ac:dyDescent="0.35">
      <c r="A112" s="19"/>
      <c r="B112" s="27">
        <v>256779419202</v>
      </c>
      <c r="C112" s="78">
        <v>45966</v>
      </c>
      <c r="D112" s="16"/>
      <c r="E112" s="21">
        <v>61.41</v>
      </c>
      <c r="F112" s="16">
        <f>VLOOKUP(B112,'Ascendus data working'!$B$2:$F$201,5,0)</f>
        <v>62.66</v>
      </c>
      <c r="G112" s="41">
        <f t="shared" si="1"/>
        <v>1.25</v>
      </c>
      <c r="H112" s="73">
        <v>256779418342</v>
      </c>
      <c r="I112" s="54"/>
      <c r="J112" s="54">
        <v>449.77</v>
      </c>
      <c r="K112">
        <f>VLOOKUP(H112,'Ascendus data working'!$K$1:$M$189,3,0)</f>
        <v>458.95</v>
      </c>
    </row>
    <row r="113" spans="1:11" x14ac:dyDescent="0.35">
      <c r="A113" s="19"/>
      <c r="B113" s="27">
        <v>246779410368</v>
      </c>
      <c r="C113" s="78">
        <v>45719</v>
      </c>
      <c r="D113" s="16"/>
      <c r="E113" s="21">
        <v>320.78000000000003</v>
      </c>
      <c r="F113" s="16">
        <f>VLOOKUP(B113,'Ascendus data working'!$B$2:$F$201,5,0)</f>
        <v>356.43</v>
      </c>
      <c r="G113" s="41">
        <f t="shared" si="1"/>
        <v>35.649999999999977</v>
      </c>
      <c r="H113" s="73">
        <v>256779418354</v>
      </c>
      <c r="I113" s="54"/>
      <c r="J113" s="54">
        <v>106.77</v>
      </c>
      <c r="K113">
        <f>VLOOKUP(H113,'Ascendus data working'!$K$1:$M$189,3,0)</f>
        <v>108.95</v>
      </c>
    </row>
    <row r="114" spans="1:11" x14ac:dyDescent="0.35">
      <c r="A114" s="19"/>
      <c r="B114" s="27">
        <v>256779414003</v>
      </c>
      <c r="C114" s="78">
        <v>45812</v>
      </c>
      <c r="D114" s="16"/>
      <c r="E114" s="21">
        <v>726.65</v>
      </c>
      <c r="F114" s="16">
        <f>VLOOKUP(B114,'Ascendus data working'!$B$2:$F$201,5,0)</f>
        <v>807.39</v>
      </c>
      <c r="G114" s="41">
        <f t="shared" si="1"/>
        <v>80.740000000000009</v>
      </c>
      <c r="H114" s="73">
        <v>256779418410</v>
      </c>
      <c r="I114" s="54"/>
      <c r="J114" s="54">
        <v>432.01</v>
      </c>
      <c r="K114">
        <f>VLOOKUP(H114,'Ascendus data working'!$K$1:$M$189,3,0)</f>
        <v>480.02</v>
      </c>
    </row>
    <row r="115" spans="1:11" x14ac:dyDescent="0.35">
      <c r="A115" s="19"/>
      <c r="B115" s="27">
        <v>246779410394</v>
      </c>
      <c r="C115" s="78">
        <v>45719</v>
      </c>
      <c r="D115" s="16"/>
      <c r="E115" s="21">
        <v>455.27</v>
      </c>
      <c r="F115" s="16">
        <f>VLOOKUP(B115,'Ascendus data working'!$B$2:$F$201,5,0)</f>
        <v>505.86</v>
      </c>
      <c r="G115" s="41">
        <f t="shared" si="1"/>
        <v>50.590000000000032</v>
      </c>
      <c r="H115" s="73">
        <v>256779418478</v>
      </c>
      <c r="I115" s="54"/>
      <c r="J115" s="54">
        <v>27.09</v>
      </c>
      <c r="K115">
        <f>VLOOKUP(H115,'Ascendus data working'!$K$1:$M$189,3,0)</f>
        <v>27.64</v>
      </c>
    </row>
    <row r="116" spans="1:11" x14ac:dyDescent="0.35">
      <c r="A116" s="19"/>
      <c r="B116" s="27">
        <v>256779414004</v>
      </c>
      <c r="C116" s="78">
        <v>45812</v>
      </c>
      <c r="D116" s="16"/>
      <c r="E116" s="21">
        <v>727.33999999999992</v>
      </c>
      <c r="F116" s="16">
        <f>VLOOKUP(B116,'Ascendus data working'!$B$2:$F$201,5,0)</f>
        <v>808.16</v>
      </c>
      <c r="G116" s="41">
        <f t="shared" si="1"/>
        <v>80.82000000000005</v>
      </c>
      <c r="H116" s="73">
        <v>256779418704</v>
      </c>
      <c r="I116" s="54"/>
      <c r="J116" s="54">
        <v>2.2000000000000002</v>
      </c>
      <c r="K116">
        <f>VLOOKUP(H116,'Ascendus data working'!$K$1:$M$189,3,0)</f>
        <v>2.25</v>
      </c>
    </row>
    <row r="117" spans="1:11" x14ac:dyDescent="0.35">
      <c r="A117" s="19"/>
      <c r="B117" s="27">
        <v>246779410418</v>
      </c>
      <c r="C117" s="78">
        <v>45719</v>
      </c>
      <c r="D117" s="16"/>
      <c r="E117" s="21">
        <v>506.34000000000003</v>
      </c>
      <c r="F117" s="16">
        <f>VLOOKUP(B117,'Ascendus data working'!$B$2:$F$201,5,0)</f>
        <v>562.6</v>
      </c>
      <c r="G117" s="41">
        <f t="shared" si="1"/>
        <v>56.259999999999991</v>
      </c>
      <c r="H117" s="73">
        <v>256779418773</v>
      </c>
      <c r="I117" s="54"/>
      <c r="J117" s="54">
        <v>1022.6899999999999</v>
      </c>
      <c r="K117">
        <f>VLOOKUP(H117,'Ascendus data working'!$K$1:$M$189,3,0)</f>
        <v>1136.3636363636363</v>
      </c>
    </row>
    <row r="118" spans="1:11" x14ac:dyDescent="0.35">
      <c r="A118" s="19"/>
      <c r="B118" s="27">
        <v>256779414005</v>
      </c>
      <c r="C118" s="78">
        <v>45812</v>
      </c>
      <c r="D118" s="16"/>
      <c r="E118" s="21">
        <v>724.75</v>
      </c>
      <c r="F118" s="16">
        <f>VLOOKUP(B118,'Ascendus data working'!$B$2:$F$201,5,0)</f>
        <v>805.28</v>
      </c>
      <c r="G118" s="41">
        <f t="shared" si="1"/>
        <v>80.529999999999973</v>
      </c>
      <c r="H118" s="73">
        <v>256779418821</v>
      </c>
      <c r="I118" s="54"/>
      <c r="J118" s="54">
        <v>48.6</v>
      </c>
      <c r="K118">
        <f>VLOOKUP(H118,'Ascendus data working'!$K$1:$M$189,3,0)</f>
        <v>49.59</v>
      </c>
    </row>
    <row r="119" spans="1:11" x14ac:dyDescent="0.35">
      <c r="A119" s="19"/>
      <c r="B119" s="29">
        <v>246779410865</v>
      </c>
      <c r="C119" s="78">
        <v>45719</v>
      </c>
      <c r="D119" s="16"/>
      <c r="E119" s="21">
        <v>370.90000000000003</v>
      </c>
      <c r="F119" s="16">
        <f>VLOOKUP(B119,'Ascendus data working'!$B$2:$F$201,5,0)</f>
        <v>412.11</v>
      </c>
      <c r="G119" s="41">
        <f t="shared" si="1"/>
        <v>41.20999999999998</v>
      </c>
      <c r="H119" s="73">
        <v>256779418870</v>
      </c>
      <c r="I119" s="54"/>
      <c r="J119" s="54">
        <v>444.51000000000005</v>
      </c>
      <c r="K119">
        <f>VLOOKUP(H119,'Ascendus data working'!$K$1:$M$189,3,0)</f>
        <v>493.91</v>
      </c>
    </row>
    <row r="120" spans="1:11" x14ac:dyDescent="0.35">
      <c r="A120" s="19"/>
      <c r="B120" s="27">
        <v>256779414006</v>
      </c>
      <c r="C120" s="78">
        <v>45812</v>
      </c>
      <c r="D120" s="16"/>
      <c r="E120" s="21">
        <v>721.32</v>
      </c>
      <c r="F120" s="16">
        <f>VLOOKUP(B120,'Ascendus data working'!$B$2:$F$201,5,0)</f>
        <v>801.47</v>
      </c>
      <c r="G120" s="41">
        <f t="shared" si="1"/>
        <v>80.149999999999977</v>
      </c>
      <c r="H120" s="73">
        <v>256779418946</v>
      </c>
      <c r="I120" s="54"/>
      <c r="J120" s="54">
        <v>287.18</v>
      </c>
      <c r="K120">
        <f>VLOOKUP(H120,'Ascendus data working'!$K$1:$M$189,3,0)</f>
        <v>293.04000000000002</v>
      </c>
    </row>
    <row r="121" spans="1:11" x14ac:dyDescent="0.35">
      <c r="A121" s="19"/>
      <c r="B121" s="29">
        <v>246779410888</v>
      </c>
      <c r="C121" s="78">
        <v>45719</v>
      </c>
      <c r="D121" s="16"/>
      <c r="E121" s="21">
        <v>401.74</v>
      </c>
      <c r="F121" s="16">
        <f>VLOOKUP(B121,'Ascendus data working'!$B$2:$F$201,5,0)</f>
        <v>446.38</v>
      </c>
      <c r="G121" s="41">
        <f t="shared" si="1"/>
        <v>44.639999999999986</v>
      </c>
      <c r="H121" s="73">
        <v>256779418947</v>
      </c>
      <c r="I121" s="54"/>
      <c r="J121" s="54">
        <v>287.18</v>
      </c>
      <c r="K121">
        <f>VLOOKUP(H121,'Ascendus data working'!$K$1:$M$189,3,0)</f>
        <v>293.04000000000002</v>
      </c>
    </row>
    <row r="122" spans="1:11" x14ac:dyDescent="0.35">
      <c r="A122" s="19"/>
      <c r="B122" s="27">
        <v>256779414007</v>
      </c>
      <c r="C122" s="78">
        <v>45812</v>
      </c>
      <c r="D122" s="16"/>
      <c r="E122" s="21">
        <v>711.8</v>
      </c>
      <c r="F122" s="16">
        <f>VLOOKUP(B122,'Ascendus data working'!$B$2:$F$201,5,0)</f>
        <v>790.89</v>
      </c>
      <c r="G122" s="41">
        <f t="shared" si="1"/>
        <v>79.090000000000032</v>
      </c>
      <c r="H122" s="73">
        <v>256779419134</v>
      </c>
      <c r="I122" s="54"/>
      <c r="J122" s="54">
        <v>21.31</v>
      </c>
      <c r="K122">
        <f>VLOOKUP(H122,'Ascendus data working'!$K$1:$M$189,3,0)</f>
        <v>21.75</v>
      </c>
    </row>
    <row r="123" spans="1:11" x14ac:dyDescent="0.35">
      <c r="A123" s="19"/>
      <c r="B123" s="27">
        <v>256779410807</v>
      </c>
      <c r="C123" s="78">
        <v>45751</v>
      </c>
      <c r="D123" s="16"/>
      <c r="E123" s="21">
        <v>668.43000000000006</v>
      </c>
      <c r="F123" s="16">
        <f>VLOOKUP(B123,'Ascendus data working'!$B$2:$F$201,5,0)</f>
        <v>742.7</v>
      </c>
      <c r="G123" s="41">
        <f t="shared" si="1"/>
        <v>74.269999999999982</v>
      </c>
      <c r="H123" s="73">
        <v>256779419178</v>
      </c>
      <c r="I123" s="54"/>
      <c r="J123" s="54">
        <v>2.2000000000000002</v>
      </c>
      <c r="K123">
        <f>VLOOKUP(H123,'Ascendus data working'!$K$1:$M$189,3,0)</f>
        <v>2.25</v>
      </c>
    </row>
    <row r="124" spans="1:11" x14ac:dyDescent="0.35">
      <c r="A124" s="19"/>
      <c r="B124" s="27">
        <v>256779419365</v>
      </c>
      <c r="C124" s="78">
        <v>45980</v>
      </c>
      <c r="D124" s="16"/>
      <c r="E124" s="21">
        <v>287.13</v>
      </c>
      <c r="F124" s="16">
        <f>VLOOKUP(B124,'Ascendus data working'!$B$2:$F$201,5,0)</f>
        <v>292.99</v>
      </c>
      <c r="G124" s="41">
        <f t="shared" si="1"/>
        <v>5.8600000000000136</v>
      </c>
      <c r="H124" s="73">
        <v>256779419202</v>
      </c>
      <c r="I124" s="54"/>
      <c r="J124" s="54">
        <v>61.41</v>
      </c>
      <c r="K124">
        <f>VLOOKUP(H124,'Ascendus data working'!$K$1:$M$189,3,0)</f>
        <v>62.66</v>
      </c>
    </row>
    <row r="125" spans="1:11" x14ac:dyDescent="0.35">
      <c r="A125" s="19"/>
      <c r="B125" s="27">
        <v>256779419592</v>
      </c>
      <c r="C125" s="78">
        <v>45981</v>
      </c>
      <c r="D125" s="16"/>
      <c r="E125" s="21">
        <v>17.27</v>
      </c>
      <c r="F125" s="16">
        <f>VLOOKUP(B125,'Ascendus data working'!$B$2:$F$201,5,0)</f>
        <v>17.62</v>
      </c>
      <c r="G125" s="41">
        <f t="shared" si="1"/>
        <v>0.35000000000000142</v>
      </c>
      <c r="H125" s="73">
        <v>256779419365</v>
      </c>
      <c r="I125" s="54"/>
      <c r="J125" s="54">
        <v>287.13</v>
      </c>
      <c r="K125">
        <f>VLOOKUP(H125,'Ascendus data working'!$K$1:$M$189,3,0)</f>
        <v>292.99</v>
      </c>
    </row>
    <row r="126" spans="1:11" x14ac:dyDescent="0.35">
      <c r="A126" s="19"/>
      <c r="B126" s="27">
        <v>256779419633</v>
      </c>
      <c r="C126" s="78">
        <v>45981</v>
      </c>
      <c r="D126" s="16"/>
      <c r="E126" s="21">
        <v>9.18</v>
      </c>
      <c r="F126" s="16">
        <f>VLOOKUP(B126,'Ascendus data working'!$B$2:$F$201,5,0)</f>
        <v>9.3699999999999992</v>
      </c>
      <c r="G126" s="41">
        <f t="shared" si="1"/>
        <v>0.1899999999999995</v>
      </c>
      <c r="H126" s="73">
        <v>256779419592</v>
      </c>
      <c r="I126" s="54"/>
      <c r="J126" s="54">
        <v>17.27</v>
      </c>
      <c r="K126">
        <f>VLOOKUP(H126,'Ascendus data working'!$K$1:$M$189,3,0)</f>
        <v>17.62</v>
      </c>
    </row>
    <row r="127" spans="1:11" x14ac:dyDescent="0.35">
      <c r="A127" s="19"/>
      <c r="B127" s="29">
        <v>256779421976</v>
      </c>
      <c r="C127" s="78">
        <v>45943</v>
      </c>
      <c r="D127" s="16"/>
      <c r="E127" s="30">
        <v>-100.12</v>
      </c>
      <c r="F127" s="16">
        <f>VLOOKUP(B127,'Ascendus data working'!$B$2:$F$201,5,0)</f>
        <v>-111.25</v>
      </c>
      <c r="G127" s="41">
        <f t="shared" si="1"/>
        <v>-11.129999999999995</v>
      </c>
      <c r="H127" s="73">
        <v>256779419633</v>
      </c>
      <c r="I127" s="54"/>
      <c r="J127" s="54">
        <v>9.18</v>
      </c>
      <c r="K127">
        <f>VLOOKUP(H127,'Ascendus data working'!$K$1:$M$189,3,0)</f>
        <v>9.3699999999999992</v>
      </c>
    </row>
    <row r="128" spans="1:11" x14ac:dyDescent="0.35">
      <c r="A128" s="19"/>
      <c r="B128" s="29">
        <v>256779421977</v>
      </c>
      <c r="C128" s="78">
        <v>45943</v>
      </c>
      <c r="D128" s="16"/>
      <c r="E128" s="30">
        <v>-338.76</v>
      </c>
      <c r="F128" s="16">
        <f>VLOOKUP(B128,'Ascendus data working'!$B$2:$F$201,5,0)</f>
        <v>-376.4</v>
      </c>
      <c r="G128" s="41">
        <f t="shared" si="1"/>
        <v>-37.639999999999986</v>
      </c>
      <c r="H128" s="73">
        <v>256779419870</v>
      </c>
      <c r="I128" s="54"/>
      <c r="J128" s="54">
        <v>18.579999999999998</v>
      </c>
      <c r="K128">
        <f>VLOOKUP(H128,'Ascendus data working'!$K$1:$M$189,3,0)</f>
        <v>18.96</v>
      </c>
    </row>
    <row r="129" spans="1:11" x14ac:dyDescent="0.35">
      <c r="A129" s="19"/>
      <c r="B129" s="29">
        <v>256779421978</v>
      </c>
      <c r="C129" s="78">
        <v>45943</v>
      </c>
      <c r="D129" s="16"/>
      <c r="E129" s="30">
        <v>-352.39</v>
      </c>
      <c r="F129" s="16">
        <f>VLOOKUP(B129,'Ascendus data working'!$B$2:$F$201,5,0)</f>
        <v>-391.55</v>
      </c>
      <c r="G129" s="41">
        <f t="shared" si="1"/>
        <v>-39.160000000000025</v>
      </c>
      <c r="H129" s="73">
        <v>256779419966</v>
      </c>
      <c r="I129" s="54"/>
      <c r="J129" s="54">
        <v>1014.65</v>
      </c>
      <c r="K129">
        <f>VLOOKUP(H129,'Ascendus data working'!$K$1:$M$189,3,0)</f>
        <v>1123.5955056179776</v>
      </c>
    </row>
    <row r="130" spans="1:11" x14ac:dyDescent="0.35">
      <c r="A130" s="19"/>
      <c r="B130" s="29">
        <v>256779421974</v>
      </c>
      <c r="C130" s="78">
        <v>45943</v>
      </c>
      <c r="D130" s="16"/>
      <c r="E130" s="30">
        <v>-392.32000000000005</v>
      </c>
      <c r="F130" s="16">
        <f>VLOOKUP(B130,'Ascendus data working'!$B$2:$F$201,5,0)</f>
        <v>-435.91</v>
      </c>
      <c r="G130" s="41">
        <f t="shared" si="1"/>
        <v>-43.589999999999975</v>
      </c>
      <c r="H130" s="73">
        <v>256779421974</v>
      </c>
      <c r="I130" s="54"/>
      <c r="J130" s="54">
        <v>-392.32000000000005</v>
      </c>
      <c r="K130">
        <f>VLOOKUP(H130,'Ascendus data working'!$K$1:$M$189,3,0)</f>
        <v>-435.91</v>
      </c>
    </row>
    <row r="131" spans="1:11" x14ac:dyDescent="0.35">
      <c r="A131" s="19"/>
      <c r="B131" s="29">
        <v>256779421975</v>
      </c>
      <c r="C131" s="78">
        <v>45943</v>
      </c>
      <c r="D131" s="16"/>
      <c r="E131" s="30">
        <v>-402.34000000000003</v>
      </c>
      <c r="F131" s="16">
        <f>VLOOKUP(B131,'Ascendus data working'!$B$2:$F$201,5,0)</f>
        <v>-447.05</v>
      </c>
      <c r="G131" s="41">
        <f t="shared" ref="G131:G149" si="2">F131-E131</f>
        <v>-44.70999999999998</v>
      </c>
      <c r="H131" s="73">
        <v>256779421975</v>
      </c>
      <c r="I131" s="54"/>
      <c r="J131" s="54">
        <v>-402.34000000000003</v>
      </c>
      <c r="K131">
        <f>VLOOKUP(H131,'Ascendus data working'!$K$1:$M$189,3,0)</f>
        <v>-447.05</v>
      </c>
    </row>
    <row r="132" spans="1:11" x14ac:dyDescent="0.35">
      <c r="A132" s="17"/>
      <c r="B132" s="40" t="s">
        <v>247</v>
      </c>
      <c r="C132" s="101">
        <v>46050</v>
      </c>
      <c r="D132" s="16">
        <v>10721.42</v>
      </c>
      <c r="E132" s="16"/>
      <c r="F132" s="16" t="e">
        <f>VLOOKUP(B132,'Ascendus data working'!$B$2:$F$201,5,0)</f>
        <v>#N/A</v>
      </c>
      <c r="G132" s="41"/>
      <c r="H132" s="73">
        <v>256779421976</v>
      </c>
      <c r="I132" s="54"/>
      <c r="J132" s="54">
        <v>-100.12</v>
      </c>
      <c r="K132">
        <f>VLOOKUP(H132,'Ascendus data working'!$K$1:$M$189,3,0)</f>
        <v>-111.25</v>
      </c>
    </row>
    <row r="133" spans="1:11" x14ac:dyDescent="0.35">
      <c r="A133" s="19"/>
      <c r="B133" s="13">
        <v>256779419966</v>
      </c>
      <c r="C133" s="101">
        <v>45995</v>
      </c>
      <c r="D133" s="16"/>
      <c r="E133" s="14">
        <v>1014.65</v>
      </c>
      <c r="F133" s="16">
        <f>VLOOKUP(B133,'Ascendus data working'!$B$2:$F$201,5,0)</f>
        <v>1127.3888888888889</v>
      </c>
      <c r="G133" s="41">
        <f t="shared" si="2"/>
        <v>112.73888888888894</v>
      </c>
      <c r="H133" s="73">
        <v>256779421977</v>
      </c>
      <c r="I133" s="54"/>
      <c r="J133" s="54">
        <v>-338.76</v>
      </c>
      <c r="K133">
        <f>VLOOKUP(H133,'Ascendus data working'!$K$1:$M$189,3,0)</f>
        <v>-376.4</v>
      </c>
    </row>
    <row r="134" spans="1:11" x14ac:dyDescent="0.35">
      <c r="A134" s="19"/>
      <c r="B134" s="13">
        <v>256779419870</v>
      </c>
      <c r="C134" s="101">
        <v>45999</v>
      </c>
      <c r="D134" s="16"/>
      <c r="E134" s="14">
        <v>18.579999999999998</v>
      </c>
      <c r="F134" s="16">
        <f>VLOOKUP(B134,'Ascendus data working'!$B$2:$F$201,5,0)</f>
        <v>18.96</v>
      </c>
      <c r="G134" s="41">
        <f t="shared" si="2"/>
        <v>0.38000000000000256</v>
      </c>
      <c r="H134" s="73">
        <v>256779421978</v>
      </c>
      <c r="I134" s="54"/>
      <c r="J134" s="54">
        <v>-352.39</v>
      </c>
      <c r="K134">
        <f>VLOOKUP(H134,'Ascendus data working'!$K$1:$M$189,3,0)</f>
        <v>-391.55</v>
      </c>
    </row>
    <row r="135" spans="1:11" x14ac:dyDescent="0.35">
      <c r="A135" s="19"/>
      <c r="B135" s="13">
        <v>256779440005</v>
      </c>
      <c r="C135" s="101">
        <v>46024</v>
      </c>
      <c r="D135" s="16"/>
      <c r="E135" s="14">
        <v>406.16300000000001</v>
      </c>
      <c r="F135" s="16">
        <f>VLOOKUP(B135,'Ascendus data working'!$B$2:$F$201,5,0)</f>
        <v>451.3</v>
      </c>
      <c r="G135" s="41">
        <f t="shared" si="2"/>
        <v>45.137</v>
      </c>
      <c r="H135" s="73">
        <v>256779422208</v>
      </c>
      <c r="I135" s="54"/>
      <c r="J135" s="54">
        <v>-21.53</v>
      </c>
      <c r="K135">
        <f>VLOOKUP(H135,'Ascendus data working'!$K$1:$M$189,3,0)</f>
        <v>-23.92</v>
      </c>
    </row>
    <row r="136" spans="1:11" x14ac:dyDescent="0.35">
      <c r="A136" s="19"/>
      <c r="B136" s="13">
        <v>256779440119</v>
      </c>
      <c r="C136" s="101">
        <v>46027</v>
      </c>
      <c r="D136" s="16"/>
      <c r="E136" s="14">
        <v>16.899999999999999</v>
      </c>
      <c r="F136" s="16">
        <f>VLOOKUP(B136,'Ascendus data working'!$B$2:$F$201,5,0)</f>
        <v>17.25</v>
      </c>
      <c r="G136" s="41">
        <f t="shared" si="2"/>
        <v>0.35000000000000142</v>
      </c>
      <c r="H136" s="73">
        <v>256779422209</v>
      </c>
      <c r="I136" s="54"/>
      <c r="J136" s="54">
        <v>-41.07</v>
      </c>
      <c r="K136">
        <f>VLOOKUP(H136,'Ascendus data working'!$K$1:$M$189,3,0)</f>
        <v>-45.63</v>
      </c>
    </row>
    <row r="137" spans="1:11" x14ac:dyDescent="0.35">
      <c r="A137" s="19"/>
      <c r="B137" s="13">
        <v>256779440082</v>
      </c>
      <c r="C137" s="101">
        <v>46027</v>
      </c>
      <c r="D137" s="16"/>
      <c r="E137" s="14">
        <v>2.2000000000000002</v>
      </c>
      <c r="F137" s="16">
        <f>VLOOKUP(B137,'Ascendus data working'!$B$2:$F$201,5,0)</f>
        <v>2.25</v>
      </c>
      <c r="G137" s="41">
        <f t="shared" si="2"/>
        <v>4.9999999999999822E-2</v>
      </c>
      <c r="H137" s="73">
        <v>256779422211</v>
      </c>
      <c r="I137" s="54"/>
      <c r="J137" s="54">
        <v>-19.760000000000002</v>
      </c>
      <c r="K137">
        <f>VLOOKUP(H137,'Ascendus data working'!$K$1:$M$189,3,0)</f>
        <v>-21.96</v>
      </c>
    </row>
    <row r="138" spans="1:11" x14ac:dyDescent="0.35">
      <c r="A138" s="19"/>
      <c r="B138" s="13">
        <v>256779440070</v>
      </c>
      <c r="C138" s="101">
        <v>46027</v>
      </c>
      <c r="D138" s="16"/>
      <c r="E138" s="14">
        <v>7.04</v>
      </c>
      <c r="F138" s="16">
        <f>VLOOKUP(B138,'Ascendus data working'!$B$2:$F$201,5,0)</f>
        <v>7.18</v>
      </c>
      <c r="G138" s="41">
        <f t="shared" si="2"/>
        <v>0.13999999999999968</v>
      </c>
      <c r="H138" s="73">
        <v>256779440005</v>
      </c>
      <c r="I138" s="54"/>
      <c r="J138" s="54">
        <v>406.16300000000001</v>
      </c>
      <c r="K138">
        <f>VLOOKUP(H138,'Ascendus data working'!$K$1:$M$189,3,0)</f>
        <v>451.3</v>
      </c>
    </row>
    <row r="139" spans="1:11" x14ac:dyDescent="0.35">
      <c r="A139" s="19"/>
      <c r="B139" s="13">
        <v>256779440102</v>
      </c>
      <c r="C139" s="101">
        <v>46027</v>
      </c>
      <c r="D139" s="16"/>
      <c r="E139" s="14">
        <v>19.98</v>
      </c>
      <c r="F139" s="16">
        <f>VLOOKUP(B139,'Ascendus data working'!$B$2:$F$201,5,0)</f>
        <v>20.39</v>
      </c>
      <c r="G139" s="41">
        <f t="shared" si="2"/>
        <v>0.41000000000000014</v>
      </c>
      <c r="H139" s="73">
        <v>256779440070</v>
      </c>
      <c r="I139" s="54"/>
      <c r="J139" s="54">
        <v>7.04</v>
      </c>
      <c r="K139">
        <f>VLOOKUP(H139,'Ascendus data working'!$K$1:$M$189,3,0)</f>
        <v>7.18</v>
      </c>
    </row>
    <row r="140" spans="1:11" x14ac:dyDescent="0.35">
      <c r="A140" s="19"/>
      <c r="B140" s="13">
        <v>256779440305</v>
      </c>
      <c r="C140" s="101">
        <v>46028</v>
      </c>
      <c r="D140" s="16"/>
      <c r="E140" s="14">
        <v>991.81</v>
      </c>
      <c r="F140" s="16">
        <f>VLOOKUP(B140,'Ascendus data working'!$B$2:$F$201,5,0)</f>
        <v>1102.0111111111109</v>
      </c>
      <c r="G140" s="41">
        <f t="shared" si="2"/>
        <v>110.201111111111</v>
      </c>
      <c r="H140" s="73">
        <v>256779440082</v>
      </c>
      <c r="I140" s="54"/>
      <c r="J140" s="54">
        <v>2.2000000000000002</v>
      </c>
      <c r="K140">
        <f>VLOOKUP(H140,'Ascendus data working'!$K$1:$M$189,3,0)</f>
        <v>2.25</v>
      </c>
    </row>
    <row r="141" spans="1:11" x14ac:dyDescent="0.35">
      <c r="A141" s="19"/>
      <c r="B141" s="13">
        <v>256779440431</v>
      </c>
      <c r="C141" s="101">
        <v>46045</v>
      </c>
      <c r="D141" s="16"/>
      <c r="E141" s="14">
        <v>2.94</v>
      </c>
      <c r="F141" s="16">
        <f>VLOOKUP(B141,'Ascendus data working'!$B$2:$F$201,5,0)</f>
        <v>3</v>
      </c>
      <c r="G141" s="41">
        <f t="shared" si="2"/>
        <v>6.0000000000000053E-2</v>
      </c>
      <c r="H141" s="73">
        <v>256779440102</v>
      </c>
      <c r="I141" s="54"/>
      <c r="J141" s="54">
        <v>19.98</v>
      </c>
      <c r="K141">
        <f>VLOOKUP(H141,'Ascendus data working'!$K$1:$M$189,3,0)</f>
        <v>20.39</v>
      </c>
    </row>
    <row r="142" spans="1:11" x14ac:dyDescent="0.35">
      <c r="A142" s="19"/>
      <c r="B142" s="13">
        <v>256779440236</v>
      </c>
      <c r="C142" s="101">
        <v>46028</v>
      </c>
      <c r="D142" s="16"/>
      <c r="E142" s="14">
        <v>454.71</v>
      </c>
      <c r="F142" s="16">
        <f>VLOOKUP(B142,'Ascendus data working'!$B$2:$F$201,5,0)</f>
        <v>505.23</v>
      </c>
      <c r="G142" s="41">
        <f t="shared" si="2"/>
        <v>50.520000000000039</v>
      </c>
      <c r="H142" s="73">
        <v>256779440119</v>
      </c>
      <c r="I142" s="54"/>
      <c r="J142" s="54">
        <v>16.899999999999999</v>
      </c>
      <c r="K142">
        <f>VLOOKUP(H142,'Ascendus data working'!$K$1:$M$189,3,0)</f>
        <v>17.25</v>
      </c>
    </row>
    <row r="143" spans="1:11" x14ac:dyDescent="0.35">
      <c r="A143" s="19"/>
      <c r="B143" s="13">
        <v>256779410791</v>
      </c>
      <c r="C143" s="101">
        <v>45751</v>
      </c>
      <c r="D143" s="16"/>
      <c r="E143" s="14">
        <v>397.08</v>
      </c>
      <c r="F143" s="16">
        <f>VLOOKUP(B143,'Ascendus data working'!$B$2:$F$201,5,0)</f>
        <v>441.2</v>
      </c>
      <c r="G143" s="41">
        <f t="shared" si="2"/>
        <v>44.120000000000005</v>
      </c>
      <c r="H143" s="73">
        <v>256779440236</v>
      </c>
      <c r="I143" s="54"/>
      <c r="J143" s="54">
        <v>454.71</v>
      </c>
      <c r="K143">
        <f>VLOOKUP(H143,'Ascendus data working'!$K$1:$M$189,3,0)</f>
        <v>505.23</v>
      </c>
    </row>
    <row r="144" spans="1:11" x14ac:dyDescent="0.35">
      <c r="A144" s="19"/>
      <c r="B144" s="13">
        <v>256779412113</v>
      </c>
      <c r="C144" s="101">
        <v>45763</v>
      </c>
      <c r="D144" s="16"/>
      <c r="E144" s="14">
        <v>744.73</v>
      </c>
      <c r="F144" s="16">
        <f>VLOOKUP(B144,'Ascendus data working'!$B$2:$F$201,5,0)</f>
        <v>827.48</v>
      </c>
      <c r="G144" s="41">
        <f t="shared" si="2"/>
        <v>82.75</v>
      </c>
      <c r="H144" s="73">
        <v>256779440305</v>
      </c>
      <c r="I144" s="54"/>
      <c r="J144" s="54">
        <v>991.81</v>
      </c>
      <c r="K144">
        <f>VLOOKUP(H144,'Ascendus data working'!$K$1:$M$189,3,0)</f>
        <v>1098.901098901099</v>
      </c>
    </row>
    <row r="145" spans="1:11" x14ac:dyDescent="0.35">
      <c r="A145" s="19"/>
      <c r="B145" s="13">
        <v>256779413893</v>
      </c>
      <c r="C145" s="101">
        <v>45805</v>
      </c>
      <c r="D145" s="16"/>
      <c r="E145" s="14">
        <v>717.81</v>
      </c>
      <c r="F145" s="16">
        <f>VLOOKUP(B145,'Ascendus data working'!$B$2:$F$201,5,0)</f>
        <v>797.57</v>
      </c>
      <c r="G145" s="41">
        <f t="shared" si="2"/>
        <v>79.760000000000105</v>
      </c>
      <c r="H145" s="73">
        <v>256779440431</v>
      </c>
      <c r="I145" s="54"/>
      <c r="J145" s="54">
        <v>2.94</v>
      </c>
      <c r="K145">
        <f>VLOOKUP(H145,'Ascendus data working'!$K$1:$M$189,3,0)</f>
        <v>3</v>
      </c>
    </row>
    <row r="146" spans="1:11" x14ac:dyDescent="0.35">
      <c r="A146" s="19"/>
      <c r="B146" s="13">
        <v>256779417077</v>
      </c>
      <c r="C146" s="101">
        <v>45906</v>
      </c>
      <c r="D146" s="16"/>
      <c r="E146" s="14">
        <v>509.36</v>
      </c>
      <c r="F146" s="16">
        <f>VLOOKUP(B146,'Ascendus data working'!$B$2:$F$201,5,0)</f>
        <v>565.97</v>
      </c>
      <c r="G146" s="41">
        <f t="shared" si="2"/>
        <v>56.610000000000014</v>
      </c>
      <c r="H146" s="73" t="s">
        <v>247</v>
      </c>
      <c r="I146" s="54">
        <v>27635.449999999997</v>
      </c>
      <c r="J146" s="54"/>
    </row>
    <row r="147" spans="1:11" x14ac:dyDescent="0.35">
      <c r="A147" s="19"/>
      <c r="B147" s="31">
        <v>256779422208</v>
      </c>
      <c r="C147" s="101">
        <v>46035</v>
      </c>
      <c r="D147" s="16"/>
      <c r="E147" s="30">
        <v>-21.53</v>
      </c>
      <c r="F147" s="16">
        <f>VLOOKUP(B147,'Ascendus data working'!$B$2:$F$201,5,0)</f>
        <v>-23.92</v>
      </c>
      <c r="G147" s="41">
        <f t="shared" si="2"/>
        <v>-2.3900000000000006</v>
      </c>
      <c r="H147" s="19"/>
      <c r="I147" s="19"/>
      <c r="J147" s="19"/>
    </row>
    <row r="148" spans="1:11" x14ac:dyDescent="0.35">
      <c r="A148" s="19"/>
      <c r="B148" s="31">
        <v>256779422209</v>
      </c>
      <c r="C148" s="101">
        <v>46035</v>
      </c>
      <c r="D148" s="16"/>
      <c r="E148" s="30">
        <v>-41.07</v>
      </c>
      <c r="F148" s="16">
        <f>VLOOKUP(B148,'Ascendus data working'!$B$2:$F$201,5,0)</f>
        <v>-45.63</v>
      </c>
      <c r="G148" s="41">
        <f t="shared" si="2"/>
        <v>-4.5600000000000023</v>
      </c>
    </row>
    <row r="149" spans="1:11" x14ac:dyDescent="0.35">
      <c r="A149" s="19"/>
      <c r="B149" s="31">
        <v>256779422211</v>
      </c>
      <c r="C149" s="101">
        <v>46035</v>
      </c>
      <c r="D149" s="16"/>
      <c r="E149" s="30">
        <v>-19.760000000000002</v>
      </c>
      <c r="F149" s="16">
        <f>VLOOKUP(B149,'Ascendus data working'!$B$2:$F$201,5,0)</f>
        <v>-21.96</v>
      </c>
      <c r="G149" s="41">
        <f t="shared" si="2"/>
        <v>-2.1999999999999993</v>
      </c>
    </row>
    <row r="150" spans="1:11" x14ac:dyDescent="0.35">
      <c r="A150" s="19"/>
      <c r="B150" s="31"/>
      <c r="C150" s="101"/>
      <c r="D150" s="16"/>
      <c r="E150" s="30"/>
      <c r="F150" s="16"/>
    </row>
    <row r="151" spans="1:11" x14ac:dyDescent="0.35">
      <c r="A151" s="98" t="s">
        <v>248</v>
      </c>
      <c r="B151" s="98"/>
      <c r="C151" s="102"/>
      <c r="D151" s="65">
        <f>SUM(D2:D149)</f>
        <v>27635.449999999997</v>
      </c>
      <c r="E151" s="65">
        <f>SUM(E2:E149)</f>
        <v>32857.043000000027</v>
      </c>
      <c r="F151" s="65">
        <f>E151-D151</f>
        <v>5221.5930000000299</v>
      </c>
    </row>
  </sheetData>
  <autoFilter ref="A1:K149" xr:uid="{5E77FAE5-981C-488C-9D3A-75486D055DE0}"/>
  <pageMargins left="0.7" right="0.7" top="0.75" bottom="0.75" header="0.3" footer="0.3"/>
  <rowBreaks count="1" manualBreakCount="1">
    <brk id="9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Invoice Not in Customer Boo (2)</vt:lpstr>
      <vt:lpstr>Summary</vt:lpstr>
      <vt:lpstr>Payment Reco</vt:lpstr>
      <vt:lpstr>CN Not in Customer Books</vt:lpstr>
      <vt:lpstr>Invoice Not in Customer Book</vt:lpstr>
      <vt:lpstr>TDS To Be Booked</vt:lpstr>
      <vt:lpstr>Ascendus data working</vt:lpstr>
      <vt:lpstr>Ascendus Data</vt:lpstr>
      <vt:lpstr>Customer Data</vt:lpstr>
      <vt:lpstr>'Customer Data'!Print_Area</vt:lpstr>
      <vt:lpstr>'Payment Reco'!Print_Area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2026-02-16T07:47:22Z</dcterms:created>
  <dcterms:modified xsi:type="dcterms:W3CDTF">2026-04-16T13:33:41Z</dcterms:modified>
</cp:coreProperties>
</file>