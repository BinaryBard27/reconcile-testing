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 (K)\1. Tax and assurance\Capital Land\15. SIDDHARTHA LOGISTICS FTWZ PRIVATE\"/>
    </mc:Choice>
  </mc:AlternateContent>
  <xr:revisionPtr revIDLastSave="0" documentId="13_ncr:1_{7D0B162E-3AEA-46C1-9631-B20983DAF12B}" xr6:coauthVersionLast="47" xr6:coauthVersionMax="47" xr10:uidLastSave="{00000000-0000-0000-0000-000000000000}"/>
  <bookViews>
    <workbookView xWindow="-110" yWindow="-110" windowWidth="21820" windowHeight="14020" xr2:uid="{08CFC468-C01E-4E8D-9ECE-339AEB54932C}"/>
  </bookViews>
  <sheets>
    <sheet name="Sheet1" sheetId="2" r:id="rId1"/>
    <sheet name="Knock Off Entries" sheetId="1" r:id="rId2"/>
  </sheets>
  <externalReferences>
    <externalReference r:id="rId3"/>
  </externalReferences>
  <definedNames>
    <definedName name="_xlnm._FilterDatabase" localSheetId="1" hidden="1">'Knock Off Entries'!$A$1:$S$25</definedName>
    <definedName name="_xlnm._FilterDatabase" localSheetId="0" hidden="1">Sheet1!$A$3:$S$63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9" i="2" l="1"/>
  <c r="P92" i="2"/>
  <c r="P86" i="2"/>
  <c r="P73" i="2"/>
  <c r="P67" i="2"/>
  <c r="P65" i="2"/>
  <c r="P60" i="2"/>
  <c r="P48" i="1" l="1"/>
  <c r="Q48" i="1"/>
  <c r="N48" i="1"/>
  <c r="P24" i="1"/>
  <c r="N24" i="1"/>
  <c r="Q24" i="1" l="1"/>
  <c r="R24" i="1" l="1"/>
  <c r="R48" i="1" l="1"/>
</calcChain>
</file>

<file path=xl/sharedStrings.xml><?xml version="1.0" encoding="utf-8"?>
<sst xmlns="http://schemas.openxmlformats.org/spreadsheetml/2006/main" count="794" uniqueCount="29">
  <si>
    <t>Company Code</t>
  </si>
  <si>
    <t>Customer</t>
  </si>
  <si>
    <t>Customer Account: Name 1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</si>
  <si>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</si>
  <si>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</si>
  <si>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</si>
  <si>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</si>
  <si>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</si>
  <si>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</si>
  <si>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</si>
  <si>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Profit Center</t>
  </si>
  <si>
    <t>Reference</t>
  </si>
  <si>
    <t>Document Currency Key</t>
  </si>
  <si>
    <t>Document Currency Value</t>
  </si>
  <si>
    <t>TDS</t>
  </si>
  <si>
    <t xml:space="preserve">Total </t>
  </si>
  <si>
    <t>Note</t>
  </si>
  <si>
    <t>USD</t>
  </si>
  <si>
    <t>DR</t>
  </si>
  <si>
    <t>INR</t>
  </si>
  <si>
    <t>Company Code Currency Value</t>
  </si>
  <si>
    <t>Company Code Currency Key</t>
  </si>
  <si>
    <t>Exchange gain</t>
  </si>
  <si>
    <t>NA</t>
  </si>
  <si>
    <t xml:space="preserve">Outgoing payment </t>
  </si>
  <si>
    <t>Clearing Document</t>
  </si>
  <si>
    <t>SIDDHARTHA LOGISTICS FTWZ PRIVATE</t>
  </si>
  <si>
    <t/>
  </si>
  <si>
    <t>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</si>
</sst>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4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4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43" fontId="0" fillId="0" borderId="1" xfId="1" applyFont="1" applyBorder="1"/>
    <xf numFmtId="0" fontId="0" fillId="0" borderId="1" xfId="0" applyBorder="1"/>
    <xf numFmtId="0" fontId="0" fillId="0" borderId="1" xfId="0" applyNumberFormat="1" applyBorder="1" applyAlignment="1">
      <alignment vertical="top"/>
    </xf>
    <xf numFmtId="43" fontId="0" fillId="3" borderId="1" xfId="1" applyFont="1" applyFill="1" applyBorder="1" applyAlignment="1">
      <alignment vertical="top"/>
    </xf>
    <xf numFmtId="43" fontId="0" fillId="2" borderId="1" xfId="1" applyFont="1" applyFill="1" applyBorder="1" applyAlignment="1">
      <alignment vertical="top" wrapText="1"/>
    </xf>
    <xf numFmtId="43" fontId="0" fillId="0" borderId="1" xfId="1" applyFont="1" applyBorder="1" applyAlignment="1">
      <alignment vertical="top"/>
    </xf>
    <xf numFmtId="43" fontId="0" fillId="0" borderId="0" xfId="1" applyFont="1" applyAlignment="1">
      <alignment vertical="top"/>
    </xf>
    <xf numFmtId="43" fontId="0" fillId="0" borderId="1" xfId="1" applyFont="1" applyBorder="1" applyAlignment="1">
      <alignment horizontal="right" vertical="top"/>
    </xf>
    <xf numFmtId="1" fontId="0" fillId="0" borderId="1" xfId="0" applyNumberFormat="1" applyBorder="1" applyAlignment="1">
      <alignment horizontal="left" vertical="center"/>
    </xf>
    <xf numFmtId="43" fontId="0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 wrapText="1"/>
    </xf>
    <xf numFmtId="1" fontId="0" fillId="0" borderId="1" xfId="0" quotePrefix="1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43" fontId="0" fillId="0" borderId="1" xfId="1" applyFont="1" applyFill="1" applyBorder="1" applyAlignment="1">
      <alignment vertical="center" wrapText="1"/>
    </xf>
    <xf numFmtId="1" fontId="0" fillId="0" borderId="1" xfId="0" quotePrefix="1" applyNumberFormat="1" applyBorder="1" applyAlignment="1">
      <alignment horizontal="left"/>
    </xf>
    <xf numFmtId="1" fontId="3" fillId="0" borderId="1" xfId="2" applyNumberFormat="1" applyBorder="1" applyAlignment="1">
      <alignment horizontal="left"/>
    </xf>
    <xf numFmtId="43" fontId="0" fillId="0" borderId="1" xfId="1" applyFont="1" applyFill="1" applyBorder="1" applyAlignment="1">
      <alignment vertical="center"/>
    </xf>
    <xf numFmtId="1" fontId="3" fillId="0" borderId="1" xfId="2" quotePrefix="1" applyNumberFormat="1" applyBorder="1" applyAlignment="1">
      <alignment horizontal="left"/>
    </xf>
    <xf numFmtId="43" fontId="0" fillId="0" borderId="1" xfId="1" applyFont="1" applyBorder="1" applyAlignment="1">
      <alignment horizontal="center" vertical="center"/>
    </xf>
    <xf numFmtId="43" fontId="0" fillId="0" borderId="0" xfId="1" applyFont="1"/>
    <xf numFmtId="14" fontId="0" fillId="0" borderId="0" xfId="0" applyNumberFormat="1"/>
    <xf numFmtId="14" fontId="0" fillId="2" borderId="1" xfId="0" applyNumberFormat="1" applyFill="1" applyBorder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 vertical="top"/>
    </xf>
  </cellXfs>
  <cellStyles count="3">
    <cellStyle name="Comma" xfId="1" builtinId="3"/>
    <cellStyle name="Normal" xfId="0" builtinId="0"/>
    <cellStyle name="Normal 5" xfId="2" xr:uid="{678A4DBD-9EA5-4CF7-B6BA-E3E6E4FF5D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rking_siddhartha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Invoices not in Customer books"/>
      <sheetName val="Ascendus Ledger"/>
      <sheetName val="CL Ledger"/>
      <sheetName val="TDS"/>
      <sheetName val="Customer ledger"/>
      <sheetName val="Invoice Not in Customer Book"/>
      <sheetName val="Payment Reco"/>
    </sheetNames>
    <sheetDataSet>
      <sheetData sheetId="0" refreshError="1"/>
      <sheetData sheetId="1" refreshError="1"/>
      <sheetData sheetId="2">
        <row r="1">
          <cell r="F1" t="str">
            <v>Reference</v>
          </cell>
          <cell r="K1" t="str">
            <v>Converted Value</v>
          </cell>
        </row>
        <row r="2">
          <cell r="F2">
            <v>246779410007</v>
          </cell>
          <cell r="K2">
            <v>1190.48</v>
          </cell>
        </row>
        <row r="3">
          <cell r="F3">
            <v>246779410274</v>
          </cell>
          <cell r="K3">
            <v>1190.48</v>
          </cell>
        </row>
        <row r="4">
          <cell r="F4">
            <v>246779410027</v>
          </cell>
          <cell r="K4">
            <v>1190.48</v>
          </cell>
        </row>
        <row r="5">
          <cell r="F5">
            <v>246779410095</v>
          </cell>
          <cell r="K5">
            <v>1190.48</v>
          </cell>
        </row>
        <row r="6">
          <cell r="F6">
            <v>246779410138</v>
          </cell>
          <cell r="K6">
            <v>1190.48</v>
          </cell>
        </row>
        <row r="7">
          <cell r="F7">
            <v>246779410181</v>
          </cell>
          <cell r="K7">
            <v>1166.5899999999999</v>
          </cell>
        </row>
        <row r="8">
          <cell r="F8">
            <v>246779410224</v>
          </cell>
          <cell r="K8">
            <v>1143.1199999999999</v>
          </cell>
        </row>
        <row r="9">
          <cell r="F9">
            <v>246779410368</v>
          </cell>
          <cell r="K9">
            <v>356.43</v>
          </cell>
        </row>
        <row r="10">
          <cell r="F10">
            <v>246779410615</v>
          </cell>
          <cell r="K10">
            <v>9</v>
          </cell>
        </row>
        <row r="11">
          <cell r="F11">
            <v>246779410394</v>
          </cell>
          <cell r="K11">
            <v>505.86</v>
          </cell>
        </row>
        <row r="12">
          <cell r="F12">
            <v>246779410418</v>
          </cell>
          <cell r="K12">
            <v>562.6</v>
          </cell>
        </row>
        <row r="13">
          <cell r="F13">
            <v>246779410509</v>
          </cell>
          <cell r="K13">
            <v>29.25</v>
          </cell>
        </row>
        <row r="14">
          <cell r="F14">
            <v>246779410510</v>
          </cell>
          <cell r="K14">
            <v>194.9</v>
          </cell>
        </row>
        <row r="15">
          <cell r="F15">
            <v>246779410511</v>
          </cell>
          <cell r="K15">
            <v>13.91</v>
          </cell>
        </row>
        <row r="16">
          <cell r="F16">
            <v>246779410614</v>
          </cell>
          <cell r="K16">
            <v>2.25</v>
          </cell>
        </row>
        <row r="17">
          <cell r="F17">
            <v>246779410694</v>
          </cell>
          <cell r="K17">
            <v>59.36</v>
          </cell>
        </row>
        <row r="18">
          <cell r="F18">
            <v>246779410856</v>
          </cell>
          <cell r="K18">
            <v>18.32</v>
          </cell>
        </row>
        <row r="19">
          <cell r="F19">
            <v>246779410888</v>
          </cell>
          <cell r="K19">
            <v>446.38</v>
          </cell>
        </row>
        <row r="20">
          <cell r="F20">
            <v>246779410865</v>
          </cell>
          <cell r="K20">
            <v>412.11</v>
          </cell>
        </row>
        <row r="21">
          <cell r="F21">
            <v>246779410975</v>
          </cell>
          <cell r="K21">
            <v>28.91</v>
          </cell>
        </row>
        <row r="22">
          <cell r="F22">
            <v>246779410976</v>
          </cell>
          <cell r="K22">
            <v>24</v>
          </cell>
        </row>
        <row r="23">
          <cell r="F23">
            <v>246779411056</v>
          </cell>
          <cell r="K23">
            <v>59.36</v>
          </cell>
        </row>
        <row r="24">
          <cell r="F24">
            <v>246779411057</v>
          </cell>
          <cell r="K24">
            <v>67.67</v>
          </cell>
        </row>
        <row r="25">
          <cell r="F25">
            <v>246779411190</v>
          </cell>
          <cell r="K25">
            <v>17.25</v>
          </cell>
        </row>
        <row r="26">
          <cell r="F26">
            <v>246779411191</v>
          </cell>
          <cell r="K26">
            <v>26.15</v>
          </cell>
        </row>
        <row r="27">
          <cell r="F27">
            <v>246779411253</v>
          </cell>
          <cell r="K27">
            <v>20</v>
          </cell>
        </row>
        <row r="28">
          <cell r="F28">
            <v>246779411485</v>
          </cell>
          <cell r="K28">
            <v>100</v>
          </cell>
        </row>
        <row r="29">
          <cell r="F29">
            <v>246779412274</v>
          </cell>
          <cell r="K29">
            <v>100</v>
          </cell>
        </row>
        <row r="30">
          <cell r="F30">
            <v>246779411451</v>
          </cell>
          <cell r="K30">
            <v>2.86</v>
          </cell>
        </row>
        <row r="31">
          <cell r="F31">
            <v>246779411452</v>
          </cell>
          <cell r="K31">
            <v>0.95</v>
          </cell>
        </row>
        <row r="32">
          <cell r="F32">
            <v>246779411453</v>
          </cell>
          <cell r="K32">
            <v>4.7699999999999996</v>
          </cell>
        </row>
        <row r="33">
          <cell r="F33">
            <v>246779411454</v>
          </cell>
          <cell r="K33">
            <v>1.91</v>
          </cell>
        </row>
        <row r="34">
          <cell r="F34">
            <v>246779411455</v>
          </cell>
          <cell r="K34">
            <v>1.91</v>
          </cell>
        </row>
        <row r="35">
          <cell r="F35">
            <v>246779411456</v>
          </cell>
          <cell r="K35">
            <v>4.7699999999999996</v>
          </cell>
        </row>
        <row r="36">
          <cell r="F36">
            <v>246779412240</v>
          </cell>
          <cell r="K36">
            <v>2.86</v>
          </cell>
        </row>
        <row r="37">
          <cell r="F37">
            <v>246779412241</v>
          </cell>
          <cell r="K37">
            <v>0.95</v>
          </cell>
        </row>
        <row r="38">
          <cell r="F38">
            <v>246779412242</v>
          </cell>
          <cell r="K38">
            <v>4.7699999999999996</v>
          </cell>
        </row>
        <row r="39">
          <cell r="F39">
            <v>246779412243</v>
          </cell>
          <cell r="K39">
            <v>1.91</v>
          </cell>
        </row>
        <row r="40">
          <cell r="F40">
            <v>246779412244</v>
          </cell>
          <cell r="K40">
            <v>1.91</v>
          </cell>
        </row>
        <row r="41">
          <cell r="F41">
            <v>246779412245</v>
          </cell>
          <cell r="K41">
            <v>4.7699999999999996</v>
          </cell>
        </row>
        <row r="42">
          <cell r="F42">
            <v>246779411622</v>
          </cell>
          <cell r="K42">
            <v>3.82</v>
          </cell>
        </row>
        <row r="43">
          <cell r="F43">
            <v>246779411623</v>
          </cell>
          <cell r="K43">
            <v>1.91</v>
          </cell>
        </row>
        <row r="44">
          <cell r="F44">
            <v>246779412992</v>
          </cell>
          <cell r="K44">
            <v>1148.6300000000001</v>
          </cell>
        </row>
        <row r="45">
          <cell r="F45">
            <v>246779413953</v>
          </cell>
          <cell r="K45">
            <v>3</v>
          </cell>
        </row>
        <row r="46">
          <cell r="F46">
            <v>246779414225</v>
          </cell>
          <cell r="K46">
            <v>13.5</v>
          </cell>
        </row>
        <row r="47">
          <cell r="F47">
            <v>246779414400</v>
          </cell>
          <cell r="K47">
            <v>80.95</v>
          </cell>
        </row>
        <row r="48">
          <cell r="F48">
            <v>246779414401</v>
          </cell>
          <cell r="K48">
            <v>15</v>
          </cell>
        </row>
        <row r="49">
          <cell r="F49">
            <v>246779414738</v>
          </cell>
          <cell r="K49">
            <v>2.25</v>
          </cell>
        </row>
        <row r="50">
          <cell r="F50">
            <v>246779414739</v>
          </cell>
          <cell r="K50">
            <v>0.75</v>
          </cell>
        </row>
        <row r="51">
          <cell r="F51">
            <v>246779414794</v>
          </cell>
          <cell r="K51">
            <v>2.25</v>
          </cell>
        </row>
        <row r="52">
          <cell r="F52">
            <v>246779414795</v>
          </cell>
          <cell r="K52">
            <v>0.75</v>
          </cell>
        </row>
        <row r="53">
          <cell r="F53">
            <v>246779414607</v>
          </cell>
          <cell r="K53">
            <v>2.25</v>
          </cell>
        </row>
        <row r="54">
          <cell r="F54">
            <v>246779414685</v>
          </cell>
          <cell r="K54">
            <v>42.93</v>
          </cell>
        </row>
        <row r="55">
          <cell r="F55">
            <v>256779410137</v>
          </cell>
          <cell r="K55">
            <v>4.5</v>
          </cell>
        </row>
        <row r="56">
          <cell r="F56">
            <v>256779410138</v>
          </cell>
          <cell r="K56">
            <v>1.5</v>
          </cell>
        </row>
        <row r="57">
          <cell r="F57">
            <v>256779410228</v>
          </cell>
          <cell r="K57">
            <v>1166.5899999999999</v>
          </cell>
        </row>
        <row r="58">
          <cell r="F58">
            <v>256779410269</v>
          </cell>
          <cell r="K58">
            <v>1143.1199999999999</v>
          </cell>
        </row>
        <row r="59">
          <cell r="F59">
            <v>256779410791</v>
          </cell>
          <cell r="K59">
            <v>441.2</v>
          </cell>
        </row>
        <row r="60">
          <cell r="F60">
            <v>256779410807</v>
          </cell>
          <cell r="K60">
            <v>742.7</v>
          </cell>
        </row>
        <row r="61">
          <cell r="F61">
            <v>256779411160</v>
          </cell>
          <cell r="K61">
            <v>18.38</v>
          </cell>
        </row>
        <row r="62">
          <cell r="F62">
            <v>256779411161</v>
          </cell>
          <cell r="K62">
            <v>46.76</v>
          </cell>
        </row>
        <row r="63">
          <cell r="F63">
            <v>256779411162</v>
          </cell>
          <cell r="K63">
            <v>35.25</v>
          </cell>
        </row>
        <row r="64">
          <cell r="F64">
            <v>256779411163</v>
          </cell>
          <cell r="K64">
            <v>24</v>
          </cell>
        </row>
        <row r="65">
          <cell r="F65">
            <v>256779411164</v>
          </cell>
          <cell r="K65">
            <v>33</v>
          </cell>
        </row>
        <row r="66">
          <cell r="F66">
            <v>256779411587</v>
          </cell>
          <cell r="K66">
            <v>2.25</v>
          </cell>
        </row>
        <row r="67">
          <cell r="F67">
            <v>256779411588</v>
          </cell>
          <cell r="K67">
            <v>2.25</v>
          </cell>
        </row>
        <row r="68">
          <cell r="F68">
            <v>256779411589</v>
          </cell>
          <cell r="K68">
            <v>3.38</v>
          </cell>
        </row>
        <row r="69">
          <cell r="F69">
            <v>256779411590</v>
          </cell>
          <cell r="K69">
            <v>2.25</v>
          </cell>
        </row>
        <row r="70">
          <cell r="F70">
            <v>256779411591</v>
          </cell>
          <cell r="K70">
            <v>3</v>
          </cell>
        </row>
        <row r="71">
          <cell r="F71">
            <v>256779411592</v>
          </cell>
          <cell r="K71">
            <v>9.59</v>
          </cell>
        </row>
        <row r="72">
          <cell r="F72">
            <v>256779411593</v>
          </cell>
          <cell r="K72">
            <v>3</v>
          </cell>
        </row>
        <row r="73">
          <cell r="F73">
            <v>256779411594</v>
          </cell>
          <cell r="K73">
            <v>5.25</v>
          </cell>
        </row>
        <row r="74">
          <cell r="F74">
            <v>256779411595</v>
          </cell>
          <cell r="K74">
            <v>62.35</v>
          </cell>
        </row>
        <row r="75">
          <cell r="F75">
            <v>256779411596</v>
          </cell>
          <cell r="K75">
            <v>13.88</v>
          </cell>
        </row>
        <row r="76">
          <cell r="F76">
            <v>256779411597</v>
          </cell>
          <cell r="K76">
            <v>19.95</v>
          </cell>
        </row>
        <row r="77">
          <cell r="F77">
            <v>256779411811</v>
          </cell>
          <cell r="K77">
            <v>3.24</v>
          </cell>
        </row>
        <row r="78">
          <cell r="F78">
            <v>256779411812</v>
          </cell>
          <cell r="K78">
            <v>15</v>
          </cell>
        </row>
        <row r="79">
          <cell r="F79">
            <v>256779411890</v>
          </cell>
          <cell r="K79">
            <v>24.75</v>
          </cell>
        </row>
        <row r="80">
          <cell r="F80">
            <v>256779411891</v>
          </cell>
          <cell r="K80">
            <v>2.25</v>
          </cell>
        </row>
        <row r="81">
          <cell r="F81">
            <v>256779412103</v>
          </cell>
          <cell r="K81">
            <v>42.53</v>
          </cell>
        </row>
        <row r="82">
          <cell r="F82">
            <v>256779412113</v>
          </cell>
          <cell r="K82">
            <v>827.48</v>
          </cell>
        </row>
        <row r="83">
          <cell r="F83">
            <v>256779412153</v>
          </cell>
          <cell r="K83">
            <v>1165.3699999999999</v>
          </cell>
        </row>
        <row r="84">
          <cell r="F84">
            <v>256779412617</v>
          </cell>
          <cell r="K84">
            <v>384.63</v>
          </cell>
        </row>
        <row r="85">
          <cell r="F85">
            <v>256779412660</v>
          </cell>
          <cell r="K85">
            <v>7.5</v>
          </cell>
        </row>
        <row r="86">
          <cell r="F86">
            <v>256779412932</v>
          </cell>
          <cell r="K86">
            <v>66.86</v>
          </cell>
        </row>
        <row r="87">
          <cell r="F87">
            <v>256779413142</v>
          </cell>
          <cell r="K87">
            <v>1162.7906976744187</v>
          </cell>
        </row>
        <row r="88">
          <cell r="F88">
            <v>256779420311</v>
          </cell>
          <cell r="K88">
            <v>-1.91</v>
          </cell>
        </row>
        <row r="89">
          <cell r="F89">
            <v>256779420307</v>
          </cell>
          <cell r="K89">
            <v>-2.86</v>
          </cell>
        </row>
        <row r="90">
          <cell r="F90">
            <v>256779420308</v>
          </cell>
          <cell r="K90">
            <v>-0.95</v>
          </cell>
        </row>
        <row r="91">
          <cell r="F91">
            <v>256779420309</v>
          </cell>
          <cell r="K91">
            <v>-4.7699999999999996</v>
          </cell>
        </row>
        <row r="92">
          <cell r="F92">
            <v>256779420310</v>
          </cell>
          <cell r="K92">
            <v>-1.91</v>
          </cell>
        </row>
        <row r="93">
          <cell r="F93">
            <v>256779420312</v>
          </cell>
          <cell r="K93">
            <v>-4.7699999999999996</v>
          </cell>
        </row>
        <row r="94">
          <cell r="F94">
            <v>256779420489</v>
          </cell>
          <cell r="K94">
            <v>-1166.5899999999999</v>
          </cell>
        </row>
        <row r="95">
          <cell r="F95">
            <v>256779420523</v>
          </cell>
          <cell r="K95">
            <v>-1143.1199999999999</v>
          </cell>
        </row>
        <row r="96">
          <cell r="F96">
            <v>256779413272</v>
          </cell>
          <cell r="K96">
            <v>25.28</v>
          </cell>
        </row>
        <row r="97">
          <cell r="F97">
            <v>256779413361</v>
          </cell>
          <cell r="K97">
            <v>3</v>
          </cell>
        </row>
        <row r="98">
          <cell r="F98">
            <v>256779413490</v>
          </cell>
          <cell r="K98">
            <v>3</v>
          </cell>
        </row>
        <row r="99">
          <cell r="F99">
            <v>256779413893</v>
          </cell>
          <cell r="K99">
            <v>797.57</v>
          </cell>
        </row>
        <row r="100">
          <cell r="F100">
            <v>256779414003</v>
          </cell>
          <cell r="K100">
            <v>807.39</v>
          </cell>
        </row>
        <row r="101">
          <cell r="F101">
            <v>256779414004</v>
          </cell>
          <cell r="K101">
            <v>808.16</v>
          </cell>
        </row>
        <row r="102">
          <cell r="F102">
            <v>256779414005</v>
          </cell>
          <cell r="K102">
            <v>805.28</v>
          </cell>
        </row>
        <row r="103">
          <cell r="F103">
            <v>256779414006</v>
          </cell>
          <cell r="K103">
            <v>801.47</v>
          </cell>
        </row>
        <row r="104">
          <cell r="F104">
            <v>256779414007</v>
          </cell>
          <cell r="K104">
            <v>790.89</v>
          </cell>
        </row>
        <row r="105">
          <cell r="F105">
            <v>256779414234</v>
          </cell>
          <cell r="K105">
            <v>925.23</v>
          </cell>
        </row>
        <row r="106">
          <cell r="F106">
            <v>256779414354</v>
          </cell>
          <cell r="K106">
            <v>1169.5906432748538</v>
          </cell>
        </row>
        <row r="107">
          <cell r="F107">
            <v>256779414435</v>
          </cell>
          <cell r="K107">
            <v>1190.48</v>
          </cell>
        </row>
        <row r="108">
          <cell r="F108">
            <v>256779414912</v>
          </cell>
          <cell r="K108">
            <v>1162.7906976744187</v>
          </cell>
        </row>
        <row r="109">
          <cell r="F109">
            <v>256779414833</v>
          </cell>
          <cell r="K109">
            <v>3</v>
          </cell>
        </row>
        <row r="110">
          <cell r="F110">
            <v>256779415190</v>
          </cell>
          <cell r="K110">
            <v>690.7</v>
          </cell>
        </row>
        <row r="111">
          <cell r="F111">
            <v>256779415485</v>
          </cell>
          <cell r="K111">
            <v>17.25</v>
          </cell>
        </row>
        <row r="112">
          <cell r="F112">
            <v>256779415533</v>
          </cell>
          <cell r="K112">
            <v>21.75</v>
          </cell>
        </row>
        <row r="113">
          <cell r="F113">
            <v>256779415490</v>
          </cell>
          <cell r="K113">
            <v>17.25</v>
          </cell>
        </row>
        <row r="114">
          <cell r="F114">
            <v>256779415805</v>
          </cell>
          <cell r="K114">
            <v>17.25</v>
          </cell>
        </row>
        <row r="115">
          <cell r="F115">
            <v>256779415810</v>
          </cell>
          <cell r="K115">
            <v>17.25</v>
          </cell>
        </row>
        <row r="116">
          <cell r="F116">
            <v>256779415772</v>
          </cell>
          <cell r="K116">
            <v>59.43</v>
          </cell>
        </row>
        <row r="117">
          <cell r="F117" t="str">
            <v/>
          </cell>
          <cell r="K117">
            <v>198636.61</v>
          </cell>
        </row>
        <row r="118">
          <cell r="F118" t="str">
            <v/>
          </cell>
          <cell r="K118">
            <v>-198636.61</v>
          </cell>
        </row>
        <row r="119">
          <cell r="F119" t="str">
            <v/>
          </cell>
          <cell r="K119">
            <v>-8262.11</v>
          </cell>
        </row>
        <row r="120">
          <cell r="F120">
            <v>256779421502</v>
          </cell>
          <cell r="K120">
            <v>-1190.48</v>
          </cell>
        </row>
        <row r="121">
          <cell r="F121">
            <v>256779416024</v>
          </cell>
          <cell r="K121">
            <v>1162.7906976744187</v>
          </cell>
        </row>
        <row r="122">
          <cell r="F122">
            <v>256779421588</v>
          </cell>
          <cell r="K122">
            <v>-17.25</v>
          </cell>
        </row>
        <row r="123">
          <cell r="F123">
            <v>256779421633</v>
          </cell>
          <cell r="K123">
            <v>-17.25</v>
          </cell>
        </row>
        <row r="124">
          <cell r="F124">
            <v>256779421638</v>
          </cell>
          <cell r="K124">
            <v>-17.25</v>
          </cell>
        </row>
        <row r="125">
          <cell r="F125">
            <v>256779416082</v>
          </cell>
          <cell r="K125">
            <v>759.67</v>
          </cell>
        </row>
        <row r="126">
          <cell r="F126">
            <v>256779416182</v>
          </cell>
          <cell r="K126">
            <v>18</v>
          </cell>
        </row>
        <row r="127">
          <cell r="F127">
            <v>256779416228</v>
          </cell>
          <cell r="K127">
            <v>3</v>
          </cell>
        </row>
        <row r="128">
          <cell r="F128">
            <v>256779416246</v>
          </cell>
          <cell r="K128">
            <v>70.95</v>
          </cell>
        </row>
        <row r="129">
          <cell r="F129">
            <v>256779416257</v>
          </cell>
          <cell r="K129">
            <v>22.87</v>
          </cell>
        </row>
        <row r="130">
          <cell r="F130">
            <v>256779416446</v>
          </cell>
          <cell r="K130">
            <v>2.2799999999999998</v>
          </cell>
        </row>
        <row r="131">
          <cell r="F131">
            <v>256779416604</v>
          </cell>
          <cell r="K131">
            <v>17.309999999999999</v>
          </cell>
        </row>
        <row r="132">
          <cell r="F132">
            <v>256779416616</v>
          </cell>
          <cell r="K132">
            <v>63.65</v>
          </cell>
        </row>
        <row r="133">
          <cell r="F133">
            <v>256779416847</v>
          </cell>
          <cell r="K133">
            <v>27.83</v>
          </cell>
        </row>
        <row r="134">
          <cell r="F134">
            <v>256779416882</v>
          </cell>
          <cell r="K134">
            <v>12.83</v>
          </cell>
        </row>
        <row r="135">
          <cell r="F135" t="str">
            <v/>
          </cell>
          <cell r="K135">
            <v>-4582.99</v>
          </cell>
        </row>
        <row r="136">
          <cell r="F136" t="str">
            <v/>
          </cell>
          <cell r="K136">
            <v>104184.06</v>
          </cell>
        </row>
        <row r="137">
          <cell r="F137" t="str">
            <v/>
          </cell>
          <cell r="K137">
            <v>-104184.06</v>
          </cell>
        </row>
        <row r="138">
          <cell r="F138">
            <v>256779417344</v>
          </cell>
          <cell r="K138">
            <v>1142.8571428571429</v>
          </cell>
        </row>
        <row r="139">
          <cell r="F139">
            <v>256779416912</v>
          </cell>
          <cell r="K139">
            <v>44.96</v>
          </cell>
        </row>
        <row r="140">
          <cell r="F140">
            <v>256779416949</v>
          </cell>
          <cell r="K140">
            <v>30.16</v>
          </cell>
        </row>
        <row r="141">
          <cell r="F141">
            <v>256779417136</v>
          </cell>
          <cell r="K141">
            <v>1.71</v>
          </cell>
        </row>
        <row r="142">
          <cell r="F142">
            <v>256779417162</v>
          </cell>
          <cell r="K142">
            <v>44.74</v>
          </cell>
        </row>
        <row r="143">
          <cell r="F143">
            <v>256779417328</v>
          </cell>
          <cell r="K143">
            <v>2.25</v>
          </cell>
        </row>
        <row r="144">
          <cell r="F144">
            <v>256779417077</v>
          </cell>
          <cell r="K144">
            <v>565.97</v>
          </cell>
        </row>
        <row r="145">
          <cell r="F145">
            <v>256779417528</v>
          </cell>
          <cell r="K145">
            <v>3</v>
          </cell>
        </row>
        <row r="146">
          <cell r="F146">
            <v>256779417871</v>
          </cell>
          <cell r="K146">
            <v>1133.9111111111113</v>
          </cell>
        </row>
        <row r="147">
          <cell r="F147">
            <v>256779417860</v>
          </cell>
          <cell r="K147">
            <v>50</v>
          </cell>
        </row>
        <row r="148">
          <cell r="F148">
            <v>256779418401</v>
          </cell>
          <cell r="K148">
            <v>62.52</v>
          </cell>
        </row>
        <row r="149">
          <cell r="F149">
            <v>256779418012</v>
          </cell>
          <cell r="K149">
            <v>480.02</v>
          </cell>
        </row>
        <row r="150">
          <cell r="F150">
            <v>256779418181</v>
          </cell>
          <cell r="K150">
            <v>49.33</v>
          </cell>
        </row>
        <row r="151">
          <cell r="F151">
            <v>256779418342</v>
          </cell>
          <cell r="K151">
            <v>458.95</v>
          </cell>
        </row>
        <row r="152">
          <cell r="F152">
            <v>256779418354</v>
          </cell>
          <cell r="K152">
            <v>108.95</v>
          </cell>
        </row>
        <row r="153">
          <cell r="F153">
            <v>256779421974</v>
          </cell>
          <cell r="K153">
            <v>-435.91</v>
          </cell>
        </row>
        <row r="154">
          <cell r="F154">
            <v>256779421975</v>
          </cell>
          <cell r="K154">
            <v>-447.05</v>
          </cell>
        </row>
        <row r="155">
          <cell r="F155">
            <v>256779421982</v>
          </cell>
          <cell r="K155">
            <v>-480.02</v>
          </cell>
        </row>
        <row r="156">
          <cell r="F156">
            <v>256779421976</v>
          </cell>
          <cell r="K156">
            <v>-111.25</v>
          </cell>
        </row>
        <row r="157">
          <cell r="F157">
            <v>256779421977</v>
          </cell>
          <cell r="K157">
            <v>-376.4</v>
          </cell>
        </row>
        <row r="158">
          <cell r="F158">
            <v>256779421978</v>
          </cell>
          <cell r="K158">
            <v>-391.55</v>
          </cell>
        </row>
        <row r="159">
          <cell r="F159">
            <v>256779418410</v>
          </cell>
          <cell r="K159">
            <v>480.02</v>
          </cell>
        </row>
        <row r="160">
          <cell r="F160">
            <v>256779418440</v>
          </cell>
          <cell r="K160">
            <v>246.92</v>
          </cell>
        </row>
        <row r="161">
          <cell r="F161">
            <v>256779418704</v>
          </cell>
          <cell r="K161">
            <v>2.25</v>
          </cell>
        </row>
        <row r="162">
          <cell r="F162">
            <v>256779418478</v>
          </cell>
          <cell r="K162">
            <v>27.64</v>
          </cell>
        </row>
        <row r="163">
          <cell r="F163">
            <v>256779418493</v>
          </cell>
          <cell r="K163">
            <v>27.64</v>
          </cell>
        </row>
        <row r="164">
          <cell r="F164" t="str">
            <v/>
          </cell>
          <cell r="K164">
            <v>-4875.1499999999996</v>
          </cell>
        </row>
        <row r="165">
          <cell r="F165">
            <v>256779422046</v>
          </cell>
          <cell r="K165">
            <v>-246.92</v>
          </cell>
        </row>
        <row r="166">
          <cell r="F166">
            <v>256779419134</v>
          </cell>
          <cell r="K166">
            <v>21.75</v>
          </cell>
        </row>
        <row r="167">
          <cell r="F167">
            <v>256779418773</v>
          </cell>
          <cell r="K167">
            <v>1136.3636363636363</v>
          </cell>
        </row>
        <row r="168">
          <cell r="F168">
            <v>256779418821</v>
          </cell>
          <cell r="K168">
            <v>49.59</v>
          </cell>
        </row>
        <row r="169">
          <cell r="F169">
            <v>256779418827</v>
          </cell>
          <cell r="K169">
            <v>60.86</v>
          </cell>
        </row>
        <row r="170">
          <cell r="F170">
            <v>256779418870</v>
          </cell>
          <cell r="K170">
            <v>493.91</v>
          </cell>
        </row>
        <row r="171">
          <cell r="F171">
            <v>256779418945</v>
          </cell>
          <cell r="K171">
            <v>293.04000000000002</v>
          </cell>
        </row>
        <row r="172">
          <cell r="F172">
            <v>256779418946</v>
          </cell>
          <cell r="K172">
            <v>293.04000000000002</v>
          </cell>
        </row>
        <row r="173">
          <cell r="F173">
            <v>256779418947</v>
          </cell>
          <cell r="K173">
            <v>293.04000000000002</v>
          </cell>
        </row>
        <row r="174">
          <cell r="F174">
            <v>256779419178</v>
          </cell>
          <cell r="K174">
            <v>2.25</v>
          </cell>
        </row>
        <row r="175">
          <cell r="F175">
            <v>256779419202</v>
          </cell>
          <cell r="K175">
            <v>62.66</v>
          </cell>
        </row>
        <row r="176">
          <cell r="F176" t="str">
            <v>KNOCK OFF ENTRY</v>
          </cell>
          <cell r="K176">
            <v>0</v>
          </cell>
        </row>
        <row r="177">
          <cell r="F177" t="str">
            <v>KNOCK OFF ENTRY</v>
          </cell>
          <cell r="K177">
            <v>879.2</v>
          </cell>
        </row>
        <row r="178">
          <cell r="F178" t="str">
            <v>KNOCK OFF ENTRY</v>
          </cell>
          <cell r="K178">
            <v>-111.25</v>
          </cell>
        </row>
        <row r="179">
          <cell r="F179" t="str">
            <v>KNOCK OFF ENTRY</v>
          </cell>
          <cell r="K179">
            <v>-376.4</v>
          </cell>
        </row>
        <row r="180">
          <cell r="F180" t="str">
            <v>KNOCK OFF ENTRY</v>
          </cell>
          <cell r="K180">
            <v>-391.55</v>
          </cell>
        </row>
        <row r="181">
          <cell r="F181">
            <v>256779419365</v>
          </cell>
          <cell r="K181">
            <v>292.99</v>
          </cell>
        </row>
        <row r="182">
          <cell r="F182">
            <v>256779419592</v>
          </cell>
          <cell r="K182">
            <v>17.62</v>
          </cell>
        </row>
        <row r="183">
          <cell r="F183">
            <v>256779419633</v>
          </cell>
          <cell r="K183">
            <v>9.3699999999999992</v>
          </cell>
        </row>
        <row r="184">
          <cell r="F184">
            <v>256779419966</v>
          </cell>
          <cell r="K184">
            <v>1127.3888888888889</v>
          </cell>
        </row>
        <row r="185">
          <cell r="F185">
            <v>256779419870</v>
          </cell>
          <cell r="K185">
            <v>18.96</v>
          </cell>
        </row>
        <row r="186">
          <cell r="F186">
            <v>256779440005</v>
          </cell>
          <cell r="K186">
            <v>451.3</v>
          </cell>
        </row>
        <row r="187">
          <cell r="F187">
            <v>256779422156</v>
          </cell>
          <cell r="K187">
            <v>-59.62</v>
          </cell>
        </row>
        <row r="188">
          <cell r="F188">
            <v>256779422157</v>
          </cell>
          <cell r="K188">
            <v>-49.33</v>
          </cell>
        </row>
        <row r="189">
          <cell r="F189">
            <v>256779422168</v>
          </cell>
          <cell r="K189">
            <v>-27.64</v>
          </cell>
        </row>
        <row r="190">
          <cell r="F190">
            <v>256779440070</v>
          </cell>
          <cell r="K190">
            <v>7.18</v>
          </cell>
        </row>
        <row r="191">
          <cell r="F191">
            <v>256779440082</v>
          </cell>
          <cell r="K191">
            <v>2.25</v>
          </cell>
        </row>
        <row r="192">
          <cell r="F192">
            <v>256779440102</v>
          </cell>
          <cell r="K192">
            <v>20.39</v>
          </cell>
        </row>
        <row r="193">
          <cell r="F193">
            <v>256779440119</v>
          </cell>
          <cell r="K193">
            <v>17.25</v>
          </cell>
        </row>
        <row r="194">
          <cell r="F194">
            <v>256779440236</v>
          </cell>
          <cell r="K194">
            <v>505.23</v>
          </cell>
        </row>
        <row r="195">
          <cell r="F195">
            <v>256779440305</v>
          </cell>
          <cell r="K195">
            <v>1102.0111111111109</v>
          </cell>
        </row>
        <row r="196">
          <cell r="F196">
            <v>256779422208</v>
          </cell>
          <cell r="K196">
            <v>-23.92</v>
          </cell>
        </row>
        <row r="197">
          <cell r="F197">
            <v>256779422209</v>
          </cell>
          <cell r="K197">
            <v>-45.63</v>
          </cell>
        </row>
        <row r="198">
          <cell r="F198">
            <v>256779422210</v>
          </cell>
          <cell r="K198">
            <v>-22.64</v>
          </cell>
        </row>
        <row r="199">
          <cell r="F199">
            <v>256779422211</v>
          </cell>
          <cell r="K199">
            <v>-21.96</v>
          </cell>
        </row>
        <row r="200">
          <cell r="F200">
            <v>256779440431</v>
          </cell>
          <cell r="K200">
            <v>3</v>
          </cell>
        </row>
        <row r="201">
          <cell r="F201">
            <v>2166093</v>
          </cell>
          <cell r="K201">
            <v>-10691.42</v>
          </cell>
        </row>
        <row r="202">
          <cell r="K202">
            <v>8974.5146266300089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5E6E-3388-4114-9524-33D4ACCDF769}">
  <sheetPr filterMode="1"/>
  <dimension ref="A1:U127"/>
  <sheetViews>
    <sheetView tabSelected="1" topLeftCell="J3" workbookViewId="0">
      <selection activeCell="Q65" sqref="Q65"/>
    </sheetView>
  </sheetViews>
  <sheetFormatPr defaultRowHeight="12.5" x14ac:dyDescent="0.25"/>
  <cols>
    <col min="1" max="1" width="16" style="39" bestFit="1" customWidth="1"/>
    <col min="2" max="2" width="16" customWidth="1"/>
    <col min="3" max="3" width="10" style="34" bestFit="1" customWidth="1"/>
    <col min="4" max="4" width="13.26953125" bestFit="1" customWidth="1"/>
    <col min="5" max="5" width="36.7265625" bestFit="1" customWidth="1"/>
    <col min="6" max="6" width="13.36328125" style="35" bestFit="1" customWidth="1"/>
    <col min="7" max="7" width="17.90625" bestFit="1" customWidth="1"/>
    <col min="8" max="8" width="10.54296875" bestFit="1" customWidth="1"/>
    <col min="9" max="9" width="15.54296875" style="35" bestFit="1" customWidth="1"/>
    <col min="10" max="10" width="11.6328125" style="35" bestFit="1" customWidth="1"/>
    <col min="11" max="11" width="21.6328125" bestFit="1" customWidth="1"/>
    <col min="12" max="13" width="21.6328125" customWidth="1"/>
    <col min="14" max="14" width="12.08984375" bestFit="1" customWidth="1"/>
    <col min="15" max="15" width="13" bestFit="1" customWidth="1"/>
    <col min="16" max="16" width="22.54296875" style="34" bestFit="1" customWidth="1"/>
    <col min="17" max="17" width="16.08984375" bestFit="1" customWidth="1"/>
    <col min="18" max="18" width="12.6328125" bestFit="1" customWidth="1"/>
    <col min="19" max="19" width="18.26953125" bestFit="1" customWidth="1"/>
    <col min="20" max="20" width="10.54296875" bestFit="1" customWidth="1"/>
    <col min="21" max="22" width="10.6328125" bestFit="1" customWidth="1"/>
    <col min="23" max="23" width="10.81640625" bestFit="1" customWidth="1"/>
    <col min="24" max="24" width="13.26953125" bestFit="1" customWidth="1"/>
    <col min="25" max="25" width="18.90625" bestFit="1" customWidth="1"/>
    <col min="26" max="26" width="12.26953125" bestFit="1" customWidth="1"/>
    <col min="27" max="27" width="6.6328125" bestFit="1" customWidth="1"/>
    <col min="28" max="28" width="46.6328125" bestFit="1" customWidth="1"/>
    <col min="29" max="31" width="16.6328125" bestFit="1" customWidth="1"/>
    <col min="32" max="32" width="20.90625" bestFit="1" customWidth="1"/>
    <col min="33" max="33" width="14" bestFit="1" customWidth="1"/>
    <col min="34" max="34" width="18.26953125" bestFit="1" customWidth="1"/>
  </cols>
  <sheetData>
    <row r="1" spans="1:21" ht="50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12</v>
      </c>
      <c r="P1" s="18" t="s">
        <v>13</v>
      </c>
      <c r="Q1" s="2" t="s">
        <v>21</v>
      </c>
      <c r="R1" s="2" t="s">
        <v>20</v>
      </c>
      <c r="S1" s="18" t="s">
        <v>14</v>
      </c>
      <c r="T1" s="18" t="s">
        <v>15</v>
      </c>
      <c r="U1" s="2" t="s">
        <v>16</v>
      </c>
    </row>
    <row r="3" spans="1:21" ht="50" x14ac:dyDescent="0.25">
      <c r="C3" s="1" t="s">
        <v>0</v>
      </c>
      <c r="D3" s="1" t="s">
        <v>1</v>
      </c>
      <c r="E3" s="1" t="s">
        <v>2</v>
      </c>
      <c r="F3" s="36" t="s">
        <v>3</v>
      </c>
      <c r="G3" s="1" t="s">
        <v>4</v>
      </c>
      <c r="H3" s="2" t="s">
        <v>5</v>
      </c>
      <c r="I3" s="36" t="s">
        <v>6</v>
      </c>
      <c r="J3" s="36" t="s">
        <v>7</v>
      </c>
      <c r="K3" s="1" t="s">
        <v>8</v>
      </c>
      <c r="L3" s="1" t="s">
        <v>9</v>
      </c>
      <c r="M3" s="1"/>
      <c r="N3" s="1" t="s">
        <v>11</v>
      </c>
      <c r="O3" s="2" t="s">
        <v>12</v>
      </c>
      <c r="P3" s="18" t="s">
        <v>13</v>
      </c>
      <c r="Q3" s="2" t="s">
        <v>21</v>
      </c>
      <c r="R3" s="2" t="s">
        <v>20</v>
      </c>
      <c r="S3" s="1" t="s">
        <v>25</v>
      </c>
    </row>
    <row r="4" spans="1:21" hidden="1" x14ac:dyDescent="0.25">
      <c r="A4" s="22">
        <v>246779410694</v>
      </c>
      <c r="B4" s="23">
        <v>58.17</v>
      </c>
      <c r="C4" s="37">
        <v>6779</v>
      </c>
      <c r="D4" s="38">
        <v>100222345</v>
      </c>
      <c r="E4" t="s">
        <v>26</v>
      </c>
      <c r="F4" s="35">
        <v>45720</v>
      </c>
      <c r="G4" s="38">
        <v>1800000754</v>
      </c>
      <c r="H4" t="s">
        <v>18</v>
      </c>
      <c r="I4" s="35">
        <v>45720</v>
      </c>
      <c r="J4" s="35">
        <v>45720</v>
      </c>
      <c r="K4" t="s">
        <v>23</v>
      </c>
      <c r="L4" s="38">
        <v>212100</v>
      </c>
      <c r="M4" s="38"/>
      <c r="N4">
        <v>246779410694</v>
      </c>
      <c r="O4" t="s">
        <v>17</v>
      </c>
      <c r="P4" s="34">
        <v>59.36</v>
      </c>
      <c r="Q4" t="s">
        <v>19</v>
      </c>
      <c r="R4">
        <v>5145.99</v>
      </c>
      <c r="S4" t="s">
        <v>27</v>
      </c>
    </row>
    <row r="5" spans="1:21" hidden="1" x14ac:dyDescent="0.25">
      <c r="A5" s="22">
        <v>246779410614</v>
      </c>
      <c r="B5" s="23">
        <v>2.2000000000000002</v>
      </c>
      <c r="C5" s="37">
        <v>6779</v>
      </c>
      <c r="D5" s="38">
        <v>100222345</v>
      </c>
      <c r="E5" t="s">
        <v>26</v>
      </c>
      <c r="F5" s="35">
        <v>45719</v>
      </c>
      <c r="G5" s="38">
        <v>1800000674</v>
      </c>
      <c r="H5" t="s">
        <v>18</v>
      </c>
      <c r="I5" s="35">
        <v>45719</v>
      </c>
      <c r="J5" s="35">
        <v>45720</v>
      </c>
      <c r="K5" t="s">
        <v>23</v>
      </c>
      <c r="L5" s="38">
        <v>212100</v>
      </c>
      <c r="M5" s="38"/>
      <c r="N5">
        <v>246779410614</v>
      </c>
      <c r="O5" t="s">
        <v>17</v>
      </c>
      <c r="P5" s="34">
        <v>2.25</v>
      </c>
      <c r="Q5" t="s">
        <v>19</v>
      </c>
      <c r="R5">
        <v>195.06</v>
      </c>
      <c r="S5" t="s">
        <v>27</v>
      </c>
    </row>
    <row r="6" spans="1:21" hidden="1" x14ac:dyDescent="0.25">
      <c r="A6" s="24">
        <v>246779410615</v>
      </c>
      <c r="B6" s="25">
        <v>8.81</v>
      </c>
      <c r="C6" s="37">
        <v>6779</v>
      </c>
      <c r="D6" s="38">
        <v>100222345</v>
      </c>
      <c r="E6" t="s">
        <v>26</v>
      </c>
      <c r="F6" s="35">
        <v>45719</v>
      </c>
      <c r="G6" s="38">
        <v>1800000675</v>
      </c>
      <c r="H6" t="s">
        <v>18</v>
      </c>
      <c r="I6" s="35">
        <v>45719</v>
      </c>
      <c r="J6" s="35">
        <v>45720</v>
      </c>
      <c r="K6" t="s">
        <v>23</v>
      </c>
      <c r="L6" s="38">
        <v>212100</v>
      </c>
      <c r="M6" s="38"/>
      <c r="N6">
        <v>246779410615</v>
      </c>
      <c r="O6" t="s">
        <v>17</v>
      </c>
      <c r="P6" s="34">
        <v>9</v>
      </c>
      <c r="Q6" t="s">
        <v>19</v>
      </c>
      <c r="R6">
        <v>780.22</v>
      </c>
      <c r="S6" t="s">
        <v>27</v>
      </c>
    </row>
    <row r="7" spans="1:21" hidden="1" x14ac:dyDescent="0.25">
      <c r="A7" s="22">
        <v>246779410975</v>
      </c>
      <c r="B7" s="23">
        <v>28.330000000000002</v>
      </c>
      <c r="C7" s="37">
        <v>6779</v>
      </c>
      <c r="D7" s="38">
        <v>100222345</v>
      </c>
      <c r="E7" t="s">
        <v>26</v>
      </c>
      <c r="F7" s="35">
        <v>45722</v>
      </c>
      <c r="G7" s="38">
        <v>1800001035</v>
      </c>
      <c r="H7" t="s">
        <v>18</v>
      </c>
      <c r="I7" s="35">
        <v>45722</v>
      </c>
      <c r="J7" s="35">
        <v>45722</v>
      </c>
      <c r="K7" t="s">
        <v>23</v>
      </c>
      <c r="L7" s="38">
        <v>212100</v>
      </c>
      <c r="M7" s="38"/>
      <c r="N7">
        <v>246779410975</v>
      </c>
      <c r="O7" t="s">
        <v>17</v>
      </c>
      <c r="P7" s="34">
        <v>28.91</v>
      </c>
      <c r="Q7" t="s">
        <v>19</v>
      </c>
      <c r="R7">
        <v>2506.2399999999998</v>
      </c>
      <c r="S7" t="s">
        <v>27</v>
      </c>
    </row>
    <row r="8" spans="1:21" hidden="1" x14ac:dyDescent="0.25">
      <c r="A8" s="24">
        <v>246779410976</v>
      </c>
      <c r="B8" s="25">
        <v>23.51</v>
      </c>
      <c r="C8" s="37">
        <v>6779</v>
      </c>
      <c r="D8" s="38">
        <v>100222345</v>
      </c>
      <c r="E8" t="s">
        <v>26</v>
      </c>
      <c r="F8" s="35">
        <v>45722</v>
      </c>
      <c r="G8" s="38">
        <v>1800001036</v>
      </c>
      <c r="H8" t="s">
        <v>18</v>
      </c>
      <c r="I8" s="35">
        <v>45722</v>
      </c>
      <c r="J8" s="35">
        <v>45722</v>
      </c>
      <c r="K8" t="s">
        <v>23</v>
      </c>
      <c r="L8" s="38">
        <v>212100</v>
      </c>
      <c r="M8" s="38"/>
      <c r="N8">
        <v>246779410976</v>
      </c>
      <c r="O8" t="s">
        <v>17</v>
      </c>
      <c r="P8" s="34">
        <v>24</v>
      </c>
      <c r="Q8" t="s">
        <v>19</v>
      </c>
      <c r="R8">
        <v>2080.59</v>
      </c>
      <c r="S8" t="s">
        <v>27</v>
      </c>
    </row>
    <row r="9" spans="1:21" hidden="1" x14ac:dyDescent="0.25">
      <c r="A9" s="22">
        <v>246779411190</v>
      </c>
      <c r="B9" s="23">
        <v>16.899999999999999</v>
      </c>
      <c r="C9" s="37">
        <v>6779</v>
      </c>
      <c r="D9" s="38">
        <v>100222345</v>
      </c>
      <c r="E9" t="s">
        <v>26</v>
      </c>
      <c r="F9" s="35">
        <v>45722</v>
      </c>
      <c r="G9" s="38">
        <v>1800001321</v>
      </c>
      <c r="H9" t="s">
        <v>18</v>
      </c>
      <c r="I9" s="35">
        <v>45722</v>
      </c>
      <c r="J9" s="35">
        <v>45723</v>
      </c>
      <c r="K9" t="s">
        <v>23</v>
      </c>
      <c r="L9" s="38">
        <v>212100</v>
      </c>
      <c r="M9" s="38"/>
      <c r="N9">
        <v>246779411190</v>
      </c>
      <c r="O9" t="s">
        <v>17</v>
      </c>
      <c r="P9" s="34">
        <v>17.25</v>
      </c>
      <c r="Q9" t="s">
        <v>19</v>
      </c>
      <c r="R9">
        <v>1495.42</v>
      </c>
      <c r="S9" t="s">
        <v>27</v>
      </c>
    </row>
    <row r="10" spans="1:21" hidden="1" x14ac:dyDescent="0.25">
      <c r="A10" s="22">
        <v>246779411191</v>
      </c>
      <c r="B10" s="23">
        <v>25.63</v>
      </c>
      <c r="C10" s="37">
        <v>6779</v>
      </c>
      <c r="D10" s="38">
        <v>100222345</v>
      </c>
      <c r="E10" t="s">
        <v>26</v>
      </c>
      <c r="F10" s="35">
        <v>45722</v>
      </c>
      <c r="G10" s="38">
        <v>1800001322</v>
      </c>
      <c r="H10" t="s">
        <v>18</v>
      </c>
      <c r="I10" s="35">
        <v>45722</v>
      </c>
      <c r="J10" s="35">
        <v>45723</v>
      </c>
      <c r="K10" t="s">
        <v>23</v>
      </c>
      <c r="L10" s="38">
        <v>212100</v>
      </c>
      <c r="M10" s="38"/>
      <c r="N10">
        <v>246779411191</v>
      </c>
      <c r="O10" t="s">
        <v>17</v>
      </c>
      <c r="P10" s="34">
        <v>26.15</v>
      </c>
      <c r="Q10" t="s">
        <v>19</v>
      </c>
      <c r="R10">
        <v>2266.98</v>
      </c>
      <c r="S10" t="s">
        <v>27</v>
      </c>
    </row>
    <row r="11" spans="1:21" hidden="1" x14ac:dyDescent="0.25">
      <c r="A11" s="22">
        <v>246779410511</v>
      </c>
      <c r="B11" s="23">
        <v>13.63</v>
      </c>
      <c r="C11" s="37">
        <v>6779</v>
      </c>
      <c r="D11" s="38">
        <v>100222345</v>
      </c>
      <c r="E11" t="s">
        <v>26</v>
      </c>
      <c r="F11" s="35">
        <v>45719</v>
      </c>
      <c r="G11" s="38">
        <v>1800000561</v>
      </c>
      <c r="H11" t="s">
        <v>18</v>
      </c>
      <c r="I11" s="35">
        <v>45719</v>
      </c>
      <c r="J11" s="35">
        <v>45719</v>
      </c>
      <c r="K11" t="s">
        <v>23</v>
      </c>
      <c r="L11" s="38">
        <v>212100</v>
      </c>
      <c r="M11" s="38"/>
      <c r="N11">
        <v>246779410511</v>
      </c>
      <c r="O11" t="s">
        <v>17</v>
      </c>
      <c r="P11" s="34">
        <v>13.91</v>
      </c>
      <c r="Q11" t="s">
        <v>19</v>
      </c>
      <c r="R11">
        <v>1205.8800000000001</v>
      </c>
      <c r="S11" t="s">
        <v>27</v>
      </c>
    </row>
    <row r="12" spans="1:21" hidden="1" x14ac:dyDescent="0.25">
      <c r="A12" s="22">
        <v>246779412992</v>
      </c>
      <c r="B12" s="23">
        <v>1033.7700000000002</v>
      </c>
      <c r="C12" s="37">
        <v>6779</v>
      </c>
      <c r="D12" s="38">
        <v>100222345</v>
      </c>
      <c r="E12" t="s">
        <v>26</v>
      </c>
      <c r="F12" s="35">
        <v>45735</v>
      </c>
      <c r="G12" s="38">
        <v>1800003125</v>
      </c>
      <c r="H12" t="s">
        <v>18</v>
      </c>
      <c r="I12" s="35">
        <v>45735</v>
      </c>
      <c r="J12" s="35">
        <v>45736</v>
      </c>
      <c r="K12" t="s">
        <v>23</v>
      </c>
      <c r="L12" s="38">
        <v>212100</v>
      </c>
      <c r="M12" s="38"/>
      <c r="N12">
        <v>246779412992</v>
      </c>
      <c r="O12" t="s">
        <v>17</v>
      </c>
      <c r="P12" s="34">
        <v>1148.6300000000001</v>
      </c>
      <c r="Q12" t="s">
        <v>19</v>
      </c>
      <c r="R12">
        <v>99576.18</v>
      </c>
      <c r="S12" t="s">
        <v>27</v>
      </c>
    </row>
    <row r="13" spans="1:21" hidden="1" x14ac:dyDescent="0.25">
      <c r="A13" s="22">
        <v>246779410510</v>
      </c>
      <c r="B13" s="23">
        <v>191</v>
      </c>
      <c r="C13" s="37">
        <v>6779</v>
      </c>
      <c r="D13" s="38">
        <v>100222345</v>
      </c>
      <c r="E13" t="s">
        <v>26</v>
      </c>
      <c r="F13" s="35">
        <v>45719</v>
      </c>
      <c r="G13" s="38">
        <v>1800000560</v>
      </c>
      <c r="H13" t="s">
        <v>18</v>
      </c>
      <c r="I13" s="35">
        <v>45719</v>
      </c>
      <c r="J13" s="35">
        <v>45719</v>
      </c>
      <c r="K13" t="s">
        <v>23</v>
      </c>
      <c r="L13" s="38">
        <v>212100</v>
      </c>
      <c r="M13" s="38"/>
      <c r="N13">
        <v>246779410510</v>
      </c>
      <c r="O13" t="s">
        <v>17</v>
      </c>
      <c r="P13" s="34">
        <v>194.9</v>
      </c>
      <c r="Q13" t="s">
        <v>19</v>
      </c>
      <c r="R13">
        <v>16896.13</v>
      </c>
      <c r="S13" t="s">
        <v>27</v>
      </c>
    </row>
    <row r="14" spans="1:21" x14ac:dyDescent="0.25">
      <c r="A14" s="22">
        <v>246779412240</v>
      </c>
      <c r="B14" s="23">
        <v>2.8</v>
      </c>
      <c r="C14" s="37">
        <v>6779</v>
      </c>
      <c r="D14" s="38">
        <v>100222345</v>
      </c>
      <c r="E14" t="s">
        <v>26</v>
      </c>
      <c r="F14" s="35">
        <v>45730</v>
      </c>
      <c r="G14" s="38">
        <v>1800001583</v>
      </c>
      <c r="H14" t="s">
        <v>18</v>
      </c>
      <c r="I14" s="35">
        <v>45730</v>
      </c>
      <c r="J14" s="35">
        <v>45735</v>
      </c>
      <c r="K14" t="s">
        <v>23</v>
      </c>
      <c r="L14" s="38">
        <v>212100</v>
      </c>
      <c r="M14" s="38"/>
      <c r="N14">
        <v>246779412240</v>
      </c>
      <c r="O14" t="s">
        <v>17</v>
      </c>
      <c r="P14" s="34">
        <v>2.86</v>
      </c>
      <c r="Q14" t="s">
        <v>19</v>
      </c>
      <c r="R14">
        <v>247.94</v>
      </c>
      <c r="S14" s="38">
        <v>1400000797</v>
      </c>
    </row>
    <row r="15" spans="1:21" hidden="1" x14ac:dyDescent="0.25">
      <c r="A15" s="22">
        <v>246779411452</v>
      </c>
      <c r="B15" s="23">
        <v>0.92999999999999994</v>
      </c>
      <c r="C15" s="37">
        <v>6779</v>
      </c>
      <c r="D15" s="38">
        <v>100222345</v>
      </c>
      <c r="E15" t="s">
        <v>26</v>
      </c>
      <c r="F15" s="35">
        <v>45730</v>
      </c>
      <c r="G15" s="38">
        <v>1800001787</v>
      </c>
      <c r="H15" t="s">
        <v>18</v>
      </c>
      <c r="I15" s="35">
        <v>45730</v>
      </c>
      <c r="J15" s="35">
        <v>45733</v>
      </c>
      <c r="K15" t="s">
        <v>23</v>
      </c>
      <c r="L15" s="38">
        <v>212100</v>
      </c>
      <c r="M15" s="38"/>
      <c r="N15">
        <v>246779411452</v>
      </c>
      <c r="O15" t="s">
        <v>17</v>
      </c>
      <c r="P15" s="34">
        <v>0.95</v>
      </c>
      <c r="Q15" t="s">
        <v>19</v>
      </c>
      <c r="R15">
        <v>82.36</v>
      </c>
      <c r="S15" t="s">
        <v>27</v>
      </c>
    </row>
    <row r="16" spans="1:21" x14ac:dyDescent="0.25">
      <c r="A16" s="40">
        <v>246779412242</v>
      </c>
      <c r="B16" s="23">
        <v>4.67</v>
      </c>
      <c r="C16" s="37">
        <v>6779</v>
      </c>
      <c r="D16" s="38">
        <v>100222345</v>
      </c>
      <c r="E16" t="s">
        <v>26</v>
      </c>
      <c r="F16" s="35">
        <v>45730</v>
      </c>
      <c r="G16" s="38">
        <v>1800001585</v>
      </c>
      <c r="H16" t="s">
        <v>18</v>
      </c>
      <c r="I16" s="35">
        <v>45730</v>
      </c>
      <c r="J16" s="35">
        <v>45735</v>
      </c>
      <c r="K16" t="s">
        <v>23</v>
      </c>
      <c r="L16" s="38">
        <v>212100</v>
      </c>
      <c r="M16" s="38"/>
      <c r="N16">
        <v>246779412242</v>
      </c>
      <c r="O16" t="s">
        <v>17</v>
      </c>
      <c r="P16" s="34">
        <v>4.7699999999999996</v>
      </c>
      <c r="Q16" t="s">
        <v>19</v>
      </c>
      <c r="R16">
        <v>413.52</v>
      </c>
      <c r="S16" s="38">
        <v>1400000797</v>
      </c>
    </row>
    <row r="17" spans="1:19" x14ac:dyDescent="0.25">
      <c r="A17" s="22">
        <v>246779412243</v>
      </c>
      <c r="B17" s="23">
        <v>1.8699999999999999</v>
      </c>
      <c r="C17" s="37">
        <v>6779</v>
      </c>
      <c r="D17" s="38">
        <v>100222345</v>
      </c>
      <c r="E17" t="s">
        <v>26</v>
      </c>
      <c r="F17" s="35">
        <v>45730</v>
      </c>
      <c r="G17" s="38">
        <v>1800001586</v>
      </c>
      <c r="H17" t="s">
        <v>18</v>
      </c>
      <c r="I17" s="35">
        <v>45730</v>
      </c>
      <c r="J17" s="35">
        <v>45735</v>
      </c>
      <c r="K17" t="s">
        <v>23</v>
      </c>
      <c r="L17" s="38">
        <v>212100</v>
      </c>
      <c r="M17" s="38"/>
      <c r="N17">
        <v>246779412243</v>
      </c>
      <c r="O17" t="s">
        <v>17</v>
      </c>
      <c r="P17" s="34">
        <v>1.91</v>
      </c>
      <c r="Q17" t="s">
        <v>19</v>
      </c>
      <c r="R17">
        <v>165.58</v>
      </c>
      <c r="S17" s="38">
        <v>1400000797</v>
      </c>
    </row>
    <row r="18" spans="1:19" x14ac:dyDescent="0.25">
      <c r="A18" s="22">
        <v>246779412244</v>
      </c>
      <c r="B18" s="23">
        <v>1.8699999999999999</v>
      </c>
      <c r="C18" s="37">
        <v>6779</v>
      </c>
      <c r="D18" s="38">
        <v>100222345</v>
      </c>
      <c r="E18" t="s">
        <v>26</v>
      </c>
      <c r="F18" s="35">
        <v>45730</v>
      </c>
      <c r="G18" s="38">
        <v>1800001587</v>
      </c>
      <c r="H18" t="s">
        <v>18</v>
      </c>
      <c r="I18" s="35">
        <v>45730</v>
      </c>
      <c r="J18" s="35">
        <v>45735</v>
      </c>
      <c r="K18" t="s">
        <v>23</v>
      </c>
      <c r="L18" s="38">
        <v>212100</v>
      </c>
      <c r="M18" s="38"/>
      <c r="N18">
        <v>246779412244</v>
      </c>
      <c r="O18" t="s">
        <v>17</v>
      </c>
      <c r="P18" s="34">
        <v>1.91</v>
      </c>
      <c r="Q18" t="s">
        <v>19</v>
      </c>
      <c r="R18">
        <v>165.58</v>
      </c>
      <c r="S18" s="38">
        <v>1400000797</v>
      </c>
    </row>
    <row r="19" spans="1:19" x14ac:dyDescent="0.25">
      <c r="A19" s="22">
        <v>246779412245</v>
      </c>
      <c r="B19" s="23">
        <v>4.68</v>
      </c>
      <c r="C19" s="37">
        <v>6779</v>
      </c>
      <c r="D19" s="38">
        <v>100222345</v>
      </c>
      <c r="E19" t="s">
        <v>26</v>
      </c>
      <c r="F19" s="35">
        <v>45730</v>
      </c>
      <c r="G19" s="38">
        <v>1800001588</v>
      </c>
      <c r="H19" t="s">
        <v>18</v>
      </c>
      <c r="I19" s="35">
        <v>45730</v>
      </c>
      <c r="J19" s="35">
        <v>45735</v>
      </c>
      <c r="K19" t="s">
        <v>23</v>
      </c>
      <c r="L19" s="38">
        <v>212100</v>
      </c>
      <c r="M19" s="38"/>
      <c r="N19">
        <v>246779412245</v>
      </c>
      <c r="O19" t="s">
        <v>17</v>
      </c>
      <c r="P19" s="34">
        <v>4.7699999999999996</v>
      </c>
      <c r="Q19" t="s">
        <v>19</v>
      </c>
      <c r="R19">
        <v>413.52</v>
      </c>
      <c r="S19" s="38">
        <v>1400000797</v>
      </c>
    </row>
    <row r="20" spans="1:19" hidden="1" x14ac:dyDescent="0.25">
      <c r="A20" s="22">
        <v>246779411622</v>
      </c>
      <c r="B20" s="23">
        <v>3.7399999999999998</v>
      </c>
      <c r="C20" s="37">
        <v>6779</v>
      </c>
      <c r="D20" s="38">
        <v>100222345</v>
      </c>
      <c r="E20" t="s">
        <v>26</v>
      </c>
      <c r="F20" s="35">
        <v>45733</v>
      </c>
      <c r="G20" s="38">
        <v>1800001957</v>
      </c>
      <c r="H20" t="s">
        <v>18</v>
      </c>
      <c r="I20" s="35">
        <v>45733</v>
      </c>
      <c r="J20" s="35">
        <v>45733</v>
      </c>
      <c r="K20" t="s">
        <v>23</v>
      </c>
      <c r="L20" s="38">
        <v>212100</v>
      </c>
      <c r="M20" s="38"/>
      <c r="N20">
        <v>246779411622</v>
      </c>
      <c r="O20" t="s">
        <v>17</v>
      </c>
      <c r="P20" s="34">
        <v>3.82</v>
      </c>
      <c r="Q20" t="s">
        <v>19</v>
      </c>
      <c r="R20">
        <v>331.16</v>
      </c>
      <c r="S20" t="s">
        <v>27</v>
      </c>
    </row>
    <row r="21" spans="1:19" hidden="1" x14ac:dyDescent="0.25">
      <c r="A21" s="22">
        <v>246779411623</v>
      </c>
      <c r="B21" s="23">
        <v>1.8699999999999999</v>
      </c>
      <c r="C21" s="37">
        <v>6779</v>
      </c>
      <c r="D21" s="38">
        <v>100222345</v>
      </c>
      <c r="E21" t="s">
        <v>26</v>
      </c>
      <c r="F21" s="35">
        <v>45733</v>
      </c>
      <c r="G21" s="38">
        <v>1800001958</v>
      </c>
      <c r="H21" t="s">
        <v>18</v>
      </c>
      <c r="I21" s="35">
        <v>45733</v>
      </c>
      <c r="J21" s="35">
        <v>45733</v>
      </c>
      <c r="K21" t="s">
        <v>23</v>
      </c>
      <c r="L21" s="38">
        <v>212100</v>
      </c>
      <c r="M21" s="38"/>
      <c r="N21">
        <v>246779411623</v>
      </c>
      <c r="O21" t="s">
        <v>17</v>
      </c>
      <c r="P21" s="34">
        <v>1.91</v>
      </c>
      <c r="Q21" t="s">
        <v>19</v>
      </c>
      <c r="R21">
        <v>165.58</v>
      </c>
      <c r="S21" t="s">
        <v>27</v>
      </c>
    </row>
    <row r="22" spans="1:19" hidden="1" x14ac:dyDescent="0.25">
      <c r="A22" s="22">
        <v>246779410856</v>
      </c>
      <c r="B22" s="23">
        <v>17.95</v>
      </c>
      <c r="C22" s="37">
        <v>6779</v>
      </c>
      <c r="D22" s="38">
        <v>100222345</v>
      </c>
      <c r="E22" t="s">
        <v>26</v>
      </c>
      <c r="F22" s="35">
        <v>45720</v>
      </c>
      <c r="G22" s="38">
        <v>1800000915</v>
      </c>
      <c r="H22" t="s">
        <v>18</v>
      </c>
      <c r="I22" s="35">
        <v>45720</v>
      </c>
      <c r="J22" s="35">
        <v>45721</v>
      </c>
      <c r="K22" t="s">
        <v>23</v>
      </c>
      <c r="L22" s="38">
        <v>212100</v>
      </c>
      <c r="M22" s="38"/>
      <c r="N22">
        <v>246779410856</v>
      </c>
      <c r="O22" t="s">
        <v>17</v>
      </c>
      <c r="P22" s="34">
        <v>18.32</v>
      </c>
      <c r="Q22" t="s">
        <v>19</v>
      </c>
      <c r="R22">
        <v>1588.18</v>
      </c>
      <c r="S22" t="s">
        <v>27</v>
      </c>
    </row>
    <row r="23" spans="1:19" hidden="1" x14ac:dyDescent="0.25">
      <c r="A23" s="22">
        <v>246779411253</v>
      </c>
      <c r="B23" s="23">
        <v>19.600000000000001</v>
      </c>
      <c r="C23" s="37">
        <v>6779</v>
      </c>
      <c r="D23" s="38">
        <v>100222345</v>
      </c>
      <c r="E23" t="s">
        <v>26</v>
      </c>
      <c r="F23" s="35">
        <v>45722</v>
      </c>
      <c r="G23" s="38">
        <v>1800001384</v>
      </c>
      <c r="H23" t="s">
        <v>18</v>
      </c>
      <c r="I23" s="35">
        <v>45722</v>
      </c>
      <c r="J23" s="35">
        <v>45723</v>
      </c>
      <c r="K23" t="s">
        <v>23</v>
      </c>
      <c r="L23" s="38">
        <v>212100</v>
      </c>
      <c r="M23" s="38"/>
      <c r="N23">
        <v>246779411253</v>
      </c>
      <c r="O23" t="s">
        <v>17</v>
      </c>
      <c r="P23" s="34">
        <v>20</v>
      </c>
      <c r="Q23" t="s">
        <v>19</v>
      </c>
      <c r="R23">
        <v>1733.83</v>
      </c>
      <c r="S23" t="s">
        <v>27</v>
      </c>
    </row>
    <row r="24" spans="1:19" hidden="1" x14ac:dyDescent="0.25">
      <c r="A24" s="22">
        <v>246779411056</v>
      </c>
      <c r="B24" s="23">
        <v>58.17</v>
      </c>
      <c r="C24" s="37">
        <v>6779</v>
      </c>
      <c r="D24" s="38">
        <v>100222345</v>
      </c>
      <c r="E24" t="s">
        <v>26</v>
      </c>
      <c r="F24" s="35">
        <v>45722</v>
      </c>
      <c r="G24" s="38">
        <v>1800001120</v>
      </c>
      <c r="H24" t="s">
        <v>18</v>
      </c>
      <c r="I24" s="35">
        <v>45722</v>
      </c>
      <c r="J24" s="35">
        <v>45723</v>
      </c>
      <c r="K24" t="s">
        <v>23</v>
      </c>
      <c r="L24" s="38">
        <v>212100</v>
      </c>
      <c r="M24" s="38"/>
      <c r="N24">
        <v>246779411056</v>
      </c>
      <c r="O24" t="s">
        <v>17</v>
      </c>
      <c r="P24" s="34">
        <v>59.36</v>
      </c>
      <c r="Q24" t="s">
        <v>19</v>
      </c>
      <c r="R24">
        <v>5145.99</v>
      </c>
      <c r="S24" t="s">
        <v>27</v>
      </c>
    </row>
    <row r="25" spans="1:19" hidden="1" x14ac:dyDescent="0.25">
      <c r="A25" s="22">
        <v>246779411485</v>
      </c>
      <c r="B25" s="23">
        <v>98</v>
      </c>
      <c r="C25" s="37">
        <v>6779</v>
      </c>
      <c r="D25" s="38">
        <v>100222345</v>
      </c>
      <c r="E25" t="s">
        <v>26</v>
      </c>
      <c r="F25" s="35">
        <v>45730</v>
      </c>
      <c r="G25" s="38">
        <v>1800001820</v>
      </c>
      <c r="H25" t="s">
        <v>18</v>
      </c>
      <c r="I25" s="35">
        <v>45730</v>
      </c>
      <c r="J25" s="35">
        <v>45733</v>
      </c>
      <c r="K25" t="s">
        <v>23</v>
      </c>
      <c r="L25" s="38">
        <v>212100</v>
      </c>
      <c r="M25" s="38"/>
      <c r="N25">
        <v>246779411485</v>
      </c>
      <c r="O25" t="s">
        <v>17</v>
      </c>
      <c r="P25" s="34">
        <v>100</v>
      </c>
      <c r="Q25" t="s">
        <v>19</v>
      </c>
      <c r="R25">
        <v>8669.1299999999992</v>
      </c>
      <c r="S25" t="s">
        <v>27</v>
      </c>
    </row>
    <row r="26" spans="1:19" hidden="1" x14ac:dyDescent="0.25">
      <c r="A26" s="22">
        <v>246779414225</v>
      </c>
      <c r="B26" s="23">
        <v>13.23</v>
      </c>
      <c r="C26" s="37">
        <v>6779</v>
      </c>
      <c r="D26" s="38">
        <v>100222345</v>
      </c>
      <c r="E26" t="s">
        <v>26</v>
      </c>
      <c r="F26" s="35">
        <v>45736</v>
      </c>
      <c r="G26" s="38">
        <v>1800004357</v>
      </c>
      <c r="H26" t="s">
        <v>18</v>
      </c>
      <c r="I26" s="35">
        <v>45736</v>
      </c>
      <c r="J26" s="35">
        <v>45737</v>
      </c>
      <c r="K26" t="s">
        <v>23</v>
      </c>
      <c r="L26" s="38">
        <v>212100</v>
      </c>
      <c r="M26" s="38"/>
      <c r="N26">
        <v>246779414225</v>
      </c>
      <c r="O26" t="s">
        <v>17</v>
      </c>
      <c r="P26" s="34">
        <v>13.5</v>
      </c>
      <c r="Q26" t="s">
        <v>19</v>
      </c>
      <c r="R26">
        <v>1170.33</v>
      </c>
      <c r="S26" t="s">
        <v>27</v>
      </c>
    </row>
    <row r="27" spans="1:19" hidden="1" x14ac:dyDescent="0.25">
      <c r="A27" s="22">
        <v>246779414607</v>
      </c>
      <c r="B27" s="23">
        <v>2.2000000000000002</v>
      </c>
      <c r="C27" s="37">
        <v>6779</v>
      </c>
      <c r="D27" s="38">
        <v>100222345</v>
      </c>
      <c r="E27" t="s">
        <v>26</v>
      </c>
      <c r="F27" s="35">
        <v>45736</v>
      </c>
      <c r="G27" s="38">
        <v>1800004739</v>
      </c>
      <c r="H27" t="s">
        <v>18</v>
      </c>
      <c r="I27" s="35">
        <v>45736</v>
      </c>
      <c r="J27" s="35">
        <v>45737</v>
      </c>
      <c r="K27" t="s">
        <v>23</v>
      </c>
      <c r="L27" s="38">
        <v>212100</v>
      </c>
      <c r="M27" s="38"/>
      <c r="N27">
        <v>246779414607</v>
      </c>
      <c r="O27" t="s">
        <v>17</v>
      </c>
      <c r="P27" s="34">
        <v>2.25</v>
      </c>
      <c r="Q27" t="s">
        <v>19</v>
      </c>
      <c r="R27">
        <v>195.06</v>
      </c>
      <c r="S27" t="s">
        <v>27</v>
      </c>
    </row>
    <row r="28" spans="1:19" hidden="1" x14ac:dyDescent="0.25">
      <c r="A28" s="22">
        <v>246779414738</v>
      </c>
      <c r="B28" s="23">
        <v>2.2000000000000002</v>
      </c>
      <c r="C28" s="37">
        <v>6779</v>
      </c>
      <c r="D28" s="38">
        <v>100222345</v>
      </c>
      <c r="E28" t="s">
        <v>26</v>
      </c>
      <c r="F28" s="35">
        <v>45736</v>
      </c>
      <c r="G28" s="38">
        <v>1800004870</v>
      </c>
      <c r="H28" t="s">
        <v>18</v>
      </c>
      <c r="I28" s="35">
        <v>45736</v>
      </c>
      <c r="J28" s="35">
        <v>45737</v>
      </c>
      <c r="K28" t="s">
        <v>23</v>
      </c>
      <c r="L28" s="38">
        <v>212100</v>
      </c>
      <c r="M28" s="38"/>
      <c r="N28">
        <v>246779414738</v>
      </c>
      <c r="O28" t="s">
        <v>17</v>
      </c>
      <c r="P28" s="34">
        <v>2.25</v>
      </c>
      <c r="Q28" t="s">
        <v>19</v>
      </c>
      <c r="R28">
        <v>195.06</v>
      </c>
      <c r="S28" t="s">
        <v>27</v>
      </c>
    </row>
    <row r="29" spans="1:19" hidden="1" x14ac:dyDescent="0.25">
      <c r="A29" s="22">
        <v>246779414685</v>
      </c>
      <c r="B29" s="23">
        <v>42.07</v>
      </c>
      <c r="C29" s="37">
        <v>6779</v>
      </c>
      <c r="D29" s="38">
        <v>100222345</v>
      </c>
      <c r="E29" t="s">
        <v>26</v>
      </c>
      <c r="F29" s="35">
        <v>45736</v>
      </c>
      <c r="G29" s="38">
        <v>1800004817</v>
      </c>
      <c r="H29" t="s">
        <v>18</v>
      </c>
      <c r="I29" s="35">
        <v>45736</v>
      </c>
      <c r="J29" s="35">
        <v>45737</v>
      </c>
      <c r="K29" t="s">
        <v>23</v>
      </c>
      <c r="L29" s="38">
        <v>212100</v>
      </c>
      <c r="M29" s="38"/>
      <c r="N29">
        <v>246779414685</v>
      </c>
      <c r="O29" t="s">
        <v>17</v>
      </c>
      <c r="P29" s="34">
        <v>42.93</v>
      </c>
      <c r="Q29" t="s">
        <v>19</v>
      </c>
      <c r="R29">
        <v>3721.66</v>
      </c>
      <c r="S29" t="s">
        <v>27</v>
      </c>
    </row>
    <row r="30" spans="1:19" hidden="1" x14ac:dyDescent="0.25">
      <c r="A30" s="22">
        <v>256779411890</v>
      </c>
      <c r="B30" s="23">
        <v>24.25</v>
      </c>
      <c r="C30" s="37">
        <v>6779</v>
      </c>
      <c r="D30" s="38">
        <v>100222345</v>
      </c>
      <c r="E30" t="s">
        <v>26</v>
      </c>
      <c r="F30" s="35">
        <v>45763</v>
      </c>
      <c r="G30" s="38">
        <v>1800006999</v>
      </c>
      <c r="H30" t="s">
        <v>18</v>
      </c>
      <c r="I30" s="35">
        <v>45763</v>
      </c>
      <c r="J30" s="35">
        <v>45764</v>
      </c>
      <c r="K30" t="s">
        <v>23</v>
      </c>
      <c r="L30" s="38">
        <v>212100</v>
      </c>
      <c r="M30" s="38"/>
      <c r="N30">
        <v>256779411890</v>
      </c>
      <c r="O30" t="s">
        <v>17</v>
      </c>
      <c r="P30" s="34">
        <v>24.75</v>
      </c>
      <c r="Q30" t="s">
        <v>19</v>
      </c>
      <c r="R30">
        <v>2151.3200000000002</v>
      </c>
      <c r="S30" t="s">
        <v>27</v>
      </c>
    </row>
    <row r="31" spans="1:19" hidden="1" x14ac:dyDescent="0.25">
      <c r="A31" s="22">
        <v>256779411891</v>
      </c>
      <c r="B31" s="23">
        <v>2.2000000000000002</v>
      </c>
      <c r="C31" s="37">
        <v>6779</v>
      </c>
      <c r="D31" s="38">
        <v>100222345</v>
      </c>
      <c r="E31" t="s">
        <v>26</v>
      </c>
      <c r="F31" s="35">
        <v>45763</v>
      </c>
      <c r="G31" s="38">
        <v>1800007000</v>
      </c>
      <c r="H31" t="s">
        <v>18</v>
      </c>
      <c r="I31" s="35">
        <v>45763</v>
      </c>
      <c r="J31" s="35">
        <v>45764</v>
      </c>
      <c r="K31" t="s">
        <v>23</v>
      </c>
      <c r="L31" s="38">
        <v>212100</v>
      </c>
      <c r="M31" s="38"/>
      <c r="N31">
        <v>256779411891</v>
      </c>
      <c r="O31" t="s">
        <v>17</v>
      </c>
      <c r="P31" s="34">
        <v>2.25</v>
      </c>
      <c r="Q31" t="s">
        <v>19</v>
      </c>
      <c r="R31">
        <v>195.57</v>
      </c>
      <c r="S31" t="s">
        <v>27</v>
      </c>
    </row>
    <row r="32" spans="1:19" hidden="1" x14ac:dyDescent="0.25">
      <c r="A32" s="22">
        <v>246779414739</v>
      </c>
      <c r="B32" s="23">
        <v>0.73</v>
      </c>
      <c r="C32" s="37">
        <v>6779</v>
      </c>
      <c r="D32" s="38">
        <v>100222345</v>
      </c>
      <c r="E32" t="s">
        <v>26</v>
      </c>
      <c r="F32" s="35">
        <v>45736</v>
      </c>
      <c r="G32" s="38">
        <v>1800004871</v>
      </c>
      <c r="H32" t="s">
        <v>18</v>
      </c>
      <c r="I32" s="35">
        <v>45736</v>
      </c>
      <c r="J32" s="35">
        <v>45737</v>
      </c>
      <c r="K32" t="s">
        <v>23</v>
      </c>
      <c r="L32" s="38">
        <v>212100</v>
      </c>
      <c r="M32" s="38"/>
      <c r="N32">
        <v>246779414739</v>
      </c>
      <c r="O32" t="s">
        <v>17</v>
      </c>
      <c r="P32" s="34">
        <v>0.75</v>
      </c>
      <c r="Q32" t="s">
        <v>19</v>
      </c>
      <c r="R32">
        <v>65.02</v>
      </c>
      <c r="S32" t="s">
        <v>27</v>
      </c>
    </row>
    <row r="33" spans="1:19" hidden="1" x14ac:dyDescent="0.25">
      <c r="A33" s="22">
        <v>246779413953</v>
      </c>
      <c r="B33" s="23">
        <v>2.94</v>
      </c>
      <c r="C33" s="37">
        <v>6779</v>
      </c>
      <c r="D33" s="38">
        <v>100222345</v>
      </c>
      <c r="E33" t="s">
        <v>26</v>
      </c>
      <c r="F33" s="35">
        <v>45736</v>
      </c>
      <c r="G33" s="38">
        <v>1800004097</v>
      </c>
      <c r="H33" t="s">
        <v>18</v>
      </c>
      <c r="I33" s="35">
        <v>45736</v>
      </c>
      <c r="J33" s="35">
        <v>45737</v>
      </c>
      <c r="K33" t="s">
        <v>23</v>
      </c>
      <c r="L33" s="38">
        <v>212100</v>
      </c>
      <c r="M33" s="38"/>
      <c r="N33">
        <v>246779413953</v>
      </c>
      <c r="O33" t="s">
        <v>17</v>
      </c>
      <c r="P33" s="34">
        <v>3</v>
      </c>
      <c r="Q33" t="s">
        <v>19</v>
      </c>
      <c r="R33">
        <v>260.07</v>
      </c>
      <c r="S33" t="s">
        <v>27</v>
      </c>
    </row>
    <row r="34" spans="1:19" hidden="1" x14ac:dyDescent="0.25">
      <c r="A34" s="22">
        <v>246779414794</v>
      </c>
      <c r="B34" s="23">
        <v>2.2000000000000002</v>
      </c>
      <c r="C34" s="37">
        <v>6779</v>
      </c>
      <c r="D34" s="38">
        <v>100222345</v>
      </c>
      <c r="E34" t="s">
        <v>26</v>
      </c>
      <c r="F34" s="35">
        <v>45736</v>
      </c>
      <c r="G34" s="38">
        <v>1800004926</v>
      </c>
      <c r="H34" t="s">
        <v>18</v>
      </c>
      <c r="I34" s="35">
        <v>45736</v>
      </c>
      <c r="J34" s="35">
        <v>45737</v>
      </c>
      <c r="K34" t="s">
        <v>23</v>
      </c>
      <c r="L34" s="38">
        <v>212100</v>
      </c>
      <c r="M34" s="38"/>
      <c r="N34">
        <v>246779414794</v>
      </c>
      <c r="O34" t="s">
        <v>17</v>
      </c>
      <c r="P34" s="34">
        <v>2.25</v>
      </c>
      <c r="Q34" t="s">
        <v>19</v>
      </c>
      <c r="R34">
        <v>195.06</v>
      </c>
      <c r="S34" t="s">
        <v>27</v>
      </c>
    </row>
    <row r="35" spans="1:19" hidden="1" x14ac:dyDescent="0.25">
      <c r="A35" s="22">
        <v>246779414795</v>
      </c>
      <c r="B35" s="23">
        <v>0.73</v>
      </c>
      <c r="C35" s="37">
        <v>6779</v>
      </c>
      <c r="D35" s="38">
        <v>100222345</v>
      </c>
      <c r="E35" t="s">
        <v>26</v>
      </c>
      <c r="F35" s="35">
        <v>45736</v>
      </c>
      <c r="G35" s="38">
        <v>1800004927</v>
      </c>
      <c r="H35" t="s">
        <v>18</v>
      </c>
      <c r="I35" s="35">
        <v>45736</v>
      </c>
      <c r="J35" s="35">
        <v>45737</v>
      </c>
      <c r="K35" t="s">
        <v>23</v>
      </c>
      <c r="L35" s="38">
        <v>212100</v>
      </c>
      <c r="M35" s="38"/>
      <c r="N35">
        <v>246779414795</v>
      </c>
      <c r="O35" t="s">
        <v>17</v>
      </c>
      <c r="P35" s="34">
        <v>0.75</v>
      </c>
      <c r="Q35" t="s">
        <v>19</v>
      </c>
      <c r="R35">
        <v>65.02</v>
      </c>
      <c r="S35" t="s">
        <v>27</v>
      </c>
    </row>
    <row r="36" spans="1:19" hidden="1" x14ac:dyDescent="0.25">
      <c r="A36" s="22">
        <v>256779410138</v>
      </c>
      <c r="B36" s="23">
        <v>1.47</v>
      </c>
      <c r="C36" s="37">
        <v>6779</v>
      </c>
      <c r="D36" s="38">
        <v>100222345</v>
      </c>
      <c r="E36" t="s">
        <v>26</v>
      </c>
      <c r="F36" s="35">
        <v>45750</v>
      </c>
      <c r="G36" s="38">
        <v>1800005192</v>
      </c>
      <c r="H36" t="s">
        <v>18</v>
      </c>
      <c r="I36" s="35">
        <v>45750</v>
      </c>
      <c r="J36" s="35">
        <v>45752</v>
      </c>
      <c r="K36" t="s">
        <v>23</v>
      </c>
      <c r="L36" s="38">
        <v>212100</v>
      </c>
      <c r="M36" s="38"/>
      <c r="N36">
        <v>256779410138</v>
      </c>
      <c r="O36" t="s">
        <v>17</v>
      </c>
      <c r="P36" s="34">
        <v>1.5</v>
      </c>
      <c r="Q36" t="s">
        <v>19</v>
      </c>
      <c r="R36">
        <v>130.38</v>
      </c>
      <c r="S36" t="s">
        <v>27</v>
      </c>
    </row>
    <row r="37" spans="1:19" hidden="1" x14ac:dyDescent="0.25">
      <c r="A37" s="22">
        <v>256779410137</v>
      </c>
      <c r="B37" s="23">
        <v>4.41</v>
      </c>
      <c r="C37" s="37">
        <v>6779</v>
      </c>
      <c r="D37" s="38">
        <v>100222345</v>
      </c>
      <c r="E37" t="s">
        <v>26</v>
      </c>
      <c r="F37" s="35">
        <v>45750</v>
      </c>
      <c r="G37" s="38">
        <v>1800005191</v>
      </c>
      <c r="H37" t="s">
        <v>18</v>
      </c>
      <c r="I37" s="35">
        <v>45750</v>
      </c>
      <c r="J37" s="35">
        <v>45752</v>
      </c>
      <c r="K37" t="s">
        <v>23</v>
      </c>
      <c r="L37" s="38">
        <v>212100</v>
      </c>
      <c r="M37" s="38"/>
      <c r="N37">
        <v>256779410137</v>
      </c>
      <c r="O37" t="s">
        <v>17</v>
      </c>
      <c r="P37" s="34">
        <v>4.5</v>
      </c>
      <c r="Q37" t="s">
        <v>19</v>
      </c>
      <c r="R37">
        <v>391.15</v>
      </c>
      <c r="S37" t="s">
        <v>27</v>
      </c>
    </row>
    <row r="38" spans="1:19" hidden="1" x14ac:dyDescent="0.25">
      <c r="A38" s="22">
        <v>256779411587</v>
      </c>
      <c r="B38" s="23">
        <v>2.2000000000000002</v>
      </c>
      <c r="C38" s="37">
        <v>6779</v>
      </c>
      <c r="D38" s="38">
        <v>100222345</v>
      </c>
      <c r="E38" t="s">
        <v>26</v>
      </c>
      <c r="F38" s="35">
        <v>45762</v>
      </c>
      <c r="G38" s="38">
        <v>1800006696</v>
      </c>
      <c r="H38" t="s">
        <v>18</v>
      </c>
      <c r="I38" s="35">
        <v>45762</v>
      </c>
      <c r="J38" s="35">
        <v>45763</v>
      </c>
      <c r="K38" t="s">
        <v>23</v>
      </c>
      <c r="L38" s="38">
        <v>212100</v>
      </c>
      <c r="M38" s="38"/>
      <c r="N38">
        <v>256779411587</v>
      </c>
      <c r="O38" t="s">
        <v>17</v>
      </c>
      <c r="P38" s="34">
        <v>2.25</v>
      </c>
      <c r="Q38" t="s">
        <v>19</v>
      </c>
      <c r="R38">
        <v>195.57</v>
      </c>
      <c r="S38" t="s">
        <v>27</v>
      </c>
    </row>
    <row r="39" spans="1:19" hidden="1" x14ac:dyDescent="0.25">
      <c r="A39" s="22">
        <v>256779411588</v>
      </c>
      <c r="B39" s="23">
        <v>2.2000000000000002</v>
      </c>
      <c r="C39" s="37">
        <v>6779</v>
      </c>
      <c r="D39" s="38">
        <v>100222345</v>
      </c>
      <c r="E39" t="s">
        <v>26</v>
      </c>
      <c r="F39" s="35">
        <v>45762</v>
      </c>
      <c r="G39" s="38">
        <v>1800006697</v>
      </c>
      <c r="H39" t="s">
        <v>18</v>
      </c>
      <c r="I39" s="35">
        <v>45762</v>
      </c>
      <c r="J39" s="35">
        <v>45763</v>
      </c>
      <c r="K39" t="s">
        <v>23</v>
      </c>
      <c r="L39" s="38">
        <v>212100</v>
      </c>
      <c r="M39" s="38"/>
      <c r="N39">
        <v>256779411588</v>
      </c>
      <c r="O39" t="s">
        <v>17</v>
      </c>
      <c r="P39" s="34">
        <v>2.25</v>
      </c>
      <c r="Q39" t="s">
        <v>19</v>
      </c>
      <c r="R39">
        <v>195.57</v>
      </c>
      <c r="S39" t="s">
        <v>27</v>
      </c>
    </row>
    <row r="40" spans="1:19" hidden="1" x14ac:dyDescent="0.25">
      <c r="A40" s="22">
        <v>256779411590</v>
      </c>
      <c r="B40" s="23">
        <v>2.2000000000000002</v>
      </c>
      <c r="C40" s="37">
        <v>6779</v>
      </c>
      <c r="D40" s="38">
        <v>100222345</v>
      </c>
      <c r="E40" t="s">
        <v>26</v>
      </c>
      <c r="F40" s="35">
        <v>45762</v>
      </c>
      <c r="G40" s="38">
        <v>1800006699</v>
      </c>
      <c r="H40" t="s">
        <v>18</v>
      </c>
      <c r="I40" s="35">
        <v>45762</v>
      </c>
      <c r="J40" s="35">
        <v>45763</v>
      </c>
      <c r="K40" t="s">
        <v>23</v>
      </c>
      <c r="L40" s="38">
        <v>212100</v>
      </c>
      <c r="M40" s="38"/>
      <c r="N40">
        <v>256779411590</v>
      </c>
      <c r="O40" t="s">
        <v>17</v>
      </c>
      <c r="P40" s="34">
        <v>2.25</v>
      </c>
      <c r="Q40" t="s">
        <v>19</v>
      </c>
      <c r="R40">
        <v>195.57</v>
      </c>
      <c r="S40" t="s">
        <v>27</v>
      </c>
    </row>
    <row r="41" spans="1:19" hidden="1" x14ac:dyDescent="0.25">
      <c r="A41" s="22">
        <v>256779411591</v>
      </c>
      <c r="B41" s="23">
        <v>2.94</v>
      </c>
      <c r="C41" s="37">
        <v>6779</v>
      </c>
      <c r="D41" s="38">
        <v>100222345</v>
      </c>
      <c r="E41" t="s">
        <v>26</v>
      </c>
      <c r="F41" s="35">
        <v>45762</v>
      </c>
      <c r="G41" s="38">
        <v>1800006700</v>
      </c>
      <c r="H41" t="s">
        <v>18</v>
      </c>
      <c r="I41" s="35">
        <v>45762</v>
      </c>
      <c r="J41" s="35">
        <v>45763</v>
      </c>
      <c r="K41" t="s">
        <v>23</v>
      </c>
      <c r="L41" s="38">
        <v>212100</v>
      </c>
      <c r="M41" s="38"/>
      <c r="N41">
        <v>256779411591</v>
      </c>
      <c r="O41" t="s">
        <v>17</v>
      </c>
      <c r="P41" s="34">
        <v>3</v>
      </c>
      <c r="Q41" t="s">
        <v>19</v>
      </c>
      <c r="R41">
        <v>260.77</v>
      </c>
      <c r="S41" t="s">
        <v>27</v>
      </c>
    </row>
    <row r="42" spans="1:19" hidden="1" x14ac:dyDescent="0.25">
      <c r="A42" s="22">
        <v>256779411592</v>
      </c>
      <c r="B42" s="23">
        <v>9.4</v>
      </c>
      <c r="C42" s="37">
        <v>6779</v>
      </c>
      <c r="D42" s="38">
        <v>100222345</v>
      </c>
      <c r="E42" t="s">
        <v>26</v>
      </c>
      <c r="F42" s="35">
        <v>45762</v>
      </c>
      <c r="G42" s="38">
        <v>1800006701</v>
      </c>
      <c r="H42" t="s">
        <v>18</v>
      </c>
      <c r="I42" s="35">
        <v>45762</v>
      </c>
      <c r="J42" s="35">
        <v>45763</v>
      </c>
      <c r="K42" t="s">
        <v>23</v>
      </c>
      <c r="L42" s="38">
        <v>212100</v>
      </c>
      <c r="M42" s="38"/>
      <c r="N42">
        <v>256779411592</v>
      </c>
      <c r="O42" t="s">
        <v>17</v>
      </c>
      <c r="P42" s="34">
        <v>9.59</v>
      </c>
      <c r="Q42" t="s">
        <v>19</v>
      </c>
      <c r="R42">
        <v>833.58</v>
      </c>
      <c r="S42" t="s">
        <v>27</v>
      </c>
    </row>
    <row r="43" spans="1:19" hidden="1" x14ac:dyDescent="0.25">
      <c r="A43" s="22">
        <v>256779411593</v>
      </c>
      <c r="B43" s="23">
        <v>2.94</v>
      </c>
      <c r="C43" s="37">
        <v>6779</v>
      </c>
      <c r="D43" s="38">
        <v>100222345</v>
      </c>
      <c r="E43" t="s">
        <v>26</v>
      </c>
      <c r="F43" s="35">
        <v>45762</v>
      </c>
      <c r="G43" s="38">
        <v>1800006702</v>
      </c>
      <c r="H43" t="s">
        <v>18</v>
      </c>
      <c r="I43" s="35">
        <v>45762</v>
      </c>
      <c r="J43" s="35">
        <v>45763</v>
      </c>
      <c r="K43" t="s">
        <v>23</v>
      </c>
      <c r="L43" s="38">
        <v>212100</v>
      </c>
      <c r="M43" s="38"/>
      <c r="N43">
        <v>256779411593</v>
      </c>
      <c r="O43" t="s">
        <v>17</v>
      </c>
      <c r="P43" s="34">
        <v>3</v>
      </c>
      <c r="Q43" t="s">
        <v>19</v>
      </c>
      <c r="R43">
        <v>260.77</v>
      </c>
      <c r="S43" t="s">
        <v>27</v>
      </c>
    </row>
    <row r="44" spans="1:19" hidden="1" x14ac:dyDescent="0.25">
      <c r="A44" s="22">
        <v>256779411594</v>
      </c>
      <c r="B44" s="23">
        <v>5.14</v>
      </c>
      <c r="C44" s="37">
        <v>6779</v>
      </c>
      <c r="D44" s="38">
        <v>100222345</v>
      </c>
      <c r="E44" t="s">
        <v>26</v>
      </c>
      <c r="F44" s="35">
        <v>45762</v>
      </c>
      <c r="G44" s="38">
        <v>1800006703</v>
      </c>
      <c r="H44" t="s">
        <v>18</v>
      </c>
      <c r="I44" s="35">
        <v>45762</v>
      </c>
      <c r="J44" s="35">
        <v>45763</v>
      </c>
      <c r="K44" t="s">
        <v>23</v>
      </c>
      <c r="L44" s="38">
        <v>212100</v>
      </c>
      <c r="M44" s="38"/>
      <c r="N44">
        <v>256779411594</v>
      </c>
      <c r="O44" t="s">
        <v>17</v>
      </c>
      <c r="P44" s="34">
        <v>5.25</v>
      </c>
      <c r="Q44" t="s">
        <v>19</v>
      </c>
      <c r="R44">
        <v>456.34</v>
      </c>
      <c r="S44" t="s">
        <v>27</v>
      </c>
    </row>
    <row r="45" spans="1:19" hidden="1" x14ac:dyDescent="0.25">
      <c r="A45" s="22">
        <v>256779411595</v>
      </c>
      <c r="B45" s="23">
        <v>61.1</v>
      </c>
      <c r="C45" s="37">
        <v>6779</v>
      </c>
      <c r="D45" s="38">
        <v>100222345</v>
      </c>
      <c r="E45" t="s">
        <v>26</v>
      </c>
      <c r="F45" s="35">
        <v>45762</v>
      </c>
      <c r="G45" s="38">
        <v>1800006704</v>
      </c>
      <c r="H45" t="s">
        <v>18</v>
      </c>
      <c r="I45" s="35">
        <v>45762</v>
      </c>
      <c r="J45" s="35">
        <v>45763</v>
      </c>
      <c r="K45" t="s">
        <v>23</v>
      </c>
      <c r="L45" s="38">
        <v>212100</v>
      </c>
      <c r="M45" s="38"/>
      <c r="N45">
        <v>256779411595</v>
      </c>
      <c r="O45" t="s">
        <v>17</v>
      </c>
      <c r="P45" s="34">
        <v>62.35</v>
      </c>
      <c r="Q45" t="s">
        <v>19</v>
      </c>
      <c r="R45">
        <v>5419.58</v>
      </c>
      <c r="S45" t="s">
        <v>27</v>
      </c>
    </row>
    <row r="46" spans="1:19" hidden="1" x14ac:dyDescent="0.25">
      <c r="A46" s="22">
        <v>256779411596</v>
      </c>
      <c r="B46" s="23">
        <v>13.600000000000001</v>
      </c>
      <c r="C46" s="37">
        <v>6779</v>
      </c>
      <c r="D46" s="38">
        <v>100222345</v>
      </c>
      <c r="E46" t="s">
        <v>26</v>
      </c>
      <c r="F46" s="35">
        <v>45762</v>
      </c>
      <c r="G46" s="38">
        <v>1800006705</v>
      </c>
      <c r="H46" t="s">
        <v>18</v>
      </c>
      <c r="I46" s="35">
        <v>45762</v>
      </c>
      <c r="J46" s="35">
        <v>45763</v>
      </c>
      <c r="K46" t="s">
        <v>23</v>
      </c>
      <c r="L46" s="38">
        <v>212100</v>
      </c>
      <c r="M46" s="38"/>
      <c r="N46">
        <v>256779411596</v>
      </c>
      <c r="O46" t="s">
        <v>17</v>
      </c>
      <c r="P46" s="34">
        <v>13.88</v>
      </c>
      <c r="Q46" t="s">
        <v>19</v>
      </c>
      <c r="R46">
        <v>1206.47</v>
      </c>
      <c r="S46" t="s">
        <v>27</v>
      </c>
    </row>
    <row r="47" spans="1:19" hidden="1" x14ac:dyDescent="0.25">
      <c r="A47" s="22">
        <v>256779411597</v>
      </c>
      <c r="B47" s="23">
        <v>19.55</v>
      </c>
      <c r="C47" s="37">
        <v>6779</v>
      </c>
      <c r="D47" s="38">
        <v>100222345</v>
      </c>
      <c r="E47" t="s">
        <v>26</v>
      </c>
      <c r="F47" s="35">
        <v>45762</v>
      </c>
      <c r="G47" s="38">
        <v>1800006706</v>
      </c>
      <c r="H47" t="s">
        <v>18</v>
      </c>
      <c r="I47" s="35">
        <v>45762</v>
      </c>
      <c r="J47" s="35">
        <v>45763</v>
      </c>
      <c r="K47" t="s">
        <v>23</v>
      </c>
      <c r="L47" s="38">
        <v>212100</v>
      </c>
      <c r="M47" s="38"/>
      <c r="N47">
        <v>256779411597</v>
      </c>
      <c r="O47" t="s">
        <v>17</v>
      </c>
      <c r="P47" s="34">
        <v>19.95</v>
      </c>
      <c r="Q47" t="s">
        <v>19</v>
      </c>
      <c r="R47">
        <v>1734.09</v>
      </c>
      <c r="S47" t="s">
        <v>27</v>
      </c>
    </row>
    <row r="48" spans="1:19" hidden="1" x14ac:dyDescent="0.25">
      <c r="A48" s="22">
        <v>256779411160</v>
      </c>
      <c r="B48" s="23">
        <v>18.009999999999998</v>
      </c>
      <c r="C48" s="37">
        <v>6779</v>
      </c>
      <c r="D48" s="38">
        <v>100222345</v>
      </c>
      <c r="E48" t="s">
        <v>26</v>
      </c>
      <c r="F48" s="35">
        <v>45762</v>
      </c>
      <c r="G48" s="38">
        <v>1800006269</v>
      </c>
      <c r="H48" t="s">
        <v>18</v>
      </c>
      <c r="I48" s="35">
        <v>45762</v>
      </c>
      <c r="J48" s="35">
        <v>45763</v>
      </c>
      <c r="K48" t="s">
        <v>23</v>
      </c>
      <c r="L48" s="38">
        <v>212100</v>
      </c>
      <c r="M48" s="38"/>
      <c r="N48">
        <v>256779411160</v>
      </c>
      <c r="O48" t="s">
        <v>17</v>
      </c>
      <c r="P48" s="34">
        <v>18.38</v>
      </c>
      <c r="Q48" t="s">
        <v>19</v>
      </c>
      <c r="R48">
        <v>1597.62</v>
      </c>
      <c r="S48" t="s">
        <v>27</v>
      </c>
    </row>
    <row r="49" spans="1:19" hidden="1" x14ac:dyDescent="0.25">
      <c r="A49" s="22">
        <v>256779411161</v>
      </c>
      <c r="B49" s="23">
        <v>45.82</v>
      </c>
      <c r="C49" s="37">
        <v>6779</v>
      </c>
      <c r="D49" s="38">
        <v>100222345</v>
      </c>
      <c r="E49" t="s">
        <v>26</v>
      </c>
      <c r="F49" s="35">
        <v>45762</v>
      </c>
      <c r="G49" s="38">
        <v>1800006270</v>
      </c>
      <c r="H49" t="s">
        <v>18</v>
      </c>
      <c r="I49" s="35">
        <v>45762</v>
      </c>
      <c r="J49" s="35">
        <v>45763</v>
      </c>
      <c r="K49" t="s">
        <v>23</v>
      </c>
      <c r="L49" s="38">
        <v>212100</v>
      </c>
      <c r="M49" s="38"/>
      <c r="N49">
        <v>256779411161</v>
      </c>
      <c r="O49" t="s">
        <v>17</v>
      </c>
      <c r="P49" s="34">
        <v>46.76</v>
      </c>
      <c r="Q49" t="s">
        <v>19</v>
      </c>
      <c r="R49">
        <v>4064.46</v>
      </c>
      <c r="S49" t="s">
        <v>27</v>
      </c>
    </row>
    <row r="50" spans="1:19" hidden="1" x14ac:dyDescent="0.25">
      <c r="A50" s="22">
        <v>256779411162</v>
      </c>
      <c r="B50" s="23">
        <v>34.54</v>
      </c>
      <c r="C50" s="37">
        <v>6779</v>
      </c>
      <c r="D50" s="38">
        <v>100222345</v>
      </c>
      <c r="E50" t="s">
        <v>26</v>
      </c>
      <c r="F50" s="35">
        <v>45762</v>
      </c>
      <c r="G50" s="38">
        <v>1800006271</v>
      </c>
      <c r="H50" t="s">
        <v>18</v>
      </c>
      <c r="I50" s="35">
        <v>45762</v>
      </c>
      <c r="J50" s="35">
        <v>45763</v>
      </c>
      <c r="K50" t="s">
        <v>23</v>
      </c>
      <c r="L50" s="38">
        <v>212100</v>
      </c>
      <c r="M50" s="38"/>
      <c r="N50">
        <v>256779411162</v>
      </c>
      <c r="O50" t="s">
        <v>17</v>
      </c>
      <c r="P50" s="34">
        <v>35.25</v>
      </c>
      <c r="Q50" t="s">
        <v>19</v>
      </c>
      <c r="R50">
        <v>3063.99</v>
      </c>
      <c r="S50" t="s">
        <v>27</v>
      </c>
    </row>
    <row r="51" spans="1:19" hidden="1" x14ac:dyDescent="0.25">
      <c r="A51" s="22">
        <v>256779411163</v>
      </c>
      <c r="B51" s="23">
        <v>23.52</v>
      </c>
      <c r="C51" s="37">
        <v>6779</v>
      </c>
      <c r="D51" s="38">
        <v>100222345</v>
      </c>
      <c r="E51" t="s">
        <v>26</v>
      </c>
      <c r="F51" s="35">
        <v>45762</v>
      </c>
      <c r="G51" s="38">
        <v>1800006272</v>
      </c>
      <c r="H51" t="s">
        <v>18</v>
      </c>
      <c r="I51" s="35">
        <v>45762</v>
      </c>
      <c r="J51" s="35">
        <v>45763</v>
      </c>
      <c r="K51" t="s">
        <v>23</v>
      </c>
      <c r="L51" s="38">
        <v>212100</v>
      </c>
      <c r="M51" s="38"/>
      <c r="N51">
        <v>256779411163</v>
      </c>
      <c r="O51" t="s">
        <v>17</v>
      </c>
      <c r="P51" s="34">
        <v>24</v>
      </c>
      <c r="Q51" t="s">
        <v>19</v>
      </c>
      <c r="R51">
        <v>2086.12</v>
      </c>
      <c r="S51" t="s">
        <v>27</v>
      </c>
    </row>
    <row r="52" spans="1:19" hidden="1" x14ac:dyDescent="0.25">
      <c r="A52" s="22">
        <v>256779411164</v>
      </c>
      <c r="B52" s="23">
        <v>32.340000000000003</v>
      </c>
      <c r="C52" s="37">
        <v>6779</v>
      </c>
      <c r="D52" s="38">
        <v>100222345</v>
      </c>
      <c r="E52" t="s">
        <v>26</v>
      </c>
      <c r="F52" s="35">
        <v>45762</v>
      </c>
      <c r="G52" s="38">
        <v>1800006273</v>
      </c>
      <c r="H52" t="s">
        <v>18</v>
      </c>
      <c r="I52" s="35">
        <v>45762</v>
      </c>
      <c r="J52" s="35">
        <v>45763</v>
      </c>
      <c r="K52" t="s">
        <v>23</v>
      </c>
      <c r="L52" s="38">
        <v>212100</v>
      </c>
      <c r="M52" s="38"/>
      <c r="N52">
        <v>256779411164</v>
      </c>
      <c r="O52" t="s">
        <v>17</v>
      </c>
      <c r="P52" s="34">
        <v>33</v>
      </c>
      <c r="Q52" t="s">
        <v>19</v>
      </c>
      <c r="R52">
        <v>2868.42</v>
      </c>
      <c r="S52" t="s">
        <v>27</v>
      </c>
    </row>
    <row r="53" spans="1:19" hidden="1" x14ac:dyDescent="0.25">
      <c r="A53" s="22">
        <v>256779411811</v>
      </c>
      <c r="B53" s="23">
        <v>3.18</v>
      </c>
      <c r="C53" s="37">
        <v>6779</v>
      </c>
      <c r="D53" s="38">
        <v>100222345</v>
      </c>
      <c r="E53" t="s">
        <v>26</v>
      </c>
      <c r="F53" s="35">
        <v>45763</v>
      </c>
      <c r="G53" s="38">
        <v>1800006920</v>
      </c>
      <c r="H53" t="s">
        <v>18</v>
      </c>
      <c r="I53" s="35">
        <v>45763</v>
      </c>
      <c r="J53" s="35">
        <v>45764</v>
      </c>
      <c r="K53" t="s">
        <v>23</v>
      </c>
      <c r="L53" s="38">
        <v>212100</v>
      </c>
      <c r="M53" s="38"/>
      <c r="N53">
        <v>256779411811</v>
      </c>
      <c r="O53" t="s">
        <v>17</v>
      </c>
      <c r="P53" s="34">
        <v>3.24</v>
      </c>
      <c r="Q53" t="s">
        <v>19</v>
      </c>
      <c r="R53">
        <v>281.63</v>
      </c>
      <c r="S53" t="s">
        <v>27</v>
      </c>
    </row>
    <row r="54" spans="1:19" hidden="1" x14ac:dyDescent="0.25">
      <c r="A54" s="22">
        <v>256779411812</v>
      </c>
      <c r="B54" s="23">
        <v>14.7</v>
      </c>
      <c r="C54" s="37">
        <v>6779</v>
      </c>
      <c r="D54" s="38">
        <v>100222345</v>
      </c>
      <c r="E54" t="s">
        <v>26</v>
      </c>
      <c r="F54" s="35">
        <v>45763</v>
      </c>
      <c r="G54" s="38">
        <v>1800006921</v>
      </c>
      <c r="H54" t="s">
        <v>18</v>
      </c>
      <c r="I54" s="35">
        <v>45763</v>
      </c>
      <c r="J54" s="35">
        <v>45764</v>
      </c>
      <c r="K54" t="s">
        <v>23</v>
      </c>
      <c r="L54" s="38">
        <v>212100</v>
      </c>
      <c r="M54" s="38"/>
      <c r="N54">
        <v>256779411812</v>
      </c>
      <c r="O54" t="s">
        <v>17</v>
      </c>
      <c r="P54" s="34">
        <v>15</v>
      </c>
      <c r="Q54" t="s">
        <v>19</v>
      </c>
      <c r="R54">
        <v>1303.83</v>
      </c>
      <c r="S54" t="s">
        <v>27</v>
      </c>
    </row>
    <row r="55" spans="1:19" hidden="1" x14ac:dyDescent="0.25">
      <c r="A55" s="22">
        <v>256779412103</v>
      </c>
      <c r="B55" s="23">
        <v>41.67</v>
      </c>
      <c r="C55" s="37">
        <v>6779</v>
      </c>
      <c r="D55" s="38">
        <v>100222345</v>
      </c>
      <c r="E55" t="s">
        <v>26</v>
      </c>
      <c r="F55" s="35">
        <v>45763</v>
      </c>
      <c r="G55" s="38">
        <v>1800007212</v>
      </c>
      <c r="H55" t="s">
        <v>18</v>
      </c>
      <c r="I55" s="35">
        <v>45763</v>
      </c>
      <c r="J55" s="35">
        <v>45764</v>
      </c>
      <c r="K55" t="s">
        <v>23</v>
      </c>
      <c r="L55" s="38">
        <v>212100</v>
      </c>
      <c r="M55" s="38"/>
      <c r="N55">
        <v>256779412103</v>
      </c>
      <c r="O55" t="s">
        <v>17</v>
      </c>
      <c r="P55" s="34">
        <v>42.53</v>
      </c>
      <c r="Q55" t="s">
        <v>19</v>
      </c>
      <c r="R55">
        <v>3696.79</v>
      </c>
      <c r="S55" t="s">
        <v>27</v>
      </c>
    </row>
    <row r="56" spans="1:19" hidden="1" x14ac:dyDescent="0.25">
      <c r="A56" s="22">
        <v>256779412153</v>
      </c>
      <c r="B56" s="23">
        <v>1048.83</v>
      </c>
      <c r="C56" s="37">
        <v>6779</v>
      </c>
      <c r="D56" s="38">
        <v>100222345</v>
      </c>
      <c r="E56" t="s">
        <v>26</v>
      </c>
      <c r="F56" s="35">
        <v>45768</v>
      </c>
      <c r="G56" s="38">
        <v>1800007262</v>
      </c>
      <c r="H56" t="s">
        <v>18</v>
      </c>
      <c r="I56" s="35">
        <v>45768</v>
      </c>
      <c r="J56" s="35">
        <v>45769</v>
      </c>
      <c r="K56" t="s">
        <v>23</v>
      </c>
      <c r="L56" s="38">
        <v>212100</v>
      </c>
      <c r="M56" s="38"/>
      <c r="N56">
        <v>256779412153</v>
      </c>
      <c r="O56" t="s">
        <v>17</v>
      </c>
      <c r="P56" s="34">
        <v>1165.3699999999999</v>
      </c>
      <c r="Q56" t="s">
        <v>19</v>
      </c>
      <c r="R56">
        <v>100000.4</v>
      </c>
      <c r="S56" t="s">
        <v>27</v>
      </c>
    </row>
    <row r="57" spans="1:19" hidden="1" x14ac:dyDescent="0.25">
      <c r="A57" s="22">
        <v>256779412617</v>
      </c>
      <c r="B57" s="23">
        <v>376.93</v>
      </c>
      <c r="C57" s="37">
        <v>6779</v>
      </c>
      <c r="D57" s="38">
        <v>100222345</v>
      </c>
      <c r="E57" t="s">
        <v>26</v>
      </c>
      <c r="F57" s="35">
        <v>45769</v>
      </c>
      <c r="G57" s="38">
        <v>1800007726</v>
      </c>
      <c r="H57" t="s">
        <v>18</v>
      </c>
      <c r="I57" s="35">
        <v>45769</v>
      </c>
      <c r="J57" s="35">
        <v>45770</v>
      </c>
      <c r="K57" t="s">
        <v>23</v>
      </c>
      <c r="L57" s="38">
        <v>212100</v>
      </c>
      <c r="M57" s="38"/>
      <c r="N57">
        <v>256779412617</v>
      </c>
      <c r="O57" t="s">
        <v>17</v>
      </c>
      <c r="P57" s="34">
        <v>384.63</v>
      </c>
      <c r="Q57" t="s">
        <v>19</v>
      </c>
      <c r="R57">
        <v>33432.74</v>
      </c>
      <c r="S57" t="s">
        <v>27</v>
      </c>
    </row>
    <row r="58" spans="1:19" hidden="1" x14ac:dyDescent="0.25">
      <c r="A58" s="22">
        <v>256779412932</v>
      </c>
      <c r="B58" s="23">
        <v>65.52</v>
      </c>
      <c r="C58" s="37">
        <v>6779</v>
      </c>
      <c r="D58" s="38">
        <v>100222345</v>
      </c>
      <c r="E58" t="s">
        <v>26</v>
      </c>
      <c r="F58" s="35">
        <v>45770</v>
      </c>
      <c r="G58" s="38">
        <v>1800008041</v>
      </c>
      <c r="H58" t="s">
        <v>18</v>
      </c>
      <c r="I58" s="35">
        <v>45770</v>
      </c>
      <c r="J58" s="35">
        <v>45776</v>
      </c>
      <c r="K58" t="s">
        <v>23</v>
      </c>
      <c r="L58" s="38">
        <v>212100</v>
      </c>
      <c r="M58" s="38"/>
      <c r="N58">
        <v>256779412932</v>
      </c>
      <c r="O58" t="s">
        <v>17</v>
      </c>
      <c r="P58" s="34">
        <v>66.86</v>
      </c>
      <c r="Q58" t="s">
        <v>19</v>
      </c>
      <c r="R58">
        <v>5811.59</v>
      </c>
      <c r="S58" t="s">
        <v>27</v>
      </c>
    </row>
    <row r="59" spans="1:19" hidden="1" x14ac:dyDescent="0.25">
      <c r="A59" s="24">
        <v>256779412660</v>
      </c>
      <c r="B59" s="25">
        <v>7.34</v>
      </c>
      <c r="C59" s="37">
        <v>6779</v>
      </c>
      <c r="D59" s="38">
        <v>100222345</v>
      </c>
      <c r="E59" t="s">
        <v>26</v>
      </c>
      <c r="F59" s="35">
        <v>45769</v>
      </c>
      <c r="G59" s="38">
        <v>1800007769</v>
      </c>
      <c r="H59" t="s">
        <v>18</v>
      </c>
      <c r="I59" s="35">
        <v>45769</v>
      </c>
      <c r="J59" s="35">
        <v>45770</v>
      </c>
      <c r="K59" t="s">
        <v>23</v>
      </c>
      <c r="L59" s="38">
        <v>212100</v>
      </c>
      <c r="M59" s="38"/>
      <c r="N59">
        <v>256779412660</v>
      </c>
      <c r="O59" t="s">
        <v>17</v>
      </c>
      <c r="P59" s="34">
        <v>7.5</v>
      </c>
      <c r="Q59" t="s">
        <v>19</v>
      </c>
      <c r="R59">
        <v>651.91</v>
      </c>
      <c r="S59" t="s">
        <v>27</v>
      </c>
    </row>
    <row r="60" spans="1:19" hidden="1" x14ac:dyDescent="0.25">
      <c r="A60" s="22">
        <v>256779413142</v>
      </c>
      <c r="B60" s="23">
        <v>1046.71</v>
      </c>
      <c r="C60" s="37">
        <v>6779</v>
      </c>
      <c r="D60" s="38">
        <v>100222345</v>
      </c>
      <c r="E60" t="s">
        <v>26</v>
      </c>
      <c r="F60" s="35">
        <v>45787</v>
      </c>
      <c r="G60" s="38">
        <v>1800008258</v>
      </c>
      <c r="H60" t="s">
        <v>18</v>
      </c>
      <c r="I60" s="35">
        <v>45787</v>
      </c>
      <c r="J60" s="35">
        <v>45791</v>
      </c>
      <c r="K60" t="s">
        <v>23</v>
      </c>
      <c r="L60" s="38">
        <v>212100</v>
      </c>
      <c r="M60" s="38"/>
      <c r="N60">
        <v>256779413142</v>
      </c>
      <c r="O60" t="s">
        <v>19</v>
      </c>
      <c r="P60" s="34">
        <f>_xlfn.XLOOKUP(A60,'[1]Ascendus Ledger'!$F:$F,'[1]Ascendus Ledger'!$K:$K,,0)</f>
        <v>1162.7906976744187</v>
      </c>
      <c r="Q60" t="s">
        <v>19</v>
      </c>
      <c r="R60">
        <v>100000</v>
      </c>
      <c r="S60" t="s">
        <v>27</v>
      </c>
    </row>
    <row r="61" spans="1:19" hidden="1" x14ac:dyDescent="0.25">
      <c r="A61" s="22">
        <v>256779413361</v>
      </c>
      <c r="B61" s="23">
        <v>2.94</v>
      </c>
      <c r="C61" s="37">
        <v>6779</v>
      </c>
      <c r="D61" s="38">
        <v>100222345</v>
      </c>
      <c r="E61" t="s">
        <v>26</v>
      </c>
      <c r="F61" s="35">
        <v>45793</v>
      </c>
      <c r="G61" s="38">
        <v>1800008597</v>
      </c>
      <c r="H61" t="s">
        <v>18</v>
      </c>
      <c r="I61" s="35">
        <v>45793</v>
      </c>
      <c r="J61" s="35">
        <v>45800</v>
      </c>
      <c r="K61" t="s">
        <v>23</v>
      </c>
      <c r="L61" s="38">
        <v>212100</v>
      </c>
      <c r="M61" s="38"/>
      <c r="N61">
        <v>256779413361</v>
      </c>
      <c r="O61" t="s">
        <v>17</v>
      </c>
      <c r="P61" s="34">
        <v>3</v>
      </c>
      <c r="Q61" t="s">
        <v>19</v>
      </c>
      <c r="R61">
        <v>257.95</v>
      </c>
      <c r="S61" t="s">
        <v>27</v>
      </c>
    </row>
    <row r="62" spans="1:19" hidden="1" x14ac:dyDescent="0.25">
      <c r="A62" s="26">
        <v>256779413490</v>
      </c>
      <c r="B62" s="23">
        <v>2.94</v>
      </c>
      <c r="C62" s="37">
        <v>6779</v>
      </c>
      <c r="D62" s="38">
        <v>100222345</v>
      </c>
      <c r="E62" t="s">
        <v>26</v>
      </c>
      <c r="F62" s="35">
        <v>45797</v>
      </c>
      <c r="G62" s="38">
        <v>1800008726</v>
      </c>
      <c r="H62" t="s">
        <v>18</v>
      </c>
      <c r="I62" s="35">
        <v>45797</v>
      </c>
      <c r="J62" s="35">
        <v>45805</v>
      </c>
      <c r="K62" t="s">
        <v>23</v>
      </c>
      <c r="L62" s="38">
        <v>212100</v>
      </c>
      <c r="M62" s="38"/>
      <c r="N62">
        <v>256779413490</v>
      </c>
      <c r="O62" t="s">
        <v>17</v>
      </c>
      <c r="P62" s="34">
        <v>3</v>
      </c>
      <c r="Q62" t="s">
        <v>19</v>
      </c>
      <c r="R62">
        <v>257.95</v>
      </c>
      <c r="S62" t="s">
        <v>27</v>
      </c>
    </row>
    <row r="63" spans="1:19" hidden="1" x14ac:dyDescent="0.25">
      <c r="A63" s="27" t="s">
        <v>24</v>
      </c>
      <c r="B63" s="14">
        <v>4602.99</v>
      </c>
      <c r="C63" s="37">
        <v>6779</v>
      </c>
      <c r="D63" t="e">
        <v>#N/A</v>
      </c>
    </row>
    <row r="64" spans="1:19" x14ac:dyDescent="0.25">
      <c r="A64" s="27"/>
      <c r="B64" s="14"/>
      <c r="C64" s="37"/>
    </row>
    <row r="65" spans="1:19" x14ac:dyDescent="0.25">
      <c r="A65" s="27">
        <v>256779414354</v>
      </c>
      <c r="B65" s="23">
        <v>1052.75</v>
      </c>
      <c r="C65" s="37">
        <v>6779</v>
      </c>
      <c r="D65" s="38">
        <v>100222345</v>
      </c>
      <c r="E65" t="s">
        <v>26</v>
      </c>
      <c r="F65" s="35">
        <v>45818</v>
      </c>
      <c r="G65" s="38">
        <v>1800009590</v>
      </c>
      <c r="H65" t="s">
        <v>18</v>
      </c>
      <c r="I65" s="35">
        <v>45818</v>
      </c>
      <c r="J65" s="35">
        <v>45825</v>
      </c>
      <c r="K65" t="s">
        <v>23</v>
      </c>
      <c r="L65" s="38">
        <v>212100</v>
      </c>
      <c r="N65">
        <v>256779414354</v>
      </c>
      <c r="O65" t="s">
        <v>19</v>
      </c>
      <c r="P65" s="34">
        <f>_xlfn.XLOOKUP(A65,'[1]Ascendus Ledger'!$F:$F,'[1]Ascendus Ledger'!$K:$K,,0)</f>
        <v>1169.5906432748538</v>
      </c>
      <c r="Q65" t="s">
        <v>19</v>
      </c>
      <c r="R65">
        <v>100000</v>
      </c>
      <c r="S65" t="s">
        <v>27</v>
      </c>
    </row>
    <row r="66" spans="1:19" x14ac:dyDescent="0.25">
      <c r="A66" s="27">
        <v>246779411057</v>
      </c>
      <c r="B66" s="23">
        <v>66.320000000000007</v>
      </c>
      <c r="C66" s="37">
        <v>6779</v>
      </c>
      <c r="D66" s="38">
        <v>100222345</v>
      </c>
      <c r="E66" t="s">
        <v>26</v>
      </c>
      <c r="F66" s="35">
        <v>45722</v>
      </c>
      <c r="G66" s="38">
        <v>1800001121</v>
      </c>
      <c r="H66" t="s">
        <v>18</v>
      </c>
      <c r="I66" s="35">
        <v>45722</v>
      </c>
      <c r="J66" s="35">
        <v>45723</v>
      </c>
      <c r="K66" t="s">
        <v>23</v>
      </c>
      <c r="L66" s="38">
        <v>212100</v>
      </c>
      <c r="N66">
        <v>246779411057</v>
      </c>
      <c r="O66" t="s">
        <v>17</v>
      </c>
      <c r="P66" s="34">
        <v>67.67</v>
      </c>
      <c r="Q66" t="s">
        <v>19</v>
      </c>
      <c r="R66">
        <v>5866.4</v>
      </c>
      <c r="S66" t="s">
        <v>27</v>
      </c>
    </row>
    <row r="67" spans="1:19" x14ac:dyDescent="0.25">
      <c r="A67" s="27">
        <v>256779414912</v>
      </c>
      <c r="B67" s="28">
        <v>1046.5</v>
      </c>
      <c r="C67" s="37">
        <v>6779</v>
      </c>
      <c r="D67" s="38">
        <v>100222345</v>
      </c>
      <c r="E67" t="s">
        <v>26</v>
      </c>
      <c r="F67" s="35">
        <v>45842</v>
      </c>
      <c r="G67" s="38">
        <v>1800010152</v>
      </c>
      <c r="H67" t="s">
        <v>18</v>
      </c>
      <c r="I67" s="35">
        <v>45842</v>
      </c>
      <c r="J67" s="35">
        <v>45847</v>
      </c>
      <c r="K67" t="s">
        <v>23</v>
      </c>
      <c r="L67" s="38">
        <v>212100</v>
      </c>
      <c r="N67">
        <v>256779414912</v>
      </c>
      <c r="O67" t="s">
        <v>19</v>
      </c>
      <c r="P67" s="34">
        <f>_xlfn.XLOOKUP(A67,'[1]Ascendus Ledger'!$F:$F,'[1]Ascendus Ledger'!$K:$K,,0)</f>
        <v>1162.7906976744187</v>
      </c>
      <c r="Q67" t="s">
        <v>19</v>
      </c>
      <c r="R67">
        <v>100000</v>
      </c>
      <c r="S67" t="s">
        <v>27</v>
      </c>
    </row>
    <row r="68" spans="1:19" x14ac:dyDescent="0.25">
      <c r="A68" s="29">
        <v>256779415190</v>
      </c>
      <c r="B68" s="28">
        <v>621.63000000000011</v>
      </c>
      <c r="C68" s="37">
        <v>6779</v>
      </c>
      <c r="D68" s="38">
        <v>100222345</v>
      </c>
      <c r="E68" t="s">
        <v>26</v>
      </c>
      <c r="F68" s="35">
        <v>45842</v>
      </c>
      <c r="G68" s="38">
        <v>1800010430</v>
      </c>
      <c r="H68" t="s">
        <v>18</v>
      </c>
      <c r="I68" s="35">
        <v>45842</v>
      </c>
      <c r="J68" s="35">
        <v>45847</v>
      </c>
      <c r="K68" t="s">
        <v>23</v>
      </c>
      <c r="L68" s="38">
        <v>212100</v>
      </c>
      <c r="N68">
        <v>256779415190</v>
      </c>
      <c r="O68" t="s">
        <v>17</v>
      </c>
      <c r="P68" s="34">
        <v>690.7</v>
      </c>
      <c r="Q68" t="s">
        <v>19</v>
      </c>
      <c r="R68">
        <v>59400.66</v>
      </c>
      <c r="S68" t="s">
        <v>27</v>
      </c>
    </row>
    <row r="69" spans="1:19" x14ac:dyDescent="0.25">
      <c r="A69" s="27">
        <v>256779414833</v>
      </c>
      <c r="B69" s="23">
        <v>2.94</v>
      </c>
      <c r="C69" s="37">
        <v>6779</v>
      </c>
      <c r="D69" s="38">
        <v>100222345</v>
      </c>
      <c r="E69" t="s">
        <v>26</v>
      </c>
      <c r="F69" s="35">
        <v>45842</v>
      </c>
      <c r="G69" s="38">
        <v>1800010069</v>
      </c>
      <c r="H69" t="s">
        <v>18</v>
      </c>
      <c r="I69" s="35">
        <v>45842</v>
      </c>
      <c r="J69" s="35">
        <v>45845</v>
      </c>
      <c r="K69" t="s">
        <v>23</v>
      </c>
      <c r="L69" s="38">
        <v>212100</v>
      </c>
      <c r="N69">
        <v>256779414833</v>
      </c>
      <c r="O69" t="s">
        <v>17</v>
      </c>
      <c r="P69" s="34">
        <v>3</v>
      </c>
      <c r="Q69" t="s">
        <v>19</v>
      </c>
      <c r="R69">
        <v>258</v>
      </c>
      <c r="S69" t="s">
        <v>27</v>
      </c>
    </row>
    <row r="70" spans="1:19" x14ac:dyDescent="0.25">
      <c r="A70" s="27">
        <v>256779415485</v>
      </c>
      <c r="B70" s="23">
        <v>16.899999999999999</v>
      </c>
      <c r="C70" s="37">
        <v>6779</v>
      </c>
      <c r="D70" s="38">
        <v>100222345</v>
      </c>
      <c r="E70" t="s">
        <v>26</v>
      </c>
      <c r="F70" s="35">
        <v>45856</v>
      </c>
      <c r="G70" s="38">
        <v>1800010701</v>
      </c>
      <c r="H70" t="s">
        <v>18</v>
      </c>
      <c r="I70" s="35">
        <v>45856</v>
      </c>
      <c r="J70" s="35">
        <v>45859</v>
      </c>
      <c r="K70" t="s">
        <v>23</v>
      </c>
      <c r="L70" s="38">
        <v>212100</v>
      </c>
      <c r="N70">
        <v>256779415485</v>
      </c>
      <c r="O70" t="s">
        <v>17</v>
      </c>
      <c r="P70" s="34">
        <v>17.25</v>
      </c>
      <c r="Q70" t="s">
        <v>19</v>
      </c>
      <c r="R70">
        <v>1483.51</v>
      </c>
      <c r="S70" t="s">
        <v>27</v>
      </c>
    </row>
    <row r="71" spans="1:19" x14ac:dyDescent="0.25">
      <c r="A71" s="27">
        <v>256779415533</v>
      </c>
      <c r="B71" s="23">
        <v>21.31</v>
      </c>
      <c r="C71" s="37">
        <v>6779</v>
      </c>
      <c r="D71" s="38">
        <v>100222345</v>
      </c>
      <c r="E71" t="s">
        <v>26</v>
      </c>
      <c r="F71" s="35">
        <v>45856</v>
      </c>
      <c r="G71" s="38">
        <v>1800010749</v>
      </c>
      <c r="H71" t="s">
        <v>18</v>
      </c>
      <c r="I71" s="35">
        <v>45856</v>
      </c>
      <c r="J71" s="35">
        <v>45859</v>
      </c>
      <c r="K71" t="s">
        <v>23</v>
      </c>
      <c r="L71" s="38">
        <v>212100</v>
      </c>
      <c r="N71">
        <v>256779415533</v>
      </c>
      <c r="O71" t="s">
        <v>17</v>
      </c>
      <c r="P71" s="34">
        <v>21.75</v>
      </c>
      <c r="Q71" t="s">
        <v>19</v>
      </c>
      <c r="R71">
        <v>1870.51</v>
      </c>
      <c r="S71" t="s">
        <v>27</v>
      </c>
    </row>
    <row r="72" spans="1:19" x14ac:dyDescent="0.25">
      <c r="A72" s="27">
        <v>256779415772</v>
      </c>
      <c r="B72" s="23">
        <v>58.24</v>
      </c>
      <c r="C72" s="37">
        <v>6779</v>
      </c>
      <c r="D72" s="38">
        <v>100222345</v>
      </c>
      <c r="E72" t="s">
        <v>26</v>
      </c>
      <c r="F72" s="35">
        <v>45857</v>
      </c>
      <c r="G72" s="38">
        <v>1800011012</v>
      </c>
      <c r="H72" t="s">
        <v>18</v>
      </c>
      <c r="I72" s="35">
        <v>45857</v>
      </c>
      <c r="J72" s="35">
        <v>45859</v>
      </c>
      <c r="K72" t="s">
        <v>23</v>
      </c>
      <c r="L72" s="38">
        <v>212100</v>
      </c>
      <c r="N72">
        <v>256779415772</v>
      </c>
      <c r="O72" t="s">
        <v>17</v>
      </c>
      <c r="P72" s="34">
        <v>59.43</v>
      </c>
      <c r="Q72" t="s">
        <v>19</v>
      </c>
      <c r="R72">
        <v>5111.0200000000004</v>
      </c>
      <c r="S72" t="s">
        <v>27</v>
      </c>
    </row>
    <row r="73" spans="1:19" x14ac:dyDescent="0.25">
      <c r="A73" s="27">
        <v>256779416024</v>
      </c>
      <c r="B73" s="23">
        <v>1046.1400000000001</v>
      </c>
      <c r="C73" s="37">
        <v>6779</v>
      </c>
      <c r="D73" s="38">
        <v>100222345</v>
      </c>
      <c r="E73" t="s">
        <v>26</v>
      </c>
      <c r="F73" s="35">
        <v>45870</v>
      </c>
      <c r="G73" s="38">
        <v>1800011358</v>
      </c>
      <c r="H73" t="s">
        <v>18</v>
      </c>
      <c r="I73" s="35">
        <v>45870</v>
      </c>
      <c r="J73" s="35">
        <v>45873</v>
      </c>
      <c r="K73" t="s">
        <v>23</v>
      </c>
      <c r="L73" s="38">
        <v>212100</v>
      </c>
      <c r="N73">
        <v>256779416024</v>
      </c>
      <c r="O73" t="s">
        <v>19</v>
      </c>
      <c r="P73" s="34">
        <f>_xlfn.XLOOKUP(A73,'[1]Ascendus Ledger'!$F:$F,'[1]Ascendus Ledger'!$K:$K,,0)</f>
        <v>1162.7906976744187</v>
      </c>
      <c r="Q73" t="s">
        <v>19</v>
      </c>
      <c r="R73">
        <v>100000</v>
      </c>
      <c r="S73" t="s">
        <v>27</v>
      </c>
    </row>
    <row r="74" spans="1:19" x14ac:dyDescent="0.25">
      <c r="A74" s="27">
        <v>256779416082</v>
      </c>
      <c r="B74" s="23">
        <v>683.69999999999993</v>
      </c>
      <c r="C74" s="37">
        <v>6779</v>
      </c>
      <c r="D74" s="38">
        <v>100222345</v>
      </c>
      <c r="E74" t="s">
        <v>26</v>
      </c>
      <c r="F74" s="35">
        <v>45877</v>
      </c>
      <c r="G74" s="38">
        <v>1800011652</v>
      </c>
      <c r="H74" t="s">
        <v>18</v>
      </c>
      <c r="I74" s="35">
        <v>45877</v>
      </c>
      <c r="J74" s="35">
        <v>45877</v>
      </c>
      <c r="K74" t="s">
        <v>23</v>
      </c>
      <c r="L74" s="38">
        <v>212100</v>
      </c>
      <c r="N74">
        <v>256779416082</v>
      </c>
      <c r="O74" t="s">
        <v>17</v>
      </c>
      <c r="P74" s="34">
        <v>759.67</v>
      </c>
      <c r="Q74" t="s">
        <v>19</v>
      </c>
      <c r="R74">
        <v>65354.5</v>
      </c>
      <c r="S74" t="s">
        <v>27</v>
      </c>
    </row>
    <row r="75" spans="1:19" x14ac:dyDescent="0.25">
      <c r="A75" s="27">
        <v>256779416446</v>
      </c>
      <c r="B75" s="23">
        <v>2.23</v>
      </c>
      <c r="C75" s="37">
        <v>6779</v>
      </c>
      <c r="D75" s="38">
        <v>100222345</v>
      </c>
      <c r="E75" t="s">
        <v>26</v>
      </c>
      <c r="F75" s="35">
        <v>45877</v>
      </c>
      <c r="G75" s="38">
        <v>1800011596</v>
      </c>
      <c r="H75" t="s">
        <v>18</v>
      </c>
      <c r="I75" s="35">
        <v>45877</v>
      </c>
      <c r="J75" s="35">
        <v>45877</v>
      </c>
      <c r="K75" t="s">
        <v>23</v>
      </c>
      <c r="L75" s="38">
        <v>212100</v>
      </c>
      <c r="N75">
        <v>256779416446</v>
      </c>
      <c r="O75" t="s">
        <v>17</v>
      </c>
      <c r="P75" s="34">
        <v>2.2799999999999998</v>
      </c>
      <c r="Q75" t="s">
        <v>19</v>
      </c>
      <c r="R75">
        <v>196.15</v>
      </c>
      <c r="S75" t="s">
        <v>27</v>
      </c>
    </row>
    <row r="76" spans="1:19" x14ac:dyDescent="0.25">
      <c r="A76" s="27">
        <v>256779416257</v>
      </c>
      <c r="B76" s="23">
        <v>22.42</v>
      </c>
      <c r="C76" s="37">
        <v>6779</v>
      </c>
      <c r="D76" s="38">
        <v>100222345</v>
      </c>
      <c r="E76" t="s">
        <v>26</v>
      </c>
      <c r="F76" s="35">
        <v>45877</v>
      </c>
      <c r="G76" s="38">
        <v>1800011407</v>
      </c>
      <c r="H76" t="s">
        <v>18</v>
      </c>
      <c r="I76" s="35">
        <v>45877</v>
      </c>
      <c r="J76" s="35">
        <v>45877</v>
      </c>
      <c r="K76" t="s">
        <v>23</v>
      </c>
      <c r="L76" s="38">
        <v>212100</v>
      </c>
      <c r="N76">
        <v>256779416257</v>
      </c>
      <c r="O76" t="s">
        <v>17</v>
      </c>
      <c r="P76" s="34">
        <v>22.87</v>
      </c>
      <c r="Q76" t="s">
        <v>19</v>
      </c>
      <c r="R76">
        <v>1967.51</v>
      </c>
      <c r="S76" t="s">
        <v>27</v>
      </c>
    </row>
    <row r="77" spans="1:19" x14ac:dyDescent="0.25">
      <c r="A77" s="27">
        <v>256779416228</v>
      </c>
      <c r="B77" s="23">
        <v>2.94</v>
      </c>
      <c r="C77" s="37">
        <v>6779</v>
      </c>
      <c r="D77" s="38">
        <v>100222345</v>
      </c>
      <c r="E77" t="s">
        <v>26</v>
      </c>
      <c r="F77" s="35">
        <v>45877</v>
      </c>
      <c r="G77" s="38">
        <v>1800011710</v>
      </c>
      <c r="H77" t="s">
        <v>18</v>
      </c>
      <c r="I77" s="35">
        <v>45877</v>
      </c>
      <c r="J77" s="35">
        <v>45877</v>
      </c>
      <c r="K77" t="s">
        <v>23</v>
      </c>
      <c r="L77" s="38">
        <v>212100</v>
      </c>
      <c r="N77">
        <v>256779416228</v>
      </c>
      <c r="O77" t="s">
        <v>17</v>
      </c>
      <c r="P77" s="34">
        <v>3</v>
      </c>
      <c r="Q77" t="s">
        <v>19</v>
      </c>
      <c r="R77">
        <v>258.08999999999997</v>
      </c>
      <c r="S77" t="s">
        <v>27</v>
      </c>
    </row>
    <row r="78" spans="1:19" x14ac:dyDescent="0.25">
      <c r="A78" s="27">
        <v>256779416246</v>
      </c>
      <c r="B78" s="23">
        <v>69.540000000000006</v>
      </c>
      <c r="C78" s="37">
        <v>6779</v>
      </c>
      <c r="D78" s="38">
        <v>100222345</v>
      </c>
      <c r="E78" t="s">
        <v>26</v>
      </c>
      <c r="F78" s="35">
        <v>45877</v>
      </c>
      <c r="G78" s="38">
        <v>1800011396</v>
      </c>
      <c r="H78" t="s">
        <v>18</v>
      </c>
      <c r="I78" s="35">
        <v>45877</v>
      </c>
      <c r="J78" s="35">
        <v>45877</v>
      </c>
      <c r="K78" t="s">
        <v>23</v>
      </c>
      <c r="L78" s="38">
        <v>212100</v>
      </c>
      <c r="N78">
        <v>256779416246</v>
      </c>
      <c r="O78" t="s">
        <v>17</v>
      </c>
      <c r="P78" s="34">
        <v>70.95</v>
      </c>
      <c r="Q78" t="s">
        <v>19</v>
      </c>
      <c r="R78">
        <v>6103.84</v>
      </c>
      <c r="S78" t="s">
        <v>27</v>
      </c>
    </row>
    <row r="79" spans="1:19" x14ac:dyDescent="0.25">
      <c r="A79" s="27">
        <v>256779416182</v>
      </c>
      <c r="B79" s="23">
        <v>17.64</v>
      </c>
      <c r="C79" s="37">
        <v>6779</v>
      </c>
      <c r="D79" s="38">
        <v>100222345</v>
      </c>
      <c r="E79" t="s">
        <v>26</v>
      </c>
      <c r="F79" s="35">
        <v>45877</v>
      </c>
      <c r="G79" s="38">
        <v>1800011791</v>
      </c>
      <c r="H79" t="s">
        <v>18</v>
      </c>
      <c r="I79" s="35">
        <v>45877</v>
      </c>
      <c r="J79" s="35">
        <v>45877</v>
      </c>
      <c r="K79" t="s">
        <v>23</v>
      </c>
      <c r="L79" s="38">
        <v>212100</v>
      </c>
      <c r="N79">
        <v>256779416182</v>
      </c>
      <c r="O79" t="s">
        <v>17</v>
      </c>
      <c r="P79" s="34">
        <v>18</v>
      </c>
      <c r="Q79" t="s">
        <v>19</v>
      </c>
      <c r="R79">
        <v>1548.54</v>
      </c>
      <c r="S79" t="s">
        <v>27</v>
      </c>
    </row>
    <row r="80" spans="1:19" x14ac:dyDescent="0.25">
      <c r="A80" s="27">
        <v>256779413272</v>
      </c>
      <c r="B80" s="23">
        <v>24.77</v>
      </c>
      <c r="C80" s="37">
        <v>6779</v>
      </c>
      <c r="D80" s="38">
        <v>100222345</v>
      </c>
      <c r="E80" t="s">
        <v>26</v>
      </c>
      <c r="F80" s="35">
        <v>45793</v>
      </c>
      <c r="G80" s="38">
        <v>1800008504</v>
      </c>
      <c r="H80" t="s">
        <v>18</v>
      </c>
      <c r="I80" s="35">
        <v>45793</v>
      </c>
      <c r="J80" s="35">
        <v>45800</v>
      </c>
      <c r="K80" t="s">
        <v>23</v>
      </c>
      <c r="L80" s="38">
        <v>212100</v>
      </c>
      <c r="N80">
        <v>256779413272</v>
      </c>
      <c r="O80" t="s">
        <v>17</v>
      </c>
      <c r="P80" s="34">
        <v>25.28</v>
      </c>
      <c r="Q80" t="s">
        <v>19</v>
      </c>
      <c r="R80">
        <v>2173.67</v>
      </c>
      <c r="S80" t="s">
        <v>27</v>
      </c>
    </row>
    <row r="81" spans="1:19" x14ac:dyDescent="0.25">
      <c r="A81" s="27">
        <v>256779416604</v>
      </c>
      <c r="B81" s="23">
        <v>16.959999999999997</v>
      </c>
      <c r="C81" s="37">
        <v>6779</v>
      </c>
      <c r="D81" s="38">
        <v>100222345</v>
      </c>
      <c r="E81" t="s">
        <v>26</v>
      </c>
      <c r="F81" s="35">
        <v>45889</v>
      </c>
      <c r="G81" s="38">
        <v>1800012069</v>
      </c>
      <c r="H81" t="s">
        <v>18</v>
      </c>
      <c r="I81" s="35">
        <v>45889</v>
      </c>
      <c r="J81" s="35">
        <v>45891</v>
      </c>
      <c r="K81" t="s">
        <v>23</v>
      </c>
      <c r="L81" s="38">
        <v>212100</v>
      </c>
      <c r="N81">
        <v>256779416604</v>
      </c>
      <c r="O81" t="s">
        <v>17</v>
      </c>
      <c r="P81" s="34">
        <v>17.309999999999999</v>
      </c>
      <c r="Q81" t="s">
        <v>19</v>
      </c>
      <c r="R81">
        <v>1489.18</v>
      </c>
      <c r="S81" t="s">
        <v>27</v>
      </c>
    </row>
    <row r="82" spans="1:19" x14ac:dyDescent="0.25">
      <c r="A82" s="27">
        <v>256779416847</v>
      </c>
      <c r="B82" s="23">
        <v>27.27</v>
      </c>
      <c r="C82" s="37">
        <v>6779</v>
      </c>
      <c r="D82" s="38">
        <v>100222345</v>
      </c>
      <c r="E82" t="s">
        <v>26</v>
      </c>
      <c r="F82" s="35">
        <v>45889</v>
      </c>
      <c r="G82" s="38">
        <v>1800012251</v>
      </c>
      <c r="H82" t="s">
        <v>18</v>
      </c>
      <c r="I82" s="35">
        <v>45889</v>
      </c>
      <c r="J82" s="35">
        <v>45891</v>
      </c>
      <c r="K82" t="s">
        <v>23</v>
      </c>
      <c r="L82" s="38">
        <v>212100</v>
      </c>
      <c r="N82">
        <v>256779416847</v>
      </c>
      <c r="O82" t="s">
        <v>17</v>
      </c>
      <c r="P82" s="34">
        <v>27.83</v>
      </c>
      <c r="Q82" t="s">
        <v>19</v>
      </c>
      <c r="R82">
        <v>2394.2199999999998</v>
      </c>
      <c r="S82" t="s">
        <v>27</v>
      </c>
    </row>
    <row r="83" spans="1:19" x14ac:dyDescent="0.25">
      <c r="A83" s="27">
        <v>256779416882</v>
      </c>
      <c r="B83" s="23">
        <v>12.57</v>
      </c>
      <c r="C83" s="37">
        <v>6779</v>
      </c>
      <c r="D83" s="38">
        <v>100222345</v>
      </c>
      <c r="E83" t="s">
        <v>26</v>
      </c>
      <c r="F83" s="35">
        <v>45889</v>
      </c>
      <c r="G83" s="38">
        <v>1800012220</v>
      </c>
      <c r="H83" t="s">
        <v>18</v>
      </c>
      <c r="I83" s="35">
        <v>45889</v>
      </c>
      <c r="J83" s="35">
        <v>45891</v>
      </c>
      <c r="K83" t="s">
        <v>23</v>
      </c>
      <c r="L83" s="38">
        <v>212100</v>
      </c>
      <c r="N83">
        <v>256779416882</v>
      </c>
      <c r="O83" t="s">
        <v>17</v>
      </c>
      <c r="P83" s="34">
        <v>12.83</v>
      </c>
      <c r="Q83" t="s">
        <v>19</v>
      </c>
      <c r="R83">
        <v>1103.77</v>
      </c>
      <c r="S83" t="s">
        <v>27</v>
      </c>
    </row>
    <row r="84" spans="1:19" x14ac:dyDescent="0.25">
      <c r="A84" s="27">
        <v>256779416616</v>
      </c>
      <c r="B84" s="23">
        <v>62.379999999999995</v>
      </c>
      <c r="C84" s="37">
        <v>6779</v>
      </c>
      <c r="D84" s="38">
        <v>100222345</v>
      </c>
      <c r="E84" t="s">
        <v>26</v>
      </c>
      <c r="F84" s="35">
        <v>45889</v>
      </c>
      <c r="G84" s="38">
        <v>1800012178</v>
      </c>
      <c r="H84" t="s">
        <v>18</v>
      </c>
      <c r="I84" s="35">
        <v>45889</v>
      </c>
      <c r="J84" s="35">
        <v>45891</v>
      </c>
      <c r="K84" t="s">
        <v>23</v>
      </c>
      <c r="L84" s="38">
        <v>212100</v>
      </c>
      <c r="N84">
        <v>256779416616</v>
      </c>
      <c r="O84" t="s">
        <v>17</v>
      </c>
      <c r="P84" s="34">
        <v>63.65</v>
      </c>
      <c r="Q84" t="s">
        <v>19</v>
      </c>
      <c r="R84">
        <v>5475.82</v>
      </c>
      <c r="S84" t="s">
        <v>27</v>
      </c>
    </row>
    <row r="85" spans="1:19" x14ac:dyDescent="0.25">
      <c r="A85" s="27" t="s">
        <v>24</v>
      </c>
      <c r="B85" s="14">
        <v>4875.1499999999996</v>
      </c>
      <c r="C85" s="37">
        <v>6779</v>
      </c>
      <c r="D85" t="e">
        <v>#N/A</v>
      </c>
      <c r="E85" s="14"/>
    </row>
    <row r="86" spans="1:19" x14ac:dyDescent="0.25">
      <c r="A86" s="30">
        <v>256779417344</v>
      </c>
      <c r="B86" s="23">
        <v>1028.4000000000001</v>
      </c>
      <c r="C86" s="37">
        <v>6779</v>
      </c>
      <c r="D86" s="38">
        <v>100222345</v>
      </c>
      <c r="E86" t="s">
        <v>26</v>
      </c>
      <c r="F86" s="35">
        <v>45904</v>
      </c>
      <c r="G86" s="38">
        <v>1800012710</v>
      </c>
      <c r="H86" t="s">
        <v>18</v>
      </c>
      <c r="I86" s="35">
        <v>45904</v>
      </c>
      <c r="J86" s="35">
        <v>45909</v>
      </c>
      <c r="K86" t="s">
        <v>23</v>
      </c>
      <c r="L86" s="38">
        <v>212100</v>
      </c>
      <c r="N86">
        <v>256779417344</v>
      </c>
      <c r="O86" t="s">
        <v>19</v>
      </c>
      <c r="P86" s="34">
        <f>_xlfn.XLOOKUP(A86,'[1]Ascendus Ledger'!$F:$F,'[1]Ascendus Ledger'!$K:$K,,0)</f>
        <v>1142.8571428571429</v>
      </c>
      <c r="Q86" t="s">
        <v>19</v>
      </c>
      <c r="R86">
        <v>100000</v>
      </c>
      <c r="S86" t="s">
        <v>27</v>
      </c>
    </row>
    <row r="87" spans="1:19" x14ac:dyDescent="0.25">
      <c r="A87" s="30">
        <v>256779417328</v>
      </c>
      <c r="B87" s="23">
        <v>2.2000000000000002</v>
      </c>
      <c r="C87" s="37">
        <v>6779</v>
      </c>
      <c r="D87" s="38">
        <v>100222345</v>
      </c>
      <c r="E87" t="s">
        <v>26</v>
      </c>
      <c r="F87" s="35">
        <v>45904</v>
      </c>
      <c r="G87" s="38">
        <v>1800012688</v>
      </c>
      <c r="H87" t="s">
        <v>18</v>
      </c>
      <c r="I87" s="35">
        <v>45904</v>
      </c>
      <c r="J87" s="35">
        <v>45909</v>
      </c>
      <c r="K87" t="s">
        <v>23</v>
      </c>
      <c r="L87" s="38">
        <v>212100</v>
      </c>
      <c r="N87">
        <v>256779417328</v>
      </c>
      <c r="O87" t="s">
        <v>17</v>
      </c>
      <c r="P87" s="34">
        <v>2.25</v>
      </c>
      <c r="Q87" t="s">
        <v>19</v>
      </c>
      <c r="R87">
        <v>196.91</v>
      </c>
      <c r="S87" t="s">
        <v>27</v>
      </c>
    </row>
    <row r="88" spans="1:19" x14ac:dyDescent="0.25">
      <c r="A88" s="30">
        <v>256779416912</v>
      </c>
      <c r="B88" s="25">
        <v>44.06</v>
      </c>
      <c r="C88" s="37">
        <v>6779</v>
      </c>
      <c r="D88" s="38">
        <v>100222345</v>
      </c>
      <c r="E88" t="s">
        <v>26</v>
      </c>
      <c r="F88" s="35">
        <v>45904</v>
      </c>
      <c r="G88" s="38">
        <v>1800012276</v>
      </c>
      <c r="H88" t="s">
        <v>18</v>
      </c>
      <c r="I88" s="35">
        <v>45904</v>
      </c>
      <c r="J88" s="35">
        <v>45908</v>
      </c>
      <c r="K88" t="s">
        <v>23</v>
      </c>
      <c r="L88" s="38">
        <v>212100</v>
      </c>
      <c r="N88">
        <v>256779416912</v>
      </c>
      <c r="O88" t="s">
        <v>17</v>
      </c>
      <c r="P88" s="34">
        <v>44.96</v>
      </c>
      <c r="Q88" t="s">
        <v>19</v>
      </c>
      <c r="R88">
        <v>3934.64</v>
      </c>
      <c r="S88" t="s">
        <v>27</v>
      </c>
    </row>
    <row r="89" spans="1:19" x14ac:dyDescent="0.25">
      <c r="A89" s="30">
        <v>256779417136</v>
      </c>
      <c r="B89" s="23">
        <v>1.68</v>
      </c>
      <c r="C89" s="37">
        <v>6779</v>
      </c>
      <c r="D89" s="38">
        <v>100222345</v>
      </c>
      <c r="E89" t="s">
        <v>26</v>
      </c>
      <c r="F89" s="35">
        <v>45904</v>
      </c>
      <c r="G89" s="38">
        <v>1800012532</v>
      </c>
      <c r="H89" t="s">
        <v>18</v>
      </c>
      <c r="I89" s="35">
        <v>45904</v>
      </c>
      <c r="J89" s="35">
        <v>45909</v>
      </c>
      <c r="K89" t="s">
        <v>23</v>
      </c>
      <c r="L89" s="38">
        <v>212100</v>
      </c>
      <c r="N89">
        <v>256779417136</v>
      </c>
      <c r="O89" t="s">
        <v>17</v>
      </c>
      <c r="P89" s="34">
        <v>1.71</v>
      </c>
      <c r="Q89" t="s">
        <v>19</v>
      </c>
      <c r="R89">
        <v>149.65</v>
      </c>
      <c r="S89" t="s">
        <v>27</v>
      </c>
    </row>
    <row r="90" spans="1:19" x14ac:dyDescent="0.25">
      <c r="A90" s="30">
        <v>256779416949</v>
      </c>
      <c r="B90" s="23">
        <v>29.55</v>
      </c>
      <c r="C90" s="37">
        <v>6779</v>
      </c>
      <c r="D90" s="38">
        <v>100222345</v>
      </c>
      <c r="E90" t="s">
        <v>26</v>
      </c>
      <c r="F90" s="35">
        <v>45904</v>
      </c>
      <c r="G90" s="38">
        <v>1800012287</v>
      </c>
      <c r="H90" t="s">
        <v>18</v>
      </c>
      <c r="I90" s="35">
        <v>45904</v>
      </c>
      <c r="J90" s="35">
        <v>45908</v>
      </c>
      <c r="K90" t="s">
        <v>23</v>
      </c>
      <c r="L90" s="38">
        <v>212100</v>
      </c>
      <c r="N90">
        <v>256779416949</v>
      </c>
      <c r="O90" t="s">
        <v>17</v>
      </c>
      <c r="P90" s="34">
        <v>30.16</v>
      </c>
      <c r="Q90" t="s">
        <v>19</v>
      </c>
      <c r="R90">
        <v>2639.43</v>
      </c>
      <c r="S90" t="s">
        <v>27</v>
      </c>
    </row>
    <row r="91" spans="1:19" x14ac:dyDescent="0.25">
      <c r="A91" s="30">
        <v>256779417528</v>
      </c>
      <c r="B91" s="23">
        <v>2.94</v>
      </c>
      <c r="C91" s="37">
        <v>6779</v>
      </c>
      <c r="D91" s="38">
        <v>100222345</v>
      </c>
      <c r="E91" t="s">
        <v>26</v>
      </c>
      <c r="F91" s="35">
        <v>45918</v>
      </c>
      <c r="G91" s="38">
        <v>1800012993</v>
      </c>
      <c r="H91" t="s">
        <v>18</v>
      </c>
      <c r="I91" s="35">
        <v>45918</v>
      </c>
      <c r="J91" s="35">
        <v>45922</v>
      </c>
      <c r="K91" t="s">
        <v>23</v>
      </c>
      <c r="L91" s="38">
        <v>212100</v>
      </c>
      <c r="N91">
        <v>256779417528</v>
      </c>
      <c r="O91" t="s">
        <v>17</v>
      </c>
      <c r="P91" s="34">
        <v>3</v>
      </c>
      <c r="Q91" t="s">
        <v>19</v>
      </c>
      <c r="R91">
        <v>262.54000000000002</v>
      </c>
      <c r="S91" t="s">
        <v>27</v>
      </c>
    </row>
    <row r="92" spans="1:19" x14ac:dyDescent="0.25">
      <c r="A92" s="30">
        <v>256779417871</v>
      </c>
      <c r="B92" s="23">
        <v>1020.5200000000001</v>
      </c>
      <c r="C92" s="37">
        <v>6779</v>
      </c>
      <c r="D92" s="38">
        <v>100222345</v>
      </c>
      <c r="E92" t="s">
        <v>26</v>
      </c>
      <c r="F92" s="35">
        <v>45935</v>
      </c>
      <c r="G92" s="38">
        <v>1800013251</v>
      </c>
      <c r="H92" t="s">
        <v>18</v>
      </c>
      <c r="I92" s="35">
        <v>45935</v>
      </c>
      <c r="J92" s="35">
        <v>45937</v>
      </c>
      <c r="K92" t="s">
        <v>23</v>
      </c>
      <c r="L92" s="38">
        <v>212100</v>
      </c>
      <c r="N92">
        <v>256779417871</v>
      </c>
      <c r="O92" t="s">
        <v>19</v>
      </c>
      <c r="P92" s="34">
        <f>_xlfn.XLOOKUP(A92,'[1]Ascendus Ledger'!$F:$F,'[1]Ascendus Ledger'!$K:$K,,0)</f>
        <v>1133.9111111111113</v>
      </c>
      <c r="Q92" t="s">
        <v>19</v>
      </c>
      <c r="R92">
        <v>100000</v>
      </c>
      <c r="S92" t="s">
        <v>27</v>
      </c>
    </row>
    <row r="93" spans="1:19" x14ac:dyDescent="0.25">
      <c r="A93" s="30">
        <v>256779417860</v>
      </c>
      <c r="B93" s="23">
        <v>49</v>
      </c>
      <c r="C93" s="37">
        <v>6779</v>
      </c>
      <c r="D93" s="38">
        <v>100222345</v>
      </c>
      <c r="E93" t="s">
        <v>26</v>
      </c>
      <c r="F93" s="35">
        <v>45935</v>
      </c>
      <c r="G93" s="38">
        <v>1800013244</v>
      </c>
      <c r="H93" t="s">
        <v>18</v>
      </c>
      <c r="I93" s="35">
        <v>45935</v>
      </c>
      <c r="J93" s="35">
        <v>45937</v>
      </c>
      <c r="K93" t="s">
        <v>23</v>
      </c>
      <c r="L93" s="38">
        <v>212100</v>
      </c>
      <c r="N93">
        <v>256779417860</v>
      </c>
      <c r="O93" t="s">
        <v>17</v>
      </c>
      <c r="P93" s="34">
        <v>50</v>
      </c>
      <c r="Q93" t="s">
        <v>19</v>
      </c>
      <c r="R93">
        <v>4409.54</v>
      </c>
      <c r="S93" t="s">
        <v>27</v>
      </c>
    </row>
    <row r="94" spans="1:19" x14ac:dyDescent="0.25">
      <c r="A94" s="30">
        <v>256779418704</v>
      </c>
      <c r="B94" s="23">
        <v>2.2000000000000002</v>
      </c>
      <c r="C94" s="37">
        <v>6779</v>
      </c>
      <c r="D94" s="38">
        <v>100222345</v>
      </c>
      <c r="E94" t="s">
        <v>26</v>
      </c>
      <c r="F94" s="35">
        <v>45950</v>
      </c>
      <c r="G94" s="38">
        <v>1800013927</v>
      </c>
      <c r="H94" t="s">
        <v>18</v>
      </c>
      <c r="I94" s="35">
        <v>45950</v>
      </c>
      <c r="J94" s="35">
        <v>45951</v>
      </c>
      <c r="K94" t="s">
        <v>23</v>
      </c>
      <c r="L94" s="38">
        <v>212100</v>
      </c>
      <c r="N94">
        <v>256779418704</v>
      </c>
      <c r="O94" t="s">
        <v>17</v>
      </c>
      <c r="P94" s="34">
        <v>2.25</v>
      </c>
      <c r="Q94" t="s">
        <v>19</v>
      </c>
      <c r="R94">
        <v>198.43</v>
      </c>
      <c r="S94" t="s">
        <v>27</v>
      </c>
    </row>
    <row r="95" spans="1:19" x14ac:dyDescent="0.25">
      <c r="A95" s="30">
        <v>256779418478</v>
      </c>
      <c r="B95" s="31">
        <v>27.09</v>
      </c>
      <c r="C95" s="37">
        <v>6779</v>
      </c>
      <c r="D95" s="38">
        <v>100222345</v>
      </c>
      <c r="E95" t="s">
        <v>26</v>
      </c>
      <c r="F95" s="35">
        <v>45951</v>
      </c>
      <c r="G95" s="38">
        <v>1800013946</v>
      </c>
      <c r="H95" t="s">
        <v>18</v>
      </c>
      <c r="I95" s="35">
        <v>45951</v>
      </c>
      <c r="J95" s="35">
        <v>45951</v>
      </c>
      <c r="K95" t="s">
        <v>23</v>
      </c>
      <c r="L95" s="38">
        <v>212100</v>
      </c>
      <c r="N95">
        <v>256779418478</v>
      </c>
      <c r="O95" t="s">
        <v>17</v>
      </c>
      <c r="P95" s="34">
        <v>27.64</v>
      </c>
      <c r="Q95" t="s">
        <v>19</v>
      </c>
      <c r="R95">
        <v>2437.59</v>
      </c>
      <c r="S95" t="s">
        <v>27</v>
      </c>
    </row>
    <row r="96" spans="1:19" x14ac:dyDescent="0.25">
      <c r="A96" s="30">
        <v>256779418354</v>
      </c>
      <c r="B96" s="31">
        <v>106.77</v>
      </c>
      <c r="C96" s="37">
        <v>6779</v>
      </c>
      <c r="D96" s="38">
        <v>100222345</v>
      </c>
      <c r="E96" t="s">
        <v>26</v>
      </c>
      <c r="F96" s="35">
        <v>45937</v>
      </c>
      <c r="G96" s="38">
        <v>1800013530</v>
      </c>
      <c r="H96" t="s">
        <v>18</v>
      </c>
      <c r="I96" s="35">
        <v>45937</v>
      </c>
      <c r="J96" s="35">
        <v>45940</v>
      </c>
      <c r="K96" t="s">
        <v>23</v>
      </c>
      <c r="L96" s="38">
        <v>212100</v>
      </c>
      <c r="N96">
        <v>256779418354</v>
      </c>
      <c r="O96" t="s">
        <v>17</v>
      </c>
      <c r="P96" s="34">
        <v>108.95</v>
      </c>
      <c r="Q96" t="s">
        <v>19</v>
      </c>
      <c r="R96">
        <v>9608.3799999999992</v>
      </c>
      <c r="S96" t="s">
        <v>27</v>
      </c>
    </row>
    <row r="97" spans="1:19" x14ac:dyDescent="0.25">
      <c r="A97" s="30">
        <v>256779418342</v>
      </c>
      <c r="B97" s="23">
        <v>449.77</v>
      </c>
      <c r="C97" s="37">
        <v>6779</v>
      </c>
      <c r="D97" s="38">
        <v>100222345</v>
      </c>
      <c r="E97" t="s">
        <v>26</v>
      </c>
      <c r="F97" s="35">
        <v>45937</v>
      </c>
      <c r="G97" s="38">
        <v>1800013774</v>
      </c>
      <c r="H97" t="s">
        <v>18</v>
      </c>
      <c r="I97" s="35">
        <v>45937</v>
      </c>
      <c r="J97" s="35">
        <v>45940</v>
      </c>
      <c r="K97" t="s">
        <v>23</v>
      </c>
      <c r="L97" s="38">
        <v>212100</v>
      </c>
      <c r="N97">
        <v>256779418342</v>
      </c>
      <c r="O97" t="s">
        <v>17</v>
      </c>
      <c r="P97" s="34">
        <v>458.95</v>
      </c>
      <c r="Q97" t="s">
        <v>19</v>
      </c>
      <c r="R97">
        <v>40475.15</v>
      </c>
      <c r="S97" t="s">
        <v>27</v>
      </c>
    </row>
    <row r="98" spans="1:19" x14ac:dyDescent="0.25">
      <c r="A98" s="30">
        <v>256779418410</v>
      </c>
      <c r="B98" s="23">
        <v>432.01</v>
      </c>
      <c r="C98" s="37">
        <v>6779</v>
      </c>
      <c r="D98" s="38">
        <v>100222345</v>
      </c>
      <c r="E98" t="s">
        <v>26</v>
      </c>
      <c r="F98" s="35">
        <v>45944</v>
      </c>
      <c r="G98" s="38">
        <v>1800013794</v>
      </c>
      <c r="H98" t="s">
        <v>18</v>
      </c>
      <c r="I98" s="35">
        <v>45944</v>
      </c>
      <c r="J98" s="35">
        <v>45945</v>
      </c>
      <c r="K98" t="s">
        <v>23</v>
      </c>
      <c r="L98" s="38">
        <v>212100</v>
      </c>
      <c r="N98">
        <v>256779418410</v>
      </c>
      <c r="O98" t="s">
        <v>17</v>
      </c>
      <c r="P98" s="34">
        <v>480.02</v>
      </c>
      <c r="Q98" t="s">
        <v>19</v>
      </c>
      <c r="R98">
        <v>42333.33</v>
      </c>
      <c r="S98" t="s">
        <v>27</v>
      </c>
    </row>
    <row r="99" spans="1:19" x14ac:dyDescent="0.25">
      <c r="A99" s="30">
        <v>256779418773</v>
      </c>
      <c r="B99" s="23">
        <v>1022.6899999999999</v>
      </c>
      <c r="C99" s="37">
        <v>6779</v>
      </c>
      <c r="D99" s="38">
        <v>100222345</v>
      </c>
      <c r="E99" t="s">
        <v>26</v>
      </c>
      <c r="F99" s="35">
        <v>45966</v>
      </c>
      <c r="G99" s="38">
        <v>1800014233</v>
      </c>
      <c r="H99" t="s">
        <v>18</v>
      </c>
      <c r="I99" s="35">
        <v>45966</v>
      </c>
      <c r="J99" s="35">
        <v>45966</v>
      </c>
      <c r="K99" t="s">
        <v>23</v>
      </c>
      <c r="L99" s="38">
        <v>212100</v>
      </c>
      <c r="N99">
        <v>256779418773</v>
      </c>
      <c r="O99" t="s">
        <v>19</v>
      </c>
      <c r="P99" s="34">
        <f>_xlfn.XLOOKUP(A99,'[1]Ascendus Ledger'!$F:$F,'[1]Ascendus Ledger'!$K:$K,,0)</f>
        <v>1136.3636363636363</v>
      </c>
      <c r="Q99" t="s">
        <v>19</v>
      </c>
      <c r="R99">
        <v>100000</v>
      </c>
      <c r="S99" t="s">
        <v>27</v>
      </c>
    </row>
    <row r="100" spans="1:19" x14ac:dyDescent="0.25">
      <c r="A100" s="30">
        <v>256779418821</v>
      </c>
      <c r="B100" s="23">
        <v>48.6</v>
      </c>
      <c r="C100" s="37">
        <v>6779</v>
      </c>
      <c r="D100" s="38">
        <v>100222345</v>
      </c>
      <c r="E100" t="s">
        <v>26</v>
      </c>
      <c r="F100" s="35">
        <v>45966</v>
      </c>
      <c r="G100" s="38">
        <v>1800014284</v>
      </c>
      <c r="H100" t="s">
        <v>18</v>
      </c>
      <c r="I100" s="35">
        <v>45966</v>
      </c>
      <c r="J100" s="35">
        <v>45967</v>
      </c>
      <c r="K100" t="s">
        <v>23</v>
      </c>
      <c r="L100" s="38">
        <v>212100</v>
      </c>
      <c r="N100">
        <v>256779418821</v>
      </c>
      <c r="O100" t="s">
        <v>17</v>
      </c>
      <c r="P100" s="34">
        <v>49.59</v>
      </c>
      <c r="Q100" t="s">
        <v>19</v>
      </c>
      <c r="R100">
        <v>4364.09</v>
      </c>
      <c r="S100" t="s">
        <v>27</v>
      </c>
    </row>
    <row r="101" spans="1:19" x14ac:dyDescent="0.25">
      <c r="A101" s="30">
        <v>256779418945</v>
      </c>
      <c r="B101" s="23">
        <v>287.18</v>
      </c>
      <c r="C101" s="37">
        <v>6779</v>
      </c>
      <c r="D101" s="38">
        <v>100222345</v>
      </c>
      <c r="E101" t="s">
        <v>26</v>
      </c>
      <c r="F101" s="35">
        <v>45966</v>
      </c>
      <c r="G101" s="38">
        <v>1800014270</v>
      </c>
      <c r="H101" t="s">
        <v>18</v>
      </c>
      <c r="I101" s="35">
        <v>45966</v>
      </c>
      <c r="J101" s="35">
        <v>45967</v>
      </c>
      <c r="K101" t="s">
        <v>23</v>
      </c>
      <c r="L101" s="38">
        <v>212100</v>
      </c>
      <c r="N101">
        <v>256779418945</v>
      </c>
      <c r="O101" t="s">
        <v>17</v>
      </c>
      <c r="P101" s="34">
        <v>293.04000000000002</v>
      </c>
      <c r="Q101" t="s">
        <v>19</v>
      </c>
      <c r="R101">
        <v>25788.51</v>
      </c>
      <c r="S101" t="s">
        <v>27</v>
      </c>
    </row>
    <row r="102" spans="1:19" x14ac:dyDescent="0.25">
      <c r="A102" s="30">
        <v>256779418946</v>
      </c>
      <c r="B102" s="23">
        <v>287.18</v>
      </c>
      <c r="C102" s="37">
        <v>6779</v>
      </c>
      <c r="D102" s="38">
        <v>100222345</v>
      </c>
      <c r="E102" t="s">
        <v>26</v>
      </c>
      <c r="F102" s="35">
        <v>45966</v>
      </c>
      <c r="G102" s="38">
        <v>1800014271</v>
      </c>
      <c r="H102" t="s">
        <v>18</v>
      </c>
      <c r="I102" s="35">
        <v>45966</v>
      </c>
      <c r="J102" s="35">
        <v>45967</v>
      </c>
      <c r="K102" t="s">
        <v>23</v>
      </c>
      <c r="L102" s="38">
        <v>212100</v>
      </c>
      <c r="N102">
        <v>256779418946</v>
      </c>
      <c r="O102" t="s">
        <v>17</v>
      </c>
      <c r="P102" s="34">
        <v>293.04000000000002</v>
      </c>
      <c r="Q102" t="s">
        <v>19</v>
      </c>
      <c r="R102">
        <v>25788.51</v>
      </c>
      <c r="S102" t="s">
        <v>27</v>
      </c>
    </row>
    <row r="103" spans="1:19" x14ac:dyDescent="0.25">
      <c r="A103" s="30">
        <v>256779418947</v>
      </c>
      <c r="B103" s="23">
        <v>287.18</v>
      </c>
      <c r="C103" s="37">
        <v>6779</v>
      </c>
      <c r="D103" s="38">
        <v>100222345</v>
      </c>
      <c r="E103" t="s">
        <v>26</v>
      </c>
      <c r="F103" s="35">
        <v>45966</v>
      </c>
      <c r="G103" s="38">
        <v>1800014272</v>
      </c>
      <c r="H103" t="s">
        <v>18</v>
      </c>
      <c r="I103" s="35">
        <v>45966</v>
      </c>
      <c r="J103" s="35">
        <v>45967</v>
      </c>
      <c r="K103" t="s">
        <v>23</v>
      </c>
      <c r="L103" s="38">
        <v>212100</v>
      </c>
      <c r="N103">
        <v>256779418947</v>
      </c>
      <c r="O103" t="s">
        <v>17</v>
      </c>
      <c r="P103" s="34">
        <v>293.04000000000002</v>
      </c>
      <c r="Q103" t="s">
        <v>19</v>
      </c>
      <c r="R103">
        <v>25788.51</v>
      </c>
      <c r="S103" t="s">
        <v>27</v>
      </c>
    </row>
    <row r="104" spans="1:19" x14ac:dyDescent="0.25">
      <c r="A104" s="30">
        <v>256779419134</v>
      </c>
      <c r="B104" s="23">
        <v>21.31</v>
      </c>
      <c r="C104" s="37">
        <v>6779</v>
      </c>
      <c r="D104" s="38">
        <v>100222345</v>
      </c>
      <c r="E104" t="s">
        <v>26</v>
      </c>
      <c r="F104" s="35">
        <v>45964</v>
      </c>
      <c r="G104" s="38">
        <v>1800014412</v>
      </c>
      <c r="H104" t="s">
        <v>18</v>
      </c>
      <c r="I104" s="35">
        <v>45964</v>
      </c>
      <c r="J104" s="35">
        <v>45967</v>
      </c>
      <c r="K104" t="s">
        <v>23</v>
      </c>
      <c r="L104" s="38">
        <v>212100</v>
      </c>
      <c r="N104">
        <v>256779419134</v>
      </c>
      <c r="O104" t="s">
        <v>17</v>
      </c>
      <c r="P104" s="34">
        <v>21.75</v>
      </c>
      <c r="Q104" t="s">
        <v>19</v>
      </c>
      <c r="R104">
        <v>1914.07</v>
      </c>
      <c r="S104" t="s">
        <v>27</v>
      </c>
    </row>
    <row r="105" spans="1:19" x14ac:dyDescent="0.25">
      <c r="A105" s="30">
        <v>256779419178</v>
      </c>
      <c r="B105" s="23">
        <v>2.2000000000000002</v>
      </c>
      <c r="C105" s="37">
        <v>6779</v>
      </c>
      <c r="D105" s="38">
        <v>100222345</v>
      </c>
      <c r="E105" t="s">
        <v>26</v>
      </c>
      <c r="F105" s="35">
        <v>45966</v>
      </c>
      <c r="G105" s="38">
        <v>1800014529</v>
      </c>
      <c r="H105" t="s">
        <v>18</v>
      </c>
      <c r="I105" s="35">
        <v>45966</v>
      </c>
      <c r="J105" s="35">
        <v>45967</v>
      </c>
      <c r="K105" t="s">
        <v>23</v>
      </c>
      <c r="L105" s="38">
        <v>212100</v>
      </c>
      <c r="N105">
        <v>256779419178</v>
      </c>
      <c r="O105" t="s">
        <v>17</v>
      </c>
      <c r="P105" s="34">
        <v>2.25</v>
      </c>
      <c r="Q105" t="s">
        <v>19</v>
      </c>
      <c r="R105">
        <v>198.01</v>
      </c>
      <c r="S105" t="s">
        <v>27</v>
      </c>
    </row>
    <row r="106" spans="1:19" x14ac:dyDescent="0.25">
      <c r="A106" s="30">
        <v>256779418870</v>
      </c>
      <c r="B106" s="23">
        <v>444.51000000000005</v>
      </c>
      <c r="C106" s="37">
        <v>6779</v>
      </c>
      <c r="D106" s="38">
        <v>100222345</v>
      </c>
      <c r="E106" t="s">
        <v>26</v>
      </c>
      <c r="F106" s="35">
        <v>45966</v>
      </c>
      <c r="G106" s="38">
        <v>1800014538</v>
      </c>
      <c r="H106" t="s">
        <v>18</v>
      </c>
      <c r="I106" s="35">
        <v>45966</v>
      </c>
      <c r="J106" s="35">
        <v>45967</v>
      </c>
      <c r="K106" t="s">
        <v>23</v>
      </c>
      <c r="L106" s="38">
        <v>212100</v>
      </c>
      <c r="N106">
        <v>256779418870</v>
      </c>
      <c r="O106" t="s">
        <v>17</v>
      </c>
      <c r="P106" s="34">
        <v>493.91</v>
      </c>
      <c r="Q106" t="s">
        <v>19</v>
      </c>
      <c r="R106">
        <v>43465.75</v>
      </c>
      <c r="S106" t="s">
        <v>27</v>
      </c>
    </row>
    <row r="107" spans="1:19" x14ac:dyDescent="0.25">
      <c r="A107" s="30">
        <v>256779419202</v>
      </c>
      <c r="B107" s="23">
        <v>61.41</v>
      </c>
      <c r="C107" s="37">
        <v>6779</v>
      </c>
      <c r="D107" s="38">
        <v>100222345</v>
      </c>
      <c r="E107" t="s">
        <v>26</v>
      </c>
      <c r="F107" s="35">
        <v>45966</v>
      </c>
      <c r="G107" s="38">
        <v>1800014620</v>
      </c>
      <c r="H107" t="s">
        <v>18</v>
      </c>
      <c r="I107" s="35">
        <v>45966</v>
      </c>
      <c r="J107" s="35">
        <v>45967</v>
      </c>
      <c r="K107" t="s">
        <v>23</v>
      </c>
      <c r="L107" s="38">
        <v>212100</v>
      </c>
      <c r="N107">
        <v>256779419202</v>
      </c>
      <c r="O107" t="s">
        <v>17</v>
      </c>
      <c r="P107" s="34">
        <v>62.66</v>
      </c>
      <c r="Q107" t="s">
        <v>19</v>
      </c>
      <c r="R107">
        <v>5514.29</v>
      </c>
      <c r="S107" t="s">
        <v>27</v>
      </c>
    </row>
    <row r="108" spans="1:19" x14ac:dyDescent="0.25">
      <c r="A108" s="30">
        <v>246779410368</v>
      </c>
      <c r="B108" s="23">
        <v>320.78000000000003</v>
      </c>
      <c r="C108" s="37">
        <v>6779</v>
      </c>
      <c r="D108" s="38">
        <v>100222345</v>
      </c>
      <c r="E108" t="s">
        <v>26</v>
      </c>
      <c r="F108" s="35">
        <v>45719</v>
      </c>
      <c r="G108" s="38">
        <v>1800000406</v>
      </c>
      <c r="H108" t="s">
        <v>18</v>
      </c>
      <c r="I108" s="35">
        <v>45719</v>
      </c>
      <c r="J108" s="35">
        <v>45719</v>
      </c>
      <c r="K108" t="s">
        <v>23</v>
      </c>
      <c r="L108" s="38">
        <v>212100</v>
      </c>
      <c r="N108">
        <v>246779410368</v>
      </c>
      <c r="O108" t="s">
        <v>17</v>
      </c>
      <c r="P108" s="34">
        <v>356.43</v>
      </c>
      <c r="Q108" t="s">
        <v>19</v>
      </c>
      <c r="R108">
        <v>30899.37</v>
      </c>
      <c r="S108" t="s">
        <v>27</v>
      </c>
    </row>
    <row r="109" spans="1:19" x14ac:dyDescent="0.25">
      <c r="A109" s="30">
        <v>256779414003</v>
      </c>
      <c r="B109" s="23">
        <v>726.65</v>
      </c>
      <c r="C109" s="37">
        <v>6779</v>
      </c>
      <c r="D109" s="38">
        <v>100222345</v>
      </c>
      <c r="E109" t="s">
        <v>26</v>
      </c>
      <c r="F109" s="35">
        <v>45812</v>
      </c>
      <c r="G109" s="38">
        <v>1800009239</v>
      </c>
      <c r="H109" t="s">
        <v>18</v>
      </c>
      <c r="I109" s="35">
        <v>45812</v>
      </c>
      <c r="J109" s="35">
        <v>45817</v>
      </c>
      <c r="K109" t="s">
        <v>23</v>
      </c>
      <c r="L109" s="38">
        <v>212100</v>
      </c>
      <c r="N109">
        <v>256779414003</v>
      </c>
      <c r="O109" t="s">
        <v>17</v>
      </c>
      <c r="P109" s="34">
        <v>807.39</v>
      </c>
      <c r="Q109" t="s">
        <v>19</v>
      </c>
      <c r="R109">
        <v>69024.399999999994</v>
      </c>
      <c r="S109" t="s">
        <v>27</v>
      </c>
    </row>
    <row r="110" spans="1:19" x14ac:dyDescent="0.25">
      <c r="A110" s="30">
        <v>246779410394</v>
      </c>
      <c r="B110" s="23">
        <v>455.27</v>
      </c>
      <c r="C110" s="37">
        <v>6779</v>
      </c>
      <c r="D110" s="38">
        <v>100222345</v>
      </c>
      <c r="E110" t="s">
        <v>26</v>
      </c>
      <c r="F110" s="35">
        <v>45719</v>
      </c>
      <c r="G110" s="38">
        <v>1800000432</v>
      </c>
      <c r="H110" t="s">
        <v>18</v>
      </c>
      <c r="I110" s="35">
        <v>45719</v>
      </c>
      <c r="J110" s="35">
        <v>45719</v>
      </c>
      <c r="K110" t="s">
        <v>23</v>
      </c>
      <c r="L110" s="38">
        <v>212100</v>
      </c>
      <c r="N110">
        <v>246779410394</v>
      </c>
      <c r="O110" t="s">
        <v>17</v>
      </c>
      <c r="P110" s="34">
        <v>505.86</v>
      </c>
      <c r="Q110" t="s">
        <v>19</v>
      </c>
      <c r="R110">
        <v>43853.64</v>
      </c>
      <c r="S110" t="s">
        <v>27</v>
      </c>
    </row>
    <row r="111" spans="1:19" x14ac:dyDescent="0.25">
      <c r="A111" s="30">
        <v>256779414004</v>
      </c>
      <c r="B111" s="23">
        <v>727.33999999999992</v>
      </c>
      <c r="C111" s="37">
        <v>6779</v>
      </c>
      <c r="D111" s="38">
        <v>100222345</v>
      </c>
      <c r="E111" t="s">
        <v>26</v>
      </c>
      <c r="F111" s="35">
        <v>45812</v>
      </c>
      <c r="G111" s="38">
        <v>1800009240</v>
      </c>
      <c r="H111" t="s">
        <v>18</v>
      </c>
      <c r="I111" s="35">
        <v>45812</v>
      </c>
      <c r="J111" s="35">
        <v>45817</v>
      </c>
      <c r="K111" t="s">
        <v>23</v>
      </c>
      <c r="L111" s="38">
        <v>212100</v>
      </c>
      <c r="N111">
        <v>256779414004</v>
      </c>
      <c r="O111" t="s">
        <v>17</v>
      </c>
      <c r="P111" s="34">
        <v>808.16</v>
      </c>
      <c r="Q111" t="s">
        <v>19</v>
      </c>
      <c r="R111">
        <v>69090.23</v>
      </c>
      <c r="S111" t="s">
        <v>27</v>
      </c>
    </row>
    <row r="112" spans="1:19" x14ac:dyDescent="0.25">
      <c r="A112" s="30">
        <v>246779410418</v>
      </c>
      <c r="B112" s="23">
        <v>506.34000000000003</v>
      </c>
      <c r="C112" s="37">
        <v>6779</v>
      </c>
      <c r="D112" s="38">
        <v>100222345</v>
      </c>
      <c r="E112" t="s">
        <v>26</v>
      </c>
      <c r="F112" s="35">
        <v>45719</v>
      </c>
      <c r="G112" s="38">
        <v>1800000456</v>
      </c>
      <c r="H112" t="s">
        <v>18</v>
      </c>
      <c r="I112" s="35">
        <v>45719</v>
      </c>
      <c r="J112" s="35">
        <v>45719</v>
      </c>
      <c r="K112" t="s">
        <v>23</v>
      </c>
      <c r="L112" s="38">
        <v>212100</v>
      </c>
      <c r="N112">
        <v>246779410418</v>
      </c>
      <c r="O112" t="s">
        <v>17</v>
      </c>
      <c r="P112" s="34">
        <v>562.6</v>
      </c>
      <c r="Q112" t="s">
        <v>19</v>
      </c>
      <c r="R112">
        <v>48772.5</v>
      </c>
      <c r="S112" t="s">
        <v>27</v>
      </c>
    </row>
    <row r="113" spans="1:19" x14ac:dyDescent="0.25">
      <c r="A113" s="30">
        <v>256779414005</v>
      </c>
      <c r="B113" s="23">
        <v>724.75</v>
      </c>
      <c r="C113" s="37">
        <v>6779</v>
      </c>
      <c r="D113" s="38">
        <v>100222345</v>
      </c>
      <c r="E113" t="s">
        <v>26</v>
      </c>
      <c r="F113" s="35">
        <v>45812</v>
      </c>
      <c r="G113" s="38">
        <v>1800009241</v>
      </c>
      <c r="H113" t="s">
        <v>18</v>
      </c>
      <c r="I113" s="35">
        <v>45812</v>
      </c>
      <c r="J113" s="35">
        <v>45817</v>
      </c>
      <c r="K113" t="s">
        <v>23</v>
      </c>
      <c r="L113" s="38">
        <v>212100</v>
      </c>
      <c r="N113">
        <v>256779414005</v>
      </c>
      <c r="O113" t="s">
        <v>17</v>
      </c>
      <c r="P113" s="34">
        <v>805.28</v>
      </c>
      <c r="Q113" t="s">
        <v>19</v>
      </c>
      <c r="R113">
        <v>68844.02</v>
      </c>
      <c r="S113" t="s">
        <v>27</v>
      </c>
    </row>
    <row r="114" spans="1:19" x14ac:dyDescent="0.25">
      <c r="A114" s="32">
        <v>246779410865</v>
      </c>
      <c r="B114" s="23">
        <v>370.90000000000003</v>
      </c>
      <c r="C114" s="37">
        <v>6779</v>
      </c>
      <c r="D114" s="38">
        <v>100222345</v>
      </c>
      <c r="E114" t="s">
        <v>26</v>
      </c>
      <c r="F114" s="35">
        <v>45722</v>
      </c>
      <c r="G114" s="38">
        <v>1800000925</v>
      </c>
      <c r="H114" t="s">
        <v>18</v>
      </c>
      <c r="I114" s="35">
        <v>45722</v>
      </c>
      <c r="J114" s="35">
        <v>45722</v>
      </c>
      <c r="K114" t="s">
        <v>23</v>
      </c>
      <c r="L114" s="38">
        <v>212100</v>
      </c>
      <c r="N114">
        <v>246779410865</v>
      </c>
      <c r="O114" t="s">
        <v>17</v>
      </c>
      <c r="P114" s="34">
        <v>412.11</v>
      </c>
      <c r="Q114" t="s">
        <v>19</v>
      </c>
      <c r="R114">
        <v>35726.339999999997</v>
      </c>
      <c r="S114" t="s">
        <v>27</v>
      </c>
    </row>
    <row r="115" spans="1:19" x14ac:dyDescent="0.25">
      <c r="A115" s="30">
        <v>256779414006</v>
      </c>
      <c r="B115" s="23">
        <v>721.32</v>
      </c>
      <c r="C115" s="37">
        <v>6779</v>
      </c>
      <c r="D115" s="38">
        <v>100222345</v>
      </c>
      <c r="E115" t="s">
        <v>26</v>
      </c>
      <c r="F115" s="35">
        <v>45812</v>
      </c>
      <c r="G115" s="38">
        <v>1800009242</v>
      </c>
      <c r="H115" t="s">
        <v>18</v>
      </c>
      <c r="I115" s="35">
        <v>45812</v>
      </c>
      <c r="J115" s="35">
        <v>45817</v>
      </c>
      <c r="K115" t="s">
        <v>23</v>
      </c>
      <c r="L115" s="38">
        <v>212100</v>
      </c>
      <c r="N115">
        <v>256779414006</v>
      </c>
      <c r="O115" t="s">
        <v>17</v>
      </c>
      <c r="P115" s="34">
        <v>801.47</v>
      </c>
      <c r="Q115" t="s">
        <v>19</v>
      </c>
      <c r="R115">
        <v>68518.3</v>
      </c>
      <c r="S115" t="s">
        <v>27</v>
      </c>
    </row>
    <row r="116" spans="1:19" x14ac:dyDescent="0.25">
      <c r="A116" s="32">
        <v>246779410888</v>
      </c>
      <c r="B116" s="23">
        <v>401.74</v>
      </c>
      <c r="C116" s="37">
        <v>6779</v>
      </c>
      <c r="D116" s="38">
        <v>100222345</v>
      </c>
      <c r="E116" t="s">
        <v>26</v>
      </c>
      <c r="F116" s="35">
        <v>45722</v>
      </c>
      <c r="G116" s="38">
        <v>1800000948</v>
      </c>
      <c r="H116" t="s">
        <v>18</v>
      </c>
      <c r="I116" s="35">
        <v>45722</v>
      </c>
      <c r="J116" s="35">
        <v>45722</v>
      </c>
      <c r="K116" t="s">
        <v>23</v>
      </c>
      <c r="L116" s="38">
        <v>212100</v>
      </c>
      <c r="N116">
        <v>246779410888</v>
      </c>
      <c r="O116" t="s">
        <v>17</v>
      </c>
      <c r="P116" s="34">
        <v>446.38</v>
      </c>
      <c r="Q116" t="s">
        <v>19</v>
      </c>
      <c r="R116">
        <v>38697.24</v>
      </c>
      <c r="S116" t="s">
        <v>27</v>
      </c>
    </row>
    <row r="117" spans="1:19" x14ac:dyDescent="0.25">
      <c r="A117" s="30">
        <v>256779414007</v>
      </c>
      <c r="B117" s="23">
        <v>711.8</v>
      </c>
      <c r="C117" s="37">
        <v>6779</v>
      </c>
      <c r="D117" s="38">
        <v>100222345</v>
      </c>
      <c r="E117" t="s">
        <v>26</v>
      </c>
      <c r="F117" s="35">
        <v>45812</v>
      </c>
      <c r="G117" s="38">
        <v>1800009243</v>
      </c>
      <c r="H117" t="s">
        <v>18</v>
      </c>
      <c r="I117" s="35">
        <v>45812</v>
      </c>
      <c r="J117" s="35">
        <v>45817</v>
      </c>
      <c r="K117" t="s">
        <v>23</v>
      </c>
      <c r="L117" s="38">
        <v>212100</v>
      </c>
      <c r="N117">
        <v>256779414007</v>
      </c>
      <c r="O117" t="s">
        <v>17</v>
      </c>
      <c r="P117" s="34">
        <v>790.89</v>
      </c>
      <c r="Q117" t="s">
        <v>19</v>
      </c>
      <c r="R117">
        <v>67613.8</v>
      </c>
      <c r="S117" t="s">
        <v>27</v>
      </c>
    </row>
    <row r="118" spans="1:19" x14ac:dyDescent="0.25">
      <c r="A118" s="30">
        <v>256779410807</v>
      </c>
      <c r="B118" s="23">
        <v>668.43000000000006</v>
      </c>
      <c r="C118" s="37">
        <v>6779</v>
      </c>
      <c r="D118" s="38">
        <v>100222345</v>
      </c>
      <c r="E118" t="s">
        <v>26</v>
      </c>
      <c r="F118" s="35">
        <v>45751</v>
      </c>
      <c r="G118" s="38">
        <v>1800005916</v>
      </c>
      <c r="H118" t="s">
        <v>18</v>
      </c>
      <c r="I118" s="35">
        <v>45751</v>
      </c>
      <c r="J118" s="35">
        <v>45752</v>
      </c>
      <c r="K118" t="s">
        <v>23</v>
      </c>
      <c r="L118" s="38">
        <v>212100</v>
      </c>
      <c r="N118">
        <v>256779410807</v>
      </c>
      <c r="O118" t="s">
        <v>17</v>
      </c>
      <c r="P118" s="34">
        <v>742.7</v>
      </c>
      <c r="Q118" t="s">
        <v>19</v>
      </c>
      <c r="R118">
        <v>64556.84</v>
      </c>
      <c r="S118" t="s">
        <v>27</v>
      </c>
    </row>
    <row r="119" spans="1:19" x14ac:dyDescent="0.25">
      <c r="A119" s="30">
        <v>256779419365</v>
      </c>
      <c r="B119" s="23">
        <v>287.13</v>
      </c>
      <c r="C119" s="37">
        <v>6779</v>
      </c>
      <c r="D119" s="38">
        <v>100222345</v>
      </c>
      <c r="E119" t="s">
        <v>26</v>
      </c>
      <c r="F119" s="35">
        <v>45980</v>
      </c>
      <c r="G119" s="38">
        <v>1800014864</v>
      </c>
      <c r="H119" t="s">
        <v>18</v>
      </c>
      <c r="I119" s="35">
        <v>45980</v>
      </c>
      <c r="J119" s="35">
        <v>45982</v>
      </c>
      <c r="K119" t="s">
        <v>23</v>
      </c>
      <c r="L119" s="38">
        <v>212100</v>
      </c>
      <c r="N119">
        <v>256779419365</v>
      </c>
      <c r="O119" t="s">
        <v>17</v>
      </c>
      <c r="P119" s="34">
        <v>292.99</v>
      </c>
      <c r="Q119" t="s">
        <v>19</v>
      </c>
      <c r="R119">
        <v>25784.11</v>
      </c>
      <c r="S119" t="s">
        <v>27</v>
      </c>
    </row>
    <row r="120" spans="1:19" x14ac:dyDescent="0.25">
      <c r="A120" s="30">
        <v>256779419592</v>
      </c>
      <c r="B120" s="23">
        <v>17.27</v>
      </c>
      <c r="C120" s="37">
        <v>6779</v>
      </c>
      <c r="D120" s="38">
        <v>100222345</v>
      </c>
      <c r="E120" t="s">
        <v>26</v>
      </c>
      <c r="F120" s="35">
        <v>45981</v>
      </c>
      <c r="G120" s="38">
        <v>1800015079</v>
      </c>
      <c r="H120" t="s">
        <v>18</v>
      </c>
      <c r="I120" s="35">
        <v>45981</v>
      </c>
      <c r="J120" s="35">
        <v>45985</v>
      </c>
      <c r="K120" t="s">
        <v>23</v>
      </c>
      <c r="L120" s="38">
        <v>212100</v>
      </c>
      <c r="N120">
        <v>256779419592</v>
      </c>
      <c r="O120" t="s">
        <v>17</v>
      </c>
      <c r="P120" s="34">
        <v>17.62</v>
      </c>
      <c r="Q120" t="s">
        <v>19</v>
      </c>
      <c r="R120">
        <v>1550.62</v>
      </c>
      <c r="S120" t="s">
        <v>27</v>
      </c>
    </row>
    <row r="121" spans="1:19" x14ac:dyDescent="0.25">
      <c r="A121" s="30">
        <v>256779419633</v>
      </c>
      <c r="B121" s="23">
        <v>9.18</v>
      </c>
      <c r="C121" s="37">
        <v>6779</v>
      </c>
      <c r="D121" s="38">
        <v>100222345</v>
      </c>
      <c r="E121" t="s">
        <v>26</v>
      </c>
      <c r="F121" s="35">
        <v>45981</v>
      </c>
      <c r="G121" s="38">
        <v>1800015134</v>
      </c>
      <c r="H121" t="s">
        <v>18</v>
      </c>
      <c r="I121" s="35">
        <v>45981</v>
      </c>
      <c r="J121" s="35">
        <v>45985</v>
      </c>
      <c r="K121" t="s">
        <v>23</v>
      </c>
      <c r="L121" s="38">
        <v>212100</v>
      </c>
      <c r="N121">
        <v>256779419633</v>
      </c>
      <c r="O121" t="s">
        <v>17</v>
      </c>
      <c r="P121" s="34">
        <v>9.3699999999999992</v>
      </c>
      <c r="Q121" t="s">
        <v>19</v>
      </c>
      <c r="R121">
        <v>824.59</v>
      </c>
      <c r="S121" t="s">
        <v>27</v>
      </c>
    </row>
    <row r="122" spans="1:19" x14ac:dyDescent="0.25">
      <c r="A122" s="32">
        <v>256779421976</v>
      </c>
      <c r="B122" s="33">
        <v>-100.12</v>
      </c>
      <c r="C122" s="37">
        <v>6779</v>
      </c>
      <c r="D122" s="38">
        <v>100222345</v>
      </c>
      <c r="E122" t="s">
        <v>26</v>
      </c>
      <c r="F122" s="35">
        <v>45943</v>
      </c>
      <c r="G122" s="38">
        <v>1600002432</v>
      </c>
      <c r="H122" t="s">
        <v>28</v>
      </c>
      <c r="I122" s="35">
        <v>45943</v>
      </c>
      <c r="J122" s="35">
        <v>45944</v>
      </c>
      <c r="K122" t="s">
        <v>23</v>
      </c>
      <c r="L122" s="38">
        <v>212100</v>
      </c>
      <c r="N122">
        <v>256779421976</v>
      </c>
      <c r="O122" t="s">
        <v>17</v>
      </c>
      <c r="P122" s="34">
        <v>-111.25</v>
      </c>
      <c r="Q122" t="s">
        <v>19</v>
      </c>
      <c r="R122">
        <v>-9811.2199999999993</v>
      </c>
      <c r="S122" s="38">
        <v>1400001905</v>
      </c>
    </row>
    <row r="123" spans="1:19" x14ac:dyDescent="0.25">
      <c r="A123" s="32">
        <v>256779421977</v>
      </c>
      <c r="B123" s="33">
        <v>-338.76</v>
      </c>
      <c r="C123" s="37">
        <v>6779</v>
      </c>
      <c r="D123" s="38">
        <v>100222345</v>
      </c>
      <c r="E123" t="s">
        <v>26</v>
      </c>
      <c r="F123" s="35">
        <v>45943</v>
      </c>
      <c r="G123" s="38">
        <v>1600002433</v>
      </c>
      <c r="H123" t="s">
        <v>28</v>
      </c>
      <c r="I123" s="35">
        <v>45943</v>
      </c>
      <c r="J123" s="35">
        <v>45944</v>
      </c>
      <c r="K123" t="s">
        <v>23</v>
      </c>
      <c r="L123" s="38">
        <v>212100</v>
      </c>
      <c r="N123">
        <v>256779421977</v>
      </c>
      <c r="O123" t="s">
        <v>17</v>
      </c>
      <c r="P123" s="34">
        <v>-376.4</v>
      </c>
      <c r="Q123" t="s">
        <v>19</v>
      </c>
      <c r="R123">
        <v>-33195.01</v>
      </c>
      <c r="S123" s="38">
        <v>1400001905</v>
      </c>
    </row>
    <row r="124" spans="1:19" x14ac:dyDescent="0.25">
      <c r="A124" s="32">
        <v>256779421978</v>
      </c>
      <c r="B124" s="33">
        <v>-352.39</v>
      </c>
      <c r="C124" s="37">
        <v>6779</v>
      </c>
      <c r="D124" s="38">
        <v>100222345</v>
      </c>
      <c r="E124" t="s">
        <v>26</v>
      </c>
      <c r="F124" s="35">
        <v>45943</v>
      </c>
      <c r="G124" s="38">
        <v>1600002434</v>
      </c>
      <c r="H124" t="s">
        <v>28</v>
      </c>
      <c r="I124" s="35">
        <v>45943</v>
      </c>
      <c r="J124" s="35">
        <v>45944</v>
      </c>
      <c r="K124" t="s">
        <v>23</v>
      </c>
      <c r="L124" s="38">
        <v>212100</v>
      </c>
      <c r="N124">
        <v>256779421978</v>
      </c>
      <c r="O124" t="s">
        <v>17</v>
      </c>
      <c r="P124" s="34">
        <v>-391.55</v>
      </c>
      <c r="Q124" t="s">
        <v>19</v>
      </c>
      <c r="R124">
        <v>-34531.1</v>
      </c>
      <c r="S124" s="38">
        <v>1400001905</v>
      </c>
    </row>
    <row r="125" spans="1:19" x14ac:dyDescent="0.25">
      <c r="A125" s="32">
        <v>256779421974</v>
      </c>
      <c r="B125" s="33">
        <v>-392.32000000000005</v>
      </c>
      <c r="C125" s="37">
        <v>6779</v>
      </c>
      <c r="D125" s="38">
        <v>100222345</v>
      </c>
      <c r="E125" t="s">
        <v>26</v>
      </c>
      <c r="F125" s="35">
        <v>45943</v>
      </c>
      <c r="G125" s="38">
        <v>1600002430</v>
      </c>
      <c r="H125" t="s">
        <v>28</v>
      </c>
      <c r="I125" s="35">
        <v>45943</v>
      </c>
      <c r="J125" s="35">
        <v>45944</v>
      </c>
      <c r="K125" t="s">
        <v>23</v>
      </c>
      <c r="L125" s="38">
        <v>212100</v>
      </c>
      <c r="N125">
        <v>256779421974</v>
      </c>
      <c r="O125" t="s">
        <v>17</v>
      </c>
      <c r="P125" s="34">
        <v>-435.91</v>
      </c>
      <c r="Q125" t="s">
        <v>19</v>
      </c>
      <c r="R125">
        <v>-38443.24</v>
      </c>
      <c r="S125" t="s">
        <v>27</v>
      </c>
    </row>
    <row r="126" spans="1:19" x14ac:dyDescent="0.25">
      <c r="A126" s="32">
        <v>256779421975</v>
      </c>
      <c r="B126" s="33">
        <v>-402.34000000000003</v>
      </c>
      <c r="C126" s="37">
        <v>6779</v>
      </c>
      <c r="D126" s="38">
        <v>100222345</v>
      </c>
      <c r="E126" t="s">
        <v>26</v>
      </c>
      <c r="F126" s="35">
        <v>45943</v>
      </c>
      <c r="G126" s="38">
        <v>1600002431</v>
      </c>
      <c r="H126" t="s">
        <v>28</v>
      </c>
      <c r="I126" s="35">
        <v>45943</v>
      </c>
      <c r="J126" s="35">
        <v>45944</v>
      </c>
      <c r="K126" t="s">
        <v>23</v>
      </c>
      <c r="L126" s="38">
        <v>212100</v>
      </c>
      <c r="N126">
        <v>256779421975</v>
      </c>
      <c r="O126" t="s">
        <v>17</v>
      </c>
      <c r="P126" s="34">
        <v>-447.05</v>
      </c>
      <c r="Q126" t="s">
        <v>19</v>
      </c>
      <c r="R126">
        <v>-39425.68</v>
      </c>
      <c r="S126" t="s">
        <v>27</v>
      </c>
    </row>
    <row r="127" spans="1:19" x14ac:dyDescent="0.25">
      <c r="A127" s="27" t="s">
        <v>24</v>
      </c>
      <c r="B127" s="14">
        <v>10721.42</v>
      </c>
      <c r="C127" s="37">
        <v>6779</v>
      </c>
      <c r="D127" t="e">
        <v>#N/A</v>
      </c>
    </row>
  </sheetData>
  <autoFilter ref="A3:S63" xr:uid="{768F5E6E-3388-4114-9524-33D4ACCDF769}">
    <filterColumn colId="18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DEA2-5E90-4A7E-AC04-18C4F62A0527}">
  <dimension ref="A1:S48"/>
  <sheetViews>
    <sheetView workbookViewId="0"/>
  </sheetViews>
  <sheetFormatPr defaultColWidth="8.81640625" defaultRowHeight="12.5" x14ac:dyDescent="0.25"/>
  <cols>
    <col min="1" max="1" width="15.54296875" style="3" bestFit="1" customWidth="1"/>
    <col min="2" max="2" width="10.81640625" style="3" bestFit="1" customWidth="1"/>
    <col min="3" max="3" width="26.26953125" style="3" bestFit="1" customWidth="1"/>
    <col min="4" max="4" width="13.36328125" style="3" bestFit="1" customWidth="1"/>
    <col min="5" max="5" width="17.90625" style="3" bestFit="1" customWidth="1"/>
    <col min="6" max="6" width="11.08984375" style="3" bestFit="1" customWidth="1"/>
    <col min="7" max="7" width="15.54296875" style="3" bestFit="1" customWidth="1"/>
    <col min="8" max="8" width="11.6328125" style="3" bestFit="1" customWidth="1"/>
    <col min="9" max="9" width="23.54296875" style="3" bestFit="1" customWidth="1"/>
    <col min="10" max="10" width="13" style="3" bestFit="1" customWidth="1"/>
    <col min="11" max="11" width="13.26953125" style="3" bestFit="1" customWidth="1"/>
    <col min="12" max="12" width="11.36328125" style="3" bestFit="1" customWidth="1"/>
    <col min="13" max="13" width="8.54296875" style="3" bestFit="1" customWidth="1"/>
    <col min="14" max="14" width="11.08984375" style="3" bestFit="1" customWidth="1"/>
    <col min="15" max="15" width="9.7265625" style="3" bestFit="1" customWidth="1"/>
    <col min="16" max="16" width="12.1796875" style="3" bestFit="1" customWidth="1"/>
    <col min="17" max="17" width="10" style="20" bestFit="1" customWidth="1"/>
    <col min="18" max="18" width="12.1796875" style="20" bestFit="1" customWidth="1"/>
    <col min="19" max="19" width="12.36328125" style="3" bestFit="1" customWidth="1"/>
    <col min="20" max="20" width="8.81640625" style="3"/>
    <col min="21" max="21" width="9.08984375" style="3" bestFit="1" customWidth="1"/>
    <col min="22" max="16384" width="8.81640625" style="3"/>
  </cols>
  <sheetData>
    <row r="1" spans="1:19" ht="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21</v>
      </c>
      <c r="P1" s="2" t="s">
        <v>20</v>
      </c>
      <c r="Q1" s="18" t="s">
        <v>14</v>
      </c>
      <c r="R1" s="18" t="s">
        <v>15</v>
      </c>
      <c r="S1" s="2" t="s">
        <v>16</v>
      </c>
    </row>
    <row r="2" spans="1:19" x14ac:dyDescent="0.25">
      <c r="A2" s="4"/>
      <c r="B2" s="4"/>
      <c r="C2" s="4"/>
      <c r="D2" s="5"/>
      <c r="E2" s="4"/>
      <c r="F2" s="4"/>
      <c r="G2" s="5"/>
      <c r="H2" s="5"/>
      <c r="I2" s="4"/>
      <c r="J2" s="16"/>
      <c r="K2" s="4"/>
      <c r="L2" s="4"/>
      <c r="M2" s="4"/>
      <c r="N2" s="14"/>
      <c r="O2" s="4"/>
      <c r="P2" s="6"/>
      <c r="Q2" s="19"/>
      <c r="R2" s="19"/>
      <c r="S2" s="7"/>
    </row>
    <row r="3" spans="1:19" x14ac:dyDescent="0.25">
      <c r="A3" s="4"/>
      <c r="B3" s="4"/>
      <c r="C3" s="4"/>
      <c r="D3" s="5"/>
      <c r="E3" s="4"/>
      <c r="F3" s="4"/>
      <c r="G3" s="5"/>
      <c r="H3" s="5"/>
      <c r="I3" s="4"/>
      <c r="J3" s="16"/>
      <c r="K3" s="4"/>
      <c r="L3" s="4"/>
      <c r="M3" s="4"/>
      <c r="N3" s="4"/>
      <c r="O3" s="4"/>
      <c r="P3" s="4"/>
      <c r="Q3" s="19"/>
      <c r="R3" s="19"/>
      <c r="S3" s="7"/>
    </row>
    <row r="4" spans="1:19" x14ac:dyDescent="0.25">
      <c r="A4" s="4"/>
      <c r="B4" s="4"/>
      <c r="C4" s="4"/>
      <c r="D4" s="5"/>
      <c r="E4" s="4"/>
      <c r="F4" s="4"/>
      <c r="G4" s="5"/>
      <c r="H4" s="5"/>
      <c r="I4" s="4"/>
      <c r="J4" s="16"/>
      <c r="K4" s="4"/>
      <c r="L4" s="4"/>
      <c r="M4" s="4"/>
      <c r="N4" s="4"/>
      <c r="O4" s="4"/>
      <c r="P4" s="4"/>
      <c r="Q4" s="19"/>
      <c r="R4" s="19"/>
      <c r="S4" s="7"/>
    </row>
    <row r="5" spans="1:19" x14ac:dyDescent="0.25">
      <c r="A5" s="4"/>
      <c r="B5" s="4"/>
      <c r="C5" s="4"/>
      <c r="D5" s="5"/>
      <c r="E5" s="4"/>
      <c r="F5" s="4"/>
      <c r="G5" s="5"/>
      <c r="H5" s="5"/>
      <c r="I5" s="4"/>
      <c r="J5" s="16"/>
      <c r="K5" s="4"/>
      <c r="L5" s="4"/>
      <c r="M5" s="4"/>
      <c r="N5" s="4"/>
      <c r="O5" s="4"/>
      <c r="P5" s="4"/>
      <c r="Q5" s="19"/>
      <c r="R5" s="19"/>
      <c r="S5" s="7"/>
    </row>
    <row r="6" spans="1:19" x14ac:dyDescent="0.25">
      <c r="A6" s="4"/>
      <c r="B6" s="4"/>
      <c r="C6" s="4"/>
      <c r="D6" s="5"/>
      <c r="E6" s="4"/>
      <c r="F6" s="4"/>
      <c r="G6" s="5"/>
      <c r="H6" s="5"/>
      <c r="I6" s="4"/>
      <c r="J6" s="16"/>
      <c r="K6" s="4"/>
      <c r="L6" s="4"/>
      <c r="M6" s="4"/>
      <c r="N6" s="4"/>
      <c r="O6" s="4"/>
      <c r="P6" s="4"/>
      <c r="Q6" s="19"/>
      <c r="R6" s="19"/>
      <c r="S6" s="7"/>
    </row>
    <row r="7" spans="1:19" x14ac:dyDescent="0.25">
      <c r="A7" s="4"/>
      <c r="B7" s="4"/>
      <c r="C7" s="4"/>
      <c r="D7" s="5"/>
      <c r="E7" s="4"/>
      <c r="F7" s="4"/>
      <c r="G7" s="5"/>
      <c r="H7" s="5"/>
      <c r="I7" s="4"/>
      <c r="J7" s="16"/>
      <c r="K7" s="4"/>
      <c r="L7" s="4"/>
      <c r="M7" s="4"/>
      <c r="N7" s="4"/>
      <c r="O7" s="4"/>
      <c r="P7" s="4"/>
      <c r="Q7" s="19"/>
      <c r="R7" s="19"/>
      <c r="S7" s="7"/>
    </row>
    <row r="8" spans="1:19" x14ac:dyDescent="0.25">
      <c r="A8" s="4"/>
      <c r="B8" s="4"/>
      <c r="C8" s="4"/>
      <c r="D8" s="5"/>
      <c r="E8" s="4"/>
      <c r="F8" s="4"/>
      <c r="G8" s="5"/>
      <c r="H8" s="5"/>
      <c r="I8" s="4"/>
      <c r="J8" s="16"/>
      <c r="K8" s="4"/>
      <c r="L8" s="4"/>
      <c r="M8" s="4"/>
      <c r="N8" s="4"/>
      <c r="O8" s="4"/>
      <c r="P8" s="4"/>
      <c r="Q8" s="19"/>
      <c r="R8" s="19"/>
      <c r="S8" s="7"/>
    </row>
    <row r="9" spans="1:19" x14ac:dyDescent="0.25">
      <c r="A9" s="4"/>
      <c r="B9" s="4"/>
      <c r="C9" s="4"/>
      <c r="D9" s="5"/>
      <c r="E9" s="4"/>
      <c r="F9" s="4"/>
      <c r="G9" s="5"/>
      <c r="H9" s="5"/>
      <c r="I9" s="4"/>
      <c r="J9" s="16"/>
      <c r="K9" s="4"/>
      <c r="L9" s="4"/>
      <c r="M9" s="4"/>
      <c r="N9" s="4"/>
      <c r="O9" s="4"/>
      <c r="P9" s="4"/>
      <c r="Q9" s="19"/>
      <c r="R9" s="19"/>
      <c r="S9" s="7"/>
    </row>
    <row r="10" spans="1:19" x14ac:dyDescent="0.25">
      <c r="A10" s="4"/>
      <c r="B10" s="4"/>
      <c r="C10" s="4"/>
      <c r="D10" s="5"/>
      <c r="E10" s="4"/>
      <c r="F10" s="4"/>
      <c r="G10" s="5"/>
      <c r="H10" s="5"/>
      <c r="I10" s="4"/>
      <c r="J10" s="16"/>
      <c r="K10" s="4"/>
      <c r="L10" s="4"/>
      <c r="M10" s="4"/>
      <c r="N10" s="4"/>
      <c r="O10" s="4"/>
      <c r="P10" s="4"/>
      <c r="Q10" s="19"/>
      <c r="R10" s="19"/>
      <c r="S10" s="7"/>
    </row>
    <row r="11" spans="1:19" x14ac:dyDescent="0.25">
      <c r="A11" s="4"/>
      <c r="B11" s="4"/>
      <c r="C11" s="4"/>
      <c r="D11" s="5"/>
      <c r="E11" s="4"/>
      <c r="F11" s="4"/>
      <c r="G11" s="5"/>
      <c r="H11" s="5"/>
      <c r="I11" s="4"/>
      <c r="J11" s="16"/>
      <c r="K11" s="4"/>
      <c r="L11" s="4"/>
      <c r="M11" s="4"/>
      <c r="N11" s="4"/>
      <c r="O11" s="4"/>
      <c r="P11" s="4"/>
      <c r="Q11" s="19"/>
      <c r="R11" s="19"/>
      <c r="S11" s="7"/>
    </row>
    <row r="12" spans="1:19" x14ac:dyDescent="0.25">
      <c r="A12" s="4"/>
      <c r="B12" s="4"/>
      <c r="C12" s="4"/>
      <c r="D12" s="5"/>
      <c r="E12" s="4"/>
      <c r="F12" s="4"/>
      <c r="G12" s="5"/>
      <c r="H12" s="5"/>
      <c r="I12" s="4"/>
      <c r="J12" s="16"/>
      <c r="K12" s="4"/>
      <c r="L12" s="4"/>
      <c r="M12" s="4"/>
      <c r="N12" s="4"/>
      <c r="O12" s="4"/>
      <c r="P12" s="4"/>
      <c r="Q12" s="19"/>
      <c r="R12" s="19"/>
      <c r="S12" s="7"/>
    </row>
    <row r="13" spans="1:19" x14ac:dyDescent="0.25">
      <c r="A13" s="4"/>
      <c r="B13" s="4"/>
      <c r="C13" s="4"/>
      <c r="D13" s="5"/>
      <c r="E13" s="4"/>
      <c r="F13" s="4"/>
      <c r="G13" s="5"/>
      <c r="H13" s="5"/>
      <c r="I13" s="4"/>
      <c r="J13" s="16"/>
      <c r="K13" s="4"/>
      <c r="L13" s="4"/>
      <c r="M13" s="4"/>
      <c r="N13" s="4"/>
      <c r="O13" s="4"/>
      <c r="P13" s="4"/>
      <c r="Q13" s="19"/>
      <c r="R13" s="19"/>
      <c r="S13" s="7"/>
    </row>
    <row r="14" spans="1:19" x14ac:dyDescent="0.25">
      <c r="A14" s="4"/>
      <c r="B14" s="4"/>
      <c r="C14" s="4"/>
      <c r="D14" s="5"/>
      <c r="E14" s="4"/>
      <c r="F14" s="4"/>
      <c r="G14" s="5"/>
      <c r="H14" s="5"/>
      <c r="I14" s="4"/>
      <c r="J14" s="16"/>
      <c r="K14" s="4"/>
      <c r="L14" s="4"/>
      <c r="M14" s="4"/>
      <c r="N14" s="4"/>
      <c r="O14" s="4"/>
      <c r="P14" s="4"/>
      <c r="Q14" s="19"/>
      <c r="R14" s="19"/>
      <c r="S14" s="7"/>
    </row>
    <row r="15" spans="1:19" x14ac:dyDescent="0.25">
      <c r="A15" s="4"/>
      <c r="B15" s="4"/>
      <c r="C15" s="4"/>
      <c r="D15" s="5"/>
      <c r="E15" s="4"/>
      <c r="F15" s="4"/>
      <c r="G15" s="5"/>
      <c r="H15" s="5"/>
      <c r="I15" s="4"/>
      <c r="J15" s="16"/>
      <c r="K15" s="4"/>
      <c r="L15" s="4"/>
      <c r="M15" s="4"/>
      <c r="N15" s="4"/>
      <c r="O15" s="4"/>
      <c r="P15" s="4"/>
      <c r="Q15" s="19"/>
      <c r="R15" s="19"/>
      <c r="S15" s="7"/>
    </row>
    <row r="16" spans="1:19" x14ac:dyDescent="0.25">
      <c r="A16" s="4"/>
      <c r="B16" s="4"/>
      <c r="C16" s="4"/>
      <c r="D16" s="5"/>
      <c r="E16" s="4"/>
      <c r="F16" s="4"/>
      <c r="G16" s="5"/>
      <c r="H16" s="5"/>
      <c r="I16" s="4"/>
      <c r="J16" s="16"/>
      <c r="K16" s="4"/>
      <c r="L16" s="4"/>
      <c r="M16" s="4"/>
      <c r="N16" s="4"/>
      <c r="O16" s="4"/>
      <c r="P16" s="4"/>
      <c r="Q16" s="19"/>
      <c r="R16" s="19"/>
      <c r="S16" s="7"/>
    </row>
    <row r="17" spans="1:19" x14ac:dyDescent="0.25">
      <c r="A17" s="4"/>
      <c r="B17" s="4"/>
      <c r="C17" s="4"/>
      <c r="D17" s="5"/>
      <c r="E17" s="4"/>
      <c r="F17" s="4"/>
      <c r="G17" s="5"/>
      <c r="H17" s="5"/>
      <c r="I17" s="4"/>
      <c r="J17" s="16"/>
      <c r="K17" s="4"/>
      <c r="L17" s="4"/>
      <c r="M17" s="4"/>
      <c r="N17" s="4"/>
      <c r="O17" s="4"/>
      <c r="P17" s="4"/>
      <c r="Q17" s="19"/>
      <c r="R17" s="19"/>
      <c r="S17" s="7"/>
    </row>
    <row r="18" spans="1:19" x14ac:dyDescent="0.25">
      <c r="A18" s="4"/>
      <c r="B18" s="4"/>
      <c r="C18" s="4"/>
      <c r="D18" s="5"/>
      <c r="E18" s="4"/>
      <c r="F18" s="4"/>
      <c r="G18" s="5"/>
      <c r="H18" s="5"/>
      <c r="I18" s="4"/>
      <c r="J18" s="16"/>
      <c r="K18" s="4"/>
      <c r="L18" s="4"/>
      <c r="M18" s="4"/>
      <c r="N18" s="4"/>
      <c r="O18" s="4"/>
      <c r="P18" s="4"/>
      <c r="Q18" s="19"/>
      <c r="R18" s="19"/>
      <c r="S18" s="7"/>
    </row>
    <row r="19" spans="1:19" x14ac:dyDescent="0.25">
      <c r="A19" s="4"/>
      <c r="B19" s="4"/>
      <c r="C19" s="4"/>
      <c r="D19" s="5"/>
      <c r="E19" s="4"/>
      <c r="F19" s="4"/>
      <c r="G19" s="5"/>
      <c r="H19" s="5"/>
      <c r="I19" s="4"/>
      <c r="J19" s="16"/>
      <c r="K19" s="4"/>
      <c r="L19" s="4"/>
      <c r="M19" s="4"/>
      <c r="N19" s="4"/>
      <c r="O19" s="4"/>
      <c r="P19" s="4"/>
      <c r="Q19" s="19"/>
      <c r="R19" s="19"/>
      <c r="S19" s="7"/>
    </row>
    <row r="20" spans="1:19" x14ac:dyDescent="0.25">
      <c r="A20" s="4"/>
      <c r="B20" s="4"/>
      <c r="C20" s="4"/>
      <c r="D20" s="5"/>
      <c r="E20" s="4"/>
      <c r="F20" s="4"/>
      <c r="G20" s="5"/>
      <c r="H20" s="5"/>
      <c r="I20" s="4"/>
      <c r="J20" s="16"/>
      <c r="K20" s="4"/>
      <c r="L20" s="4"/>
      <c r="M20" s="4"/>
      <c r="N20" s="4"/>
      <c r="O20" s="4"/>
      <c r="P20" s="4"/>
      <c r="Q20" s="19"/>
      <c r="R20" s="19"/>
      <c r="S20" s="7"/>
    </row>
    <row r="21" spans="1:19" x14ac:dyDescent="0.25">
      <c r="A21" s="4"/>
      <c r="B21" s="4"/>
      <c r="C21" s="4"/>
      <c r="D21" s="5"/>
      <c r="E21" s="4"/>
      <c r="F21" s="4"/>
      <c r="G21" s="5"/>
      <c r="H21" s="5"/>
      <c r="I21" s="4"/>
      <c r="J21" s="16"/>
      <c r="K21" s="4"/>
      <c r="L21" s="4"/>
      <c r="M21" s="4"/>
      <c r="N21" s="4"/>
      <c r="O21" s="4"/>
      <c r="P21" s="4"/>
      <c r="Q21" s="19"/>
      <c r="R21" s="19"/>
      <c r="S21" s="7"/>
    </row>
    <row r="22" spans="1:19" x14ac:dyDescent="0.25">
      <c r="A22" s="4"/>
      <c r="B22" s="4"/>
      <c r="C22" s="4"/>
      <c r="D22" s="5"/>
      <c r="E22" s="4"/>
      <c r="F22" s="4"/>
      <c r="G22" s="5"/>
      <c r="H22" s="5"/>
      <c r="I22" s="4"/>
      <c r="J22" s="16"/>
      <c r="K22" s="4"/>
      <c r="L22" s="4"/>
      <c r="M22" s="4"/>
      <c r="N22" s="4"/>
      <c r="O22" s="4"/>
      <c r="P22" s="4"/>
      <c r="Q22" s="19"/>
      <c r="R22" s="19"/>
      <c r="S22" s="7"/>
    </row>
    <row r="23" spans="1:19" x14ac:dyDescent="0.25">
      <c r="D23" s="13"/>
      <c r="G23" s="13"/>
      <c r="H23" s="13"/>
      <c r="I23" s="4"/>
      <c r="J23" s="16"/>
      <c r="K23" s="4"/>
      <c r="L23" s="4"/>
      <c r="M23" s="4"/>
      <c r="N23" s="6"/>
      <c r="O23" s="4"/>
      <c r="P23" s="6"/>
      <c r="Q23" s="19"/>
      <c r="R23" s="19"/>
      <c r="S23" s="7"/>
    </row>
    <row r="24" spans="1:19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0" t="s">
        <v>15</v>
      </c>
      <c r="M24" s="9" t="s">
        <v>17</v>
      </c>
      <c r="N24" s="11">
        <f>SUM(N2:N23)</f>
        <v>0</v>
      </c>
      <c r="O24" s="11"/>
      <c r="P24" s="11">
        <f>SUM(P2:P23)</f>
        <v>0</v>
      </c>
      <c r="Q24" s="17">
        <f>SUM(Q3:Q23)</f>
        <v>0</v>
      </c>
      <c r="R24" s="17">
        <f>SUM(R2:R23)</f>
        <v>0</v>
      </c>
      <c r="S24" s="9" t="s">
        <v>22</v>
      </c>
    </row>
    <row r="25" spans="1:19" x14ac:dyDescent="0.25">
      <c r="N25" s="12"/>
      <c r="P25" s="12"/>
    </row>
    <row r="26" spans="1:19" x14ac:dyDescent="0.25">
      <c r="N26" s="12"/>
      <c r="P26" s="12"/>
    </row>
    <row r="27" spans="1:19" ht="50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2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2" t="s">
        <v>12</v>
      </c>
      <c r="N27" s="2" t="s">
        <v>13</v>
      </c>
      <c r="O27" s="2" t="s">
        <v>21</v>
      </c>
      <c r="P27" s="2" t="s">
        <v>20</v>
      </c>
      <c r="Q27" s="18" t="s">
        <v>14</v>
      </c>
      <c r="R27" s="18" t="s">
        <v>15</v>
      </c>
      <c r="S27" s="2" t="s">
        <v>16</v>
      </c>
    </row>
    <row r="28" spans="1:19" x14ac:dyDescent="0.25">
      <c r="A28" s="4"/>
      <c r="B28" s="4"/>
      <c r="C28" s="4"/>
      <c r="D28" s="5"/>
      <c r="E28" s="4"/>
      <c r="F28" s="4"/>
      <c r="G28" s="5"/>
      <c r="H28" s="5"/>
      <c r="I28" s="4"/>
      <c r="J28" s="16"/>
      <c r="K28" s="4"/>
      <c r="L28" s="4"/>
      <c r="M28" s="4"/>
      <c r="N28" s="14"/>
      <c r="O28" s="4"/>
      <c r="P28" s="21"/>
      <c r="Q28" s="19"/>
      <c r="R28" s="19"/>
      <c r="S28" s="7"/>
    </row>
    <row r="29" spans="1:19" x14ac:dyDescent="0.25">
      <c r="A29" s="4"/>
      <c r="B29" s="4"/>
      <c r="C29" s="4"/>
      <c r="D29" s="5"/>
      <c r="E29" s="4"/>
      <c r="F29" s="4"/>
      <c r="G29" s="5"/>
      <c r="H29" s="5"/>
      <c r="I29" s="4"/>
      <c r="J29" s="16"/>
      <c r="K29" s="4"/>
      <c r="L29" s="4"/>
      <c r="M29" s="4"/>
      <c r="N29" s="21"/>
      <c r="O29" s="4"/>
      <c r="P29" s="21"/>
      <c r="Q29" s="19"/>
      <c r="R29" s="19"/>
      <c r="S29" s="7"/>
    </row>
    <row r="30" spans="1:19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6"/>
      <c r="K30" s="4"/>
      <c r="L30" s="15"/>
      <c r="M30" s="15"/>
      <c r="N30" s="14"/>
      <c r="O30" s="15"/>
      <c r="P30" s="14"/>
      <c r="Q30" s="8"/>
      <c r="R30" s="19"/>
      <c r="S30" s="7"/>
    </row>
    <row r="31" spans="1:19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6"/>
      <c r="K31" s="4"/>
      <c r="L31" s="15"/>
      <c r="M31" s="15"/>
      <c r="N31" s="14"/>
      <c r="O31" s="15"/>
      <c r="P31" s="14"/>
      <c r="Q31" s="8"/>
      <c r="R31" s="19"/>
      <c r="S31" s="7"/>
    </row>
    <row r="32" spans="1:19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6"/>
      <c r="K32" s="4"/>
      <c r="L32" s="15"/>
      <c r="M32" s="15"/>
      <c r="N32" s="14"/>
      <c r="O32" s="15"/>
      <c r="P32" s="14"/>
      <c r="Q32" s="8"/>
      <c r="R32" s="19"/>
      <c r="S32" s="7"/>
    </row>
    <row r="33" spans="1:19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6"/>
      <c r="K33" s="4"/>
      <c r="L33" s="15"/>
      <c r="M33" s="15"/>
      <c r="N33" s="14"/>
      <c r="O33" s="15"/>
      <c r="P33" s="14"/>
      <c r="Q33" s="8"/>
      <c r="R33" s="19"/>
      <c r="S33" s="7"/>
    </row>
    <row r="34" spans="1:19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6"/>
      <c r="K34" s="4"/>
      <c r="L34" s="15"/>
      <c r="M34" s="15"/>
      <c r="N34" s="14"/>
      <c r="O34" s="15"/>
      <c r="P34" s="14"/>
      <c r="Q34" s="8"/>
      <c r="R34" s="19"/>
      <c r="S34" s="7"/>
    </row>
    <row r="35" spans="1:19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6"/>
      <c r="K35" s="4"/>
      <c r="L35" s="15"/>
      <c r="M35" s="15"/>
      <c r="N35" s="14"/>
      <c r="O35" s="15"/>
      <c r="P35" s="14"/>
      <c r="Q35" s="8"/>
      <c r="R35" s="19"/>
      <c r="S35" s="7"/>
    </row>
    <row r="36" spans="1:19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6"/>
      <c r="K36" s="4"/>
      <c r="L36" s="15"/>
      <c r="M36" s="15"/>
      <c r="N36" s="14"/>
      <c r="O36" s="15"/>
      <c r="P36" s="14"/>
      <c r="Q36" s="8"/>
      <c r="R36" s="19"/>
      <c r="S36" s="7"/>
    </row>
    <row r="37" spans="1:19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6"/>
      <c r="K37" s="4"/>
      <c r="L37" s="15"/>
      <c r="M37" s="15"/>
      <c r="N37" s="14"/>
      <c r="O37" s="15"/>
      <c r="P37" s="14"/>
      <c r="Q37" s="8"/>
      <c r="R37" s="19"/>
      <c r="S37" s="7"/>
    </row>
    <row r="38" spans="1:19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6"/>
      <c r="K38" s="4"/>
      <c r="L38" s="15"/>
      <c r="M38" s="15"/>
      <c r="N38" s="14"/>
      <c r="O38" s="15"/>
      <c r="P38" s="14"/>
      <c r="Q38" s="8"/>
      <c r="R38" s="19"/>
      <c r="S38" s="7"/>
    </row>
    <row r="39" spans="1:19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6"/>
      <c r="K39" s="4"/>
      <c r="L39" s="15"/>
      <c r="M39" s="15"/>
      <c r="N39" s="14"/>
      <c r="O39" s="15"/>
      <c r="P39" s="14"/>
      <c r="Q39" s="8"/>
      <c r="R39" s="19"/>
      <c r="S39" s="7"/>
    </row>
    <row r="40" spans="1:19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6"/>
      <c r="K40" s="4"/>
      <c r="L40" s="15"/>
      <c r="M40" s="15"/>
      <c r="N40" s="14"/>
      <c r="O40" s="15"/>
      <c r="P40" s="14"/>
      <c r="Q40" s="8"/>
      <c r="R40" s="19"/>
      <c r="S40" s="7"/>
    </row>
    <row r="41" spans="1:19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6"/>
      <c r="K41" s="4"/>
      <c r="L41" s="15"/>
      <c r="M41" s="15"/>
      <c r="N41" s="14"/>
      <c r="O41" s="15"/>
      <c r="P41" s="14"/>
      <c r="Q41" s="8"/>
      <c r="R41" s="19"/>
      <c r="S41" s="7"/>
    </row>
    <row r="42" spans="1:19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6"/>
      <c r="K42" s="4"/>
      <c r="L42" s="15"/>
      <c r="M42" s="15"/>
      <c r="N42" s="14"/>
      <c r="O42" s="15"/>
      <c r="P42" s="14"/>
      <c r="Q42" s="8"/>
      <c r="R42" s="19"/>
      <c r="S42" s="7"/>
    </row>
    <row r="43" spans="1:19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6"/>
      <c r="K43" s="4"/>
      <c r="L43" s="15"/>
      <c r="M43" s="15"/>
      <c r="N43" s="14"/>
      <c r="O43" s="15"/>
      <c r="P43" s="14"/>
      <c r="Q43" s="8"/>
      <c r="R43" s="19"/>
      <c r="S43" s="7"/>
    </row>
    <row r="44" spans="1:19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6"/>
      <c r="K44" s="4"/>
      <c r="L44" s="15"/>
      <c r="M44" s="15"/>
      <c r="N44" s="14"/>
      <c r="O44" s="15"/>
      <c r="P44" s="14"/>
      <c r="Q44" s="8"/>
      <c r="R44" s="19"/>
      <c r="S44" s="7"/>
    </row>
    <row r="45" spans="1:19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6"/>
      <c r="K45" s="4"/>
      <c r="L45" s="15"/>
      <c r="M45" s="15"/>
      <c r="N45" s="14"/>
      <c r="O45" s="15"/>
      <c r="P45" s="14"/>
      <c r="Q45" s="8"/>
      <c r="R45" s="19"/>
      <c r="S45" s="7"/>
    </row>
    <row r="46" spans="1:19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6"/>
      <c r="K46" s="4"/>
      <c r="L46" s="15"/>
      <c r="M46" s="15"/>
      <c r="N46" s="14"/>
      <c r="O46" s="15"/>
      <c r="P46" s="14"/>
      <c r="Q46" s="8"/>
      <c r="R46" s="19"/>
      <c r="S46" s="7"/>
    </row>
    <row r="47" spans="1:19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6"/>
      <c r="K47" s="4"/>
      <c r="L47" s="15"/>
      <c r="M47" s="15"/>
      <c r="N47" s="14"/>
      <c r="O47" s="15"/>
      <c r="P47" s="14"/>
      <c r="Q47" s="8"/>
      <c r="R47" s="19"/>
      <c r="S47" s="7"/>
    </row>
    <row r="48" spans="1:19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0" t="s">
        <v>15</v>
      </c>
      <c r="M48" s="9" t="s">
        <v>17</v>
      </c>
      <c r="N48" s="11">
        <f>SUM(N28:N47)</f>
        <v>0</v>
      </c>
      <c r="O48" s="11"/>
      <c r="P48" s="11">
        <f>SUM(P28:P47)</f>
        <v>0</v>
      </c>
      <c r="Q48" s="17">
        <f>SUM(Q30:Q47)</f>
        <v>0</v>
      </c>
      <c r="R48" s="17">
        <f>SUM(R28:R47)</f>
        <v>0</v>
      </c>
      <c r="S48" s="9" t="s">
        <v>22</v>
      </c>
    </row>
  </sheetData>
  <autoFilter ref="A1:S25" xr:uid="{9A64DEA2-5E90-4A7E-AC04-18C4F62A0527}"/>
  <phoneticPr fontId="2" type="noConversion"/>
  <pageMargins left="0.7" right="0.7" top="0.75" bottom="0.75" header="0.3" footer="0.3"/>
  <ignoredErrors>
    <ignoredError sqref="Q24 Q4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Knock Off 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Neuroy Gonsalves</cp:lastModifiedBy>
  <dcterms:created xsi:type="dcterms:W3CDTF">2026-01-19T10:42:57Z</dcterms:created>
  <dcterms:modified xsi:type="dcterms:W3CDTF">2026-04-18T08:57:32Z</dcterms:modified>
</cp:coreProperties>
</file>