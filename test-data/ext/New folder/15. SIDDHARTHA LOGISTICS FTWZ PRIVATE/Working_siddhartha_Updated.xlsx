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5. SIDDHARTHA LOGISTICS FTWZ PRIVATE\"/>
    </mc:Choice>
  </mc:AlternateContent>
  <xr:revisionPtr revIDLastSave="0" documentId="13_ncr:1_{A5C726A6-0077-4210-AB3D-B6F1E28151A8}" xr6:coauthVersionLast="47" xr6:coauthVersionMax="47" xr10:uidLastSave="{00000000-0000-0000-0000-000000000000}"/>
  <bookViews>
    <workbookView xWindow="-110" yWindow="-110" windowWidth="21820" windowHeight="14020" tabRatio="1000" activeTab="2" xr2:uid="{288195B2-51DD-4CB3-B544-E26D18E5C989}"/>
  </bookViews>
  <sheets>
    <sheet name="Summary" sheetId="7" r:id="rId1"/>
    <sheet name="Invoices not in Customer books" sheetId="10" r:id="rId2"/>
    <sheet name="Ascendus Ledger" sheetId="5" r:id="rId3"/>
    <sheet name="CL Ledger" sheetId="3" state="hidden" r:id="rId4"/>
    <sheet name="TDS" sheetId="9" r:id="rId5"/>
    <sheet name="Customer ledger" sheetId="4" r:id="rId6"/>
    <sheet name="Invoice Not in Customer Book" sheetId="6" state="hidden" r:id="rId7"/>
    <sheet name="Payment Reco" sheetId="8" r:id="rId8"/>
  </sheets>
  <externalReferences>
    <externalReference r:id="rId9"/>
  </externalReferences>
  <definedNames>
    <definedName name="_xlnm._FilterDatabase" localSheetId="2" hidden="1">'Ascendus Ledger'!$A$1:$Q$202</definedName>
    <definedName name="_xlnm._FilterDatabase" localSheetId="3" hidden="1">'CL Ledger'!$H$1:$AH$226</definedName>
    <definedName name="_xlnm._FilterDatabase" localSheetId="5" hidden="1">'Customer ledger'!$A$2:$G$158</definedName>
    <definedName name="_xlnm._FilterDatabase" localSheetId="6" hidden="1">'Invoice Not in Customer Book'!$A$1:$P$12</definedName>
    <definedName name="_xlnm._FilterDatabase" localSheetId="1" hidden="1">'Invoices not in Customer books'!$A$1:$J$8</definedName>
    <definedName name="_xlnm.Print_Area" localSheetId="7">'Payment Reco'!$A$1:$H$8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7" l="1"/>
  <c r="F154" i="9"/>
  <c r="G8" i="10"/>
  <c r="B7" i="7" s="1"/>
  <c r="I7" i="10" l="1"/>
  <c r="I6" i="10"/>
  <c r="I5" i="10"/>
  <c r="I4" i="10"/>
  <c r="I3" i="10"/>
  <c r="I2" i="10"/>
  <c r="E7" i="10"/>
  <c r="E6" i="10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" i="5"/>
  <c r="I8" i="8"/>
  <c r="B6" i="7"/>
  <c r="D154" i="9"/>
  <c r="E153" i="9"/>
  <c r="F153" i="9" s="1"/>
  <c r="G153" i="9" s="1"/>
  <c r="E152" i="9"/>
  <c r="F152" i="9" s="1"/>
  <c r="G152" i="9" s="1"/>
  <c r="E151" i="9"/>
  <c r="F151" i="9" s="1"/>
  <c r="G151" i="9" s="1"/>
  <c r="E150" i="9"/>
  <c r="F150" i="9" s="1"/>
  <c r="G150" i="9" s="1"/>
  <c r="E149" i="9"/>
  <c r="F149" i="9" s="1"/>
  <c r="G149" i="9" s="1"/>
  <c r="E148" i="9"/>
  <c r="F148" i="9" s="1"/>
  <c r="G148" i="9" s="1"/>
  <c r="E146" i="9"/>
  <c r="F146" i="9" s="1"/>
  <c r="G146" i="9" s="1"/>
  <c r="E145" i="9"/>
  <c r="F145" i="9" s="1"/>
  <c r="G145" i="9" s="1"/>
  <c r="E144" i="9"/>
  <c r="F144" i="9" s="1"/>
  <c r="G144" i="9" s="1"/>
  <c r="E143" i="9"/>
  <c r="F143" i="9" s="1"/>
  <c r="G143" i="9" s="1"/>
  <c r="E142" i="9"/>
  <c r="F142" i="9" s="1"/>
  <c r="G142" i="9" s="1"/>
  <c r="E141" i="9"/>
  <c r="F141" i="9" s="1"/>
  <c r="G141" i="9" s="1"/>
  <c r="E139" i="9"/>
  <c r="F139" i="9" s="1"/>
  <c r="G139" i="9" s="1"/>
  <c r="E138" i="9"/>
  <c r="F138" i="9" s="1"/>
  <c r="G138" i="9" s="1"/>
  <c r="E137" i="9"/>
  <c r="F137" i="9" s="1"/>
  <c r="G137" i="9" s="1"/>
  <c r="E136" i="9"/>
  <c r="F136" i="9" s="1"/>
  <c r="G136" i="9" s="1"/>
  <c r="E135" i="9"/>
  <c r="F135" i="9" s="1"/>
  <c r="G135" i="9" s="1"/>
  <c r="E134" i="9"/>
  <c r="F134" i="9" s="1"/>
  <c r="G134" i="9" s="1"/>
  <c r="E133" i="9"/>
  <c r="F133" i="9" s="1"/>
  <c r="G133" i="9" s="1"/>
  <c r="E132" i="9"/>
  <c r="F132" i="9" s="1"/>
  <c r="G132" i="9" s="1"/>
  <c r="E131" i="9"/>
  <c r="F131" i="9" s="1"/>
  <c r="G131" i="9" s="1"/>
  <c r="E130" i="9"/>
  <c r="F130" i="9" s="1"/>
  <c r="G130" i="9" s="1"/>
  <c r="E129" i="9"/>
  <c r="F129" i="9" s="1"/>
  <c r="G129" i="9" s="1"/>
  <c r="E127" i="9"/>
  <c r="F127" i="9" s="1"/>
  <c r="G127" i="9" s="1"/>
  <c r="E126" i="9"/>
  <c r="F126" i="9" s="1"/>
  <c r="G126" i="9" s="1"/>
  <c r="E125" i="9"/>
  <c r="F125" i="9" s="1"/>
  <c r="G125" i="9" s="1"/>
  <c r="E124" i="9"/>
  <c r="F124" i="9" s="1"/>
  <c r="G124" i="9" s="1"/>
  <c r="E123" i="9"/>
  <c r="F123" i="9" s="1"/>
  <c r="G123" i="9" s="1"/>
  <c r="E122" i="9"/>
  <c r="F122" i="9" s="1"/>
  <c r="G122" i="9" s="1"/>
  <c r="E121" i="9"/>
  <c r="F121" i="9" s="1"/>
  <c r="G121" i="9" s="1"/>
  <c r="E120" i="9"/>
  <c r="F120" i="9" s="1"/>
  <c r="G120" i="9" s="1"/>
  <c r="E119" i="9"/>
  <c r="F119" i="9" s="1"/>
  <c r="G119" i="9" s="1"/>
  <c r="E118" i="9"/>
  <c r="F118" i="9" s="1"/>
  <c r="G118" i="9" s="1"/>
  <c r="E117" i="9"/>
  <c r="F117" i="9" s="1"/>
  <c r="G117" i="9" s="1"/>
  <c r="E115" i="9"/>
  <c r="F115" i="9" s="1"/>
  <c r="G115" i="9" s="1"/>
  <c r="E114" i="9"/>
  <c r="F114" i="9" s="1"/>
  <c r="G114" i="9" s="1"/>
  <c r="E113" i="9"/>
  <c r="F113" i="9" s="1"/>
  <c r="G113" i="9" s="1"/>
  <c r="E112" i="9"/>
  <c r="F112" i="9" s="1"/>
  <c r="G112" i="9" s="1"/>
  <c r="E111" i="9"/>
  <c r="F111" i="9" s="1"/>
  <c r="G111" i="9" s="1"/>
  <c r="E110" i="9"/>
  <c r="F110" i="9" s="1"/>
  <c r="G110" i="9" s="1"/>
  <c r="E109" i="9"/>
  <c r="F109" i="9" s="1"/>
  <c r="G109" i="9" s="1"/>
  <c r="E107" i="9"/>
  <c r="F107" i="9" s="1"/>
  <c r="G107" i="9" s="1"/>
  <c r="E106" i="9"/>
  <c r="F106" i="9" s="1"/>
  <c r="G106" i="9" s="1"/>
  <c r="E105" i="9"/>
  <c r="F105" i="9" s="1"/>
  <c r="G105" i="9" s="1"/>
  <c r="E104" i="9"/>
  <c r="F104" i="9" s="1"/>
  <c r="G104" i="9" s="1"/>
  <c r="E103" i="9"/>
  <c r="F103" i="9" s="1"/>
  <c r="G103" i="9" s="1"/>
  <c r="E102" i="9"/>
  <c r="F102" i="9" s="1"/>
  <c r="G102" i="9" s="1"/>
  <c r="E101" i="9"/>
  <c r="F101" i="9" s="1"/>
  <c r="G101" i="9" s="1"/>
  <c r="E100" i="9"/>
  <c r="F100" i="9" s="1"/>
  <c r="G100" i="9" s="1"/>
  <c r="E99" i="9"/>
  <c r="F99" i="9" s="1"/>
  <c r="G99" i="9" s="1"/>
  <c r="E98" i="9"/>
  <c r="F98" i="9" s="1"/>
  <c r="G98" i="9" s="1"/>
  <c r="E97" i="9"/>
  <c r="F97" i="9" s="1"/>
  <c r="G97" i="9" s="1"/>
  <c r="E96" i="9"/>
  <c r="F96" i="9" s="1"/>
  <c r="G96" i="9" s="1"/>
  <c r="E95" i="9"/>
  <c r="F95" i="9" s="1"/>
  <c r="G95" i="9" s="1"/>
  <c r="E94" i="9"/>
  <c r="F94" i="9" s="1"/>
  <c r="G94" i="9" s="1"/>
  <c r="E93" i="9"/>
  <c r="F93" i="9" s="1"/>
  <c r="G93" i="9" s="1"/>
  <c r="E92" i="9"/>
  <c r="F92" i="9" s="1"/>
  <c r="G92" i="9" s="1"/>
  <c r="E89" i="9"/>
  <c r="F89" i="9" s="1"/>
  <c r="G89" i="9" s="1"/>
  <c r="E88" i="9"/>
  <c r="F88" i="9" s="1"/>
  <c r="G88" i="9" s="1"/>
  <c r="E87" i="9"/>
  <c r="F87" i="9" s="1"/>
  <c r="G87" i="9" s="1"/>
  <c r="E86" i="9"/>
  <c r="F86" i="9" s="1"/>
  <c r="G86" i="9" s="1"/>
  <c r="E85" i="9"/>
  <c r="F85" i="9" s="1"/>
  <c r="G85" i="9" s="1"/>
  <c r="E84" i="9"/>
  <c r="F84" i="9" s="1"/>
  <c r="G84" i="9" s="1"/>
  <c r="E83" i="9"/>
  <c r="F83" i="9" s="1"/>
  <c r="G83" i="9" s="1"/>
  <c r="E82" i="9"/>
  <c r="F82" i="9" s="1"/>
  <c r="G82" i="9" s="1"/>
  <c r="E81" i="9"/>
  <c r="F81" i="9" s="1"/>
  <c r="G81" i="9" s="1"/>
  <c r="E80" i="9"/>
  <c r="F80" i="9" s="1"/>
  <c r="G80" i="9" s="1"/>
  <c r="E79" i="9"/>
  <c r="F79" i="9" s="1"/>
  <c r="G79" i="9" s="1"/>
  <c r="E78" i="9"/>
  <c r="F78" i="9" s="1"/>
  <c r="G78" i="9" s="1"/>
  <c r="E77" i="9"/>
  <c r="F77" i="9" s="1"/>
  <c r="G77" i="9" s="1"/>
  <c r="E76" i="9"/>
  <c r="F76" i="9" s="1"/>
  <c r="G76" i="9" s="1"/>
  <c r="E75" i="9"/>
  <c r="F75" i="9" s="1"/>
  <c r="G75" i="9" s="1"/>
  <c r="E74" i="9"/>
  <c r="F74" i="9" s="1"/>
  <c r="G74" i="9" s="1"/>
  <c r="E73" i="9"/>
  <c r="F73" i="9" s="1"/>
  <c r="G73" i="9" s="1"/>
  <c r="E72" i="9"/>
  <c r="F72" i="9" s="1"/>
  <c r="G72" i="9" s="1"/>
  <c r="E71" i="9"/>
  <c r="F71" i="9" s="1"/>
  <c r="G71" i="9" s="1"/>
  <c r="E70" i="9"/>
  <c r="F70" i="9" s="1"/>
  <c r="G70" i="9" s="1"/>
  <c r="E69" i="9"/>
  <c r="F69" i="9" s="1"/>
  <c r="G69" i="9" s="1"/>
  <c r="E68" i="9"/>
  <c r="F68" i="9" s="1"/>
  <c r="G68" i="9" s="1"/>
  <c r="E67" i="9"/>
  <c r="F67" i="9" s="1"/>
  <c r="G67" i="9" s="1"/>
  <c r="E66" i="9"/>
  <c r="F66" i="9" s="1"/>
  <c r="G66" i="9" s="1"/>
  <c r="E65" i="9"/>
  <c r="F65" i="9" s="1"/>
  <c r="G65" i="9" s="1"/>
  <c r="E64" i="9"/>
  <c r="F64" i="9" s="1"/>
  <c r="G64" i="9" s="1"/>
  <c r="E63" i="9"/>
  <c r="F63" i="9" s="1"/>
  <c r="G63" i="9" s="1"/>
  <c r="E62" i="9"/>
  <c r="F62" i="9" s="1"/>
  <c r="G62" i="9" s="1"/>
  <c r="E61" i="9"/>
  <c r="F61" i="9" s="1"/>
  <c r="G61" i="9" s="1"/>
  <c r="E60" i="9"/>
  <c r="F60" i="9" s="1"/>
  <c r="G60" i="9" s="1"/>
  <c r="E59" i="9"/>
  <c r="F59" i="9" s="1"/>
  <c r="G59" i="9" s="1"/>
  <c r="E58" i="9"/>
  <c r="F58" i="9" s="1"/>
  <c r="G58" i="9" s="1"/>
  <c r="E57" i="9"/>
  <c r="F57" i="9" s="1"/>
  <c r="G57" i="9" s="1"/>
  <c r="E56" i="9"/>
  <c r="F56" i="9" s="1"/>
  <c r="G56" i="9" s="1"/>
  <c r="E55" i="9"/>
  <c r="F55" i="9" s="1"/>
  <c r="G55" i="9" s="1"/>
  <c r="E54" i="9"/>
  <c r="F54" i="9" s="1"/>
  <c r="G54" i="9" s="1"/>
  <c r="E53" i="9"/>
  <c r="F53" i="9" s="1"/>
  <c r="G53" i="9" s="1"/>
  <c r="E52" i="9"/>
  <c r="F52" i="9" s="1"/>
  <c r="G52" i="9" s="1"/>
  <c r="E51" i="9"/>
  <c r="F51" i="9" s="1"/>
  <c r="G51" i="9" s="1"/>
  <c r="E50" i="9"/>
  <c r="F50" i="9" s="1"/>
  <c r="G50" i="9" s="1"/>
  <c r="E49" i="9"/>
  <c r="F49" i="9" s="1"/>
  <c r="G49" i="9" s="1"/>
  <c r="E48" i="9"/>
  <c r="F48" i="9" s="1"/>
  <c r="G48" i="9" s="1"/>
  <c r="E47" i="9"/>
  <c r="F47" i="9" s="1"/>
  <c r="G47" i="9" s="1"/>
  <c r="E46" i="9"/>
  <c r="F46" i="9" s="1"/>
  <c r="G46" i="9" s="1"/>
  <c r="E45" i="9"/>
  <c r="F45" i="9" s="1"/>
  <c r="G45" i="9" s="1"/>
  <c r="E44" i="9"/>
  <c r="F44" i="9" s="1"/>
  <c r="G44" i="9" s="1"/>
  <c r="E43" i="9"/>
  <c r="F43" i="9" s="1"/>
  <c r="G43" i="9" s="1"/>
  <c r="E42" i="9"/>
  <c r="F42" i="9" s="1"/>
  <c r="G42" i="9" s="1"/>
  <c r="E41" i="9"/>
  <c r="F41" i="9" s="1"/>
  <c r="G41" i="9" s="1"/>
  <c r="E40" i="9"/>
  <c r="F40" i="9" s="1"/>
  <c r="G40" i="9" s="1"/>
  <c r="E39" i="9"/>
  <c r="F39" i="9" s="1"/>
  <c r="G39" i="9" s="1"/>
  <c r="E38" i="9"/>
  <c r="F38" i="9" s="1"/>
  <c r="G38" i="9" s="1"/>
  <c r="E37" i="9"/>
  <c r="F37" i="9" s="1"/>
  <c r="G37" i="9" s="1"/>
  <c r="E36" i="9"/>
  <c r="F36" i="9" s="1"/>
  <c r="G36" i="9" s="1"/>
  <c r="E35" i="9"/>
  <c r="F35" i="9" s="1"/>
  <c r="G35" i="9" s="1"/>
  <c r="E34" i="9"/>
  <c r="F34" i="9" s="1"/>
  <c r="G34" i="9" s="1"/>
  <c r="E33" i="9"/>
  <c r="F33" i="9" s="1"/>
  <c r="G33" i="9" s="1"/>
  <c r="E32" i="9"/>
  <c r="F32" i="9" s="1"/>
  <c r="G32" i="9" s="1"/>
  <c r="E31" i="9"/>
  <c r="F31" i="9" s="1"/>
  <c r="G31" i="9" s="1"/>
  <c r="E30" i="9"/>
  <c r="F30" i="9" s="1"/>
  <c r="G30" i="9" s="1"/>
  <c r="E29" i="9"/>
  <c r="F29" i="9" s="1"/>
  <c r="G29" i="9" s="1"/>
  <c r="E28" i="9"/>
  <c r="F28" i="9" s="1"/>
  <c r="G28" i="9" s="1"/>
  <c r="E27" i="9"/>
  <c r="F27" i="9" s="1"/>
  <c r="G27" i="9" s="1"/>
  <c r="E26" i="9"/>
  <c r="F26" i="9" s="1"/>
  <c r="G26" i="9" s="1"/>
  <c r="E25" i="9"/>
  <c r="F25" i="9" s="1"/>
  <c r="G25" i="9" s="1"/>
  <c r="E24" i="9"/>
  <c r="F24" i="9" s="1"/>
  <c r="G24" i="9" s="1"/>
  <c r="E23" i="9"/>
  <c r="F23" i="9" s="1"/>
  <c r="G23" i="9" s="1"/>
  <c r="E22" i="9"/>
  <c r="F22" i="9" s="1"/>
  <c r="G22" i="9" s="1"/>
  <c r="E21" i="9"/>
  <c r="F21" i="9" s="1"/>
  <c r="G21" i="9" s="1"/>
  <c r="E20" i="9"/>
  <c r="F20" i="9" s="1"/>
  <c r="G20" i="9" s="1"/>
  <c r="E19" i="9"/>
  <c r="F19" i="9" s="1"/>
  <c r="G19" i="9" s="1"/>
  <c r="E18" i="9"/>
  <c r="F18" i="9" s="1"/>
  <c r="G18" i="9" s="1"/>
  <c r="E17" i="9"/>
  <c r="F17" i="9" s="1"/>
  <c r="G17" i="9" s="1"/>
  <c r="E16" i="9"/>
  <c r="F16" i="9" s="1"/>
  <c r="G16" i="9" s="1"/>
  <c r="E15" i="9"/>
  <c r="F15" i="9" s="1"/>
  <c r="G15" i="9" s="1"/>
  <c r="E14" i="9"/>
  <c r="F14" i="9" s="1"/>
  <c r="G14" i="9" s="1"/>
  <c r="E13" i="9"/>
  <c r="F13" i="9" s="1"/>
  <c r="G13" i="9" s="1"/>
  <c r="E12" i="9"/>
  <c r="F12" i="9" s="1"/>
  <c r="G12" i="9" s="1"/>
  <c r="E11" i="9"/>
  <c r="F11" i="9" s="1"/>
  <c r="G11" i="9" s="1"/>
  <c r="E10" i="9"/>
  <c r="F10" i="9" s="1"/>
  <c r="G10" i="9" s="1"/>
  <c r="E9" i="9"/>
  <c r="F9" i="9" s="1"/>
  <c r="G9" i="9" s="1"/>
  <c r="E8" i="9"/>
  <c r="F8" i="9" s="1"/>
  <c r="G8" i="9" s="1"/>
  <c r="E7" i="9"/>
  <c r="F7" i="9" s="1"/>
  <c r="G7" i="9" s="1"/>
  <c r="E6" i="9"/>
  <c r="F6" i="9" s="1"/>
  <c r="G6" i="9" s="1"/>
  <c r="E5" i="9"/>
  <c r="F5" i="9" s="1"/>
  <c r="G5" i="9" s="1"/>
  <c r="E4" i="9"/>
  <c r="F4" i="9" s="1"/>
  <c r="G4" i="9" s="1"/>
  <c r="E3" i="9"/>
  <c r="F3" i="9" s="1"/>
  <c r="G3" i="9" s="1"/>
  <c r="G8" i="8"/>
  <c r="C8" i="8"/>
  <c r="I7" i="8"/>
  <c r="I6" i="8"/>
  <c r="I5" i="8"/>
  <c r="H4" i="8"/>
  <c r="H8" i="8" s="1"/>
  <c r="J13" i="6"/>
  <c r="H13" i="6"/>
  <c r="D158" i="4"/>
  <c r="C158" i="4"/>
  <c r="K201" i="5"/>
  <c r="K180" i="5"/>
  <c r="K179" i="5"/>
  <c r="K178" i="5"/>
  <c r="K177" i="5"/>
  <c r="K176" i="5"/>
  <c r="K164" i="5"/>
  <c r="K137" i="5"/>
  <c r="K136" i="5"/>
  <c r="K135" i="5"/>
  <c r="K119" i="5"/>
  <c r="K118" i="5"/>
  <c r="K117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75" i="5"/>
  <c r="K174" i="5"/>
  <c r="K173" i="5"/>
  <c r="K172" i="5"/>
  <c r="K171" i="5"/>
  <c r="K170" i="5"/>
  <c r="K169" i="5"/>
  <c r="K168" i="5"/>
  <c r="K167" i="5"/>
  <c r="K166" i="5"/>
  <c r="K165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4" i="5"/>
  <c r="K133" i="5"/>
  <c r="K132" i="5"/>
  <c r="M132" i="5" s="1"/>
  <c r="K131" i="5"/>
  <c r="K130" i="5"/>
  <c r="K129" i="5"/>
  <c r="K128" i="5"/>
  <c r="K127" i="5"/>
  <c r="K126" i="5"/>
  <c r="K125" i="5"/>
  <c r="K124" i="5"/>
  <c r="K123" i="5"/>
  <c r="K122" i="5"/>
  <c r="K121" i="5"/>
  <c r="K120" i="5"/>
  <c r="K116" i="5"/>
  <c r="K115" i="5"/>
  <c r="K114" i="5"/>
  <c r="K113" i="5"/>
  <c r="K112" i="5"/>
  <c r="M112" i="5" s="1"/>
  <c r="K111" i="5"/>
  <c r="K110" i="5"/>
  <c r="K109" i="5"/>
  <c r="K108" i="5"/>
  <c r="K107" i="5"/>
  <c r="K106" i="5"/>
  <c r="K105" i="5"/>
  <c r="K104" i="5"/>
  <c r="K103" i="5"/>
  <c r="K102" i="5"/>
  <c r="K101" i="5"/>
  <c r="K100" i="5"/>
  <c r="M100" i="5" s="1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M79" i="5" s="1"/>
  <c r="K78" i="5"/>
  <c r="K77" i="5"/>
  <c r="K76" i="5"/>
  <c r="M76" i="5" s="1"/>
  <c r="K75" i="5"/>
  <c r="K74" i="5"/>
  <c r="K73" i="5"/>
  <c r="K72" i="5"/>
  <c r="K71" i="5"/>
  <c r="K70" i="5"/>
  <c r="K69" i="5"/>
  <c r="K68" i="5"/>
  <c r="K67" i="5"/>
  <c r="M67" i="5" s="1"/>
  <c r="K66" i="5"/>
  <c r="K65" i="5"/>
  <c r="K64" i="5"/>
  <c r="M64" i="5" s="1"/>
  <c r="K63" i="5"/>
  <c r="K62" i="5"/>
  <c r="K61" i="5"/>
  <c r="K60" i="5"/>
  <c r="K59" i="5"/>
  <c r="K58" i="5"/>
  <c r="K57" i="5"/>
  <c r="K56" i="5"/>
  <c r="K55" i="5"/>
  <c r="M55" i="5" s="1"/>
  <c r="K54" i="5"/>
  <c r="K53" i="5"/>
  <c r="K52" i="5"/>
  <c r="M52" i="5" s="1"/>
  <c r="K51" i="5"/>
  <c r="K50" i="5"/>
  <c r="K49" i="5"/>
  <c r="K48" i="5"/>
  <c r="K47" i="5"/>
  <c r="K46" i="5"/>
  <c r="K45" i="5"/>
  <c r="K44" i="5"/>
  <c r="K43" i="5"/>
  <c r="M43" i="5" s="1"/>
  <c r="K42" i="5"/>
  <c r="K41" i="5"/>
  <c r="K40" i="5"/>
  <c r="M40" i="5" s="1"/>
  <c r="K39" i="5"/>
  <c r="K38" i="5"/>
  <c r="K37" i="5"/>
  <c r="K36" i="5"/>
  <c r="K35" i="5"/>
  <c r="K34" i="5"/>
  <c r="K33" i="5"/>
  <c r="K32" i="5"/>
  <c r="K31" i="5"/>
  <c r="M31" i="5" s="1"/>
  <c r="K30" i="5"/>
  <c r="K29" i="5"/>
  <c r="K28" i="5"/>
  <c r="M28" i="5" s="1"/>
  <c r="K27" i="5"/>
  <c r="K26" i="5"/>
  <c r="K25" i="5"/>
  <c r="K24" i="5"/>
  <c r="K23" i="5"/>
  <c r="K22" i="5"/>
  <c r="K21" i="5"/>
  <c r="K20" i="5"/>
  <c r="K19" i="5"/>
  <c r="M19" i="5" s="1"/>
  <c r="K18" i="5"/>
  <c r="K17" i="5"/>
  <c r="K16" i="5"/>
  <c r="M16" i="5" s="1"/>
  <c r="K15" i="5"/>
  <c r="K14" i="5"/>
  <c r="K13" i="5"/>
  <c r="K12" i="5"/>
  <c r="K11" i="5"/>
  <c r="K10" i="5"/>
  <c r="K9" i="5"/>
  <c r="K8" i="5"/>
  <c r="K7" i="5"/>
  <c r="M7" i="5" s="1"/>
  <c r="K6" i="5"/>
  <c r="K5" i="5"/>
  <c r="K4" i="5"/>
  <c r="M4" i="5" s="1"/>
  <c r="K3" i="5"/>
  <c r="K2" i="5"/>
  <c r="E18" i="4"/>
  <c r="F18" i="4" s="1"/>
  <c r="G18" i="4" s="1"/>
  <c r="E29" i="4"/>
  <c r="F29" i="4" s="1"/>
  <c r="G29" i="4" s="1"/>
  <c r="E30" i="4"/>
  <c r="F30" i="4" s="1"/>
  <c r="G30" i="4" s="1"/>
  <c r="E31" i="4"/>
  <c r="F31" i="4" s="1"/>
  <c r="G31" i="4" s="1"/>
  <c r="E32" i="4"/>
  <c r="F32" i="4" s="1"/>
  <c r="G32" i="4" s="1"/>
  <c r="E109" i="4"/>
  <c r="F109" i="4" s="1"/>
  <c r="G109" i="4" s="1"/>
  <c r="E110" i="4"/>
  <c r="F110" i="4" s="1"/>
  <c r="G110" i="4" s="1"/>
  <c r="AA216" i="3"/>
  <c r="AA214" i="3"/>
  <c r="AA5" i="3"/>
  <c r="AA4" i="3"/>
  <c r="AA3" i="3"/>
  <c r="AA2" i="3"/>
  <c r="AA195" i="3"/>
  <c r="E147" i="4" s="1"/>
  <c r="F147" i="4" s="1"/>
  <c r="G147" i="4" s="1"/>
  <c r="AA21" i="3"/>
  <c r="E140" i="4" s="1"/>
  <c r="F140" i="4" s="1"/>
  <c r="G140" i="4" s="1"/>
  <c r="AA20" i="3"/>
  <c r="E128" i="4" s="1"/>
  <c r="F128" i="4" s="1"/>
  <c r="G128" i="4" s="1"/>
  <c r="AA19" i="3"/>
  <c r="E116" i="4" s="1"/>
  <c r="F116" i="4" s="1"/>
  <c r="G116" i="4" s="1"/>
  <c r="AA18" i="3"/>
  <c r="E108" i="4" s="1"/>
  <c r="F108" i="4" s="1"/>
  <c r="G108" i="4" s="1"/>
  <c r="AA17" i="3"/>
  <c r="E97" i="4" s="1"/>
  <c r="F97" i="4" s="1"/>
  <c r="G97" i="4" s="1"/>
  <c r="AA16" i="3"/>
  <c r="E91" i="4" s="1"/>
  <c r="F91" i="4" s="1"/>
  <c r="G91" i="4" s="1"/>
  <c r="AA15" i="3"/>
  <c r="E90" i="4" s="1"/>
  <c r="F90" i="4" s="1"/>
  <c r="G90" i="4" s="1"/>
  <c r="AA14" i="3"/>
  <c r="E78" i="4" s="1"/>
  <c r="F78" i="4" s="1"/>
  <c r="G78" i="4" s="1"/>
  <c r="AA226" i="3"/>
  <c r="AA225" i="3"/>
  <c r="AA224" i="3"/>
  <c r="AA223" i="3"/>
  <c r="AA222" i="3"/>
  <c r="AA221" i="3"/>
  <c r="AA220" i="3"/>
  <c r="AA219" i="3"/>
  <c r="AA218" i="3"/>
  <c r="AA217" i="3"/>
  <c r="AA215" i="3"/>
  <c r="AA213" i="3"/>
  <c r="AA212" i="3"/>
  <c r="AA211" i="3"/>
  <c r="AA210" i="3"/>
  <c r="AA209" i="3"/>
  <c r="AA208" i="3"/>
  <c r="AA207" i="3"/>
  <c r="AA206" i="3"/>
  <c r="AA205" i="3"/>
  <c r="AA204" i="3"/>
  <c r="AA203" i="3"/>
  <c r="AA201" i="3"/>
  <c r="AA200" i="3"/>
  <c r="E152" i="4" s="1"/>
  <c r="F152" i="4" s="1"/>
  <c r="G152" i="4" s="1"/>
  <c r="AA199" i="3"/>
  <c r="E151" i="4" s="1"/>
  <c r="F151" i="4" s="1"/>
  <c r="G151" i="4" s="1"/>
  <c r="AA198" i="3"/>
  <c r="E153" i="4" s="1"/>
  <c r="F153" i="4" s="1"/>
  <c r="G153" i="4" s="1"/>
  <c r="AA197" i="3"/>
  <c r="E150" i="4" s="1"/>
  <c r="F150" i="4" s="1"/>
  <c r="G150" i="4" s="1"/>
  <c r="AA196" i="3"/>
  <c r="E149" i="4" s="1"/>
  <c r="F149" i="4" s="1"/>
  <c r="G149" i="4" s="1"/>
  <c r="AA194" i="3"/>
  <c r="E148" i="4" s="1"/>
  <c r="F148" i="4" s="1"/>
  <c r="G148" i="4" s="1"/>
  <c r="AA193" i="3"/>
  <c r="E143" i="4" s="1"/>
  <c r="F143" i="4" s="1"/>
  <c r="G143" i="4" s="1"/>
  <c r="AA192" i="3"/>
  <c r="E146" i="4" s="1"/>
  <c r="F146" i="4" s="1"/>
  <c r="G146" i="4" s="1"/>
  <c r="AA191" i="3"/>
  <c r="E144" i="4" s="1"/>
  <c r="F144" i="4" s="1"/>
  <c r="G144" i="4" s="1"/>
  <c r="AA190" i="3"/>
  <c r="E145" i="4" s="1"/>
  <c r="F145" i="4" s="1"/>
  <c r="G145" i="4" s="1"/>
  <c r="AA189" i="3"/>
  <c r="AA188" i="3"/>
  <c r="AA187" i="3"/>
  <c r="AA186" i="3"/>
  <c r="E142" i="4" s="1"/>
  <c r="F142" i="4" s="1"/>
  <c r="G142" i="4" s="1"/>
  <c r="AA185" i="3"/>
  <c r="E114" i="4" s="1"/>
  <c r="F114" i="4" s="1"/>
  <c r="G114" i="4" s="1"/>
  <c r="AA184" i="3"/>
  <c r="AA183" i="3"/>
  <c r="E136" i="4" s="1"/>
  <c r="F136" i="4" s="1"/>
  <c r="G136" i="4" s="1"/>
  <c r="AA182" i="3"/>
  <c r="AA181" i="3"/>
  <c r="E89" i="4" s="1"/>
  <c r="F89" i="4" s="1"/>
  <c r="G89" i="4" s="1"/>
  <c r="AA180" i="3"/>
  <c r="AA179" i="3"/>
  <c r="E96" i="4" s="1"/>
  <c r="F96" i="4" s="1"/>
  <c r="G96" i="4" s="1"/>
  <c r="AA178" i="3"/>
  <c r="E119" i="4" s="1"/>
  <c r="F119" i="4" s="1"/>
  <c r="G119" i="4" s="1"/>
  <c r="AA177" i="3"/>
  <c r="E120" i="4" s="1"/>
  <c r="F120" i="4" s="1"/>
  <c r="G120" i="4" s="1"/>
  <c r="AA176" i="3"/>
  <c r="AA175" i="3"/>
  <c r="E77" i="4" s="1"/>
  <c r="F77" i="4" s="1"/>
  <c r="G77" i="4" s="1"/>
  <c r="AA174" i="3"/>
  <c r="E115" i="4" s="1"/>
  <c r="F115" i="4" s="1"/>
  <c r="G115" i="4" s="1"/>
  <c r="AA173" i="3"/>
  <c r="E76" i="4" s="1"/>
  <c r="F76" i="4" s="1"/>
  <c r="G76" i="4" s="1"/>
  <c r="AA172" i="3"/>
  <c r="E75" i="4" s="1"/>
  <c r="F75" i="4" s="1"/>
  <c r="G75" i="4" s="1"/>
  <c r="AA171" i="3"/>
  <c r="E139" i="4" s="1"/>
  <c r="F139" i="4" s="1"/>
  <c r="G139" i="4" s="1"/>
  <c r="AA170" i="3"/>
  <c r="E138" i="4" s="1"/>
  <c r="F138" i="4" s="1"/>
  <c r="G138" i="4" s="1"/>
  <c r="AA169" i="3"/>
  <c r="AA168" i="3"/>
  <c r="AA167" i="3"/>
  <c r="E118" i="4" s="1"/>
  <c r="F118" i="4" s="1"/>
  <c r="G118" i="4" s="1"/>
  <c r="AA166" i="3"/>
  <c r="AA165" i="3"/>
  <c r="AA164" i="3"/>
  <c r="E74" i="4" s="1"/>
  <c r="F74" i="4" s="1"/>
  <c r="G74" i="4" s="1"/>
  <c r="AA163" i="3"/>
  <c r="E117" i="4" s="1"/>
  <c r="F117" i="4" s="1"/>
  <c r="G117" i="4" s="1"/>
  <c r="AA162" i="3"/>
  <c r="AA161" i="3"/>
  <c r="AA160" i="3"/>
  <c r="E49" i="4" s="1"/>
  <c r="F49" i="4" s="1"/>
  <c r="G49" i="4" s="1"/>
  <c r="AA159" i="3"/>
  <c r="E50" i="4" s="1"/>
  <c r="F50" i="4" s="1"/>
  <c r="G50" i="4" s="1"/>
  <c r="AA158" i="3"/>
  <c r="AA157" i="3"/>
  <c r="AA156" i="3"/>
  <c r="AA155" i="3"/>
  <c r="E82" i="4" s="1"/>
  <c r="F82" i="4" s="1"/>
  <c r="G82" i="4" s="1"/>
  <c r="AA154" i="3"/>
  <c r="AA153" i="3"/>
  <c r="E141" i="4" s="1"/>
  <c r="F141" i="4" s="1"/>
  <c r="G141" i="4" s="1"/>
  <c r="AA152" i="3"/>
  <c r="E106" i="4" s="1"/>
  <c r="F106" i="4" s="1"/>
  <c r="G106" i="4" s="1"/>
  <c r="AA151" i="3"/>
  <c r="E105" i="4" s="1"/>
  <c r="F105" i="4" s="1"/>
  <c r="G105" i="4" s="1"/>
  <c r="AA150" i="3"/>
  <c r="E107" i="4" s="1"/>
  <c r="F107" i="4" s="1"/>
  <c r="G107" i="4" s="1"/>
  <c r="AA149" i="3"/>
  <c r="E104" i="4" s="1"/>
  <c r="F104" i="4" s="1"/>
  <c r="G104" i="4" s="1"/>
  <c r="AA148" i="3"/>
  <c r="E9" i="4" s="1"/>
  <c r="F9" i="4" s="1"/>
  <c r="G9" i="4" s="1"/>
  <c r="AA147" i="3"/>
  <c r="E8" i="4" s="1"/>
  <c r="F8" i="4" s="1"/>
  <c r="G8" i="4" s="1"/>
  <c r="AA146" i="3"/>
  <c r="E4" i="4" s="1"/>
  <c r="F4" i="4" s="1"/>
  <c r="G4" i="4" s="1"/>
  <c r="AA145" i="3"/>
  <c r="E5" i="4" s="1"/>
  <c r="F5" i="4" s="1"/>
  <c r="G5" i="4" s="1"/>
  <c r="AA144" i="3"/>
  <c r="E7" i="4" s="1"/>
  <c r="F7" i="4" s="1"/>
  <c r="G7" i="4" s="1"/>
  <c r="AA143" i="3"/>
  <c r="E6" i="4" s="1"/>
  <c r="F6" i="4" s="1"/>
  <c r="G6" i="4" s="1"/>
  <c r="AA142" i="3"/>
  <c r="E3" i="4" s="1"/>
  <c r="F3" i="4" s="1"/>
  <c r="G3" i="4" s="1"/>
  <c r="AA141" i="3"/>
  <c r="E126" i="4" s="1"/>
  <c r="F126" i="4" s="1"/>
  <c r="G126" i="4" s="1"/>
  <c r="AA140" i="3"/>
  <c r="E43" i="4" s="1"/>
  <c r="F43" i="4" s="1"/>
  <c r="G43" i="4" s="1"/>
  <c r="AA139" i="3"/>
  <c r="E41" i="4" s="1"/>
  <c r="F41" i="4" s="1"/>
  <c r="G41" i="4" s="1"/>
  <c r="AA138" i="3"/>
  <c r="E47" i="4" s="1"/>
  <c r="F47" i="4" s="1"/>
  <c r="G47" i="4" s="1"/>
  <c r="AA137" i="3"/>
  <c r="E46" i="4" s="1"/>
  <c r="F46" i="4" s="1"/>
  <c r="G46" i="4" s="1"/>
  <c r="AA136" i="3"/>
  <c r="E44" i="4" s="1"/>
  <c r="F44" i="4" s="1"/>
  <c r="G44" i="4" s="1"/>
  <c r="AA135" i="3"/>
  <c r="E42" i="4" s="1"/>
  <c r="F42" i="4" s="1"/>
  <c r="G42" i="4" s="1"/>
  <c r="AA134" i="3"/>
  <c r="AA133" i="3"/>
  <c r="E33" i="4" s="1"/>
  <c r="F33" i="4" s="1"/>
  <c r="G33" i="4" s="1"/>
  <c r="AA132" i="3"/>
  <c r="E40" i="4" s="1"/>
  <c r="F40" i="4" s="1"/>
  <c r="G40" i="4" s="1"/>
  <c r="AA131" i="3"/>
  <c r="E45" i="4" s="1"/>
  <c r="F45" i="4" s="1"/>
  <c r="G45" i="4" s="1"/>
  <c r="AA130" i="3"/>
  <c r="AA129" i="3"/>
  <c r="AA128" i="3"/>
  <c r="AA127" i="3"/>
  <c r="E95" i="4" s="1"/>
  <c r="F95" i="4" s="1"/>
  <c r="G95" i="4" s="1"/>
  <c r="AA126" i="3"/>
  <c r="E94" i="4" s="1"/>
  <c r="F94" i="4" s="1"/>
  <c r="G94" i="4" s="1"/>
  <c r="AA125" i="3"/>
  <c r="E83" i="4" s="1"/>
  <c r="F83" i="4" s="1"/>
  <c r="G83" i="4" s="1"/>
  <c r="AA124" i="3"/>
  <c r="E80" i="4" s="1"/>
  <c r="F80" i="4" s="1"/>
  <c r="G80" i="4" s="1"/>
  <c r="AA123" i="3"/>
  <c r="E81" i="4" s="1"/>
  <c r="F81" i="4" s="1"/>
  <c r="G81" i="4" s="1"/>
  <c r="AA122" i="3"/>
  <c r="AA121" i="3"/>
  <c r="AA120" i="3"/>
  <c r="AA119" i="3"/>
  <c r="AA118" i="3"/>
  <c r="AA117" i="3"/>
  <c r="AA116" i="3"/>
  <c r="AA115" i="3"/>
  <c r="AA114" i="3"/>
  <c r="E88" i="4" s="1"/>
  <c r="F88" i="4" s="1"/>
  <c r="G88" i="4" s="1"/>
  <c r="AA113" i="3"/>
  <c r="E87" i="4" s="1"/>
  <c r="F87" i="4" s="1"/>
  <c r="G87" i="4" s="1"/>
  <c r="AA112" i="3"/>
  <c r="E86" i="4" s="1"/>
  <c r="F86" i="4" s="1"/>
  <c r="G86" i="4" s="1"/>
  <c r="AA111" i="3"/>
  <c r="E85" i="4" s="1"/>
  <c r="F85" i="4" s="1"/>
  <c r="G85" i="4" s="1"/>
  <c r="AA110" i="3"/>
  <c r="E84" i="4" s="1"/>
  <c r="F84" i="4" s="1"/>
  <c r="G84" i="4" s="1"/>
  <c r="AA109" i="3"/>
  <c r="E99" i="4" s="1"/>
  <c r="F99" i="4" s="1"/>
  <c r="G99" i="4" s="1"/>
  <c r="AA108" i="3"/>
  <c r="E100" i="4" s="1"/>
  <c r="F100" i="4" s="1"/>
  <c r="G100" i="4" s="1"/>
  <c r="AA107" i="3"/>
  <c r="E102" i="4" s="1"/>
  <c r="F102" i="4" s="1"/>
  <c r="G102" i="4" s="1"/>
  <c r="AA106" i="3"/>
  <c r="E101" i="4" s="1"/>
  <c r="F101" i="4" s="1"/>
  <c r="G101" i="4" s="1"/>
  <c r="AA105" i="3"/>
  <c r="E103" i="4" s="1"/>
  <c r="F103" i="4" s="1"/>
  <c r="G103" i="4" s="1"/>
  <c r="AA104" i="3"/>
  <c r="E98" i="4" s="1"/>
  <c r="F98" i="4" s="1"/>
  <c r="G98" i="4" s="1"/>
  <c r="AA103" i="3"/>
  <c r="E127" i="4" s="1"/>
  <c r="F127" i="4" s="1"/>
  <c r="G127" i="4" s="1"/>
  <c r="AA102" i="3"/>
  <c r="E135" i="4" s="1"/>
  <c r="F135" i="4" s="1"/>
  <c r="G135" i="4" s="1"/>
  <c r="AA101" i="3"/>
  <c r="E133" i="4" s="1"/>
  <c r="F133" i="4" s="1"/>
  <c r="G133" i="4" s="1"/>
  <c r="AA100" i="3"/>
  <c r="E132" i="4" s="1"/>
  <c r="F132" i="4" s="1"/>
  <c r="G132" i="4" s="1"/>
  <c r="AA99" i="3"/>
  <c r="E131" i="4" s="1"/>
  <c r="F131" i="4" s="1"/>
  <c r="G131" i="4" s="1"/>
  <c r="AA98" i="3"/>
  <c r="E130" i="4" s="1"/>
  <c r="F130" i="4" s="1"/>
  <c r="G130" i="4" s="1"/>
  <c r="AA97" i="3"/>
  <c r="E134" i="4" s="1"/>
  <c r="F134" i="4" s="1"/>
  <c r="G134" i="4" s="1"/>
  <c r="AA96" i="3"/>
  <c r="AA95" i="3"/>
  <c r="E129" i="4" s="1"/>
  <c r="F129" i="4" s="1"/>
  <c r="G129" i="4" s="1"/>
  <c r="AA94" i="3"/>
  <c r="E92" i="4" s="1"/>
  <c r="F92" i="4" s="1"/>
  <c r="G92" i="4" s="1"/>
  <c r="AA93" i="3"/>
  <c r="E93" i="4" s="1"/>
  <c r="F93" i="4" s="1"/>
  <c r="G93" i="4" s="1"/>
  <c r="AA92" i="3"/>
  <c r="AA91" i="3"/>
  <c r="E113" i="4" s="1"/>
  <c r="F113" i="4" s="1"/>
  <c r="G113" i="4" s="1"/>
  <c r="AA90" i="3"/>
  <c r="E111" i="4" s="1"/>
  <c r="F111" i="4" s="1"/>
  <c r="G111" i="4" s="1"/>
  <c r="AA89" i="3"/>
  <c r="E112" i="4" s="1"/>
  <c r="F112" i="4" s="1"/>
  <c r="G112" i="4" s="1"/>
  <c r="AA88" i="3"/>
  <c r="AA87" i="3"/>
  <c r="E28" i="4" s="1"/>
  <c r="F28" i="4" s="1"/>
  <c r="G28" i="4" s="1"/>
  <c r="AA86" i="3"/>
  <c r="E27" i="4" s="1"/>
  <c r="F27" i="4" s="1"/>
  <c r="G27" i="4" s="1"/>
  <c r="AA85" i="3"/>
  <c r="E26" i="4" s="1"/>
  <c r="F26" i="4" s="1"/>
  <c r="G26" i="4" s="1"/>
  <c r="AA84" i="3"/>
  <c r="E25" i="4" s="1"/>
  <c r="F25" i="4" s="1"/>
  <c r="G25" i="4" s="1"/>
  <c r="AA83" i="3"/>
  <c r="AA82" i="3"/>
  <c r="E34" i="4" s="1"/>
  <c r="F34" i="4" s="1"/>
  <c r="G34" i="4" s="1"/>
  <c r="AA81" i="3"/>
  <c r="AA80" i="3"/>
  <c r="AA79" i="3"/>
  <c r="AA78" i="3"/>
  <c r="AA77" i="3"/>
  <c r="E35" i="4" s="1"/>
  <c r="F35" i="4" s="1"/>
  <c r="G35" i="4" s="1"/>
  <c r="AA76" i="3"/>
  <c r="AA75" i="3"/>
  <c r="E73" i="4" s="1"/>
  <c r="F73" i="4" s="1"/>
  <c r="G73" i="4" s="1"/>
  <c r="AA74" i="3"/>
  <c r="E72" i="4" s="1"/>
  <c r="F72" i="4" s="1"/>
  <c r="G72" i="4" s="1"/>
  <c r="AA73" i="3"/>
  <c r="E53" i="4" s="1"/>
  <c r="F53" i="4" s="1"/>
  <c r="G53" i="4" s="1"/>
  <c r="AA72" i="3"/>
  <c r="E69" i="4" s="1"/>
  <c r="F69" i="4" s="1"/>
  <c r="G69" i="4" s="1"/>
  <c r="AA71" i="3"/>
  <c r="E71" i="4" s="1"/>
  <c r="F71" i="4" s="1"/>
  <c r="G71" i="4" s="1"/>
  <c r="AA70" i="3"/>
  <c r="E70" i="4" s="1"/>
  <c r="F70" i="4" s="1"/>
  <c r="G70" i="4" s="1"/>
  <c r="AA69" i="3"/>
  <c r="E62" i="4" s="1"/>
  <c r="F62" i="4" s="1"/>
  <c r="G62" i="4" s="1"/>
  <c r="AA68" i="3"/>
  <c r="E61" i="4" s="1"/>
  <c r="F61" i="4" s="1"/>
  <c r="G61" i="4" s="1"/>
  <c r="AA67" i="3"/>
  <c r="E60" i="4" s="1"/>
  <c r="F60" i="4" s="1"/>
  <c r="G60" i="4" s="1"/>
  <c r="AA66" i="3"/>
  <c r="E59" i="4" s="1"/>
  <c r="F59" i="4" s="1"/>
  <c r="G59" i="4" s="1"/>
  <c r="AA65" i="3"/>
  <c r="E58" i="4" s="1"/>
  <c r="F58" i="4" s="1"/>
  <c r="G58" i="4" s="1"/>
  <c r="AA64" i="3"/>
  <c r="E57" i="4" s="1"/>
  <c r="F57" i="4" s="1"/>
  <c r="G57" i="4" s="1"/>
  <c r="AA63" i="3"/>
  <c r="E56" i="4" s="1"/>
  <c r="F56" i="4" s="1"/>
  <c r="G56" i="4" s="1"/>
  <c r="AA62" i="3"/>
  <c r="E79" i="4" s="1"/>
  <c r="F79" i="4" s="1"/>
  <c r="G79" i="4" s="1"/>
  <c r="AA61" i="3"/>
  <c r="AA60" i="3"/>
  <c r="E55" i="4" s="1"/>
  <c r="F55" i="4" s="1"/>
  <c r="G55" i="4" s="1"/>
  <c r="AA59" i="3"/>
  <c r="E54" i="4" s="1"/>
  <c r="F54" i="4" s="1"/>
  <c r="G54" i="4" s="1"/>
  <c r="AA58" i="3"/>
  <c r="E67" i="4" s="1"/>
  <c r="F67" i="4" s="1"/>
  <c r="G67" i="4" s="1"/>
  <c r="AA57" i="3"/>
  <c r="E66" i="4" s="1"/>
  <c r="F66" i="4" s="1"/>
  <c r="G66" i="4" s="1"/>
  <c r="AA56" i="3"/>
  <c r="E65" i="4" s="1"/>
  <c r="F65" i="4" s="1"/>
  <c r="G65" i="4" s="1"/>
  <c r="AA55" i="3"/>
  <c r="E64" i="4" s="1"/>
  <c r="F64" i="4" s="1"/>
  <c r="G64" i="4" s="1"/>
  <c r="AA54" i="3"/>
  <c r="E63" i="4" s="1"/>
  <c r="F63" i="4" s="1"/>
  <c r="G63" i="4" s="1"/>
  <c r="AA53" i="3"/>
  <c r="E137" i="4" s="1"/>
  <c r="F137" i="4" s="1"/>
  <c r="G137" i="4" s="1"/>
  <c r="AA52" i="3"/>
  <c r="AA51" i="3"/>
  <c r="AA50" i="3"/>
  <c r="E10" i="4" s="1"/>
  <c r="F10" i="4" s="1"/>
  <c r="G10" i="4" s="1"/>
  <c r="AA49" i="3"/>
  <c r="E12" i="4" s="1"/>
  <c r="F12" i="4" s="1"/>
  <c r="G12" i="4" s="1"/>
  <c r="AA48" i="3"/>
  <c r="E13" i="4" s="1"/>
  <c r="F13" i="4" s="1"/>
  <c r="G13" i="4" s="1"/>
  <c r="AA47" i="3"/>
  <c r="E19" i="4" s="1"/>
  <c r="F19" i="4" s="1"/>
  <c r="G19" i="4" s="1"/>
  <c r="AA46" i="3"/>
  <c r="E16" i="4" s="1"/>
  <c r="F16" i="4" s="1"/>
  <c r="G16" i="4" s="1"/>
  <c r="AA45" i="3"/>
  <c r="E15" i="4" s="1"/>
  <c r="F15" i="4" s="1"/>
  <c r="G15" i="4" s="1"/>
  <c r="AA44" i="3"/>
  <c r="E11" i="4" s="1"/>
  <c r="F11" i="4" s="1"/>
  <c r="G11" i="4" s="1"/>
  <c r="AA43" i="3"/>
  <c r="E14" i="4" s="1"/>
  <c r="F14" i="4" s="1"/>
  <c r="G14" i="4" s="1"/>
  <c r="AA42" i="3"/>
  <c r="E123" i="4" s="1"/>
  <c r="F123" i="4" s="1"/>
  <c r="G123" i="4" s="1"/>
  <c r="AA41" i="3"/>
  <c r="E122" i="4" s="1"/>
  <c r="F122" i="4" s="1"/>
  <c r="G122" i="4" s="1"/>
  <c r="AA40" i="3"/>
  <c r="E121" i="4" s="1"/>
  <c r="F121" i="4" s="1"/>
  <c r="G121" i="4" s="1"/>
  <c r="AA39" i="3"/>
  <c r="AA38" i="3"/>
  <c r="E125" i="4" s="1"/>
  <c r="F125" i="4" s="1"/>
  <c r="G125" i="4" s="1"/>
  <c r="AA37" i="3"/>
  <c r="E124" i="4" s="1"/>
  <c r="F124" i="4" s="1"/>
  <c r="G124" i="4" s="1"/>
  <c r="AA36" i="3"/>
  <c r="E37" i="4" s="1"/>
  <c r="F37" i="4" s="1"/>
  <c r="G37" i="4" s="1"/>
  <c r="AA35" i="3"/>
  <c r="E24" i="4" s="1"/>
  <c r="F24" i="4" s="1"/>
  <c r="G24" i="4" s="1"/>
  <c r="AA34" i="3"/>
  <c r="E23" i="4" s="1"/>
  <c r="F23" i="4" s="1"/>
  <c r="G23" i="4" s="1"/>
  <c r="AA33" i="3"/>
  <c r="E48" i="4" s="1"/>
  <c r="F48" i="4" s="1"/>
  <c r="G48" i="4" s="1"/>
  <c r="AA32" i="3"/>
  <c r="E38" i="4" s="1"/>
  <c r="F38" i="4" s="1"/>
  <c r="G38" i="4" s="1"/>
  <c r="AA31" i="3"/>
  <c r="E22" i="4" s="1"/>
  <c r="F22" i="4" s="1"/>
  <c r="G22" i="4" s="1"/>
  <c r="AA30" i="3"/>
  <c r="E21" i="4" s="1"/>
  <c r="F21" i="4" s="1"/>
  <c r="G21" i="4" s="1"/>
  <c r="AA29" i="3"/>
  <c r="E17" i="4" s="1"/>
  <c r="F17" i="4" s="1"/>
  <c r="G17" i="4" s="1"/>
  <c r="AA28" i="3"/>
  <c r="AA27" i="3"/>
  <c r="E51" i="4" s="1"/>
  <c r="F51" i="4" s="1"/>
  <c r="G51" i="4" s="1"/>
  <c r="AA26" i="3"/>
  <c r="E52" i="4" s="1"/>
  <c r="F52" i="4" s="1"/>
  <c r="G52" i="4" s="1"/>
  <c r="AA25" i="3"/>
  <c r="E36" i="4" s="1"/>
  <c r="F36" i="4" s="1"/>
  <c r="G36" i="4" s="1"/>
  <c r="AA24" i="3"/>
  <c r="E20" i="4" s="1"/>
  <c r="F20" i="4" s="1"/>
  <c r="G20" i="4" s="1"/>
  <c r="AA23" i="3"/>
  <c r="AA22" i="3"/>
  <c r="E39" i="4" s="1"/>
  <c r="F39" i="4" s="1"/>
  <c r="G39" i="4" s="1"/>
  <c r="AA13" i="3"/>
  <c r="AA12" i="3"/>
  <c r="AA11" i="3"/>
  <c r="AA10" i="3"/>
  <c r="AA9" i="3"/>
  <c r="AA8" i="3"/>
  <c r="AA7" i="3"/>
  <c r="AA6" i="3"/>
  <c r="M12" i="5" l="1"/>
  <c r="M24" i="5"/>
  <c r="M36" i="5"/>
  <c r="M48" i="5"/>
  <c r="M60" i="5"/>
  <c r="M72" i="5"/>
  <c r="M84" i="5"/>
  <c r="M96" i="5"/>
  <c r="M108" i="5"/>
  <c r="M120" i="5"/>
  <c r="M168" i="5"/>
  <c r="M144" i="5"/>
  <c r="M156" i="5"/>
  <c r="M91" i="5"/>
  <c r="M103" i="5"/>
  <c r="M122" i="5"/>
  <c r="M134" i="5"/>
  <c r="M8" i="5"/>
  <c r="M20" i="5"/>
  <c r="M32" i="5"/>
  <c r="M44" i="5"/>
  <c r="M56" i="5"/>
  <c r="M68" i="5"/>
  <c r="M80" i="5"/>
  <c r="M104" i="5"/>
  <c r="M116" i="5"/>
  <c r="M171" i="5"/>
  <c r="M9" i="5"/>
  <c r="M21" i="5"/>
  <c r="M33" i="5"/>
  <c r="M45" i="5"/>
  <c r="M147" i="5"/>
  <c r="M159" i="5"/>
  <c r="M172" i="5"/>
  <c r="M123" i="5"/>
  <c r="M88" i="5"/>
  <c r="M5" i="5"/>
  <c r="M17" i="5"/>
  <c r="M29" i="5"/>
  <c r="M41" i="5"/>
  <c r="M53" i="5"/>
  <c r="M65" i="5"/>
  <c r="M77" i="5"/>
  <c r="M6" i="5"/>
  <c r="M18" i="5"/>
  <c r="M127" i="5"/>
  <c r="M101" i="5"/>
  <c r="M128" i="5"/>
  <c r="M185" i="5"/>
  <c r="M197" i="5"/>
  <c r="M42" i="5"/>
  <c r="M54" i="5"/>
  <c r="M66" i="5"/>
  <c r="M78" i="5"/>
  <c r="M90" i="5"/>
  <c r="M102" i="5"/>
  <c r="M186" i="5"/>
  <c r="M198" i="5"/>
  <c r="M115" i="5"/>
  <c r="M13" i="5"/>
  <c r="M25" i="5"/>
  <c r="M49" i="5"/>
  <c r="M61" i="5"/>
  <c r="M73" i="5"/>
  <c r="M85" i="5"/>
  <c r="M97" i="5"/>
  <c r="M109" i="5"/>
  <c r="M14" i="5"/>
  <c r="M26" i="5"/>
  <c r="M38" i="5"/>
  <c r="M50" i="5"/>
  <c r="M62" i="5"/>
  <c r="M74" i="5"/>
  <c r="M86" i="5"/>
  <c r="M98" i="5"/>
  <c r="M110" i="5"/>
  <c r="M182" i="5"/>
  <c r="M194" i="5"/>
  <c r="M145" i="5"/>
  <c r="M157" i="5"/>
  <c r="M170" i="5"/>
  <c r="M146" i="5"/>
  <c r="M158" i="5"/>
  <c r="M121" i="5"/>
  <c r="M133" i="5"/>
  <c r="M143" i="5"/>
  <c r="M155" i="5"/>
  <c r="M177" i="5"/>
  <c r="M129" i="5"/>
  <c r="M199" i="5"/>
  <c r="M200" i="5"/>
  <c r="M148" i="5"/>
  <c r="M173" i="5"/>
  <c r="M149" i="5"/>
  <c r="M178" i="5"/>
  <c r="M187" i="5"/>
  <c r="M188" i="5"/>
  <c r="M160" i="5"/>
  <c r="M161" i="5"/>
  <c r="E147" i="9"/>
  <c r="F147" i="9" s="1"/>
  <c r="G147" i="9" s="1"/>
  <c r="E90" i="9"/>
  <c r="F90" i="9" s="1"/>
  <c r="G90" i="9" s="1"/>
  <c r="E91" i="9"/>
  <c r="F91" i="9" s="1"/>
  <c r="G91" i="9" s="1"/>
  <c r="E116" i="9"/>
  <c r="F116" i="9" s="1"/>
  <c r="G116" i="9" s="1"/>
  <c r="E128" i="9"/>
  <c r="F128" i="9" s="1"/>
  <c r="G128" i="9" s="1"/>
  <c r="E140" i="9"/>
  <c r="F140" i="9" s="1"/>
  <c r="G140" i="9" s="1"/>
  <c r="E108" i="9"/>
  <c r="F108" i="9" s="1"/>
  <c r="G108" i="9" s="1"/>
  <c r="M89" i="5"/>
  <c r="M167" i="5"/>
  <c r="M30" i="5"/>
  <c r="M169" i="5"/>
  <c r="M166" i="5"/>
  <c r="M154" i="5"/>
  <c r="M142" i="5"/>
  <c r="M92" i="5"/>
  <c r="M180" i="5"/>
  <c r="M192" i="5"/>
  <c r="M135" i="5"/>
  <c r="M124" i="5"/>
  <c r="M139" i="5"/>
  <c r="M151" i="5"/>
  <c r="M181" i="5"/>
  <c r="M193" i="5"/>
  <c r="M140" i="5"/>
  <c r="M152" i="5"/>
  <c r="M113" i="5"/>
  <c r="M114" i="5"/>
  <c r="M130" i="5"/>
  <c r="M179" i="5"/>
  <c r="M131" i="5"/>
  <c r="M57" i="5"/>
  <c r="M69" i="5"/>
  <c r="M81" i="5"/>
  <c r="M93" i="5"/>
  <c r="M105" i="5"/>
  <c r="M189" i="5"/>
  <c r="M117" i="5"/>
  <c r="M201" i="5"/>
  <c r="M10" i="5"/>
  <c r="M22" i="5"/>
  <c r="M34" i="5"/>
  <c r="M46" i="5"/>
  <c r="M58" i="5"/>
  <c r="M70" i="5"/>
  <c r="M82" i="5"/>
  <c r="M94" i="5"/>
  <c r="M106" i="5"/>
  <c r="M190" i="5"/>
  <c r="M118" i="5"/>
  <c r="M11" i="5"/>
  <c r="M23" i="5"/>
  <c r="M35" i="5"/>
  <c r="M47" i="5"/>
  <c r="M59" i="5"/>
  <c r="M71" i="5"/>
  <c r="M83" i="5"/>
  <c r="M95" i="5"/>
  <c r="M107" i="5"/>
  <c r="M174" i="5"/>
  <c r="M191" i="5"/>
  <c r="M119" i="5"/>
  <c r="M138" i="5"/>
  <c r="M150" i="5"/>
  <c r="M162" i="5"/>
  <c r="M175" i="5"/>
  <c r="M163" i="5"/>
  <c r="M136" i="5"/>
  <c r="M2" i="5"/>
  <c r="M125" i="5"/>
  <c r="M165" i="5"/>
  <c r="M137" i="5"/>
  <c r="M3" i="5"/>
  <c r="M15" i="5"/>
  <c r="M27" i="5"/>
  <c r="M39" i="5"/>
  <c r="M51" i="5"/>
  <c r="M63" i="5"/>
  <c r="M75" i="5"/>
  <c r="M87" i="5"/>
  <c r="M99" i="5"/>
  <c r="M111" i="5"/>
  <c r="M126" i="5"/>
  <c r="M141" i="5"/>
  <c r="M153" i="5"/>
  <c r="M183" i="5"/>
  <c r="M195" i="5"/>
  <c r="M164" i="5"/>
  <c r="M37" i="5"/>
  <c r="M184" i="5"/>
  <c r="M196" i="5"/>
  <c r="M176" i="5"/>
  <c r="E158" i="4"/>
  <c r="B4" i="7" s="1"/>
  <c r="B8" i="7" s="1"/>
  <c r="K202" i="5"/>
  <c r="B9" i="7" s="1"/>
  <c r="E68" i="4"/>
  <c r="F68" i="4" s="1"/>
  <c r="G68" i="4" s="1"/>
  <c r="B10" i="7" l="1"/>
  <c r="F1" i="9"/>
  <c r="E154" i="9"/>
</calcChain>
</file>

<file path=xl/sharedStrings.xml><?xml version="1.0" encoding="utf-8"?>
<sst xmlns="http://schemas.openxmlformats.org/spreadsheetml/2006/main" count="7077" uniqueCount="564">
  <si>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</si>
  <si>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</si>
  <si>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</si>
  <si>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</si>
  <si>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</si>
  <si>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</si>
  <si>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</si>
  <si>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</si>
  <si>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</si>
  <si>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</si>
  <si>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</si>
  <si>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</si>
  <si>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</si>
  <si>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</si>
  <si>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</si>
  <si>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</si>
  <si>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</si>
  <si>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</si>
  <si>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</si>
  <si>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</si>
  <si>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</si>
  <si>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</si>
  <si>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</si>
  <si>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</si>
  <si>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</si>
  <si>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</si>
  <si>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</si>
  <si>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</si>
  <si>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</si>
  <si>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</si>
  <si>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</si>
  <si>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</si>
  <si>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6779</t>
  </si>
  <si>
    <t>2025</t>
  </si>
  <si>
    <t>6</t>
  </si>
  <si>
    <t>DR</t>
  </si>
  <si>
    <t>NA</t>
  </si>
  <si>
    <t>212100</t>
  </si>
  <si>
    <t>Trade Debtors (Ctrl)</t>
  </si>
  <si>
    <t/>
  </si>
  <si>
    <t>01</t>
  </si>
  <si>
    <t>USD</t>
  </si>
  <si>
    <t>INR</t>
  </si>
  <si>
    <t>6779224501</t>
  </si>
  <si>
    <t>1</t>
  </si>
  <si>
    <t>5</t>
  </si>
  <si>
    <t>DG</t>
  </si>
  <si>
    <t>11</t>
  </si>
  <si>
    <t>6779224500</t>
  </si>
  <si>
    <t>7</t>
  </si>
  <si>
    <t>Outbound chgs - 01 - 15 Jul 25</t>
  </si>
  <si>
    <t>3</t>
  </si>
  <si>
    <t>Outbound Handling charges for Jan 2025</t>
  </si>
  <si>
    <t>Outbound Handling charges for Feb 2025</t>
  </si>
  <si>
    <t>Outbound Handling charges for Sep 2024</t>
  </si>
  <si>
    <t>Inbound Handling charges for Nov 2024</t>
  </si>
  <si>
    <t>O0</t>
  </si>
  <si>
    <t>Outbound Handling charges for Oct 2024</t>
  </si>
  <si>
    <t>Outbound Handling charges for Nov 2024</t>
  </si>
  <si>
    <t>8</t>
  </si>
  <si>
    <t>12</t>
  </si>
  <si>
    <t>9</t>
  </si>
  <si>
    <t>Outbound chgs - 01 - 15 MAY 25</t>
  </si>
  <si>
    <t>4</t>
  </si>
  <si>
    <t>Outbound Handling charges for Mar 25</t>
  </si>
  <si>
    <t>10</t>
  </si>
  <si>
    <t>2114883</t>
  </si>
  <si>
    <t>Outbound chgs - 01 - 15 Oct 25</t>
  </si>
  <si>
    <t>Outbound Handling Charges Aug 2024</t>
  </si>
  <si>
    <t>2130612</t>
  </si>
  <si>
    <t>Outbound chgs - 01 - 15 Nov 25</t>
  </si>
  <si>
    <t>Outbound Handling charges for 31 Mar 25</t>
  </si>
  <si>
    <t>2102483</t>
  </si>
  <si>
    <t>Outbound chgs - 01 - 15 Sep 25</t>
  </si>
  <si>
    <t>Outbound chgs - 01 - 15 Apr 25</t>
  </si>
  <si>
    <t>2026</t>
  </si>
  <si>
    <t>VAS DEC 25 -1-15</t>
  </si>
  <si>
    <t>2156419</t>
  </si>
  <si>
    <t>Outbound chgs - 01 - 15 Dec 25</t>
  </si>
  <si>
    <t>2156406</t>
  </si>
  <si>
    <t>2163152</t>
  </si>
  <si>
    <t>Outbound chgs - 01 - 15 JAN 26</t>
  </si>
  <si>
    <t>2</t>
  </si>
  <si>
    <t>DZ</t>
  </si>
  <si>
    <t>15</t>
  </si>
  <si>
    <t>6779220000</t>
  </si>
  <si>
    <t>DY</t>
  </si>
  <si>
    <t>KNOCK OFF ENTRY</t>
  </si>
  <si>
    <t>08</t>
  </si>
  <si>
    <t>Empty Lolo Chgs - 01 - 31 Apr 25</t>
  </si>
  <si>
    <t>Outbound Handling for Dec 2024</t>
  </si>
  <si>
    <t>Outbound Handling for Oct 2024</t>
  </si>
  <si>
    <t>Inbound Handling charges for Aug 2024</t>
  </si>
  <si>
    <t>Outbound Handling for Aug 2024</t>
  </si>
  <si>
    <t>Outbound Handling for Sep 2024</t>
  </si>
  <si>
    <t>VAS Activity Charges for the month of September, 2</t>
  </si>
  <si>
    <t>Inbound Handling for August 24</t>
  </si>
  <si>
    <t>Inbound Handling charges for Dec 2024</t>
  </si>
  <si>
    <t>Outbound Handling charges for Dec 2024</t>
  </si>
  <si>
    <t>VAS Activity - Mar 25, 16-31, Ex Rate. 85.58</t>
  </si>
  <si>
    <t>VAS Activity Charges for the month of August, 24</t>
  </si>
  <si>
    <t>VAS - 16-31 Aug 25</t>
  </si>
  <si>
    <t>2096996</t>
  </si>
  <si>
    <t>Outbound chgs - 16 - 31 Aug 25</t>
  </si>
  <si>
    <t>Outbound chgs - 01 - 15 Jun 25</t>
  </si>
  <si>
    <t>VAS-16 -31 Oct 25</t>
  </si>
  <si>
    <t>WEIGHTMENT-16 -31 Oct 25</t>
  </si>
  <si>
    <t>2123410</t>
  </si>
  <si>
    <t>Outbound chgs - 16 - 31 Oct 25</t>
  </si>
  <si>
    <t>2123415</t>
  </si>
  <si>
    <t>Empty Lolo Chgs - 01 - 31 OCT 25</t>
  </si>
  <si>
    <t>2123409</t>
  </si>
  <si>
    <t>VAS 16-31 July 25</t>
  </si>
  <si>
    <t>Outbound chgs - 16 - 31 Jul 25</t>
  </si>
  <si>
    <t>CODC Out chgs - 16 - 31 Jul 25</t>
  </si>
  <si>
    <t>Cleared Item</t>
  </si>
  <si>
    <t>Selected</t>
  </si>
  <si>
    <t>100222345</t>
  </si>
  <si>
    <t>SIDDHARTHA LOGISTICS FTWZ PRIVATE</t>
  </si>
  <si>
    <t>1400001107</t>
  </si>
  <si>
    <t>1400000797</t>
  </si>
  <si>
    <t>Not Selected</t>
  </si>
  <si>
    <t>1400001003</t>
  </si>
  <si>
    <t>0099542199FC</t>
  </si>
  <si>
    <t>1400000805</t>
  </si>
  <si>
    <t>0105357143FC</t>
  </si>
  <si>
    <t>1400001512</t>
  </si>
  <si>
    <t>T54SWIC277314</t>
  </si>
  <si>
    <t>1400001904</t>
  </si>
  <si>
    <t>1400001905</t>
  </si>
  <si>
    <t>1800008258</t>
  </si>
  <si>
    <t>Fixed Storage Charges fo MAY 2025</t>
  </si>
  <si>
    <t>1800009590</t>
  </si>
  <si>
    <t>Fixed Storage Charges fo JUNE 2025</t>
  </si>
  <si>
    <t>1800010152</t>
  </si>
  <si>
    <t>Fixed Storage Charges fo JULY 2025</t>
  </si>
  <si>
    <t>1800011358</t>
  </si>
  <si>
    <t>Fixed Storage Charges for August 2025</t>
  </si>
  <si>
    <t>1800012710</t>
  </si>
  <si>
    <t>2097261</t>
  </si>
  <si>
    <t>Fixed Storage Charges for September 2025</t>
  </si>
  <si>
    <t>1800013251</t>
  </si>
  <si>
    <t>2110507</t>
  </si>
  <si>
    <t>Fixed Storage Charges for October 2025</t>
  </si>
  <si>
    <t>1800014233</t>
  </si>
  <si>
    <t>2123158</t>
  </si>
  <si>
    <t>Fixed Storage Charges for November 2025</t>
  </si>
  <si>
    <t>1800015482</t>
  </si>
  <si>
    <t>2139804</t>
  </si>
  <si>
    <t>Fixed Storage Charges for December 2025</t>
  </si>
  <si>
    <t>1800001820</t>
  </si>
  <si>
    <t>Intra Unit Transfer Charges Month Of August,2024</t>
  </si>
  <si>
    <t>1800001617</t>
  </si>
  <si>
    <t>1800000754</t>
  </si>
  <si>
    <t>1800000915</t>
  </si>
  <si>
    <t>1800005899</t>
  </si>
  <si>
    <t>Storage Charges Feb, 25 Exch Rate 87.4</t>
  </si>
  <si>
    <t>1800005916</t>
  </si>
  <si>
    <t>Storage Charges Jan, 25 Exch Rate 86.64</t>
  </si>
  <si>
    <t>1800000948</t>
  </si>
  <si>
    <t>Storage Charges for the month of December, 2024 Ex</t>
  </si>
  <si>
    <t>1800000925</t>
  </si>
  <si>
    <t>Storage Charges for the month of November, 2024 Ex</t>
  </si>
  <si>
    <t>1800001035</t>
  </si>
  <si>
    <t>1800001036</t>
  </si>
  <si>
    <t>1800001120</t>
  </si>
  <si>
    <t>Inbound Handling charges for Sep 2024</t>
  </si>
  <si>
    <t>1800001121</t>
  </si>
  <si>
    <t>1800001321</t>
  </si>
  <si>
    <t>1800001322</t>
  </si>
  <si>
    <t>1800001384</t>
  </si>
  <si>
    <t>1600002430</t>
  </si>
  <si>
    <t>2112576</t>
  </si>
  <si>
    <t>CN issued against 246779410865</t>
  </si>
  <si>
    <t>1600002431</t>
  </si>
  <si>
    <t>CN issued against 246779410888</t>
  </si>
  <si>
    <t>1600002438</t>
  </si>
  <si>
    <t>2112591</t>
  </si>
  <si>
    <t>CN issued against 256779418012</t>
  </si>
  <si>
    <t>1600002432</t>
  </si>
  <si>
    <t>CN issued against 246779410368</t>
  </si>
  <si>
    <t>1600002433</t>
  </si>
  <si>
    <t>CN issued against 246779410394</t>
  </si>
  <si>
    <t>1600002434</t>
  </si>
  <si>
    <t>CN issued against 246779410418</t>
  </si>
  <si>
    <t>1800000406</t>
  </si>
  <si>
    <t>Storage Charges for the month of August, 2024</t>
  </si>
  <si>
    <t>1800000675</t>
  </si>
  <si>
    <t>1800000432</t>
  </si>
  <si>
    <t>Storage for the month of Sep 2024 Exch Rate 83.79</t>
  </si>
  <si>
    <t>1800000456</t>
  </si>
  <si>
    <t>Storage for the month of Oct 2024</t>
  </si>
  <si>
    <t>1800000559</t>
  </si>
  <si>
    <t>1800000560</t>
  </si>
  <si>
    <t>1800000561</t>
  </si>
  <si>
    <t>1800000674</t>
  </si>
  <si>
    <t>1800001957</t>
  </si>
  <si>
    <t>1800001958</t>
  </si>
  <si>
    <t>1800014864</t>
  </si>
  <si>
    <t>2128982</t>
  </si>
  <si>
    <t>MH43CE4486(ONEU1505971) Without de-stuffing Invoic</t>
  </si>
  <si>
    <t>1800006269</t>
  </si>
  <si>
    <t>LCL Charges August 2024</t>
  </si>
  <si>
    <t>1800006270</t>
  </si>
  <si>
    <t>1800006271</t>
  </si>
  <si>
    <t>1800006272</t>
  </si>
  <si>
    <t>1800006273</t>
  </si>
  <si>
    <t>1800006696</t>
  </si>
  <si>
    <t>1800006697</t>
  </si>
  <si>
    <t>1800006698</t>
  </si>
  <si>
    <t>1800006699</t>
  </si>
  <si>
    <t>1800006700</t>
  </si>
  <si>
    <t>1800006701</t>
  </si>
  <si>
    <t>1800006702</t>
  </si>
  <si>
    <t>1800006703</t>
  </si>
  <si>
    <t>1800006704</t>
  </si>
  <si>
    <t>1800006705</t>
  </si>
  <si>
    <t>1800006706</t>
  </si>
  <si>
    <t>1800006920</t>
  </si>
  <si>
    <t>1800006921</t>
  </si>
  <si>
    <t>LCL charges for Dec 2024</t>
  </si>
  <si>
    <t>1800006999</t>
  </si>
  <si>
    <t>1800007000</t>
  </si>
  <si>
    <t>Loose loading Handling charges for Dec 2024</t>
  </si>
  <si>
    <t>1800007212</t>
  </si>
  <si>
    <t>1800007222</t>
  </si>
  <si>
    <t>Storage Charges Mar, 25 Exch Rate 85.58</t>
  </si>
  <si>
    <t>1800001786</t>
  </si>
  <si>
    <t>1800001787</t>
  </si>
  <si>
    <t>1800001788</t>
  </si>
  <si>
    <t>1800001789</t>
  </si>
  <si>
    <t>1800001790</t>
  </si>
  <si>
    <t>1800001791</t>
  </si>
  <si>
    <t>1800001583</t>
  </si>
  <si>
    <t>1800001584</t>
  </si>
  <si>
    <t>1800001585</t>
  </si>
  <si>
    <t>1800001586</t>
  </si>
  <si>
    <t>1800001587</t>
  </si>
  <si>
    <t>1800001588</t>
  </si>
  <si>
    <t>1800012276</t>
  </si>
  <si>
    <t>CODC LCL Chgs - 16-31 Aug 25</t>
  </si>
  <si>
    <t>1800012287</t>
  </si>
  <si>
    <t>CODC Out chgs -16-31 Aug 25</t>
  </si>
  <si>
    <t>1800012532</t>
  </si>
  <si>
    <t>1800012462</t>
  </si>
  <si>
    <t>VAS -16-31 Aug 25</t>
  </si>
  <si>
    <t>1800012688</t>
  </si>
  <si>
    <t>1800010069</t>
  </si>
  <si>
    <t>1800010430</t>
  </si>
  <si>
    <t>Unit Storage - 1-30 June 25</t>
  </si>
  <si>
    <t>1800014284</t>
  </si>
  <si>
    <t>2123387</t>
  </si>
  <si>
    <t>1800014290</t>
  </si>
  <si>
    <t>1800014538</t>
  </si>
  <si>
    <t>2123390</t>
  </si>
  <si>
    <t>Unit Storage - 1-31 Oct 2025</t>
  </si>
  <si>
    <t>1800014270</t>
  </si>
  <si>
    <t>ONEU5912276 Without de-stuffing</t>
  </si>
  <si>
    <t>1800014271</t>
  </si>
  <si>
    <t>UACU6030817 Without de-stuffing</t>
  </si>
  <si>
    <t>1800014272</t>
  </si>
  <si>
    <t>GLDU9880607 Without de-stuffing</t>
  </si>
  <si>
    <t>1800014529</t>
  </si>
  <si>
    <t>1800014620</t>
  </si>
  <si>
    <t>1800014412</t>
  </si>
  <si>
    <t>LCL Chgs - 16 - 31 OCT 25</t>
  </si>
  <si>
    <t>1800011652</t>
  </si>
  <si>
    <t>Unit Storage - 1-31 July 25</t>
  </si>
  <si>
    <t>1800011791</t>
  </si>
  <si>
    <t>LCL chgs - 16 - 31 JUL 25</t>
  </si>
  <si>
    <t>1800011710</t>
  </si>
  <si>
    <t>1800011396</t>
  </si>
  <si>
    <t>CODC LCL Chgs - 16 - 31 Jul 25</t>
  </si>
  <si>
    <t>1800011407</t>
  </si>
  <si>
    <t>1800011596</t>
  </si>
  <si>
    <t>1800009239</t>
  </si>
  <si>
    <t>Storage- Aug-24,</t>
  </si>
  <si>
    <t>1800009240</t>
  </si>
  <si>
    <t>Storage- Sept-24,</t>
  </si>
  <si>
    <t>1800009241</t>
  </si>
  <si>
    <t>Storage - Oct-24,</t>
  </si>
  <si>
    <t>1800009242</t>
  </si>
  <si>
    <t>Storage- Nov-24,</t>
  </si>
  <si>
    <t>1800009243</t>
  </si>
  <si>
    <t>Storage- Dec-24,</t>
  </si>
  <si>
    <t>1600000602</t>
  </si>
  <si>
    <t>Credit note against 246779412244</t>
  </si>
  <si>
    <t>1600000598</t>
  </si>
  <si>
    <t>Credit note against 246779412240</t>
  </si>
  <si>
    <t>1600000599</t>
  </si>
  <si>
    <t>Credit note against 246779412241</t>
  </si>
  <si>
    <t>1600000600</t>
  </si>
  <si>
    <t>Credit note against 246779412242</t>
  </si>
  <si>
    <t>1600000601</t>
  </si>
  <si>
    <t>Credit note against 246779412243</t>
  </si>
  <si>
    <t>1600000603</t>
  </si>
  <si>
    <t>Credit note against 246779412245</t>
  </si>
  <si>
    <t>1600000780</t>
  </si>
  <si>
    <t>Credit note against 256779410228</t>
  </si>
  <si>
    <t>1600000814</t>
  </si>
  <si>
    <t>Credit note against 256779410269</t>
  </si>
  <si>
    <t>1800008504</t>
  </si>
  <si>
    <t>1800008597</t>
  </si>
  <si>
    <t>Outbound chgs - 16 - 30 Apr 25</t>
  </si>
  <si>
    <t>1800009129</t>
  </si>
  <si>
    <t>Storage Chgs - 01 - 31 Apr 25</t>
  </si>
  <si>
    <t>1800010701</t>
  </si>
  <si>
    <t>LCL chgs - 01 - 15 JUL 25</t>
  </si>
  <si>
    <t>1800010749</t>
  </si>
  <si>
    <t>1800010706</t>
  </si>
  <si>
    <t>1800011045</t>
  </si>
  <si>
    <t>1800011050</t>
  </si>
  <si>
    <t>1800004097</t>
  </si>
  <si>
    <t>1800004357</t>
  </si>
  <si>
    <t>1800004532</t>
  </si>
  <si>
    <t>1800004533</t>
  </si>
  <si>
    <t>LCL Movement Charges for Nov 2024</t>
  </si>
  <si>
    <t>1800004870</t>
  </si>
  <si>
    <t>1800004871</t>
  </si>
  <si>
    <t>Loose Loading Handling charges for Jan 2025</t>
  </si>
  <si>
    <t>1800004926</t>
  </si>
  <si>
    <t>1800004927</t>
  </si>
  <si>
    <t>Loose handling Charges for Feb 2025</t>
  </si>
  <si>
    <t>1800004739</t>
  </si>
  <si>
    <t>1800004817</t>
  </si>
  <si>
    <t>1800013794</t>
  </si>
  <si>
    <t>2112798</t>
  </si>
  <si>
    <t>Unit Storage - 1-30 Sept 2025</t>
  </si>
  <si>
    <t>1800000035</t>
  </si>
  <si>
    <t>Fixed Rental charges for Aug 2024</t>
  </si>
  <si>
    <t>1800000079</t>
  </si>
  <si>
    <t>Fixed Rental charges for Oct 2024</t>
  </si>
  <si>
    <t>1800000099</t>
  </si>
  <si>
    <t>Fixed Rental charges for Sept 2024</t>
  </si>
  <si>
    <t>1800000168</t>
  </si>
  <si>
    <t>Fixed Rental charges for Nov 2024</t>
  </si>
  <si>
    <t>1800000211</t>
  </si>
  <si>
    <t>Fixed Rental charges for Dec 2024</t>
  </si>
  <si>
    <t>1800000254</t>
  </si>
  <si>
    <t>Fixed Rental charges for Jan 2025</t>
  </si>
  <si>
    <t>1800000297</t>
  </si>
  <si>
    <t>Fixed Rental charges for Feb 2025</t>
  </si>
  <si>
    <t>1800012069</t>
  </si>
  <si>
    <t>CODC LCL Chgs - 1-15 Aug 25</t>
  </si>
  <si>
    <t>1800012178</t>
  </si>
  <si>
    <t>CODC Out chgs - 1-15 Aug 25</t>
  </si>
  <si>
    <t>1800012251</t>
  </si>
  <si>
    <t>LCL chgs - 01 - 15 AUG 25</t>
  </si>
  <si>
    <t>1800012220</t>
  </si>
  <si>
    <t>Outbound chgs - 01 - 15 Aug 25</t>
  </si>
  <si>
    <t>1800015421</t>
  </si>
  <si>
    <t>2140083</t>
  </si>
  <si>
    <t>LCL Chgs - 16 - 30 NOV 25</t>
  </si>
  <si>
    <t>1600002510</t>
  </si>
  <si>
    <t>2119122</t>
  </si>
  <si>
    <t>CN issued against 256779418440</t>
  </si>
  <si>
    <t>1800008726</t>
  </si>
  <si>
    <t>1600002012</t>
  </si>
  <si>
    <t>Credit note raised against 256779415490</t>
  </si>
  <si>
    <t>1600002057</t>
  </si>
  <si>
    <t>Credit note raised against 256779415805</t>
  </si>
  <si>
    <t>1600002062</t>
  </si>
  <si>
    <t>Credit note raised against 256779415810</t>
  </si>
  <si>
    <t>1800005191</t>
  </si>
  <si>
    <t>1800005192</t>
  </si>
  <si>
    <t>Loose loading Handling charges for Mar 25</t>
  </si>
  <si>
    <t>1800005336</t>
  </si>
  <si>
    <t>1800005377</t>
  </si>
  <si>
    <t>1800013927</t>
  </si>
  <si>
    <t>1800007262</t>
  </si>
  <si>
    <t>Fixed Storage Charges for April 2025</t>
  </si>
  <si>
    <t>1600001882</t>
  </si>
  <si>
    <t>Credit note raised against 256779414435</t>
  </si>
  <si>
    <t>1800009671</t>
  </si>
  <si>
    <t>1800013946</t>
  </si>
  <si>
    <t>2114868</t>
  </si>
  <si>
    <t>VAS  -1-15 Oct 2025</t>
  </si>
  <si>
    <t>1800013963</t>
  </si>
  <si>
    <t>1800003125</t>
  </si>
  <si>
    <t>Fixed Storage Charges for Mar 2025</t>
  </si>
  <si>
    <t>1800015079</t>
  </si>
  <si>
    <t>2130611</t>
  </si>
  <si>
    <t>LCL Chgs - 01 - 15 NOV 25</t>
  </si>
  <si>
    <t>1800015134</t>
  </si>
  <si>
    <t>1800007726</t>
  </si>
  <si>
    <t>Inbound Handling charges for 31 Mar 2025</t>
  </si>
  <si>
    <t>1800007769</t>
  </si>
  <si>
    <t>1800012993</t>
  </si>
  <si>
    <t>1800008041</t>
  </si>
  <si>
    <t>1800013760</t>
  </si>
  <si>
    <t>2110802</t>
  </si>
  <si>
    <t>VAS-16-30 Sept 25</t>
  </si>
  <si>
    <t>1800013774</t>
  </si>
  <si>
    <t>2110860</t>
  </si>
  <si>
    <t>CODC Inbound chgs - 16-30 Sep 25</t>
  </si>
  <si>
    <t>1800013530</t>
  </si>
  <si>
    <t>2110864</t>
  </si>
  <si>
    <t>CODC Out chgs -16-30 Sep 25</t>
  </si>
  <si>
    <t>1800011012</t>
  </si>
  <si>
    <t>VAS - 1-15 July 25</t>
  </si>
  <si>
    <t>1800014148</t>
  </si>
  <si>
    <t>2114865</t>
  </si>
  <si>
    <t>CODC Out chgs -1-15 Oct 25</t>
  </si>
  <si>
    <t>1800009470</t>
  </si>
  <si>
    <t>Unit storage -1-31 May 25</t>
  </si>
  <si>
    <t>1800013276</t>
  </si>
  <si>
    <t>2110511</t>
  </si>
  <si>
    <t>1800013244</t>
  </si>
  <si>
    <t>2110496</t>
  </si>
  <si>
    <t>Scanning  Chgs - 16 - 30 Sep 25</t>
  </si>
  <si>
    <t>1800013511</t>
  </si>
  <si>
    <t>2110981</t>
  </si>
  <si>
    <t>PORT SSR Chgs Sep 25</t>
  </si>
  <si>
    <t>1800012469</t>
  </si>
  <si>
    <t>Unit-Storage-1-31 Aug 25</t>
  </si>
  <si>
    <t>1800015672</t>
  </si>
  <si>
    <t>2139799</t>
  </si>
  <si>
    <t>Unit Storage - 1-30 Nov 2025</t>
  </si>
  <si>
    <t>1600002686</t>
  </si>
  <si>
    <t>2141835</t>
  </si>
  <si>
    <t>Credit note for Duplicate invoice -256779418354</t>
  </si>
  <si>
    <t>1600002687</t>
  </si>
  <si>
    <t>1600002698</t>
  </si>
  <si>
    <t>Credit note for Duplicate invoice -256779418493</t>
  </si>
  <si>
    <t>1800015986</t>
  </si>
  <si>
    <t>2156172</t>
  </si>
  <si>
    <t>CODC Out chgs -1-15 Dec 25</t>
  </si>
  <si>
    <t>1800015968</t>
  </si>
  <si>
    <t>1800016055</t>
  </si>
  <si>
    <t>2156402</t>
  </si>
  <si>
    <t>1800016090</t>
  </si>
  <si>
    <t>LCL Chgs - 01 - 15 DEC 25</t>
  </si>
  <si>
    <t>1800016346</t>
  </si>
  <si>
    <t>2158411</t>
  </si>
  <si>
    <t>Unit Storage - 1-31 DEC 2025</t>
  </si>
  <si>
    <t>1800016543</t>
  </si>
  <si>
    <t>2158669</t>
  </si>
  <si>
    <t>Fixed Storage Charges for January 2026</t>
  </si>
  <si>
    <t>1600002738</t>
  </si>
  <si>
    <t>2159128</t>
  </si>
  <si>
    <t>CN issued against - 256779412113</t>
  </si>
  <si>
    <t>1600002739</t>
  </si>
  <si>
    <t>CN issued against - 256779413893</t>
  </si>
  <si>
    <t>1600002740</t>
  </si>
  <si>
    <t>CN issued against - 256779414234</t>
  </si>
  <si>
    <t>1600002741</t>
  </si>
  <si>
    <t>CN issued against - 256779417077</t>
  </si>
  <si>
    <t>1800017111</t>
  </si>
  <si>
    <t>1400002558</t>
  </si>
  <si>
    <t>T54SWIC287333</t>
  </si>
  <si>
    <t>1800017435</t>
  </si>
  <si>
    <t>2172703</t>
  </si>
  <si>
    <t>Fixed Storage Charges for February 2026</t>
  </si>
  <si>
    <t>1800017541</t>
  </si>
  <si>
    <t>2172710</t>
  </si>
  <si>
    <t>VAS -VAS-16-31 Jan 2026</t>
  </si>
  <si>
    <t>1800017504</t>
  </si>
  <si>
    <t>2172711</t>
  </si>
  <si>
    <t>Unit Storage 1-31 Jan 2026</t>
  </si>
  <si>
    <t>1800017635</t>
  </si>
  <si>
    <t>2173096</t>
  </si>
  <si>
    <t>Outbound chgs - 16 - 31 JAN 26</t>
  </si>
  <si>
    <t>1800017810</t>
  </si>
  <si>
    <t>2173951</t>
  </si>
  <si>
    <t>CODC LCL Chgs -16-31 JAN 26</t>
  </si>
  <si>
    <t>1800018057</t>
  </si>
  <si>
    <t>2175463</t>
  </si>
  <si>
    <t>VAS-1-15 Feb 2026</t>
  </si>
  <si>
    <t>1800018151</t>
  </si>
  <si>
    <t>2175570</t>
  </si>
  <si>
    <t>Outbound chgs - 01 - 15 FEB 26</t>
  </si>
  <si>
    <t>1800018174</t>
  </si>
  <si>
    <t>2176056</t>
  </si>
  <si>
    <t>CODC Out chgs -1-15 FEB 26</t>
  </si>
  <si>
    <t>1800018187</t>
  </si>
  <si>
    <t>2176057</t>
  </si>
  <si>
    <t>CODC LCL Chgs -1-15 FEB 26</t>
  </si>
  <si>
    <t>1800018248</t>
  </si>
  <si>
    <t>2183803</t>
  </si>
  <si>
    <t>CODC Out chgs -16-28 FEB 26</t>
  </si>
  <si>
    <t>1800018236</t>
  </si>
  <si>
    <t>2183804</t>
  </si>
  <si>
    <t>CODC LCL Chgs -16-28 FEB 26</t>
  </si>
  <si>
    <t>1800018259</t>
  </si>
  <si>
    <t>2184076</t>
  </si>
  <si>
    <t>Fixed Storage Charges for March 2026</t>
  </si>
  <si>
    <t>1800018450</t>
  </si>
  <si>
    <t>2184502</t>
  </si>
  <si>
    <t>Unit Storage 1-28 Feb 2026</t>
  </si>
  <si>
    <t>1800018550</t>
  </si>
  <si>
    <t>2184503</t>
  </si>
  <si>
    <t>VAS-16-28 Feb 2026</t>
  </si>
  <si>
    <t>1600002941</t>
  </si>
  <si>
    <t>2186843</t>
  </si>
  <si>
    <t>CN against 256779452125 - Feb 2026</t>
  </si>
  <si>
    <t>1800018793</t>
  </si>
  <si>
    <t>1600002954</t>
  </si>
  <si>
    <t>2189753</t>
  </si>
  <si>
    <t>CN issued against - 246779412274 - Aug,24</t>
  </si>
  <si>
    <t>1600002955</t>
  </si>
  <si>
    <t>CN issued against - 246779414400 - Nov,24</t>
  </si>
  <si>
    <t>1600002956</t>
  </si>
  <si>
    <t>CN issued against - 256779411589 - Aug,24</t>
  </si>
  <si>
    <t>1600002957</t>
  </si>
  <si>
    <t>CN issued against - 256779418827 - Oct,25</t>
  </si>
  <si>
    <t>1600002958</t>
  </si>
  <si>
    <t>CN issued against - 256779417162 - Aug,25</t>
  </si>
  <si>
    <t>1600002959</t>
  </si>
  <si>
    <t>CN issued against - 246779411456 - Aug,24</t>
  </si>
  <si>
    <t>1600002960</t>
  </si>
  <si>
    <t>CN issued against - 246779410509 - Aug,24</t>
  </si>
  <si>
    <t>1600002961</t>
  </si>
  <si>
    <t>CN issued against - 256779418181 - Sept,25</t>
  </si>
  <si>
    <t>1600002962</t>
  </si>
  <si>
    <t>CN issued against - 256779414234 - May,25</t>
  </si>
  <si>
    <t>Payment Date</t>
  </si>
  <si>
    <t>Invoice No</t>
  </si>
  <si>
    <t>Invoice Dt</t>
  </si>
  <si>
    <t>Debit (USD)</t>
  </si>
  <si>
    <t>Credit (USD)</t>
  </si>
  <si>
    <t xml:space="preserve">Outgoing payment </t>
  </si>
  <si>
    <t>Xlookup</t>
  </si>
  <si>
    <t>Converted Value</t>
  </si>
  <si>
    <t>Remark</t>
  </si>
  <si>
    <t>Remarks</t>
  </si>
  <si>
    <t>Action Points</t>
  </si>
  <si>
    <t>We had given 2 invoices against  BOE No. 7000274, and we accepted invoice 246779411485.</t>
  </si>
  <si>
    <t>Credit Note to be passed after verification by billing team</t>
  </si>
  <si>
    <t>Credit Note to be passed as discussed with CL team</t>
  </si>
  <si>
    <t>you have made an Invoice of Handling Charges 13 Plt instead of 4 Plt.</t>
  </si>
  <si>
    <t>CRM team will handle</t>
  </si>
  <si>
    <t>to be accounted by siddhartha</t>
  </si>
  <si>
    <t>Handling Charges CBM Rate is 2.25 but you have Handling Charges CBM Rate is 3.24</t>
  </si>
  <si>
    <t>To be discussed with customer that the rate is charged as per agreemant for HAZ goods</t>
  </si>
  <si>
    <t>Duplicated invoice</t>
  </si>
  <si>
    <t>The VAS charges are incorrect. </t>
  </si>
  <si>
    <t>Invoice to changed by CRM team</t>
  </si>
  <si>
    <t>These specific charges are not included in our existing contract.</t>
  </si>
  <si>
    <t>Amount in Invoice to be verified by biling team</t>
  </si>
  <si>
    <r>
      <t xml:space="preserve">This is to inform you that MHE charges have already been applied in </t>
    </r>
    <r>
      <rPr>
        <b/>
        <sz val="11"/>
        <color theme="1"/>
        <rFont val="Calibri"/>
        <family val="2"/>
        <scheme val="minor"/>
      </rPr>
      <t>Invoice Nos. </t>
    </r>
    <r>
      <rPr>
        <b/>
        <sz val="11"/>
        <color rgb="FF222222"/>
        <rFont val="Arial"/>
        <family val="2"/>
      </rPr>
      <t>256779418354 and 256779418342</t>
    </r>
    <r>
      <rPr>
        <sz val="11"/>
        <color rgb="FF222222"/>
        <rFont val="Arial"/>
        <family val="2"/>
      </rPr>
      <t>. However, the same MHE charges have been included again in </t>
    </r>
    <r>
      <rPr>
        <b/>
        <sz val="11"/>
        <color rgb="FF222222"/>
        <rFont val="Arial"/>
        <family val="2"/>
      </rPr>
      <t>Invoice No. 256779418181.</t>
    </r>
  </si>
  <si>
    <t>to be accounted by siddhartha after CBM rate issue is solved</t>
  </si>
  <si>
    <t>Credit Note Pending</t>
  </si>
  <si>
    <t>mail summary will be sent by Siddhartha team ,Credit Note to be passed after verification by billing team</t>
  </si>
  <si>
    <t>Reconciliation of Ledger as on 31st January 2026</t>
  </si>
  <si>
    <t>Particulars</t>
  </si>
  <si>
    <t>Amount in USD</t>
  </si>
  <si>
    <t>Balance as per Siddhartha Logistics</t>
  </si>
  <si>
    <t>Add: TDS to be booked in Ascendus books</t>
  </si>
  <si>
    <t>Less: Difference in Payment recorded in both books</t>
  </si>
  <si>
    <t>Derived balance</t>
  </si>
  <si>
    <t>Balance as per Ascent</t>
  </si>
  <si>
    <t>Difference</t>
  </si>
  <si>
    <t xml:space="preserve">As per Customer </t>
  </si>
  <si>
    <t xml:space="preserve">As per Ascendus </t>
  </si>
  <si>
    <t>Amount</t>
  </si>
  <si>
    <t>Date</t>
  </si>
  <si>
    <t>TDS</t>
  </si>
  <si>
    <t>Rate</t>
  </si>
  <si>
    <t>Invoice Date</t>
  </si>
  <si>
    <t>Bank Charges</t>
  </si>
  <si>
    <t>Add: CN and Invoices not in customer Books</t>
  </si>
  <si>
    <t>Done</t>
  </si>
  <si>
    <t>Pending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</si>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</sst>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222222"/>
      <name val="Arial"/>
      <family val="2"/>
    </font>
    <font>
      <sz val="11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56">
    <xf numFmtId="0" fontId="0" fillId="0" borderId="0" xfId="0"/>
    <xf numFmtId="0" fontId="3" fillId="2" borderId="1" xfId="2" applyFill="1" applyBorder="1" applyAlignment="1">
      <alignment vertical="top"/>
    </xf>
    <xf numFmtId="0" fontId="3" fillId="2" borderId="1" xfId="2" applyFill="1" applyBorder="1" applyAlignment="1">
      <alignment vertical="top" wrapText="1"/>
    </xf>
    <xf numFmtId="0" fontId="3" fillId="0" borderId="0" xfId="2" applyAlignment="1">
      <alignment vertical="top"/>
    </xf>
    <xf numFmtId="14" fontId="3" fillId="0" borderId="0" xfId="2" applyNumberFormat="1" applyAlignment="1">
      <alignment horizontal="right" vertical="top"/>
    </xf>
    <xf numFmtId="4" fontId="3" fillId="0" borderId="0" xfId="2" applyNumberFormat="1" applyAlignment="1">
      <alignment horizontal="right" vertical="top"/>
    </xf>
    <xf numFmtId="0" fontId="3" fillId="3" borderId="1" xfId="2" applyFill="1" applyBorder="1" applyAlignment="1">
      <alignment vertical="top"/>
    </xf>
    <xf numFmtId="14" fontId="3" fillId="3" borderId="1" xfId="2" applyNumberFormat="1" applyFill="1" applyBorder="1" applyAlignment="1">
      <alignment horizontal="right" vertical="top"/>
    </xf>
    <xf numFmtId="4" fontId="3" fillId="3" borderId="1" xfId="2" applyNumberFormat="1" applyFill="1" applyBorder="1" applyAlignment="1">
      <alignment horizontal="right" vertical="top"/>
    </xf>
    <xf numFmtId="3" fontId="3" fillId="3" borderId="1" xfId="2" applyNumberFormat="1" applyFill="1" applyBorder="1" applyAlignment="1">
      <alignment horizontal="right" vertical="top"/>
    </xf>
    <xf numFmtId="0" fontId="3" fillId="4" borderId="1" xfId="2" applyFill="1" applyBorder="1" applyAlignment="1">
      <alignment vertical="top"/>
    </xf>
    <xf numFmtId="14" fontId="3" fillId="4" borderId="1" xfId="2" applyNumberFormat="1" applyFill="1" applyBorder="1" applyAlignment="1">
      <alignment horizontal="right" vertical="top"/>
    </xf>
    <xf numFmtId="4" fontId="3" fillId="4" borderId="1" xfId="2" applyNumberFormat="1" applyFill="1" applyBorder="1" applyAlignment="1">
      <alignment horizontal="right" vertical="top"/>
    </xf>
    <xf numFmtId="3" fontId="3" fillId="4" borderId="1" xfId="2" applyNumberFormat="1" applyFill="1" applyBorder="1" applyAlignment="1">
      <alignment horizontal="right" vertical="top"/>
    </xf>
    <xf numFmtId="1" fontId="2" fillId="0" borderId="1" xfId="0" applyNumberFormat="1" applyFont="1" applyBorder="1" applyAlignment="1">
      <alignment horizontal="left" wrapText="1"/>
    </xf>
    <xf numFmtId="43" fontId="2" fillId="0" borderId="1" xfId="1" applyFont="1" applyBorder="1" applyAlignment="1">
      <alignment wrapText="1"/>
    </xf>
    <xf numFmtId="1" fontId="0" fillId="0" borderId="1" xfId="0" applyNumberFormat="1" applyBorder="1" applyAlignment="1">
      <alignment horizontal="left" vertical="top"/>
    </xf>
    <xf numFmtId="43" fontId="0" fillId="0" borderId="1" xfId="1" applyFont="1" applyBorder="1" applyAlignment="1">
      <alignment vertical="top"/>
    </xf>
    <xf numFmtId="43" fontId="0" fillId="0" borderId="1" xfId="1" applyFont="1" applyFill="1" applyBorder="1" applyAlignment="1">
      <alignment vertical="top"/>
    </xf>
    <xf numFmtId="14" fontId="0" fillId="0" borderId="1" xfId="0" applyNumberFormat="1" applyBorder="1"/>
    <xf numFmtId="1" fontId="0" fillId="0" borderId="1" xfId="0" applyNumberFormat="1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1" fontId="0" fillId="0" borderId="1" xfId="0" applyNumberFormat="1" applyBorder="1" applyAlignment="1">
      <alignment horizontal="left" vertical="center"/>
    </xf>
    <xf numFmtId="43" fontId="0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left" vertical="center"/>
    </xf>
    <xf numFmtId="43" fontId="0" fillId="0" borderId="1" xfId="1" applyFont="1" applyFill="1" applyBorder="1" applyAlignment="1">
      <alignment vertical="center" wrapText="1"/>
    </xf>
    <xf numFmtId="1" fontId="0" fillId="0" borderId="1" xfId="0" quotePrefix="1" applyNumberFormat="1" applyBorder="1" applyAlignment="1">
      <alignment horizontal="left"/>
    </xf>
    <xf numFmtId="1" fontId="4" fillId="0" borderId="1" xfId="3" applyNumberFormat="1" applyBorder="1" applyAlignment="1">
      <alignment horizontal="left"/>
    </xf>
    <xf numFmtId="43" fontId="0" fillId="0" borderId="1" xfId="1" applyFont="1" applyFill="1" applyBorder="1" applyAlignment="1">
      <alignment vertical="center"/>
    </xf>
    <xf numFmtId="1" fontId="4" fillId="0" borderId="1" xfId="3" quotePrefix="1" applyNumberFormat="1" applyBorder="1" applyAlignment="1">
      <alignment horizontal="left"/>
    </xf>
    <xf numFmtId="43" fontId="0" fillId="0" borderId="1" xfId="1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43" fontId="0" fillId="0" borderId="0" xfId="1" applyFont="1"/>
    <xf numFmtId="43" fontId="0" fillId="0" borderId="0" xfId="1" applyFont="1" applyAlignment="1">
      <alignment vertical="top"/>
    </xf>
    <xf numFmtId="1" fontId="0" fillId="0" borderId="0" xfId="0" applyNumberFormat="1" applyAlignment="1">
      <alignment horizontal="left"/>
    </xf>
    <xf numFmtId="0" fontId="3" fillId="0" borderId="0" xfId="2" applyNumberFormat="1" applyAlignment="1">
      <alignment vertical="top"/>
    </xf>
    <xf numFmtId="1" fontId="3" fillId="0" borderId="0" xfId="2" applyNumberFormat="1" applyAlignment="1">
      <alignment vertical="top"/>
    </xf>
    <xf numFmtId="4" fontId="3" fillId="0" borderId="0" xfId="2" applyNumberFormat="1" applyAlignment="1">
      <alignment vertical="top"/>
    </xf>
    <xf numFmtId="14" fontId="2" fillId="0" borderId="1" xfId="0" applyNumberFormat="1" applyFont="1" applyBorder="1" applyAlignment="1">
      <alignment horizontal="left" wrapText="1"/>
    </xf>
    <xf numFmtId="14" fontId="0" fillId="0" borderId="1" xfId="0" applyNumberFormat="1" applyBorder="1" applyAlignment="1">
      <alignment horizontal="left" vertical="top"/>
    </xf>
    <xf numFmtId="14" fontId="4" fillId="0" borderId="1" xfId="3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  <xf numFmtId="43" fontId="3" fillId="0" borderId="0" xfId="1" applyFont="1" applyAlignment="1">
      <alignment vertical="top"/>
    </xf>
    <xf numFmtId="0" fontId="3" fillId="5" borderId="0" xfId="2" applyFill="1" applyAlignment="1">
      <alignment vertical="top"/>
    </xf>
    <xf numFmtId="14" fontId="3" fillId="5" borderId="0" xfId="2" applyNumberFormat="1" applyFill="1" applyAlignment="1">
      <alignment horizontal="right" vertical="top"/>
    </xf>
    <xf numFmtId="1" fontId="3" fillId="5" borderId="0" xfId="2" applyNumberFormat="1" applyFill="1" applyAlignment="1">
      <alignment vertical="top"/>
    </xf>
    <xf numFmtId="4" fontId="3" fillId="5" borderId="0" xfId="2" applyNumberFormat="1" applyFill="1" applyAlignment="1">
      <alignment horizontal="right" vertical="top"/>
    </xf>
    <xf numFmtId="4" fontId="3" fillId="5" borderId="0" xfId="2" applyNumberFormat="1" applyFill="1" applyAlignment="1">
      <alignment vertical="top"/>
    </xf>
    <xf numFmtId="14" fontId="3" fillId="2" borderId="1" xfId="2" applyNumberFormat="1" applyFill="1" applyBorder="1" applyAlignment="1">
      <alignment vertical="top"/>
    </xf>
    <xf numFmtId="14" fontId="3" fillId="0" borderId="0" xfId="2" applyNumberFormat="1" applyAlignment="1">
      <alignment vertical="top"/>
    </xf>
    <xf numFmtId="14" fontId="0" fillId="0" borderId="0" xfId="0" applyNumberFormat="1"/>
    <xf numFmtId="1" fontId="0" fillId="0" borderId="0" xfId="0" applyNumberFormat="1"/>
    <xf numFmtId="1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14" fontId="0" fillId="0" borderId="2" xfId="0" applyNumberFormat="1" applyBorder="1"/>
    <xf numFmtId="1" fontId="0" fillId="0" borderId="2" xfId="0" applyNumberFormat="1" applyBorder="1"/>
    <xf numFmtId="0" fontId="0" fillId="0" borderId="0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left"/>
    </xf>
    <xf numFmtId="1" fontId="0" fillId="0" borderId="0" xfId="0" applyNumberFormat="1" applyBorder="1"/>
    <xf numFmtId="43" fontId="0" fillId="0" borderId="0" xfId="1" applyFont="1" applyBorder="1"/>
    <xf numFmtId="0" fontId="0" fillId="2" borderId="1" xfId="0" applyFill="1" applyBorder="1" applyAlignment="1">
      <alignment vertical="top"/>
    </xf>
    <xf numFmtId="164" fontId="0" fillId="2" borderId="1" xfId="1" applyNumberFormat="1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164" fontId="0" fillId="0" borderId="1" xfId="1" applyNumberFormat="1" applyFont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Fill="1" applyBorder="1" applyAlignment="1">
      <alignment horizontal="right" vertical="top"/>
    </xf>
    <xf numFmtId="4" fontId="0" fillId="0" borderId="1" xfId="0" applyNumberFormat="1" applyBorder="1"/>
    <xf numFmtId="164" fontId="2" fillId="0" borderId="1" xfId="1" applyNumberFormat="1" applyFont="1" applyBorder="1"/>
    <xf numFmtId="43" fontId="0" fillId="0" borderId="0" xfId="1" applyFont="1" applyAlignment="1"/>
    <xf numFmtId="164" fontId="0" fillId="0" borderId="0" xfId="1" applyNumberFormat="1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5" xfId="0" applyBorder="1"/>
    <xf numFmtId="0" fontId="0" fillId="0" borderId="16" xfId="0" applyBorder="1"/>
    <xf numFmtId="43" fontId="0" fillId="0" borderId="16" xfId="0" applyNumberFormat="1" applyBorder="1"/>
    <xf numFmtId="43" fontId="2" fillId="0" borderId="0" xfId="0" applyNumberFormat="1" applyFont="1"/>
    <xf numFmtId="43" fontId="0" fillId="0" borderId="1" xfId="4" applyNumberFormat="1" applyFont="1" applyBorder="1"/>
    <xf numFmtId="9" fontId="0" fillId="0" borderId="1" xfId="4" applyFont="1" applyBorder="1"/>
    <xf numFmtId="1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2" xfId="0" applyBorder="1"/>
    <xf numFmtId="0" fontId="2" fillId="0" borderId="23" xfId="0" applyFont="1" applyBorder="1" applyAlignment="1">
      <alignment horizontal="left" vertical="center"/>
    </xf>
    <xf numFmtId="0" fontId="2" fillId="0" borderId="20" xfId="0" applyFont="1" applyFill="1" applyBorder="1" applyAlignment="1">
      <alignment horizontal="left" vertical="center"/>
    </xf>
    <xf numFmtId="4" fontId="0" fillId="0" borderId="24" xfId="0" applyNumberFormat="1" applyBorder="1"/>
    <xf numFmtId="43" fontId="2" fillId="0" borderId="21" xfId="0" applyNumberFormat="1" applyFont="1" applyBorder="1" applyAlignment="1">
      <alignment horizontal="left" vertical="center"/>
    </xf>
    <xf numFmtId="0" fontId="0" fillId="0" borderId="25" xfId="0" applyBorder="1"/>
    <xf numFmtId="43" fontId="2" fillId="0" borderId="26" xfId="0" applyNumberFormat="1" applyFont="1" applyBorder="1" applyAlignment="1">
      <alignment horizontal="left" vertical="center"/>
    </xf>
    <xf numFmtId="0" fontId="0" fillId="0" borderId="27" xfId="0" applyBorder="1"/>
    <xf numFmtId="43" fontId="2" fillId="0" borderId="28" xfId="0" applyNumberFormat="1" applyFont="1" applyBorder="1" applyAlignment="1">
      <alignment horizontal="left" vertical="center"/>
    </xf>
    <xf numFmtId="43" fontId="0" fillId="0" borderId="5" xfId="0" applyNumberFormat="1" applyBorder="1"/>
    <xf numFmtId="43" fontId="0" fillId="0" borderId="4" xfId="0" applyNumberFormat="1" applyBorder="1"/>
    <xf numFmtId="43" fontId="0" fillId="0" borderId="18" xfId="1" applyFont="1" applyBorder="1"/>
    <xf numFmtId="43" fontId="0" fillId="0" borderId="19" xfId="1" applyFont="1" applyBorder="1"/>
    <xf numFmtId="0" fontId="0" fillId="0" borderId="25" xfId="0" applyBorder="1" applyAlignment="1">
      <alignment vertical="top"/>
    </xf>
    <xf numFmtId="4" fontId="0" fillId="0" borderId="26" xfId="0" applyNumberFormat="1" applyBorder="1" applyAlignment="1">
      <alignment horizontal="right" vertical="top"/>
    </xf>
    <xf numFmtId="0" fontId="0" fillId="0" borderId="29" xfId="0" applyBorder="1" applyAlignment="1">
      <alignment vertical="top"/>
    </xf>
    <xf numFmtId="14" fontId="0" fillId="0" borderId="30" xfId="0" applyNumberFormat="1" applyBorder="1" applyAlignment="1">
      <alignment horizontal="right" vertical="top"/>
    </xf>
    <xf numFmtId="0" fontId="0" fillId="0" borderId="30" xfId="0" applyBorder="1" applyAlignment="1">
      <alignment vertical="top"/>
    </xf>
    <xf numFmtId="4" fontId="0" fillId="0" borderId="31" xfId="0" applyNumberFormat="1" applyBorder="1" applyAlignment="1">
      <alignment horizontal="right" vertical="top"/>
    </xf>
    <xf numFmtId="0" fontId="0" fillId="0" borderId="32" xfId="0" applyBorder="1" applyAlignment="1">
      <alignment vertical="top"/>
    </xf>
    <xf numFmtId="14" fontId="0" fillId="0" borderId="33" xfId="0" applyNumberFormat="1" applyBorder="1" applyAlignment="1">
      <alignment horizontal="right" vertical="top"/>
    </xf>
    <xf numFmtId="0" fontId="0" fillId="0" borderId="33" xfId="0" applyBorder="1" applyAlignment="1">
      <alignment vertical="top"/>
    </xf>
    <xf numFmtId="4" fontId="0" fillId="0" borderId="34" xfId="0" applyNumberFormat="1" applyBorder="1" applyAlignment="1">
      <alignment horizontal="right" vertical="top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14" fontId="0" fillId="0" borderId="33" xfId="0" applyNumberFormat="1" applyBorder="1"/>
    <xf numFmtId="1" fontId="0" fillId="0" borderId="33" xfId="0" applyNumberFormat="1" applyBorder="1" applyAlignment="1">
      <alignment horizontal="left"/>
    </xf>
    <xf numFmtId="43" fontId="0" fillId="0" borderId="35" xfId="1" applyFont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wrapText="1"/>
    </xf>
    <xf numFmtId="43" fontId="0" fillId="0" borderId="0" xfId="0" applyNumberFormat="1"/>
    <xf numFmtId="43" fontId="0" fillId="0" borderId="6" xfId="1" applyFont="1" applyBorder="1" applyAlignment="1">
      <alignment vertical="center" wrapText="1"/>
    </xf>
    <xf numFmtId="43" fontId="0" fillId="0" borderId="7" xfId="1" applyFont="1" applyBorder="1" applyAlignment="1">
      <alignment vertical="center" wrapText="1"/>
    </xf>
    <xf numFmtId="43" fontId="0" fillId="0" borderId="8" xfId="1" applyFont="1" applyBorder="1" applyAlignment="1">
      <alignment vertical="center" wrapText="1"/>
    </xf>
    <xf numFmtId="43" fontId="0" fillId="0" borderId="0" xfId="1" applyFont="1" applyAlignment="1">
      <alignment vertical="center" wrapText="1"/>
    </xf>
    <xf numFmtId="43" fontId="2" fillId="6" borderId="3" xfId="1" applyFont="1" applyFill="1" applyBorder="1" applyAlignment="1">
      <alignment vertical="center" wrapText="1"/>
    </xf>
    <xf numFmtId="43" fontId="2" fillId="6" borderId="5" xfId="1" applyFont="1" applyFill="1" applyBorder="1" applyAlignment="1">
      <alignment horizontal="center" vertical="center" wrapText="1"/>
    </xf>
    <xf numFmtId="43" fontId="2" fillId="6" borderId="5" xfId="1" applyFont="1" applyFill="1" applyBorder="1" applyAlignment="1">
      <alignment vertical="center" wrapText="1"/>
    </xf>
    <xf numFmtId="43" fontId="2" fillId="6" borderId="3" xfId="1" applyFont="1" applyFill="1" applyBorder="1" applyAlignment="1">
      <alignment horizontal="center" vertical="center" wrapText="1"/>
    </xf>
    <xf numFmtId="43" fontId="2" fillId="6" borderId="4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7">
    <cellStyle name="Comma" xfId="1" builtinId="3"/>
    <cellStyle name="Comma 2" xfId="5" xr:uid="{19C20150-4CAB-438C-B219-457E007D965F}"/>
    <cellStyle name="Normal" xfId="0" builtinId="0"/>
    <cellStyle name="Normal 2" xfId="2" xr:uid="{527567C7-8894-420B-85FD-D9624F2FB216}"/>
    <cellStyle name="Normal 2 2" xfId="6" xr:uid="{779B9331-AA3D-42F6-A69F-DA196927F958}"/>
    <cellStyle name="Normal 5" xfId="3" xr:uid="{EE19EF30-53CE-4272-8D70-CA7C44215D08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king_siddhartha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 Not in Customer Boo (2)"/>
      <sheetName val="Summary"/>
      <sheetName val="Payment Reco"/>
      <sheetName val="CN Not in Customer Books"/>
      <sheetName val="Invoice Not in Customer Book"/>
      <sheetName val="TDS To Be Booked"/>
      <sheetName val="Ascendus data working"/>
      <sheetName val="Ascendus Data"/>
      <sheetName val="Customer Data"/>
    </sheetNames>
    <sheetDataSet>
      <sheetData sheetId="0"/>
      <sheetData sheetId="1"/>
      <sheetData sheetId="2"/>
      <sheetData sheetId="3"/>
      <sheetData sheetId="4"/>
      <sheetData sheetId="5">
        <row r="2">
          <cell r="D2" t="str">
            <v>Reference</v>
          </cell>
          <cell r="K2" t="str">
            <v>Converted Value</v>
          </cell>
        </row>
        <row r="3">
          <cell r="D3">
            <v>246779410007</v>
          </cell>
          <cell r="K3">
            <v>1190.48</v>
          </cell>
        </row>
        <row r="4">
          <cell r="D4">
            <v>246779410274</v>
          </cell>
          <cell r="K4">
            <v>1190.48</v>
          </cell>
        </row>
        <row r="5">
          <cell r="D5">
            <v>246779410027</v>
          </cell>
          <cell r="K5">
            <v>1190.48</v>
          </cell>
        </row>
        <row r="6">
          <cell r="D6">
            <v>246779410095</v>
          </cell>
          <cell r="K6">
            <v>1190.48</v>
          </cell>
        </row>
        <row r="7">
          <cell r="D7">
            <v>246779410138</v>
          </cell>
          <cell r="K7">
            <v>1190.48</v>
          </cell>
        </row>
        <row r="8">
          <cell r="D8">
            <v>246779410181</v>
          </cell>
          <cell r="K8">
            <v>1166.5899999999999</v>
          </cell>
        </row>
        <row r="9">
          <cell r="D9">
            <v>246779410224</v>
          </cell>
          <cell r="K9">
            <v>1143.1199999999999</v>
          </cell>
        </row>
        <row r="10">
          <cell r="D10">
            <v>246779410368</v>
          </cell>
          <cell r="K10">
            <v>356.43</v>
          </cell>
        </row>
        <row r="11">
          <cell r="D11">
            <v>246779410615</v>
          </cell>
          <cell r="K11">
            <v>9</v>
          </cell>
        </row>
        <row r="12">
          <cell r="D12">
            <v>246779410394</v>
          </cell>
          <cell r="K12">
            <v>505.86</v>
          </cell>
        </row>
        <row r="13">
          <cell r="D13">
            <v>246779410418</v>
          </cell>
          <cell r="K13">
            <v>562.6</v>
          </cell>
        </row>
        <row r="14">
          <cell r="D14">
            <v>246779410510</v>
          </cell>
          <cell r="K14">
            <v>194.9</v>
          </cell>
        </row>
        <row r="15">
          <cell r="D15">
            <v>246779410511</v>
          </cell>
          <cell r="K15">
            <v>13.91</v>
          </cell>
        </row>
        <row r="16">
          <cell r="D16">
            <v>246779410614</v>
          </cell>
          <cell r="K16">
            <v>2.25</v>
          </cell>
        </row>
        <row r="17">
          <cell r="D17">
            <v>246779410694</v>
          </cell>
          <cell r="K17">
            <v>59.36</v>
          </cell>
        </row>
        <row r="18">
          <cell r="D18">
            <v>246779410856</v>
          </cell>
          <cell r="K18">
            <v>18.32</v>
          </cell>
        </row>
        <row r="19">
          <cell r="D19">
            <v>246779410888</v>
          </cell>
          <cell r="K19">
            <v>446.38</v>
          </cell>
        </row>
        <row r="20">
          <cell r="D20">
            <v>246779410865</v>
          </cell>
          <cell r="K20">
            <v>412.11</v>
          </cell>
        </row>
        <row r="21">
          <cell r="D21">
            <v>246779410975</v>
          </cell>
          <cell r="K21">
            <v>28.91</v>
          </cell>
        </row>
        <row r="22">
          <cell r="D22">
            <v>246779410976</v>
          </cell>
          <cell r="K22">
            <v>24</v>
          </cell>
        </row>
        <row r="23">
          <cell r="D23">
            <v>246779411056</v>
          </cell>
          <cell r="K23">
            <v>59.36</v>
          </cell>
        </row>
        <row r="24">
          <cell r="D24">
            <v>246779411057</v>
          </cell>
          <cell r="K24">
            <v>67.67</v>
          </cell>
        </row>
        <row r="25">
          <cell r="D25">
            <v>246779411190</v>
          </cell>
          <cell r="K25">
            <v>17.25</v>
          </cell>
        </row>
        <row r="26">
          <cell r="D26">
            <v>246779411191</v>
          </cell>
          <cell r="K26">
            <v>26.15</v>
          </cell>
        </row>
        <row r="27">
          <cell r="D27">
            <v>246779411253</v>
          </cell>
          <cell r="K27">
            <v>20</v>
          </cell>
        </row>
        <row r="28">
          <cell r="D28">
            <v>246779411485</v>
          </cell>
          <cell r="K28">
            <v>100</v>
          </cell>
        </row>
        <row r="29">
          <cell r="D29">
            <v>246779411452</v>
          </cell>
          <cell r="K29">
            <v>0.95</v>
          </cell>
        </row>
        <row r="30">
          <cell r="D30">
            <v>246779412240</v>
          </cell>
          <cell r="K30">
            <v>2.86</v>
          </cell>
        </row>
        <row r="31">
          <cell r="D31">
            <v>246779412243</v>
          </cell>
          <cell r="K31">
            <v>1.91</v>
          </cell>
        </row>
        <row r="32">
          <cell r="D32">
            <v>246779412244</v>
          </cell>
          <cell r="K32">
            <v>1.91</v>
          </cell>
        </row>
        <row r="33">
          <cell r="D33">
            <v>246779412245</v>
          </cell>
          <cell r="K33">
            <v>4.7699999999999996</v>
          </cell>
        </row>
        <row r="34">
          <cell r="D34">
            <v>246779411622</v>
          </cell>
          <cell r="K34">
            <v>3.82</v>
          </cell>
        </row>
        <row r="35">
          <cell r="D35">
            <v>246779411623</v>
          </cell>
          <cell r="K35">
            <v>1.91</v>
          </cell>
        </row>
        <row r="36">
          <cell r="D36">
            <v>246779412992</v>
          </cell>
          <cell r="K36">
            <v>1148.6300000000001</v>
          </cell>
        </row>
        <row r="37">
          <cell r="D37">
            <v>246779413953</v>
          </cell>
          <cell r="K37">
            <v>3</v>
          </cell>
        </row>
        <row r="38">
          <cell r="D38">
            <v>246779414225</v>
          </cell>
          <cell r="K38">
            <v>13.5</v>
          </cell>
        </row>
        <row r="39">
          <cell r="D39">
            <v>246779414738</v>
          </cell>
          <cell r="K39">
            <v>2.25</v>
          </cell>
        </row>
        <row r="40">
          <cell r="D40">
            <v>246779414739</v>
          </cell>
          <cell r="K40">
            <v>0.75</v>
          </cell>
        </row>
        <row r="41">
          <cell r="D41">
            <v>246779414794</v>
          </cell>
          <cell r="K41">
            <v>2.25</v>
          </cell>
        </row>
        <row r="42">
          <cell r="D42">
            <v>246779414795</v>
          </cell>
          <cell r="K42">
            <v>0.75</v>
          </cell>
        </row>
        <row r="43">
          <cell r="D43">
            <v>246779414607</v>
          </cell>
          <cell r="K43">
            <v>2.25</v>
          </cell>
        </row>
        <row r="44">
          <cell r="D44">
            <v>246779414685</v>
          </cell>
          <cell r="K44">
            <v>42.93</v>
          </cell>
        </row>
        <row r="45">
          <cell r="D45">
            <v>256779410137</v>
          </cell>
          <cell r="K45">
            <v>4.5</v>
          </cell>
        </row>
        <row r="46">
          <cell r="D46">
            <v>256779410138</v>
          </cell>
          <cell r="K46">
            <v>1.5</v>
          </cell>
        </row>
        <row r="47">
          <cell r="D47">
            <v>256779410791</v>
          </cell>
          <cell r="K47">
            <v>441.2</v>
          </cell>
        </row>
        <row r="48">
          <cell r="D48">
            <v>256779410807</v>
          </cell>
          <cell r="K48">
            <v>742.7</v>
          </cell>
        </row>
        <row r="49">
          <cell r="D49">
            <v>256779411160</v>
          </cell>
          <cell r="K49">
            <v>18.38</v>
          </cell>
        </row>
        <row r="50">
          <cell r="D50">
            <v>256779411161</v>
          </cell>
          <cell r="K50">
            <v>46.76</v>
          </cell>
        </row>
        <row r="51">
          <cell r="D51">
            <v>256779411162</v>
          </cell>
          <cell r="K51">
            <v>35.25</v>
          </cell>
        </row>
        <row r="52">
          <cell r="D52">
            <v>256779411163</v>
          </cell>
          <cell r="K52">
            <v>24</v>
          </cell>
        </row>
        <row r="53">
          <cell r="D53">
            <v>256779411164</v>
          </cell>
          <cell r="K53">
            <v>33</v>
          </cell>
        </row>
        <row r="54">
          <cell r="D54">
            <v>256779411587</v>
          </cell>
          <cell r="K54">
            <v>2.25</v>
          </cell>
        </row>
        <row r="55">
          <cell r="D55">
            <v>256779411588</v>
          </cell>
          <cell r="K55">
            <v>2.25</v>
          </cell>
        </row>
        <row r="56">
          <cell r="D56">
            <v>256779411590</v>
          </cell>
          <cell r="K56">
            <v>2.25</v>
          </cell>
        </row>
        <row r="57">
          <cell r="D57">
            <v>256779411591</v>
          </cell>
          <cell r="K57">
            <v>3</v>
          </cell>
        </row>
        <row r="58">
          <cell r="D58">
            <v>256779411592</v>
          </cell>
          <cell r="K58">
            <v>9.59</v>
          </cell>
        </row>
        <row r="59">
          <cell r="D59">
            <v>256779411593</v>
          </cell>
          <cell r="K59">
            <v>3</v>
          </cell>
        </row>
        <row r="60">
          <cell r="D60">
            <v>256779411594</v>
          </cell>
          <cell r="K60">
            <v>5.25</v>
          </cell>
        </row>
        <row r="61">
          <cell r="D61">
            <v>256779411595</v>
          </cell>
          <cell r="K61">
            <v>62.35</v>
          </cell>
        </row>
        <row r="62">
          <cell r="D62">
            <v>256779411596</v>
          </cell>
          <cell r="K62">
            <v>13.88</v>
          </cell>
        </row>
        <row r="63">
          <cell r="D63">
            <v>256779411597</v>
          </cell>
          <cell r="K63">
            <v>19.95</v>
          </cell>
        </row>
        <row r="64">
          <cell r="D64">
            <v>256779411811</v>
          </cell>
          <cell r="K64">
            <v>3.24</v>
          </cell>
        </row>
        <row r="65">
          <cell r="D65">
            <v>256779411812</v>
          </cell>
          <cell r="K65">
            <v>15</v>
          </cell>
        </row>
        <row r="66">
          <cell r="D66">
            <v>256779411890</v>
          </cell>
          <cell r="K66">
            <v>24.75</v>
          </cell>
        </row>
        <row r="67">
          <cell r="D67">
            <v>256779411891</v>
          </cell>
          <cell r="K67">
            <v>2.25</v>
          </cell>
        </row>
        <row r="68">
          <cell r="D68">
            <v>256779412103</v>
          </cell>
          <cell r="K68">
            <v>42.53</v>
          </cell>
        </row>
        <row r="69">
          <cell r="D69">
            <v>256779412113</v>
          </cell>
          <cell r="K69">
            <v>827.48</v>
          </cell>
        </row>
        <row r="70">
          <cell r="D70">
            <v>256779412153</v>
          </cell>
          <cell r="K70">
            <v>1165.3699999999999</v>
          </cell>
        </row>
        <row r="71">
          <cell r="D71">
            <v>256779412617</v>
          </cell>
          <cell r="K71">
            <v>384.63</v>
          </cell>
        </row>
        <row r="72">
          <cell r="D72">
            <v>256779412660</v>
          </cell>
          <cell r="K72">
            <v>7.5</v>
          </cell>
        </row>
        <row r="73">
          <cell r="D73">
            <v>256779412932</v>
          </cell>
          <cell r="K73">
            <v>66.86</v>
          </cell>
        </row>
        <row r="74">
          <cell r="D74">
            <v>256779413142</v>
          </cell>
          <cell r="K74">
            <v>1163.0111111111112</v>
          </cell>
        </row>
        <row r="75">
          <cell r="D75">
            <v>256779413272</v>
          </cell>
          <cell r="K75">
            <v>25.28</v>
          </cell>
        </row>
        <row r="76">
          <cell r="D76">
            <v>256779413361</v>
          </cell>
          <cell r="K76">
            <v>3</v>
          </cell>
        </row>
        <row r="77">
          <cell r="D77">
            <v>256779413490</v>
          </cell>
          <cell r="K77">
            <v>3</v>
          </cell>
        </row>
        <row r="78">
          <cell r="D78">
            <v>256779413893</v>
          </cell>
          <cell r="K78">
            <v>797.57</v>
          </cell>
        </row>
        <row r="79">
          <cell r="D79">
            <v>256779414003</v>
          </cell>
          <cell r="K79">
            <v>807.39</v>
          </cell>
        </row>
        <row r="80">
          <cell r="D80">
            <v>256779414004</v>
          </cell>
          <cell r="K80">
            <v>808.16</v>
          </cell>
        </row>
        <row r="81">
          <cell r="D81">
            <v>256779414005</v>
          </cell>
          <cell r="K81">
            <v>805.28</v>
          </cell>
        </row>
        <row r="82">
          <cell r="D82">
            <v>256779414006</v>
          </cell>
          <cell r="K82">
            <v>801.47</v>
          </cell>
        </row>
        <row r="83">
          <cell r="D83">
            <v>256779414007</v>
          </cell>
          <cell r="K83">
            <v>790.89</v>
          </cell>
        </row>
        <row r="84">
          <cell r="D84">
            <v>256779414354</v>
          </cell>
          <cell r="K84">
            <v>1169.7222222222222</v>
          </cell>
        </row>
        <row r="85">
          <cell r="D85">
            <v>256779414912</v>
          </cell>
          <cell r="K85">
            <v>1162.7777777777778</v>
          </cell>
        </row>
        <row r="86">
          <cell r="D86">
            <v>256779414833</v>
          </cell>
          <cell r="K86">
            <v>3</v>
          </cell>
        </row>
        <row r="87">
          <cell r="D87">
            <v>256779415190</v>
          </cell>
          <cell r="K87">
            <v>690.7</v>
          </cell>
        </row>
        <row r="88">
          <cell r="D88">
            <v>256779415485</v>
          </cell>
          <cell r="K88">
            <v>17.25</v>
          </cell>
        </row>
        <row r="89">
          <cell r="D89">
            <v>256779415533</v>
          </cell>
          <cell r="K89">
            <v>21.75</v>
          </cell>
        </row>
        <row r="90">
          <cell r="D90">
            <v>256779415772</v>
          </cell>
          <cell r="K90">
            <v>59.43</v>
          </cell>
        </row>
        <row r="91">
          <cell r="D91">
            <v>256779416024</v>
          </cell>
          <cell r="K91">
            <v>1162.377777777778</v>
          </cell>
        </row>
        <row r="92">
          <cell r="D92">
            <v>256779416082</v>
          </cell>
          <cell r="K92">
            <v>759.67</v>
          </cell>
        </row>
        <row r="93">
          <cell r="D93">
            <v>256779416182</v>
          </cell>
          <cell r="K93">
            <v>18</v>
          </cell>
        </row>
        <row r="94">
          <cell r="D94">
            <v>256779416228</v>
          </cell>
          <cell r="K94">
            <v>3</v>
          </cell>
        </row>
        <row r="95">
          <cell r="D95">
            <v>256779416246</v>
          </cell>
          <cell r="K95">
            <v>70.95</v>
          </cell>
        </row>
        <row r="96">
          <cell r="D96">
            <v>256779416257</v>
          </cell>
          <cell r="K96">
            <v>22.87</v>
          </cell>
        </row>
        <row r="97">
          <cell r="D97">
            <v>256779416446</v>
          </cell>
          <cell r="K97">
            <v>2.2799999999999998</v>
          </cell>
        </row>
        <row r="98">
          <cell r="D98">
            <v>256779416604</v>
          </cell>
          <cell r="K98">
            <v>17.309999999999999</v>
          </cell>
        </row>
        <row r="99">
          <cell r="D99">
            <v>256779416616</v>
          </cell>
          <cell r="K99">
            <v>63.65</v>
          </cell>
        </row>
        <row r="100">
          <cell r="D100">
            <v>256779416847</v>
          </cell>
          <cell r="K100">
            <v>27.83</v>
          </cell>
        </row>
        <row r="101">
          <cell r="D101">
            <v>256779416882</v>
          </cell>
          <cell r="K101">
            <v>12.83</v>
          </cell>
        </row>
        <row r="102">
          <cell r="D102">
            <v>256779417344</v>
          </cell>
          <cell r="K102">
            <v>1142.6666666666667</v>
          </cell>
        </row>
        <row r="103">
          <cell r="D103">
            <v>256779416912</v>
          </cell>
          <cell r="K103">
            <v>44.96</v>
          </cell>
        </row>
        <row r="104">
          <cell r="D104">
            <v>256779416949</v>
          </cell>
          <cell r="K104">
            <v>30.16</v>
          </cell>
        </row>
        <row r="105">
          <cell r="D105">
            <v>256779417136</v>
          </cell>
          <cell r="K105">
            <v>1.71</v>
          </cell>
        </row>
        <row r="106">
          <cell r="D106">
            <v>256779417328</v>
          </cell>
          <cell r="K106">
            <v>2.25</v>
          </cell>
        </row>
        <row r="107">
          <cell r="D107">
            <v>256779417077</v>
          </cell>
          <cell r="K107">
            <v>565.97</v>
          </cell>
        </row>
        <row r="108">
          <cell r="D108">
            <v>256779417528</v>
          </cell>
          <cell r="K108">
            <v>3</v>
          </cell>
        </row>
        <row r="109">
          <cell r="D109">
            <v>256779417871</v>
          </cell>
          <cell r="K109">
            <v>1133.9111111111113</v>
          </cell>
        </row>
        <row r="110">
          <cell r="D110">
            <v>256779417860</v>
          </cell>
          <cell r="K110">
            <v>50</v>
          </cell>
        </row>
        <row r="111">
          <cell r="D111">
            <v>256779418342</v>
          </cell>
          <cell r="K111">
            <v>458.95</v>
          </cell>
        </row>
        <row r="112">
          <cell r="D112">
            <v>256779418354</v>
          </cell>
          <cell r="K112">
            <v>108.95</v>
          </cell>
        </row>
        <row r="113">
          <cell r="D113">
            <v>256779418410</v>
          </cell>
          <cell r="K113">
            <v>480.02</v>
          </cell>
        </row>
        <row r="114">
          <cell r="D114">
            <v>256779418704</v>
          </cell>
          <cell r="K114">
            <v>2.25</v>
          </cell>
        </row>
        <row r="115">
          <cell r="D115">
            <v>256779418478</v>
          </cell>
          <cell r="K115">
            <v>27.64</v>
          </cell>
        </row>
        <row r="116">
          <cell r="D116">
            <v>256779419134</v>
          </cell>
          <cell r="K116">
            <v>21.75</v>
          </cell>
        </row>
        <row r="117">
          <cell r="D117">
            <v>256779418773</v>
          </cell>
          <cell r="K117">
            <v>1136.3222222222221</v>
          </cell>
        </row>
        <row r="118">
          <cell r="D118">
            <v>256779418821</v>
          </cell>
          <cell r="K118">
            <v>49.59</v>
          </cell>
        </row>
        <row r="119">
          <cell r="D119">
            <v>256779418870</v>
          </cell>
          <cell r="K119">
            <v>493.91</v>
          </cell>
        </row>
        <row r="120">
          <cell r="D120">
            <v>256779418946</v>
          </cell>
          <cell r="K120">
            <v>293.04000000000002</v>
          </cell>
        </row>
        <row r="121">
          <cell r="D121">
            <v>256779418947</v>
          </cell>
          <cell r="K121">
            <v>293.04000000000002</v>
          </cell>
        </row>
        <row r="122">
          <cell r="D122">
            <v>256779419178</v>
          </cell>
          <cell r="K122">
            <v>2.25</v>
          </cell>
        </row>
        <row r="123">
          <cell r="D123">
            <v>256779419202</v>
          </cell>
          <cell r="K123">
            <v>62.66</v>
          </cell>
        </row>
        <row r="124">
          <cell r="D124">
            <v>256779419365</v>
          </cell>
          <cell r="K124">
            <v>292.99</v>
          </cell>
        </row>
        <row r="125">
          <cell r="D125">
            <v>256779419592</v>
          </cell>
          <cell r="K125">
            <v>17.62</v>
          </cell>
        </row>
        <row r="126">
          <cell r="D126">
            <v>256779419633</v>
          </cell>
          <cell r="K126">
            <v>9.3699999999999992</v>
          </cell>
        </row>
        <row r="127">
          <cell r="D127">
            <v>256779419966</v>
          </cell>
          <cell r="K127">
            <v>1127.3888888888889</v>
          </cell>
        </row>
        <row r="128">
          <cell r="D128">
            <v>256779419870</v>
          </cell>
          <cell r="K128">
            <v>18.96</v>
          </cell>
        </row>
        <row r="129">
          <cell r="D129">
            <v>256779440005</v>
          </cell>
          <cell r="K129">
            <v>451.3</v>
          </cell>
        </row>
        <row r="130">
          <cell r="D130">
            <v>256779440070</v>
          </cell>
          <cell r="K130">
            <v>7.18</v>
          </cell>
        </row>
        <row r="131">
          <cell r="D131">
            <v>256779440082</v>
          </cell>
          <cell r="K131">
            <v>2.25</v>
          </cell>
        </row>
        <row r="132">
          <cell r="D132">
            <v>256779440102</v>
          </cell>
          <cell r="K132">
            <v>20.39</v>
          </cell>
        </row>
        <row r="133">
          <cell r="D133">
            <v>256779440119</v>
          </cell>
          <cell r="K133">
            <v>17.25</v>
          </cell>
        </row>
        <row r="134">
          <cell r="D134">
            <v>256779440236</v>
          </cell>
          <cell r="K134">
            <v>505.23</v>
          </cell>
        </row>
        <row r="135">
          <cell r="D135">
            <v>256779440305</v>
          </cell>
          <cell r="K135">
            <v>1102.0111111111109</v>
          </cell>
        </row>
        <row r="136">
          <cell r="D136">
            <v>256779440431</v>
          </cell>
          <cell r="K136">
            <v>3</v>
          </cell>
        </row>
        <row r="137">
          <cell r="D137">
            <v>256779418945</v>
          </cell>
          <cell r="K137">
            <v>293.04000000000002</v>
          </cell>
        </row>
        <row r="138">
          <cell r="D138">
            <v>256779421974</v>
          </cell>
          <cell r="K138">
            <v>-435.91</v>
          </cell>
        </row>
        <row r="139">
          <cell r="D139">
            <v>256779421975</v>
          </cell>
          <cell r="K139">
            <v>-447.05</v>
          </cell>
        </row>
        <row r="140">
          <cell r="D140">
            <v>256779421976</v>
          </cell>
          <cell r="K140">
            <v>-111.25</v>
          </cell>
        </row>
        <row r="141">
          <cell r="D141">
            <v>256779421977</v>
          </cell>
          <cell r="K141">
            <v>-376.4</v>
          </cell>
        </row>
        <row r="142">
          <cell r="D142">
            <v>256779421978</v>
          </cell>
          <cell r="K142">
            <v>-391.55</v>
          </cell>
        </row>
        <row r="143">
          <cell r="D143">
            <v>256779422208</v>
          </cell>
          <cell r="K143">
            <v>-23.92</v>
          </cell>
        </row>
        <row r="144">
          <cell r="D144">
            <v>256779422209</v>
          </cell>
          <cell r="K144">
            <v>-45.63</v>
          </cell>
        </row>
        <row r="145">
          <cell r="D145">
            <v>256779422211</v>
          </cell>
          <cell r="K145">
            <v>-21.96</v>
          </cell>
        </row>
      </sheetData>
      <sheetData sheetId="6">
        <row r="1">
          <cell r="B1" t="str">
            <v>Ref</v>
          </cell>
          <cell r="F1" t="str">
            <v>Document Currency Value</v>
          </cell>
        </row>
        <row r="2">
          <cell r="B2">
            <v>246779410007</v>
          </cell>
          <cell r="F2">
            <v>1190.48</v>
          </cell>
        </row>
        <row r="3">
          <cell r="B3">
            <v>246779410274</v>
          </cell>
          <cell r="F3">
            <v>1190.48</v>
          </cell>
        </row>
        <row r="4">
          <cell r="B4">
            <v>246779410027</v>
          </cell>
          <cell r="F4">
            <v>1190.48</v>
          </cell>
        </row>
        <row r="5">
          <cell r="B5">
            <v>246779410095</v>
          </cell>
          <cell r="F5">
            <v>1190.48</v>
          </cell>
        </row>
        <row r="6">
          <cell r="B6">
            <v>246779410138</v>
          </cell>
          <cell r="F6">
            <v>1190.48</v>
          </cell>
        </row>
        <row r="7">
          <cell r="B7">
            <v>246779410181</v>
          </cell>
          <cell r="F7">
            <v>1166.5899999999999</v>
          </cell>
        </row>
        <row r="8">
          <cell r="B8">
            <v>246779410224</v>
          </cell>
          <cell r="F8">
            <v>1143.1199999999999</v>
          </cell>
        </row>
        <row r="9">
          <cell r="B9">
            <v>246779410368</v>
          </cell>
          <cell r="F9">
            <v>356.43</v>
          </cell>
        </row>
        <row r="10">
          <cell r="B10">
            <v>246779410615</v>
          </cell>
          <cell r="F10">
            <v>9</v>
          </cell>
        </row>
        <row r="11">
          <cell r="B11">
            <v>246779410394</v>
          </cell>
          <cell r="F11">
            <v>505.86</v>
          </cell>
        </row>
        <row r="12">
          <cell r="B12">
            <v>246779410418</v>
          </cell>
          <cell r="F12">
            <v>562.6</v>
          </cell>
        </row>
        <row r="13">
          <cell r="B13">
            <v>246779410509</v>
          </cell>
          <cell r="F13">
            <v>29.25</v>
          </cell>
        </row>
        <row r="14">
          <cell r="B14">
            <v>246779410510</v>
          </cell>
          <cell r="F14">
            <v>194.9</v>
          </cell>
        </row>
        <row r="15">
          <cell r="B15">
            <v>246779410511</v>
          </cell>
          <cell r="F15">
            <v>13.91</v>
          </cell>
        </row>
        <row r="16">
          <cell r="B16">
            <v>246779410614</v>
          </cell>
          <cell r="F16">
            <v>2.25</v>
          </cell>
        </row>
        <row r="17">
          <cell r="B17">
            <v>246779410694</v>
          </cell>
          <cell r="F17">
            <v>59.36</v>
          </cell>
        </row>
        <row r="18">
          <cell r="B18">
            <v>246779410856</v>
          </cell>
          <cell r="F18">
            <v>18.32</v>
          </cell>
        </row>
        <row r="19">
          <cell r="B19">
            <v>246779410888</v>
          </cell>
          <cell r="F19">
            <v>446.38</v>
          </cell>
        </row>
        <row r="20">
          <cell r="B20">
            <v>246779410865</v>
          </cell>
          <cell r="F20">
            <v>412.11</v>
          </cell>
        </row>
        <row r="21">
          <cell r="B21">
            <v>246779410975</v>
          </cell>
          <cell r="F21">
            <v>28.91</v>
          </cell>
        </row>
        <row r="22">
          <cell r="B22">
            <v>246779410976</v>
          </cell>
          <cell r="F22">
            <v>24</v>
          </cell>
        </row>
        <row r="23">
          <cell r="B23">
            <v>246779411056</v>
          </cell>
          <cell r="F23">
            <v>59.36</v>
          </cell>
        </row>
        <row r="24">
          <cell r="B24">
            <v>246779411057</v>
          </cell>
          <cell r="F24">
            <v>67.67</v>
          </cell>
        </row>
        <row r="25">
          <cell r="B25">
            <v>246779411190</v>
          </cell>
          <cell r="F25">
            <v>17.25</v>
          </cell>
        </row>
        <row r="26">
          <cell r="B26">
            <v>246779411191</v>
          </cell>
          <cell r="F26">
            <v>26.15</v>
          </cell>
        </row>
        <row r="27">
          <cell r="B27">
            <v>246779411253</v>
          </cell>
          <cell r="F27">
            <v>20</v>
          </cell>
        </row>
        <row r="28">
          <cell r="B28">
            <v>246779411485</v>
          </cell>
          <cell r="F28">
            <v>100</v>
          </cell>
        </row>
        <row r="29">
          <cell r="B29">
            <v>246779412274</v>
          </cell>
          <cell r="F29">
            <v>100</v>
          </cell>
        </row>
        <row r="30">
          <cell r="B30">
            <v>246779411451</v>
          </cell>
          <cell r="F30">
            <v>2.86</v>
          </cell>
        </row>
        <row r="31">
          <cell r="B31">
            <v>246779411452</v>
          </cell>
          <cell r="F31">
            <v>0.95</v>
          </cell>
        </row>
        <row r="32">
          <cell r="B32">
            <v>246779411453</v>
          </cell>
          <cell r="F32">
            <v>4.7699999999999996</v>
          </cell>
        </row>
        <row r="33">
          <cell r="B33">
            <v>246779411454</v>
          </cell>
          <cell r="F33">
            <v>1.91</v>
          </cell>
        </row>
        <row r="34">
          <cell r="B34">
            <v>246779411455</v>
          </cell>
          <cell r="F34">
            <v>1.91</v>
          </cell>
        </row>
        <row r="35">
          <cell r="B35">
            <v>246779411456</v>
          </cell>
          <cell r="F35">
            <v>4.7699999999999996</v>
          </cell>
        </row>
        <row r="36">
          <cell r="B36">
            <v>246779412240</v>
          </cell>
          <cell r="F36">
            <v>2.86</v>
          </cell>
        </row>
        <row r="37">
          <cell r="B37">
            <v>246779412241</v>
          </cell>
          <cell r="F37">
            <v>0.95</v>
          </cell>
        </row>
        <row r="38">
          <cell r="B38">
            <v>246779412242</v>
          </cell>
          <cell r="F38">
            <v>4.7699999999999996</v>
          </cell>
        </row>
        <row r="39">
          <cell r="B39">
            <v>246779412243</v>
          </cell>
          <cell r="F39">
            <v>1.91</v>
          </cell>
        </row>
        <row r="40">
          <cell r="B40">
            <v>246779412244</v>
          </cell>
          <cell r="F40">
            <v>1.91</v>
          </cell>
        </row>
        <row r="41">
          <cell r="B41">
            <v>246779412245</v>
          </cell>
          <cell r="F41">
            <v>4.7699999999999996</v>
          </cell>
        </row>
        <row r="42">
          <cell r="B42">
            <v>246779411622</v>
          </cell>
          <cell r="F42">
            <v>3.82</v>
          </cell>
        </row>
        <row r="43">
          <cell r="B43">
            <v>246779411623</v>
          </cell>
          <cell r="F43">
            <v>1.91</v>
          </cell>
        </row>
        <row r="44">
          <cell r="B44">
            <v>246779412992</v>
          </cell>
          <cell r="F44">
            <v>1148.6300000000001</v>
          </cell>
        </row>
        <row r="45">
          <cell r="B45">
            <v>246779413953</v>
          </cell>
          <cell r="F45">
            <v>3</v>
          </cell>
        </row>
        <row r="46">
          <cell r="B46">
            <v>246779414225</v>
          </cell>
          <cell r="F46">
            <v>13.5</v>
          </cell>
        </row>
        <row r="47">
          <cell r="B47">
            <v>246779414400</v>
          </cell>
          <cell r="F47">
            <v>80.95</v>
          </cell>
        </row>
        <row r="48">
          <cell r="B48">
            <v>246779414401</v>
          </cell>
          <cell r="F48">
            <v>15</v>
          </cell>
        </row>
        <row r="49">
          <cell r="B49">
            <v>246779414738</v>
          </cell>
          <cell r="F49">
            <v>2.25</v>
          </cell>
        </row>
        <row r="50">
          <cell r="B50">
            <v>246779414739</v>
          </cell>
          <cell r="F50">
            <v>0.75</v>
          </cell>
        </row>
        <row r="51">
          <cell r="B51">
            <v>246779414794</v>
          </cell>
          <cell r="F51">
            <v>2.25</v>
          </cell>
        </row>
        <row r="52">
          <cell r="B52">
            <v>246779414795</v>
          </cell>
          <cell r="F52">
            <v>0.75</v>
          </cell>
        </row>
        <row r="53">
          <cell r="B53">
            <v>246779414607</v>
          </cell>
          <cell r="F53">
            <v>2.25</v>
          </cell>
        </row>
        <row r="54">
          <cell r="B54">
            <v>246779414685</v>
          </cell>
          <cell r="F54">
            <v>42.93</v>
          </cell>
        </row>
        <row r="55">
          <cell r="B55">
            <v>256779410137</v>
          </cell>
          <cell r="F55">
            <v>4.5</v>
          </cell>
        </row>
        <row r="56">
          <cell r="B56">
            <v>256779410138</v>
          </cell>
          <cell r="F56">
            <v>1.5</v>
          </cell>
        </row>
        <row r="57">
          <cell r="B57">
            <v>256779410228</v>
          </cell>
          <cell r="F57">
            <v>1166.5899999999999</v>
          </cell>
        </row>
        <row r="58">
          <cell r="B58">
            <v>256779410269</v>
          </cell>
          <cell r="F58">
            <v>1143.1199999999999</v>
          </cell>
        </row>
        <row r="59">
          <cell r="B59">
            <v>256779410791</v>
          </cell>
          <cell r="F59">
            <v>441.2</v>
          </cell>
        </row>
        <row r="60">
          <cell r="B60">
            <v>256779410807</v>
          </cell>
          <cell r="F60">
            <v>742.7</v>
          </cell>
        </row>
        <row r="61">
          <cell r="B61">
            <v>256779411160</v>
          </cell>
          <cell r="F61">
            <v>18.38</v>
          </cell>
        </row>
        <row r="62">
          <cell r="B62">
            <v>256779411161</v>
          </cell>
          <cell r="F62">
            <v>46.76</v>
          </cell>
        </row>
        <row r="63">
          <cell r="B63">
            <v>256779411162</v>
          </cell>
          <cell r="F63">
            <v>35.25</v>
          </cell>
        </row>
        <row r="64">
          <cell r="B64">
            <v>256779411163</v>
          </cell>
          <cell r="F64">
            <v>24</v>
          </cell>
        </row>
        <row r="65">
          <cell r="B65">
            <v>256779411164</v>
          </cell>
          <cell r="F65">
            <v>33</v>
          </cell>
        </row>
        <row r="66">
          <cell r="B66">
            <v>256779411587</v>
          </cell>
          <cell r="F66">
            <v>2.25</v>
          </cell>
        </row>
        <row r="67">
          <cell r="B67">
            <v>256779411588</v>
          </cell>
          <cell r="F67">
            <v>2.25</v>
          </cell>
        </row>
        <row r="68">
          <cell r="B68">
            <v>256779411589</v>
          </cell>
          <cell r="F68">
            <v>3.38</v>
          </cell>
        </row>
        <row r="69">
          <cell r="B69">
            <v>256779411590</v>
          </cell>
          <cell r="F69">
            <v>2.25</v>
          </cell>
        </row>
        <row r="70">
          <cell r="B70">
            <v>256779411591</v>
          </cell>
          <cell r="F70">
            <v>3</v>
          </cell>
        </row>
        <row r="71">
          <cell r="B71">
            <v>256779411592</v>
          </cell>
          <cell r="F71">
            <v>9.59</v>
          </cell>
        </row>
        <row r="72">
          <cell r="B72">
            <v>256779411593</v>
          </cell>
          <cell r="F72">
            <v>3</v>
          </cell>
        </row>
        <row r="73">
          <cell r="B73">
            <v>256779411594</v>
          </cell>
          <cell r="F73">
            <v>5.25</v>
          </cell>
        </row>
        <row r="74">
          <cell r="B74">
            <v>256779411595</v>
          </cell>
          <cell r="F74">
            <v>62.35</v>
          </cell>
        </row>
        <row r="75">
          <cell r="B75">
            <v>256779411596</v>
          </cell>
          <cell r="F75">
            <v>13.88</v>
          </cell>
        </row>
        <row r="76">
          <cell r="B76">
            <v>256779411597</v>
          </cell>
          <cell r="F76">
            <v>19.95</v>
          </cell>
        </row>
        <row r="77">
          <cell r="B77">
            <v>256779411811</v>
          </cell>
          <cell r="F77">
            <v>3.24</v>
          </cell>
        </row>
        <row r="78">
          <cell r="B78">
            <v>256779411812</v>
          </cell>
          <cell r="F78">
            <v>15</v>
          </cell>
        </row>
        <row r="79">
          <cell r="B79">
            <v>256779411890</v>
          </cell>
          <cell r="F79">
            <v>24.75</v>
          </cell>
        </row>
        <row r="80">
          <cell r="B80">
            <v>256779411891</v>
          </cell>
          <cell r="F80">
            <v>2.25</v>
          </cell>
        </row>
        <row r="81">
          <cell r="B81">
            <v>256779412103</v>
          </cell>
          <cell r="F81">
            <v>42.53</v>
          </cell>
        </row>
        <row r="82">
          <cell r="B82">
            <v>256779412113</v>
          </cell>
          <cell r="F82">
            <v>827.48</v>
          </cell>
        </row>
        <row r="83">
          <cell r="B83">
            <v>256779412153</v>
          </cell>
          <cell r="F83">
            <v>1165.3699999999999</v>
          </cell>
        </row>
        <row r="84">
          <cell r="B84">
            <v>256779412617</v>
          </cell>
          <cell r="F84">
            <v>384.63</v>
          </cell>
        </row>
        <row r="85">
          <cell r="B85">
            <v>256779412660</v>
          </cell>
          <cell r="F85">
            <v>7.5</v>
          </cell>
        </row>
        <row r="86">
          <cell r="B86">
            <v>256779412932</v>
          </cell>
          <cell r="F86">
            <v>66.86</v>
          </cell>
        </row>
        <row r="87">
          <cell r="B87">
            <v>256779413142</v>
          </cell>
          <cell r="F87">
            <v>1162.7906976744187</v>
          </cell>
        </row>
        <row r="88">
          <cell r="B88">
            <v>256779420311</v>
          </cell>
          <cell r="F88">
            <v>-1.91</v>
          </cell>
        </row>
        <row r="89">
          <cell r="B89">
            <v>256779420307</v>
          </cell>
          <cell r="F89">
            <v>-2.86</v>
          </cell>
        </row>
        <row r="90">
          <cell r="B90">
            <v>256779420308</v>
          </cell>
          <cell r="F90">
            <v>-0.95</v>
          </cell>
        </row>
        <row r="91">
          <cell r="B91">
            <v>256779420309</v>
          </cell>
          <cell r="F91">
            <v>-4.7699999999999996</v>
          </cell>
        </row>
        <row r="92">
          <cell r="B92">
            <v>256779420310</v>
          </cell>
          <cell r="F92">
            <v>-1.91</v>
          </cell>
        </row>
        <row r="93">
          <cell r="B93">
            <v>256779420312</v>
          </cell>
          <cell r="F93">
            <v>-4.7699999999999996</v>
          </cell>
        </row>
        <row r="94">
          <cell r="B94">
            <v>256779420489</v>
          </cell>
          <cell r="F94">
            <v>-1166.5899999999999</v>
          </cell>
        </row>
        <row r="95">
          <cell r="B95">
            <v>256779420523</v>
          </cell>
          <cell r="F95">
            <v>-1143.1199999999999</v>
          </cell>
        </row>
        <row r="96">
          <cell r="B96">
            <v>256779413272</v>
          </cell>
          <cell r="F96">
            <v>25.28</v>
          </cell>
        </row>
        <row r="97">
          <cell r="B97">
            <v>256779413361</v>
          </cell>
          <cell r="F97">
            <v>3</v>
          </cell>
        </row>
        <row r="98">
          <cell r="B98">
            <v>256779413490</v>
          </cell>
          <cell r="F98">
            <v>3</v>
          </cell>
        </row>
        <row r="99">
          <cell r="B99">
            <v>256779413893</v>
          </cell>
          <cell r="F99">
            <v>797.57</v>
          </cell>
        </row>
        <row r="100">
          <cell r="B100">
            <v>256779414003</v>
          </cell>
          <cell r="F100">
            <v>807.39</v>
          </cell>
        </row>
        <row r="101">
          <cell r="B101">
            <v>256779414004</v>
          </cell>
          <cell r="F101">
            <v>808.16</v>
          </cell>
        </row>
        <row r="102">
          <cell r="B102">
            <v>256779414005</v>
          </cell>
          <cell r="F102">
            <v>805.28</v>
          </cell>
        </row>
        <row r="103">
          <cell r="B103">
            <v>256779414006</v>
          </cell>
          <cell r="F103">
            <v>801.47</v>
          </cell>
        </row>
        <row r="104">
          <cell r="B104">
            <v>256779414007</v>
          </cell>
          <cell r="F104">
            <v>790.89</v>
          </cell>
        </row>
        <row r="105">
          <cell r="B105">
            <v>256779414234</v>
          </cell>
          <cell r="F105">
            <v>925.23</v>
          </cell>
        </row>
        <row r="106">
          <cell r="B106">
            <v>256779414354</v>
          </cell>
          <cell r="F106">
            <v>1169.5906432748538</v>
          </cell>
        </row>
        <row r="107">
          <cell r="B107">
            <v>256779414435</v>
          </cell>
          <cell r="F107">
            <v>1190.48</v>
          </cell>
        </row>
        <row r="108">
          <cell r="B108">
            <v>256779414912</v>
          </cell>
          <cell r="F108">
            <v>1162.7906976744187</v>
          </cell>
        </row>
        <row r="109">
          <cell r="B109">
            <v>256779414833</v>
          </cell>
          <cell r="F109">
            <v>3</v>
          </cell>
        </row>
        <row r="110">
          <cell r="B110">
            <v>256779415190</v>
          </cell>
          <cell r="F110">
            <v>690.7</v>
          </cell>
        </row>
        <row r="111">
          <cell r="B111">
            <v>256779415485</v>
          </cell>
          <cell r="F111">
            <v>17.25</v>
          </cell>
        </row>
        <row r="112">
          <cell r="B112">
            <v>256779415533</v>
          </cell>
          <cell r="F112">
            <v>21.75</v>
          </cell>
        </row>
        <row r="113">
          <cell r="B113">
            <v>256779415490</v>
          </cell>
          <cell r="F113">
            <v>17.25</v>
          </cell>
        </row>
        <row r="114">
          <cell r="B114">
            <v>256779415805</v>
          </cell>
          <cell r="F114">
            <v>17.25</v>
          </cell>
        </row>
        <row r="115">
          <cell r="B115">
            <v>256779415810</v>
          </cell>
          <cell r="F115">
            <v>17.25</v>
          </cell>
        </row>
        <row r="116">
          <cell r="B116">
            <v>256779415772</v>
          </cell>
          <cell r="F116">
            <v>59.43</v>
          </cell>
        </row>
        <row r="117">
          <cell r="B117" t="str">
            <v/>
          </cell>
          <cell r="F117">
            <v>198636.61</v>
          </cell>
        </row>
        <row r="118">
          <cell r="B118" t="str">
            <v/>
          </cell>
          <cell r="F118">
            <v>-198636.61</v>
          </cell>
        </row>
        <row r="119">
          <cell r="B119" t="str">
            <v/>
          </cell>
          <cell r="F119">
            <v>-8262.11</v>
          </cell>
        </row>
        <row r="120">
          <cell r="B120">
            <v>256779421502</v>
          </cell>
          <cell r="F120">
            <v>-1190.48</v>
          </cell>
        </row>
        <row r="121">
          <cell r="B121">
            <v>256779416024</v>
          </cell>
          <cell r="F121">
            <v>1162.7906976744187</v>
          </cell>
        </row>
        <row r="122">
          <cell r="B122">
            <v>256779421588</v>
          </cell>
          <cell r="F122">
            <v>-17.25</v>
          </cell>
        </row>
        <row r="123">
          <cell r="B123">
            <v>256779421633</v>
          </cell>
          <cell r="F123">
            <v>-17.25</v>
          </cell>
        </row>
        <row r="124">
          <cell r="B124">
            <v>256779421638</v>
          </cell>
          <cell r="F124">
            <v>-17.25</v>
          </cell>
        </row>
        <row r="125">
          <cell r="B125">
            <v>256779416082</v>
          </cell>
          <cell r="F125">
            <v>759.67</v>
          </cell>
        </row>
        <row r="126">
          <cell r="B126">
            <v>256779416182</v>
          </cell>
          <cell r="F126">
            <v>18</v>
          </cell>
        </row>
        <row r="127">
          <cell r="B127">
            <v>256779416228</v>
          </cell>
          <cell r="F127">
            <v>3</v>
          </cell>
        </row>
        <row r="128">
          <cell r="B128">
            <v>256779416246</v>
          </cell>
          <cell r="F128">
            <v>70.95</v>
          </cell>
        </row>
        <row r="129">
          <cell r="B129">
            <v>256779416257</v>
          </cell>
          <cell r="F129">
            <v>22.87</v>
          </cell>
        </row>
        <row r="130">
          <cell r="B130">
            <v>256779416446</v>
          </cell>
          <cell r="F130">
            <v>2.2799999999999998</v>
          </cell>
        </row>
        <row r="131">
          <cell r="B131">
            <v>256779416604</v>
          </cell>
          <cell r="F131">
            <v>17.309999999999999</v>
          </cell>
        </row>
        <row r="132">
          <cell r="B132">
            <v>256779416616</v>
          </cell>
          <cell r="F132">
            <v>63.65</v>
          </cell>
        </row>
        <row r="133">
          <cell r="B133">
            <v>256779416847</v>
          </cell>
          <cell r="F133">
            <v>27.83</v>
          </cell>
        </row>
        <row r="134">
          <cell r="B134">
            <v>256779416882</v>
          </cell>
          <cell r="F134">
            <v>12.83</v>
          </cell>
        </row>
        <row r="135">
          <cell r="B135" t="str">
            <v/>
          </cell>
          <cell r="F135">
            <v>-4582.99</v>
          </cell>
        </row>
        <row r="136">
          <cell r="B136" t="str">
            <v/>
          </cell>
          <cell r="F136">
            <v>104184.06</v>
          </cell>
        </row>
        <row r="137">
          <cell r="B137" t="str">
            <v/>
          </cell>
          <cell r="F137">
            <v>-104184.06</v>
          </cell>
        </row>
        <row r="138">
          <cell r="B138">
            <v>256779417344</v>
          </cell>
          <cell r="F138">
            <v>1142.8571428571429</v>
          </cell>
        </row>
        <row r="139">
          <cell r="B139">
            <v>256779416912</v>
          </cell>
          <cell r="F139">
            <v>44.96</v>
          </cell>
        </row>
        <row r="140">
          <cell r="B140">
            <v>256779416949</v>
          </cell>
          <cell r="F140">
            <v>30.16</v>
          </cell>
        </row>
        <row r="141">
          <cell r="B141">
            <v>256779417136</v>
          </cell>
          <cell r="F141">
            <v>1.71</v>
          </cell>
        </row>
        <row r="142">
          <cell r="B142">
            <v>256779417162</v>
          </cell>
          <cell r="F142">
            <v>44.74</v>
          </cell>
        </row>
        <row r="143">
          <cell r="B143">
            <v>256779417328</v>
          </cell>
          <cell r="F143">
            <v>2.25</v>
          </cell>
        </row>
        <row r="144">
          <cell r="B144">
            <v>256779417077</v>
          </cell>
          <cell r="F144">
            <v>565.97</v>
          </cell>
        </row>
        <row r="145">
          <cell r="B145">
            <v>256779417528</v>
          </cell>
          <cell r="F145">
            <v>3</v>
          </cell>
        </row>
        <row r="146">
          <cell r="B146">
            <v>256779417871</v>
          </cell>
          <cell r="F146">
            <v>1133.9111111111113</v>
          </cell>
        </row>
        <row r="147">
          <cell r="B147">
            <v>256779417860</v>
          </cell>
          <cell r="F147">
            <v>50</v>
          </cell>
        </row>
        <row r="148">
          <cell r="B148">
            <v>256779418401</v>
          </cell>
          <cell r="F148">
            <v>62.52</v>
          </cell>
        </row>
        <row r="149">
          <cell r="B149">
            <v>256779418012</v>
          </cell>
          <cell r="F149">
            <v>480.02</v>
          </cell>
        </row>
        <row r="150">
          <cell r="B150">
            <v>256779418181</v>
          </cell>
          <cell r="F150">
            <v>49.33</v>
          </cell>
        </row>
        <row r="151">
          <cell r="B151">
            <v>256779418342</v>
          </cell>
          <cell r="F151">
            <v>458.95</v>
          </cell>
        </row>
        <row r="152">
          <cell r="B152">
            <v>256779418354</v>
          </cell>
          <cell r="F152">
            <v>108.95</v>
          </cell>
        </row>
        <row r="153">
          <cell r="B153">
            <v>256779421974</v>
          </cell>
          <cell r="F153">
            <v>-435.91</v>
          </cell>
        </row>
        <row r="154">
          <cell r="B154">
            <v>256779421975</v>
          </cell>
          <cell r="F154">
            <v>-447.05</v>
          </cell>
        </row>
        <row r="155">
          <cell r="B155">
            <v>256779421982</v>
          </cell>
          <cell r="F155">
            <v>-480.02</v>
          </cell>
        </row>
        <row r="156">
          <cell r="B156">
            <v>256779421976</v>
          </cell>
          <cell r="F156">
            <v>-111.25</v>
          </cell>
        </row>
        <row r="157">
          <cell r="B157">
            <v>256779421977</v>
          </cell>
          <cell r="F157">
            <v>-376.4</v>
          </cell>
        </row>
        <row r="158">
          <cell r="B158">
            <v>256779421978</v>
          </cell>
          <cell r="F158">
            <v>-391.55</v>
          </cell>
        </row>
        <row r="159">
          <cell r="B159">
            <v>256779418410</v>
          </cell>
          <cell r="F159">
            <v>480.02</v>
          </cell>
        </row>
        <row r="160">
          <cell r="B160">
            <v>256779418440</v>
          </cell>
          <cell r="F160">
            <v>246.92</v>
          </cell>
        </row>
        <row r="161">
          <cell r="B161">
            <v>256779418704</v>
          </cell>
          <cell r="F161">
            <v>2.25</v>
          </cell>
        </row>
        <row r="162">
          <cell r="B162">
            <v>256779418478</v>
          </cell>
          <cell r="F162">
            <v>27.64</v>
          </cell>
        </row>
        <row r="163">
          <cell r="B163">
            <v>256779418493</v>
          </cell>
          <cell r="F163">
            <v>27.64</v>
          </cell>
        </row>
        <row r="164">
          <cell r="B164" t="str">
            <v/>
          </cell>
          <cell r="F164">
            <v>-4875.1499999999996</v>
          </cell>
        </row>
        <row r="165">
          <cell r="B165">
            <v>256779422046</v>
          </cell>
          <cell r="F165">
            <v>-246.92</v>
          </cell>
        </row>
        <row r="166">
          <cell r="B166">
            <v>256779419134</v>
          </cell>
          <cell r="F166">
            <v>21.75</v>
          </cell>
        </row>
        <row r="167">
          <cell r="B167">
            <v>256779418773</v>
          </cell>
          <cell r="F167">
            <v>1136.3636363636363</v>
          </cell>
        </row>
        <row r="168">
          <cell r="B168">
            <v>256779418821</v>
          </cell>
          <cell r="F168">
            <v>49.59</v>
          </cell>
        </row>
        <row r="169">
          <cell r="B169">
            <v>256779418827</v>
          </cell>
          <cell r="F169">
            <v>60.86</v>
          </cell>
        </row>
        <row r="170">
          <cell r="B170">
            <v>256779418870</v>
          </cell>
          <cell r="F170">
            <v>493.91</v>
          </cell>
        </row>
        <row r="171">
          <cell r="B171">
            <v>256779418945</v>
          </cell>
          <cell r="F171">
            <v>293.04000000000002</v>
          </cell>
        </row>
        <row r="172">
          <cell r="B172">
            <v>256779418946</v>
          </cell>
          <cell r="F172">
            <v>293.04000000000002</v>
          </cell>
        </row>
        <row r="173">
          <cell r="B173">
            <v>256779418947</v>
          </cell>
          <cell r="F173">
            <v>293.04000000000002</v>
          </cell>
        </row>
        <row r="174">
          <cell r="B174">
            <v>256779419178</v>
          </cell>
          <cell r="F174">
            <v>2.25</v>
          </cell>
        </row>
        <row r="175">
          <cell r="B175">
            <v>256779419202</v>
          </cell>
          <cell r="F175">
            <v>62.66</v>
          </cell>
        </row>
        <row r="176">
          <cell r="B176" t="str">
            <v>KNOCK OFF ENTRY</v>
          </cell>
          <cell r="F176">
            <v>0</v>
          </cell>
        </row>
        <row r="177">
          <cell r="B177" t="str">
            <v>KNOCK OFF ENTRY</v>
          </cell>
          <cell r="F177">
            <v>879.2</v>
          </cell>
        </row>
        <row r="178">
          <cell r="B178" t="str">
            <v>KNOCK OFF ENTRY</v>
          </cell>
          <cell r="F178">
            <v>-111.25</v>
          </cell>
        </row>
        <row r="179">
          <cell r="B179" t="str">
            <v>KNOCK OFF ENTRY</v>
          </cell>
          <cell r="F179">
            <v>-376.4</v>
          </cell>
        </row>
        <row r="180">
          <cell r="B180" t="str">
            <v>KNOCK OFF ENTRY</v>
          </cell>
          <cell r="F180">
            <v>-391.55</v>
          </cell>
        </row>
        <row r="181">
          <cell r="B181">
            <v>256779419365</v>
          </cell>
          <cell r="F181">
            <v>292.99</v>
          </cell>
        </row>
        <row r="182">
          <cell r="B182">
            <v>256779419592</v>
          </cell>
          <cell r="F182">
            <v>17.62</v>
          </cell>
        </row>
        <row r="183">
          <cell r="B183">
            <v>256779419633</v>
          </cell>
          <cell r="F183">
            <v>9.3699999999999992</v>
          </cell>
        </row>
        <row r="184">
          <cell r="B184">
            <v>256779419966</v>
          </cell>
          <cell r="F184">
            <v>1127.3888888888889</v>
          </cell>
        </row>
        <row r="185">
          <cell r="B185">
            <v>256779419870</v>
          </cell>
          <cell r="F185">
            <v>18.96</v>
          </cell>
        </row>
        <row r="186">
          <cell r="B186">
            <v>256779440005</v>
          </cell>
          <cell r="F186">
            <v>451.3</v>
          </cell>
        </row>
        <row r="187">
          <cell r="B187">
            <v>256779422156</v>
          </cell>
          <cell r="F187">
            <v>-59.62</v>
          </cell>
        </row>
        <row r="188">
          <cell r="B188">
            <v>256779422157</v>
          </cell>
          <cell r="F188">
            <v>-49.33</v>
          </cell>
        </row>
        <row r="189">
          <cell r="B189">
            <v>256779422168</v>
          </cell>
          <cell r="F189">
            <v>-27.64</v>
          </cell>
        </row>
        <row r="190">
          <cell r="B190">
            <v>256779440070</v>
          </cell>
          <cell r="F190">
            <v>7.18</v>
          </cell>
        </row>
        <row r="191">
          <cell r="B191">
            <v>256779440082</v>
          </cell>
          <cell r="F191">
            <v>2.25</v>
          </cell>
        </row>
        <row r="192">
          <cell r="B192">
            <v>256779440102</v>
          </cell>
          <cell r="F192">
            <v>20.39</v>
          </cell>
        </row>
        <row r="193">
          <cell r="B193">
            <v>256779440119</v>
          </cell>
          <cell r="F193">
            <v>17.25</v>
          </cell>
        </row>
        <row r="194">
          <cell r="B194">
            <v>256779440236</v>
          </cell>
          <cell r="F194">
            <v>505.23</v>
          </cell>
        </row>
        <row r="195">
          <cell r="B195">
            <v>256779440305</v>
          </cell>
          <cell r="F195">
            <v>1102.0111111111109</v>
          </cell>
        </row>
        <row r="196">
          <cell r="B196">
            <v>256779422208</v>
          </cell>
          <cell r="F196">
            <v>-23.92</v>
          </cell>
        </row>
        <row r="197">
          <cell r="B197">
            <v>256779422209</v>
          </cell>
          <cell r="F197">
            <v>-45.63</v>
          </cell>
        </row>
        <row r="198">
          <cell r="B198">
            <v>256779422210</v>
          </cell>
          <cell r="F198">
            <v>-22.64</v>
          </cell>
        </row>
        <row r="199">
          <cell r="B199">
            <v>256779422211</v>
          </cell>
          <cell r="F199">
            <v>-21.96</v>
          </cell>
        </row>
        <row r="200">
          <cell r="B200">
            <v>256779440431</v>
          </cell>
          <cell r="F200">
            <v>3</v>
          </cell>
        </row>
        <row r="201">
          <cell r="B201">
            <v>2166093</v>
          </cell>
          <cell r="F201">
            <v>-10691.42</v>
          </cell>
        </row>
        <row r="202">
          <cell r="B202" t="str">
            <v/>
          </cell>
          <cell r="F202">
            <v>8974.5146266300089</v>
          </cell>
        </row>
        <row r="203">
          <cell r="B203" t="str">
            <v/>
          </cell>
          <cell r="F203"/>
        </row>
        <row r="204">
          <cell r="B204" t="str">
            <v/>
          </cell>
          <cell r="F204"/>
        </row>
        <row r="205">
          <cell r="B205" t="str">
            <v/>
          </cell>
          <cell r="F205"/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2CB4-72DA-4ED4-BFF9-B2C9FFA28365}">
  <dimension ref="A1:B10"/>
  <sheetViews>
    <sheetView zoomScale="145" zoomScaleNormal="145" workbookViewId="0">
      <selection activeCell="B12" sqref="B12"/>
    </sheetView>
  </sheetViews>
  <sheetFormatPr defaultRowHeight="14.5" x14ac:dyDescent="0.35"/>
  <cols>
    <col min="1" max="1" width="44.08984375" style="142" bestFit="1" customWidth="1"/>
    <col min="2" max="2" width="14.453125" style="142" customWidth="1"/>
  </cols>
  <sheetData>
    <row r="1" spans="1:2" ht="15" thickBot="1" x14ac:dyDescent="0.4"/>
    <row r="2" spans="1:2" ht="27.5" customHeight="1" thickBot="1" x14ac:dyDescent="0.4">
      <c r="A2" s="146" t="s">
        <v>543</v>
      </c>
      <c r="B2" s="147"/>
    </row>
    <row r="3" spans="1:2" ht="27.5" customHeight="1" thickBot="1" x14ac:dyDescent="0.4">
      <c r="A3" s="143" t="s">
        <v>544</v>
      </c>
      <c r="B3" s="144" t="s">
        <v>545</v>
      </c>
    </row>
    <row r="4" spans="1:2" x14ac:dyDescent="0.35">
      <c r="A4" s="139" t="s">
        <v>546</v>
      </c>
      <c r="B4" s="140">
        <f>'Customer ledger'!E158</f>
        <v>6201.4930000000313</v>
      </c>
    </row>
    <row r="5" spans="1:2" x14ac:dyDescent="0.35">
      <c r="A5" s="139" t="s">
        <v>547</v>
      </c>
      <c r="B5" s="141">
        <f>TDS!F154+'Payment Reco'!H8</f>
        <v>2559.2658888888873</v>
      </c>
    </row>
    <row r="6" spans="1:2" ht="29" x14ac:dyDescent="0.35">
      <c r="A6" s="139" t="s">
        <v>548</v>
      </c>
      <c r="B6" s="141">
        <f>'Payment Reco'!I8</f>
        <v>50</v>
      </c>
    </row>
    <row r="7" spans="1:2" x14ac:dyDescent="0.35">
      <c r="A7" s="139" t="s">
        <v>560</v>
      </c>
      <c r="B7" s="141">
        <f>'Invoices not in Customer books'!G8</f>
        <v>163.76</v>
      </c>
    </row>
    <row r="8" spans="1:2" x14ac:dyDescent="0.35">
      <c r="A8" s="139" t="s">
        <v>549</v>
      </c>
      <c r="B8" s="141">
        <f>SUM(B4:B7)</f>
        <v>8974.5188888889188</v>
      </c>
    </row>
    <row r="9" spans="1:2" ht="15" thickBot="1" x14ac:dyDescent="0.4">
      <c r="A9" s="139" t="s">
        <v>550</v>
      </c>
      <c r="B9" s="141">
        <f>'Ascendus Ledger'!K202</f>
        <v>8974.5146266300089</v>
      </c>
    </row>
    <row r="10" spans="1:2" ht="15" thickBot="1" x14ac:dyDescent="0.4">
      <c r="A10" s="143" t="s">
        <v>551</v>
      </c>
      <c r="B10" s="145">
        <f>B8-B9</f>
        <v>4.262258909875527E-3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C447-FD43-40D3-825A-2DC1C2329954}">
  <sheetPr filterMode="1"/>
  <dimension ref="A1:J8"/>
  <sheetViews>
    <sheetView topLeftCell="B1" workbookViewId="0">
      <selection activeCell="D6" sqref="D6"/>
    </sheetView>
  </sheetViews>
  <sheetFormatPr defaultRowHeight="14.5" x14ac:dyDescent="0.35"/>
  <cols>
    <col min="1" max="1" width="19.08984375" bestFit="1" customWidth="1"/>
    <col min="2" max="2" width="4.7265625" customWidth="1"/>
    <col min="3" max="3" width="12.90625" customWidth="1"/>
    <col min="4" max="4" width="12.90625" bestFit="1" customWidth="1"/>
    <col min="5" max="5" width="25.90625" style="36" bestFit="1" customWidth="1"/>
    <col min="6" max="6" width="30" bestFit="1" customWidth="1"/>
    <col min="7" max="7" width="17.81640625" bestFit="1" customWidth="1"/>
    <col min="8" max="8" width="22.7265625" style="137" customWidth="1"/>
    <col min="9" max="9" width="29.453125" style="88" customWidth="1"/>
  </cols>
  <sheetData>
    <row r="1" spans="1:10" x14ac:dyDescent="0.35">
      <c r="A1" s="21" t="s">
        <v>6</v>
      </c>
      <c r="B1" s="21" t="s">
        <v>7</v>
      </c>
      <c r="C1" s="19" t="s">
        <v>8</v>
      </c>
      <c r="D1" s="60" t="s">
        <v>11</v>
      </c>
      <c r="E1" s="22" t="s">
        <v>17</v>
      </c>
      <c r="F1" s="22" t="s">
        <v>19</v>
      </c>
      <c r="G1" s="22" t="s">
        <v>522</v>
      </c>
      <c r="H1" s="136" t="s">
        <v>25</v>
      </c>
      <c r="I1" s="81" t="s">
        <v>524</v>
      </c>
      <c r="J1" s="21" t="s">
        <v>563</v>
      </c>
    </row>
    <row r="2" spans="1:10" ht="43.5" hidden="1" x14ac:dyDescent="0.35">
      <c r="A2" s="61">
        <v>1800001617</v>
      </c>
      <c r="B2" s="21" t="s">
        <v>35</v>
      </c>
      <c r="C2" s="19">
        <v>45730</v>
      </c>
      <c r="D2" s="60">
        <v>246779412274</v>
      </c>
      <c r="E2" s="22">
        <v>100</v>
      </c>
      <c r="F2" s="22">
        <v>8669.1299999999992</v>
      </c>
      <c r="G2" s="22">
        <v>100</v>
      </c>
      <c r="H2" s="136" t="s">
        <v>151</v>
      </c>
      <c r="I2" s="81" t="str">
        <f>_xlfn.XLOOKUP(D2,'Invoice Not in Customer Book'!$F:$F,'Invoice Not in Customer Book'!$N:$N,,0)</f>
        <v>Credit Note to be passed as discussed with CL team</v>
      </c>
      <c r="J2" s="21" t="s">
        <v>561</v>
      </c>
    </row>
    <row r="3" spans="1:10" x14ac:dyDescent="0.35">
      <c r="A3" s="61">
        <v>1800013511</v>
      </c>
      <c r="B3" s="21" t="s">
        <v>35</v>
      </c>
      <c r="C3" s="19">
        <v>45935</v>
      </c>
      <c r="D3" s="60">
        <v>256779418401</v>
      </c>
      <c r="E3" s="22">
        <v>62.52</v>
      </c>
      <c r="F3" s="22">
        <v>5513.69</v>
      </c>
      <c r="G3" s="22">
        <v>62.52</v>
      </c>
      <c r="H3" s="136" t="s">
        <v>412</v>
      </c>
      <c r="I3" s="81" t="str">
        <f>_xlfn.XLOOKUP(D3,'Invoice Not in Customer Book'!$F:$F,'Invoice Not in Customer Book'!$N:$N,,0)</f>
        <v>to be accounted by siddhartha</v>
      </c>
      <c r="J3" s="21" t="s">
        <v>562</v>
      </c>
    </row>
    <row r="4" spans="1:10" ht="29" hidden="1" x14ac:dyDescent="0.35">
      <c r="A4" s="61">
        <v>1800014290</v>
      </c>
      <c r="B4" s="21" t="s">
        <v>35</v>
      </c>
      <c r="C4" s="19">
        <v>45966</v>
      </c>
      <c r="D4" s="60">
        <v>256779418827</v>
      </c>
      <c r="E4" s="22">
        <v>60.86</v>
      </c>
      <c r="F4" s="22">
        <v>5355.89</v>
      </c>
      <c r="G4" s="22">
        <v>60.86</v>
      </c>
      <c r="H4" s="136" t="s">
        <v>106</v>
      </c>
      <c r="I4" s="81" t="str">
        <f>_xlfn.XLOOKUP(D4,'Invoice Not in Customer Book'!$F:$F,'Invoice Not in Customer Book'!$N:$N,,0)</f>
        <v>Credit Note to be passed as discussed with CL team</v>
      </c>
      <c r="J4" s="21" t="s">
        <v>561</v>
      </c>
    </row>
    <row r="5" spans="1:10" hidden="1" x14ac:dyDescent="0.35">
      <c r="A5" s="61">
        <v>1800013760</v>
      </c>
      <c r="B5" s="21" t="s">
        <v>35</v>
      </c>
      <c r="C5" s="19">
        <v>45937</v>
      </c>
      <c r="D5" s="60">
        <v>256779418181</v>
      </c>
      <c r="E5" s="22">
        <v>49.33</v>
      </c>
      <c r="F5" s="22">
        <v>4350.45</v>
      </c>
      <c r="G5" s="22">
        <v>49.33</v>
      </c>
      <c r="H5" s="136" t="s">
        <v>391</v>
      </c>
      <c r="I5" s="81" t="str">
        <f>_xlfn.XLOOKUP(D5,'Invoice Not in Customer Book'!$F:$F,'Invoice Not in Customer Book'!$N:$N,,0)</f>
        <v>Credit Note to be passed as discussed with CL team</v>
      </c>
      <c r="J5" s="21" t="s">
        <v>561</v>
      </c>
    </row>
    <row r="6" spans="1:10" x14ac:dyDescent="0.35">
      <c r="A6" s="61">
        <v>1600002686</v>
      </c>
      <c r="B6" s="21" t="s">
        <v>46</v>
      </c>
      <c r="C6" s="19">
        <v>46027</v>
      </c>
      <c r="D6" s="60">
        <v>256779422156</v>
      </c>
      <c r="E6" s="22">
        <f>G6</f>
        <v>-59.62</v>
      </c>
      <c r="F6" s="22">
        <v>-5410.11</v>
      </c>
      <c r="G6" s="22">
        <v>-59.62</v>
      </c>
      <c r="H6" s="136">
        <v>256779418354</v>
      </c>
      <c r="I6" s="81" t="e">
        <f>_xlfn.XLOOKUP(D6,'Invoice Not in Customer Book'!$F:$F,'Invoice Not in Customer Book'!$N:$N,,0)</f>
        <v>#N/A</v>
      </c>
      <c r="J6" s="21" t="s">
        <v>562</v>
      </c>
    </row>
    <row r="7" spans="1:10" x14ac:dyDescent="0.35">
      <c r="A7" s="61">
        <v>1600002687</v>
      </c>
      <c r="B7" s="21" t="s">
        <v>46</v>
      </c>
      <c r="C7" s="19">
        <v>46027</v>
      </c>
      <c r="D7" s="60">
        <v>256779422157</v>
      </c>
      <c r="E7" s="22">
        <f>G7</f>
        <v>-49.33</v>
      </c>
      <c r="F7" s="22">
        <v>-4476.3599999999997</v>
      </c>
      <c r="G7" s="22">
        <v>-49.33</v>
      </c>
      <c r="H7" s="136">
        <v>256779418354</v>
      </c>
      <c r="I7" s="81" t="e">
        <f>_xlfn.XLOOKUP(D7,'Invoice Not in Customer Book'!$F:$F,'Invoice Not in Customer Book'!$N:$N,,0)</f>
        <v>#N/A</v>
      </c>
      <c r="J7" s="21" t="s">
        <v>562</v>
      </c>
    </row>
    <row r="8" spans="1:10" x14ac:dyDescent="0.35">
      <c r="G8" s="138">
        <f>SUM(G2:G7)</f>
        <v>163.76</v>
      </c>
    </row>
  </sheetData>
  <autoFilter ref="A1:J8" xr:uid="{213CC447-FD43-40D3-825A-2DC1C2329954}">
    <filterColumn colId="9">
      <filters blank="1">
        <filter val="Pend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0FF3-1CB6-46A9-B647-4287AE3CC6A9}">
  <dimension ref="A1:Q223"/>
  <sheetViews>
    <sheetView tabSelected="1" topLeftCell="G1" zoomScaleNormal="100" workbookViewId="0">
      <selection activeCell="L2" sqref="L2"/>
    </sheetView>
  </sheetViews>
  <sheetFormatPr defaultRowHeight="14.5" x14ac:dyDescent="0.35"/>
  <cols>
    <col min="1" max="1" width="12.81640625" customWidth="1"/>
    <col min="2" max="2" width="3.90625" customWidth="1"/>
    <col min="3" max="3" width="12.453125" style="58" customWidth="1"/>
    <col min="4" max="4" width="11.81640625" style="58" hidden="1" customWidth="1"/>
    <col min="5" max="5" width="6.08984375" hidden="1" customWidth="1"/>
    <col min="6" max="6" width="14" style="59" customWidth="1"/>
    <col min="7" max="7" width="6" customWidth="1"/>
    <col min="8" max="8" width="25.90625" style="36" bestFit="1" customWidth="1"/>
    <col min="9" max="9" width="4" customWidth="1"/>
    <col min="10" max="10" width="13.26953125" style="36" customWidth="1"/>
    <col min="11" max="11" width="19" bestFit="1" customWidth="1"/>
    <col min="12" max="13" width="19" customWidth="1"/>
    <col min="14" max="14" width="48" style="36" bestFit="1" customWidth="1"/>
    <col min="15" max="15" width="22.7265625" customWidth="1"/>
    <col min="17" max="17" width="11.81640625" style="36" bestFit="1" customWidth="1"/>
  </cols>
  <sheetData>
    <row r="1" spans="1:17" x14ac:dyDescent="0.35">
      <c r="A1" s="21" t="s">
        <v>6</v>
      </c>
      <c r="B1" s="21" t="s">
        <v>7</v>
      </c>
      <c r="C1" s="19" t="s">
        <v>8</v>
      </c>
      <c r="D1" s="19" t="s">
        <v>9</v>
      </c>
      <c r="E1" s="62" t="s">
        <v>10</v>
      </c>
      <c r="F1" s="60" t="s">
        <v>11</v>
      </c>
      <c r="G1" s="21" t="s">
        <v>16</v>
      </c>
      <c r="H1" s="22" t="s">
        <v>17</v>
      </c>
      <c r="I1" s="21" t="s">
        <v>18</v>
      </c>
      <c r="J1" s="22" t="s">
        <v>19</v>
      </c>
      <c r="K1" s="22" t="s">
        <v>522</v>
      </c>
      <c r="L1" s="22" t="s">
        <v>521</v>
      </c>
      <c r="M1" s="22" t="s">
        <v>556</v>
      </c>
      <c r="N1" s="21" t="s">
        <v>25</v>
      </c>
      <c r="O1" s="21" t="s">
        <v>31</v>
      </c>
      <c r="Q1"/>
    </row>
    <row r="2" spans="1:17" x14ac:dyDescent="0.35">
      <c r="A2" s="61">
        <v>1800000035</v>
      </c>
      <c r="B2" s="21" t="s">
        <v>35</v>
      </c>
      <c r="C2" s="19">
        <v>45708</v>
      </c>
      <c r="D2" s="19">
        <v>45708</v>
      </c>
      <c r="E2" s="62" t="s">
        <v>36</v>
      </c>
      <c r="F2" s="60">
        <v>246779410007</v>
      </c>
      <c r="G2" s="21" t="s">
        <v>41</v>
      </c>
      <c r="H2" s="22">
        <v>1190.48</v>
      </c>
      <c r="I2" s="21" t="s">
        <v>42</v>
      </c>
      <c r="J2" s="22">
        <v>102742.78</v>
      </c>
      <c r="K2" s="22">
        <f>_xlfn.XLOOKUP(F2,'[1]Ascendus data working'!$B:$B,'[1]Ascendus data working'!$F:$F,,0)</f>
        <v>1190.48</v>
      </c>
      <c r="L2" s="22">
        <f>_xlfn.XLOOKUP(F2,'Customer ledger'!$A:$A,'Customer ledger'!$D:$D,,0)</f>
        <v>1071.43</v>
      </c>
      <c r="M2" s="22">
        <f>K2-L2</f>
        <v>119.04999999999995</v>
      </c>
      <c r="N2" s="21" t="s">
        <v>329</v>
      </c>
      <c r="O2" s="21">
        <v>1400000805</v>
      </c>
      <c r="Q2"/>
    </row>
    <row r="3" spans="1:17" x14ac:dyDescent="0.35">
      <c r="A3" s="61">
        <v>1800000079</v>
      </c>
      <c r="B3" s="21" t="s">
        <v>35</v>
      </c>
      <c r="C3" s="19">
        <v>45708</v>
      </c>
      <c r="D3" s="19">
        <v>45709</v>
      </c>
      <c r="E3" s="62" t="s">
        <v>36</v>
      </c>
      <c r="F3" s="60">
        <v>246779410274</v>
      </c>
      <c r="G3" s="21" t="s">
        <v>41</v>
      </c>
      <c r="H3" s="22">
        <v>1190.48</v>
      </c>
      <c r="I3" s="21" t="s">
        <v>42</v>
      </c>
      <c r="J3" s="22">
        <v>102742.78</v>
      </c>
      <c r="K3" s="22">
        <f>_xlfn.XLOOKUP(F3,'[1]Ascendus data working'!$B:$B,'[1]Ascendus data working'!$F:$F,,0)</f>
        <v>1190.48</v>
      </c>
      <c r="L3" s="22">
        <f>_xlfn.XLOOKUP(F3,'Customer ledger'!$A:$A,'Customer ledger'!$D:$D,,0)</f>
        <v>1071.43</v>
      </c>
      <c r="M3" s="22">
        <f t="shared" ref="M3:M66" si="0">K3-L3</f>
        <v>119.04999999999995</v>
      </c>
      <c r="N3" s="21" t="s">
        <v>331</v>
      </c>
      <c r="O3" s="21">
        <v>1400000805</v>
      </c>
      <c r="Q3"/>
    </row>
    <row r="4" spans="1:17" x14ac:dyDescent="0.35">
      <c r="A4" s="61">
        <v>1800000099</v>
      </c>
      <c r="B4" s="21" t="s">
        <v>35</v>
      </c>
      <c r="C4" s="19">
        <v>45708</v>
      </c>
      <c r="D4" s="19">
        <v>45708</v>
      </c>
      <c r="E4" s="62" t="s">
        <v>36</v>
      </c>
      <c r="F4" s="60">
        <v>246779410027</v>
      </c>
      <c r="G4" s="21" t="s">
        <v>41</v>
      </c>
      <c r="H4" s="22">
        <v>1190.48</v>
      </c>
      <c r="I4" s="21" t="s">
        <v>42</v>
      </c>
      <c r="J4" s="22">
        <v>102742.78</v>
      </c>
      <c r="K4" s="22">
        <f>_xlfn.XLOOKUP(F4,'[1]Ascendus data working'!$B:$B,'[1]Ascendus data working'!$F:$F,,0)</f>
        <v>1190.48</v>
      </c>
      <c r="L4" s="22">
        <f>_xlfn.XLOOKUP(F4,'Customer ledger'!$A:$A,'Customer ledger'!$D:$D,,0)</f>
        <v>1071.43</v>
      </c>
      <c r="M4" s="22">
        <f t="shared" si="0"/>
        <v>119.04999999999995</v>
      </c>
      <c r="N4" s="21" t="s">
        <v>333</v>
      </c>
      <c r="O4" s="21">
        <v>1400000805</v>
      </c>
      <c r="Q4"/>
    </row>
    <row r="5" spans="1:17" x14ac:dyDescent="0.35">
      <c r="A5" s="61">
        <v>1800000168</v>
      </c>
      <c r="B5" s="21" t="s">
        <v>35</v>
      </c>
      <c r="C5" s="19">
        <v>45708</v>
      </c>
      <c r="D5" s="19">
        <v>45708</v>
      </c>
      <c r="E5" s="62" t="s">
        <v>36</v>
      </c>
      <c r="F5" s="60">
        <v>246779410095</v>
      </c>
      <c r="G5" s="21" t="s">
        <v>41</v>
      </c>
      <c r="H5" s="22">
        <v>1190.48</v>
      </c>
      <c r="I5" s="21" t="s">
        <v>42</v>
      </c>
      <c r="J5" s="22">
        <v>102742.78</v>
      </c>
      <c r="K5" s="22">
        <f>_xlfn.XLOOKUP(F5,'[1]Ascendus data working'!$B:$B,'[1]Ascendus data working'!$F:$F,,0)</f>
        <v>1190.48</v>
      </c>
      <c r="L5" s="22">
        <f>_xlfn.XLOOKUP(F5,'Customer ledger'!$A:$A,'Customer ledger'!$D:$D,,0)</f>
        <v>1071.43</v>
      </c>
      <c r="M5" s="22">
        <f t="shared" si="0"/>
        <v>119.04999999999995</v>
      </c>
      <c r="N5" s="21" t="s">
        <v>335</v>
      </c>
      <c r="O5" s="21">
        <v>1400000805</v>
      </c>
      <c r="Q5"/>
    </row>
    <row r="6" spans="1:17" x14ac:dyDescent="0.35">
      <c r="A6" s="61">
        <v>1800000211</v>
      </c>
      <c r="B6" s="21" t="s">
        <v>35</v>
      </c>
      <c r="C6" s="19">
        <v>45708</v>
      </c>
      <c r="D6" s="19">
        <v>45708</v>
      </c>
      <c r="E6" s="62" t="s">
        <v>36</v>
      </c>
      <c r="F6" s="60">
        <v>246779410138</v>
      </c>
      <c r="G6" s="21" t="s">
        <v>41</v>
      </c>
      <c r="H6" s="22">
        <v>1190.48</v>
      </c>
      <c r="I6" s="21" t="s">
        <v>42</v>
      </c>
      <c r="J6" s="22">
        <v>102742.78</v>
      </c>
      <c r="K6" s="22">
        <f>_xlfn.XLOOKUP(F6,'[1]Ascendus data working'!$B:$B,'[1]Ascendus data working'!$F:$F,,0)</f>
        <v>1190.48</v>
      </c>
      <c r="L6" s="22">
        <f>_xlfn.XLOOKUP(F6,'Customer ledger'!$A:$A,'Customer ledger'!$D:$D,,0)</f>
        <v>1071.43</v>
      </c>
      <c r="M6" s="22">
        <f t="shared" si="0"/>
        <v>119.04999999999995</v>
      </c>
      <c r="N6" s="21" t="s">
        <v>337</v>
      </c>
      <c r="O6" s="21">
        <v>1400000805</v>
      </c>
      <c r="Q6"/>
    </row>
    <row r="7" spans="1:17" x14ac:dyDescent="0.35">
      <c r="A7" s="61">
        <v>1800000254</v>
      </c>
      <c r="B7" s="21" t="s">
        <v>35</v>
      </c>
      <c r="C7" s="19">
        <v>45708</v>
      </c>
      <c r="D7" s="19">
        <v>45708</v>
      </c>
      <c r="E7" s="62" t="s">
        <v>36</v>
      </c>
      <c r="F7" s="60">
        <v>246779410181</v>
      </c>
      <c r="G7" s="21" t="s">
        <v>41</v>
      </c>
      <c r="H7" s="22">
        <v>1166.5899999999999</v>
      </c>
      <c r="I7" s="21" t="s">
        <v>42</v>
      </c>
      <c r="J7" s="22">
        <v>100680.99</v>
      </c>
      <c r="K7" s="22">
        <f>_xlfn.XLOOKUP(F7,'[1]Ascendus data working'!$B:$B,'[1]Ascendus data working'!$F:$F,,0)</f>
        <v>1166.5899999999999</v>
      </c>
      <c r="L7" s="22">
        <f>_xlfn.XLOOKUP(F7,'Customer ledger'!$A:$A,'Customer ledger'!$D:$D,,0)</f>
        <v>1049.9299999999998</v>
      </c>
      <c r="M7" s="22">
        <f t="shared" si="0"/>
        <v>116.66000000000008</v>
      </c>
      <c r="N7" s="21" t="s">
        <v>339</v>
      </c>
      <c r="O7" s="21">
        <v>1400000805</v>
      </c>
      <c r="Q7"/>
    </row>
    <row r="8" spans="1:17" x14ac:dyDescent="0.35">
      <c r="A8" s="61">
        <v>1800000297</v>
      </c>
      <c r="B8" s="21" t="s">
        <v>35</v>
      </c>
      <c r="C8" s="19">
        <v>45708</v>
      </c>
      <c r="D8" s="19">
        <v>45708</v>
      </c>
      <c r="E8" s="62" t="s">
        <v>36</v>
      </c>
      <c r="F8" s="60">
        <v>246779410224</v>
      </c>
      <c r="G8" s="21" t="s">
        <v>41</v>
      </c>
      <c r="H8" s="22">
        <v>1143.1199999999999</v>
      </c>
      <c r="I8" s="21" t="s">
        <v>42</v>
      </c>
      <c r="J8" s="22">
        <v>98655.44</v>
      </c>
      <c r="K8" s="22">
        <f>_xlfn.XLOOKUP(F8,'[1]Ascendus data working'!$B:$B,'[1]Ascendus data working'!$F:$F,,0)</f>
        <v>1143.1199999999999</v>
      </c>
      <c r="L8" s="22">
        <f>_xlfn.XLOOKUP(F8,'Customer ledger'!$A:$A,'Customer ledger'!$D:$D,,0)</f>
        <v>1028.81</v>
      </c>
      <c r="M8" s="22">
        <f t="shared" si="0"/>
        <v>114.30999999999995</v>
      </c>
      <c r="N8" s="21" t="s">
        <v>341</v>
      </c>
      <c r="O8" s="21">
        <v>1400000805</v>
      </c>
      <c r="Q8"/>
    </row>
    <row r="9" spans="1:17" x14ac:dyDescent="0.35">
      <c r="A9" s="61">
        <v>1800000406</v>
      </c>
      <c r="B9" s="21" t="s">
        <v>35</v>
      </c>
      <c r="C9" s="19">
        <v>45719</v>
      </c>
      <c r="D9" s="19">
        <v>45719</v>
      </c>
      <c r="E9" s="62" t="s">
        <v>36</v>
      </c>
      <c r="F9" s="60">
        <v>246779410368</v>
      </c>
      <c r="G9" s="21" t="s">
        <v>41</v>
      </c>
      <c r="H9" s="22">
        <v>356.43</v>
      </c>
      <c r="I9" s="21" t="s">
        <v>42</v>
      </c>
      <c r="J9" s="22">
        <v>30899.37</v>
      </c>
      <c r="K9" s="22">
        <f>_xlfn.XLOOKUP(F9,'[1]Ascendus data working'!$B:$B,'[1]Ascendus data working'!$F:$F,,0)</f>
        <v>356.43</v>
      </c>
      <c r="L9" s="22">
        <f>_xlfn.XLOOKUP(F9,'Customer ledger'!$A:$A,'Customer ledger'!$D:$D,,0)</f>
        <v>320.78000000000003</v>
      </c>
      <c r="M9" s="22">
        <f t="shared" si="0"/>
        <v>35.649999999999977</v>
      </c>
      <c r="N9" s="21" t="s">
        <v>186</v>
      </c>
      <c r="O9" s="21" t="s">
        <v>39</v>
      </c>
      <c r="Q9"/>
    </row>
    <row r="10" spans="1:17" x14ac:dyDescent="0.35">
      <c r="A10" s="61">
        <v>1800000675</v>
      </c>
      <c r="B10" s="21" t="s">
        <v>35</v>
      </c>
      <c r="C10" s="19">
        <v>45719</v>
      </c>
      <c r="D10" s="19">
        <v>45720</v>
      </c>
      <c r="E10" s="62" t="s">
        <v>36</v>
      </c>
      <c r="F10" s="60">
        <v>246779410615</v>
      </c>
      <c r="G10" s="21" t="s">
        <v>41</v>
      </c>
      <c r="H10" s="22">
        <v>9</v>
      </c>
      <c r="I10" s="21" t="s">
        <v>42</v>
      </c>
      <c r="J10" s="22">
        <v>780.22</v>
      </c>
      <c r="K10" s="22">
        <f>_xlfn.XLOOKUP(F10,'[1]Ascendus data working'!$B:$B,'[1]Ascendus data working'!$F:$F,,0)</f>
        <v>9</v>
      </c>
      <c r="L10" s="22">
        <f>_xlfn.XLOOKUP(F10,'Customer ledger'!$A:$A,'Customer ledger'!$D:$D,,0)</f>
        <v>8.81</v>
      </c>
      <c r="M10" s="22">
        <f t="shared" si="0"/>
        <v>0.1899999999999995</v>
      </c>
      <c r="N10" s="21" t="s">
        <v>94</v>
      </c>
      <c r="O10" s="21" t="s">
        <v>39</v>
      </c>
      <c r="Q10"/>
    </row>
    <row r="11" spans="1:17" x14ac:dyDescent="0.35">
      <c r="A11" s="61">
        <v>1800000432</v>
      </c>
      <c r="B11" s="21" t="s">
        <v>35</v>
      </c>
      <c r="C11" s="19">
        <v>45719</v>
      </c>
      <c r="D11" s="19">
        <v>45719</v>
      </c>
      <c r="E11" s="62" t="s">
        <v>36</v>
      </c>
      <c r="F11" s="60">
        <v>246779410394</v>
      </c>
      <c r="G11" s="21" t="s">
        <v>41</v>
      </c>
      <c r="H11" s="22">
        <v>505.86</v>
      </c>
      <c r="I11" s="21" t="s">
        <v>42</v>
      </c>
      <c r="J11" s="22">
        <v>43853.64</v>
      </c>
      <c r="K11" s="22">
        <f>_xlfn.XLOOKUP(F11,'[1]Ascendus data working'!$B:$B,'[1]Ascendus data working'!$F:$F,,0)</f>
        <v>505.86</v>
      </c>
      <c r="L11" s="22">
        <f>_xlfn.XLOOKUP(F11,'Customer ledger'!$A:$A,'Customer ledger'!$D:$D,,0)</f>
        <v>455.27</v>
      </c>
      <c r="M11" s="22">
        <f t="shared" si="0"/>
        <v>50.590000000000032</v>
      </c>
      <c r="N11" s="21" t="s">
        <v>189</v>
      </c>
      <c r="O11" s="21" t="s">
        <v>39</v>
      </c>
      <c r="Q11"/>
    </row>
    <row r="12" spans="1:17" x14ac:dyDescent="0.35">
      <c r="A12" s="61">
        <v>1800000456</v>
      </c>
      <c r="B12" s="21" t="s">
        <v>35</v>
      </c>
      <c r="C12" s="19">
        <v>45719</v>
      </c>
      <c r="D12" s="19">
        <v>45719</v>
      </c>
      <c r="E12" s="62" t="s">
        <v>36</v>
      </c>
      <c r="F12" s="60">
        <v>246779410418</v>
      </c>
      <c r="G12" s="21" t="s">
        <v>41</v>
      </c>
      <c r="H12" s="22">
        <v>562.6</v>
      </c>
      <c r="I12" s="21" t="s">
        <v>42</v>
      </c>
      <c r="J12" s="22">
        <v>48772.5</v>
      </c>
      <c r="K12" s="22">
        <f>_xlfn.XLOOKUP(F12,'[1]Ascendus data working'!$B:$B,'[1]Ascendus data working'!$F:$F,,0)</f>
        <v>562.6</v>
      </c>
      <c r="L12" s="22">
        <f>_xlfn.XLOOKUP(F12,'Customer ledger'!$A:$A,'Customer ledger'!$D:$D,,0)</f>
        <v>506.34000000000003</v>
      </c>
      <c r="M12" s="22">
        <f t="shared" si="0"/>
        <v>56.259999999999991</v>
      </c>
      <c r="N12" s="21" t="s">
        <v>191</v>
      </c>
      <c r="O12" s="21" t="s">
        <v>39</v>
      </c>
      <c r="Q12"/>
    </row>
    <row r="13" spans="1:17" x14ac:dyDescent="0.35">
      <c r="A13" s="61">
        <v>1800000559</v>
      </c>
      <c r="B13" s="21" t="s">
        <v>35</v>
      </c>
      <c r="C13" s="19">
        <v>45719</v>
      </c>
      <c r="D13" s="19">
        <v>45719</v>
      </c>
      <c r="E13" s="62" t="s">
        <v>36</v>
      </c>
      <c r="F13" s="60">
        <v>246779410509</v>
      </c>
      <c r="G13" s="21" t="s">
        <v>41</v>
      </c>
      <c r="H13" s="22">
        <v>29.25</v>
      </c>
      <c r="I13" s="21" t="s">
        <v>42</v>
      </c>
      <c r="J13" s="22">
        <v>2535.7199999999998</v>
      </c>
      <c r="K13" s="22">
        <f>_xlfn.XLOOKUP(F13,'[1]Ascendus data working'!$B:$B,'[1]Ascendus data working'!$F:$F,,0)</f>
        <v>29.25</v>
      </c>
      <c r="L13" s="22">
        <f>_xlfn.XLOOKUP(F13,'Customer ledger'!$A:$A,'Customer ledger'!$D:$D,,0)</f>
        <v>28.66</v>
      </c>
      <c r="M13" s="22">
        <f t="shared" si="0"/>
        <v>0.58999999999999986</v>
      </c>
      <c r="N13" s="21" t="s">
        <v>93</v>
      </c>
      <c r="O13" s="21" t="s">
        <v>39</v>
      </c>
      <c r="Q13"/>
    </row>
    <row r="14" spans="1:17" x14ac:dyDescent="0.35">
      <c r="A14" s="61">
        <v>1800000560</v>
      </c>
      <c r="B14" s="21" t="s">
        <v>35</v>
      </c>
      <c r="C14" s="19">
        <v>45719</v>
      </c>
      <c r="D14" s="19">
        <v>45719</v>
      </c>
      <c r="E14" s="62" t="s">
        <v>36</v>
      </c>
      <c r="F14" s="60">
        <v>246779410510</v>
      </c>
      <c r="G14" s="21" t="s">
        <v>41</v>
      </c>
      <c r="H14" s="22">
        <v>194.9</v>
      </c>
      <c r="I14" s="21" t="s">
        <v>42</v>
      </c>
      <c r="J14" s="22">
        <v>16896.13</v>
      </c>
      <c r="K14" s="22">
        <f>_xlfn.XLOOKUP(F14,'[1]Ascendus data working'!$B:$B,'[1]Ascendus data working'!$F:$F,,0)</f>
        <v>194.9</v>
      </c>
      <c r="L14" s="22">
        <f>_xlfn.XLOOKUP(F14,'Customer ledger'!$A:$A,'Customer ledger'!$D:$D,,0)</f>
        <v>191</v>
      </c>
      <c r="M14" s="22">
        <f t="shared" si="0"/>
        <v>3.9000000000000057</v>
      </c>
      <c r="N14" s="21" t="s">
        <v>93</v>
      </c>
      <c r="O14" s="21" t="s">
        <v>39</v>
      </c>
      <c r="Q14"/>
    </row>
    <row r="15" spans="1:17" x14ac:dyDescent="0.35">
      <c r="A15" s="61">
        <v>1800000561</v>
      </c>
      <c r="B15" s="21" t="s">
        <v>35</v>
      </c>
      <c r="C15" s="19">
        <v>45719</v>
      </c>
      <c r="D15" s="19">
        <v>45719</v>
      </c>
      <c r="E15" s="62" t="s">
        <v>36</v>
      </c>
      <c r="F15" s="60">
        <v>246779410511</v>
      </c>
      <c r="G15" s="21" t="s">
        <v>41</v>
      </c>
      <c r="H15" s="22">
        <v>13.91</v>
      </c>
      <c r="I15" s="21" t="s">
        <v>42</v>
      </c>
      <c r="J15" s="22">
        <v>1205.8800000000001</v>
      </c>
      <c r="K15" s="22">
        <f>_xlfn.XLOOKUP(F15,'[1]Ascendus data working'!$B:$B,'[1]Ascendus data working'!$F:$F,,0)</f>
        <v>13.91</v>
      </c>
      <c r="L15" s="22">
        <f>_xlfn.XLOOKUP(F15,'Customer ledger'!$A:$A,'Customer ledger'!$D:$D,,0)</f>
        <v>13.63</v>
      </c>
      <c r="M15" s="22">
        <f t="shared" si="0"/>
        <v>0.27999999999999936</v>
      </c>
      <c r="N15" s="21" t="s">
        <v>93</v>
      </c>
      <c r="O15" s="21" t="s">
        <v>39</v>
      </c>
      <c r="Q15"/>
    </row>
    <row r="16" spans="1:17" x14ac:dyDescent="0.35">
      <c r="A16" s="61">
        <v>1800000674</v>
      </c>
      <c r="B16" s="21" t="s">
        <v>35</v>
      </c>
      <c r="C16" s="19">
        <v>45719</v>
      </c>
      <c r="D16" s="19">
        <v>45720</v>
      </c>
      <c r="E16" s="62" t="s">
        <v>36</v>
      </c>
      <c r="F16" s="60">
        <v>246779410614</v>
      </c>
      <c r="G16" s="21" t="s">
        <v>41</v>
      </c>
      <c r="H16" s="22">
        <v>2.25</v>
      </c>
      <c r="I16" s="21" t="s">
        <v>42</v>
      </c>
      <c r="J16" s="22">
        <v>195.06</v>
      </c>
      <c r="K16" s="22">
        <f>_xlfn.XLOOKUP(F16,'[1]Ascendus data working'!$B:$B,'[1]Ascendus data working'!$F:$F,,0)</f>
        <v>2.25</v>
      </c>
      <c r="L16" s="22">
        <f>_xlfn.XLOOKUP(F16,'Customer ledger'!$A:$A,'Customer ledger'!$D:$D,,0)</f>
        <v>2.2000000000000002</v>
      </c>
      <c r="M16" s="22">
        <f t="shared" si="0"/>
        <v>4.9999999999999822E-2</v>
      </c>
      <c r="N16" s="21" t="s">
        <v>94</v>
      </c>
      <c r="O16" s="21" t="s">
        <v>39</v>
      </c>
      <c r="Q16"/>
    </row>
    <row r="17" spans="1:17" x14ac:dyDescent="0.35">
      <c r="A17" s="61">
        <v>1800000754</v>
      </c>
      <c r="B17" s="21" t="s">
        <v>35</v>
      </c>
      <c r="C17" s="19">
        <v>45720</v>
      </c>
      <c r="D17" s="19">
        <v>45720</v>
      </c>
      <c r="E17" s="62" t="s">
        <v>36</v>
      </c>
      <c r="F17" s="60">
        <v>246779410694</v>
      </c>
      <c r="G17" s="21" t="s">
        <v>41</v>
      </c>
      <c r="H17" s="22">
        <v>59.36</v>
      </c>
      <c r="I17" s="21" t="s">
        <v>42</v>
      </c>
      <c r="J17" s="22">
        <v>5145.99</v>
      </c>
      <c r="K17" s="22">
        <f>_xlfn.XLOOKUP(F17,'[1]Ascendus data working'!$B:$B,'[1]Ascendus data working'!$F:$F,,0)</f>
        <v>59.36</v>
      </c>
      <c r="L17" s="22">
        <f>_xlfn.XLOOKUP(F17,'Customer ledger'!$A:$A,'Customer ledger'!$D:$D,,0)</f>
        <v>58.17</v>
      </c>
      <c r="M17" s="22">
        <f t="shared" si="0"/>
        <v>1.1899999999999977</v>
      </c>
      <c r="N17" s="21" t="s">
        <v>91</v>
      </c>
      <c r="O17" s="21" t="s">
        <v>39</v>
      </c>
      <c r="Q17"/>
    </row>
    <row r="18" spans="1:17" x14ac:dyDescent="0.35">
      <c r="A18" s="61">
        <v>1800000915</v>
      </c>
      <c r="B18" s="21" t="s">
        <v>35</v>
      </c>
      <c r="C18" s="19">
        <v>45720</v>
      </c>
      <c r="D18" s="19">
        <v>45721</v>
      </c>
      <c r="E18" s="62" t="s">
        <v>36</v>
      </c>
      <c r="F18" s="60">
        <v>246779410856</v>
      </c>
      <c r="G18" s="21" t="s">
        <v>41</v>
      </c>
      <c r="H18" s="22">
        <v>18.32</v>
      </c>
      <c r="I18" s="21" t="s">
        <v>42</v>
      </c>
      <c r="J18" s="22">
        <v>1588.18</v>
      </c>
      <c r="K18" s="22">
        <f>_xlfn.XLOOKUP(F18,'[1]Ascendus data working'!$B:$B,'[1]Ascendus data working'!$F:$F,,0)</f>
        <v>18.32</v>
      </c>
      <c r="L18" s="22">
        <f>_xlfn.XLOOKUP(F18,'Customer ledger'!$A:$A,'Customer ledger'!$D:$D,,0)</f>
        <v>17.95</v>
      </c>
      <c r="M18" s="22">
        <f t="shared" si="0"/>
        <v>0.37000000000000099</v>
      </c>
      <c r="N18" s="21" t="s">
        <v>90</v>
      </c>
      <c r="O18" s="21" t="s">
        <v>39</v>
      </c>
      <c r="Q18"/>
    </row>
    <row r="19" spans="1:17" x14ac:dyDescent="0.35">
      <c r="A19" s="61">
        <v>1800000948</v>
      </c>
      <c r="B19" s="21" t="s">
        <v>35</v>
      </c>
      <c r="C19" s="19">
        <v>45722</v>
      </c>
      <c r="D19" s="19">
        <v>45722</v>
      </c>
      <c r="E19" s="62" t="s">
        <v>36</v>
      </c>
      <c r="F19" s="60">
        <v>246779410888</v>
      </c>
      <c r="G19" s="21" t="s">
        <v>41</v>
      </c>
      <c r="H19" s="22">
        <v>446.38</v>
      </c>
      <c r="I19" s="21" t="s">
        <v>42</v>
      </c>
      <c r="J19" s="22">
        <v>38697.24</v>
      </c>
      <c r="K19" s="22">
        <f>_xlfn.XLOOKUP(F19,'[1]Ascendus data working'!$B:$B,'[1]Ascendus data working'!$F:$F,,0)</f>
        <v>446.38</v>
      </c>
      <c r="L19" s="22">
        <f>_xlfn.XLOOKUP(F19,'Customer ledger'!$A:$A,'Customer ledger'!$D:$D,,0)</f>
        <v>401.74</v>
      </c>
      <c r="M19" s="22">
        <f t="shared" si="0"/>
        <v>44.639999999999986</v>
      </c>
      <c r="N19" s="21" t="s">
        <v>160</v>
      </c>
      <c r="O19" s="21" t="s">
        <v>39</v>
      </c>
      <c r="Q19"/>
    </row>
    <row r="20" spans="1:17" x14ac:dyDescent="0.35">
      <c r="A20" s="61">
        <v>1800000925</v>
      </c>
      <c r="B20" s="21" t="s">
        <v>35</v>
      </c>
      <c r="C20" s="19">
        <v>45722</v>
      </c>
      <c r="D20" s="19">
        <v>45722</v>
      </c>
      <c r="E20" s="62" t="s">
        <v>36</v>
      </c>
      <c r="F20" s="60">
        <v>246779410865</v>
      </c>
      <c r="G20" s="21" t="s">
        <v>41</v>
      </c>
      <c r="H20" s="22">
        <v>412.11</v>
      </c>
      <c r="I20" s="21" t="s">
        <v>42</v>
      </c>
      <c r="J20" s="22">
        <v>35726.339999999997</v>
      </c>
      <c r="K20" s="22">
        <f>_xlfn.XLOOKUP(F20,'[1]Ascendus data working'!$B:$B,'[1]Ascendus data working'!$F:$F,,0)</f>
        <v>412.11</v>
      </c>
      <c r="L20" s="22">
        <f>_xlfn.XLOOKUP(F20,'Customer ledger'!$A:$A,'Customer ledger'!$D:$D,,0)</f>
        <v>370.90000000000003</v>
      </c>
      <c r="M20" s="22">
        <f t="shared" si="0"/>
        <v>41.20999999999998</v>
      </c>
      <c r="N20" s="21" t="s">
        <v>162</v>
      </c>
      <c r="O20" s="21" t="s">
        <v>39</v>
      </c>
      <c r="Q20"/>
    </row>
    <row r="21" spans="1:17" x14ac:dyDescent="0.35">
      <c r="A21" s="61">
        <v>1800001035</v>
      </c>
      <c r="B21" s="21" t="s">
        <v>35</v>
      </c>
      <c r="C21" s="19">
        <v>45722</v>
      </c>
      <c r="D21" s="19">
        <v>45722</v>
      </c>
      <c r="E21" s="62" t="s">
        <v>36</v>
      </c>
      <c r="F21" s="60">
        <v>246779410975</v>
      </c>
      <c r="G21" s="21" t="s">
        <v>41</v>
      </c>
      <c r="H21" s="22">
        <v>28.91</v>
      </c>
      <c r="I21" s="21" t="s">
        <v>42</v>
      </c>
      <c r="J21" s="22">
        <v>2506.2399999999998</v>
      </c>
      <c r="K21" s="22">
        <f>_xlfn.XLOOKUP(F21,'[1]Ascendus data working'!$B:$B,'[1]Ascendus data working'!$F:$F,,0)</f>
        <v>28.91</v>
      </c>
      <c r="L21" s="22">
        <f>_xlfn.XLOOKUP(F21,'Customer ledger'!$A:$A,'Customer ledger'!$D:$D,,0)</f>
        <v>28.330000000000002</v>
      </c>
      <c r="M21" s="22">
        <f t="shared" si="0"/>
        <v>0.57999999999999829</v>
      </c>
      <c r="N21" s="21" t="s">
        <v>92</v>
      </c>
      <c r="O21" s="21" t="s">
        <v>39</v>
      </c>
      <c r="Q21"/>
    </row>
    <row r="22" spans="1:17" x14ac:dyDescent="0.35">
      <c r="A22" s="61">
        <v>1800001036</v>
      </c>
      <c r="B22" s="21" t="s">
        <v>35</v>
      </c>
      <c r="C22" s="19">
        <v>45722</v>
      </c>
      <c r="D22" s="19">
        <v>45722</v>
      </c>
      <c r="E22" s="62" t="s">
        <v>36</v>
      </c>
      <c r="F22" s="60">
        <v>246779410976</v>
      </c>
      <c r="G22" s="21" t="s">
        <v>41</v>
      </c>
      <c r="H22" s="22">
        <v>24</v>
      </c>
      <c r="I22" s="21" t="s">
        <v>42</v>
      </c>
      <c r="J22" s="22">
        <v>2080.59</v>
      </c>
      <c r="K22" s="22">
        <f>_xlfn.XLOOKUP(F22,'[1]Ascendus data working'!$B:$B,'[1]Ascendus data working'!$F:$F,,0)</f>
        <v>24</v>
      </c>
      <c r="L22" s="22">
        <f>_xlfn.XLOOKUP(F22,'Customer ledger'!$A:$A,'Customer ledger'!$D:$D,,0)</f>
        <v>23.51</v>
      </c>
      <c r="M22" s="22">
        <f t="shared" si="0"/>
        <v>0.48999999999999844</v>
      </c>
      <c r="N22" s="21" t="s">
        <v>92</v>
      </c>
      <c r="O22" s="21" t="s">
        <v>39</v>
      </c>
      <c r="Q22"/>
    </row>
    <row r="23" spans="1:17" x14ac:dyDescent="0.35">
      <c r="A23" s="61">
        <v>1800001120</v>
      </c>
      <c r="B23" s="21" t="s">
        <v>35</v>
      </c>
      <c r="C23" s="19">
        <v>45722</v>
      </c>
      <c r="D23" s="19">
        <v>45723</v>
      </c>
      <c r="E23" s="62" t="s">
        <v>36</v>
      </c>
      <c r="F23" s="60">
        <v>246779411056</v>
      </c>
      <c r="G23" s="21" t="s">
        <v>41</v>
      </c>
      <c r="H23" s="22">
        <v>59.36</v>
      </c>
      <c r="I23" s="21" t="s">
        <v>42</v>
      </c>
      <c r="J23" s="22">
        <v>5145.99</v>
      </c>
      <c r="K23" s="22">
        <f>_xlfn.XLOOKUP(F23,'[1]Ascendus data working'!$B:$B,'[1]Ascendus data working'!$F:$F,,0)</f>
        <v>59.36</v>
      </c>
      <c r="L23" s="22">
        <f>_xlfn.XLOOKUP(F23,'Customer ledger'!$A:$A,'Customer ledger'!$D:$D,,0)</f>
        <v>58.17</v>
      </c>
      <c r="M23" s="22">
        <f t="shared" si="0"/>
        <v>1.1899999999999977</v>
      </c>
      <c r="N23" s="21" t="s">
        <v>166</v>
      </c>
      <c r="O23" s="21" t="s">
        <v>39</v>
      </c>
      <c r="Q23"/>
    </row>
    <row r="24" spans="1:17" x14ac:dyDescent="0.35">
      <c r="A24" s="61">
        <v>1800001121</v>
      </c>
      <c r="B24" s="21" t="s">
        <v>35</v>
      </c>
      <c r="C24" s="19">
        <v>45722</v>
      </c>
      <c r="D24" s="19">
        <v>45723</v>
      </c>
      <c r="E24" s="62" t="s">
        <v>36</v>
      </c>
      <c r="F24" s="60">
        <v>246779411057</v>
      </c>
      <c r="G24" s="21" t="s">
        <v>41</v>
      </c>
      <c r="H24" s="22">
        <v>67.67</v>
      </c>
      <c r="I24" s="21" t="s">
        <v>42</v>
      </c>
      <c r="J24" s="22">
        <v>5866.4</v>
      </c>
      <c r="K24" s="22">
        <f>_xlfn.XLOOKUP(F24,'[1]Ascendus data working'!$B:$B,'[1]Ascendus data working'!$F:$F,,0)</f>
        <v>67.67</v>
      </c>
      <c r="L24" s="22">
        <f>_xlfn.XLOOKUP(F24,'Customer ledger'!$A:$A,'Customer ledger'!$D:$D,,0)</f>
        <v>66.320000000000007</v>
      </c>
      <c r="M24" s="22">
        <f t="shared" si="0"/>
        <v>1.3499999999999943</v>
      </c>
      <c r="N24" s="21" t="s">
        <v>166</v>
      </c>
      <c r="O24" s="21" t="s">
        <v>39</v>
      </c>
      <c r="Q24"/>
    </row>
    <row r="25" spans="1:17" x14ac:dyDescent="0.35">
      <c r="A25" s="61">
        <v>1800001321</v>
      </c>
      <c r="B25" s="21" t="s">
        <v>35</v>
      </c>
      <c r="C25" s="19">
        <v>45722</v>
      </c>
      <c r="D25" s="19">
        <v>45723</v>
      </c>
      <c r="E25" s="62" t="s">
        <v>36</v>
      </c>
      <c r="F25" s="60">
        <v>246779411190</v>
      </c>
      <c r="G25" s="21" t="s">
        <v>41</v>
      </c>
      <c r="H25" s="22">
        <v>17.25</v>
      </c>
      <c r="I25" s="21" t="s">
        <v>42</v>
      </c>
      <c r="J25" s="22">
        <v>1495.42</v>
      </c>
      <c r="K25" s="22">
        <f>_xlfn.XLOOKUP(F25,'[1]Ascendus data working'!$B:$B,'[1]Ascendus data working'!$F:$F,,0)</f>
        <v>17.25</v>
      </c>
      <c r="L25" s="22">
        <f>_xlfn.XLOOKUP(F25,'Customer ledger'!$A:$A,'Customer ledger'!$D:$D,,0)</f>
        <v>16.899999999999999</v>
      </c>
      <c r="M25" s="22">
        <f t="shared" si="0"/>
        <v>0.35000000000000142</v>
      </c>
      <c r="N25" s="21" t="s">
        <v>55</v>
      </c>
      <c r="O25" s="21" t="s">
        <v>39</v>
      </c>
      <c r="Q25"/>
    </row>
    <row r="26" spans="1:17" x14ac:dyDescent="0.35">
      <c r="A26" s="61">
        <v>1800001322</v>
      </c>
      <c r="B26" s="21" t="s">
        <v>35</v>
      </c>
      <c r="C26" s="19">
        <v>45722</v>
      </c>
      <c r="D26" s="19">
        <v>45723</v>
      </c>
      <c r="E26" s="62" t="s">
        <v>36</v>
      </c>
      <c r="F26" s="60">
        <v>246779411191</v>
      </c>
      <c r="G26" s="21" t="s">
        <v>41</v>
      </c>
      <c r="H26" s="22">
        <v>26.15</v>
      </c>
      <c r="I26" s="21" t="s">
        <v>42</v>
      </c>
      <c r="J26" s="22">
        <v>2266.98</v>
      </c>
      <c r="K26" s="22">
        <f>_xlfn.XLOOKUP(F26,'[1]Ascendus data working'!$B:$B,'[1]Ascendus data working'!$F:$F,,0)</f>
        <v>26.15</v>
      </c>
      <c r="L26" s="22">
        <f>_xlfn.XLOOKUP(F26,'Customer ledger'!$A:$A,'Customer ledger'!$D:$D,,0)</f>
        <v>25.63</v>
      </c>
      <c r="M26" s="22">
        <f t="shared" si="0"/>
        <v>0.51999999999999957</v>
      </c>
      <c r="N26" s="21" t="s">
        <v>55</v>
      </c>
      <c r="O26" s="21" t="s">
        <v>39</v>
      </c>
      <c r="Q26"/>
    </row>
    <row r="27" spans="1:17" x14ac:dyDescent="0.35">
      <c r="A27" s="61">
        <v>1800001384</v>
      </c>
      <c r="B27" s="21" t="s">
        <v>35</v>
      </c>
      <c r="C27" s="19">
        <v>45722</v>
      </c>
      <c r="D27" s="19">
        <v>45723</v>
      </c>
      <c r="E27" s="62" t="s">
        <v>36</v>
      </c>
      <c r="F27" s="60">
        <v>246779411253</v>
      </c>
      <c r="G27" s="21" t="s">
        <v>41</v>
      </c>
      <c r="H27" s="22">
        <v>20</v>
      </c>
      <c r="I27" s="21" t="s">
        <v>42</v>
      </c>
      <c r="J27" s="22">
        <v>1733.83</v>
      </c>
      <c r="K27" s="22">
        <f>_xlfn.XLOOKUP(F27,'[1]Ascendus data working'!$B:$B,'[1]Ascendus data working'!$F:$F,,0)</f>
        <v>20</v>
      </c>
      <c r="L27" s="22">
        <f>_xlfn.XLOOKUP(F27,'Customer ledger'!$A:$A,'Customer ledger'!$D:$D,,0)</f>
        <v>19.600000000000001</v>
      </c>
      <c r="M27" s="22">
        <f t="shared" si="0"/>
        <v>0.39999999999999858</v>
      </c>
      <c r="N27" s="21" t="s">
        <v>97</v>
      </c>
      <c r="O27" s="21" t="s">
        <v>39</v>
      </c>
      <c r="Q27"/>
    </row>
    <row r="28" spans="1:17" x14ac:dyDescent="0.35">
      <c r="A28" s="61">
        <v>1800001820</v>
      </c>
      <c r="B28" s="21" t="s">
        <v>35</v>
      </c>
      <c r="C28" s="19">
        <v>45730</v>
      </c>
      <c r="D28" s="19">
        <v>45733</v>
      </c>
      <c r="E28" s="62" t="s">
        <v>36</v>
      </c>
      <c r="F28" s="60">
        <v>246779411485</v>
      </c>
      <c r="G28" s="21" t="s">
        <v>41</v>
      </c>
      <c r="H28" s="22">
        <v>100</v>
      </c>
      <c r="I28" s="21" t="s">
        <v>42</v>
      </c>
      <c r="J28" s="22">
        <v>8669.1299999999992</v>
      </c>
      <c r="K28" s="22">
        <f>_xlfn.XLOOKUP(F28,'[1]Ascendus data working'!$B:$B,'[1]Ascendus data working'!$F:$F,,0)</f>
        <v>100</v>
      </c>
      <c r="L28" s="22">
        <f>_xlfn.XLOOKUP(F28,'Customer ledger'!$A:$A,'Customer ledger'!$D:$D,,0)</f>
        <v>98</v>
      </c>
      <c r="M28" s="22">
        <f t="shared" si="0"/>
        <v>2</v>
      </c>
      <c r="N28" s="21" t="s">
        <v>151</v>
      </c>
      <c r="O28" s="21" t="s">
        <v>39</v>
      </c>
      <c r="Q28"/>
    </row>
    <row r="29" spans="1:17" x14ac:dyDescent="0.35">
      <c r="A29" s="61">
        <v>1800001617</v>
      </c>
      <c r="B29" s="21" t="s">
        <v>35</v>
      </c>
      <c r="C29" s="19">
        <v>45730</v>
      </c>
      <c r="D29" s="19">
        <v>45735</v>
      </c>
      <c r="E29" s="62" t="s">
        <v>36</v>
      </c>
      <c r="F29" s="60">
        <v>246779412274</v>
      </c>
      <c r="G29" s="21" t="s">
        <v>41</v>
      </c>
      <c r="H29" s="22">
        <v>100</v>
      </c>
      <c r="I29" s="21" t="s">
        <v>42</v>
      </c>
      <c r="J29" s="22">
        <v>8669.1299999999992</v>
      </c>
      <c r="K29" s="22">
        <f>_xlfn.XLOOKUP(F29,'[1]Ascendus data working'!$B:$B,'[1]Ascendus data working'!$F:$F,,0)</f>
        <v>100</v>
      </c>
      <c r="L29" s="22" t="e">
        <f>_xlfn.XLOOKUP(F29,'Customer ledger'!$A:$A,'Customer ledger'!$D:$D,,0)</f>
        <v>#N/A</v>
      </c>
      <c r="M29" s="22" t="e">
        <f t="shared" si="0"/>
        <v>#N/A</v>
      </c>
      <c r="N29" s="21" t="s">
        <v>151</v>
      </c>
      <c r="O29" s="21" t="s">
        <v>39</v>
      </c>
      <c r="Q29"/>
    </row>
    <row r="30" spans="1:17" x14ac:dyDescent="0.35">
      <c r="A30" s="61">
        <v>1800001786</v>
      </c>
      <c r="B30" s="21" t="s">
        <v>35</v>
      </c>
      <c r="C30" s="19">
        <v>45730</v>
      </c>
      <c r="D30" s="19">
        <v>45733</v>
      </c>
      <c r="E30" s="62" t="s">
        <v>36</v>
      </c>
      <c r="F30" s="60">
        <v>246779411451</v>
      </c>
      <c r="G30" s="21" t="s">
        <v>41</v>
      </c>
      <c r="H30" s="22">
        <v>2.86</v>
      </c>
      <c r="I30" s="21" t="s">
        <v>42</v>
      </c>
      <c r="J30" s="22">
        <v>247.94</v>
      </c>
      <c r="K30" s="22">
        <f>_xlfn.XLOOKUP(F30,'[1]Ascendus data working'!$B:$B,'[1]Ascendus data working'!$F:$F,,0)</f>
        <v>2.86</v>
      </c>
      <c r="L30" s="22" t="e">
        <f>_xlfn.XLOOKUP(F30,'Customer ledger'!$A:$A,'Customer ledger'!$D:$D,,0)</f>
        <v>#N/A</v>
      </c>
      <c r="M30" s="22" t="e">
        <f t="shared" si="0"/>
        <v>#N/A</v>
      </c>
      <c r="N30" s="21" t="s">
        <v>100</v>
      </c>
      <c r="O30" s="21" t="s">
        <v>39</v>
      </c>
      <c r="Q30"/>
    </row>
    <row r="31" spans="1:17" x14ac:dyDescent="0.35">
      <c r="A31" s="61">
        <v>1800001787</v>
      </c>
      <c r="B31" s="21" t="s">
        <v>35</v>
      </c>
      <c r="C31" s="19">
        <v>45730</v>
      </c>
      <c r="D31" s="19">
        <v>45733</v>
      </c>
      <c r="E31" s="62" t="s">
        <v>36</v>
      </c>
      <c r="F31" s="60">
        <v>246779411452</v>
      </c>
      <c r="G31" s="21" t="s">
        <v>41</v>
      </c>
      <c r="H31" s="22">
        <v>0.95</v>
      </c>
      <c r="I31" s="21" t="s">
        <v>42</v>
      </c>
      <c r="J31" s="22">
        <v>82.36</v>
      </c>
      <c r="K31" s="22">
        <f>_xlfn.XLOOKUP(F31,'[1]Ascendus data working'!$B:$B,'[1]Ascendus data working'!$F:$F,,0)</f>
        <v>0.95</v>
      </c>
      <c r="L31" s="22">
        <f>_xlfn.XLOOKUP(F31,'Customer ledger'!$A:$A,'Customer ledger'!$D:$D,,0)</f>
        <v>0.92999999999999994</v>
      </c>
      <c r="M31" s="22">
        <f t="shared" si="0"/>
        <v>2.0000000000000018E-2</v>
      </c>
      <c r="N31" s="21" t="s">
        <v>100</v>
      </c>
      <c r="O31" s="21" t="s">
        <v>39</v>
      </c>
      <c r="Q31"/>
    </row>
    <row r="32" spans="1:17" x14ac:dyDescent="0.35">
      <c r="A32" s="61">
        <v>1800001788</v>
      </c>
      <c r="B32" s="21" t="s">
        <v>35</v>
      </c>
      <c r="C32" s="19">
        <v>45730</v>
      </c>
      <c r="D32" s="19">
        <v>45733</v>
      </c>
      <c r="E32" s="62" t="s">
        <v>36</v>
      </c>
      <c r="F32" s="60">
        <v>246779411453</v>
      </c>
      <c r="G32" s="21" t="s">
        <v>41</v>
      </c>
      <c r="H32" s="22">
        <v>4.7699999999999996</v>
      </c>
      <c r="I32" s="21" t="s">
        <v>42</v>
      </c>
      <c r="J32" s="22">
        <v>413.52</v>
      </c>
      <c r="K32" s="22">
        <f>_xlfn.XLOOKUP(F32,'[1]Ascendus data working'!$B:$B,'[1]Ascendus data working'!$F:$F,,0)</f>
        <v>4.7699999999999996</v>
      </c>
      <c r="L32" s="22" t="e">
        <f>_xlfn.XLOOKUP(F32,'Customer ledger'!$A:$A,'Customer ledger'!$D:$D,,0)</f>
        <v>#N/A</v>
      </c>
      <c r="M32" s="22" t="e">
        <f t="shared" si="0"/>
        <v>#N/A</v>
      </c>
      <c r="N32" s="21" t="s">
        <v>100</v>
      </c>
      <c r="O32" s="21" t="s">
        <v>39</v>
      </c>
      <c r="Q32"/>
    </row>
    <row r="33" spans="1:17" x14ac:dyDescent="0.35">
      <c r="A33" s="61">
        <v>1800001789</v>
      </c>
      <c r="B33" s="21" t="s">
        <v>35</v>
      </c>
      <c r="C33" s="19">
        <v>45730</v>
      </c>
      <c r="D33" s="19">
        <v>45733</v>
      </c>
      <c r="E33" s="62" t="s">
        <v>36</v>
      </c>
      <c r="F33" s="60">
        <v>246779411454</v>
      </c>
      <c r="G33" s="21" t="s">
        <v>41</v>
      </c>
      <c r="H33" s="22">
        <v>1.91</v>
      </c>
      <c r="I33" s="21" t="s">
        <v>42</v>
      </c>
      <c r="J33" s="22">
        <v>165.58</v>
      </c>
      <c r="K33" s="22">
        <f>_xlfn.XLOOKUP(F33,'[1]Ascendus data working'!$B:$B,'[1]Ascendus data working'!$F:$F,,0)</f>
        <v>1.91</v>
      </c>
      <c r="L33" s="22" t="e">
        <f>_xlfn.XLOOKUP(F33,'Customer ledger'!$A:$A,'Customer ledger'!$D:$D,,0)</f>
        <v>#N/A</v>
      </c>
      <c r="M33" s="22" t="e">
        <f t="shared" si="0"/>
        <v>#N/A</v>
      </c>
      <c r="N33" s="21" t="s">
        <v>100</v>
      </c>
      <c r="O33" s="21" t="s">
        <v>39</v>
      </c>
      <c r="Q33"/>
    </row>
    <row r="34" spans="1:17" x14ac:dyDescent="0.35">
      <c r="A34" s="61">
        <v>1800001790</v>
      </c>
      <c r="B34" s="21" t="s">
        <v>35</v>
      </c>
      <c r="C34" s="19">
        <v>45730</v>
      </c>
      <c r="D34" s="19">
        <v>45733</v>
      </c>
      <c r="E34" s="62" t="s">
        <v>36</v>
      </c>
      <c r="F34" s="60">
        <v>246779411455</v>
      </c>
      <c r="G34" s="21" t="s">
        <v>41</v>
      </c>
      <c r="H34" s="22">
        <v>1.91</v>
      </c>
      <c r="I34" s="21" t="s">
        <v>42</v>
      </c>
      <c r="J34" s="22">
        <v>165.58</v>
      </c>
      <c r="K34" s="22">
        <f>_xlfn.XLOOKUP(F34,'[1]Ascendus data working'!$B:$B,'[1]Ascendus data working'!$F:$F,,0)</f>
        <v>1.91</v>
      </c>
      <c r="L34" s="22" t="e">
        <f>_xlfn.XLOOKUP(F34,'Customer ledger'!$A:$A,'Customer ledger'!$D:$D,,0)</f>
        <v>#N/A</v>
      </c>
      <c r="M34" s="22" t="e">
        <f t="shared" si="0"/>
        <v>#N/A</v>
      </c>
      <c r="N34" s="21" t="s">
        <v>100</v>
      </c>
      <c r="O34" s="21" t="s">
        <v>39</v>
      </c>
      <c r="Q34"/>
    </row>
    <row r="35" spans="1:17" x14ac:dyDescent="0.35">
      <c r="A35" s="61">
        <v>1800001791</v>
      </c>
      <c r="B35" s="21" t="s">
        <v>35</v>
      </c>
      <c r="C35" s="19">
        <v>45730</v>
      </c>
      <c r="D35" s="19">
        <v>45733</v>
      </c>
      <c r="E35" s="62" t="s">
        <v>36</v>
      </c>
      <c r="F35" s="60">
        <v>246779411456</v>
      </c>
      <c r="G35" s="21" t="s">
        <v>41</v>
      </c>
      <c r="H35" s="22">
        <v>4.7699999999999996</v>
      </c>
      <c r="I35" s="21" t="s">
        <v>42</v>
      </c>
      <c r="J35" s="22">
        <v>413.52</v>
      </c>
      <c r="K35" s="22">
        <f>_xlfn.XLOOKUP(F35,'[1]Ascendus data working'!$B:$B,'[1]Ascendus data working'!$F:$F,,0)</f>
        <v>4.7699999999999996</v>
      </c>
      <c r="L35" s="22" t="e">
        <f>_xlfn.XLOOKUP(F35,'Customer ledger'!$A:$A,'Customer ledger'!$D:$D,,0)</f>
        <v>#N/A</v>
      </c>
      <c r="M35" s="22" t="e">
        <f t="shared" si="0"/>
        <v>#N/A</v>
      </c>
      <c r="N35" s="21" t="s">
        <v>100</v>
      </c>
      <c r="O35" s="21" t="s">
        <v>39</v>
      </c>
      <c r="Q35"/>
    </row>
    <row r="36" spans="1:17" x14ac:dyDescent="0.35">
      <c r="A36" s="61">
        <v>1800001583</v>
      </c>
      <c r="B36" s="21" t="s">
        <v>35</v>
      </c>
      <c r="C36" s="19">
        <v>45730</v>
      </c>
      <c r="D36" s="19">
        <v>45735</v>
      </c>
      <c r="E36" s="62" t="s">
        <v>36</v>
      </c>
      <c r="F36" s="60">
        <v>246779412240</v>
      </c>
      <c r="G36" s="21" t="s">
        <v>41</v>
      </c>
      <c r="H36" s="22">
        <v>2.86</v>
      </c>
      <c r="I36" s="21" t="s">
        <v>42</v>
      </c>
      <c r="J36" s="22">
        <v>247.94</v>
      </c>
      <c r="K36" s="22">
        <f>_xlfn.XLOOKUP(F36,'[1]Ascendus data working'!$B:$B,'[1]Ascendus data working'!$F:$F,,0)</f>
        <v>2.86</v>
      </c>
      <c r="L36" s="22">
        <f>_xlfn.XLOOKUP(F36,'Customer ledger'!$A:$A,'Customer ledger'!$D:$D,,0)</f>
        <v>2.8</v>
      </c>
      <c r="M36" s="22">
        <f t="shared" si="0"/>
        <v>6.0000000000000053E-2</v>
      </c>
      <c r="N36" s="21" t="s">
        <v>100</v>
      </c>
      <c r="O36" s="21">
        <v>1400000797</v>
      </c>
      <c r="Q36"/>
    </row>
    <row r="37" spans="1:17" x14ac:dyDescent="0.35">
      <c r="A37" s="61">
        <v>1800001584</v>
      </c>
      <c r="B37" s="21" t="s">
        <v>35</v>
      </c>
      <c r="C37" s="19">
        <v>45730</v>
      </c>
      <c r="D37" s="19">
        <v>45735</v>
      </c>
      <c r="E37" s="62" t="s">
        <v>36</v>
      </c>
      <c r="F37" s="60">
        <v>246779412241</v>
      </c>
      <c r="G37" s="21" t="s">
        <v>41</v>
      </c>
      <c r="H37" s="22">
        <v>0.95</v>
      </c>
      <c r="I37" s="21" t="s">
        <v>42</v>
      </c>
      <c r="J37" s="22">
        <v>82.36</v>
      </c>
      <c r="K37" s="22">
        <f>_xlfn.XLOOKUP(F37,'[1]Ascendus data working'!$B:$B,'[1]Ascendus data working'!$F:$F,,0)</f>
        <v>0.95</v>
      </c>
      <c r="L37" s="22" t="e">
        <f>_xlfn.XLOOKUP(F37,'Customer ledger'!$A:$A,'Customer ledger'!$D:$D,,0)</f>
        <v>#N/A</v>
      </c>
      <c r="M37" s="22" t="e">
        <f t="shared" si="0"/>
        <v>#N/A</v>
      </c>
      <c r="N37" s="21" t="s">
        <v>100</v>
      </c>
      <c r="O37" s="21">
        <v>1400000797</v>
      </c>
      <c r="Q37"/>
    </row>
    <row r="38" spans="1:17" x14ac:dyDescent="0.35">
      <c r="A38" s="61">
        <v>1800001585</v>
      </c>
      <c r="B38" s="21" t="s">
        <v>35</v>
      </c>
      <c r="C38" s="19">
        <v>45730</v>
      </c>
      <c r="D38" s="19">
        <v>45735</v>
      </c>
      <c r="E38" s="62" t="s">
        <v>36</v>
      </c>
      <c r="F38" s="60">
        <v>246779412242</v>
      </c>
      <c r="G38" s="21" t="s">
        <v>41</v>
      </c>
      <c r="H38" s="22">
        <v>4.7699999999999996</v>
      </c>
      <c r="I38" s="21" t="s">
        <v>42</v>
      </c>
      <c r="J38" s="22">
        <v>413.52</v>
      </c>
      <c r="K38" s="22">
        <f>_xlfn.XLOOKUP(F38,'[1]Ascendus data working'!$B:$B,'[1]Ascendus data working'!$F:$F,,0)</f>
        <v>4.7699999999999996</v>
      </c>
      <c r="L38" s="22">
        <f>_xlfn.XLOOKUP(F38,'Customer ledger'!$A:$A,'Customer ledger'!$D:$D,,0)</f>
        <v>4.67</v>
      </c>
      <c r="M38" s="22">
        <f t="shared" si="0"/>
        <v>9.9999999999999645E-2</v>
      </c>
      <c r="N38" s="21" t="s">
        <v>100</v>
      </c>
      <c r="O38" s="21">
        <v>1400000797</v>
      </c>
      <c r="Q38"/>
    </row>
    <row r="39" spans="1:17" x14ac:dyDescent="0.35">
      <c r="A39" s="61">
        <v>1800001586</v>
      </c>
      <c r="B39" s="21" t="s">
        <v>35</v>
      </c>
      <c r="C39" s="19">
        <v>45730</v>
      </c>
      <c r="D39" s="19">
        <v>45735</v>
      </c>
      <c r="E39" s="62" t="s">
        <v>36</v>
      </c>
      <c r="F39" s="60">
        <v>246779412243</v>
      </c>
      <c r="G39" s="21" t="s">
        <v>41</v>
      </c>
      <c r="H39" s="22">
        <v>1.91</v>
      </c>
      <c r="I39" s="21" t="s">
        <v>42</v>
      </c>
      <c r="J39" s="22">
        <v>165.58</v>
      </c>
      <c r="K39" s="22">
        <f>_xlfn.XLOOKUP(F39,'[1]Ascendus data working'!$B:$B,'[1]Ascendus data working'!$F:$F,,0)</f>
        <v>1.91</v>
      </c>
      <c r="L39" s="22">
        <f>_xlfn.XLOOKUP(F39,'Customer ledger'!$A:$A,'Customer ledger'!$D:$D,,0)</f>
        <v>1.8699999999999999</v>
      </c>
      <c r="M39" s="22">
        <f t="shared" si="0"/>
        <v>4.0000000000000036E-2</v>
      </c>
      <c r="N39" s="21" t="s">
        <v>100</v>
      </c>
      <c r="O39" s="21">
        <v>1400000797</v>
      </c>
      <c r="Q39"/>
    </row>
    <row r="40" spans="1:17" x14ac:dyDescent="0.35">
      <c r="A40" s="61">
        <v>1800001587</v>
      </c>
      <c r="B40" s="21" t="s">
        <v>35</v>
      </c>
      <c r="C40" s="19">
        <v>45730</v>
      </c>
      <c r="D40" s="19">
        <v>45735</v>
      </c>
      <c r="E40" s="62" t="s">
        <v>36</v>
      </c>
      <c r="F40" s="60">
        <v>246779412244</v>
      </c>
      <c r="G40" s="21" t="s">
        <v>41</v>
      </c>
      <c r="H40" s="22">
        <v>1.91</v>
      </c>
      <c r="I40" s="21" t="s">
        <v>42</v>
      </c>
      <c r="J40" s="22">
        <v>165.58</v>
      </c>
      <c r="K40" s="22">
        <f>_xlfn.XLOOKUP(F40,'[1]Ascendus data working'!$B:$B,'[1]Ascendus data working'!$F:$F,,0)</f>
        <v>1.91</v>
      </c>
      <c r="L40" s="22">
        <f>_xlfn.XLOOKUP(F40,'Customer ledger'!$A:$A,'Customer ledger'!$D:$D,,0)</f>
        <v>1.8699999999999999</v>
      </c>
      <c r="M40" s="22">
        <f t="shared" si="0"/>
        <v>4.0000000000000036E-2</v>
      </c>
      <c r="N40" s="21" t="s">
        <v>100</v>
      </c>
      <c r="O40" s="21">
        <v>1400000797</v>
      </c>
      <c r="Q40"/>
    </row>
    <row r="41" spans="1:17" x14ac:dyDescent="0.35">
      <c r="A41" s="61">
        <v>1800001588</v>
      </c>
      <c r="B41" s="21" t="s">
        <v>35</v>
      </c>
      <c r="C41" s="19">
        <v>45730</v>
      </c>
      <c r="D41" s="19">
        <v>45735</v>
      </c>
      <c r="E41" s="62" t="s">
        <v>36</v>
      </c>
      <c r="F41" s="60">
        <v>246779412245</v>
      </c>
      <c r="G41" s="21" t="s">
        <v>41</v>
      </c>
      <c r="H41" s="22">
        <v>4.7699999999999996</v>
      </c>
      <c r="I41" s="21" t="s">
        <v>42</v>
      </c>
      <c r="J41" s="22">
        <v>413.52</v>
      </c>
      <c r="K41" s="22">
        <f>_xlfn.XLOOKUP(F41,'[1]Ascendus data working'!$B:$B,'[1]Ascendus data working'!$F:$F,,0)</f>
        <v>4.7699999999999996</v>
      </c>
      <c r="L41" s="22">
        <f>_xlfn.XLOOKUP(F41,'Customer ledger'!$A:$A,'Customer ledger'!$D:$D,,0)</f>
        <v>4.68</v>
      </c>
      <c r="M41" s="22">
        <f t="shared" si="0"/>
        <v>8.9999999999999858E-2</v>
      </c>
      <c r="N41" s="21" t="s">
        <v>100</v>
      </c>
      <c r="O41" s="21">
        <v>1400000797</v>
      </c>
      <c r="Q41"/>
    </row>
    <row r="42" spans="1:17" x14ac:dyDescent="0.35">
      <c r="A42" s="61">
        <v>1800001957</v>
      </c>
      <c r="B42" s="21" t="s">
        <v>35</v>
      </c>
      <c r="C42" s="19">
        <v>45733</v>
      </c>
      <c r="D42" s="19">
        <v>45733</v>
      </c>
      <c r="E42" s="62" t="s">
        <v>36</v>
      </c>
      <c r="F42" s="60">
        <v>246779411622</v>
      </c>
      <c r="G42" s="21" t="s">
        <v>41</v>
      </c>
      <c r="H42" s="22">
        <v>3.82</v>
      </c>
      <c r="I42" s="21" t="s">
        <v>42</v>
      </c>
      <c r="J42" s="22">
        <v>331.16</v>
      </c>
      <c r="K42" s="22">
        <f>_xlfn.XLOOKUP(F42,'[1]Ascendus data working'!$B:$B,'[1]Ascendus data working'!$F:$F,,0)</f>
        <v>3.82</v>
      </c>
      <c r="L42" s="22">
        <f>_xlfn.XLOOKUP(F42,'Customer ledger'!$A:$A,'Customer ledger'!$D:$D,,0)</f>
        <v>3.7399999999999998</v>
      </c>
      <c r="M42" s="22">
        <f t="shared" si="0"/>
        <v>8.0000000000000071E-2</v>
      </c>
      <c r="N42" s="21" t="s">
        <v>95</v>
      </c>
      <c r="O42" s="21" t="s">
        <v>39</v>
      </c>
      <c r="Q42"/>
    </row>
    <row r="43" spans="1:17" x14ac:dyDescent="0.35">
      <c r="A43" s="61">
        <v>1800001958</v>
      </c>
      <c r="B43" s="21" t="s">
        <v>35</v>
      </c>
      <c r="C43" s="19">
        <v>45733</v>
      </c>
      <c r="D43" s="19">
        <v>45733</v>
      </c>
      <c r="E43" s="62" t="s">
        <v>36</v>
      </c>
      <c r="F43" s="60">
        <v>246779411623</v>
      </c>
      <c r="G43" s="21" t="s">
        <v>41</v>
      </c>
      <c r="H43" s="22">
        <v>1.91</v>
      </c>
      <c r="I43" s="21" t="s">
        <v>42</v>
      </c>
      <c r="J43" s="22">
        <v>165.58</v>
      </c>
      <c r="K43" s="22">
        <f>_xlfn.XLOOKUP(F43,'[1]Ascendus data working'!$B:$B,'[1]Ascendus data working'!$F:$F,,0)</f>
        <v>1.91</v>
      </c>
      <c r="L43" s="22">
        <f>_xlfn.XLOOKUP(F43,'Customer ledger'!$A:$A,'Customer ledger'!$D:$D,,0)</f>
        <v>1.8699999999999999</v>
      </c>
      <c r="M43" s="22">
        <f t="shared" si="0"/>
        <v>4.0000000000000036E-2</v>
      </c>
      <c r="N43" s="21" t="s">
        <v>95</v>
      </c>
      <c r="O43" s="21" t="s">
        <v>39</v>
      </c>
      <c r="Q43"/>
    </row>
    <row r="44" spans="1:17" x14ac:dyDescent="0.35">
      <c r="A44" s="61">
        <v>1800003125</v>
      </c>
      <c r="B44" s="21" t="s">
        <v>35</v>
      </c>
      <c r="C44" s="19">
        <v>45735</v>
      </c>
      <c r="D44" s="19">
        <v>45736</v>
      </c>
      <c r="E44" s="62" t="s">
        <v>36</v>
      </c>
      <c r="F44" s="60">
        <v>246779412992</v>
      </c>
      <c r="G44" s="21" t="s">
        <v>41</v>
      </c>
      <c r="H44" s="22">
        <v>1148.6300000000001</v>
      </c>
      <c r="I44" s="21" t="s">
        <v>42</v>
      </c>
      <c r="J44" s="22">
        <v>99576.18</v>
      </c>
      <c r="K44" s="22">
        <f>_xlfn.XLOOKUP(F44,'[1]Ascendus data working'!$B:$B,'[1]Ascendus data working'!$F:$F,,0)</f>
        <v>1148.6300000000001</v>
      </c>
      <c r="L44" s="22">
        <f>_xlfn.XLOOKUP(F44,'Customer ledger'!$A:$A,'Customer ledger'!$D:$D,,0)</f>
        <v>1033.7700000000002</v>
      </c>
      <c r="M44" s="22">
        <f t="shared" si="0"/>
        <v>114.8599999999999</v>
      </c>
      <c r="N44" s="21" t="s">
        <v>379</v>
      </c>
      <c r="O44" s="21" t="s">
        <v>39</v>
      </c>
      <c r="Q44"/>
    </row>
    <row r="45" spans="1:17" x14ac:dyDescent="0.35">
      <c r="A45" s="61">
        <v>1800004097</v>
      </c>
      <c r="B45" s="21" t="s">
        <v>35</v>
      </c>
      <c r="C45" s="19">
        <v>45736</v>
      </c>
      <c r="D45" s="19">
        <v>45737</v>
      </c>
      <c r="E45" s="62" t="s">
        <v>36</v>
      </c>
      <c r="F45" s="60">
        <v>246779413953</v>
      </c>
      <c r="G45" s="21" t="s">
        <v>41</v>
      </c>
      <c r="H45" s="22">
        <v>3</v>
      </c>
      <c r="I45" s="21" t="s">
        <v>42</v>
      </c>
      <c r="J45" s="22">
        <v>260.07</v>
      </c>
      <c r="K45" s="22">
        <f>_xlfn.XLOOKUP(F45,'[1]Ascendus data working'!$B:$B,'[1]Ascendus data working'!$F:$F,,0)</f>
        <v>3</v>
      </c>
      <c r="L45" s="22">
        <f>_xlfn.XLOOKUP(F45,'Customer ledger'!$A:$A,'Customer ledger'!$D:$D,,0)</f>
        <v>2.94</v>
      </c>
      <c r="M45" s="22">
        <f t="shared" si="0"/>
        <v>6.0000000000000053E-2</v>
      </c>
      <c r="N45" s="21" t="s">
        <v>53</v>
      </c>
      <c r="O45" s="21" t="s">
        <v>39</v>
      </c>
      <c r="Q45"/>
    </row>
    <row r="46" spans="1:17" x14ac:dyDescent="0.35">
      <c r="A46" s="61">
        <v>1800004357</v>
      </c>
      <c r="B46" s="21" t="s">
        <v>35</v>
      </c>
      <c r="C46" s="19">
        <v>45736</v>
      </c>
      <c r="D46" s="19">
        <v>45737</v>
      </c>
      <c r="E46" s="62" t="s">
        <v>36</v>
      </c>
      <c r="F46" s="60">
        <v>246779414225</v>
      </c>
      <c r="G46" s="21" t="s">
        <v>41</v>
      </c>
      <c r="H46" s="22">
        <v>13.5</v>
      </c>
      <c r="I46" s="21" t="s">
        <v>42</v>
      </c>
      <c r="J46" s="22">
        <v>1170.33</v>
      </c>
      <c r="K46" s="22">
        <f>_xlfn.XLOOKUP(F46,'[1]Ascendus data working'!$B:$B,'[1]Ascendus data working'!$F:$F,,0)</f>
        <v>13.5</v>
      </c>
      <c r="L46" s="22">
        <f>_xlfn.XLOOKUP(F46,'Customer ledger'!$A:$A,'Customer ledger'!$D:$D,,0)</f>
        <v>13.23</v>
      </c>
      <c r="M46" s="22">
        <f t="shared" si="0"/>
        <v>0.26999999999999957</v>
      </c>
      <c r="N46" s="21" t="s">
        <v>54</v>
      </c>
      <c r="O46" s="21" t="s">
        <v>39</v>
      </c>
      <c r="Q46"/>
    </row>
    <row r="47" spans="1:17" x14ac:dyDescent="0.35">
      <c r="A47" s="61">
        <v>1800004532</v>
      </c>
      <c r="B47" s="21" t="s">
        <v>35</v>
      </c>
      <c r="C47" s="19">
        <v>45736</v>
      </c>
      <c r="D47" s="19">
        <v>45737</v>
      </c>
      <c r="E47" s="62" t="s">
        <v>36</v>
      </c>
      <c r="F47" s="60">
        <v>246779414400</v>
      </c>
      <c r="G47" s="21" t="s">
        <v>41</v>
      </c>
      <c r="H47" s="22">
        <v>80.95</v>
      </c>
      <c r="I47" s="21" t="s">
        <v>42</v>
      </c>
      <c r="J47" s="22">
        <v>7017.66</v>
      </c>
      <c r="K47" s="22">
        <f>_xlfn.XLOOKUP(F47,'[1]Ascendus data working'!$B:$B,'[1]Ascendus data working'!$F:$F,,0)</f>
        <v>80.95</v>
      </c>
      <c r="L47" s="22">
        <f>_xlfn.XLOOKUP(F47,'Customer ledger'!$A:$A,'Customer ledger'!$D:$D,,0)</f>
        <v>79.33</v>
      </c>
      <c r="M47" s="22">
        <f t="shared" si="0"/>
        <v>1.6200000000000045</v>
      </c>
      <c r="N47" s="21" t="s">
        <v>55</v>
      </c>
      <c r="O47" s="21" t="s">
        <v>39</v>
      </c>
      <c r="Q47"/>
    </row>
    <row r="48" spans="1:17" x14ac:dyDescent="0.35">
      <c r="A48" s="61">
        <v>1800004533</v>
      </c>
      <c r="B48" s="21" t="s">
        <v>35</v>
      </c>
      <c r="C48" s="19">
        <v>45736</v>
      </c>
      <c r="D48" s="19">
        <v>45737</v>
      </c>
      <c r="E48" s="62" t="s">
        <v>36</v>
      </c>
      <c r="F48" s="60">
        <v>246779414401</v>
      </c>
      <c r="G48" s="21" t="s">
        <v>41</v>
      </c>
      <c r="H48" s="22">
        <v>15</v>
      </c>
      <c r="I48" s="21" t="s">
        <v>42</v>
      </c>
      <c r="J48" s="22">
        <v>1300.3699999999999</v>
      </c>
      <c r="K48" s="22">
        <f>_xlfn.XLOOKUP(F48,'[1]Ascendus data working'!$B:$B,'[1]Ascendus data working'!$F:$F,,0)</f>
        <v>15</v>
      </c>
      <c r="L48" s="22">
        <f>_xlfn.XLOOKUP(F48,'Customer ledger'!$A:$A,'Customer ledger'!$D:$D,,0)</f>
        <v>14.7</v>
      </c>
      <c r="M48" s="22">
        <f t="shared" si="0"/>
        <v>0.30000000000000071</v>
      </c>
      <c r="N48" s="21" t="s">
        <v>316</v>
      </c>
      <c r="O48" s="21" t="s">
        <v>39</v>
      </c>
      <c r="Q48"/>
    </row>
    <row r="49" spans="1:17" x14ac:dyDescent="0.35">
      <c r="A49" s="61">
        <v>1800004870</v>
      </c>
      <c r="B49" s="21" t="s">
        <v>35</v>
      </c>
      <c r="C49" s="19">
        <v>45736</v>
      </c>
      <c r="D49" s="19">
        <v>45737</v>
      </c>
      <c r="E49" s="62" t="s">
        <v>36</v>
      </c>
      <c r="F49" s="60">
        <v>246779414738</v>
      </c>
      <c r="G49" s="21" t="s">
        <v>41</v>
      </c>
      <c r="H49" s="22">
        <v>2.25</v>
      </c>
      <c r="I49" s="21" t="s">
        <v>42</v>
      </c>
      <c r="J49" s="22">
        <v>195.06</v>
      </c>
      <c r="K49" s="22">
        <f>_xlfn.XLOOKUP(F49,'[1]Ascendus data working'!$B:$B,'[1]Ascendus data working'!$F:$F,,0)</f>
        <v>2.25</v>
      </c>
      <c r="L49" s="22">
        <f>_xlfn.XLOOKUP(F49,'Customer ledger'!$A:$A,'Customer ledger'!$D:$D,,0)</f>
        <v>2.2000000000000002</v>
      </c>
      <c r="M49" s="22">
        <f t="shared" si="0"/>
        <v>4.9999999999999822E-2</v>
      </c>
      <c r="N49" s="21" t="s">
        <v>52</v>
      </c>
      <c r="O49" s="21" t="s">
        <v>39</v>
      </c>
      <c r="Q49"/>
    </row>
    <row r="50" spans="1:17" x14ac:dyDescent="0.35">
      <c r="A50" s="61">
        <v>1800004871</v>
      </c>
      <c r="B50" s="21" t="s">
        <v>35</v>
      </c>
      <c r="C50" s="19">
        <v>45736</v>
      </c>
      <c r="D50" s="19">
        <v>45737</v>
      </c>
      <c r="E50" s="62" t="s">
        <v>36</v>
      </c>
      <c r="F50" s="60">
        <v>246779414739</v>
      </c>
      <c r="G50" s="21" t="s">
        <v>41</v>
      </c>
      <c r="H50" s="22">
        <v>0.75</v>
      </c>
      <c r="I50" s="21" t="s">
        <v>42</v>
      </c>
      <c r="J50" s="22">
        <v>65.02</v>
      </c>
      <c r="K50" s="22">
        <f>_xlfn.XLOOKUP(F50,'[1]Ascendus data working'!$B:$B,'[1]Ascendus data working'!$F:$F,,0)</f>
        <v>0.75</v>
      </c>
      <c r="L50" s="22">
        <f>_xlfn.XLOOKUP(F50,'Customer ledger'!$A:$A,'Customer ledger'!$D:$D,,0)</f>
        <v>0.73</v>
      </c>
      <c r="M50" s="22">
        <f t="shared" si="0"/>
        <v>2.0000000000000018E-2</v>
      </c>
      <c r="N50" s="21" t="s">
        <v>319</v>
      </c>
      <c r="O50" s="21" t="s">
        <v>39</v>
      </c>
      <c r="Q50"/>
    </row>
    <row r="51" spans="1:17" x14ac:dyDescent="0.35">
      <c r="A51" s="61">
        <v>1800004926</v>
      </c>
      <c r="B51" s="21" t="s">
        <v>35</v>
      </c>
      <c r="C51" s="19">
        <v>45736</v>
      </c>
      <c r="D51" s="19">
        <v>45737</v>
      </c>
      <c r="E51" s="62" t="s">
        <v>36</v>
      </c>
      <c r="F51" s="60">
        <v>246779414794</v>
      </c>
      <c r="G51" s="21" t="s">
        <v>41</v>
      </c>
      <c r="H51" s="22">
        <v>2.25</v>
      </c>
      <c r="I51" s="21" t="s">
        <v>42</v>
      </c>
      <c r="J51" s="22">
        <v>195.06</v>
      </c>
      <c r="K51" s="22">
        <f>_xlfn.XLOOKUP(F51,'[1]Ascendus data working'!$B:$B,'[1]Ascendus data working'!$F:$F,,0)</f>
        <v>2.25</v>
      </c>
      <c r="L51" s="22">
        <f>_xlfn.XLOOKUP(F51,'Customer ledger'!$A:$A,'Customer ledger'!$D:$D,,0)</f>
        <v>2.2000000000000002</v>
      </c>
      <c r="M51" s="22">
        <f t="shared" si="0"/>
        <v>4.9999999999999822E-2</v>
      </c>
      <c r="N51" s="21" t="s">
        <v>53</v>
      </c>
      <c r="O51" s="21" t="s">
        <v>39</v>
      </c>
      <c r="Q51"/>
    </row>
    <row r="52" spans="1:17" x14ac:dyDescent="0.35">
      <c r="A52" s="61">
        <v>1800004927</v>
      </c>
      <c r="B52" s="21" t="s">
        <v>35</v>
      </c>
      <c r="C52" s="19">
        <v>45736</v>
      </c>
      <c r="D52" s="19">
        <v>45737</v>
      </c>
      <c r="E52" s="62" t="s">
        <v>36</v>
      </c>
      <c r="F52" s="60">
        <v>246779414795</v>
      </c>
      <c r="G52" s="21" t="s">
        <v>41</v>
      </c>
      <c r="H52" s="22">
        <v>0.75</v>
      </c>
      <c r="I52" s="21" t="s">
        <v>42</v>
      </c>
      <c r="J52" s="22">
        <v>65.02</v>
      </c>
      <c r="K52" s="22">
        <f>_xlfn.XLOOKUP(F52,'[1]Ascendus data working'!$B:$B,'[1]Ascendus data working'!$F:$F,,0)</f>
        <v>0.75</v>
      </c>
      <c r="L52" s="22">
        <f>_xlfn.XLOOKUP(F52,'Customer ledger'!$A:$A,'Customer ledger'!$D:$D,,0)</f>
        <v>0.73</v>
      </c>
      <c r="M52" s="22">
        <f t="shared" si="0"/>
        <v>2.0000000000000018E-2</v>
      </c>
      <c r="N52" s="21" t="s">
        <v>322</v>
      </c>
      <c r="O52" s="21" t="s">
        <v>39</v>
      </c>
      <c r="Q52"/>
    </row>
    <row r="53" spans="1:17" x14ac:dyDescent="0.35">
      <c r="A53" s="61">
        <v>1800004739</v>
      </c>
      <c r="B53" s="21" t="s">
        <v>35</v>
      </c>
      <c r="C53" s="19">
        <v>45736</v>
      </c>
      <c r="D53" s="19">
        <v>45737</v>
      </c>
      <c r="E53" s="62" t="s">
        <v>36</v>
      </c>
      <c r="F53" s="60">
        <v>246779414607</v>
      </c>
      <c r="G53" s="21" t="s">
        <v>41</v>
      </c>
      <c r="H53" s="22">
        <v>2.25</v>
      </c>
      <c r="I53" s="21" t="s">
        <v>42</v>
      </c>
      <c r="J53" s="22">
        <v>195.06</v>
      </c>
      <c r="K53" s="22">
        <f>_xlfn.XLOOKUP(F53,'[1]Ascendus data working'!$B:$B,'[1]Ascendus data working'!$F:$F,,0)</f>
        <v>2.25</v>
      </c>
      <c r="L53" s="22">
        <f>_xlfn.XLOOKUP(F53,'Customer ledger'!$A:$A,'Customer ledger'!$D:$D,,0)</f>
        <v>2.2000000000000002</v>
      </c>
      <c r="M53" s="22">
        <f t="shared" si="0"/>
        <v>4.9999999999999822E-2</v>
      </c>
      <c r="N53" s="21" t="s">
        <v>57</v>
      </c>
      <c r="O53" s="21" t="s">
        <v>39</v>
      </c>
      <c r="Q53"/>
    </row>
    <row r="54" spans="1:17" x14ac:dyDescent="0.35">
      <c r="A54" s="61">
        <v>1800004817</v>
      </c>
      <c r="B54" s="21" t="s">
        <v>35</v>
      </c>
      <c r="C54" s="19">
        <v>45736</v>
      </c>
      <c r="D54" s="19">
        <v>45737</v>
      </c>
      <c r="E54" s="62" t="s">
        <v>36</v>
      </c>
      <c r="F54" s="60">
        <v>246779414685</v>
      </c>
      <c r="G54" s="21" t="s">
        <v>41</v>
      </c>
      <c r="H54" s="22">
        <v>42.93</v>
      </c>
      <c r="I54" s="21" t="s">
        <v>42</v>
      </c>
      <c r="J54" s="22">
        <v>3721.66</v>
      </c>
      <c r="K54" s="22">
        <f>_xlfn.XLOOKUP(F54,'[1]Ascendus data working'!$B:$B,'[1]Ascendus data working'!$F:$F,,0)</f>
        <v>42.93</v>
      </c>
      <c r="L54" s="22">
        <f>_xlfn.XLOOKUP(F54,'Customer ledger'!$A:$A,'Customer ledger'!$D:$D,,0)</f>
        <v>42.07</v>
      </c>
      <c r="M54" s="22">
        <f t="shared" si="0"/>
        <v>0.85999999999999943</v>
      </c>
      <c r="N54" s="21" t="s">
        <v>58</v>
      </c>
      <c r="O54" s="21" t="s">
        <v>39</v>
      </c>
      <c r="Q54"/>
    </row>
    <row r="55" spans="1:17" x14ac:dyDescent="0.35">
      <c r="A55" s="61">
        <v>1800005191</v>
      </c>
      <c r="B55" s="21" t="s">
        <v>35</v>
      </c>
      <c r="C55" s="19">
        <v>45750</v>
      </c>
      <c r="D55" s="19">
        <v>45752</v>
      </c>
      <c r="E55" s="62" t="s">
        <v>36</v>
      </c>
      <c r="F55" s="60">
        <v>256779410137</v>
      </c>
      <c r="G55" s="21" t="s">
        <v>41</v>
      </c>
      <c r="H55" s="22">
        <v>4.5</v>
      </c>
      <c r="I55" s="21" t="s">
        <v>42</v>
      </c>
      <c r="J55" s="22">
        <v>391.15</v>
      </c>
      <c r="K55" s="22">
        <f>_xlfn.XLOOKUP(F55,'[1]Ascendus data working'!$B:$B,'[1]Ascendus data working'!$F:$F,,0)</f>
        <v>4.5</v>
      </c>
      <c r="L55" s="22">
        <f>_xlfn.XLOOKUP(F55,'Customer ledger'!$A:$A,'Customer ledger'!$D:$D,,0)</f>
        <v>4.41</v>
      </c>
      <c r="M55" s="22">
        <f t="shared" si="0"/>
        <v>8.9999999999999858E-2</v>
      </c>
      <c r="N55" s="21" t="s">
        <v>64</v>
      </c>
      <c r="O55" s="21" t="s">
        <v>39</v>
      </c>
      <c r="Q55"/>
    </row>
    <row r="56" spans="1:17" x14ac:dyDescent="0.35">
      <c r="A56" s="61">
        <v>1800005192</v>
      </c>
      <c r="B56" s="21" t="s">
        <v>35</v>
      </c>
      <c r="C56" s="19">
        <v>45750</v>
      </c>
      <c r="D56" s="19">
        <v>45752</v>
      </c>
      <c r="E56" s="62" t="s">
        <v>36</v>
      </c>
      <c r="F56" s="60">
        <v>256779410138</v>
      </c>
      <c r="G56" s="21" t="s">
        <v>41</v>
      </c>
      <c r="H56" s="22">
        <v>1.5</v>
      </c>
      <c r="I56" s="21" t="s">
        <v>42</v>
      </c>
      <c r="J56" s="22">
        <v>130.38</v>
      </c>
      <c r="K56" s="22">
        <f>_xlfn.XLOOKUP(F56,'[1]Ascendus data working'!$B:$B,'[1]Ascendus data working'!$F:$F,,0)</f>
        <v>1.5</v>
      </c>
      <c r="L56" s="22">
        <f>_xlfn.XLOOKUP(F56,'Customer ledger'!$A:$A,'Customer ledger'!$D:$D,,0)</f>
        <v>1.47</v>
      </c>
      <c r="M56" s="22">
        <f t="shared" si="0"/>
        <v>3.0000000000000027E-2</v>
      </c>
      <c r="N56" s="21" t="s">
        <v>365</v>
      </c>
      <c r="O56" s="21" t="s">
        <v>39</v>
      </c>
      <c r="Q56"/>
    </row>
    <row r="57" spans="1:17" x14ac:dyDescent="0.35">
      <c r="A57" s="61">
        <v>1800005336</v>
      </c>
      <c r="B57" s="21" t="s">
        <v>35</v>
      </c>
      <c r="C57" s="19">
        <v>45750</v>
      </c>
      <c r="D57" s="19">
        <v>45752</v>
      </c>
      <c r="E57" s="62" t="s">
        <v>36</v>
      </c>
      <c r="F57" s="60">
        <v>256779410228</v>
      </c>
      <c r="G57" s="21" t="s">
        <v>41</v>
      </c>
      <c r="H57" s="22">
        <v>1166.5899999999999</v>
      </c>
      <c r="I57" s="21" t="s">
        <v>42</v>
      </c>
      <c r="J57" s="22">
        <v>101402.13</v>
      </c>
      <c r="K57" s="22">
        <f>_xlfn.XLOOKUP(F57,'[1]Ascendus data working'!$B:$B,'[1]Ascendus data working'!$F:$F,,0)</f>
        <v>1166.5899999999999</v>
      </c>
      <c r="L57" s="22" t="e">
        <f>_xlfn.XLOOKUP(F57,'Customer ledger'!$A:$A,'Customer ledger'!$D:$D,,0)</f>
        <v>#N/A</v>
      </c>
      <c r="M57" s="22" t="e">
        <f t="shared" si="0"/>
        <v>#N/A</v>
      </c>
      <c r="N57" s="21" t="s">
        <v>339</v>
      </c>
      <c r="O57" s="21">
        <v>1400000797</v>
      </c>
      <c r="Q57"/>
    </row>
    <row r="58" spans="1:17" x14ac:dyDescent="0.35">
      <c r="A58" s="61">
        <v>1800005377</v>
      </c>
      <c r="B58" s="21" t="s">
        <v>35</v>
      </c>
      <c r="C58" s="19">
        <v>45750</v>
      </c>
      <c r="D58" s="19">
        <v>45752</v>
      </c>
      <c r="E58" s="62" t="s">
        <v>36</v>
      </c>
      <c r="F58" s="60">
        <v>256779410269</v>
      </c>
      <c r="G58" s="21" t="s">
        <v>41</v>
      </c>
      <c r="H58" s="22">
        <v>1143.1199999999999</v>
      </c>
      <c r="I58" s="21" t="s">
        <v>42</v>
      </c>
      <c r="J58" s="22">
        <v>99362.07</v>
      </c>
      <c r="K58" s="22">
        <f>_xlfn.XLOOKUP(F58,'[1]Ascendus data working'!$B:$B,'[1]Ascendus data working'!$F:$F,,0)</f>
        <v>1143.1199999999999</v>
      </c>
      <c r="L58" s="22" t="e">
        <f>_xlfn.XLOOKUP(F58,'Customer ledger'!$A:$A,'Customer ledger'!$D:$D,,0)</f>
        <v>#N/A</v>
      </c>
      <c r="M58" s="22" t="e">
        <f t="shared" si="0"/>
        <v>#N/A</v>
      </c>
      <c r="N58" s="21" t="s">
        <v>341</v>
      </c>
      <c r="O58" s="21">
        <v>1400000797</v>
      </c>
      <c r="Q58"/>
    </row>
    <row r="59" spans="1:17" x14ac:dyDescent="0.35">
      <c r="A59" s="61">
        <v>1800005899</v>
      </c>
      <c r="B59" s="21" t="s">
        <v>35</v>
      </c>
      <c r="C59" s="19">
        <v>45751</v>
      </c>
      <c r="D59" s="19">
        <v>45752</v>
      </c>
      <c r="E59" s="62" t="s">
        <v>36</v>
      </c>
      <c r="F59" s="60">
        <v>256779410791</v>
      </c>
      <c r="G59" s="21" t="s">
        <v>41</v>
      </c>
      <c r="H59" s="22">
        <v>441.2</v>
      </c>
      <c r="I59" s="21" t="s">
        <v>42</v>
      </c>
      <c r="J59" s="22">
        <v>38349.910000000003</v>
      </c>
      <c r="K59" s="22">
        <f>_xlfn.XLOOKUP(F59,'[1]Ascendus data working'!$B:$B,'[1]Ascendus data working'!$F:$F,,0)</f>
        <v>441.2</v>
      </c>
      <c r="L59" s="22">
        <f>_xlfn.XLOOKUP(F59,'Customer ledger'!$A:$A,'Customer ledger'!$D:$D,,0)</f>
        <v>397.08</v>
      </c>
      <c r="M59" s="22">
        <f t="shared" si="0"/>
        <v>44.120000000000005</v>
      </c>
      <c r="N59" s="21" t="s">
        <v>156</v>
      </c>
      <c r="O59" s="21" t="s">
        <v>39</v>
      </c>
      <c r="Q59"/>
    </row>
    <row r="60" spans="1:17" x14ac:dyDescent="0.35">
      <c r="A60" s="61">
        <v>1800005916</v>
      </c>
      <c r="B60" s="21" t="s">
        <v>35</v>
      </c>
      <c r="C60" s="19">
        <v>45751</v>
      </c>
      <c r="D60" s="19">
        <v>45752</v>
      </c>
      <c r="E60" s="62" t="s">
        <v>36</v>
      </c>
      <c r="F60" s="60">
        <v>256779410807</v>
      </c>
      <c r="G60" s="21" t="s">
        <v>41</v>
      </c>
      <c r="H60" s="22">
        <v>742.7</v>
      </c>
      <c r="I60" s="21" t="s">
        <v>42</v>
      </c>
      <c r="J60" s="22">
        <v>64556.84</v>
      </c>
      <c r="K60" s="22">
        <f>_xlfn.XLOOKUP(F60,'[1]Ascendus data working'!$B:$B,'[1]Ascendus data working'!$F:$F,,0)</f>
        <v>742.7</v>
      </c>
      <c r="L60" s="22">
        <f>_xlfn.XLOOKUP(F60,'Customer ledger'!$A:$A,'Customer ledger'!$D:$D,,0)</f>
        <v>668.43000000000006</v>
      </c>
      <c r="M60" s="22">
        <f t="shared" si="0"/>
        <v>74.269999999999982</v>
      </c>
      <c r="N60" s="21" t="s">
        <v>158</v>
      </c>
      <c r="O60" s="21" t="s">
        <v>39</v>
      </c>
      <c r="Q60"/>
    </row>
    <row r="61" spans="1:17" x14ac:dyDescent="0.35">
      <c r="A61" s="61">
        <v>1800006269</v>
      </c>
      <c r="B61" s="21" t="s">
        <v>35</v>
      </c>
      <c r="C61" s="19">
        <v>45762</v>
      </c>
      <c r="D61" s="19">
        <v>45763</v>
      </c>
      <c r="E61" s="62" t="s">
        <v>36</v>
      </c>
      <c r="F61" s="60">
        <v>256779411160</v>
      </c>
      <c r="G61" s="21" t="s">
        <v>41</v>
      </c>
      <c r="H61" s="22">
        <v>18.38</v>
      </c>
      <c r="I61" s="21" t="s">
        <v>42</v>
      </c>
      <c r="J61" s="22">
        <v>1597.62</v>
      </c>
      <c r="K61" s="22">
        <f>_xlfn.XLOOKUP(F61,'[1]Ascendus data working'!$B:$B,'[1]Ascendus data working'!$F:$F,,0)</f>
        <v>18.38</v>
      </c>
      <c r="L61" s="22">
        <f>_xlfn.XLOOKUP(F61,'Customer ledger'!$A:$A,'Customer ledger'!$D:$D,,0)</f>
        <v>18.009999999999998</v>
      </c>
      <c r="M61" s="22">
        <f t="shared" si="0"/>
        <v>0.37000000000000099</v>
      </c>
      <c r="N61" s="21" t="s">
        <v>202</v>
      </c>
      <c r="O61" s="21" t="s">
        <v>39</v>
      </c>
      <c r="Q61"/>
    </row>
    <row r="62" spans="1:17" x14ac:dyDescent="0.35">
      <c r="A62" s="61">
        <v>1800006270</v>
      </c>
      <c r="B62" s="21" t="s">
        <v>35</v>
      </c>
      <c r="C62" s="19">
        <v>45762</v>
      </c>
      <c r="D62" s="19">
        <v>45763</v>
      </c>
      <c r="E62" s="62" t="s">
        <v>36</v>
      </c>
      <c r="F62" s="60">
        <v>256779411161</v>
      </c>
      <c r="G62" s="21" t="s">
        <v>41</v>
      </c>
      <c r="H62" s="22">
        <v>46.76</v>
      </c>
      <c r="I62" s="21" t="s">
        <v>42</v>
      </c>
      <c r="J62" s="22">
        <v>4064.46</v>
      </c>
      <c r="K62" s="22">
        <f>_xlfn.XLOOKUP(F62,'[1]Ascendus data working'!$B:$B,'[1]Ascendus data working'!$F:$F,,0)</f>
        <v>46.76</v>
      </c>
      <c r="L62" s="22">
        <f>_xlfn.XLOOKUP(F62,'Customer ledger'!$A:$A,'Customer ledger'!$D:$D,,0)</f>
        <v>45.82</v>
      </c>
      <c r="M62" s="22">
        <f t="shared" si="0"/>
        <v>0.93999999999999773</v>
      </c>
      <c r="N62" s="21" t="s">
        <v>96</v>
      </c>
      <c r="O62" s="21" t="s">
        <v>39</v>
      </c>
      <c r="Q62"/>
    </row>
    <row r="63" spans="1:17" x14ac:dyDescent="0.35">
      <c r="A63" s="61">
        <v>1800006271</v>
      </c>
      <c r="B63" s="21" t="s">
        <v>35</v>
      </c>
      <c r="C63" s="19">
        <v>45762</v>
      </c>
      <c r="D63" s="19">
        <v>45763</v>
      </c>
      <c r="E63" s="62" t="s">
        <v>36</v>
      </c>
      <c r="F63" s="60">
        <v>256779411162</v>
      </c>
      <c r="G63" s="21" t="s">
        <v>41</v>
      </c>
      <c r="H63" s="22">
        <v>35.25</v>
      </c>
      <c r="I63" s="21" t="s">
        <v>42</v>
      </c>
      <c r="J63" s="22">
        <v>3063.99</v>
      </c>
      <c r="K63" s="22">
        <f>_xlfn.XLOOKUP(F63,'[1]Ascendus data working'!$B:$B,'[1]Ascendus data working'!$F:$F,,0)</f>
        <v>35.25</v>
      </c>
      <c r="L63" s="22">
        <f>_xlfn.XLOOKUP(F63,'Customer ledger'!$A:$A,'Customer ledger'!$D:$D,,0)</f>
        <v>34.54</v>
      </c>
      <c r="M63" s="22">
        <f t="shared" si="0"/>
        <v>0.71000000000000085</v>
      </c>
      <c r="N63" s="21" t="s">
        <v>202</v>
      </c>
      <c r="O63" s="21" t="s">
        <v>39</v>
      </c>
      <c r="Q63"/>
    </row>
    <row r="64" spans="1:17" x14ac:dyDescent="0.35">
      <c r="A64" s="61">
        <v>1800006272</v>
      </c>
      <c r="B64" s="21" t="s">
        <v>35</v>
      </c>
      <c r="C64" s="19">
        <v>45762</v>
      </c>
      <c r="D64" s="19">
        <v>45763</v>
      </c>
      <c r="E64" s="62" t="s">
        <v>36</v>
      </c>
      <c r="F64" s="60">
        <v>256779411163</v>
      </c>
      <c r="G64" s="21" t="s">
        <v>41</v>
      </c>
      <c r="H64" s="22">
        <v>24</v>
      </c>
      <c r="I64" s="21" t="s">
        <v>42</v>
      </c>
      <c r="J64" s="22">
        <v>2086.12</v>
      </c>
      <c r="K64" s="22">
        <f>_xlfn.XLOOKUP(F64,'[1]Ascendus data working'!$B:$B,'[1]Ascendus data working'!$F:$F,,0)</f>
        <v>24</v>
      </c>
      <c r="L64" s="22">
        <f>_xlfn.XLOOKUP(F64,'Customer ledger'!$A:$A,'Customer ledger'!$D:$D,,0)</f>
        <v>23.52</v>
      </c>
      <c r="M64" s="22">
        <f t="shared" si="0"/>
        <v>0.48000000000000043</v>
      </c>
      <c r="N64" s="21" t="s">
        <v>202</v>
      </c>
      <c r="O64" s="21" t="s">
        <v>39</v>
      </c>
      <c r="Q64"/>
    </row>
    <row r="65" spans="1:17" x14ac:dyDescent="0.35">
      <c r="A65" s="61">
        <v>1800006273</v>
      </c>
      <c r="B65" s="21" t="s">
        <v>35</v>
      </c>
      <c r="C65" s="19">
        <v>45762</v>
      </c>
      <c r="D65" s="19">
        <v>45763</v>
      </c>
      <c r="E65" s="62" t="s">
        <v>36</v>
      </c>
      <c r="F65" s="60">
        <v>256779411164</v>
      </c>
      <c r="G65" s="21" t="s">
        <v>41</v>
      </c>
      <c r="H65" s="22">
        <v>33</v>
      </c>
      <c r="I65" s="21" t="s">
        <v>42</v>
      </c>
      <c r="J65" s="22">
        <v>2868.42</v>
      </c>
      <c r="K65" s="22">
        <f>_xlfn.XLOOKUP(F65,'[1]Ascendus data working'!$B:$B,'[1]Ascendus data working'!$F:$F,,0)</f>
        <v>33</v>
      </c>
      <c r="L65" s="22">
        <f>_xlfn.XLOOKUP(F65,'Customer ledger'!$A:$A,'Customer ledger'!$D:$D,,0)</f>
        <v>32.340000000000003</v>
      </c>
      <c r="M65" s="22">
        <f t="shared" si="0"/>
        <v>0.65999999999999659</v>
      </c>
      <c r="N65" s="21" t="s">
        <v>202</v>
      </c>
      <c r="O65" s="21" t="s">
        <v>39</v>
      </c>
      <c r="Q65"/>
    </row>
    <row r="66" spans="1:17" x14ac:dyDescent="0.35">
      <c r="A66" s="61">
        <v>1800006696</v>
      </c>
      <c r="B66" s="21" t="s">
        <v>35</v>
      </c>
      <c r="C66" s="19">
        <v>45762</v>
      </c>
      <c r="D66" s="19">
        <v>45763</v>
      </c>
      <c r="E66" s="62" t="s">
        <v>36</v>
      </c>
      <c r="F66" s="60">
        <v>256779411587</v>
      </c>
      <c r="G66" s="21" t="s">
        <v>41</v>
      </c>
      <c r="H66" s="22">
        <v>2.25</v>
      </c>
      <c r="I66" s="21" t="s">
        <v>42</v>
      </c>
      <c r="J66" s="22">
        <v>195.57</v>
      </c>
      <c r="K66" s="22">
        <f>_xlfn.XLOOKUP(F66,'[1]Ascendus data working'!$B:$B,'[1]Ascendus data working'!$F:$F,,0)</f>
        <v>2.25</v>
      </c>
      <c r="L66" s="22">
        <f>_xlfn.XLOOKUP(F66,'Customer ledger'!$A:$A,'Customer ledger'!$D:$D,,0)</f>
        <v>2.2000000000000002</v>
      </c>
      <c r="M66" s="22">
        <f t="shared" si="0"/>
        <v>4.9999999999999822E-2</v>
      </c>
      <c r="N66" s="21" t="s">
        <v>68</v>
      </c>
      <c r="O66" s="21" t="s">
        <v>39</v>
      </c>
      <c r="Q66"/>
    </row>
    <row r="67" spans="1:17" x14ac:dyDescent="0.35">
      <c r="A67" s="61">
        <v>1800006697</v>
      </c>
      <c r="B67" s="21" t="s">
        <v>35</v>
      </c>
      <c r="C67" s="19">
        <v>45762</v>
      </c>
      <c r="D67" s="19">
        <v>45763</v>
      </c>
      <c r="E67" s="62" t="s">
        <v>36</v>
      </c>
      <c r="F67" s="60">
        <v>256779411588</v>
      </c>
      <c r="G67" s="21" t="s">
        <v>41</v>
      </c>
      <c r="H67" s="22">
        <v>2.25</v>
      </c>
      <c r="I67" s="21" t="s">
        <v>42</v>
      </c>
      <c r="J67" s="22">
        <v>195.57</v>
      </c>
      <c r="K67" s="22">
        <f>_xlfn.XLOOKUP(F67,'[1]Ascendus data working'!$B:$B,'[1]Ascendus data working'!$F:$F,,0)</f>
        <v>2.25</v>
      </c>
      <c r="L67" s="22">
        <f>_xlfn.XLOOKUP(F67,'Customer ledger'!$A:$A,'Customer ledger'!$D:$D,,0)</f>
        <v>2.2000000000000002</v>
      </c>
      <c r="M67" s="22">
        <f t="shared" ref="M67:M130" si="1">K67-L67</f>
        <v>4.9999999999999822E-2</v>
      </c>
      <c r="N67" s="21" t="s">
        <v>68</v>
      </c>
      <c r="O67" s="21" t="s">
        <v>39</v>
      </c>
      <c r="Q67"/>
    </row>
    <row r="68" spans="1:17" x14ac:dyDescent="0.35">
      <c r="A68" s="61">
        <v>1800006698</v>
      </c>
      <c r="B68" s="21" t="s">
        <v>35</v>
      </c>
      <c r="C68" s="19">
        <v>45762</v>
      </c>
      <c r="D68" s="19">
        <v>45763</v>
      </c>
      <c r="E68" s="62" t="s">
        <v>36</v>
      </c>
      <c r="F68" s="60">
        <v>256779411589</v>
      </c>
      <c r="G68" s="21" t="s">
        <v>41</v>
      </c>
      <c r="H68" s="22">
        <v>3.38</v>
      </c>
      <c r="I68" s="21" t="s">
        <v>42</v>
      </c>
      <c r="J68" s="22">
        <v>293.8</v>
      </c>
      <c r="K68" s="22">
        <f>_xlfn.XLOOKUP(F68,'[1]Ascendus data working'!$B:$B,'[1]Ascendus data working'!$F:$F,,0)</f>
        <v>3.38</v>
      </c>
      <c r="L68" s="22">
        <f>_xlfn.XLOOKUP(F68,'Customer ledger'!$A:$A,'Customer ledger'!$D:$D,,0)</f>
        <v>3.31</v>
      </c>
      <c r="M68" s="22">
        <f t="shared" si="1"/>
        <v>6.999999999999984E-2</v>
      </c>
      <c r="N68" s="21" t="s">
        <v>68</v>
      </c>
      <c r="O68" s="21" t="s">
        <v>39</v>
      </c>
      <c r="Q68"/>
    </row>
    <row r="69" spans="1:17" x14ac:dyDescent="0.35">
      <c r="A69" s="61">
        <v>1800006699</v>
      </c>
      <c r="B69" s="21" t="s">
        <v>35</v>
      </c>
      <c r="C69" s="19">
        <v>45762</v>
      </c>
      <c r="D69" s="19">
        <v>45763</v>
      </c>
      <c r="E69" s="62" t="s">
        <v>36</v>
      </c>
      <c r="F69" s="60">
        <v>256779411590</v>
      </c>
      <c r="G69" s="21" t="s">
        <v>41</v>
      </c>
      <c r="H69" s="22">
        <v>2.25</v>
      </c>
      <c r="I69" s="21" t="s">
        <v>42</v>
      </c>
      <c r="J69" s="22">
        <v>195.57</v>
      </c>
      <c r="K69" s="22">
        <f>_xlfn.XLOOKUP(F69,'[1]Ascendus data working'!$B:$B,'[1]Ascendus data working'!$F:$F,,0)</f>
        <v>2.25</v>
      </c>
      <c r="L69" s="22">
        <f>_xlfn.XLOOKUP(F69,'Customer ledger'!$A:$A,'Customer ledger'!$D:$D,,0)</f>
        <v>2.2000000000000002</v>
      </c>
      <c r="M69" s="22">
        <f t="shared" si="1"/>
        <v>4.9999999999999822E-2</v>
      </c>
      <c r="N69" s="21" t="s">
        <v>68</v>
      </c>
      <c r="O69" s="21" t="s">
        <v>39</v>
      </c>
      <c r="Q69"/>
    </row>
    <row r="70" spans="1:17" x14ac:dyDescent="0.35">
      <c r="A70" s="61">
        <v>1800006700</v>
      </c>
      <c r="B70" s="21" t="s">
        <v>35</v>
      </c>
      <c r="C70" s="19">
        <v>45762</v>
      </c>
      <c r="D70" s="19">
        <v>45763</v>
      </c>
      <c r="E70" s="62" t="s">
        <v>36</v>
      </c>
      <c r="F70" s="60">
        <v>256779411591</v>
      </c>
      <c r="G70" s="21" t="s">
        <v>41</v>
      </c>
      <c r="H70" s="22">
        <v>3</v>
      </c>
      <c r="I70" s="21" t="s">
        <v>42</v>
      </c>
      <c r="J70" s="22">
        <v>260.77</v>
      </c>
      <c r="K70" s="22">
        <f>_xlfn.XLOOKUP(F70,'[1]Ascendus data working'!$B:$B,'[1]Ascendus data working'!$F:$F,,0)</f>
        <v>3</v>
      </c>
      <c r="L70" s="22">
        <f>_xlfn.XLOOKUP(F70,'Customer ledger'!$A:$A,'Customer ledger'!$D:$D,,0)</f>
        <v>2.94</v>
      </c>
      <c r="M70" s="22">
        <f t="shared" si="1"/>
        <v>6.0000000000000053E-2</v>
      </c>
      <c r="N70" s="21" t="s">
        <v>68</v>
      </c>
      <c r="O70" s="21" t="s">
        <v>39</v>
      </c>
      <c r="Q70"/>
    </row>
    <row r="71" spans="1:17" x14ac:dyDescent="0.35">
      <c r="A71" s="61">
        <v>1800006701</v>
      </c>
      <c r="B71" s="21" t="s">
        <v>35</v>
      </c>
      <c r="C71" s="19">
        <v>45762</v>
      </c>
      <c r="D71" s="19">
        <v>45763</v>
      </c>
      <c r="E71" s="62" t="s">
        <v>36</v>
      </c>
      <c r="F71" s="60">
        <v>256779411592</v>
      </c>
      <c r="G71" s="21" t="s">
        <v>41</v>
      </c>
      <c r="H71" s="22">
        <v>9.59</v>
      </c>
      <c r="I71" s="21" t="s">
        <v>42</v>
      </c>
      <c r="J71" s="22">
        <v>833.58</v>
      </c>
      <c r="K71" s="22">
        <f>_xlfn.XLOOKUP(F71,'[1]Ascendus data working'!$B:$B,'[1]Ascendus data working'!$F:$F,,0)</f>
        <v>9.59</v>
      </c>
      <c r="L71" s="22">
        <f>_xlfn.XLOOKUP(F71,'Customer ledger'!$A:$A,'Customer ledger'!$D:$D,,0)</f>
        <v>9.4</v>
      </c>
      <c r="M71" s="22">
        <f t="shared" si="1"/>
        <v>0.1899999999999995</v>
      </c>
      <c r="N71" s="21" t="s">
        <v>68</v>
      </c>
      <c r="O71" s="21" t="s">
        <v>39</v>
      </c>
      <c r="Q71"/>
    </row>
    <row r="72" spans="1:17" x14ac:dyDescent="0.35">
      <c r="A72" s="61">
        <v>1800006702</v>
      </c>
      <c r="B72" s="21" t="s">
        <v>35</v>
      </c>
      <c r="C72" s="19">
        <v>45762</v>
      </c>
      <c r="D72" s="19">
        <v>45763</v>
      </c>
      <c r="E72" s="62" t="s">
        <v>36</v>
      </c>
      <c r="F72" s="60">
        <v>256779411593</v>
      </c>
      <c r="G72" s="21" t="s">
        <v>41</v>
      </c>
      <c r="H72" s="22">
        <v>3</v>
      </c>
      <c r="I72" s="21" t="s">
        <v>42</v>
      </c>
      <c r="J72" s="22">
        <v>260.77</v>
      </c>
      <c r="K72" s="22">
        <f>_xlfn.XLOOKUP(F72,'[1]Ascendus data working'!$B:$B,'[1]Ascendus data working'!$F:$F,,0)</f>
        <v>3</v>
      </c>
      <c r="L72" s="22">
        <f>_xlfn.XLOOKUP(F72,'Customer ledger'!$A:$A,'Customer ledger'!$D:$D,,0)</f>
        <v>2.94</v>
      </c>
      <c r="M72" s="22">
        <f t="shared" si="1"/>
        <v>6.0000000000000053E-2</v>
      </c>
      <c r="N72" s="21" t="s">
        <v>68</v>
      </c>
      <c r="O72" s="21" t="s">
        <v>39</v>
      </c>
      <c r="Q72"/>
    </row>
    <row r="73" spans="1:17" x14ac:dyDescent="0.35">
      <c r="A73" s="61">
        <v>1800006703</v>
      </c>
      <c r="B73" s="21" t="s">
        <v>35</v>
      </c>
      <c r="C73" s="19">
        <v>45762</v>
      </c>
      <c r="D73" s="19">
        <v>45763</v>
      </c>
      <c r="E73" s="62" t="s">
        <v>36</v>
      </c>
      <c r="F73" s="60">
        <v>256779411594</v>
      </c>
      <c r="G73" s="21" t="s">
        <v>41</v>
      </c>
      <c r="H73" s="22">
        <v>5.25</v>
      </c>
      <c r="I73" s="21" t="s">
        <v>42</v>
      </c>
      <c r="J73" s="22">
        <v>456.34</v>
      </c>
      <c r="K73" s="22">
        <f>_xlfn.XLOOKUP(F73,'[1]Ascendus data working'!$B:$B,'[1]Ascendus data working'!$F:$F,,0)</f>
        <v>5.25</v>
      </c>
      <c r="L73" s="22">
        <f>_xlfn.XLOOKUP(F73,'Customer ledger'!$A:$A,'Customer ledger'!$D:$D,,0)</f>
        <v>5.14</v>
      </c>
      <c r="M73" s="22">
        <f t="shared" si="1"/>
        <v>0.11000000000000032</v>
      </c>
      <c r="N73" s="21" t="s">
        <v>68</v>
      </c>
      <c r="O73" s="21" t="s">
        <v>39</v>
      </c>
      <c r="Q73"/>
    </row>
    <row r="74" spans="1:17" x14ac:dyDescent="0.35">
      <c r="A74" s="61">
        <v>1800006704</v>
      </c>
      <c r="B74" s="21" t="s">
        <v>35</v>
      </c>
      <c r="C74" s="19">
        <v>45762</v>
      </c>
      <c r="D74" s="19">
        <v>45763</v>
      </c>
      <c r="E74" s="62" t="s">
        <v>36</v>
      </c>
      <c r="F74" s="60">
        <v>256779411595</v>
      </c>
      <c r="G74" s="21" t="s">
        <v>41</v>
      </c>
      <c r="H74" s="22">
        <v>62.35</v>
      </c>
      <c r="I74" s="21" t="s">
        <v>42</v>
      </c>
      <c r="J74" s="22">
        <v>5419.58</v>
      </c>
      <c r="K74" s="22">
        <f>_xlfn.XLOOKUP(F74,'[1]Ascendus data working'!$B:$B,'[1]Ascendus data working'!$F:$F,,0)</f>
        <v>62.35</v>
      </c>
      <c r="L74" s="22">
        <f>_xlfn.XLOOKUP(F74,'Customer ledger'!$A:$A,'Customer ledger'!$D:$D,,0)</f>
        <v>61.1</v>
      </c>
      <c r="M74" s="22">
        <f t="shared" si="1"/>
        <v>1.25</v>
      </c>
      <c r="N74" s="21" t="s">
        <v>68</v>
      </c>
      <c r="O74" s="21" t="s">
        <v>39</v>
      </c>
      <c r="Q74"/>
    </row>
    <row r="75" spans="1:17" x14ac:dyDescent="0.35">
      <c r="A75" s="61">
        <v>1800006705</v>
      </c>
      <c r="B75" s="21" t="s">
        <v>35</v>
      </c>
      <c r="C75" s="19">
        <v>45762</v>
      </c>
      <c r="D75" s="19">
        <v>45763</v>
      </c>
      <c r="E75" s="62" t="s">
        <v>36</v>
      </c>
      <c r="F75" s="60">
        <v>256779411596</v>
      </c>
      <c r="G75" s="21" t="s">
        <v>41</v>
      </c>
      <c r="H75" s="22">
        <v>13.88</v>
      </c>
      <c r="I75" s="21" t="s">
        <v>42</v>
      </c>
      <c r="J75" s="22">
        <v>1206.47</v>
      </c>
      <c r="K75" s="22">
        <f>_xlfn.XLOOKUP(F75,'[1]Ascendus data working'!$B:$B,'[1]Ascendus data working'!$F:$F,,0)</f>
        <v>13.88</v>
      </c>
      <c r="L75" s="22">
        <f>_xlfn.XLOOKUP(F75,'Customer ledger'!$A:$A,'Customer ledger'!$D:$D,,0)</f>
        <v>13.600000000000001</v>
      </c>
      <c r="M75" s="22">
        <f t="shared" si="1"/>
        <v>0.27999999999999936</v>
      </c>
      <c r="N75" s="21" t="s">
        <v>68</v>
      </c>
      <c r="O75" s="21" t="s">
        <v>39</v>
      </c>
      <c r="Q75"/>
    </row>
    <row r="76" spans="1:17" x14ac:dyDescent="0.35">
      <c r="A76" s="61">
        <v>1800006706</v>
      </c>
      <c r="B76" s="21" t="s">
        <v>35</v>
      </c>
      <c r="C76" s="19">
        <v>45762</v>
      </c>
      <c r="D76" s="19">
        <v>45763</v>
      </c>
      <c r="E76" s="62" t="s">
        <v>36</v>
      </c>
      <c r="F76" s="60">
        <v>256779411597</v>
      </c>
      <c r="G76" s="21" t="s">
        <v>41</v>
      </c>
      <c r="H76" s="22">
        <v>19.95</v>
      </c>
      <c r="I76" s="21" t="s">
        <v>42</v>
      </c>
      <c r="J76" s="22">
        <v>1734.09</v>
      </c>
      <c r="K76" s="22">
        <f>_xlfn.XLOOKUP(F76,'[1]Ascendus data working'!$B:$B,'[1]Ascendus data working'!$F:$F,,0)</f>
        <v>19.95</v>
      </c>
      <c r="L76" s="22">
        <f>_xlfn.XLOOKUP(F76,'Customer ledger'!$A:$A,'Customer ledger'!$D:$D,,0)</f>
        <v>19.55</v>
      </c>
      <c r="M76" s="22">
        <f t="shared" si="1"/>
        <v>0.39999999999999858</v>
      </c>
      <c r="N76" s="21" t="s">
        <v>68</v>
      </c>
      <c r="O76" s="21" t="s">
        <v>39</v>
      </c>
      <c r="Q76"/>
    </row>
    <row r="77" spans="1:17" x14ac:dyDescent="0.35">
      <c r="A77" s="61">
        <v>1800006920</v>
      </c>
      <c r="B77" s="21" t="s">
        <v>35</v>
      </c>
      <c r="C77" s="19">
        <v>45763</v>
      </c>
      <c r="D77" s="19">
        <v>45764</v>
      </c>
      <c r="E77" s="62" t="s">
        <v>36</v>
      </c>
      <c r="F77" s="60">
        <v>256779411811</v>
      </c>
      <c r="G77" s="21" t="s">
        <v>41</v>
      </c>
      <c r="H77" s="22">
        <v>3.24</v>
      </c>
      <c r="I77" s="21" t="s">
        <v>42</v>
      </c>
      <c r="J77" s="22">
        <v>281.63</v>
      </c>
      <c r="K77" s="22">
        <f>_xlfn.XLOOKUP(F77,'[1]Ascendus data working'!$B:$B,'[1]Ascendus data working'!$F:$F,,0)</f>
        <v>3.24</v>
      </c>
      <c r="L77" s="22">
        <f>_xlfn.XLOOKUP(F77,'Customer ledger'!$A:$A,'Customer ledger'!$D:$D,,0)</f>
        <v>3.18</v>
      </c>
      <c r="M77" s="22">
        <f t="shared" si="1"/>
        <v>6.0000000000000053E-2</v>
      </c>
      <c r="N77" s="21" t="s">
        <v>97</v>
      </c>
      <c r="O77" s="21" t="s">
        <v>39</v>
      </c>
      <c r="Q77"/>
    </row>
    <row r="78" spans="1:17" x14ac:dyDescent="0.35">
      <c r="A78" s="61">
        <v>1800006921</v>
      </c>
      <c r="B78" s="21" t="s">
        <v>35</v>
      </c>
      <c r="C78" s="19">
        <v>45763</v>
      </c>
      <c r="D78" s="19">
        <v>45764</v>
      </c>
      <c r="E78" s="62" t="s">
        <v>36</v>
      </c>
      <c r="F78" s="60">
        <v>256779411812</v>
      </c>
      <c r="G78" s="21" t="s">
        <v>41</v>
      </c>
      <c r="H78" s="22">
        <v>15</v>
      </c>
      <c r="I78" s="21" t="s">
        <v>42</v>
      </c>
      <c r="J78" s="22">
        <v>1303.83</v>
      </c>
      <c r="K78" s="22">
        <f>_xlfn.XLOOKUP(F78,'[1]Ascendus data working'!$B:$B,'[1]Ascendus data working'!$F:$F,,0)</f>
        <v>15</v>
      </c>
      <c r="L78" s="22">
        <f>_xlfn.XLOOKUP(F78,'Customer ledger'!$A:$A,'Customer ledger'!$D:$D,,0)</f>
        <v>14.7</v>
      </c>
      <c r="M78" s="22">
        <f t="shared" si="1"/>
        <v>0.30000000000000071</v>
      </c>
      <c r="N78" s="21" t="s">
        <v>220</v>
      </c>
      <c r="O78" s="21" t="s">
        <v>39</v>
      </c>
      <c r="Q78"/>
    </row>
    <row r="79" spans="1:17" x14ac:dyDescent="0.35">
      <c r="A79" s="61">
        <v>1800006999</v>
      </c>
      <c r="B79" s="21" t="s">
        <v>35</v>
      </c>
      <c r="C79" s="19">
        <v>45763</v>
      </c>
      <c r="D79" s="19">
        <v>45764</v>
      </c>
      <c r="E79" s="62" t="s">
        <v>36</v>
      </c>
      <c r="F79" s="60">
        <v>256779411890</v>
      </c>
      <c r="G79" s="21" t="s">
        <v>41</v>
      </c>
      <c r="H79" s="22">
        <v>24.75</v>
      </c>
      <c r="I79" s="21" t="s">
        <v>42</v>
      </c>
      <c r="J79" s="22">
        <v>2151.3200000000002</v>
      </c>
      <c r="K79" s="22">
        <f>_xlfn.XLOOKUP(F79,'[1]Ascendus data working'!$B:$B,'[1]Ascendus data working'!$F:$F,,0)</f>
        <v>24.75</v>
      </c>
      <c r="L79" s="22">
        <f>_xlfn.XLOOKUP(F79,'Customer ledger'!$A:$A,'Customer ledger'!$D:$D,,0)</f>
        <v>24.25</v>
      </c>
      <c r="M79" s="22">
        <f t="shared" si="1"/>
        <v>0.5</v>
      </c>
      <c r="N79" s="21" t="s">
        <v>98</v>
      </c>
      <c r="O79" s="21" t="s">
        <v>39</v>
      </c>
      <c r="Q79"/>
    </row>
    <row r="80" spans="1:17" x14ac:dyDescent="0.35">
      <c r="A80" s="61">
        <v>1800007000</v>
      </c>
      <c r="B80" s="21" t="s">
        <v>35</v>
      </c>
      <c r="C80" s="19">
        <v>45763</v>
      </c>
      <c r="D80" s="19">
        <v>45764</v>
      </c>
      <c r="E80" s="62" t="s">
        <v>36</v>
      </c>
      <c r="F80" s="60">
        <v>256779411891</v>
      </c>
      <c r="G80" s="21" t="s">
        <v>41</v>
      </c>
      <c r="H80" s="22">
        <v>2.25</v>
      </c>
      <c r="I80" s="21" t="s">
        <v>42</v>
      </c>
      <c r="J80" s="22">
        <v>195.57</v>
      </c>
      <c r="K80" s="22">
        <f>_xlfn.XLOOKUP(F80,'[1]Ascendus data working'!$B:$B,'[1]Ascendus data working'!$F:$F,,0)</f>
        <v>2.25</v>
      </c>
      <c r="L80" s="22">
        <f>_xlfn.XLOOKUP(F80,'Customer ledger'!$A:$A,'Customer ledger'!$D:$D,,0)</f>
        <v>2.2000000000000002</v>
      </c>
      <c r="M80" s="22">
        <f t="shared" si="1"/>
        <v>4.9999999999999822E-2</v>
      </c>
      <c r="N80" s="21" t="s">
        <v>223</v>
      </c>
      <c r="O80" s="21" t="s">
        <v>39</v>
      </c>
      <c r="Q80"/>
    </row>
    <row r="81" spans="1:17" x14ac:dyDescent="0.35">
      <c r="A81" s="61">
        <v>1800007212</v>
      </c>
      <c r="B81" s="21" t="s">
        <v>35</v>
      </c>
      <c r="C81" s="19">
        <v>45763</v>
      </c>
      <c r="D81" s="19">
        <v>45764</v>
      </c>
      <c r="E81" s="62" t="s">
        <v>36</v>
      </c>
      <c r="F81" s="60">
        <v>256779412103</v>
      </c>
      <c r="G81" s="21" t="s">
        <v>41</v>
      </c>
      <c r="H81" s="22">
        <v>42.53</v>
      </c>
      <c r="I81" s="21" t="s">
        <v>42</v>
      </c>
      <c r="J81" s="22">
        <v>3696.79</v>
      </c>
      <c r="K81" s="22">
        <f>_xlfn.XLOOKUP(F81,'[1]Ascendus data working'!$B:$B,'[1]Ascendus data working'!$F:$F,,0)</f>
        <v>42.53</v>
      </c>
      <c r="L81" s="22">
        <f>_xlfn.XLOOKUP(F81,'Customer ledger'!$A:$A,'Customer ledger'!$D:$D,,0)</f>
        <v>41.67</v>
      </c>
      <c r="M81" s="22">
        <f t="shared" si="1"/>
        <v>0.85999999999999943</v>
      </c>
      <c r="N81" s="21" t="s">
        <v>99</v>
      </c>
      <c r="O81" s="21" t="s">
        <v>39</v>
      </c>
      <c r="Q81"/>
    </row>
    <row r="82" spans="1:17" x14ac:dyDescent="0.35">
      <c r="A82" s="61">
        <v>1800007222</v>
      </c>
      <c r="B82" s="21" t="s">
        <v>35</v>
      </c>
      <c r="C82" s="19">
        <v>45763</v>
      </c>
      <c r="D82" s="19">
        <v>45764</v>
      </c>
      <c r="E82" s="62" t="s">
        <v>36</v>
      </c>
      <c r="F82" s="60">
        <v>256779412113</v>
      </c>
      <c r="G82" s="21" t="s">
        <v>41</v>
      </c>
      <c r="H82" s="22">
        <v>827.48</v>
      </c>
      <c r="I82" s="21" t="s">
        <v>42</v>
      </c>
      <c r="J82" s="22">
        <v>71926.070000000007</v>
      </c>
      <c r="K82" s="22">
        <f>_xlfn.XLOOKUP(F82,'[1]Ascendus data working'!$B:$B,'[1]Ascendus data working'!$F:$F,,0)</f>
        <v>827.48</v>
      </c>
      <c r="L82" s="22">
        <f>_xlfn.XLOOKUP(F82,'Customer ledger'!$A:$A,'Customer ledger'!$D:$D,,0)</f>
        <v>744.73</v>
      </c>
      <c r="M82" s="22">
        <f t="shared" si="1"/>
        <v>82.75</v>
      </c>
      <c r="N82" s="21" t="s">
        <v>226</v>
      </c>
      <c r="O82" s="21" t="s">
        <v>39</v>
      </c>
      <c r="Q82"/>
    </row>
    <row r="83" spans="1:17" x14ac:dyDescent="0.35">
      <c r="A83" s="61">
        <v>1800007262</v>
      </c>
      <c r="B83" s="21" t="s">
        <v>35</v>
      </c>
      <c r="C83" s="19">
        <v>45768</v>
      </c>
      <c r="D83" s="19">
        <v>45769</v>
      </c>
      <c r="E83" s="62" t="s">
        <v>36</v>
      </c>
      <c r="F83" s="60">
        <v>256779412153</v>
      </c>
      <c r="G83" s="21" t="s">
        <v>41</v>
      </c>
      <c r="H83" s="22">
        <v>1165.3699999999999</v>
      </c>
      <c r="I83" s="21" t="s">
        <v>42</v>
      </c>
      <c r="J83" s="22">
        <v>100000.4</v>
      </c>
      <c r="K83" s="22">
        <f>_xlfn.XLOOKUP(F83,'[1]Ascendus data working'!$B:$B,'[1]Ascendus data working'!$F:$F,,0)</f>
        <v>1165.3699999999999</v>
      </c>
      <c r="L83" s="22">
        <f>_xlfn.XLOOKUP(F83,'Customer ledger'!$A:$A,'Customer ledger'!$D:$D,,0)</f>
        <v>1048.83</v>
      </c>
      <c r="M83" s="22">
        <f t="shared" si="1"/>
        <v>116.53999999999996</v>
      </c>
      <c r="N83" s="21" t="s">
        <v>370</v>
      </c>
      <c r="O83" s="21" t="s">
        <v>39</v>
      </c>
      <c r="Q83"/>
    </row>
    <row r="84" spans="1:17" x14ac:dyDescent="0.35">
      <c r="A84" s="61">
        <v>1800007726</v>
      </c>
      <c r="B84" s="21" t="s">
        <v>35</v>
      </c>
      <c r="C84" s="19">
        <v>45769</v>
      </c>
      <c r="D84" s="19">
        <v>45770</v>
      </c>
      <c r="E84" s="62" t="s">
        <v>36</v>
      </c>
      <c r="F84" s="60">
        <v>256779412617</v>
      </c>
      <c r="G84" s="21" t="s">
        <v>41</v>
      </c>
      <c r="H84" s="22">
        <v>384.63</v>
      </c>
      <c r="I84" s="21" t="s">
        <v>42</v>
      </c>
      <c r="J84" s="22">
        <v>33432.74</v>
      </c>
      <c r="K84" s="22">
        <f>_xlfn.XLOOKUP(F84,'[1]Ascendus data working'!$B:$B,'[1]Ascendus data working'!$F:$F,,0)</f>
        <v>384.63</v>
      </c>
      <c r="L84" s="22">
        <f>_xlfn.XLOOKUP(F84,'Customer ledger'!$A:$A,'Customer ledger'!$D:$D,,0)</f>
        <v>376.93</v>
      </c>
      <c r="M84" s="22">
        <f t="shared" si="1"/>
        <v>7.6999999999999886</v>
      </c>
      <c r="N84" s="21" t="s">
        <v>385</v>
      </c>
      <c r="O84" s="21" t="s">
        <v>39</v>
      </c>
      <c r="Q84"/>
    </row>
    <row r="85" spans="1:17" x14ac:dyDescent="0.35">
      <c r="A85" s="61">
        <v>1800007769</v>
      </c>
      <c r="B85" s="21" t="s">
        <v>35</v>
      </c>
      <c r="C85" s="19">
        <v>45769</v>
      </c>
      <c r="D85" s="19">
        <v>45770</v>
      </c>
      <c r="E85" s="62" t="s">
        <v>36</v>
      </c>
      <c r="F85" s="60">
        <v>256779412660</v>
      </c>
      <c r="G85" s="21" t="s">
        <v>41</v>
      </c>
      <c r="H85" s="22">
        <v>7.5</v>
      </c>
      <c r="I85" s="21" t="s">
        <v>42</v>
      </c>
      <c r="J85" s="22">
        <v>651.91</v>
      </c>
      <c r="K85" s="22">
        <f>_xlfn.XLOOKUP(F85,'[1]Ascendus data working'!$B:$B,'[1]Ascendus data working'!$F:$F,,0)</f>
        <v>7.5</v>
      </c>
      <c r="L85" s="22">
        <f>_xlfn.XLOOKUP(F85,'Customer ledger'!$A:$A,'Customer ledger'!$D:$D,,0)</f>
        <v>7.34</v>
      </c>
      <c r="M85" s="22">
        <f t="shared" si="1"/>
        <v>0.16000000000000014</v>
      </c>
      <c r="N85" s="21" t="s">
        <v>71</v>
      </c>
      <c r="O85" s="21" t="s">
        <v>39</v>
      </c>
      <c r="Q85"/>
    </row>
    <row r="86" spans="1:17" x14ac:dyDescent="0.35">
      <c r="A86" s="61">
        <v>1800008041</v>
      </c>
      <c r="B86" s="21" t="s">
        <v>35</v>
      </c>
      <c r="C86" s="19">
        <v>45770</v>
      </c>
      <c r="D86" s="19">
        <v>45776</v>
      </c>
      <c r="E86" s="62" t="s">
        <v>36</v>
      </c>
      <c r="F86" s="60">
        <v>256779412932</v>
      </c>
      <c r="G86" s="21" t="s">
        <v>41</v>
      </c>
      <c r="H86" s="22">
        <v>66.86</v>
      </c>
      <c r="I86" s="21" t="s">
        <v>42</v>
      </c>
      <c r="J86" s="22">
        <v>5811.59</v>
      </c>
      <c r="K86" s="22">
        <f>_xlfn.XLOOKUP(F86,'[1]Ascendus data working'!$B:$B,'[1]Ascendus data working'!$F:$F,,0)</f>
        <v>66.86</v>
      </c>
      <c r="L86" s="22">
        <f>_xlfn.XLOOKUP(F86,'Customer ledger'!$A:$A,'Customer ledger'!$D:$D,,0)</f>
        <v>65.52</v>
      </c>
      <c r="M86" s="22">
        <f t="shared" si="1"/>
        <v>1.3400000000000034</v>
      </c>
      <c r="N86" s="21" t="s">
        <v>74</v>
      </c>
      <c r="O86" s="21" t="s">
        <v>39</v>
      </c>
      <c r="Q86"/>
    </row>
    <row r="87" spans="1:17" x14ac:dyDescent="0.35">
      <c r="A87" s="61">
        <v>1800008258</v>
      </c>
      <c r="B87" s="21" t="s">
        <v>35</v>
      </c>
      <c r="C87" s="19">
        <v>45787</v>
      </c>
      <c r="D87" s="19">
        <v>45791</v>
      </c>
      <c r="E87" s="62" t="s">
        <v>36</v>
      </c>
      <c r="F87" s="60">
        <v>256779413142</v>
      </c>
      <c r="G87" s="21" t="s">
        <v>41</v>
      </c>
      <c r="H87" s="22">
        <v>100000</v>
      </c>
      <c r="I87" s="21" t="s">
        <v>42</v>
      </c>
      <c r="J87" s="22">
        <v>100000</v>
      </c>
      <c r="K87" s="22">
        <f>_xlfn.XLOOKUP(F87,'[1]Ascendus data working'!$B:$B,'[1]Ascendus data working'!$F:$F,,0)</f>
        <v>1162.7906976744187</v>
      </c>
      <c r="L87" s="22">
        <f>_xlfn.XLOOKUP(F87,'Customer ledger'!$A:$A,'Customer ledger'!$D:$D,,0)</f>
        <v>1046.71</v>
      </c>
      <c r="M87" s="22">
        <f t="shared" si="1"/>
        <v>116.08069767441862</v>
      </c>
      <c r="N87" s="21" t="s">
        <v>131</v>
      </c>
      <c r="O87" s="21" t="s">
        <v>39</v>
      </c>
      <c r="Q87"/>
    </row>
    <row r="88" spans="1:17" x14ac:dyDescent="0.35">
      <c r="A88" s="61">
        <v>1600000602</v>
      </c>
      <c r="B88" s="21" t="s">
        <v>46</v>
      </c>
      <c r="C88" s="19">
        <v>45791</v>
      </c>
      <c r="D88" s="19">
        <v>45793</v>
      </c>
      <c r="E88" s="62" t="s">
        <v>36</v>
      </c>
      <c r="F88" s="60">
        <v>256779420311</v>
      </c>
      <c r="G88" s="21" t="s">
        <v>41</v>
      </c>
      <c r="H88" s="22">
        <v>-1.91</v>
      </c>
      <c r="I88" s="21" t="s">
        <v>42</v>
      </c>
      <c r="J88" s="22">
        <v>-165.58</v>
      </c>
      <c r="K88" s="22">
        <f>_xlfn.XLOOKUP(F88,'[1]Ascendus data working'!$B:$B,'[1]Ascendus data working'!$F:$F,,0)</f>
        <v>-1.91</v>
      </c>
      <c r="L88" s="22" t="e">
        <f>_xlfn.XLOOKUP(F88,'Customer ledger'!$A:$A,'Customer ledger'!$D:$D,,0)</f>
        <v>#N/A</v>
      </c>
      <c r="M88" s="22" t="e">
        <f t="shared" si="1"/>
        <v>#N/A</v>
      </c>
      <c r="N88" s="21" t="s">
        <v>286</v>
      </c>
      <c r="O88" s="21">
        <v>1400000797</v>
      </c>
      <c r="Q88"/>
    </row>
    <row r="89" spans="1:17" x14ac:dyDescent="0.35">
      <c r="A89" s="61">
        <v>1600000598</v>
      </c>
      <c r="B89" s="21" t="s">
        <v>46</v>
      </c>
      <c r="C89" s="19">
        <v>45791</v>
      </c>
      <c r="D89" s="19">
        <v>45793</v>
      </c>
      <c r="E89" s="62" t="s">
        <v>36</v>
      </c>
      <c r="F89" s="60">
        <v>256779420307</v>
      </c>
      <c r="G89" s="21" t="s">
        <v>41</v>
      </c>
      <c r="H89" s="22">
        <v>-2.86</v>
      </c>
      <c r="I89" s="21" t="s">
        <v>42</v>
      </c>
      <c r="J89" s="22">
        <v>-247.94</v>
      </c>
      <c r="K89" s="22">
        <f>_xlfn.XLOOKUP(F89,'[1]Ascendus data working'!$B:$B,'[1]Ascendus data working'!$F:$F,,0)</f>
        <v>-2.86</v>
      </c>
      <c r="L89" s="22" t="e">
        <f>_xlfn.XLOOKUP(F89,'Customer ledger'!$A:$A,'Customer ledger'!$D:$D,,0)</f>
        <v>#N/A</v>
      </c>
      <c r="M89" s="22" t="e">
        <f t="shared" si="1"/>
        <v>#N/A</v>
      </c>
      <c r="N89" s="21" t="s">
        <v>288</v>
      </c>
      <c r="O89" s="21">
        <v>1400000797</v>
      </c>
      <c r="Q89"/>
    </row>
    <row r="90" spans="1:17" x14ac:dyDescent="0.35">
      <c r="A90" s="61">
        <v>1600000599</v>
      </c>
      <c r="B90" s="21" t="s">
        <v>46</v>
      </c>
      <c r="C90" s="19">
        <v>45791</v>
      </c>
      <c r="D90" s="19">
        <v>45793</v>
      </c>
      <c r="E90" s="62" t="s">
        <v>36</v>
      </c>
      <c r="F90" s="60">
        <v>256779420308</v>
      </c>
      <c r="G90" s="21" t="s">
        <v>41</v>
      </c>
      <c r="H90" s="22">
        <v>-0.95</v>
      </c>
      <c r="I90" s="21" t="s">
        <v>42</v>
      </c>
      <c r="J90" s="22">
        <v>-82.36</v>
      </c>
      <c r="K90" s="22">
        <f>_xlfn.XLOOKUP(F90,'[1]Ascendus data working'!$B:$B,'[1]Ascendus data working'!$F:$F,,0)</f>
        <v>-0.95</v>
      </c>
      <c r="L90" s="22" t="e">
        <f>_xlfn.XLOOKUP(F90,'Customer ledger'!$A:$A,'Customer ledger'!$D:$D,,0)</f>
        <v>#N/A</v>
      </c>
      <c r="M90" s="22" t="e">
        <f t="shared" si="1"/>
        <v>#N/A</v>
      </c>
      <c r="N90" s="21" t="s">
        <v>290</v>
      </c>
      <c r="O90" s="21">
        <v>1400000797</v>
      </c>
      <c r="Q90"/>
    </row>
    <row r="91" spans="1:17" x14ac:dyDescent="0.35">
      <c r="A91" s="61">
        <v>1600000600</v>
      </c>
      <c r="B91" s="21" t="s">
        <v>46</v>
      </c>
      <c r="C91" s="19">
        <v>45791</v>
      </c>
      <c r="D91" s="19">
        <v>45793</v>
      </c>
      <c r="E91" s="62" t="s">
        <v>36</v>
      </c>
      <c r="F91" s="60">
        <v>256779420309</v>
      </c>
      <c r="G91" s="21" t="s">
        <v>41</v>
      </c>
      <c r="H91" s="22">
        <v>-4.7699999999999996</v>
      </c>
      <c r="I91" s="21" t="s">
        <v>42</v>
      </c>
      <c r="J91" s="22">
        <v>-413.52</v>
      </c>
      <c r="K91" s="22">
        <f>_xlfn.XLOOKUP(F91,'[1]Ascendus data working'!$B:$B,'[1]Ascendus data working'!$F:$F,,0)</f>
        <v>-4.7699999999999996</v>
      </c>
      <c r="L91" s="22" t="e">
        <f>_xlfn.XLOOKUP(F91,'Customer ledger'!$A:$A,'Customer ledger'!$D:$D,,0)</f>
        <v>#N/A</v>
      </c>
      <c r="M91" s="22" t="e">
        <f t="shared" si="1"/>
        <v>#N/A</v>
      </c>
      <c r="N91" s="21" t="s">
        <v>292</v>
      </c>
      <c r="O91" s="21">
        <v>1400000797</v>
      </c>
      <c r="Q91"/>
    </row>
    <row r="92" spans="1:17" x14ac:dyDescent="0.35">
      <c r="A92" s="61">
        <v>1600000601</v>
      </c>
      <c r="B92" s="21" t="s">
        <v>46</v>
      </c>
      <c r="C92" s="19">
        <v>45791</v>
      </c>
      <c r="D92" s="19">
        <v>45793</v>
      </c>
      <c r="E92" s="62" t="s">
        <v>36</v>
      </c>
      <c r="F92" s="60">
        <v>256779420310</v>
      </c>
      <c r="G92" s="21" t="s">
        <v>41</v>
      </c>
      <c r="H92" s="22">
        <v>-1.91</v>
      </c>
      <c r="I92" s="21" t="s">
        <v>42</v>
      </c>
      <c r="J92" s="22">
        <v>-165.58</v>
      </c>
      <c r="K92" s="22">
        <f>_xlfn.XLOOKUP(F92,'[1]Ascendus data working'!$B:$B,'[1]Ascendus data working'!$F:$F,,0)</f>
        <v>-1.91</v>
      </c>
      <c r="L92" s="22" t="e">
        <f>_xlfn.XLOOKUP(F92,'Customer ledger'!$A:$A,'Customer ledger'!$D:$D,,0)</f>
        <v>#N/A</v>
      </c>
      <c r="M92" s="22" t="e">
        <f t="shared" si="1"/>
        <v>#N/A</v>
      </c>
      <c r="N92" s="21" t="s">
        <v>294</v>
      </c>
      <c r="O92" s="21">
        <v>1400000797</v>
      </c>
      <c r="Q92"/>
    </row>
    <row r="93" spans="1:17" x14ac:dyDescent="0.35">
      <c r="A93" s="61">
        <v>1600000603</v>
      </c>
      <c r="B93" s="21" t="s">
        <v>46</v>
      </c>
      <c r="C93" s="19">
        <v>45791</v>
      </c>
      <c r="D93" s="19">
        <v>45793</v>
      </c>
      <c r="E93" s="62" t="s">
        <v>36</v>
      </c>
      <c r="F93" s="60">
        <v>256779420312</v>
      </c>
      <c r="G93" s="21" t="s">
        <v>41</v>
      </c>
      <c r="H93" s="22">
        <v>-4.7699999999999996</v>
      </c>
      <c r="I93" s="21" t="s">
        <v>42</v>
      </c>
      <c r="J93" s="22">
        <v>-413.52</v>
      </c>
      <c r="K93" s="22">
        <f>_xlfn.XLOOKUP(F93,'[1]Ascendus data working'!$B:$B,'[1]Ascendus data working'!$F:$F,,0)</f>
        <v>-4.7699999999999996</v>
      </c>
      <c r="L93" s="22" t="e">
        <f>_xlfn.XLOOKUP(F93,'Customer ledger'!$A:$A,'Customer ledger'!$D:$D,,0)</f>
        <v>#N/A</v>
      </c>
      <c r="M93" s="22" t="e">
        <f t="shared" si="1"/>
        <v>#N/A</v>
      </c>
      <c r="N93" s="21" t="s">
        <v>296</v>
      </c>
      <c r="O93" s="21">
        <v>1400000797</v>
      </c>
      <c r="Q93"/>
    </row>
    <row r="94" spans="1:17" x14ac:dyDescent="0.35">
      <c r="A94" s="61">
        <v>1600000780</v>
      </c>
      <c r="B94" s="21" t="s">
        <v>46</v>
      </c>
      <c r="C94" s="19">
        <v>45791</v>
      </c>
      <c r="D94" s="19">
        <v>45793</v>
      </c>
      <c r="E94" s="62" t="s">
        <v>36</v>
      </c>
      <c r="F94" s="60">
        <v>256779420489</v>
      </c>
      <c r="G94" s="21" t="s">
        <v>41</v>
      </c>
      <c r="H94" s="22">
        <v>-1166.5899999999999</v>
      </c>
      <c r="I94" s="21" t="s">
        <v>42</v>
      </c>
      <c r="J94" s="22">
        <v>-101402.13</v>
      </c>
      <c r="K94" s="22">
        <f>_xlfn.XLOOKUP(F94,'[1]Ascendus data working'!$B:$B,'[1]Ascendus data working'!$F:$F,,0)</f>
        <v>-1166.5899999999999</v>
      </c>
      <c r="L94" s="22" t="e">
        <f>_xlfn.XLOOKUP(F94,'Customer ledger'!$A:$A,'Customer ledger'!$D:$D,,0)</f>
        <v>#N/A</v>
      </c>
      <c r="M94" s="22" t="e">
        <f t="shared" si="1"/>
        <v>#N/A</v>
      </c>
      <c r="N94" s="21" t="s">
        <v>298</v>
      </c>
      <c r="O94" s="21">
        <v>1400000797</v>
      </c>
      <c r="Q94"/>
    </row>
    <row r="95" spans="1:17" x14ac:dyDescent="0.35">
      <c r="A95" s="61">
        <v>1600000814</v>
      </c>
      <c r="B95" s="21" t="s">
        <v>46</v>
      </c>
      <c r="C95" s="19">
        <v>45791</v>
      </c>
      <c r="D95" s="19">
        <v>45793</v>
      </c>
      <c r="E95" s="62" t="s">
        <v>36</v>
      </c>
      <c r="F95" s="60">
        <v>256779420523</v>
      </c>
      <c r="G95" s="21" t="s">
        <v>41</v>
      </c>
      <c r="H95" s="22">
        <v>-1143.1199999999999</v>
      </c>
      <c r="I95" s="21" t="s">
        <v>42</v>
      </c>
      <c r="J95" s="22">
        <v>-99362.07</v>
      </c>
      <c r="K95" s="22">
        <f>_xlfn.XLOOKUP(F95,'[1]Ascendus data working'!$B:$B,'[1]Ascendus data working'!$F:$F,,0)</f>
        <v>-1143.1199999999999</v>
      </c>
      <c r="L95" s="22" t="e">
        <f>_xlfn.XLOOKUP(F95,'Customer ledger'!$A:$A,'Customer ledger'!$D:$D,,0)</f>
        <v>#N/A</v>
      </c>
      <c r="M95" s="22" t="e">
        <f t="shared" si="1"/>
        <v>#N/A</v>
      </c>
      <c r="N95" s="21" t="s">
        <v>300</v>
      </c>
      <c r="O95" s="21">
        <v>1400000797</v>
      </c>
      <c r="Q95"/>
    </row>
    <row r="96" spans="1:17" x14ac:dyDescent="0.35">
      <c r="A96" s="61">
        <v>1800008504</v>
      </c>
      <c r="B96" s="21" t="s">
        <v>35</v>
      </c>
      <c r="C96" s="19">
        <v>45793</v>
      </c>
      <c r="D96" s="19">
        <v>45800</v>
      </c>
      <c r="E96" s="62" t="s">
        <v>36</v>
      </c>
      <c r="F96" s="60">
        <v>256779413272</v>
      </c>
      <c r="G96" s="21" t="s">
        <v>41</v>
      </c>
      <c r="H96" s="22">
        <v>25.28</v>
      </c>
      <c r="I96" s="21" t="s">
        <v>42</v>
      </c>
      <c r="J96" s="22">
        <v>2173.67</v>
      </c>
      <c r="K96" s="22">
        <f>_xlfn.XLOOKUP(F96,'[1]Ascendus data working'!$B:$B,'[1]Ascendus data working'!$F:$F,,0)</f>
        <v>25.28</v>
      </c>
      <c r="L96" s="22">
        <f>_xlfn.XLOOKUP(F96,'Customer ledger'!$A:$A,'Customer ledger'!$D:$D,,0)</f>
        <v>24.77</v>
      </c>
      <c r="M96" s="22">
        <f t="shared" si="1"/>
        <v>0.51000000000000156</v>
      </c>
      <c r="N96" s="21" t="s">
        <v>89</v>
      </c>
      <c r="O96" s="21" t="s">
        <v>39</v>
      </c>
      <c r="Q96"/>
    </row>
    <row r="97" spans="1:17" x14ac:dyDescent="0.35">
      <c r="A97" s="61">
        <v>1800008597</v>
      </c>
      <c r="B97" s="21" t="s">
        <v>35</v>
      </c>
      <c r="C97" s="19">
        <v>45793</v>
      </c>
      <c r="D97" s="19">
        <v>45800</v>
      </c>
      <c r="E97" s="62" t="s">
        <v>36</v>
      </c>
      <c r="F97" s="60">
        <v>256779413361</v>
      </c>
      <c r="G97" s="21" t="s">
        <v>41</v>
      </c>
      <c r="H97" s="22">
        <v>3</v>
      </c>
      <c r="I97" s="21" t="s">
        <v>42</v>
      </c>
      <c r="J97" s="22">
        <v>257.95</v>
      </c>
      <c r="K97" s="22">
        <f>_xlfn.XLOOKUP(F97,'[1]Ascendus data working'!$B:$B,'[1]Ascendus data working'!$F:$F,,0)</f>
        <v>3</v>
      </c>
      <c r="L97" s="22">
        <f>_xlfn.XLOOKUP(F97,'Customer ledger'!$A:$A,'Customer ledger'!$D:$D,,0)</f>
        <v>2.94</v>
      </c>
      <c r="M97" s="22">
        <f t="shared" si="1"/>
        <v>6.0000000000000053E-2</v>
      </c>
      <c r="N97" s="21" t="s">
        <v>303</v>
      </c>
      <c r="O97" s="21" t="s">
        <v>39</v>
      </c>
      <c r="Q97"/>
    </row>
    <row r="98" spans="1:17" x14ac:dyDescent="0.35">
      <c r="A98" s="61">
        <v>1800008726</v>
      </c>
      <c r="B98" s="21" t="s">
        <v>35</v>
      </c>
      <c r="C98" s="19">
        <v>45797</v>
      </c>
      <c r="D98" s="19">
        <v>45805</v>
      </c>
      <c r="E98" s="62" t="s">
        <v>36</v>
      </c>
      <c r="F98" s="60">
        <v>256779413490</v>
      </c>
      <c r="G98" s="21" t="s">
        <v>41</v>
      </c>
      <c r="H98" s="22">
        <v>3</v>
      </c>
      <c r="I98" s="21" t="s">
        <v>42</v>
      </c>
      <c r="J98" s="22">
        <v>257.95</v>
      </c>
      <c r="K98" s="22">
        <f>_xlfn.XLOOKUP(F98,'[1]Ascendus data working'!$B:$B,'[1]Ascendus data working'!$F:$F,,0)</f>
        <v>3</v>
      </c>
      <c r="L98" s="22">
        <f>_xlfn.XLOOKUP(F98,'Customer ledger'!$A:$A,'Customer ledger'!$D:$D,,0)</f>
        <v>2.94</v>
      </c>
      <c r="M98" s="22">
        <f t="shared" si="1"/>
        <v>6.0000000000000053E-2</v>
      </c>
      <c r="N98" s="21" t="s">
        <v>62</v>
      </c>
      <c r="O98" s="21" t="s">
        <v>39</v>
      </c>
      <c r="Q98"/>
    </row>
    <row r="99" spans="1:17" x14ac:dyDescent="0.35">
      <c r="A99" s="61">
        <v>1800009129</v>
      </c>
      <c r="B99" s="21" t="s">
        <v>35</v>
      </c>
      <c r="C99" s="19">
        <v>45805</v>
      </c>
      <c r="D99" s="19">
        <v>45805</v>
      </c>
      <c r="E99" s="62" t="s">
        <v>36</v>
      </c>
      <c r="F99" s="60">
        <v>256779413893</v>
      </c>
      <c r="G99" s="21" t="s">
        <v>41</v>
      </c>
      <c r="H99" s="22">
        <v>797.57</v>
      </c>
      <c r="I99" s="21" t="s">
        <v>42</v>
      </c>
      <c r="J99" s="22">
        <v>68578.02</v>
      </c>
      <c r="K99" s="22">
        <f>_xlfn.XLOOKUP(F99,'[1]Ascendus data working'!$B:$B,'[1]Ascendus data working'!$F:$F,,0)</f>
        <v>797.57</v>
      </c>
      <c r="L99" s="22">
        <f>_xlfn.XLOOKUP(F99,'Customer ledger'!$A:$A,'Customer ledger'!$D:$D,,0)</f>
        <v>717.81</v>
      </c>
      <c r="M99" s="22">
        <f t="shared" si="1"/>
        <v>79.760000000000105</v>
      </c>
      <c r="N99" s="21" t="s">
        <v>305</v>
      </c>
      <c r="O99" s="21" t="s">
        <v>39</v>
      </c>
      <c r="Q99"/>
    </row>
    <row r="100" spans="1:17" x14ac:dyDescent="0.35">
      <c r="A100" s="61">
        <v>1800009239</v>
      </c>
      <c r="B100" s="21" t="s">
        <v>35</v>
      </c>
      <c r="C100" s="19">
        <v>45812</v>
      </c>
      <c r="D100" s="19">
        <v>45817</v>
      </c>
      <c r="E100" s="62" t="s">
        <v>36</v>
      </c>
      <c r="F100" s="60">
        <v>256779414003</v>
      </c>
      <c r="G100" s="21" t="s">
        <v>41</v>
      </c>
      <c r="H100" s="22">
        <v>807.39</v>
      </c>
      <c r="I100" s="21" t="s">
        <v>42</v>
      </c>
      <c r="J100" s="22">
        <v>69024.399999999994</v>
      </c>
      <c r="K100" s="22">
        <f>_xlfn.XLOOKUP(F100,'[1]Ascendus data working'!$B:$B,'[1]Ascendus data working'!$F:$F,,0)</f>
        <v>807.39</v>
      </c>
      <c r="L100" s="22">
        <f>_xlfn.XLOOKUP(F100,'Customer ledger'!$A:$A,'Customer ledger'!$D:$D,,0)</f>
        <v>726.65</v>
      </c>
      <c r="M100" s="22">
        <f t="shared" si="1"/>
        <v>80.740000000000009</v>
      </c>
      <c r="N100" s="21" t="s">
        <v>276</v>
      </c>
      <c r="O100" s="21" t="s">
        <v>39</v>
      </c>
      <c r="Q100"/>
    </row>
    <row r="101" spans="1:17" x14ac:dyDescent="0.35">
      <c r="A101" s="61">
        <v>1800009240</v>
      </c>
      <c r="B101" s="21" t="s">
        <v>35</v>
      </c>
      <c r="C101" s="19">
        <v>45812</v>
      </c>
      <c r="D101" s="19">
        <v>45817</v>
      </c>
      <c r="E101" s="62" t="s">
        <v>36</v>
      </c>
      <c r="F101" s="60">
        <v>256779414004</v>
      </c>
      <c r="G101" s="21" t="s">
        <v>41</v>
      </c>
      <c r="H101" s="22">
        <v>808.16</v>
      </c>
      <c r="I101" s="21" t="s">
        <v>42</v>
      </c>
      <c r="J101" s="22">
        <v>69090.23</v>
      </c>
      <c r="K101" s="22">
        <f>_xlfn.XLOOKUP(F101,'[1]Ascendus data working'!$B:$B,'[1]Ascendus data working'!$F:$F,,0)</f>
        <v>808.16</v>
      </c>
      <c r="L101" s="22">
        <f>_xlfn.XLOOKUP(F101,'Customer ledger'!$A:$A,'Customer ledger'!$D:$D,,0)</f>
        <v>727.33999999999992</v>
      </c>
      <c r="M101" s="22">
        <f t="shared" si="1"/>
        <v>80.82000000000005</v>
      </c>
      <c r="N101" s="21" t="s">
        <v>278</v>
      </c>
      <c r="O101" s="21" t="s">
        <v>39</v>
      </c>
      <c r="Q101"/>
    </row>
    <row r="102" spans="1:17" x14ac:dyDescent="0.35">
      <c r="A102" s="61">
        <v>1800009241</v>
      </c>
      <c r="B102" s="21" t="s">
        <v>35</v>
      </c>
      <c r="C102" s="19">
        <v>45812</v>
      </c>
      <c r="D102" s="19">
        <v>45817</v>
      </c>
      <c r="E102" s="62" t="s">
        <v>36</v>
      </c>
      <c r="F102" s="60">
        <v>256779414005</v>
      </c>
      <c r="G102" s="21" t="s">
        <v>41</v>
      </c>
      <c r="H102" s="22">
        <v>805.28</v>
      </c>
      <c r="I102" s="21" t="s">
        <v>42</v>
      </c>
      <c r="J102" s="22">
        <v>68844.02</v>
      </c>
      <c r="K102" s="22">
        <f>_xlfn.XLOOKUP(F102,'[1]Ascendus data working'!$B:$B,'[1]Ascendus data working'!$F:$F,,0)</f>
        <v>805.28</v>
      </c>
      <c r="L102" s="22">
        <f>_xlfn.XLOOKUP(F102,'Customer ledger'!$A:$A,'Customer ledger'!$D:$D,,0)</f>
        <v>724.75</v>
      </c>
      <c r="M102" s="22">
        <f t="shared" si="1"/>
        <v>80.529999999999973</v>
      </c>
      <c r="N102" s="21" t="s">
        <v>280</v>
      </c>
      <c r="O102" s="21" t="s">
        <v>39</v>
      </c>
      <c r="Q102"/>
    </row>
    <row r="103" spans="1:17" x14ac:dyDescent="0.35">
      <c r="A103" s="61">
        <v>1800009242</v>
      </c>
      <c r="B103" s="21" t="s">
        <v>35</v>
      </c>
      <c r="C103" s="19">
        <v>45812</v>
      </c>
      <c r="D103" s="19">
        <v>45817</v>
      </c>
      <c r="E103" s="62" t="s">
        <v>36</v>
      </c>
      <c r="F103" s="60">
        <v>256779414006</v>
      </c>
      <c r="G103" s="21" t="s">
        <v>41</v>
      </c>
      <c r="H103" s="22">
        <v>801.47</v>
      </c>
      <c r="I103" s="21" t="s">
        <v>42</v>
      </c>
      <c r="J103" s="22">
        <v>68518.3</v>
      </c>
      <c r="K103" s="22">
        <f>_xlfn.XLOOKUP(F103,'[1]Ascendus data working'!$B:$B,'[1]Ascendus data working'!$F:$F,,0)</f>
        <v>801.47</v>
      </c>
      <c r="L103" s="22">
        <f>_xlfn.XLOOKUP(F103,'Customer ledger'!$A:$A,'Customer ledger'!$D:$D,,0)</f>
        <v>721.32</v>
      </c>
      <c r="M103" s="22">
        <f t="shared" si="1"/>
        <v>80.149999999999977</v>
      </c>
      <c r="N103" s="21" t="s">
        <v>282</v>
      </c>
      <c r="O103" s="21" t="s">
        <v>39</v>
      </c>
      <c r="Q103"/>
    </row>
    <row r="104" spans="1:17" x14ac:dyDescent="0.35">
      <c r="A104" s="61">
        <v>1800009243</v>
      </c>
      <c r="B104" s="21" t="s">
        <v>35</v>
      </c>
      <c r="C104" s="19">
        <v>45812</v>
      </c>
      <c r="D104" s="19">
        <v>45817</v>
      </c>
      <c r="E104" s="62" t="s">
        <v>36</v>
      </c>
      <c r="F104" s="60">
        <v>256779414007</v>
      </c>
      <c r="G104" s="21" t="s">
        <v>41</v>
      </c>
      <c r="H104" s="22">
        <v>790.89</v>
      </c>
      <c r="I104" s="21" t="s">
        <v>42</v>
      </c>
      <c r="J104" s="22">
        <v>67613.8</v>
      </c>
      <c r="K104" s="22">
        <f>_xlfn.XLOOKUP(F104,'[1]Ascendus data working'!$B:$B,'[1]Ascendus data working'!$F:$F,,0)</f>
        <v>790.89</v>
      </c>
      <c r="L104" s="22">
        <f>_xlfn.XLOOKUP(F104,'Customer ledger'!$A:$A,'Customer ledger'!$D:$D,,0)</f>
        <v>711.8</v>
      </c>
      <c r="M104" s="22">
        <f t="shared" si="1"/>
        <v>79.090000000000032</v>
      </c>
      <c r="N104" s="21" t="s">
        <v>284</v>
      </c>
      <c r="O104" s="21" t="s">
        <v>39</v>
      </c>
      <c r="Q104"/>
    </row>
    <row r="105" spans="1:17" x14ac:dyDescent="0.35">
      <c r="A105" s="61">
        <v>1800009470</v>
      </c>
      <c r="B105" s="21" t="s">
        <v>35</v>
      </c>
      <c r="C105" s="19">
        <v>45815</v>
      </c>
      <c r="D105" s="19">
        <v>45817</v>
      </c>
      <c r="E105" s="62" t="s">
        <v>36</v>
      </c>
      <c r="F105" s="60">
        <v>256779414234</v>
      </c>
      <c r="G105" s="21" t="s">
        <v>41</v>
      </c>
      <c r="H105" s="22">
        <v>925.23</v>
      </c>
      <c r="I105" s="21" t="s">
        <v>42</v>
      </c>
      <c r="J105" s="22">
        <v>79098.63</v>
      </c>
      <c r="K105" s="22">
        <f>_xlfn.XLOOKUP(F105,'[1]Ascendus data working'!$B:$B,'[1]Ascendus data working'!$F:$F,,0)</f>
        <v>925.23</v>
      </c>
      <c r="L105" s="22">
        <f>_xlfn.XLOOKUP(F105,'Customer ledger'!$A:$A,'Customer ledger'!$D:$D,,0)</f>
        <v>832.7</v>
      </c>
      <c r="M105" s="22">
        <f t="shared" si="1"/>
        <v>92.529999999999973</v>
      </c>
      <c r="N105" s="21" t="s">
        <v>404</v>
      </c>
      <c r="O105" s="21" t="s">
        <v>39</v>
      </c>
      <c r="Q105"/>
    </row>
    <row r="106" spans="1:17" x14ac:dyDescent="0.35">
      <c r="A106" s="61">
        <v>1800009590</v>
      </c>
      <c r="B106" s="21" t="s">
        <v>35</v>
      </c>
      <c r="C106" s="19">
        <v>45818</v>
      </c>
      <c r="D106" s="19">
        <v>45825</v>
      </c>
      <c r="E106" s="62" t="s">
        <v>36</v>
      </c>
      <c r="F106" s="60">
        <v>256779414354</v>
      </c>
      <c r="G106" s="21" t="s">
        <v>41</v>
      </c>
      <c r="H106" s="22">
        <v>100000</v>
      </c>
      <c r="I106" s="21" t="s">
        <v>42</v>
      </c>
      <c r="J106" s="22">
        <v>100000</v>
      </c>
      <c r="K106" s="22">
        <f>_xlfn.XLOOKUP(F106,'[1]Ascendus data working'!$B:$B,'[1]Ascendus data working'!$F:$F,,0)</f>
        <v>1169.5906432748538</v>
      </c>
      <c r="L106" s="22">
        <f>_xlfn.XLOOKUP(F106,'Customer ledger'!$A:$A,'Customer ledger'!$D:$D,,0)</f>
        <v>1052.75</v>
      </c>
      <c r="M106" s="22">
        <f t="shared" si="1"/>
        <v>116.84064327485385</v>
      </c>
      <c r="N106" s="21" t="s">
        <v>133</v>
      </c>
      <c r="O106" s="21" t="s">
        <v>39</v>
      </c>
      <c r="Q106"/>
    </row>
    <row r="107" spans="1:17" x14ac:dyDescent="0.35">
      <c r="A107" s="61">
        <v>1800009671</v>
      </c>
      <c r="B107" s="21" t="s">
        <v>35</v>
      </c>
      <c r="C107" s="19">
        <v>45826</v>
      </c>
      <c r="D107" s="19">
        <v>45827</v>
      </c>
      <c r="E107" s="62" t="s">
        <v>36</v>
      </c>
      <c r="F107" s="60">
        <v>256779414435</v>
      </c>
      <c r="G107" s="21" t="s">
        <v>41</v>
      </c>
      <c r="H107" s="22">
        <v>1190.48</v>
      </c>
      <c r="I107" s="21" t="s">
        <v>42</v>
      </c>
      <c r="J107" s="22">
        <v>101775.06</v>
      </c>
      <c r="K107" s="22">
        <f>_xlfn.XLOOKUP(F107,'[1]Ascendus data working'!$B:$B,'[1]Ascendus data working'!$F:$F,,0)</f>
        <v>1190.48</v>
      </c>
      <c r="L107" s="22" t="e">
        <f>_xlfn.XLOOKUP(F107,'Customer ledger'!$A:$A,'Customer ledger'!$D:$D,,0)</f>
        <v>#N/A</v>
      </c>
      <c r="M107" s="22" t="e">
        <f t="shared" si="1"/>
        <v>#N/A</v>
      </c>
      <c r="N107" s="21" t="s">
        <v>337</v>
      </c>
      <c r="O107" s="21">
        <v>1400001107</v>
      </c>
      <c r="Q107"/>
    </row>
    <row r="108" spans="1:17" x14ac:dyDescent="0.35">
      <c r="A108" s="61">
        <v>1800010152</v>
      </c>
      <c r="B108" s="21" t="s">
        <v>35</v>
      </c>
      <c r="C108" s="19">
        <v>45842</v>
      </c>
      <c r="D108" s="19">
        <v>45847</v>
      </c>
      <c r="E108" s="62" t="s">
        <v>36</v>
      </c>
      <c r="F108" s="60">
        <v>256779414912</v>
      </c>
      <c r="G108" s="21" t="s">
        <v>41</v>
      </c>
      <c r="H108" s="22">
        <v>100000</v>
      </c>
      <c r="I108" s="21" t="s">
        <v>42</v>
      </c>
      <c r="J108" s="22">
        <v>100000</v>
      </c>
      <c r="K108" s="22">
        <f>_xlfn.XLOOKUP(F108,'[1]Ascendus data working'!$B:$B,'[1]Ascendus data working'!$F:$F,,0)</f>
        <v>1162.7906976744187</v>
      </c>
      <c r="L108" s="22">
        <f>_xlfn.XLOOKUP(F108,'Customer ledger'!$A:$A,'Customer ledger'!$D:$D,,0)</f>
        <v>1046.5</v>
      </c>
      <c r="M108" s="22">
        <f t="shared" si="1"/>
        <v>116.29069767441865</v>
      </c>
      <c r="N108" s="21" t="s">
        <v>135</v>
      </c>
      <c r="O108" s="21" t="s">
        <v>39</v>
      </c>
      <c r="Q108"/>
    </row>
    <row r="109" spans="1:17" x14ac:dyDescent="0.35">
      <c r="A109" s="61">
        <v>1800010069</v>
      </c>
      <c r="B109" s="21" t="s">
        <v>35</v>
      </c>
      <c r="C109" s="19">
        <v>45842</v>
      </c>
      <c r="D109" s="19">
        <v>45845</v>
      </c>
      <c r="E109" s="62" t="s">
        <v>36</v>
      </c>
      <c r="F109" s="60">
        <v>256779414833</v>
      </c>
      <c r="G109" s="21" t="s">
        <v>41</v>
      </c>
      <c r="H109" s="22">
        <v>3</v>
      </c>
      <c r="I109" s="21" t="s">
        <v>42</v>
      </c>
      <c r="J109" s="22">
        <v>258</v>
      </c>
      <c r="K109" s="22">
        <f>_xlfn.XLOOKUP(F109,'[1]Ascendus data working'!$B:$B,'[1]Ascendus data working'!$F:$F,,0)</f>
        <v>3</v>
      </c>
      <c r="L109" s="22">
        <f>_xlfn.XLOOKUP(F109,'Customer ledger'!$A:$A,'Customer ledger'!$D:$D,,0)</f>
        <v>2.94</v>
      </c>
      <c r="M109" s="22">
        <f t="shared" si="1"/>
        <v>6.0000000000000053E-2</v>
      </c>
      <c r="N109" s="21" t="s">
        <v>104</v>
      </c>
      <c r="O109" s="21" t="s">
        <v>39</v>
      </c>
      <c r="Q109"/>
    </row>
    <row r="110" spans="1:17" x14ac:dyDescent="0.35">
      <c r="A110" s="61">
        <v>1800010430</v>
      </c>
      <c r="B110" s="21" t="s">
        <v>35</v>
      </c>
      <c r="C110" s="19">
        <v>45842</v>
      </c>
      <c r="D110" s="19">
        <v>45847</v>
      </c>
      <c r="E110" s="62" t="s">
        <v>36</v>
      </c>
      <c r="F110" s="60">
        <v>256779415190</v>
      </c>
      <c r="G110" s="21" t="s">
        <v>41</v>
      </c>
      <c r="H110" s="22">
        <v>690.7</v>
      </c>
      <c r="I110" s="21" t="s">
        <v>42</v>
      </c>
      <c r="J110" s="22">
        <v>59400.66</v>
      </c>
      <c r="K110" s="22">
        <f>_xlfn.XLOOKUP(F110,'[1]Ascendus data working'!$B:$B,'[1]Ascendus data working'!$F:$F,,0)</f>
        <v>690.7</v>
      </c>
      <c r="L110" s="22">
        <f>_xlfn.XLOOKUP(F110,'Customer ledger'!$A:$A,'Customer ledger'!$D:$D,,0)</f>
        <v>621.63000000000011</v>
      </c>
      <c r="M110" s="22">
        <f t="shared" si="1"/>
        <v>69.069999999999936</v>
      </c>
      <c r="N110" s="21" t="s">
        <v>249</v>
      </c>
      <c r="O110" s="21" t="s">
        <v>39</v>
      </c>
      <c r="Q110"/>
    </row>
    <row r="111" spans="1:17" x14ac:dyDescent="0.35">
      <c r="A111" s="61">
        <v>1800010701</v>
      </c>
      <c r="B111" s="21" t="s">
        <v>35</v>
      </c>
      <c r="C111" s="19">
        <v>45856</v>
      </c>
      <c r="D111" s="19">
        <v>45859</v>
      </c>
      <c r="E111" s="62" t="s">
        <v>36</v>
      </c>
      <c r="F111" s="60">
        <v>256779415485</v>
      </c>
      <c r="G111" s="21" t="s">
        <v>41</v>
      </c>
      <c r="H111" s="22">
        <v>17.25</v>
      </c>
      <c r="I111" s="21" t="s">
        <v>42</v>
      </c>
      <c r="J111" s="22">
        <v>1483.51</v>
      </c>
      <c r="K111" s="22">
        <f>_xlfn.XLOOKUP(F111,'[1]Ascendus data working'!$B:$B,'[1]Ascendus data working'!$F:$F,,0)</f>
        <v>17.25</v>
      </c>
      <c r="L111" s="22">
        <f>_xlfn.XLOOKUP(F111,'Customer ledger'!$A:$A,'Customer ledger'!$D:$D,,0)</f>
        <v>16.899999999999999</v>
      </c>
      <c r="M111" s="22">
        <f t="shared" si="1"/>
        <v>0.35000000000000142</v>
      </c>
      <c r="N111" s="21" t="s">
        <v>307</v>
      </c>
      <c r="O111" s="21" t="s">
        <v>39</v>
      </c>
      <c r="Q111"/>
    </row>
    <row r="112" spans="1:17" x14ac:dyDescent="0.35">
      <c r="A112" s="61">
        <v>1800010749</v>
      </c>
      <c r="B112" s="21" t="s">
        <v>35</v>
      </c>
      <c r="C112" s="19">
        <v>45856</v>
      </c>
      <c r="D112" s="19">
        <v>45859</v>
      </c>
      <c r="E112" s="62" t="s">
        <v>36</v>
      </c>
      <c r="F112" s="60">
        <v>256779415533</v>
      </c>
      <c r="G112" s="21" t="s">
        <v>41</v>
      </c>
      <c r="H112" s="22">
        <v>21.75</v>
      </c>
      <c r="I112" s="21" t="s">
        <v>42</v>
      </c>
      <c r="J112" s="22">
        <v>1870.51</v>
      </c>
      <c r="K112" s="22">
        <f>_xlfn.XLOOKUP(F112,'[1]Ascendus data working'!$B:$B,'[1]Ascendus data working'!$F:$F,,0)</f>
        <v>21.75</v>
      </c>
      <c r="L112" s="22">
        <f>_xlfn.XLOOKUP(F112,'Customer ledger'!$A:$A,'Customer ledger'!$D:$D,,0)</f>
        <v>21.31</v>
      </c>
      <c r="M112" s="22">
        <f t="shared" si="1"/>
        <v>0.44000000000000128</v>
      </c>
      <c r="N112" s="21" t="s">
        <v>50</v>
      </c>
      <c r="O112" s="21" t="s">
        <v>39</v>
      </c>
      <c r="Q112"/>
    </row>
    <row r="113" spans="1:17" x14ac:dyDescent="0.35">
      <c r="A113" s="61">
        <v>1800010706</v>
      </c>
      <c r="B113" s="21" t="s">
        <v>35</v>
      </c>
      <c r="C113" s="19">
        <v>45856</v>
      </c>
      <c r="D113" s="19">
        <v>45859</v>
      </c>
      <c r="E113" s="62" t="s">
        <v>36</v>
      </c>
      <c r="F113" s="60">
        <v>256779415490</v>
      </c>
      <c r="G113" s="21" t="s">
        <v>41</v>
      </c>
      <c r="H113" s="22">
        <v>17.25</v>
      </c>
      <c r="I113" s="21" t="s">
        <v>42</v>
      </c>
      <c r="J113" s="22">
        <v>1483.51</v>
      </c>
      <c r="K113" s="22">
        <f>_xlfn.XLOOKUP(F113,'[1]Ascendus data working'!$B:$B,'[1]Ascendus data working'!$F:$F,,0)</f>
        <v>17.25</v>
      </c>
      <c r="L113" s="22" t="e">
        <f>_xlfn.XLOOKUP(F113,'Customer ledger'!$A:$A,'Customer ledger'!$D:$D,,0)</f>
        <v>#N/A</v>
      </c>
      <c r="M113" s="22" t="e">
        <f t="shared" si="1"/>
        <v>#N/A</v>
      </c>
      <c r="N113" s="21" t="s">
        <v>307</v>
      </c>
      <c r="O113" s="21">
        <v>1400001904</v>
      </c>
      <c r="Q113"/>
    </row>
    <row r="114" spans="1:17" x14ac:dyDescent="0.35">
      <c r="A114" s="61">
        <v>1800011045</v>
      </c>
      <c r="B114" s="21" t="s">
        <v>35</v>
      </c>
      <c r="C114" s="19">
        <v>45856</v>
      </c>
      <c r="D114" s="19">
        <v>45859</v>
      </c>
      <c r="E114" s="62" t="s">
        <v>36</v>
      </c>
      <c r="F114" s="60">
        <v>256779415805</v>
      </c>
      <c r="G114" s="21" t="s">
        <v>41</v>
      </c>
      <c r="H114" s="22">
        <v>17.25</v>
      </c>
      <c r="I114" s="21" t="s">
        <v>42</v>
      </c>
      <c r="J114" s="22">
        <v>1483.51</v>
      </c>
      <c r="K114" s="22">
        <f>_xlfn.XLOOKUP(F114,'[1]Ascendus data working'!$B:$B,'[1]Ascendus data working'!$F:$F,,0)</f>
        <v>17.25</v>
      </c>
      <c r="L114" s="22" t="e">
        <f>_xlfn.XLOOKUP(F114,'Customer ledger'!$A:$A,'Customer ledger'!$D:$D,,0)</f>
        <v>#N/A</v>
      </c>
      <c r="M114" s="22" t="e">
        <f t="shared" si="1"/>
        <v>#N/A</v>
      </c>
      <c r="N114" s="21" t="s">
        <v>307</v>
      </c>
      <c r="O114" s="21">
        <v>1400001904</v>
      </c>
      <c r="Q114"/>
    </row>
    <row r="115" spans="1:17" x14ac:dyDescent="0.35">
      <c r="A115" s="61">
        <v>1800011050</v>
      </c>
      <c r="B115" s="21" t="s">
        <v>35</v>
      </c>
      <c r="C115" s="19">
        <v>45856</v>
      </c>
      <c r="D115" s="19">
        <v>45859</v>
      </c>
      <c r="E115" s="62" t="s">
        <v>36</v>
      </c>
      <c r="F115" s="60">
        <v>256779415810</v>
      </c>
      <c r="G115" s="21" t="s">
        <v>41</v>
      </c>
      <c r="H115" s="22">
        <v>17.25</v>
      </c>
      <c r="I115" s="21" t="s">
        <v>42</v>
      </c>
      <c r="J115" s="22">
        <v>1483.51</v>
      </c>
      <c r="K115" s="22">
        <f>_xlfn.XLOOKUP(F115,'[1]Ascendus data working'!$B:$B,'[1]Ascendus data working'!$F:$F,,0)</f>
        <v>17.25</v>
      </c>
      <c r="L115" s="22" t="e">
        <f>_xlfn.XLOOKUP(F115,'Customer ledger'!$A:$A,'Customer ledger'!$D:$D,,0)</f>
        <v>#N/A</v>
      </c>
      <c r="M115" s="22" t="e">
        <f t="shared" si="1"/>
        <v>#N/A</v>
      </c>
      <c r="N115" s="21" t="s">
        <v>307</v>
      </c>
      <c r="O115" s="21">
        <v>1400001904</v>
      </c>
      <c r="Q115"/>
    </row>
    <row r="116" spans="1:17" x14ac:dyDescent="0.35">
      <c r="A116" s="61">
        <v>1800011012</v>
      </c>
      <c r="B116" s="21" t="s">
        <v>35</v>
      </c>
      <c r="C116" s="19">
        <v>45857</v>
      </c>
      <c r="D116" s="19">
        <v>45859</v>
      </c>
      <c r="E116" s="62" t="s">
        <v>36</v>
      </c>
      <c r="F116" s="60">
        <v>256779415772</v>
      </c>
      <c r="G116" s="21" t="s">
        <v>41</v>
      </c>
      <c r="H116" s="22">
        <v>59.43</v>
      </c>
      <c r="I116" s="21" t="s">
        <v>42</v>
      </c>
      <c r="J116" s="22">
        <v>5111.0200000000004</v>
      </c>
      <c r="K116" s="22">
        <f>_xlfn.XLOOKUP(F116,'[1]Ascendus data working'!$B:$B,'[1]Ascendus data working'!$F:$F,,0)</f>
        <v>59.43</v>
      </c>
      <c r="L116" s="22">
        <f>_xlfn.XLOOKUP(F116,'Customer ledger'!$A:$A,'Customer ledger'!$D:$D,,0)</f>
        <v>58.24</v>
      </c>
      <c r="M116" s="22">
        <f t="shared" si="1"/>
        <v>1.1899999999999977</v>
      </c>
      <c r="N116" s="21" t="s">
        <v>399</v>
      </c>
      <c r="O116" s="21" t="s">
        <v>39</v>
      </c>
      <c r="Q116"/>
    </row>
    <row r="117" spans="1:17" x14ac:dyDescent="0.35">
      <c r="A117" s="61">
        <v>1400000797</v>
      </c>
      <c r="B117" s="21" t="s">
        <v>86</v>
      </c>
      <c r="C117" s="19">
        <v>45861</v>
      </c>
      <c r="D117" s="19">
        <v>45861</v>
      </c>
      <c r="E117" s="62" t="s">
        <v>39</v>
      </c>
      <c r="F117" s="60" t="s">
        <v>39</v>
      </c>
      <c r="G117" s="21" t="s">
        <v>41</v>
      </c>
      <c r="H117" s="22">
        <v>198636.61</v>
      </c>
      <c r="I117" s="21" t="s">
        <v>42</v>
      </c>
      <c r="J117" s="22">
        <v>200764.2</v>
      </c>
      <c r="K117" s="22">
        <f>H117</f>
        <v>198636.61</v>
      </c>
      <c r="L117" s="22" t="e">
        <f>_xlfn.XLOOKUP(F117,'Customer ledger'!$A:$A,'Customer ledger'!$D:$D,,0)</f>
        <v>#N/A</v>
      </c>
      <c r="M117" s="22" t="e">
        <f t="shared" si="1"/>
        <v>#N/A</v>
      </c>
      <c r="N117" s="21" t="s">
        <v>39</v>
      </c>
      <c r="O117" s="21">
        <v>1400000797</v>
      </c>
      <c r="Q117"/>
    </row>
    <row r="118" spans="1:17" x14ac:dyDescent="0.35">
      <c r="A118" s="61">
        <v>1400000797</v>
      </c>
      <c r="B118" s="21" t="s">
        <v>86</v>
      </c>
      <c r="C118" s="19">
        <v>45861</v>
      </c>
      <c r="D118" s="19">
        <v>45861</v>
      </c>
      <c r="E118" s="62" t="s">
        <v>39</v>
      </c>
      <c r="F118" s="60" t="s">
        <v>39</v>
      </c>
      <c r="G118" s="21" t="s">
        <v>41</v>
      </c>
      <c r="H118" s="22">
        <v>-198636.61</v>
      </c>
      <c r="I118" s="21" t="s">
        <v>42</v>
      </c>
      <c r="J118" s="22">
        <v>-200764.2</v>
      </c>
      <c r="K118" s="22">
        <f>H118</f>
        <v>-198636.61</v>
      </c>
      <c r="L118" s="22" t="e">
        <f>_xlfn.XLOOKUP(F118,'Customer ledger'!$A:$A,'Customer ledger'!$D:$D,,0)</f>
        <v>#N/A</v>
      </c>
      <c r="M118" s="22" t="e">
        <f t="shared" si="1"/>
        <v>#N/A</v>
      </c>
      <c r="N118" s="21" t="s">
        <v>39</v>
      </c>
      <c r="O118" s="21">
        <v>1400000797</v>
      </c>
      <c r="Q118"/>
    </row>
    <row r="119" spans="1:17" x14ac:dyDescent="0.35">
      <c r="A119" s="61">
        <v>1400000805</v>
      </c>
      <c r="B119" s="21" t="s">
        <v>83</v>
      </c>
      <c r="C119" s="19">
        <v>45862</v>
      </c>
      <c r="D119" s="19">
        <v>45862</v>
      </c>
      <c r="E119" s="62" t="s">
        <v>125</v>
      </c>
      <c r="F119" s="60" t="s">
        <v>39</v>
      </c>
      <c r="G119" s="21" t="s">
        <v>41</v>
      </c>
      <c r="H119" s="22">
        <v>-8262.11</v>
      </c>
      <c r="I119" s="21" t="s">
        <v>42</v>
      </c>
      <c r="J119" s="22">
        <v>-713050.33</v>
      </c>
      <c r="K119" s="22">
        <f>H119</f>
        <v>-8262.11</v>
      </c>
      <c r="L119" s="22" t="e">
        <f>_xlfn.XLOOKUP(F119,'Customer ledger'!$A:$A,'Customer ledger'!$D:$D,,0)</f>
        <v>#N/A</v>
      </c>
      <c r="M119" s="22" t="e">
        <f t="shared" si="1"/>
        <v>#N/A</v>
      </c>
      <c r="N119" s="21" t="s">
        <v>125</v>
      </c>
      <c r="O119" s="21">
        <v>1400000805</v>
      </c>
      <c r="Q119"/>
    </row>
    <row r="120" spans="1:17" x14ac:dyDescent="0.35">
      <c r="A120" s="61">
        <v>1600001882</v>
      </c>
      <c r="B120" s="21" t="s">
        <v>46</v>
      </c>
      <c r="C120" s="19">
        <v>45862</v>
      </c>
      <c r="D120" s="19">
        <v>45862</v>
      </c>
      <c r="E120" s="62" t="s">
        <v>36</v>
      </c>
      <c r="F120" s="60">
        <v>256779421502</v>
      </c>
      <c r="G120" s="21" t="s">
        <v>41</v>
      </c>
      <c r="H120" s="22">
        <v>-1190.48</v>
      </c>
      <c r="I120" s="21" t="s">
        <v>42</v>
      </c>
      <c r="J120" s="22">
        <v>-102382.08</v>
      </c>
      <c r="K120" s="22">
        <f>_xlfn.XLOOKUP(F120,'[1]Ascendus data working'!$B:$B,'[1]Ascendus data working'!$F:$F,,0)</f>
        <v>-1190.48</v>
      </c>
      <c r="L120" s="22" t="e">
        <f>_xlfn.XLOOKUP(F120,'Customer ledger'!$A:$A,'Customer ledger'!$D:$D,,0)</f>
        <v>#N/A</v>
      </c>
      <c r="M120" s="22" t="e">
        <f t="shared" si="1"/>
        <v>#N/A</v>
      </c>
      <c r="N120" s="21" t="s">
        <v>372</v>
      </c>
      <c r="O120" s="21">
        <v>1400001107</v>
      </c>
      <c r="Q120"/>
    </row>
    <row r="121" spans="1:17" x14ac:dyDescent="0.35">
      <c r="A121" s="61">
        <v>1800011358</v>
      </c>
      <c r="B121" s="21" t="s">
        <v>35</v>
      </c>
      <c r="C121" s="19">
        <v>45870</v>
      </c>
      <c r="D121" s="19">
        <v>45873</v>
      </c>
      <c r="E121" s="62" t="s">
        <v>36</v>
      </c>
      <c r="F121" s="60">
        <v>256779416024</v>
      </c>
      <c r="G121" s="21" t="s">
        <v>41</v>
      </c>
      <c r="H121" s="22">
        <v>100000</v>
      </c>
      <c r="I121" s="21" t="s">
        <v>42</v>
      </c>
      <c r="J121" s="22">
        <v>100000</v>
      </c>
      <c r="K121" s="22">
        <f>_xlfn.XLOOKUP(F121,'[1]Ascendus data working'!$B:$B,'[1]Ascendus data working'!$F:$F,,0)</f>
        <v>1162.7906976744187</v>
      </c>
      <c r="L121" s="22">
        <f>_xlfn.XLOOKUP(F121,'Customer ledger'!$A:$A,'Customer ledger'!$D:$D,,0)</f>
        <v>1046.1400000000001</v>
      </c>
      <c r="M121" s="22">
        <f t="shared" si="1"/>
        <v>116.65069767441855</v>
      </c>
      <c r="N121" s="21" t="s">
        <v>137</v>
      </c>
      <c r="O121" s="21" t="s">
        <v>39</v>
      </c>
      <c r="Q121"/>
    </row>
    <row r="122" spans="1:17" x14ac:dyDescent="0.35">
      <c r="A122" s="61">
        <v>1600002012</v>
      </c>
      <c r="B122" s="21" t="s">
        <v>46</v>
      </c>
      <c r="C122" s="19">
        <v>45873</v>
      </c>
      <c r="D122" s="19">
        <v>45873</v>
      </c>
      <c r="E122" s="62" t="s">
        <v>36</v>
      </c>
      <c r="F122" s="60">
        <v>256779421588</v>
      </c>
      <c r="G122" s="21" t="s">
        <v>41</v>
      </c>
      <c r="H122" s="22">
        <v>-17.25</v>
      </c>
      <c r="I122" s="21" t="s">
        <v>42</v>
      </c>
      <c r="J122" s="22">
        <v>-1483.51</v>
      </c>
      <c r="K122" s="22">
        <f>_xlfn.XLOOKUP(F122,'[1]Ascendus data working'!$B:$B,'[1]Ascendus data working'!$F:$F,,0)</f>
        <v>-17.25</v>
      </c>
      <c r="L122" s="22" t="e">
        <f>_xlfn.XLOOKUP(F122,'Customer ledger'!$A:$A,'Customer ledger'!$D:$D,,0)</f>
        <v>#N/A</v>
      </c>
      <c r="M122" s="22" t="e">
        <f t="shared" si="1"/>
        <v>#N/A</v>
      </c>
      <c r="N122" s="21" t="s">
        <v>358</v>
      </c>
      <c r="O122" s="21">
        <v>1400001904</v>
      </c>
      <c r="Q122"/>
    </row>
    <row r="123" spans="1:17" x14ac:dyDescent="0.35">
      <c r="A123" s="61">
        <v>1600002057</v>
      </c>
      <c r="B123" s="21" t="s">
        <v>46</v>
      </c>
      <c r="C123" s="19">
        <v>45873</v>
      </c>
      <c r="D123" s="19">
        <v>45873</v>
      </c>
      <c r="E123" s="62" t="s">
        <v>36</v>
      </c>
      <c r="F123" s="60">
        <v>256779421633</v>
      </c>
      <c r="G123" s="21" t="s">
        <v>41</v>
      </c>
      <c r="H123" s="22">
        <v>-17.25</v>
      </c>
      <c r="I123" s="21" t="s">
        <v>42</v>
      </c>
      <c r="J123" s="22">
        <v>-1483.51</v>
      </c>
      <c r="K123" s="22">
        <f>_xlfn.XLOOKUP(F123,'[1]Ascendus data working'!$B:$B,'[1]Ascendus data working'!$F:$F,,0)</f>
        <v>-17.25</v>
      </c>
      <c r="L123" s="22" t="e">
        <f>_xlfn.XLOOKUP(F123,'Customer ledger'!$A:$A,'Customer ledger'!$D:$D,,0)</f>
        <v>#N/A</v>
      </c>
      <c r="M123" s="22" t="e">
        <f t="shared" si="1"/>
        <v>#N/A</v>
      </c>
      <c r="N123" s="21" t="s">
        <v>360</v>
      </c>
      <c r="O123" s="21">
        <v>1400001904</v>
      </c>
      <c r="Q123"/>
    </row>
    <row r="124" spans="1:17" x14ac:dyDescent="0.35">
      <c r="A124" s="61">
        <v>1600002062</v>
      </c>
      <c r="B124" s="21" t="s">
        <v>46</v>
      </c>
      <c r="C124" s="19">
        <v>45873</v>
      </c>
      <c r="D124" s="19">
        <v>45873</v>
      </c>
      <c r="E124" s="62" t="s">
        <v>36</v>
      </c>
      <c r="F124" s="60">
        <v>256779421638</v>
      </c>
      <c r="G124" s="21" t="s">
        <v>41</v>
      </c>
      <c r="H124" s="22">
        <v>-17.25</v>
      </c>
      <c r="I124" s="21" t="s">
        <v>42</v>
      </c>
      <c r="J124" s="22">
        <v>-1483.51</v>
      </c>
      <c r="K124" s="22">
        <f>_xlfn.XLOOKUP(F124,'[1]Ascendus data working'!$B:$B,'[1]Ascendus data working'!$F:$F,,0)</f>
        <v>-17.25</v>
      </c>
      <c r="L124" s="22" t="e">
        <f>_xlfn.XLOOKUP(F124,'Customer ledger'!$A:$A,'Customer ledger'!$D:$D,,0)</f>
        <v>#N/A</v>
      </c>
      <c r="M124" s="22" t="e">
        <f t="shared" si="1"/>
        <v>#N/A</v>
      </c>
      <c r="N124" s="21" t="s">
        <v>362</v>
      </c>
      <c r="O124" s="21">
        <v>1400001904</v>
      </c>
      <c r="Q124"/>
    </row>
    <row r="125" spans="1:17" x14ac:dyDescent="0.35">
      <c r="A125" s="61">
        <v>1800011652</v>
      </c>
      <c r="B125" s="21" t="s">
        <v>35</v>
      </c>
      <c r="C125" s="19">
        <v>45877</v>
      </c>
      <c r="D125" s="19">
        <v>45877</v>
      </c>
      <c r="E125" s="62" t="s">
        <v>36</v>
      </c>
      <c r="F125" s="60">
        <v>256779416082</v>
      </c>
      <c r="G125" s="21" t="s">
        <v>41</v>
      </c>
      <c r="H125" s="22">
        <v>759.67</v>
      </c>
      <c r="I125" s="21" t="s">
        <v>42</v>
      </c>
      <c r="J125" s="22">
        <v>65354.5</v>
      </c>
      <c r="K125" s="22">
        <f>_xlfn.XLOOKUP(F125,'[1]Ascendus data working'!$B:$B,'[1]Ascendus data working'!$F:$F,,0)</f>
        <v>759.67</v>
      </c>
      <c r="L125" s="22">
        <f>_xlfn.XLOOKUP(F125,'Customer ledger'!$A:$A,'Customer ledger'!$D:$D,,0)</f>
        <v>683.69999999999993</v>
      </c>
      <c r="M125" s="22">
        <f t="shared" si="1"/>
        <v>75.970000000000027</v>
      </c>
      <c r="N125" s="21" t="s">
        <v>267</v>
      </c>
      <c r="O125" s="21" t="s">
        <v>39</v>
      </c>
      <c r="Q125"/>
    </row>
    <row r="126" spans="1:17" x14ac:dyDescent="0.35">
      <c r="A126" s="61">
        <v>1800011791</v>
      </c>
      <c r="B126" s="21" t="s">
        <v>35</v>
      </c>
      <c r="C126" s="19">
        <v>45877</v>
      </c>
      <c r="D126" s="19">
        <v>45877</v>
      </c>
      <c r="E126" s="62" t="s">
        <v>36</v>
      </c>
      <c r="F126" s="60">
        <v>256779416182</v>
      </c>
      <c r="G126" s="21" t="s">
        <v>41</v>
      </c>
      <c r="H126" s="22">
        <v>18</v>
      </c>
      <c r="I126" s="21" t="s">
        <v>42</v>
      </c>
      <c r="J126" s="22">
        <v>1548.54</v>
      </c>
      <c r="K126" s="22">
        <f>_xlfn.XLOOKUP(F126,'[1]Ascendus data working'!$B:$B,'[1]Ascendus data working'!$F:$F,,0)</f>
        <v>18</v>
      </c>
      <c r="L126" s="22">
        <f>_xlfn.XLOOKUP(F126,'Customer ledger'!$A:$A,'Customer ledger'!$D:$D,,0)</f>
        <v>17.64</v>
      </c>
      <c r="M126" s="22">
        <f t="shared" si="1"/>
        <v>0.35999999999999943</v>
      </c>
      <c r="N126" s="21" t="s">
        <v>269</v>
      </c>
      <c r="O126" s="21" t="s">
        <v>39</v>
      </c>
      <c r="Q126"/>
    </row>
    <row r="127" spans="1:17" x14ac:dyDescent="0.35">
      <c r="A127" s="61">
        <v>1800011710</v>
      </c>
      <c r="B127" s="21" t="s">
        <v>35</v>
      </c>
      <c r="C127" s="19">
        <v>45877</v>
      </c>
      <c r="D127" s="19">
        <v>45877</v>
      </c>
      <c r="E127" s="62" t="s">
        <v>36</v>
      </c>
      <c r="F127" s="60">
        <v>256779416228</v>
      </c>
      <c r="G127" s="21" t="s">
        <v>41</v>
      </c>
      <c r="H127" s="22">
        <v>3</v>
      </c>
      <c r="I127" s="21" t="s">
        <v>42</v>
      </c>
      <c r="J127" s="22">
        <v>258.08999999999997</v>
      </c>
      <c r="K127" s="22">
        <f>_xlfn.XLOOKUP(F127,'[1]Ascendus data working'!$B:$B,'[1]Ascendus data working'!$F:$F,,0)</f>
        <v>3</v>
      </c>
      <c r="L127" s="22">
        <f>_xlfn.XLOOKUP(F127,'Customer ledger'!$A:$A,'Customer ledger'!$D:$D,,0)</f>
        <v>2.94</v>
      </c>
      <c r="M127" s="22">
        <f t="shared" si="1"/>
        <v>6.0000000000000053E-2</v>
      </c>
      <c r="N127" s="21" t="s">
        <v>113</v>
      </c>
      <c r="O127" s="21" t="s">
        <v>39</v>
      </c>
      <c r="Q127"/>
    </row>
    <row r="128" spans="1:17" x14ac:dyDescent="0.35">
      <c r="A128" s="61">
        <v>1800011396</v>
      </c>
      <c r="B128" s="21" t="s">
        <v>35</v>
      </c>
      <c r="C128" s="19">
        <v>45877</v>
      </c>
      <c r="D128" s="19">
        <v>45877</v>
      </c>
      <c r="E128" s="62" t="s">
        <v>36</v>
      </c>
      <c r="F128" s="60">
        <v>256779416246</v>
      </c>
      <c r="G128" s="21" t="s">
        <v>41</v>
      </c>
      <c r="H128" s="22">
        <v>70.95</v>
      </c>
      <c r="I128" s="21" t="s">
        <v>42</v>
      </c>
      <c r="J128" s="22">
        <v>6103.84</v>
      </c>
      <c r="K128" s="22">
        <f>_xlfn.XLOOKUP(F128,'[1]Ascendus data working'!$B:$B,'[1]Ascendus data working'!$F:$F,,0)</f>
        <v>70.95</v>
      </c>
      <c r="L128" s="22">
        <f>_xlfn.XLOOKUP(F128,'Customer ledger'!$A:$A,'Customer ledger'!$D:$D,,0)</f>
        <v>69.540000000000006</v>
      </c>
      <c r="M128" s="22">
        <f t="shared" si="1"/>
        <v>1.4099999999999966</v>
      </c>
      <c r="N128" s="21" t="s">
        <v>272</v>
      </c>
      <c r="O128" s="21" t="s">
        <v>39</v>
      </c>
      <c r="Q128"/>
    </row>
    <row r="129" spans="1:17" x14ac:dyDescent="0.35">
      <c r="A129" s="61">
        <v>1800011407</v>
      </c>
      <c r="B129" s="21" t="s">
        <v>35</v>
      </c>
      <c r="C129" s="19">
        <v>45877</v>
      </c>
      <c r="D129" s="19">
        <v>45877</v>
      </c>
      <c r="E129" s="62" t="s">
        <v>36</v>
      </c>
      <c r="F129" s="60">
        <v>256779416257</v>
      </c>
      <c r="G129" s="21" t="s">
        <v>41</v>
      </c>
      <c r="H129" s="22">
        <v>22.87</v>
      </c>
      <c r="I129" s="21" t="s">
        <v>42</v>
      </c>
      <c r="J129" s="22">
        <v>1967.51</v>
      </c>
      <c r="K129" s="22">
        <f>_xlfn.XLOOKUP(F129,'[1]Ascendus data working'!$B:$B,'[1]Ascendus data working'!$F:$F,,0)</f>
        <v>22.87</v>
      </c>
      <c r="L129" s="22">
        <f>_xlfn.XLOOKUP(F129,'Customer ledger'!$A:$A,'Customer ledger'!$D:$D,,0)</f>
        <v>22.42</v>
      </c>
      <c r="M129" s="22">
        <f t="shared" si="1"/>
        <v>0.44999999999999929</v>
      </c>
      <c r="N129" s="21" t="s">
        <v>114</v>
      </c>
      <c r="O129" s="21" t="s">
        <v>39</v>
      </c>
      <c r="Q129"/>
    </row>
    <row r="130" spans="1:17" x14ac:dyDescent="0.35">
      <c r="A130" s="61">
        <v>1800011596</v>
      </c>
      <c r="B130" s="21" t="s">
        <v>35</v>
      </c>
      <c r="C130" s="19">
        <v>45877</v>
      </c>
      <c r="D130" s="19">
        <v>45877</v>
      </c>
      <c r="E130" s="62" t="s">
        <v>36</v>
      </c>
      <c r="F130" s="60">
        <v>256779416446</v>
      </c>
      <c r="G130" s="21" t="s">
        <v>41</v>
      </c>
      <c r="H130" s="22">
        <v>2.2799999999999998</v>
      </c>
      <c r="I130" s="21" t="s">
        <v>42</v>
      </c>
      <c r="J130" s="22">
        <v>196.15</v>
      </c>
      <c r="K130" s="22">
        <f>_xlfn.XLOOKUP(F130,'[1]Ascendus data working'!$B:$B,'[1]Ascendus data working'!$F:$F,,0)</f>
        <v>2.2799999999999998</v>
      </c>
      <c r="L130" s="22">
        <f>_xlfn.XLOOKUP(F130,'Customer ledger'!$A:$A,'Customer ledger'!$D:$D,,0)</f>
        <v>2.23</v>
      </c>
      <c r="M130" s="22">
        <f t="shared" si="1"/>
        <v>4.9999999999999822E-2</v>
      </c>
      <c r="N130" s="21" t="s">
        <v>112</v>
      </c>
      <c r="O130" s="21" t="s">
        <v>39</v>
      </c>
      <c r="Q130"/>
    </row>
    <row r="131" spans="1:17" x14ac:dyDescent="0.35">
      <c r="A131" s="61">
        <v>1800012069</v>
      </c>
      <c r="B131" s="21" t="s">
        <v>35</v>
      </c>
      <c r="C131" s="19">
        <v>45889</v>
      </c>
      <c r="D131" s="19">
        <v>45891</v>
      </c>
      <c r="E131" s="62" t="s">
        <v>36</v>
      </c>
      <c r="F131" s="60">
        <v>256779416604</v>
      </c>
      <c r="G131" s="21" t="s">
        <v>41</v>
      </c>
      <c r="H131" s="22">
        <v>17.309999999999999</v>
      </c>
      <c r="I131" s="21" t="s">
        <v>42</v>
      </c>
      <c r="J131" s="22">
        <v>1489.18</v>
      </c>
      <c r="K131" s="22">
        <f>_xlfn.XLOOKUP(F131,'[1]Ascendus data working'!$B:$B,'[1]Ascendus data working'!$F:$F,,0)</f>
        <v>17.309999999999999</v>
      </c>
      <c r="L131" s="22">
        <f>_xlfn.XLOOKUP(F131,'Customer ledger'!$A:$A,'Customer ledger'!$D:$D,,0)</f>
        <v>16.959999999999997</v>
      </c>
      <c r="M131" s="22">
        <f t="shared" ref="M131:M194" si="2">K131-L131</f>
        <v>0.35000000000000142</v>
      </c>
      <c r="N131" s="21" t="s">
        <v>343</v>
      </c>
      <c r="O131" s="21" t="s">
        <v>39</v>
      </c>
      <c r="Q131"/>
    </row>
    <row r="132" spans="1:17" x14ac:dyDescent="0.35">
      <c r="A132" s="61">
        <v>1800012178</v>
      </c>
      <c r="B132" s="21" t="s">
        <v>35</v>
      </c>
      <c r="C132" s="19">
        <v>45889</v>
      </c>
      <c r="D132" s="19">
        <v>45891</v>
      </c>
      <c r="E132" s="62" t="s">
        <v>36</v>
      </c>
      <c r="F132" s="60">
        <v>256779416616</v>
      </c>
      <c r="G132" s="21" t="s">
        <v>41</v>
      </c>
      <c r="H132" s="22">
        <v>63.65</v>
      </c>
      <c r="I132" s="21" t="s">
        <v>42</v>
      </c>
      <c r="J132" s="22">
        <v>5475.82</v>
      </c>
      <c r="K132" s="22">
        <f>_xlfn.XLOOKUP(F132,'[1]Ascendus data working'!$B:$B,'[1]Ascendus data working'!$F:$F,,0)</f>
        <v>63.65</v>
      </c>
      <c r="L132" s="22">
        <f>_xlfn.XLOOKUP(F132,'Customer ledger'!$A:$A,'Customer ledger'!$D:$D,,0)</f>
        <v>62.379999999999995</v>
      </c>
      <c r="M132" s="22">
        <f t="shared" si="2"/>
        <v>1.2700000000000031</v>
      </c>
      <c r="N132" s="21" t="s">
        <v>345</v>
      </c>
      <c r="O132" s="21" t="s">
        <v>39</v>
      </c>
      <c r="Q132"/>
    </row>
    <row r="133" spans="1:17" x14ac:dyDescent="0.35">
      <c r="A133" s="61">
        <v>1800012251</v>
      </c>
      <c r="B133" s="21" t="s">
        <v>35</v>
      </c>
      <c r="C133" s="19">
        <v>45889</v>
      </c>
      <c r="D133" s="19">
        <v>45891</v>
      </c>
      <c r="E133" s="62" t="s">
        <v>36</v>
      </c>
      <c r="F133" s="60">
        <v>256779416847</v>
      </c>
      <c r="G133" s="21" t="s">
        <v>41</v>
      </c>
      <c r="H133" s="22">
        <v>27.83</v>
      </c>
      <c r="I133" s="21" t="s">
        <v>42</v>
      </c>
      <c r="J133" s="22">
        <v>2394.2199999999998</v>
      </c>
      <c r="K133" s="22">
        <f>_xlfn.XLOOKUP(F133,'[1]Ascendus data working'!$B:$B,'[1]Ascendus data working'!$F:$F,,0)</f>
        <v>27.83</v>
      </c>
      <c r="L133" s="22">
        <f>_xlfn.XLOOKUP(F133,'Customer ledger'!$A:$A,'Customer ledger'!$D:$D,,0)</f>
        <v>27.27</v>
      </c>
      <c r="M133" s="22">
        <f t="shared" si="2"/>
        <v>0.55999999999999872</v>
      </c>
      <c r="N133" s="21" t="s">
        <v>347</v>
      </c>
      <c r="O133" s="21" t="s">
        <v>39</v>
      </c>
      <c r="Q133"/>
    </row>
    <row r="134" spans="1:17" x14ac:dyDescent="0.35">
      <c r="A134" s="61">
        <v>1800012220</v>
      </c>
      <c r="B134" s="21" t="s">
        <v>35</v>
      </c>
      <c r="C134" s="19">
        <v>45889</v>
      </c>
      <c r="D134" s="19">
        <v>45891</v>
      </c>
      <c r="E134" s="62" t="s">
        <v>36</v>
      </c>
      <c r="F134" s="60">
        <v>256779416882</v>
      </c>
      <c r="G134" s="21" t="s">
        <v>41</v>
      </c>
      <c r="H134" s="22">
        <v>12.83</v>
      </c>
      <c r="I134" s="21" t="s">
        <v>42</v>
      </c>
      <c r="J134" s="22">
        <v>1103.77</v>
      </c>
      <c r="K134" s="22">
        <f>_xlfn.XLOOKUP(F134,'[1]Ascendus data working'!$B:$B,'[1]Ascendus data working'!$F:$F,,0)</f>
        <v>12.83</v>
      </c>
      <c r="L134" s="22">
        <f>_xlfn.XLOOKUP(F134,'Customer ledger'!$A:$A,'Customer ledger'!$D:$D,,0)</f>
        <v>12.57</v>
      </c>
      <c r="M134" s="22">
        <f t="shared" si="2"/>
        <v>0.25999999999999979</v>
      </c>
      <c r="N134" s="21" t="s">
        <v>349</v>
      </c>
      <c r="O134" s="21" t="s">
        <v>39</v>
      </c>
      <c r="Q134"/>
    </row>
    <row r="135" spans="1:17" x14ac:dyDescent="0.35">
      <c r="A135" s="61">
        <v>1400001003</v>
      </c>
      <c r="B135" s="21" t="s">
        <v>83</v>
      </c>
      <c r="C135" s="19">
        <v>45891</v>
      </c>
      <c r="D135" s="19">
        <v>45891</v>
      </c>
      <c r="E135" s="62" t="s">
        <v>123</v>
      </c>
      <c r="F135" s="60" t="s">
        <v>39</v>
      </c>
      <c r="G135" s="21" t="s">
        <v>41</v>
      </c>
      <c r="H135" s="22">
        <v>-4582.99</v>
      </c>
      <c r="I135" s="21" t="s">
        <v>42</v>
      </c>
      <c r="J135" s="22">
        <v>-394140.21</v>
      </c>
      <c r="K135" s="22">
        <f>H135</f>
        <v>-4582.99</v>
      </c>
      <c r="L135" s="22" t="e">
        <f>_xlfn.XLOOKUP(F135,'Customer ledger'!$A:$A,'Customer ledger'!$D:$D,,0)</f>
        <v>#N/A</v>
      </c>
      <c r="M135" s="22" t="e">
        <f t="shared" si="2"/>
        <v>#N/A</v>
      </c>
      <c r="N135" s="21" t="s">
        <v>39</v>
      </c>
      <c r="O135" s="21" t="s">
        <v>39</v>
      </c>
      <c r="Q135"/>
    </row>
    <row r="136" spans="1:17" x14ac:dyDescent="0.35">
      <c r="A136" s="61">
        <v>1400001107</v>
      </c>
      <c r="B136" s="21" t="s">
        <v>86</v>
      </c>
      <c r="C136" s="19">
        <v>45902</v>
      </c>
      <c r="D136" s="19">
        <v>45902</v>
      </c>
      <c r="E136" s="62" t="s">
        <v>39</v>
      </c>
      <c r="F136" s="60" t="s">
        <v>39</v>
      </c>
      <c r="G136" s="21" t="s">
        <v>41</v>
      </c>
      <c r="H136" s="22">
        <v>104184.06</v>
      </c>
      <c r="I136" s="21" t="s">
        <v>42</v>
      </c>
      <c r="J136" s="22">
        <v>102382.08</v>
      </c>
      <c r="K136" s="22">
        <f>H136</f>
        <v>104184.06</v>
      </c>
      <c r="L136" s="22" t="e">
        <f>_xlfn.XLOOKUP(F136,'Customer ledger'!$A:$A,'Customer ledger'!$D:$D,,0)</f>
        <v>#N/A</v>
      </c>
      <c r="M136" s="22" t="e">
        <f t="shared" si="2"/>
        <v>#N/A</v>
      </c>
      <c r="N136" s="21" t="s">
        <v>39</v>
      </c>
      <c r="O136" s="21">
        <v>1400001107</v>
      </c>
      <c r="Q136"/>
    </row>
    <row r="137" spans="1:17" x14ac:dyDescent="0.35">
      <c r="A137" s="61">
        <v>1400001107</v>
      </c>
      <c r="B137" s="21" t="s">
        <v>86</v>
      </c>
      <c r="C137" s="19">
        <v>45902</v>
      </c>
      <c r="D137" s="19">
        <v>45902</v>
      </c>
      <c r="E137" s="62" t="s">
        <v>39</v>
      </c>
      <c r="F137" s="60" t="s">
        <v>39</v>
      </c>
      <c r="G137" s="21" t="s">
        <v>41</v>
      </c>
      <c r="H137" s="22">
        <v>-104184.06</v>
      </c>
      <c r="I137" s="21" t="s">
        <v>42</v>
      </c>
      <c r="J137" s="22">
        <v>-101775.06</v>
      </c>
      <c r="K137" s="22">
        <f>H137</f>
        <v>-104184.06</v>
      </c>
      <c r="L137" s="22" t="e">
        <f>_xlfn.XLOOKUP(F137,'Customer ledger'!$A:$A,'Customer ledger'!$D:$D,,0)</f>
        <v>#N/A</v>
      </c>
      <c r="M137" s="22" t="e">
        <f t="shared" si="2"/>
        <v>#N/A</v>
      </c>
      <c r="N137" s="21" t="s">
        <v>39</v>
      </c>
      <c r="O137" s="21">
        <v>1400001107</v>
      </c>
      <c r="Q137"/>
    </row>
    <row r="138" spans="1:17" x14ac:dyDescent="0.35">
      <c r="A138" s="61">
        <v>1800012710</v>
      </c>
      <c r="B138" s="21" t="s">
        <v>35</v>
      </c>
      <c r="C138" s="19">
        <v>45904</v>
      </c>
      <c r="D138" s="19">
        <v>45909</v>
      </c>
      <c r="E138" s="62" t="s">
        <v>36</v>
      </c>
      <c r="F138" s="60">
        <v>256779417344</v>
      </c>
      <c r="G138" s="21" t="s">
        <v>41</v>
      </c>
      <c r="H138" s="22">
        <v>100000</v>
      </c>
      <c r="I138" s="21" t="s">
        <v>42</v>
      </c>
      <c r="J138" s="22">
        <v>100000</v>
      </c>
      <c r="K138" s="22">
        <f>_xlfn.XLOOKUP(F138,'[1]Ascendus data working'!$B:$B,'[1]Ascendus data working'!$F:$F,,0)</f>
        <v>1142.8571428571429</v>
      </c>
      <c r="L138" s="22">
        <f>_xlfn.XLOOKUP(F138,'Customer ledger'!$A:$A,'Customer ledger'!$D:$D,,0)</f>
        <v>1028.4000000000001</v>
      </c>
      <c r="M138" s="22">
        <f t="shared" si="2"/>
        <v>114.4571428571428</v>
      </c>
      <c r="N138" s="21" t="s">
        <v>140</v>
      </c>
      <c r="O138" s="21" t="s">
        <v>39</v>
      </c>
      <c r="Q138"/>
    </row>
    <row r="139" spans="1:17" x14ac:dyDescent="0.35">
      <c r="A139" s="61">
        <v>1800012276</v>
      </c>
      <c r="B139" s="21" t="s">
        <v>35</v>
      </c>
      <c r="C139" s="19">
        <v>45904</v>
      </c>
      <c r="D139" s="19">
        <v>45908</v>
      </c>
      <c r="E139" s="62" t="s">
        <v>36</v>
      </c>
      <c r="F139" s="60">
        <v>256779416912</v>
      </c>
      <c r="G139" s="21" t="s">
        <v>41</v>
      </c>
      <c r="H139" s="22">
        <v>44.96</v>
      </c>
      <c r="I139" s="21" t="s">
        <v>42</v>
      </c>
      <c r="J139" s="22">
        <v>3934.64</v>
      </c>
      <c r="K139" s="22">
        <f>_xlfn.XLOOKUP(F139,'[1]Ascendus data working'!$B:$B,'[1]Ascendus data working'!$F:$F,,0)</f>
        <v>44.96</v>
      </c>
      <c r="L139" s="22">
        <f>_xlfn.XLOOKUP(F139,'Customer ledger'!$A:$A,'Customer ledger'!$D:$D,,0)</f>
        <v>44.06</v>
      </c>
      <c r="M139" s="22">
        <f t="shared" si="2"/>
        <v>0.89999999999999858</v>
      </c>
      <c r="N139" s="21" t="s">
        <v>240</v>
      </c>
      <c r="O139" s="21" t="s">
        <v>39</v>
      </c>
      <c r="Q139"/>
    </row>
    <row r="140" spans="1:17" x14ac:dyDescent="0.35">
      <c r="A140" s="61">
        <v>1800012287</v>
      </c>
      <c r="B140" s="21" t="s">
        <v>35</v>
      </c>
      <c r="C140" s="19">
        <v>45904</v>
      </c>
      <c r="D140" s="19">
        <v>45908</v>
      </c>
      <c r="E140" s="62" t="s">
        <v>36</v>
      </c>
      <c r="F140" s="60">
        <v>256779416949</v>
      </c>
      <c r="G140" s="21" t="s">
        <v>41</v>
      </c>
      <c r="H140" s="22">
        <v>30.16</v>
      </c>
      <c r="I140" s="21" t="s">
        <v>42</v>
      </c>
      <c r="J140" s="22">
        <v>2639.43</v>
      </c>
      <c r="K140" s="22">
        <f>_xlfn.XLOOKUP(F140,'[1]Ascendus data working'!$B:$B,'[1]Ascendus data working'!$F:$F,,0)</f>
        <v>30.16</v>
      </c>
      <c r="L140" s="22">
        <f>_xlfn.XLOOKUP(F140,'Customer ledger'!$A:$A,'Customer ledger'!$D:$D,,0)</f>
        <v>29.55</v>
      </c>
      <c r="M140" s="22">
        <f t="shared" si="2"/>
        <v>0.60999999999999943</v>
      </c>
      <c r="N140" s="21" t="s">
        <v>242</v>
      </c>
      <c r="O140" s="21" t="s">
        <v>39</v>
      </c>
      <c r="Q140"/>
    </row>
    <row r="141" spans="1:17" x14ac:dyDescent="0.35">
      <c r="A141" s="61">
        <v>1800012532</v>
      </c>
      <c r="B141" s="21" t="s">
        <v>35</v>
      </c>
      <c r="C141" s="19">
        <v>45904</v>
      </c>
      <c r="D141" s="19">
        <v>45909</v>
      </c>
      <c r="E141" s="62" t="s">
        <v>36</v>
      </c>
      <c r="F141" s="60">
        <v>256779417136</v>
      </c>
      <c r="G141" s="21" t="s">
        <v>41</v>
      </c>
      <c r="H141" s="22">
        <v>1.71</v>
      </c>
      <c r="I141" s="21" t="s">
        <v>42</v>
      </c>
      <c r="J141" s="22">
        <v>149.65</v>
      </c>
      <c r="K141" s="22">
        <f>_xlfn.XLOOKUP(F141,'[1]Ascendus data working'!$B:$B,'[1]Ascendus data working'!$F:$F,,0)</f>
        <v>1.71</v>
      </c>
      <c r="L141" s="22">
        <f>_xlfn.XLOOKUP(F141,'Customer ledger'!$A:$A,'Customer ledger'!$D:$D,,0)</f>
        <v>1.68</v>
      </c>
      <c r="M141" s="22">
        <f t="shared" si="2"/>
        <v>3.0000000000000027E-2</v>
      </c>
      <c r="N141" s="21" t="s">
        <v>101</v>
      </c>
      <c r="O141" s="21" t="s">
        <v>39</v>
      </c>
      <c r="Q141"/>
    </row>
    <row r="142" spans="1:17" x14ac:dyDescent="0.35">
      <c r="A142" s="61">
        <v>1800012462</v>
      </c>
      <c r="B142" s="21" t="s">
        <v>35</v>
      </c>
      <c r="C142" s="19">
        <v>45904</v>
      </c>
      <c r="D142" s="19">
        <v>45909</v>
      </c>
      <c r="E142" s="62" t="s">
        <v>36</v>
      </c>
      <c r="F142" s="60">
        <v>256779417162</v>
      </c>
      <c r="G142" s="21" t="s">
        <v>41</v>
      </c>
      <c r="H142" s="22">
        <v>44.74</v>
      </c>
      <c r="I142" s="21" t="s">
        <v>42</v>
      </c>
      <c r="J142" s="22">
        <v>3915.39</v>
      </c>
      <c r="K142" s="22">
        <f>_xlfn.XLOOKUP(F142,'[1]Ascendus data working'!$B:$B,'[1]Ascendus data working'!$F:$F,,0)</f>
        <v>44.74</v>
      </c>
      <c r="L142" s="22">
        <f>_xlfn.XLOOKUP(F142,'Customer ledger'!$A:$A,'Customer ledger'!$D:$D,,0)</f>
        <v>43.84</v>
      </c>
      <c r="M142" s="22">
        <f t="shared" si="2"/>
        <v>0.89999999999999858</v>
      </c>
      <c r="N142" s="21" t="s">
        <v>245</v>
      </c>
      <c r="O142" s="21" t="s">
        <v>39</v>
      </c>
      <c r="Q142"/>
    </row>
    <row r="143" spans="1:17" x14ac:dyDescent="0.35">
      <c r="A143" s="61">
        <v>1800012688</v>
      </c>
      <c r="B143" s="21" t="s">
        <v>35</v>
      </c>
      <c r="C143" s="19">
        <v>45904</v>
      </c>
      <c r="D143" s="19">
        <v>45909</v>
      </c>
      <c r="E143" s="62" t="s">
        <v>36</v>
      </c>
      <c r="F143" s="60">
        <v>256779417328</v>
      </c>
      <c r="G143" s="21" t="s">
        <v>41</v>
      </c>
      <c r="H143" s="22">
        <v>2.25</v>
      </c>
      <c r="I143" s="21" t="s">
        <v>42</v>
      </c>
      <c r="J143" s="22">
        <v>196.91</v>
      </c>
      <c r="K143" s="22">
        <f>_xlfn.XLOOKUP(F143,'[1]Ascendus data working'!$B:$B,'[1]Ascendus data working'!$F:$F,,0)</f>
        <v>2.25</v>
      </c>
      <c r="L143" s="22">
        <f>_xlfn.XLOOKUP(F143,'Customer ledger'!$A:$A,'Customer ledger'!$D:$D,,0)</f>
        <v>2.2000000000000002</v>
      </c>
      <c r="M143" s="22">
        <f t="shared" si="2"/>
        <v>4.9999999999999822E-2</v>
      </c>
      <c r="N143" s="21" t="s">
        <v>103</v>
      </c>
      <c r="O143" s="21" t="s">
        <v>39</v>
      </c>
      <c r="Q143"/>
    </row>
    <row r="144" spans="1:17" x14ac:dyDescent="0.35">
      <c r="A144" s="61">
        <v>1800012469</v>
      </c>
      <c r="B144" s="21" t="s">
        <v>35</v>
      </c>
      <c r="C144" s="19">
        <v>45906</v>
      </c>
      <c r="D144" s="19">
        <v>45909</v>
      </c>
      <c r="E144" s="62" t="s">
        <v>36</v>
      </c>
      <c r="F144" s="60">
        <v>256779417077</v>
      </c>
      <c r="G144" s="21" t="s">
        <v>41</v>
      </c>
      <c r="H144" s="22">
        <v>565.97</v>
      </c>
      <c r="I144" s="21" t="s">
        <v>42</v>
      </c>
      <c r="J144" s="22">
        <v>49530.49</v>
      </c>
      <c r="K144" s="22">
        <f>_xlfn.XLOOKUP(F144,'[1]Ascendus data working'!$B:$B,'[1]Ascendus data working'!$F:$F,,0)</f>
        <v>565.97</v>
      </c>
      <c r="L144" s="22">
        <f>_xlfn.XLOOKUP(F144,'Customer ledger'!$A:$A,'Customer ledger'!$D:$D,,0)</f>
        <v>509.36</v>
      </c>
      <c r="M144" s="22">
        <f t="shared" si="2"/>
        <v>56.610000000000014</v>
      </c>
      <c r="N144" s="21" t="s">
        <v>414</v>
      </c>
      <c r="O144" s="21" t="s">
        <v>39</v>
      </c>
      <c r="Q144"/>
    </row>
    <row r="145" spans="1:17" x14ac:dyDescent="0.35">
      <c r="A145" s="61">
        <v>1800012993</v>
      </c>
      <c r="B145" s="21" t="s">
        <v>35</v>
      </c>
      <c r="C145" s="19">
        <v>45918</v>
      </c>
      <c r="D145" s="19">
        <v>45922</v>
      </c>
      <c r="E145" s="62" t="s">
        <v>36</v>
      </c>
      <c r="F145" s="60">
        <v>256779417528</v>
      </c>
      <c r="G145" s="21" t="s">
        <v>41</v>
      </c>
      <c r="H145" s="22">
        <v>3</v>
      </c>
      <c r="I145" s="21" t="s">
        <v>42</v>
      </c>
      <c r="J145" s="22">
        <v>262.54000000000002</v>
      </c>
      <c r="K145" s="22">
        <f>_xlfn.XLOOKUP(F145,'[1]Ascendus data working'!$B:$B,'[1]Ascendus data working'!$F:$F,,0)</f>
        <v>3</v>
      </c>
      <c r="L145" s="22">
        <f>_xlfn.XLOOKUP(F145,'Customer ledger'!$A:$A,'Customer ledger'!$D:$D,,0)</f>
        <v>2.94</v>
      </c>
      <c r="M145" s="22">
        <f t="shared" si="2"/>
        <v>6.0000000000000053E-2</v>
      </c>
      <c r="N145" s="21" t="s">
        <v>73</v>
      </c>
      <c r="O145" s="21" t="s">
        <v>39</v>
      </c>
      <c r="Q145"/>
    </row>
    <row r="146" spans="1:17" x14ac:dyDescent="0.35">
      <c r="A146" s="61">
        <v>1800013251</v>
      </c>
      <c r="B146" s="21" t="s">
        <v>35</v>
      </c>
      <c r="C146" s="19">
        <v>45935</v>
      </c>
      <c r="D146" s="19">
        <v>45937</v>
      </c>
      <c r="E146" s="62" t="s">
        <v>36</v>
      </c>
      <c r="F146" s="60">
        <v>256779417871</v>
      </c>
      <c r="G146" s="21" t="s">
        <v>41</v>
      </c>
      <c r="H146" s="22">
        <v>100000</v>
      </c>
      <c r="I146" s="21" t="s">
        <v>42</v>
      </c>
      <c r="J146" s="22">
        <v>100000</v>
      </c>
      <c r="K146" s="22">
        <f>_xlfn.XLOOKUP(F146,'[1]Ascendus data working'!$B:$B,'[1]Ascendus data working'!$F:$F,,0)</f>
        <v>1133.9111111111113</v>
      </c>
      <c r="L146" s="22">
        <f>_xlfn.XLOOKUP(F146,'Customer ledger'!$A:$A,'Customer ledger'!$D:$D,,0)</f>
        <v>1020.5200000000001</v>
      </c>
      <c r="M146" s="22">
        <f t="shared" si="2"/>
        <v>113.39111111111117</v>
      </c>
      <c r="N146" s="21" t="s">
        <v>143</v>
      </c>
      <c r="O146" s="21" t="s">
        <v>39</v>
      </c>
      <c r="Q146"/>
    </row>
    <row r="147" spans="1:17" x14ac:dyDescent="0.35">
      <c r="A147" s="61">
        <v>1800013244</v>
      </c>
      <c r="B147" s="21" t="s">
        <v>35</v>
      </c>
      <c r="C147" s="19">
        <v>45935</v>
      </c>
      <c r="D147" s="19">
        <v>45937</v>
      </c>
      <c r="E147" s="62" t="s">
        <v>36</v>
      </c>
      <c r="F147" s="60">
        <v>256779417860</v>
      </c>
      <c r="G147" s="21" t="s">
        <v>41</v>
      </c>
      <c r="H147" s="22">
        <v>50</v>
      </c>
      <c r="I147" s="21" t="s">
        <v>42</v>
      </c>
      <c r="J147" s="22">
        <v>4409.54</v>
      </c>
      <c r="K147" s="22">
        <f>_xlfn.XLOOKUP(F147,'[1]Ascendus data working'!$B:$B,'[1]Ascendus data working'!$F:$F,,0)</f>
        <v>50</v>
      </c>
      <c r="L147" s="22">
        <f>_xlfn.XLOOKUP(F147,'Customer ledger'!$A:$A,'Customer ledger'!$D:$D,,0)</f>
        <v>49</v>
      </c>
      <c r="M147" s="22">
        <f t="shared" si="2"/>
        <v>1</v>
      </c>
      <c r="N147" s="21" t="s">
        <v>409</v>
      </c>
      <c r="O147" s="21" t="s">
        <v>39</v>
      </c>
      <c r="Q147"/>
    </row>
    <row r="148" spans="1:17" x14ac:dyDescent="0.35">
      <c r="A148" s="61">
        <v>1800013511</v>
      </c>
      <c r="B148" s="21" t="s">
        <v>35</v>
      </c>
      <c r="C148" s="19">
        <v>45935</v>
      </c>
      <c r="D148" s="19">
        <v>45940</v>
      </c>
      <c r="E148" s="62" t="s">
        <v>36</v>
      </c>
      <c r="F148" s="60">
        <v>256779418401</v>
      </c>
      <c r="G148" s="21" t="s">
        <v>41</v>
      </c>
      <c r="H148" s="22">
        <v>62.52</v>
      </c>
      <c r="I148" s="21" t="s">
        <v>42</v>
      </c>
      <c r="J148" s="22">
        <v>5513.69</v>
      </c>
      <c r="K148" s="22">
        <f>_xlfn.XLOOKUP(F148,'[1]Ascendus data working'!$B:$B,'[1]Ascendus data working'!$F:$F,,0)</f>
        <v>62.52</v>
      </c>
      <c r="L148" s="22" t="e">
        <f>_xlfn.XLOOKUP(F148,'Customer ledger'!$A:$A,'Customer ledger'!$D:$D,,0)</f>
        <v>#N/A</v>
      </c>
      <c r="M148" s="22" t="e">
        <f t="shared" si="2"/>
        <v>#N/A</v>
      </c>
      <c r="N148" s="21" t="s">
        <v>412</v>
      </c>
      <c r="O148" s="21" t="s">
        <v>39</v>
      </c>
      <c r="Q148"/>
    </row>
    <row r="149" spans="1:17" x14ac:dyDescent="0.35">
      <c r="A149" s="61">
        <v>1800013276</v>
      </c>
      <c r="B149" s="21" t="s">
        <v>35</v>
      </c>
      <c r="C149" s="19">
        <v>45936</v>
      </c>
      <c r="D149" s="19">
        <v>45937</v>
      </c>
      <c r="E149" s="62" t="s">
        <v>36</v>
      </c>
      <c r="F149" s="60">
        <v>256779418012</v>
      </c>
      <c r="G149" s="21" t="s">
        <v>41</v>
      </c>
      <c r="H149" s="22">
        <v>480.02</v>
      </c>
      <c r="I149" s="21" t="s">
        <v>42</v>
      </c>
      <c r="J149" s="22">
        <v>42333.33</v>
      </c>
      <c r="K149" s="22">
        <f>_xlfn.XLOOKUP(F149,'[1]Ascendus data working'!$B:$B,'[1]Ascendus data working'!$F:$F,,0)</f>
        <v>480.02</v>
      </c>
      <c r="L149" s="22" t="e">
        <f>_xlfn.XLOOKUP(F149,'Customer ledger'!$A:$A,'Customer ledger'!$D:$D,,0)</f>
        <v>#N/A</v>
      </c>
      <c r="M149" s="22" t="e">
        <f t="shared" si="2"/>
        <v>#N/A</v>
      </c>
      <c r="N149" s="21" t="s">
        <v>327</v>
      </c>
      <c r="O149" s="21">
        <v>1400001904</v>
      </c>
      <c r="Q149"/>
    </row>
    <row r="150" spans="1:17" x14ac:dyDescent="0.35">
      <c r="A150" s="61">
        <v>1800013760</v>
      </c>
      <c r="B150" s="21" t="s">
        <v>35</v>
      </c>
      <c r="C150" s="19">
        <v>45937</v>
      </c>
      <c r="D150" s="19">
        <v>45939</v>
      </c>
      <c r="E150" s="62" t="s">
        <v>36</v>
      </c>
      <c r="F150" s="60">
        <v>256779418181</v>
      </c>
      <c r="G150" s="21" t="s">
        <v>41</v>
      </c>
      <c r="H150" s="22">
        <v>49.33</v>
      </c>
      <c r="I150" s="21" t="s">
        <v>42</v>
      </c>
      <c r="J150" s="22">
        <v>4350.45</v>
      </c>
      <c r="K150" s="22">
        <f>_xlfn.XLOOKUP(F150,'[1]Ascendus data working'!$B:$B,'[1]Ascendus data working'!$F:$F,,0)</f>
        <v>49.33</v>
      </c>
      <c r="L150" s="22" t="e">
        <f>_xlfn.XLOOKUP(F150,'Customer ledger'!$A:$A,'Customer ledger'!$D:$D,,0)</f>
        <v>#N/A</v>
      </c>
      <c r="M150" s="22" t="e">
        <f t="shared" si="2"/>
        <v>#N/A</v>
      </c>
      <c r="N150" s="21" t="s">
        <v>391</v>
      </c>
      <c r="O150" s="21" t="s">
        <v>39</v>
      </c>
      <c r="Q150"/>
    </row>
    <row r="151" spans="1:17" x14ac:dyDescent="0.35">
      <c r="A151" s="61">
        <v>1800013774</v>
      </c>
      <c r="B151" s="21" t="s">
        <v>35</v>
      </c>
      <c r="C151" s="19">
        <v>45937</v>
      </c>
      <c r="D151" s="19">
        <v>45940</v>
      </c>
      <c r="E151" s="62" t="s">
        <v>36</v>
      </c>
      <c r="F151" s="60">
        <v>256779418342</v>
      </c>
      <c r="G151" s="21" t="s">
        <v>41</v>
      </c>
      <c r="H151" s="22">
        <v>458.95</v>
      </c>
      <c r="I151" s="21" t="s">
        <v>42</v>
      </c>
      <c r="J151" s="22">
        <v>40475.15</v>
      </c>
      <c r="K151" s="22">
        <f>_xlfn.XLOOKUP(F151,'[1]Ascendus data working'!$B:$B,'[1]Ascendus data working'!$F:$F,,0)</f>
        <v>458.95</v>
      </c>
      <c r="L151" s="22">
        <f>_xlfn.XLOOKUP(F151,'Customer ledger'!$A:$A,'Customer ledger'!$D:$D,,0)</f>
        <v>449.77</v>
      </c>
      <c r="M151" s="22">
        <f t="shared" si="2"/>
        <v>9.1800000000000068</v>
      </c>
      <c r="N151" s="21" t="s">
        <v>394</v>
      </c>
      <c r="O151" s="21" t="s">
        <v>39</v>
      </c>
      <c r="Q151"/>
    </row>
    <row r="152" spans="1:17" x14ac:dyDescent="0.35">
      <c r="A152" s="61">
        <v>1800013530</v>
      </c>
      <c r="B152" s="21" t="s">
        <v>35</v>
      </c>
      <c r="C152" s="19">
        <v>45937</v>
      </c>
      <c r="D152" s="19">
        <v>45940</v>
      </c>
      <c r="E152" s="62" t="s">
        <v>36</v>
      </c>
      <c r="F152" s="60">
        <v>256779418354</v>
      </c>
      <c r="G152" s="21" t="s">
        <v>41</v>
      </c>
      <c r="H152" s="22">
        <v>108.95</v>
      </c>
      <c r="I152" s="21" t="s">
        <v>42</v>
      </c>
      <c r="J152" s="22">
        <v>9608.3799999999992</v>
      </c>
      <c r="K152" s="22">
        <f>_xlfn.XLOOKUP(F152,'[1]Ascendus data working'!$B:$B,'[1]Ascendus data working'!$F:$F,,0)</f>
        <v>108.95</v>
      </c>
      <c r="L152" s="22">
        <f>_xlfn.XLOOKUP(F152,'Customer ledger'!$A:$A,'Customer ledger'!$D:$D,,0)</f>
        <v>106.77</v>
      </c>
      <c r="M152" s="22">
        <f t="shared" si="2"/>
        <v>2.1800000000000068</v>
      </c>
      <c r="N152" s="21" t="s">
        <v>397</v>
      </c>
      <c r="O152" s="21" t="s">
        <v>39</v>
      </c>
      <c r="Q152"/>
    </row>
    <row r="153" spans="1:17" x14ac:dyDescent="0.35">
      <c r="A153" s="61">
        <v>1600002430</v>
      </c>
      <c r="B153" s="21" t="s">
        <v>46</v>
      </c>
      <c r="C153" s="19">
        <v>45943</v>
      </c>
      <c r="D153" s="19">
        <v>45944</v>
      </c>
      <c r="E153" s="62" t="s">
        <v>36</v>
      </c>
      <c r="F153" s="60">
        <v>256779421974</v>
      </c>
      <c r="G153" s="21" t="s">
        <v>41</v>
      </c>
      <c r="H153" s="22">
        <v>-435.91</v>
      </c>
      <c r="I153" s="21" t="s">
        <v>42</v>
      </c>
      <c r="J153" s="22">
        <v>-38443.24</v>
      </c>
      <c r="K153" s="22">
        <f>_xlfn.XLOOKUP(F153,'[1]Ascendus data working'!$B:$B,'[1]Ascendus data working'!$F:$F,,0)</f>
        <v>-435.91</v>
      </c>
      <c r="L153" s="22">
        <f>_xlfn.XLOOKUP(F153,'Customer ledger'!$A:$A,'Customer ledger'!$D:$D,,0)</f>
        <v>-392.32000000000005</v>
      </c>
      <c r="M153" s="22">
        <f t="shared" si="2"/>
        <v>-43.589999999999975</v>
      </c>
      <c r="N153" s="21" t="s">
        <v>173</v>
      </c>
      <c r="O153" s="21" t="s">
        <v>39</v>
      </c>
      <c r="Q153"/>
    </row>
    <row r="154" spans="1:17" x14ac:dyDescent="0.35">
      <c r="A154" s="61">
        <v>1600002431</v>
      </c>
      <c r="B154" s="21" t="s">
        <v>46</v>
      </c>
      <c r="C154" s="19">
        <v>45943</v>
      </c>
      <c r="D154" s="19">
        <v>45944</v>
      </c>
      <c r="E154" s="62" t="s">
        <v>36</v>
      </c>
      <c r="F154" s="60">
        <v>256779421975</v>
      </c>
      <c r="G154" s="21" t="s">
        <v>41</v>
      </c>
      <c r="H154" s="22">
        <v>-447.05</v>
      </c>
      <c r="I154" s="21" t="s">
        <v>42</v>
      </c>
      <c r="J154" s="22">
        <v>-39425.68</v>
      </c>
      <c r="K154" s="22">
        <f>_xlfn.XLOOKUP(F154,'[1]Ascendus data working'!$B:$B,'[1]Ascendus data working'!$F:$F,,0)</f>
        <v>-447.05</v>
      </c>
      <c r="L154" s="22">
        <f>_xlfn.XLOOKUP(F154,'Customer ledger'!$A:$A,'Customer ledger'!$D:$D,,0)</f>
        <v>-402.34000000000003</v>
      </c>
      <c r="M154" s="22">
        <f t="shared" si="2"/>
        <v>-44.70999999999998</v>
      </c>
      <c r="N154" s="21" t="s">
        <v>175</v>
      </c>
      <c r="O154" s="21" t="s">
        <v>39</v>
      </c>
      <c r="Q154"/>
    </row>
    <row r="155" spans="1:17" x14ac:dyDescent="0.35">
      <c r="A155" s="61">
        <v>1600002438</v>
      </c>
      <c r="B155" s="21" t="s">
        <v>46</v>
      </c>
      <c r="C155" s="19">
        <v>45943</v>
      </c>
      <c r="D155" s="19">
        <v>45944</v>
      </c>
      <c r="E155" s="62" t="s">
        <v>36</v>
      </c>
      <c r="F155" s="60">
        <v>256779421982</v>
      </c>
      <c r="G155" s="21" t="s">
        <v>41</v>
      </c>
      <c r="H155" s="22">
        <v>-480.02</v>
      </c>
      <c r="I155" s="21" t="s">
        <v>42</v>
      </c>
      <c r="J155" s="22">
        <v>-42333.33</v>
      </c>
      <c r="K155" s="22">
        <f>_xlfn.XLOOKUP(F155,'[1]Ascendus data working'!$B:$B,'[1]Ascendus data working'!$F:$F,,0)</f>
        <v>-480.02</v>
      </c>
      <c r="L155" s="22" t="e">
        <f>_xlfn.XLOOKUP(F155,'Customer ledger'!$A:$A,'Customer ledger'!$D:$D,,0)</f>
        <v>#N/A</v>
      </c>
      <c r="M155" s="22" t="e">
        <f t="shared" si="2"/>
        <v>#N/A</v>
      </c>
      <c r="N155" s="21" t="s">
        <v>178</v>
      </c>
      <c r="O155" s="21">
        <v>1400001904</v>
      </c>
      <c r="Q155"/>
    </row>
    <row r="156" spans="1:17" x14ac:dyDescent="0.35">
      <c r="A156" s="61">
        <v>1600002432</v>
      </c>
      <c r="B156" s="21" t="s">
        <v>46</v>
      </c>
      <c r="C156" s="19">
        <v>45943</v>
      </c>
      <c r="D156" s="19">
        <v>45944</v>
      </c>
      <c r="E156" s="62" t="s">
        <v>36</v>
      </c>
      <c r="F156" s="60">
        <v>256779421976</v>
      </c>
      <c r="G156" s="21" t="s">
        <v>41</v>
      </c>
      <c r="H156" s="22">
        <v>-111.25</v>
      </c>
      <c r="I156" s="21" t="s">
        <v>42</v>
      </c>
      <c r="J156" s="22">
        <v>-9811.2199999999993</v>
      </c>
      <c r="K156" s="22">
        <f>_xlfn.XLOOKUP(F156,'[1]Ascendus data working'!$B:$B,'[1]Ascendus data working'!$F:$F,,0)</f>
        <v>-111.25</v>
      </c>
      <c r="L156" s="22">
        <f>_xlfn.XLOOKUP(F156,'Customer ledger'!$A:$A,'Customer ledger'!$D:$D,,0)</f>
        <v>-100.12</v>
      </c>
      <c r="M156" s="22">
        <f t="shared" si="2"/>
        <v>-11.129999999999995</v>
      </c>
      <c r="N156" s="21" t="s">
        <v>180</v>
      </c>
      <c r="O156" s="21">
        <v>1400001905</v>
      </c>
      <c r="Q156"/>
    </row>
    <row r="157" spans="1:17" x14ac:dyDescent="0.35">
      <c r="A157" s="61">
        <v>1600002433</v>
      </c>
      <c r="B157" s="21" t="s">
        <v>46</v>
      </c>
      <c r="C157" s="19">
        <v>45943</v>
      </c>
      <c r="D157" s="19">
        <v>45944</v>
      </c>
      <c r="E157" s="62" t="s">
        <v>36</v>
      </c>
      <c r="F157" s="60">
        <v>256779421977</v>
      </c>
      <c r="G157" s="21" t="s">
        <v>41</v>
      </c>
      <c r="H157" s="22">
        <v>-376.4</v>
      </c>
      <c r="I157" s="21" t="s">
        <v>42</v>
      </c>
      <c r="J157" s="22">
        <v>-33195.01</v>
      </c>
      <c r="K157" s="22">
        <f>_xlfn.XLOOKUP(F157,'[1]Ascendus data working'!$B:$B,'[1]Ascendus data working'!$F:$F,,0)</f>
        <v>-376.4</v>
      </c>
      <c r="L157" s="22">
        <f>_xlfn.XLOOKUP(F157,'Customer ledger'!$A:$A,'Customer ledger'!$D:$D,,0)</f>
        <v>-338.76</v>
      </c>
      <c r="M157" s="22">
        <f t="shared" si="2"/>
        <v>-37.639999999999986</v>
      </c>
      <c r="N157" s="21" t="s">
        <v>182</v>
      </c>
      <c r="O157" s="21">
        <v>1400001905</v>
      </c>
      <c r="Q157"/>
    </row>
    <row r="158" spans="1:17" x14ac:dyDescent="0.35">
      <c r="A158" s="61">
        <v>1600002434</v>
      </c>
      <c r="B158" s="21" t="s">
        <v>46</v>
      </c>
      <c r="C158" s="19">
        <v>45943</v>
      </c>
      <c r="D158" s="19">
        <v>45944</v>
      </c>
      <c r="E158" s="62" t="s">
        <v>36</v>
      </c>
      <c r="F158" s="60">
        <v>256779421978</v>
      </c>
      <c r="G158" s="21" t="s">
        <v>41</v>
      </c>
      <c r="H158" s="22">
        <v>-391.55</v>
      </c>
      <c r="I158" s="21" t="s">
        <v>42</v>
      </c>
      <c r="J158" s="22">
        <v>-34531.1</v>
      </c>
      <c r="K158" s="22">
        <f>_xlfn.XLOOKUP(F158,'[1]Ascendus data working'!$B:$B,'[1]Ascendus data working'!$F:$F,,0)</f>
        <v>-391.55</v>
      </c>
      <c r="L158" s="22">
        <f>_xlfn.XLOOKUP(F158,'Customer ledger'!$A:$A,'Customer ledger'!$D:$D,,0)</f>
        <v>-352.39</v>
      </c>
      <c r="M158" s="22">
        <f t="shared" si="2"/>
        <v>-39.160000000000025</v>
      </c>
      <c r="N158" s="21" t="s">
        <v>184</v>
      </c>
      <c r="O158" s="21">
        <v>1400001905</v>
      </c>
      <c r="Q158"/>
    </row>
    <row r="159" spans="1:17" x14ac:dyDescent="0.35">
      <c r="A159" s="61">
        <v>1800013794</v>
      </c>
      <c r="B159" s="21" t="s">
        <v>35</v>
      </c>
      <c r="C159" s="19">
        <v>45944</v>
      </c>
      <c r="D159" s="19">
        <v>45945</v>
      </c>
      <c r="E159" s="62" t="s">
        <v>36</v>
      </c>
      <c r="F159" s="60">
        <v>256779418410</v>
      </c>
      <c r="G159" s="21" t="s">
        <v>41</v>
      </c>
      <c r="H159" s="22">
        <v>480.02</v>
      </c>
      <c r="I159" s="21" t="s">
        <v>42</v>
      </c>
      <c r="J159" s="22">
        <v>42333.33</v>
      </c>
      <c r="K159" s="22">
        <f>_xlfn.XLOOKUP(F159,'[1]Ascendus data working'!$B:$B,'[1]Ascendus data working'!$F:$F,,0)</f>
        <v>480.02</v>
      </c>
      <c r="L159" s="22">
        <f>_xlfn.XLOOKUP(F159,'Customer ledger'!$A:$A,'Customer ledger'!$D:$D,,0)</f>
        <v>432.01</v>
      </c>
      <c r="M159" s="22">
        <f t="shared" si="2"/>
        <v>48.009999999999991</v>
      </c>
      <c r="N159" s="21" t="s">
        <v>327</v>
      </c>
      <c r="O159" s="21" t="s">
        <v>39</v>
      </c>
      <c r="Q159"/>
    </row>
    <row r="160" spans="1:17" x14ac:dyDescent="0.35">
      <c r="A160" s="61">
        <v>1800014148</v>
      </c>
      <c r="B160" s="21" t="s">
        <v>35</v>
      </c>
      <c r="C160" s="19">
        <v>45948</v>
      </c>
      <c r="D160" s="19">
        <v>45951</v>
      </c>
      <c r="E160" s="62" t="s">
        <v>36</v>
      </c>
      <c r="F160" s="60">
        <v>256779418440</v>
      </c>
      <c r="G160" s="21" t="s">
        <v>41</v>
      </c>
      <c r="H160" s="22">
        <v>246.92</v>
      </c>
      <c r="I160" s="21" t="s">
        <v>42</v>
      </c>
      <c r="J160" s="22">
        <v>21776.06</v>
      </c>
      <c r="K160" s="22">
        <f>_xlfn.XLOOKUP(F160,'[1]Ascendus data working'!$B:$B,'[1]Ascendus data working'!$F:$F,,0)</f>
        <v>246.92</v>
      </c>
      <c r="L160" s="22" t="e">
        <f>_xlfn.XLOOKUP(F160,'Customer ledger'!$A:$A,'Customer ledger'!$D:$D,,0)</f>
        <v>#N/A</v>
      </c>
      <c r="M160" s="22" t="e">
        <f t="shared" si="2"/>
        <v>#N/A</v>
      </c>
      <c r="N160" s="21" t="s">
        <v>402</v>
      </c>
      <c r="O160" s="21">
        <v>1400001904</v>
      </c>
      <c r="Q160"/>
    </row>
    <row r="161" spans="1:17" x14ac:dyDescent="0.35">
      <c r="A161" s="61">
        <v>1800013927</v>
      </c>
      <c r="B161" s="21" t="s">
        <v>35</v>
      </c>
      <c r="C161" s="19">
        <v>45950</v>
      </c>
      <c r="D161" s="19">
        <v>45951</v>
      </c>
      <c r="E161" s="62" t="s">
        <v>36</v>
      </c>
      <c r="F161" s="60">
        <v>256779418704</v>
      </c>
      <c r="G161" s="21" t="s">
        <v>41</v>
      </c>
      <c r="H161" s="22">
        <v>2.25</v>
      </c>
      <c r="I161" s="21" t="s">
        <v>42</v>
      </c>
      <c r="J161" s="22">
        <v>198.43</v>
      </c>
      <c r="K161" s="22">
        <f>_xlfn.XLOOKUP(F161,'[1]Ascendus data working'!$B:$B,'[1]Ascendus data working'!$F:$F,,0)</f>
        <v>2.25</v>
      </c>
      <c r="L161" s="22">
        <f>_xlfn.XLOOKUP(F161,'Customer ledger'!$A:$A,'Customer ledger'!$D:$D,,0)</f>
        <v>2.2000000000000002</v>
      </c>
      <c r="M161" s="22">
        <f t="shared" si="2"/>
        <v>4.9999999999999822E-2</v>
      </c>
      <c r="N161" s="21" t="s">
        <v>67</v>
      </c>
      <c r="O161" s="21" t="s">
        <v>39</v>
      </c>
      <c r="Q161"/>
    </row>
    <row r="162" spans="1:17" x14ac:dyDescent="0.35">
      <c r="A162" s="61">
        <v>1800013946</v>
      </c>
      <c r="B162" s="21" t="s">
        <v>35</v>
      </c>
      <c r="C162" s="19">
        <v>45951</v>
      </c>
      <c r="D162" s="19">
        <v>45951</v>
      </c>
      <c r="E162" s="62" t="s">
        <v>36</v>
      </c>
      <c r="F162" s="60">
        <v>256779418478</v>
      </c>
      <c r="G162" s="21" t="s">
        <v>41</v>
      </c>
      <c r="H162" s="22">
        <v>27.64</v>
      </c>
      <c r="I162" s="21" t="s">
        <v>42</v>
      </c>
      <c r="J162" s="22">
        <v>2437.59</v>
      </c>
      <c r="K162" s="22">
        <f>_xlfn.XLOOKUP(F162,'[1]Ascendus data working'!$B:$B,'[1]Ascendus data working'!$F:$F,,0)</f>
        <v>27.64</v>
      </c>
      <c r="L162" s="22">
        <f>_xlfn.XLOOKUP(F162,'Customer ledger'!$A:$A,'Customer ledger'!$D:$D,,0)</f>
        <v>27.09</v>
      </c>
      <c r="M162" s="22">
        <f t="shared" si="2"/>
        <v>0.55000000000000071</v>
      </c>
      <c r="N162" s="21" t="s">
        <v>376</v>
      </c>
      <c r="O162" s="21" t="s">
        <v>39</v>
      </c>
      <c r="Q162"/>
    </row>
    <row r="163" spans="1:17" x14ac:dyDescent="0.35">
      <c r="A163" s="61">
        <v>1800013963</v>
      </c>
      <c r="B163" s="21" t="s">
        <v>35</v>
      </c>
      <c r="C163" s="19">
        <v>45951</v>
      </c>
      <c r="D163" s="19">
        <v>45951</v>
      </c>
      <c r="E163" s="62" t="s">
        <v>36</v>
      </c>
      <c r="F163" s="60">
        <v>256779418493</v>
      </c>
      <c r="G163" s="21" t="s">
        <v>41</v>
      </c>
      <c r="H163" s="22">
        <v>27.64</v>
      </c>
      <c r="I163" s="21" t="s">
        <v>42</v>
      </c>
      <c r="J163" s="22">
        <v>2437.59</v>
      </c>
      <c r="K163" s="22">
        <f>_xlfn.XLOOKUP(F163,'[1]Ascendus data working'!$B:$B,'[1]Ascendus data working'!$F:$F,,0)</f>
        <v>27.64</v>
      </c>
      <c r="L163" s="22" t="e">
        <f>_xlfn.XLOOKUP(F163,'Customer ledger'!$A:$A,'Customer ledger'!$D:$D,,0)</f>
        <v>#N/A</v>
      </c>
      <c r="M163" s="22" t="e">
        <f t="shared" si="2"/>
        <v>#N/A</v>
      </c>
      <c r="N163" s="21" t="s">
        <v>376</v>
      </c>
      <c r="O163" s="21" t="s">
        <v>39</v>
      </c>
      <c r="Q163"/>
    </row>
    <row r="164" spans="1:17" x14ac:dyDescent="0.35">
      <c r="A164" s="61">
        <v>1400001512</v>
      </c>
      <c r="B164" s="21" t="s">
        <v>83</v>
      </c>
      <c r="C164" s="19">
        <v>45955</v>
      </c>
      <c r="D164" s="19">
        <v>45955</v>
      </c>
      <c r="E164" s="62" t="s">
        <v>127</v>
      </c>
      <c r="F164" s="60" t="s">
        <v>39</v>
      </c>
      <c r="G164" s="21" t="s">
        <v>41</v>
      </c>
      <c r="H164" s="22">
        <v>-4875.1499999999996</v>
      </c>
      <c r="I164" s="21" t="s">
        <v>42</v>
      </c>
      <c r="J164" s="22">
        <v>-429943.23</v>
      </c>
      <c r="K164" s="22">
        <f>H164</f>
        <v>-4875.1499999999996</v>
      </c>
      <c r="L164" s="22" t="e">
        <f>_xlfn.XLOOKUP(F164,'Customer ledger'!$A:$A,'Customer ledger'!$D:$D,,0)</f>
        <v>#N/A</v>
      </c>
      <c r="M164" s="22" t="e">
        <f t="shared" si="2"/>
        <v>#N/A</v>
      </c>
      <c r="N164" s="21" t="s">
        <v>39</v>
      </c>
      <c r="O164" s="21" t="s">
        <v>39</v>
      </c>
      <c r="Q164"/>
    </row>
    <row r="165" spans="1:17" x14ac:dyDescent="0.35">
      <c r="A165" s="61">
        <v>1600002510</v>
      </c>
      <c r="B165" s="21" t="s">
        <v>46</v>
      </c>
      <c r="C165" s="19">
        <v>45958</v>
      </c>
      <c r="D165" s="19">
        <v>45958</v>
      </c>
      <c r="E165" s="62" t="s">
        <v>36</v>
      </c>
      <c r="F165" s="60">
        <v>256779422046</v>
      </c>
      <c r="G165" s="21" t="s">
        <v>41</v>
      </c>
      <c r="H165" s="22">
        <v>-246.92</v>
      </c>
      <c r="I165" s="21" t="s">
        <v>42</v>
      </c>
      <c r="J165" s="22">
        <v>-21776.06</v>
      </c>
      <c r="K165" s="22">
        <f>_xlfn.XLOOKUP(F165,'[1]Ascendus data working'!$B:$B,'[1]Ascendus data working'!$F:$F,,0)</f>
        <v>-246.92</v>
      </c>
      <c r="L165" s="22" t="e">
        <f>_xlfn.XLOOKUP(F165,'Customer ledger'!$A:$A,'Customer ledger'!$D:$D,,0)</f>
        <v>#N/A</v>
      </c>
      <c r="M165" s="22" t="e">
        <f t="shared" si="2"/>
        <v>#N/A</v>
      </c>
      <c r="N165" s="21" t="s">
        <v>355</v>
      </c>
      <c r="O165" s="21">
        <v>1400001904</v>
      </c>
      <c r="Q165"/>
    </row>
    <row r="166" spans="1:17" x14ac:dyDescent="0.35">
      <c r="A166" s="61">
        <v>1800014412</v>
      </c>
      <c r="B166" s="21" t="s">
        <v>35</v>
      </c>
      <c r="C166" s="19">
        <v>45964</v>
      </c>
      <c r="D166" s="19">
        <v>45967</v>
      </c>
      <c r="E166" s="62" t="s">
        <v>36</v>
      </c>
      <c r="F166" s="60">
        <v>256779419134</v>
      </c>
      <c r="G166" s="21" t="s">
        <v>41</v>
      </c>
      <c r="H166" s="22">
        <v>21.75</v>
      </c>
      <c r="I166" s="21" t="s">
        <v>42</v>
      </c>
      <c r="J166" s="22">
        <v>1914.07</v>
      </c>
      <c r="K166" s="22">
        <f>_xlfn.XLOOKUP(F166,'[1]Ascendus data working'!$B:$B,'[1]Ascendus data working'!$F:$F,,0)</f>
        <v>21.75</v>
      </c>
      <c r="L166" s="22">
        <f>_xlfn.XLOOKUP(F166,'Customer ledger'!$A:$A,'Customer ledger'!$D:$D,,0)</f>
        <v>21.31</v>
      </c>
      <c r="M166" s="22">
        <f t="shared" si="2"/>
        <v>0.44000000000000128</v>
      </c>
      <c r="N166" s="21" t="s">
        <v>265</v>
      </c>
      <c r="O166" s="21" t="s">
        <v>39</v>
      </c>
      <c r="Q166"/>
    </row>
    <row r="167" spans="1:17" x14ac:dyDescent="0.35">
      <c r="A167" s="61">
        <v>1800014233</v>
      </c>
      <c r="B167" s="21" t="s">
        <v>35</v>
      </c>
      <c r="C167" s="19">
        <v>45966</v>
      </c>
      <c r="D167" s="19">
        <v>45966</v>
      </c>
      <c r="E167" s="62" t="s">
        <v>36</v>
      </c>
      <c r="F167" s="60">
        <v>256779418773</v>
      </c>
      <c r="G167" s="21" t="s">
        <v>41</v>
      </c>
      <c r="H167" s="22">
        <v>100000</v>
      </c>
      <c r="I167" s="21" t="s">
        <v>42</v>
      </c>
      <c r="J167" s="22">
        <v>100000</v>
      </c>
      <c r="K167" s="22">
        <f>_xlfn.XLOOKUP(F167,'[1]Ascendus data working'!$B:$B,'[1]Ascendus data working'!$F:$F,,0)</f>
        <v>1136.3636363636363</v>
      </c>
      <c r="L167" s="22">
        <f>_xlfn.XLOOKUP(F167,'Customer ledger'!$A:$A,'Customer ledger'!$D:$D,,0)</f>
        <v>1022.6899999999999</v>
      </c>
      <c r="M167" s="22">
        <f t="shared" si="2"/>
        <v>113.67363636363632</v>
      </c>
      <c r="N167" s="21" t="s">
        <v>146</v>
      </c>
      <c r="O167" s="21" t="s">
        <v>39</v>
      </c>
      <c r="Q167"/>
    </row>
    <row r="168" spans="1:17" x14ac:dyDescent="0.35">
      <c r="A168" s="61">
        <v>1800014284</v>
      </c>
      <c r="B168" s="21" t="s">
        <v>35</v>
      </c>
      <c r="C168" s="19">
        <v>45966</v>
      </c>
      <c r="D168" s="19">
        <v>45967</v>
      </c>
      <c r="E168" s="62" t="s">
        <v>36</v>
      </c>
      <c r="F168" s="60">
        <v>256779418821</v>
      </c>
      <c r="G168" s="21" t="s">
        <v>41</v>
      </c>
      <c r="H168" s="22">
        <v>49.59</v>
      </c>
      <c r="I168" s="21" t="s">
        <v>42</v>
      </c>
      <c r="J168" s="22">
        <v>4364.09</v>
      </c>
      <c r="K168" s="22">
        <f>_xlfn.XLOOKUP(F168,'[1]Ascendus data working'!$B:$B,'[1]Ascendus data working'!$F:$F,,0)</f>
        <v>49.59</v>
      </c>
      <c r="L168" s="22">
        <f>_xlfn.XLOOKUP(F168,'Customer ledger'!$A:$A,'Customer ledger'!$D:$D,,0)</f>
        <v>48.6</v>
      </c>
      <c r="M168" s="22">
        <f t="shared" si="2"/>
        <v>0.99000000000000199</v>
      </c>
      <c r="N168" s="21" t="s">
        <v>105</v>
      </c>
      <c r="O168" s="21" t="s">
        <v>39</v>
      </c>
      <c r="Q168"/>
    </row>
    <row r="169" spans="1:17" x14ac:dyDescent="0.35">
      <c r="A169" s="61">
        <v>1800014290</v>
      </c>
      <c r="B169" s="21" t="s">
        <v>35</v>
      </c>
      <c r="C169" s="19">
        <v>45966</v>
      </c>
      <c r="D169" s="19">
        <v>45967</v>
      </c>
      <c r="E169" s="62" t="s">
        <v>36</v>
      </c>
      <c r="F169" s="60">
        <v>256779418827</v>
      </c>
      <c r="G169" s="21" t="s">
        <v>41</v>
      </c>
      <c r="H169" s="22">
        <v>60.86</v>
      </c>
      <c r="I169" s="21" t="s">
        <v>42</v>
      </c>
      <c r="J169" s="22">
        <v>5355.89</v>
      </c>
      <c r="K169" s="22">
        <f>_xlfn.XLOOKUP(F169,'[1]Ascendus data working'!$B:$B,'[1]Ascendus data working'!$F:$F,,0)</f>
        <v>60.86</v>
      </c>
      <c r="L169" s="22" t="e">
        <f>_xlfn.XLOOKUP(F169,'Customer ledger'!$A:$A,'Customer ledger'!$D:$D,,0)</f>
        <v>#N/A</v>
      </c>
      <c r="M169" s="22" t="e">
        <f t="shared" si="2"/>
        <v>#N/A</v>
      </c>
      <c r="N169" s="21" t="s">
        <v>106</v>
      </c>
      <c r="O169" s="21" t="s">
        <v>39</v>
      </c>
      <c r="Q169"/>
    </row>
    <row r="170" spans="1:17" x14ac:dyDescent="0.35">
      <c r="A170" s="61">
        <v>1800014538</v>
      </c>
      <c r="B170" s="21" t="s">
        <v>35</v>
      </c>
      <c r="C170" s="19">
        <v>45966</v>
      </c>
      <c r="D170" s="19">
        <v>45967</v>
      </c>
      <c r="E170" s="62" t="s">
        <v>36</v>
      </c>
      <c r="F170" s="60">
        <v>256779418870</v>
      </c>
      <c r="G170" s="21" t="s">
        <v>41</v>
      </c>
      <c r="H170" s="22">
        <v>493.91</v>
      </c>
      <c r="I170" s="21" t="s">
        <v>42</v>
      </c>
      <c r="J170" s="22">
        <v>43465.75</v>
      </c>
      <c r="K170" s="22">
        <f>_xlfn.XLOOKUP(F170,'[1]Ascendus data working'!$B:$B,'[1]Ascendus data working'!$F:$F,,0)</f>
        <v>493.91</v>
      </c>
      <c r="L170" s="22">
        <f>_xlfn.XLOOKUP(F170,'Customer ledger'!$A:$A,'Customer ledger'!$D:$D,,0)</f>
        <v>444.51000000000005</v>
      </c>
      <c r="M170" s="22">
        <f t="shared" si="2"/>
        <v>49.399999999999977</v>
      </c>
      <c r="N170" s="21" t="s">
        <v>255</v>
      </c>
      <c r="O170" s="21" t="s">
        <v>39</v>
      </c>
      <c r="Q170"/>
    </row>
    <row r="171" spans="1:17" x14ac:dyDescent="0.35">
      <c r="A171" s="61">
        <v>1800014270</v>
      </c>
      <c r="B171" s="21" t="s">
        <v>35</v>
      </c>
      <c r="C171" s="19">
        <v>45966</v>
      </c>
      <c r="D171" s="19">
        <v>45967</v>
      </c>
      <c r="E171" s="62" t="s">
        <v>36</v>
      </c>
      <c r="F171" s="60">
        <v>256779418945</v>
      </c>
      <c r="G171" s="21" t="s">
        <v>41</v>
      </c>
      <c r="H171" s="22">
        <v>293.04000000000002</v>
      </c>
      <c r="I171" s="21" t="s">
        <v>42</v>
      </c>
      <c r="J171" s="22">
        <v>25788.51</v>
      </c>
      <c r="K171" s="22">
        <f>_xlfn.XLOOKUP(F171,'[1]Ascendus data working'!$B:$B,'[1]Ascendus data working'!$F:$F,,0)</f>
        <v>293.04000000000002</v>
      </c>
      <c r="L171" s="22">
        <f>_xlfn.XLOOKUP(F171,'Customer ledger'!$A:$A,'Customer ledger'!$D:$D,,0)</f>
        <v>287.18</v>
      </c>
      <c r="M171" s="22">
        <f t="shared" si="2"/>
        <v>5.8600000000000136</v>
      </c>
      <c r="N171" s="21" t="s">
        <v>257</v>
      </c>
      <c r="O171" s="21" t="s">
        <v>39</v>
      </c>
      <c r="Q171"/>
    </row>
    <row r="172" spans="1:17" x14ac:dyDescent="0.35">
      <c r="A172" s="61">
        <v>1800014271</v>
      </c>
      <c r="B172" s="21" t="s">
        <v>35</v>
      </c>
      <c r="C172" s="19">
        <v>45966</v>
      </c>
      <c r="D172" s="19">
        <v>45967</v>
      </c>
      <c r="E172" s="62" t="s">
        <v>36</v>
      </c>
      <c r="F172" s="60">
        <v>256779418946</v>
      </c>
      <c r="G172" s="21" t="s">
        <v>41</v>
      </c>
      <c r="H172" s="22">
        <v>293.04000000000002</v>
      </c>
      <c r="I172" s="21" t="s">
        <v>42</v>
      </c>
      <c r="J172" s="22">
        <v>25788.51</v>
      </c>
      <c r="K172" s="22">
        <f>_xlfn.XLOOKUP(F172,'[1]Ascendus data working'!$B:$B,'[1]Ascendus data working'!$F:$F,,0)</f>
        <v>293.04000000000002</v>
      </c>
      <c r="L172" s="22">
        <f>_xlfn.XLOOKUP(F172,'Customer ledger'!$A:$A,'Customer ledger'!$D:$D,,0)</f>
        <v>287.18</v>
      </c>
      <c r="M172" s="22">
        <f t="shared" si="2"/>
        <v>5.8600000000000136</v>
      </c>
      <c r="N172" s="21" t="s">
        <v>259</v>
      </c>
      <c r="O172" s="21" t="s">
        <v>39</v>
      </c>
      <c r="Q172"/>
    </row>
    <row r="173" spans="1:17" x14ac:dyDescent="0.35">
      <c r="A173" s="61">
        <v>1800014272</v>
      </c>
      <c r="B173" s="21" t="s">
        <v>35</v>
      </c>
      <c r="C173" s="19">
        <v>45966</v>
      </c>
      <c r="D173" s="19">
        <v>45967</v>
      </c>
      <c r="E173" s="62" t="s">
        <v>36</v>
      </c>
      <c r="F173" s="60">
        <v>256779418947</v>
      </c>
      <c r="G173" s="21" t="s">
        <v>41</v>
      </c>
      <c r="H173" s="22">
        <v>293.04000000000002</v>
      </c>
      <c r="I173" s="21" t="s">
        <v>42</v>
      </c>
      <c r="J173" s="22">
        <v>25788.51</v>
      </c>
      <c r="K173" s="22">
        <f>_xlfn.XLOOKUP(F173,'[1]Ascendus data working'!$B:$B,'[1]Ascendus data working'!$F:$F,,0)</f>
        <v>293.04000000000002</v>
      </c>
      <c r="L173" s="22">
        <f>_xlfn.XLOOKUP(F173,'Customer ledger'!$A:$A,'Customer ledger'!$D:$D,,0)</f>
        <v>287.18</v>
      </c>
      <c r="M173" s="22">
        <f t="shared" si="2"/>
        <v>5.8600000000000136</v>
      </c>
      <c r="N173" s="21" t="s">
        <v>261</v>
      </c>
      <c r="O173" s="21" t="s">
        <v>39</v>
      </c>
      <c r="Q173"/>
    </row>
    <row r="174" spans="1:17" x14ac:dyDescent="0.35">
      <c r="A174" s="61">
        <v>1800014529</v>
      </c>
      <c r="B174" s="21" t="s">
        <v>35</v>
      </c>
      <c r="C174" s="19">
        <v>45966</v>
      </c>
      <c r="D174" s="19">
        <v>45967</v>
      </c>
      <c r="E174" s="62" t="s">
        <v>36</v>
      </c>
      <c r="F174" s="60">
        <v>256779419178</v>
      </c>
      <c r="G174" s="21" t="s">
        <v>41</v>
      </c>
      <c r="H174" s="22">
        <v>2.25</v>
      </c>
      <c r="I174" s="21" t="s">
        <v>42</v>
      </c>
      <c r="J174" s="22">
        <v>198.01</v>
      </c>
      <c r="K174" s="22">
        <f>_xlfn.XLOOKUP(F174,'[1]Ascendus data working'!$B:$B,'[1]Ascendus data working'!$F:$F,,0)</f>
        <v>2.25</v>
      </c>
      <c r="L174" s="22">
        <f>_xlfn.XLOOKUP(F174,'Customer ledger'!$A:$A,'Customer ledger'!$D:$D,,0)</f>
        <v>2.2000000000000002</v>
      </c>
      <c r="M174" s="22">
        <f t="shared" si="2"/>
        <v>4.9999999999999822E-2</v>
      </c>
      <c r="N174" s="21" t="s">
        <v>108</v>
      </c>
      <c r="O174" s="21" t="s">
        <v>39</v>
      </c>
      <c r="Q174"/>
    </row>
    <row r="175" spans="1:17" x14ac:dyDescent="0.35">
      <c r="A175" s="61">
        <v>1800014620</v>
      </c>
      <c r="B175" s="21" t="s">
        <v>35</v>
      </c>
      <c r="C175" s="19">
        <v>45966</v>
      </c>
      <c r="D175" s="19">
        <v>45967</v>
      </c>
      <c r="E175" s="62" t="s">
        <v>36</v>
      </c>
      <c r="F175" s="60">
        <v>256779419202</v>
      </c>
      <c r="G175" s="21" t="s">
        <v>41</v>
      </c>
      <c r="H175" s="22">
        <v>62.66</v>
      </c>
      <c r="I175" s="21" t="s">
        <v>42</v>
      </c>
      <c r="J175" s="22">
        <v>5514.29</v>
      </c>
      <c r="K175" s="22">
        <f>_xlfn.XLOOKUP(F175,'[1]Ascendus data working'!$B:$B,'[1]Ascendus data working'!$F:$F,,0)</f>
        <v>62.66</v>
      </c>
      <c r="L175" s="22">
        <f>_xlfn.XLOOKUP(F175,'Customer ledger'!$A:$A,'Customer ledger'!$D:$D,,0)</f>
        <v>61.41</v>
      </c>
      <c r="M175" s="22">
        <f t="shared" si="2"/>
        <v>1.25</v>
      </c>
      <c r="N175" s="21" t="s">
        <v>110</v>
      </c>
      <c r="O175" s="21" t="s">
        <v>39</v>
      </c>
      <c r="Q175"/>
    </row>
    <row r="176" spans="1:17" x14ac:dyDescent="0.35">
      <c r="A176" s="61">
        <v>1400001904</v>
      </c>
      <c r="B176" s="21" t="s">
        <v>86</v>
      </c>
      <c r="C176" s="19">
        <v>45976</v>
      </c>
      <c r="D176" s="19">
        <v>45976</v>
      </c>
      <c r="E176" s="62" t="s">
        <v>36</v>
      </c>
      <c r="F176" s="60" t="s">
        <v>87</v>
      </c>
      <c r="G176" s="21" t="s">
        <v>41</v>
      </c>
      <c r="H176" s="22">
        <v>0</v>
      </c>
      <c r="I176" s="21" t="s">
        <v>42</v>
      </c>
      <c r="J176" s="22">
        <v>0</v>
      </c>
      <c r="K176" s="22">
        <f>H176</f>
        <v>0</v>
      </c>
      <c r="L176" s="22" t="e">
        <f>_xlfn.XLOOKUP(F176,'Customer ledger'!$A:$A,'Customer ledger'!$D:$D,,0)</f>
        <v>#N/A</v>
      </c>
      <c r="M176" s="22" t="e">
        <f t="shared" si="2"/>
        <v>#N/A</v>
      </c>
      <c r="N176" s="21" t="s">
        <v>39</v>
      </c>
      <c r="O176" s="21">
        <v>1400001904</v>
      </c>
      <c r="Q176"/>
    </row>
    <row r="177" spans="1:17" x14ac:dyDescent="0.35">
      <c r="A177" s="61">
        <v>1400001905</v>
      </c>
      <c r="B177" s="21" t="s">
        <v>86</v>
      </c>
      <c r="C177" s="19">
        <v>45976</v>
      </c>
      <c r="D177" s="19">
        <v>45976</v>
      </c>
      <c r="E177" s="62" t="s">
        <v>36</v>
      </c>
      <c r="F177" s="60" t="s">
        <v>87</v>
      </c>
      <c r="G177" s="21" t="s">
        <v>41</v>
      </c>
      <c r="H177" s="22">
        <v>879.2</v>
      </c>
      <c r="I177" s="21" t="s">
        <v>42</v>
      </c>
      <c r="J177" s="22">
        <v>77537.33</v>
      </c>
      <c r="K177" s="22">
        <f>H177</f>
        <v>879.2</v>
      </c>
      <c r="L177" s="22" t="e">
        <f>_xlfn.XLOOKUP(F177,'Customer ledger'!$A:$A,'Customer ledger'!$D:$D,,0)</f>
        <v>#N/A</v>
      </c>
      <c r="M177" s="22" t="e">
        <f t="shared" si="2"/>
        <v>#N/A</v>
      </c>
      <c r="N177" s="21" t="s">
        <v>39</v>
      </c>
      <c r="O177" s="21">
        <v>1400001905</v>
      </c>
      <c r="Q177"/>
    </row>
    <row r="178" spans="1:17" x14ac:dyDescent="0.35">
      <c r="A178" s="61">
        <v>1400001905</v>
      </c>
      <c r="B178" s="21" t="s">
        <v>86</v>
      </c>
      <c r="C178" s="19">
        <v>45976</v>
      </c>
      <c r="D178" s="19">
        <v>45976</v>
      </c>
      <c r="E178" s="62" t="s">
        <v>36</v>
      </c>
      <c r="F178" s="60" t="s">
        <v>87</v>
      </c>
      <c r="G178" s="21" t="s">
        <v>41</v>
      </c>
      <c r="H178" s="22">
        <v>-111.25</v>
      </c>
      <c r="I178" s="21" t="s">
        <v>42</v>
      </c>
      <c r="J178" s="22">
        <v>-9790.3799999999992</v>
      </c>
      <c r="K178" s="22">
        <f>H178</f>
        <v>-111.25</v>
      </c>
      <c r="L178" s="22" t="e">
        <f>_xlfn.XLOOKUP(F178,'Customer ledger'!$A:$A,'Customer ledger'!$D:$D,,0)</f>
        <v>#N/A</v>
      </c>
      <c r="M178" s="22" t="e">
        <f t="shared" si="2"/>
        <v>#N/A</v>
      </c>
      <c r="N178" s="21" t="s">
        <v>39</v>
      </c>
      <c r="O178" s="21" t="s">
        <v>39</v>
      </c>
      <c r="Q178"/>
    </row>
    <row r="179" spans="1:17" x14ac:dyDescent="0.35">
      <c r="A179" s="61">
        <v>1400001905</v>
      </c>
      <c r="B179" s="21" t="s">
        <v>86</v>
      </c>
      <c r="C179" s="19">
        <v>45976</v>
      </c>
      <c r="D179" s="19">
        <v>45976</v>
      </c>
      <c r="E179" s="62" t="s">
        <v>36</v>
      </c>
      <c r="F179" s="60" t="s">
        <v>87</v>
      </c>
      <c r="G179" s="21" t="s">
        <v>41</v>
      </c>
      <c r="H179" s="22">
        <v>-376.4</v>
      </c>
      <c r="I179" s="21" t="s">
        <v>42</v>
      </c>
      <c r="J179" s="22">
        <v>-33124.480000000003</v>
      </c>
      <c r="K179" s="22">
        <f>H179</f>
        <v>-376.4</v>
      </c>
      <c r="L179" s="22" t="e">
        <f>_xlfn.XLOOKUP(F179,'Customer ledger'!$A:$A,'Customer ledger'!$D:$D,,0)</f>
        <v>#N/A</v>
      </c>
      <c r="M179" s="22" t="e">
        <f t="shared" si="2"/>
        <v>#N/A</v>
      </c>
      <c r="N179" s="21" t="s">
        <v>39</v>
      </c>
      <c r="O179" s="21" t="s">
        <v>39</v>
      </c>
      <c r="Q179"/>
    </row>
    <row r="180" spans="1:17" x14ac:dyDescent="0.35">
      <c r="A180" s="61">
        <v>1400001905</v>
      </c>
      <c r="B180" s="21" t="s">
        <v>86</v>
      </c>
      <c r="C180" s="19">
        <v>45976</v>
      </c>
      <c r="D180" s="19">
        <v>45976</v>
      </c>
      <c r="E180" s="62" t="s">
        <v>36</v>
      </c>
      <c r="F180" s="60" t="s">
        <v>87</v>
      </c>
      <c r="G180" s="21" t="s">
        <v>41</v>
      </c>
      <c r="H180" s="22">
        <v>-391.55</v>
      </c>
      <c r="I180" s="21" t="s">
        <v>42</v>
      </c>
      <c r="J180" s="22">
        <v>-34457.730000000003</v>
      </c>
      <c r="K180" s="22">
        <f>H180</f>
        <v>-391.55</v>
      </c>
      <c r="L180" s="22" t="e">
        <f>_xlfn.XLOOKUP(F180,'Customer ledger'!$A:$A,'Customer ledger'!$D:$D,,0)</f>
        <v>#N/A</v>
      </c>
      <c r="M180" s="22" t="e">
        <f t="shared" si="2"/>
        <v>#N/A</v>
      </c>
      <c r="N180" s="21" t="s">
        <v>39</v>
      </c>
      <c r="O180" s="21" t="s">
        <v>39</v>
      </c>
      <c r="Q180"/>
    </row>
    <row r="181" spans="1:17" x14ac:dyDescent="0.35">
      <c r="A181" s="61">
        <v>1800014864</v>
      </c>
      <c r="B181" s="21" t="s">
        <v>35</v>
      </c>
      <c r="C181" s="19">
        <v>45980</v>
      </c>
      <c r="D181" s="19">
        <v>45982</v>
      </c>
      <c r="E181" s="62" t="s">
        <v>36</v>
      </c>
      <c r="F181" s="60">
        <v>256779419365</v>
      </c>
      <c r="G181" s="21" t="s">
        <v>41</v>
      </c>
      <c r="H181" s="22">
        <v>292.99</v>
      </c>
      <c r="I181" s="21" t="s">
        <v>42</v>
      </c>
      <c r="J181" s="22">
        <v>25784.11</v>
      </c>
      <c r="K181" s="22">
        <f>_xlfn.XLOOKUP(F181,'[1]Ascendus data working'!$B:$B,'[1]Ascendus data working'!$F:$F,,0)</f>
        <v>292.99</v>
      </c>
      <c r="L181" s="22">
        <f>_xlfn.XLOOKUP(F181,'Customer ledger'!$A:$A,'Customer ledger'!$D:$D,,0)</f>
        <v>287.13</v>
      </c>
      <c r="M181" s="22">
        <f t="shared" si="2"/>
        <v>5.8600000000000136</v>
      </c>
      <c r="N181" s="21" t="s">
        <v>200</v>
      </c>
      <c r="O181" s="21" t="s">
        <v>39</v>
      </c>
      <c r="Q181"/>
    </row>
    <row r="182" spans="1:17" x14ac:dyDescent="0.35">
      <c r="A182" s="61">
        <v>1800015079</v>
      </c>
      <c r="B182" s="21" t="s">
        <v>35</v>
      </c>
      <c r="C182" s="19">
        <v>45981</v>
      </c>
      <c r="D182" s="19">
        <v>45985</v>
      </c>
      <c r="E182" s="62" t="s">
        <v>36</v>
      </c>
      <c r="F182" s="60">
        <v>256779419592</v>
      </c>
      <c r="G182" s="21" t="s">
        <v>41</v>
      </c>
      <c r="H182" s="22">
        <v>17.62</v>
      </c>
      <c r="I182" s="21" t="s">
        <v>42</v>
      </c>
      <c r="J182" s="22">
        <v>1550.62</v>
      </c>
      <c r="K182" s="22">
        <f>_xlfn.XLOOKUP(F182,'[1]Ascendus data working'!$B:$B,'[1]Ascendus data working'!$F:$F,,0)</f>
        <v>17.62</v>
      </c>
      <c r="L182" s="22">
        <f>_xlfn.XLOOKUP(F182,'Customer ledger'!$A:$A,'Customer ledger'!$D:$D,,0)</f>
        <v>17.27</v>
      </c>
      <c r="M182" s="22">
        <f t="shared" si="2"/>
        <v>0.35000000000000142</v>
      </c>
      <c r="N182" s="21" t="s">
        <v>382</v>
      </c>
      <c r="O182" s="21" t="s">
        <v>39</v>
      </c>
      <c r="Q182"/>
    </row>
    <row r="183" spans="1:17" x14ac:dyDescent="0.35">
      <c r="A183" s="61">
        <v>1800015134</v>
      </c>
      <c r="B183" s="21" t="s">
        <v>35</v>
      </c>
      <c r="C183" s="19">
        <v>45981</v>
      </c>
      <c r="D183" s="19">
        <v>45985</v>
      </c>
      <c r="E183" s="62" t="s">
        <v>36</v>
      </c>
      <c r="F183" s="60">
        <v>256779419633</v>
      </c>
      <c r="G183" s="21" t="s">
        <v>41</v>
      </c>
      <c r="H183" s="22">
        <v>9.3699999999999992</v>
      </c>
      <c r="I183" s="21" t="s">
        <v>42</v>
      </c>
      <c r="J183" s="22">
        <v>824.59</v>
      </c>
      <c r="K183" s="22">
        <f>_xlfn.XLOOKUP(F183,'[1]Ascendus data working'!$B:$B,'[1]Ascendus data working'!$F:$F,,0)</f>
        <v>9.3699999999999992</v>
      </c>
      <c r="L183" s="22">
        <f>_xlfn.XLOOKUP(F183,'Customer ledger'!$A:$A,'Customer ledger'!$D:$D,,0)</f>
        <v>9.18</v>
      </c>
      <c r="M183" s="22">
        <f t="shared" si="2"/>
        <v>0.1899999999999995</v>
      </c>
      <c r="N183" s="21" t="s">
        <v>70</v>
      </c>
      <c r="O183" s="21" t="s">
        <v>39</v>
      </c>
      <c r="Q183"/>
    </row>
    <row r="184" spans="1:17" x14ac:dyDescent="0.35">
      <c r="A184" s="61">
        <v>1800015482</v>
      </c>
      <c r="B184" s="21" t="s">
        <v>35</v>
      </c>
      <c r="C184" s="19">
        <v>45995</v>
      </c>
      <c r="D184" s="19">
        <v>46000</v>
      </c>
      <c r="E184" s="62" t="s">
        <v>36</v>
      </c>
      <c r="F184" s="60">
        <v>256779419966</v>
      </c>
      <c r="G184" s="21" t="s">
        <v>41</v>
      </c>
      <c r="H184" s="22">
        <v>100000</v>
      </c>
      <c r="I184" s="21" t="s">
        <v>42</v>
      </c>
      <c r="J184" s="22">
        <v>100000</v>
      </c>
      <c r="K184" s="22">
        <f>_xlfn.XLOOKUP(F184,'[1]Ascendus data working'!$B:$B,'[1]Ascendus data working'!$F:$F,,0)</f>
        <v>1127.3888888888889</v>
      </c>
      <c r="L184" s="22">
        <f>_xlfn.XLOOKUP(F184,'Customer ledger'!$A:$A,'Customer ledger'!$D:$D,,0)</f>
        <v>1014.65</v>
      </c>
      <c r="M184" s="22">
        <f t="shared" si="2"/>
        <v>112.73888888888894</v>
      </c>
      <c r="N184" s="21" t="s">
        <v>149</v>
      </c>
      <c r="O184" s="21" t="s">
        <v>39</v>
      </c>
      <c r="Q184"/>
    </row>
    <row r="185" spans="1:17" x14ac:dyDescent="0.35">
      <c r="A185" s="61">
        <v>1800015421</v>
      </c>
      <c r="B185" s="21" t="s">
        <v>35</v>
      </c>
      <c r="C185" s="19">
        <v>45999</v>
      </c>
      <c r="D185" s="19">
        <v>46000</v>
      </c>
      <c r="E185" s="62" t="s">
        <v>36</v>
      </c>
      <c r="F185" s="60">
        <v>256779419870</v>
      </c>
      <c r="G185" s="21" t="s">
        <v>41</v>
      </c>
      <c r="H185" s="22">
        <v>18.96</v>
      </c>
      <c r="I185" s="21" t="s">
        <v>42</v>
      </c>
      <c r="J185" s="22">
        <v>1681.75</v>
      </c>
      <c r="K185" s="22">
        <f>_xlfn.XLOOKUP(F185,'[1]Ascendus data working'!$B:$B,'[1]Ascendus data working'!$F:$F,,0)</f>
        <v>18.96</v>
      </c>
      <c r="L185" s="22">
        <f>_xlfn.XLOOKUP(F185,'Customer ledger'!$A:$A,'Customer ledger'!$D:$D,,0)</f>
        <v>18.579999999999998</v>
      </c>
      <c r="M185" s="22">
        <f t="shared" si="2"/>
        <v>0.38000000000000256</v>
      </c>
      <c r="N185" s="21" t="s">
        <v>352</v>
      </c>
      <c r="O185" s="21" t="s">
        <v>39</v>
      </c>
      <c r="Q185"/>
    </row>
    <row r="186" spans="1:17" x14ac:dyDescent="0.35">
      <c r="A186" s="61">
        <v>1800015672</v>
      </c>
      <c r="B186" s="21" t="s">
        <v>35</v>
      </c>
      <c r="C186" s="19">
        <v>46024</v>
      </c>
      <c r="D186" s="19">
        <v>46024</v>
      </c>
      <c r="E186" s="62" t="s">
        <v>36</v>
      </c>
      <c r="F186" s="60">
        <v>256779440005</v>
      </c>
      <c r="G186" s="21" t="s">
        <v>41</v>
      </c>
      <c r="H186" s="22">
        <v>451.3</v>
      </c>
      <c r="I186" s="21" t="s">
        <v>42</v>
      </c>
      <c r="J186" s="22">
        <v>40952.379999999997</v>
      </c>
      <c r="K186" s="22">
        <f>_xlfn.XLOOKUP(F186,'[1]Ascendus data working'!$B:$B,'[1]Ascendus data working'!$F:$F,,0)</f>
        <v>451.3</v>
      </c>
      <c r="L186" s="22">
        <f>_xlfn.XLOOKUP(F186,'Customer ledger'!$A:$A,'Customer ledger'!$D:$D,,0)</f>
        <v>406.16300000000001</v>
      </c>
      <c r="M186" s="22">
        <f t="shared" si="2"/>
        <v>45.137</v>
      </c>
      <c r="N186" s="21" t="s">
        <v>417</v>
      </c>
      <c r="O186" s="21" t="s">
        <v>39</v>
      </c>
      <c r="Q186"/>
    </row>
    <row r="187" spans="1:17" x14ac:dyDescent="0.35">
      <c r="A187" s="61">
        <v>1600002686</v>
      </c>
      <c r="B187" s="21" t="s">
        <v>46</v>
      </c>
      <c r="C187" s="19">
        <v>46027</v>
      </c>
      <c r="D187" s="19">
        <v>46027</v>
      </c>
      <c r="E187" s="62" t="s">
        <v>36</v>
      </c>
      <c r="F187" s="60">
        <v>256779422156</v>
      </c>
      <c r="G187" s="21" t="s">
        <v>41</v>
      </c>
      <c r="H187" s="22">
        <v>-59.62</v>
      </c>
      <c r="I187" s="21" t="s">
        <v>42</v>
      </c>
      <c r="J187" s="22">
        <v>-5410.11</v>
      </c>
      <c r="K187" s="22">
        <f>_xlfn.XLOOKUP(F187,'[1]Ascendus data working'!$B:$B,'[1]Ascendus data working'!$F:$F,,0)</f>
        <v>-59.62</v>
      </c>
      <c r="L187" s="22" t="e">
        <f>_xlfn.XLOOKUP(F187,'Customer ledger'!$A:$A,'Customer ledger'!$D:$D,,0)</f>
        <v>#N/A</v>
      </c>
      <c r="M187" s="22" t="e">
        <f t="shared" si="2"/>
        <v>#N/A</v>
      </c>
      <c r="N187" s="21" t="s">
        <v>420</v>
      </c>
      <c r="O187" s="21" t="s">
        <v>39</v>
      </c>
      <c r="Q187"/>
    </row>
    <row r="188" spans="1:17" x14ac:dyDescent="0.35">
      <c r="A188" s="61">
        <v>1600002687</v>
      </c>
      <c r="B188" s="21" t="s">
        <v>46</v>
      </c>
      <c r="C188" s="19">
        <v>46027</v>
      </c>
      <c r="D188" s="19">
        <v>46027</v>
      </c>
      <c r="E188" s="62" t="s">
        <v>36</v>
      </c>
      <c r="F188" s="60">
        <v>256779422157</v>
      </c>
      <c r="G188" s="21" t="s">
        <v>41</v>
      </c>
      <c r="H188" s="22">
        <v>-49.33</v>
      </c>
      <c r="I188" s="21" t="s">
        <v>42</v>
      </c>
      <c r="J188" s="22">
        <v>-4476.3599999999997</v>
      </c>
      <c r="K188" s="22">
        <f>_xlfn.XLOOKUP(F188,'[1]Ascendus data working'!$B:$B,'[1]Ascendus data working'!$F:$F,,0)</f>
        <v>-49.33</v>
      </c>
      <c r="L188" s="22" t="e">
        <f>_xlfn.XLOOKUP(F188,'Customer ledger'!$A:$A,'Customer ledger'!$D:$D,,0)</f>
        <v>#N/A</v>
      </c>
      <c r="M188" s="22" t="e">
        <f t="shared" si="2"/>
        <v>#N/A</v>
      </c>
      <c r="N188" s="21" t="s">
        <v>420</v>
      </c>
      <c r="O188" s="21" t="s">
        <v>39</v>
      </c>
      <c r="Q188"/>
    </row>
    <row r="189" spans="1:17" x14ac:dyDescent="0.35">
      <c r="A189" s="61">
        <v>1600002698</v>
      </c>
      <c r="B189" s="21" t="s">
        <v>46</v>
      </c>
      <c r="C189" s="19">
        <v>46027</v>
      </c>
      <c r="D189" s="19">
        <v>46027</v>
      </c>
      <c r="E189" s="62" t="s">
        <v>36</v>
      </c>
      <c r="F189" s="60">
        <v>256779422168</v>
      </c>
      <c r="G189" s="21" t="s">
        <v>41</v>
      </c>
      <c r="H189" s="22">
        <v>-27.64</v>
      </c>
      <c r="I189" s="21" t="s">
        <v>42</v>
      </c>
      <c r="J189" s="22">
        <v>-2508.14</v>
      </c>
      <c r="K189" s="22">
        <f>_xlfn.XLOOKUP(F189,'[1]Ascendus data working'!$B:$B,'[1]Ascendus data working'!$F:$F,,0)</f>
        <v>-27.64</v>
      </c>
      <c r="L189" s="22" t="e">
        <f>_xlfn.XLOOKUP(F189,'Customer ledger'!$A:$A,'Customer ledger'!$D:$D,,0)</f>
        <v>#N/A</v>
      </c>
      <c r="M189" s="22" t="e">
        <f t="shared" si="2"/>
        <v>#N/A</v>
      </c>
      <c r="N189" s="21" t="s">
        <v>423</v>
      </c>
      <c r="O189" s="21" t="s">
        <v>39</v>
      </c>
      <c r="Q189"/>
    </row>
    <row r="190" spans="1:17" x14ac:dyDescent="0.35">
      <c r="A190" s="61">
        <v>1800015986</v>
      </c>
      <c r="B190" s="21" t="s">
        <v>35</v>
      </c>
      <c r="C190" s="19">
        <v>46027</v>
      </c>
      <c r="D190" s="19">
        <v>46027</v>
      </c>
      <c r="E190" s="62" t="s">
        <v>36</v>
      </c>
      <c r="F190" s="60">
        <v>256779440070</v>
      </c>
      <c r="G190" s="21" t="s">
        <v>41</v>
      </c>
      <c r="H190" s="22">
        <v>7.18</v>
      </c>
      <c r="I190" s="21" t="s">
        <v>42</v>
      </c>
      <c r="J190" s="22">
        <v>651.54</v>
      </c>
      <c r="K190" s="22">
        <f>_xlfn.XLOOKUP(F190,'[1]Ascendus data working'!$B:$B,'[1]Ascendus data working'!$F:$F,,0)</f>
        <v>7.18</v>
      </c>
      <c r="L190" s="22">
        <f>_xlfn.XLOOKUP(F190,'Customer ledger'!$A:$A,'Customer ledger'!$D:$D,,0)</f>
        <v>7.04</v>
      </c>
      <c r="M190" s="22">
        <f t="shared" si="2"/>
        <v>0.13999999999999968</v>
      </c>
      <c r="N190" s="21" t="s">
        <v>426</v>
      </c>
      <c r="O190" s="21" t="s">
        <v>39</v>
      </c>
      <c r="Q190"/>
    </row>
    <row r="191" spans="1:17" x14ac:dyDescent="0.35">
      <c r="A191" s="61">
        <v>1800015968</v>
      </c>
      <c r="B191" s="21" t="s">
        <v>35</v>
      </c>
      <c r="C191" s="19">
        <v>46027</v>
      </c>
      <c r="D191" s="19">
        <v>46027</v>
      </c>
      <c r="E191" s="63">
        <v>2156419</v>
      </c>
      <c r="F191" s="60">
        <v>256779440082</v>
      </c>
      <c r="G191" s="21" t="s">
        <v>41</v>
      </c>
      <c r="H191" s="22">
        <v>2.25</v>
      </c>
      <c r="I191" s="21" t="s">
        <v>42</v>
      </c>
      <c r="J191" s="22">
        <v>204.17</v>
      </c>
      <c r="K191" s="22">
        <f>_xlfn.XLOOKUP(F191,'[1]Ascendus data working'!$B:$B,'[1]Ascendus data working'!$F:$F,,0)</f>
        <v>2.25</v>
      </c>
      <c r="L191" s="22">
        <f>_xlfn.XLOOKUP(F191,'Customer ledger'!$A:$A,'Customer ledger'!$D:$D,,0)</f>
        <v>2.2000000000000002</v>
      </c>
      <c r="M191" s="22">
        <f t="shared" si="2"/>
        <v>4.9999999999999822E-2</v>
      </c>
      <c r="N191" s="21" t="s">
        <v>78</v>
      </c>
      <c r="O191" s="21" t="s">
        <v>39</v>
      </c>
      <c r="Q191"/>
    </row>
    <row r="192" spans="1:17" x14ac:dyDescent="0.35">
      <c r="A192" s="61">
        <v>1800016055</v>
      </c>
      <c r="B192" s="21" t="s">
        <v>35</v>
      </c>
      <c r="C192" s="19">
        <v>46027</v>
      </c>
      <c r="D192" s="19">
        <v>46027</v>
      </c>
      <c r="E192" s="63">
        <v>2156402</v>
      </c>
      <c r="F192" s="60">
        <v>256779440102</v>
      </c>
      <c r="G192" s="21" t="s">
        <v>41</v>
      </c>
      <c r="H192" s="22">
        <v>20.39</v>
      </c>
      <c r="I192" s="21" t="s">
        <v>42</v>
      </c>
      <c r="J192" s="22">
        <v>1850.25</v>
      </c>
      <c r="K192" s="22">
        <f>_xlfn.XLOOKUP(F192,'[1]Ascendus data working'!$B:$B,'[1]Ascendus data working'!$F:$F,,0)</f>
        <v>20.39</v>
      </c>
      <c r="L192" s="22">
        <f>_xlfn.XLOOKUP(F192,'Customer ledger'!$A:$A,'Customer ledger'!$D:$D,,0)</f>
        <v>19.98</v>
      </c>
      <c r="M192" s="22">
        <f t="shared" si="2"/>
        <v>0.41000000000000014</v>
      </c>
      <c r="N192" s="21" t="s">
        <v>76</v>
      </c>
      <c r="O192" s="21" t="s">
        <v>39</v>
      </c>
      <c r="Q192"/>
    </row>
    <row r="193" spans="1:17" x14ac:dyDescent="0.35">
      <c r="A193" s="61">
        <v>1800016090</v>
      </c>
      <c r="B193" s="21" t="s">
        <v>35</v>
      </c>
      <c r="C193" s="19">
        <v>46027</v>
      </c>
      <c r="D193" s="19">
        <v>46027</v>
      </c>
      <c r="E193" s="63">
        <v>2156406</v>
      </c>
      <c r="F193" s="60">
        <v>256779440119</v>
      </c>
      <c r="G193" s="21" t="s">
        <v>41</v>
      </c>
      <c r="H193" s="22">
        <v>17.25</v>
      </c>
      <c r="I193" s="21" t="s">
        <v>42</v>
      </c>
      <c r="J193" s="22">
        <v>1565.32</v>
      </c>
      <c r="K193" s="22">
        <f>_xlfn.XLOOKUP(F193,'[1]Ascendus data working'!$B:$B,'[1]Ascendus data working'!$F:$F,,0)</f>
        <v>17.25</v>
      </c>
      <c r="L193" s="22">
        <f>_xlfn.XLOOKUP(F193,'Customer ledger'!$A:$A,'Customer ledger'!$D:$D,,0)</f>
        <v>16.899999999999999</v>
      </c>
      <c r="M193" s="22">
        <f t="shared" si="2"/>
        <v>0.35000000000000142</v>
      </c>
      <c r="N193" s="21" t="s">
        <v>431</v>
      </c>
      <c r="O193" s="21" t="s">
        <v>39</v>
      </c>
      <c r="Q193"/>
    </row>
    <row r="194" spans="1:17" x14ac:dyDescent="0.35">
      <c r="A194" s="61">
        <v>1800016346</v>
      </c>
      <c r="B194" s="21" t="s">
        <v>35</v>
      </c>
      <c r="C194" s="19">
        <v>46028</v>
      </c>
      <c r="D194" s="19">
        <v>46034</v>
      </c>
      <c r="E194" s="63">
        <v>2158411</v>
      </c>
      <c r="F194" s="60">
        <v>256779440236</v>
      </c>
      <c r="G194" s="21" t="s">
        <v>41</v>
      </c>
      <c r="H194" s="22">
        <v>505.23</v>
      </c>
      <c r="I194" s="21" t="s">
        <v>42</v>
      </c>
      <c r="J194" s="22">
        <v>45846.16</v>
      </c>
      <c r="K194" s="22">
        <f>_xlfn.XLOOKUP(F194,'[1]Ascendus data working'!$B:$B,'[1]Ascendus data working'!$F:$F,,0)</f>
        <v>505.23</v>
      </c>
      <c r="L194" s="22">
        <f>_xlfn.XLOOKUP(F194,'Customer ledger'!$A:$A,'Customer ledger'!$D:$D,,0)</f>
        <v>454.71</v>
      </c>
      <c r="M194" s="22">
        <f t="shared" si="2"/>
        <v>50.520000000000039</v>
      </c>
      <c r="N194" s="21" t="s">
        <v>434</v>
      </c>
      <c r="O194" s="21" t="s">
        <v>39</v>
      </c>
      <c r="Q194"/>
    </row>
    <row r="195" spans="1:17" x14ac:dyDescent="0.35">
      <c r="A195" s="61">
        <v>1800016543</v>
      </c>
      <c r="B195" s="21" t="s">
        <v>35</v>
      </c>
      <c r="C195" s="19">
        <v>46028</v>
      </c>
      <c r="D195" s="19">
        <v>46035</v>
      </c>
      <c r="E195" s="63">
        <v>2158669</v>
      </c>
      <c r="F195" s="60">
        <v>256779440305</v>
      </c>
      <c r="G195" s="21" t="s">
        <v>41</v>
      </c>
      <c r="H195" s="22">
        <v>100000</v>
      </c>
      <c r="I195" s="21" t="s">
        <v>42</v>
      </c>
      <c r="J195" s="22">
        <v>100000</v>
      </c>
      <c r="K195" s="22">
        <f>_xlfn.XLOOKUP(F195,'[1]Ascendus data working'!$B:$B,'[1]Ascendus data working'!$F:$F,,0)</f>
        <v>1102.0111111111109</v>
      </c>
      <c r="L195" s="22">
        <f>_xlfn.XLOOKUP(F195,'Customer ledger'!$A:$A,'Customer ledger'!$D:$D,,0)</f>
        <v>991.81</v>
      </c>
      <c r="M195" s="22">
        <f t="shared" ref="M195:M201" si="3">K195-L195</f>
        <v>110.201111111111</v>
      </c>
      <c r="N195" s="21" t="s">
        <v>437</v>
      </c>
      <c r="O195" s="21" t="s">
        <v>39</v>
      </c>
      <c r="Q195"/>
    </row>
    <row r="196" spans="1:17" x14ac:dyDescent="0.35">
      <c r="A196" s="61">
        <v>1600002738</v>
      </c>
      <c r="B196" s="21" t="s">
        <v>46</v>
      </c>
      <c r="C196" s="19">
        <v>46035</v>
      </c>
      <c r="D196" s="19">
        <v>46035</v>
      </c>
      <c r="E196" s="63">
        <v>2159128</v>
      </c>
      <c r="F196" s="60">
        <v>256779422208</v>
      </c>
      <c r="G196" s="21" t="s">
        <v>41</v>
      </c>
      <c r="H196" s="22">
        <v>-23.92</v>
      </c>
      <c r="I196" s="21" t="s">
        <v>42</v>
      </c>
      <c r="J196" s="22">
        <v>-2170.58</v>
      </c>
      <c r="K196" s="22">
        <f>_xlfn.XLOOKUP(F196,'[1]Ascendus data working'!$B:$B,'[1]Ascendus data working'!$F:$F,,0)</f>
        <v>-23.92</v>
      </c>
      <c r="L196" s="22">
        <f>_xlfn.XLOOKUP(F196,'Customer ledger'!$A:$A,'Customer ledger'!$D:$D,,0)</f>
        <v>-21.53</v>
      </c>
      <c r="M196" s="22">
        <f t="shared" si="3"/>
        <v>-2.3900000000000006</v>
      </c>
      <c r="N196" s="21" t="s">
        <v>440</v>
      </c>
      <c r="O196" s="21" t="s">
        <v>39</v>
      </c>
      <c r="Q196"/>
    </row>
    <row r="197" spans="1:17" x14ac:dyDescent="0.35">
      <c r="A197" s="61">
        <v>1600002739</v>
      </c>
      <c r="B197" s="21" t="s">
        <v>46</v>
      </c>
      <c r="C197" s="19">
        <v>46035</v>
      </c>
      <c r="D197" s="19">
        <v>46035</v>
      </c>
      <c r="E197" s="63">
        <v>2159128</v>
      </c>
      <c r="F197" s="60">
        <v>256779422209</v>
      </c>
      <c r="G197" s="21" t="s">
        <v>41</v>
      </c>
      <c r="H197" s="22">
        <v>-45.63</v>
      </c>
      <c r="I197" s="21" t="s">
        <v>42</v>
      </c>
      <c r="J197" s="22">
        <v>-4140.6099999999997</v>
      </c>
      <c r="K197" s="22">
        <f>_xlfn.XLOOKUP(F197,'[1]Ascendus data working'!$B:$B,'[1]Ascendus data working'!$F:$F,,0)</f>
        <v>-45.63</v>
      </c>
      <c r="L197" s="22">
        <f>_xlfn.XLOOKUP(F197,'Customer ledger'!$A:$A,'Customer ledger'!$D:$D,,0)</f>
        <v>-41.07</v>
      </c>
      <c r="M197" s="22">
        <f t="shared" si="3"/>
        <v>-4.5600000000000023</v>
      </c>
      <c r="N197" s="21" t="s">
        <v>442</v>
      </c>
      <c r="O197" s="21" t="s">
        <v>39</v>
      </c>
      <c r="Q197"/>
    </row>
    <row r="198" spans="1:17" x14ac:dyDescent="0.35">
      <c r="A198" s="61">
        <v>1600002740</v>
      </c>
      <c r="B198" s="21" t="s">
        <v>46</v>
      </c>
      <c r="C198" s="19">
        <v>46035</v>
      </c>
      <c r="D198" s="19">
        <v>46035</v>
      </c>
      <c r="E198" s="63">
        <v>2159128</v>
      </c>
      <c r="F198" s="60">
        <v>256779422210</v>
      </c>
      <c r="G198" s="21" t="s">
        <v>41</v>
      </c>
      <c r="H198" s="22">
        <v>-22.64</v>
      </c>
      <c r="I198" s="21" t="s">
        <v>42</v>
      </c>
      <c r="J198" s="22">
        <v>-2054.42</v>
      </c>
      <c r="K198" s="22">
        <f>_xlfn.XLOOKUP(F198,'[1]Ascendus data working'!$B:$B,'[1]Ascendus data working'!$F:$F,,0)</f>
        <v>-22.64</v>
      </c>
      <c r="L198" s="22">
        <f>_xlfn.XLOOKUP(F198,'Customer ledger'!$A:$A,'Customer ledger'!$D:$D,,0)</f>
        <v>-22.64</v>
      </c>
      <c r="M198" s="22">
        <f t="shared" si="3"/>
        <v>0</v>
      </c>
      <c r="N198" s="21" t="s">
        <v>444</v>
      </c>
      <c r="O198" s="21" t="s">
        <v>39</v>
      </c>
      <c r="Q198"/>
    </row>
    <row r="199" spans="1:17" x14ac:dyDescent="0.35">
      <c r="A199" s="61">
        <v>1600002741</v>
      </c>
      <c r="B199" s="21" t="s">
        <v>46</v>
      </c>
      <c r="C199" s="19">
        <v>46035</v>
      </c>
      <c r="D199" s="19">
        <v>46035</v>
      </c>
      <c r="E199" s="63">
        <v>2159128</v>
      </c>
      <c r="F199" s="60">
        <v>256779422211</v>
      </c>
      <c r="G199" s="21" t="s">
        <v>41</v>
      </c>
      <c r="H199" s="22">
        <v>-21.96</v>
      </c>
      <c r="I199" s="21" t="s">
        <v>42</v>
      </c>
      <c r="J199" s="22">
        <v>-1992.72</v>
      </c>
      <c r="K199" s="22">
        <f>_xlfn.XLOOKUP(F199,'[1]Ascendus data working'!$B:$B,'[1]Ascendus data working'!$F:$F,,0)</f>
        <v>-21.96</v>
      </c>
      <c r="L199" s="22">
        <f>_xlfn.XLOOKUP(F199,'Customer ledger'!$A:$A,'Customer ledger'!$D:$D,,0)</f>
        <v>-19.760000000000002</v>
      </c>
      <c r="M199" s="22">
        <f t="shared" si="3"/>
        <v>-2.1999999999999993</v>
      </c>
      <c r="N199" s="21" t="s">
        <v>446</v>
      </c>
      <c r="O199" s="21" t="s">
        <v>39</v>
      </c>
      <c r="Q199"/>
    </row>
    <row r="200" spans="1:17" x14ac:dyDescent="0.35">
      <c r="A200" s="61">
        <v>1800017111</v>
      </c>
      <c r="B200" s="21" t="s">
        <v>35</v>
      </c>
      <c r="C200" s="19">
        <v>46045</v>
      </c>
      <c r="D200" s="19">
        <v>46049</v>
      </c>
      <c r="E200" s="63">
        <v>2163152</v>
      </c>
      <c r="F200" s="60">
        <v>256779440431</v>
      </c>
      <c r="G200" s="21" t="s">
        <v>41</v>
      </c>
      <c r="H200" s="22">
        <v>3</v>
      </c>
      <c r="I200" s="21" t="s">
        <v>42</v>
      </c>
      <c r="J200" s="22">
        <v>272.23</v>
      </c>
      <c r="K200" s="22">
        <f>_xlfn.XLOOKUP(F200,'[1]Ascendus data working'!$B:$B,'[1]Ascendus data working'!$F:$F,,0)</f>
        <v>3</v>
      </c>
      <c r="L200" s="22">
        <f>_xlfn.XLOOKUP(F200,'Customer ledger'!$A:$A,'Customer ledger'!$D:$D,,0)</f>
        <v>2.94</v>
      </c>
      <c r="M200" s="22">
        <f t="shared" si="3"/>
        <v>6.0000000000000053E-2</v>
      </c>
      <c r="N200" s="21" t="s">
        <v>81</v>
      </c>
      <c r="O200" s="21" t="s">
        <v>39</v>
      </c>
      <c r="Q200"/>
    </row>
    <row r="201" spans="1:17" x14ac:dyDescent="0.35">
      <c r="A201" s="61">
        <v>1400002558</v>
      </c>
      <c r="B201" s="21" t="s">
        <v>83</v>
      </c>
      <c r="C201" s="19">
        <v>46050</v>
      </c>
      <c r="D201" s="19">
        <v>46050</v>
      </c>
      <c r="E201" s="62" t="s">
        <v>449</v>
      </c>
      <c r="F201" s="60">
        <v>2166093</v>
      </c>
      <c r="G201" s="21" t="s">
        <v>41</v>
      </c>
      <c r="H201" s="22">
        <v>-10691.42</v>
      </c>
      <c r="I201" s="21" t="s">
        <v>42</v>
      </c>
      <c r="J201" s="22">
        <v>-970173.02</v>
      </c>
      <c r="K201" s="22">
        <f>H201</f>
        <v>-10691.42</v>
      </c>
      <c r="L201" s="22" t="e">
        <f>_xlfn.XLOOKUP(F201,'Customer ledger'!$A:$A,'Customer ledger'!$D:$D,,0)</f>
        <v>#N/A</v>
      </c>
      <c r="M201" s="22" t="e">
        <f t="shared" si="3"/>
        <v>#N/A</v>
      </c>
      <c r="N201" s="21" t="s">
        <v>39</v>
      </c>
      <c r="O201" s="21" t="s">
        <v>39</v>
      </c>
      <c r="Q201"/>
    </row>
    <row r="202" spans="1:17" s="67" customFormat="1" x14ac:dyDescent="0.35">
      <c r="A202" s="66"/>
      <c r="C202" s="68"/>
      <c r="D202" s="68"/>
      <c r="E202" s="69"/>
      <c r="F202" s="70"/>
      <c r="H202" s="71"/>
      <c r="J202" s="71"/>
      <c r="K202" s="71">
        <f>SUM(K2:K201)</f>
        <v>8974.5146266300089</v>
      </c>
      <c r="L202" s="71"/>
      <c r="M202" s="71"/>
    </row>
    <row r="203" spans="1:17" s="67" customFormat="1" x14ac:dyDescent="0.35">
      <c r="A203" s="66"/>
      <c r="C203" s="68"/>
      <c r="D203" s="68"/>
      <c r="E203" s="69"/>
      <c r="F203" s="70"/>
      <c r="H203" s="71"/>
      <c r="J203" s="71"/>
      <c r="K203" s="71"/>
      <c r="L203" s="71"/>
      <c r="M203" s="71"/>
    </row>
    <row r="204" spans="1:17" x14ac:dyDescent="0.35">
      <c r="K204" s="36"/>
      <c r="L204" s="36"/>
      <c r="M204" s="36"/>
      <c r="N204"/>
      <c r="Q204"/>
    </row>
    <row r="205" spans="1:17" x14ac:dyDescent="0.35">
      <c r="K205" s="36"/>
      <c r="L205" s="36"/>
      <c r="M205" s="36"/>
      <c r="N205"/>
      <c r="Q205"/>
    </row>
    <row r="206" spans="1:17" x14ac:dyDescent="0.35">
      <c r="K206" s="36"/>
      <c r="L206" s="36"/>
      <c r="M206" s="36"/>
      <c r="N206"/>
      <c r="Q206"/>
    </row>
    <row r="207" spans="1:17" x14ac:dyDescent="0.35">
      <c r="K207" s="36"/>
      <c r="L207" s="36"/>
      <c r="M207" s="36"/>
      <c r="N207"/>
      <c r="Q207"/>
    </row>
    <row r="208" spans="1:17" x14ac:dyDescent="0.35">
      <c r="K208" s="36"/>
      <c r="L208" s="36"/>
      <c r="M208" s="36"/>
      <c r="N208"/>
      <c r="Q208"/>
    </row>
    <row r="209" spans="11:17" x14ac:dyDescent="0.35">
      <c r="K209" s="36"/>
      <c r="L209" s="36"/>
      <c r="M209" s="36"/>
      <c r="N209"/>
      <c r="Q209"/>
    </row>
    <row r="210" spans="11:17" x14ac:dyDescent="0.35">
      <c r="K210" s="36"/>
      <c r="L210" s="36"/>
      <c r="M210" s="36"/>
      <c r="N210"/>
      <c r="Q210"/>
    </row>
    <row r="211" spans="11:17" x14ac:dyDescent="0.35">
      <c r="K211" s="36"/>
      <c r="L211" s="36"/>
      <c r="M211" s="36"/>
      <c r="N211"/>
      <c r="Q211"/>
    </row>
    <row r="212" spans="11:17" x14ac:dyDescent="0.35">
      <c r="K212" s="36"/>
      <c r="L212" s="36"/>
      <c r="M212" s="36"/>
      <c r="N212"/>
      <c r="Q212"/>
    </row>
    <row r="213" spans="11:17" x14ac:dyDescent="0.35">
      <c r="K213" s="36"/>
      <c r="L213" s="36"/>
      <c r="M213" s="36"/>
      <c r="N213"/>
      <c r="Q213"/>
    </row>
    <row r="214" spans="11:17" x14ac:dyDescent="0.35">
      <c r="K214" s="36"/>
      <c r="L214" s="36"/>
      <c r="M214" s="36"/>
      <c r="N214"/>
      <c r="Q214"/>
    </row>
    <row r="215" spans="11:17" x14ac:dyDescent="0.35">
      <c r="K215" s="36"/>
      <c r="L215" s="36"/>
      <c r="M215" s="36"/>
      <c r="N215"/>
      <c r="Q215"/>
    </row>
    <row r="216" spans="11:17" x14ac:dyDescent="0.35">
      <c r="K216" s="36"/>
      <c r="L216" s="36"/>
      <c r="M216" s="36"/>
      <c r="N216"/>
      <c r="Q216"/>
    </row>
    <row r="217" spans="11:17" x14ac:dyDescent="0.35">
      <c r="K217" s="36"/>
      <c r="L217" s="36"/>
      <c r="M217" s="36"/>
      <c r="N217"/>
      <c r="Q217"/>
    </row>
    <row r="218" spans="11:17" x14ac:dyDescent="0.35">
      <c r="K218" s="36"/>
      <c r="L218" s="36"/>
      <c r="M218" s="36"/>
      <c r="N218"/>
      <c r="Q218"/>
    </row>
    <row r="219" spans="11:17" x14ac:dyDescent="0.35">
      <c r="K219" s="36"/>
      <c r="L219" s="36"/>
      <c r="M219" s="36"/>
      <c r="N219"/>
      <c r="Q219"/>
    </row>
    <row r="220" spans="11:17" x14ac:dyDescent="0.35">
      <c r="K220" s="36"/>
      <c r="L220" s="36"/>
      <c r="M220" s="36"/>
      <c r="N220"/>
      <c r="Q220"/>
    </row>
    <row r="221" spans="11:17" x14ac:dyDescent="0.35">
      <c r="K221" s="36"/>
      <c r="L221" s="36"/>
      <c r="M221" s="36"/>
      <c r="N221"/>
      <c r="Q221"/>
    </row>
    <row r="222" spans="11:17" x14ac:dyDescent="0.35">
      <c r="K222" s="36"/>
      <c r="L222" s="36"/>
      <c r="M222" s="36"/>
      <c r="N222"/>
      <c r="Q222"/>
    </row>
    <row r="223" spans="11:17" x14ac:dyDescent="0.35">
      <c r="K223" s="36"/>
      <c r="L223" s="36"/>
      <c r="M223" s="36"/>
      <c r="N223"/>
      <c r="Q223"/>
    </row>
  </sheetData>
  <autoFilter ref="A1:Q202" xr:uid="{6A120FF3-1CB6-46A9-B647-4287AE3CC6A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5EAD-5B88-4537-AD97-FD3DF26F7874}">
  <dimension ref="A1:AH230"/>
  <sheetViews>
    <sheetView topLeftCell="I192" workbookViewId="0">
      <selection activeCell="H1" sqref="H1:AH226"/>
    </sheetView>
  </sheetViews>
  <sheetFormatPr defaultRowHeight="12.5" outlineLevelRow="2" x14ac:dyDescent="0.35"/>
  <cols>
    <col min="1" max="2" width="14" style="3" hidden="1" customWidth="1"/>
    <col min="3" max="3" width="11" style="3" hidden="1" customWidth="1"/>
    <col min="4" max="4" width="35" style="3" hidden="1" customWidth="1"/>
    <col min="5" max="5" width="13" style="3" hidden="1" customWidth="1"/>
    <col min="6" max="6" width="10" style="3" hidden="1" customWidth="1"/>
    <col min="7" max="7" width="14" style="3" hidden="1" customWidth="1"/>
    <col min="8" max="8" width="11.1796875" style="3" customWidth="1"/>
    <col min="9" max="9" width="4.1796875" style="3" customWidth="1"/>
    <col min="10" max="11" width="11.453125" style="57" customWidth="1"/>
    <col min="12" max="12" width="15.453125" style="3" customWidth="1"/>
    <col min="13" max="13" width="17" style="3" bestFit="1" customWidth="1"/>
    <col min="14" max="14" width="13" style="3" hidden="1" customWidth="1"/>
    <col min="15" max="15" width="25" style="3" hidden="1" customWidth="1"/>
    <col min="16" max="16" width="18" style="3" hidden="1" customWidth="1"/>
    <col min="17" max="17" width="13" style="3" hidden="1" customWidth="1"/>
    <col min="18" max="18" width="4.7265625" style="3" customWidth="1"/>
    <col min="19" max="19" width="12" style="3" bestFit="1" customWidth="1"/>
    <col min="20" max="20" width="4.26953125" style="3" customWidth="1"/>
    <col min="21" max="21" width="12" style="3" bestFit="1" customWidth="1"/>
    <col min="22" max="22" width="10" style="3" hidden="1" customWidth="1"/>
    <col min="23" max="23" width="15" style="3" hidden="1" customWidth="1"/>
    <col min="24" max="24" width="21" style="3" hidden="1" customWidth="1"/>
    <col min="25" max="25" width="16" style="3" hidden="1" customWidth="1"/>
    <col min="26" max="26" width="6" style="3" hidden="1" customWidth="1"/>
    <col min="27" max="27" width="12.1796875" style="3" bestFit="1" customWidth="1"/>
    <col min="28" max="28" width="41.26953125" style="3" customWidth="1"/>
    <col min="29" max="31" width="17" style="3" hidden="1" customWidth="1"/>
    <col min="32" max="32" width="22" style="3" hidden="1" customWidth="1"/>
    <col min="33" max="33" width="1.453125" style="3" hidden="1" customWidth="1"/>
    <col min="34" max="34" width="19" style="3" bestFit="1" customWidth="1"/>
    <col min="35" max="16384" width="8.7265625" style="3"/>
  </cols>
  <sheetData>
    <row r="1" spans="1:34" ht="112.5" x14ac:dyDescent="0.35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56" t="s">
        <v>8</v>
      </c>
      <c r="K1" s="56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/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</row>
    <row r="2" spans="1:34" outlineLevel="2" x14ac:dyDescent="0.35">
      <c r="A2" s="3" t="s">
        <v>116</v>
      </c>
      <c r="B2" s="3" t="s">
        <v>32</v>
      </c>
      <c r="C2" s="3" t="s">
        <v>117</v>
      </c>
      <c r="D2" s="3" t="s">
        <v>118</v>
      </c>
      <c r="E2" s="3" t="s">
        <v>33</v>
      </c>
      <c r="F2" s="3" t="s">
        <v>61</v>
      </c>
      <c r="G2" s="4">
        <v>45902</v>
      </c>
      <c r="H2" s="3" t="s">
        <v>119</v>
      </c>
      <c r="I2" s="3" t="s">
        <v>86</v>
      </c>
      <c r="J2" s="4">
        <v>45902</v>
      </c>
      <c r="K2" s="4">
        <v>45902</v>
      </c>
      <c r="L2" s="3" t="s">
        <v>39</v>
      </c>
      <c r="M2" s="3" t="s">
        <v>39</v>
      </c>
      <c r="N2" s="3" t="s">
        <v>37</v>
      </c>
      <c r="O2" s="3" t="s">
        <v>38</v>
      </c>
      <c r="P2" s="3" t="s">
        <v>39</v>
      </c>
      <c r="Q2" s="3" t="s">
        <v>88</v>
      </c>
      <c r="R2" s="3" t="s">
        <v>41</v>
      </c>
      <c r="S2" s="5">
        <v>104184.06</v>
      </c>
      <c r="T2" s="3" t="s">
        <v>42</v>
      </c>
      <c r="U2" s="5">
        <v>102382.08</v>
      </c>
      <c r="V2" s="3" t="s">
        <v>39</v>
      </c>
      <c r="W2" s="3" t="s">
        <v>48</v>
      </c>
      <c r="X2" s="3" t="s">
        <v>39</v>
      </c>
      <c r="Y2" s="3" t="s">
        <v>39</v>
      </c>
      <c r="Z2" s="3" t="s">
        <v>44</v>
      </c>
      <c r="AA2" s="50">
        <f>U2</f>
        <v>102382.08</v>
      </c>
      <c r="AB2" s="3" t="s">
        <v>39</v>
      </c>
      <c r="AC2" s="3" t="s">
        <v>39</v>
      </c>
      <c r="AD2" s="3" t="s">
        <v>39</v>
      </c>
      <c r="AE2" s="3" t="s">
        <v>39</v>
      </c>
      <c r="AF2" s="4">
        <v>45902</v>
      </c>
      <c r="AG2" s="4">
        <v>45902</v>
      </c>
      <c r="AH2" s="39">
        <v>1400001107</v>
      </c>
    </row>
    <row r="3" spans="1:34" outlineLevel="2" x14ac:dyDescent="0.35">
      <c r="A3" s="3" t="s">
        <v>116</v>
      </c>
      <c r="B3" s="3" t="s">
        <v>32</v>
      </c>
      <c r="C3" s="3" t="s">
        <v>117</v>
      </c>
      <c r="D3" s="3" t="s">
        <v>118</v>
      </c>
      <c r="E3" s="3" t="s">
        <v>33</v>
      </c>
      <c r="F3" s="3" t="s">
        <v>61</v>
      </c>
      <c r="G3" s="4">
        <v>45902</v>
      </c>
      <c r="H3" s="3" t="s">
        <v>119</v>
      </c>
      <c r="I3" s="3" t="s">
        <v>86</v>
      </c>
      <c r="J3" s="4">
        <v>45902</v>
      </c>
      <c r="K3" s="4">
        <v>45902</v>
      </c>
      <c r="L3" s="3" t="s">
        <v>39</v>
      </c>
      <c r="M3" s="3" t="s">
        <v>39</v>
      </c>
      <c r="N3" s="3" t="s">
        <v>37</v>
      </c>
      <c r="O3" s="3" t="s">
        <v>38</v>
      </c>
      <c r="P3" s="3" t="s">
        <v>39</v>
      </c>
      <c r="Q3" s="3" t="s">
        <v>84</v>
      </c>
      <c r="R3" s="3" t="s">
        <v>41</v>
      </c>
      <c r="S3" s="5">
        <v>-104184.06</v>
      </c>
      <c r="T3" s="3" t="s">
        <v>42</v>
      </c>
      <c r="U3" s="5">
        <v>-101775.06</v>
      </c>
      <c r="V3" s="3" t="s">
        <v>39</v>
      </c>
      <c r="W3" s="3" t="s">
        <v>48</v>
      </c>
      <c r="X3" s="3" t="s">
        <v>39</v>
      </c>
      <c r="Y3" s="3" t="s">
        <v>39</v>
      </c>
      <c r="Z3" s="3" t="s">
        <v>82</v>
      </c>
      <c r="AA3" s="50">
        <f>U3</f>
        <v>-101775.06</v>
      </c>
      <c r="AB3" s="3" t="s">
        <v>39</v>
      </c>
      <c r="AC3" s="3" t="s">
        <v>39</v>
      </c>
      <c r="AD3" s="3" t="s">
        <v>39</v>
      </c>
      <c r="AE3" s="3" t="s">
        <v>39</v>
      </c>
      <c r="AF3" s="4">
        <v>45902</v>
      </c>
      <c r="AG3" s="4">
        <v>45902</v>
      </c>
      <c r="AH3" s="39">
        <v>1400001107</v>
      </c>
    </row>
    <row r="4" spans="1:34" outlineLevel="2" x14ac:dyDescent="0.35">
      <c r="A4" s="3" t="s">
        <v>116</v>
      </c>
      <c r="B4" s="3" t="s">
        <v>32</v>
      </c>
      <c r="C4" s="3" t="s">
        <v>117</v>
      </c>
      <c r="D4" s="3" t="s">
        <v>118</v>
      </c>
      <c r="E4" s="3" t="s">
        <v>33</v>
      </c>
      <c r="F4" s="3" t="s">
        <v>49</v>
      </c>
      <c r="G4" s="4">
        <v>45861</v>
      </c>
      <c r="H4" s="3" t="s">
        <v>120</v>
      </c>
      <c r="I4" s="3" t="s">
        <v>86</v>
      </c>
      <c r="J4" s="4">
        <v>45861</v>
      </c>
      <c r="K4" s="4">
        <v>45861</v>
      </c>
      <c r="L4" s="3" t="s">
        <v>39</v>
      </c>
      <c r="M4" s="3" t="s">
        <v>39</v>
      </c>
      <c r="N4" s="3" t="s">
        <v>37</v>
      </c>
      <c r="O4" s="3" t="s">
        <v>38</v>
      </c>
      <c r="P4" s="3" t="s">
        <v>39</v>
      </c>
      <c r="Q4" s="3" t="s">
        <v>88</v>
      </c>
      <c r="R4" s="3" t="s">
        <v>41</v>
      </c>
      <c r="S4" s="5">
        <v>198636.61</v>
      </c>
      <c r="T4" s="3" t="s">
        <v>42</v>
      </c>
      <c r="U4" s="5">
        <v>200764.2</v>
      </c>
      <c r="V4" s="3" t="s">
        <v>39</v>
      </c>
      <c r="W4" s="3" t="s">
        <v>48</v>
      </c>
      <c r="X4" s="3" t="s">
        <v>39</v>
      </c>
      <c r="Y4" s="3" t="s">
        <v>39</v>
      </c>
      <c r="Z4" s="3" t="s">
        <v>44</v>
      </c>
      <c r="AA4" s="50">
        <f>U4</f>
        <v>200764.2</v>
      </c>
      <c r="AB4" s="3" t="s">
        <v>39</v>
      </c>
      <c r="AC4" s="3" t="s">
        <v>39</v>
      </c>
      <c r="AD4" s="3" t="s">
        <v>39</v>
      </c>
      <c r="AE4" s="3" t="s">
        <v>39</v>
      </c>
      <c r="AF4" s="4">
        <v>45861</v>
      </c>
      <c r="AG4" s="4">
        <v>45861</v>
      </c>
      <c r="AH4" s="39">
        <v>1400000797</v>
      </c>
    </row>
    <row r="5" spans="1:34" outlineLevel="2" x14ac:dyDescent="0.35">
      <c r="A5" s="3" t="s">
        <v>116</v>
      </c>
      <c r="B5" s="3" t="s">
        <v>32</v>
      </c>
      <c r="C5" s="3" t="s">
        <v>117</v>
      </c>
      <c r="D5" s="3" t="s">
        <v>118</v>
      </c>
      <c r="E5" s="3" t="s">
        <v>33</v>
      </c>
      <c r="F5" s="3" t="s">
        <v>49</v>
      </c>
      <c r="G5" s="4">
        <v>45861</v>
      </c>
      <c r="H5" s="3" t="s">
        <v>120</v>
      </c>
      <c r="I5" s="3" t="s">
        <v>86</v>
      </c>
      <c r="J5" s="4">
        <v>45861</v>
      </c>
      <c r="K5" s="4">
        <v>45861</v>
      </c>
      <c r="L5" s="3" t="s">
        <v>39</v>
      </c>
      <c r="M5" s="3" t="s">
        <v>39</v>
      </c>
      <c r="N5" s="3" t="s">
        <v>37</v>
      </c>
      <c r="O5" s="3" t="s">
        <v>38</v>
      </c>
      <c r="P5" s="3" t="s">
        <v>39</v>
      </c>
      <c r="Q5" s="3" t="s">
        <v>84</v>
      </c>
      <c r="R5" s="3" t="s">
        <v>41</v>
      </c>
      <c r="S5" s="5">
        <v>-198636.61</v>
      </c>
      <c r="T5" s="3" t="s">
        <v>42</v>
      </c>
      <c r="U5" s="5">
        <v>-200764.2</v>
      </c>
      <c r="V5" s="3" t="s">
        <v>39</v>
      </c>
      <c r="W5" s="3" t="s">
        <v>48</v>
      </c>
      <c r="X5" s="3" t="s">
        <v>39</v>
      </c>
      <c r="Y5" s="3" t="s">
        <v>39</v>
      </c>
      <c r="Z5" s="3" t="s">
        <v>82</v>
      </c>
      <c r="AA5" s="50">
        <f>U5</f>
        <v>-200764.2</v>
      </c>
      <c r="AB5" s="3" t="s">
        <v>39</v>
      </c>
      <c r="AC5" s="3" t="s">
        <v>39</v>
      </c>
      <c r="AD5" s="3" t="s">
        <v>39</v>
      </c>
      <c r="AE5" s="3" t="s">
        <v>39</v>
      </c>
      <c r="AF5" s="4">
        <v>45861</v>
      </c>
      <c r="AG5" s="4">
        <v>45861</v>
      </c>
      <c r="AH5" s="39">
        <v>1400000797</v>
      </c>
    </row>
    <row r="6" spans="1:34" outlineLevel="2" x14ac:dyDescent="0.35">
      <c r="A6" s="3" t="s">
        <v>121</v>
      </c>
      <c r="B6" s="3" t="s">
        <v>32</v>
      </c>
      <c r="C6" s="3" t="s">
        <v>117</v>
      </c>
      <c r="D6" s="3" t="s">
        <v>118</v>
      </c>
      <c r="E6" s="3" t="s">
        <v>33</v>
      </c>
      <c r="F6" s="3" t="s">
        <v>59</v>
      </c>
      <c r="G6" s="4">
        <v>45891</v>
      </c>
      <c r="H6" s="3" t="s">
        <v>122</v>
      </c>
      <c r="I6" s="3" t="s">
        <v>83</v>
      </c>
      <c r="J6" s="4">
        <v>45891</v>
      </c>
      <c r="K6" s="4">
        <v>45891</v>
      </c>
      <c r="L6" s="3" t="s">
        <v>123</v>
      </c>
      <c r="M6" s="3" t="s">
        <v>39</v>
      </c>
      <c r="N6" s="3" t="s">
        <v>37</v>
      </c>
      <c r="O6" s="3" t="s">
        <v>38</v>
      </c>
      <c r="P6" s="3" t="s">
        <v>39</v>
      </c>
      <c r="Q6" s="3" t="s">
        <v>84</v>
      </c>
      <c r="R6" s="3" t="s">
        <v>41</v>
      </c>
      <c r="S6" s="5">
        <v>-4582.99</v>
      </c>
      <c r="T6" s="3" t="s">
        <v>42</v>
      </c>
      <c r="U6" s="5">
        <v>-394140.21</v>
      </c>
      <c r="V6" s="3" t="s">
        <v>39</v>
      </c>
      <c r="W6" s="3" t="s">
        <v>85</v>
      </c>
      <c r="X6" s="3" t="s">
        <v>39</v>
      </c>
      <c r="Y6" s="3" t="s">
        <v>39</v>
      </c>
      <c r="Z6" s="3" t="s">
        <v>82</v>
      </c>
      <c r="AA6" s="41">
        <f t="shared" ref="AA6:AA13" si="0">S6</f>
        <v>-4582.99</v>
      </c>
      <c r="AB6" s="3" t="s">
        <v>39</v>
      </c>
      <c r="AC6" s="3" t="s">
        <v>39</v>
      </c>
      <c r="AD6" s="3" t="s">
        <v>39</v>
      </c>
      <c r="AE6" s="3" t="s">
        <v>39</v>
      </c>
      <c r="AF6" s="4">
        <v>45891</v>
      </c>
      <c r="AG6" s="4"/>
      <c r="AH6" s="3" t="s">
        <v>39</v>
      </c>
    </row>
    <row r="7" spans="1:34" outlineLevel="2" x14ac:dyDescent="0.35">
      <c r="A7" s="3" t="s">
        <v>116</v>
      </c>
      <c r="B7" s="3" t="s">
        <v>32</v>
      </c>
      <c r="C7" s="3" t="s">
        <v>117</v>
      </c>
      <c r="D7" s="3" t="s">
        <v>118</v>
      </c>
      <c r="E7" s="3" t="s">
        <v>33</v>
      </c>
      <c r="F7" s="3" t="s">
        <v>49</v>
      </c>
      <c r="G7" s="4">
        <v>45862</v>
      </c>
      <c r="H7" s="3" t="s">
        <v>124</v>
      </c>
      <c r="I7" s="3" t="s">
        <v>83</v>
      </c>
      <c r="J7" s="4">
        <v>45862</v>
      </c>
      <c r="K7" s="4">
        <v>45862</v>
      </c>
      <c r="L7" s="3" t="s">
        <v>125</v>
      </c>
      <c r="M7" s="3" t="s">
        <v>39</v>
      </c>
      <c r="N7" s="3" t="s">
        <v>37</v>
      </c>
      <c r="O7" s="3" t="s">
        <v>38</v>
      </c>
      <c r="P7" s="3" t="s">
        <v>39</v>
      </c>
      <c r="Q7" s="3" t="s">
        <v>84</v>
      </c>
      <c r="R7" s="3" t="s">
        <v>41</v>
      </c>
      <c r="S7" s="5">
        <v>-8262.11</v>
      </c>
      <c r="T7" s="3" t="s">
        <v>42</v>
      </c>
      <c r="U7" s="5">
        <v>-713050.33</v>
      </c>
      <c r="V7" s="3" t="s">
        <v>39</v>
      </c>
      <c r="W7" s="3" t="s">
        <v>48</v>
      </c>
      <c r="X7" s="3" t="s">
        <v>39</v>
      </c>
      <c r="Y7" s="3" t="s">
        <v>39</v>
      </c>
      <c r="Z7" s="3" t="s">
        <v>51</v>
      </c>
      <c r="AA7" s="41">
        <f t="shared" si="0"/>
        <v>-8262.11</v>
      </c>
      <c r="AB7" s="3" t="s">
        <v>125</v>
      </c>
      <c r="AC7" s="3" t="s">
        <v>39</v>
      </c>
      <c r="AD7" s="3" t="s">
        <v>39</v>
      </c>
      <c r="AE7" s="3" t="s">
        <v>39</v>
      </c>
      <c r="AF7" s="4">
        <v>45862</v>
      </c>
      <c r="AG7" s="4">
        <v>45862</v>
      </c>
      <c r="AH7" s="39">
        <v>1400000805</v>
      </c>
    </row>
    <row r="8" spans="1:34" outlineLevel="2" x14ac:dyDescent="0.35">
      <c r="A8" s="3" t="s">
        <v>121</v>
      </c>
      <c r="B8" s="3" t="s">
        <v>32</v>
      </c>
      <c r="C8" s="3" t="s">
        <v>117</v>
      </c>
      <c r="D8" s="3" t="s">
        <v>118</v>
      </c>
      <c r="E8" s="3" t="s">
        <v>33</v>
      </c>
      <c r="F8" s="3" t="s">
        <v>65</v>
      </c>
      <c r="G8" s="4">
        <v>45955</v>
      </c>
      <c r="H8" s="3" t="s">
        <v>126</v>
      </c>
      <c r="I8" s="3" t="s">
        <v>83</v>
      </c>
      <c r="J8" s="4">
        <v>45955</v>
      </c>
      <c r="K8" s="4">
        <v>45955</v>
      </c>
      <c r="L8" s="3" t="s">
        <v>127</v>
      </c>
      <c r="M8" s="3" t="s">
        <v>39</v>
      </c>
      <c r="N8" s="3" t="s">
        <v>37</v>
      </c>
      <c r="O8" s="3" t="s">
        <v>38</v>
      </c>
      <c r="P8" s="3" t="s">
        <v>39</v>
      </c>
      <c r="Q8" s="3" t="s">
        <v>84</v>
      </c>
      <c r="R8" s="3" t="s">
        <v>41</v>
      </c>
      <c r="S8" s="5">
        <v>-4875.1499999999996</v>
      </c>
      <c r="T8" s="3" t="s">
        <v>42</v>
      </c>
      <c r="U8" s="5">
        <v>-429943.23</v>
      </c>
      <c r="V8" s="3" t="s">
        <v>39</v>
      </c>
      <c r="W8" s="3" t="s">
        <v>85</v>
      </c>
      <c r="X8" s="3" t="s">
        <v>39</v>
      </c>
      <c r="Y8" s="3" t="s">
        <v>39</v>
      </c>
      <c r="Z8" s="3" t="s">
        <v>82</v>
      </c>
      <c r="AA8" s="41">
        <f t="shared" si="0"/>
        <v>-4875.1499999999996</v>
      </c>
      <c r="AB8" s="3" t="s">
        <v>39</v>
      </c>
      <c r="AC8" s="3" t="s">
        <v>39</v>
      </c>
      <c r="AD8" s="3" t="s">
        <v>39</v>
      </c>
      <c r="AE8" s="3" t="s">
        <v>39</v>
      </c>
      <c r="AF8" s="4">
        <v>45955</v>
      </c>
      <c r="AG8" s="4"/>
      <c r="AH8" s="3" t="s">
        <v>39</v>
      </c>
    </row>
    <row r="9" spans="1:34" outlineLevel="2" x14ac:dyDescent="0.35">
      <c r="A9" s="3" t="s">
        <v>116</v>
      </c>
      <c r="B9" s="3" t="s">
        <v>32</v>
      </c>
      <c r="C9" s="3" t="s">
        <v>117</v>
      </c>
      <c r="D9" s="3" t="s">
        <v>118</v>
      </c>
      <c r="E9" s="3" t="s">
        <v>33</v>
      </c>
      <c r="F9" s="3" t="s">
        <v>47</v>
      </c>
      <c r="G9" s="4">
        <v>45976</v>
      </c>
      <c r="H9" s="3" t="s">
        <v>128</v>
      </c>
      <c r="I9" s="3" t="s">
        <v>86</v>
      </c>
      <c r="J9" s="4">
        <v>45976</v>
      </c>
      <c r="K9" s="4">
        <v>45976</v>
      </c>
      <c r="L9" s="3" t="s">
        <v>36</v>
      </c>
      <c r="M9" s="3" t="s">
        <v>87</v>
      </c>
      <c r="N9" s="3" t="s">
        <v>37</v>
      </c>
      <c r="O9" s="3" t="s">
        <v>38</v>
      </c>
      <c r="P9" s="3" t="s">
        <v>39</v>
      </c>
      <c r="Q9" s="3" t="s">
        <v>88</v>
      </c>
      <c r="R9" s="3" t="s">
        <v>41</v>
      </c>
      <c r="S9" s="5">
        <v>0</v>
      </c>
      <c r="T9" s="3" t="s">
        <v>42</v>
      </c>
      <c r="U9" s="5">
        <v>0</v>
      </c>
      <c r="V9" s="3" t="s">
        <v>39</v>
      </c>
      <c r="W9" s="3" t="s">
        <v>48</v>
      </c>
      <c r="X9" s="3" t="s">
        <v>39</v>
      </c>
      <c r="Y9" s="3" t="s">
        <v>39</v>
      </c>
      <c r="Z9" s="3" t="s">
        <v>44</v>
      </c>
      <c r="AA9" s="41">
        <f t="shared" si="0"/>
        <v>0</v>
      </c>
      <c r="AB9" s="3" t="s">
        <v>39</v>
      </c>
      <c r="AC9" s="3" t="s">
        <v>39</v>
      </c>
      <c r="AD9" s="3" t="s">
        <v>39</v>
      </c>
      <c r="AE9" s="3" t="s">
        <v>39</v>
      </c>
      <c r="AF9" s="4">
        <v>45976</v>
      </c>
      <c r="AG9" s="4">
        <v>45976</v>
      </c>
      <c r="AH9" s="39">
        <v>1400001904</v>
      </c>
    </row>
    <row r="10" spans="1:34" outlineLevel="2" x14ac:dyDescent="0.35">
      <c r="A10" s="3" t="s">
        <v>116</v>
      </c>
      <c r="B10" s="3" t="s">
        <v>32</v>
      </c>
      <c r="C10" s="3" t="s">
        <v>117</v>
      </c>
      <c r="D10" s="3" t="s">
        <v>118</v>
      </c>
      <c r="E10" s="3" t="s">
        <v>33</v>
      </c>
      <c r="F10" s="3" t="s">
        <v>47</v>
      </c>
      <c r="G10" s="4">
        <v>45976</v>
      </c>
      <c r="H10" s="3" t="s">
        <v>129</v>
      </c>
      <c r="I10" s="3" t="s">
        <v>86</v>
      </c>
      <c r="J10" s="4">
        <v>45976</v>
      </c>
      <c r="K10" s="4">
        <v>45976</v>
      </c>
      <c r="L10" s="3" t="s">
        <v>36</v>
      </c>
      <c r="M10" s="3" t="s">
        <v>87</v>
      </c>
      <c r="N10" s="3" t="s">
        <v>37</v>
      </c>
      <c r="O10" s="3" t="s">
        <v>38</v>
      </c>
      <c r="P10" s="3" t="s">
        <v>39</v>
      </c>
      <c r="Q10" s="3" t="s">
        <v>88</v>
      </c>
      <c r="R10" s="3" t="s">
        <v>41</v>
      </c>
      <c r="S10" s="5">
        <v>879.2</v>
      </c>
      <c r="T10" s="3" t="s">
        <v>42</v>
      </c>
      <c r="U10" s="5">
        <v>77537.33</v>
      </c>
      <c r="V10" s="3" t="s">
        <v>39</v>
      </c>
      <c r="W10" s="3" t="s">
        <v>48</v>
      </c>
      <c r="X10" s="3" t="s">
        <v>39</v>
      </c>
      <c r="Y10" s="3" t="s">
        <v>39</v>
      </c>
      <c r="Z10" s="3" t="s">
        <v>63</v>
      </c>
      <c r="AA10" s="41">
        <f t="shared" si="0"/>
        <v>879.2</v>
      </c>
      <c r="AB10" s="3" t="s">
        <v>39</v>
      </c>
      <c r="AC10" s="3" t="s">
        <v>39</v>
      </c>
      <c r="AD10" s="3" t="s">
        <v>39</v>
      </c>
      <c r="AE10" s="3" t="s">
        <v>39</v>
      </c>
      <c r="AF10" s="4">
        <v>45976</v>
      </c>
      <c r="AG10" s="4">
        <v>45976</v>
      </c>
      <c r="AH10" s="39">
        <v>1400001905</v>
      </c>
    </row>
    <row r="11" spans="1:34" outlineLevel="2" x14ac:dyDescent="0.35">
      <c r="A11" s="3" t="s">
        <v>121</v>
      </c>
      <c r="B11" s="3" t="s">
        <v>32</v>
      </c>
      <c r="C11" s="3" t="s">
        <v>117</v>
      </c>
      <c r="D11" s="3" t="s">
        <v>118</v>
      </c>
      <c r="E11" s="3" t="s">
        <v>33</v>
      </c>
      <c r="F11" s="3" t="s">
        <v>47</v>
      </c>
      <c r="G11" s="4">
        <v>45976</v>
      </c>
      <c r="H11" s="3" t="s">
        <v>129</v>
      </c>
      <c r="I11" s="3" t="s">
        <v>86</v>
      </c>
      <c r="J11" s="4">
        <v>45976</v>
      </c>
      <c r="K11" s="4">
        <v>45976</v>
      </c>
      <c r="L11" s="3" t="s">
        <v>36</v>
      </c>
      <c r="M11" s="3" t="s">
        <v>87</v>
      </c>
      <c r="N11" s="3" t="s">
        <v>37</v>
      </c>
      <c r="O11" s="3" t="s">
        <v>38</v>
      </c>
      <c r="P11" s="3" t="s">
        <v>39</v>
      </c>
      <c r="Q11" s="3" t="s">
        <v>84</v>
      </c>
      <c r="R11" s="3" t="s">
        <v>41</v>
      </c>
      <c r="S11" s="5">
        <v>-111.25</v>
      </c>
      <c r="T11" s="3" t="s">
        <v>42</v>
      </c>
      <c r="U11" s="5">
        <v>-9790.3799999999992</v>
      </c>
      <c r="V11" s="3" t="s">
        <v>39</v>
      </c>
      <c r="W11" s="3" t="s">
        <v>48</v>
      </c>
      <c r="X11" s="3" t="s">
        <v>39</v>
      </c>
      <c r="Y11" s="3" t="s">
        <v>36</v>
      </c>
      <c r="Z11" s="3" t="s">
        <v>44</v>
      </c>
      <c r="AA11" s="41">
        <f t="shared" si="0"/>
        <v>-111.25</v>
      </c>
      <c r="AB11" s="3" t="s">
        <v>39</v>
      </c>
      <c r="AC11" s="3" t="s">
        <v>39</v>
      </c>
      <c r="AD11" s="3" t="s">
        <v>39</v>
      </c>
      <c r="AE11" s="3" t="s">
        <v>39</v>
      </c>
      <c r="AF11" s="4">
        <v>45976</v>
      </c>
      <c r="AG11" s="4"/>
      <c r="AH11" s="3" t="s">
        <v>39</v>
      </c>
    </row>
    <row r="12" spans="1:34" outlineLevel="2" x14ac:dyDescent="0.35">
      <c r="A12" s="3" t="s">
        <v>121</v>
      </c>
      <c r="B12" s="3" t="s">
        <v>32</v>
      </c>
      <c r="C12" s="3" t="s">
        <v>117</v>
      </c>
      <c r="D12" s="3" t="s">
        <v>118</v>
      </c>
      <c r="E12" s="3" t="s">
        <v>33</v>
      </c>
      <c r="F12" s="3" t="s">
        <v>47</v>
      </c>
      <c r="G12" s="4">
        <v>45976</v>
      </c>
      <c r="H12" s="3" t="s">
        <v>129</v>
      </c>
      <c r="I12" s="3" t="s">
        <v>86</v>
      </c>
      <c r="J12" s="4">
        <v>45976</v>
      </c>
      <c r="K12" s="4">
        <v>45976</v>
      </c>
      <c r="L12" s="3" t="s">
        <v>36</v>
      </c>
      <c r="M12" s="3" t="s">
        <v>87</v>
      </c>
      <c r="N12" s="3" t="s">
        <v>37</v>
      </c>
      <c r="O12" s="3" t="s">
        <v>38</v>
      </c>
      <c r="P12" s="3" t="s">
        <v>39</v>
      </c>
      <c r="Q12" s="3" t="s">
        <v>84</v>
      </c>
      <c r="R12" s="3" t="s">
        <v>41</v>
      </c>
      <c r="S12" s="5">
        <v>-376.4</v>
      </c>
      <c r="T12" s="3" t="s">
        <v>42</v>
      </c>
      <c r="U12" s="5">
        <v>-33124.480000000003</v>
      </c>
      <c r="V12" s="3" t="s">
        <v>39</v>
      </c>
      <c r="W12" s="3" t="s">
        <v>48</v>
      </c>
      <c r="X12" s="3" t="s">
        <v>39</v>
      </c>
      <c r="Y12" s="3" t="s">
        <v>36</v>
      </c>
      <c r="Z12" s="3" t="s">
        <v>82</v>
      </c>
      <c r="AA12" s="41">
        <f t="shared" si="0"/>
        <v>-376.4</v>
      </c>
      <c r="AB12" s="3" t="s">
        <v>39</v>
      </c>
      <c r="AC12" s="3" t="s">
        <v>39</v>
      </c>
      <c r="AD12" s="3" t="s">
        <v>39</v>
      </c>
      <c r="AE12" s="3" t="s">
        <v>39</v>
      </c>
      <c r="AF12" s="4">
        <v>45976</v>
      </c>
      <c r="AG12" s="4"/>
      <c r="AH12" s="3" t="s">
        <v>39</v>
      </c>
    </row>
    <row r="13" spans="1:34" outlineLevel="2" x14ac:dyDescent="0.35">
      <c r="A13" s="3" t="s">
        <v>121</v>
      </c>
      <c r="B13" s="3" t="s">
        <v>32</v>
      </c>
      <c r="C13" s="3" t="s">
        <v>117</v>
      </c>
      <c r="D13" s="3" t="s">
        <v>118</v>
      </c>
      <c r="E13" s="3" t="s">
        <v>33</v>
      </c>
      <c r="F13" s="3" t="s">
        <v>47</v>
      </c>
      <c r="G13" s="4">
        <v>45976</v>
      </c>
      <c r="H13" s="3" t="s">
        <v>129</v>
      </c>
      <c r="I13" s="3" t="s">
        <v>86</v>
      </c>
      <c r="J13" s="4">
        <v>45976</v>
      </c>
      <c r="K13" s="4">
        <v>45976</v>
      </c>
      <c r="L13" s="3" t="s">
        <v>36</v>
      </c>
      <c r="M13" s="3" t="s">
        <v>87</v>
      </c>
      <c r="N13" s="3" t="s">
        <v>37</v>
      </c>
      <c r="O13" s="3" t="s">
        <v>38</v>
      </c>
      <c r="P13" s="3" t="s">
        <v>39</v>
      </c>
      <c r="Q13" s="3" t="s">
        <v>84</v>
      </c>
      <c r="R13" s="3" t="s">
        <v>41</v>
      </c>
      <c r="S13" s="5">
        <v>-391.55</v>
      </c>
      <c r="T13" s="3" t="s">
        <v>42</v>
      </c>
      <c r="U13" s="5">
        <v>-34457.730000000003</v>
      </c>
      <c r="V13" s="3" t="s">
        <v>39</v>
      </c>
      <c r="W13" s="3" t="s">
        <v>48</v>
      </c>
      <c r="X13" s="3" t="s">
        <v>39</v>
      </c>
      <c r="Y13" s="3" t="s">
        <v>36</v>
      </c>
      <c r="Z13" s="3" t="s">
        <v>51</v>
      </c>
      <c r="AA13" s="41">
        <f t="shared" si="0"/>
        <v>-391.55</v>
      </c>
      <c r="AB13" s="3" t="s">
        <v>39</v>
      </c>
      <c r="AC13" s="3" t="s">
        <v>39</v>
      </c>
      <c r="AD13" s="3" t="s">
        <v>39</v>
      </c>
      <c r="AE13" s="3" t="s">
        <v>39</v>
      </c>
      <c r="AF13" s="4">
        <v>45976</v>
      </c>
      <c r="AG13" s="4"/>
      <c r="AH13" s="3" t="s">
        <v>39</v>
      </c>
    </row>
    <row r="14" spans="1:34" outlineLevel="2" x14ac:dyDescent="0.35">
      <c r="A14" s="3" t="s">
        <v>121</v>
      </c>
      <c r="B14" s="3" t="s">
        <v>32</v>
      </c>
      <c r="C14" s="3" t="s">
        <v>117</v>
      </c>
      <c r="D14" s="3" t="s">
        <v>118</v>
      </c>
      <c r="E14" s="3" t="s">
        <v>33</v>
      </c>
      <c r="F14" s="3" t="s">
        <v>45</v>
      </c>
      <c r="G14" s="4">
        <v>45787</v>
      </c>
      <c r="H14" s="3" t="s">
        <v>130</v>
      </c>
      <c r="I14" s="3" t="s">
        <v>35</v>
      </c>
      <c r="J14" s="4">
        <v>45787</v>
      </c>
      <c r="K14" s="4">
        <v>45791</v>
      </c>
      <c r="L14" s="3" t="s">
        <v>36</v>
      </c>
      <c r="M14" s="40">
        <v>256779413142</v>
      </c>
      <c r="N14" s="3" t="s">
        <v>37</v>
      </c>
      <c r="O14" s="3" t="s">
        <v>38</v>
      </c>
      <c r="P14" s="3" t="s">
        <v>39</v>
      </c>
      <c r="Q14" s="3" t="s">
        <v>40</v>
      </c>
      <c r="R14" s="3" t="s">
        <v>41</v>
      </c>
      <c r="S14" s="5">
        <v>100000</v>
      </c>
      <c r="T14" s="3" t="s">
        <v>42</v>
      </c>
      <c r="U14" s="5">
        <v>100000</v>
      </c>
      <c r="V14" s="3" t="s">
        <v>56</v>
      </c>
      <c r="W14" s="3" t="s">
        <v>48</v>
      </c>
      <c r="X14" s="3" t="s">
        <v>39</v>
      </c>
      <c r="Y14" s="3" t="s">
        <v>36</v>
      </c>
      <c r="Z14" s="3" t="s">
        <v>44</v>
      </c>
      <c r="AA14" s="50">
        <f>_xlfn.XLOOKUP(M14,'[1]TDS To Be Booked'!$D:$D,'[1]TDS To Be Booked'!$K:$K,,0)</f>
        <v>1163.0111111111112</v>
      </c>
      <c r="AB14" s="3" t="s">
        <v>131</v>
      </c>
      <c r="AC14" s="3" t="s">
        <v>39</v>
      </c>
      <c r="AD14" s="3" t="s">
        <v>39</v>
      </c>
      <c r="AE14" s="3" t="s">
        <v>39</v>
      </c>
      <c r="AF14" s="4">
        <v>45787</v>
      </c>
      <c r="AG14" s="4"/>
      <c r="AH14" s="3" t="s">
        <v>39</v>
      </c>
    </row>
    <row r="15" spans="1:34" outlineLevel="2" x14ac:dyDescent="0.35">
      <c r="A15" s="3" t="s">
        <v>121</v>
      </c>
      <c r="B15" s="3" t="s">
        <v>32</v>
      </c>
      <c r="C15" s="3" t="s">
        <v>117</v>
      </c>
      <c r="D15" s="3" t="s">
        <v>118</v>
      </c>
      <c r="E15" s="3" t="s">
        <v>33</v>
      </c>
      <c r="F15" s="3" t="s">
        <v>34</v>
      </c>
      <c r="G15" s="4">
        <v>45818</v>
      </c>
      <c r="H15" s="3" t="s">
        <v>132</v>
      </c>
      <c r="I15" s="3" t="s">
        <v>35</v>
      </c>
      <c r="J15" s="4">
        <v>45818</v>
      </c>
      <c r="K15" s="4">
        <v>45825</v>
      </c>
      <c r="L15" s="3" t="s">
        <v>36</v>
      </c>
      <c r="M15" s="40">
        <v>256779414354</v>
      </c>
      <c r="N15" s="3" t="s">
        <v>37</v>
      </c>
      <c r="O15" s="3" t="s">
        <v>38</v>
      </c>
      <c r="P15" s="3" t="s">
        <v>39</v>
      </c>
      <c r="Q15" s="3" t="s">
        <v>40</v>
      </c>
      <c r="R15" s="3" t="s">
        <v>41</v>
      </c>
      <c r="S15" s="5">
        <v>100000</v>
      </c>
      <c r="T15" s="3" t="s">
        <v>42</v>
      </c>
      <c r="U15" s="5">
        <v>100000</v>
      </c>
      <c r="V15" s="3" t="s">
        <v>56</v>
      </c>
      <c r="W15" s="3" t="s">
        <v>48</v>
      </c>
      <c r="X15" s="3" t="s">
        <v>39</v>
      </c>
      <c r="Y15" s="3" t="s">
        <v>36</v>
      </c>
      <c r="Z15" s="3" t="s">
        <v>44</v>
      </c>
      <c r="AA15" s="50">
        <f>_xlfn.XLOOKUP(M15,'[1]TDS To Be Booked'!$D:$D,'[1]TDS To Be Booked'!$K:$K,,0)</f>
        <v>1169.7222222222222</v>
      </c>
      <c r="AB15" s="3" t="s">
        <v>133</v>
      </c>
      <c r="AC15" s="3" t="s">
        <v>39</v>
      </c>
      <c r="AD15" s="3" t="s">
        <v>39</v>
      </c>
      <c r="AE15" s="3" t="s">
        <v>39</v>
      </c>
      <c r="AF15" s="4">
        <v>45818</v>
      </c>
      <c r="AG15" s="4"/>
      <c r="AH15" s="3" t="s">
        <v>39</v>
      </c>
    </row>
    <row r="16" spans="1:34" outlineLevel="2" x14ac:dyDescent="0.35">
      <c r="A16" s="3" t="s">
        <v>121</v>
      </c>
      <c r="B16" s="3" t="s">
        <v>32</v>
      </c>
      <c r="C16" s="3" t="s">
        <v>117</v>
      </c>
      <c r="D16" s="3" t="s">
        <v>118</v>
      </c>
      <c r="E16" s="3" t="s">
        <v>33</v>
      </c>
      <c r="F16" s="3" t="s">
        <v>49</v>
      </c>
      <c r="G16" s="4">
        <v>45842</v>
      </c>
      <c r="H16" s="3" t="s">
        <v>134</v>
      </c>
      <c r="I16" s="3" t="s">
        <v>35</v>
      </c>
      <c r="J16" s="4">
        <v>45842</v>
      </c>
      <c r="K16" s="4">
        <v>45847</v>
      </c>
      <c r="L16" s="3" t="s">
        <v>36</v>
      </c>
      <c r="M16" s="40">
        <v>256779414912</v>
      </c>
      <c r="N16" s="3" t="s">
        <v>37</v>
      </c>
      <c r="O16" s="3" t="s">
        <v>38</v>
      </c>
      <c r="P16" s="3" t="s">
        <v>39</v>
      </c>
      <c r="Q16" s="3" t="s">
        <v>40</v>
      </c>
      <c r="R16" s="3" t="s">
        <v>41</v>
      </c>
      <c r="S16" s="5">
        <v>100000</v>
      </c>
      <c r="T16" s="3" t="s">
        <v>42</v>
      </c>
      <c r="U16" s="5">
        <v>100000</v>
      </c>
      <c r="V16" s="3" t="s">
        <v>56</v>
      </c>
      <c r="W16" s="3" t="s">
        <v>48</v>
      </c>
      <c r="X16" s="3" t="s">
        <v>39</v>
      </c>
      <c r="Y16" s="3" t="s">
        <v>36</v>
      </c>
      <c r="Z16" s="3" t="s">
        <v>44</v>
      </c>
      <c r="AA16" s="50">
        <f>_xlfn.XLOOKUP(M16,'[1]TDS To Be Booked'!$D:$D,'[1]TDS To Be Booked'!$K:$K,,0)</f>
        <v>1162.7777777777778</v>
      </c>
      <c r="AB16" s="3" t="s">
        <v>135</v>
      </c>
      <c r="AC16" s="3" t="s">
        <v>39</v>
      </c>
      <c r="AD16" s="3" t="s">
        <v>39</v>
      </c>
      <c r="AE16" s="3" t="s">
        <v>39</v>
      </c>
      <c r="AF16" s="4">
        <v>45842</v>
      </c>
      <c r="AG16" s="4"/>
      <c r="AH16" s="3" t="s">
        <v>39</v>
      </c>
    </row>
    <row r="17" spans="1:34" outlineLevel="2" x14ac:dyDescent="0.35">
      <c r="A17" s="3" t="s">
        <v>121</v>
      </c>
      <c r="B17" s="3" t="s">
        <v>32</v>
      </c>
      <c r="C17" s="3" t="s">
        <v>117</v>
      </c>
      <c r="D17" s="3" t="s">
        <v>118</v>
      </c>
      <c r="E17" s="3" t="s">
        <v>33</v>
      </c>
      <c r="F17" s="3" t="s">
        <v>59</v>
      </c>
      <c r="G17" s="4">
        <v>45870</v>
      </c>
      <c r="H17" s="3" t="s">
        <v>136</v>
      </c>
      <c r="I17" s="3" t="s">
        <v>35</v>
      </c>
      <c r="J17" s="4">
        <v>45870</v>
      </c>
      <c r="K17" s="4">
        <v>45873</v>
      </c>
      <c r="L17" s="3" t="s">
        <v>36</v>
      </c>
      <c r="M17" s="40">
        <v>256779416024</v>
      </c>
      <c r="N17" s="3" t="s">
        <v>37</v>
      </c>
      <c r="O17" s="3" t="s">
        <v>38</v>
      </c>
      <c r="P17" s="3" t="s">
        <v>39</v>
      </c>
      <c r="Q17" s="3" t="s">
        <v>40</v>
      </c>
      <c r="R17" s="3" t="s">
        <v>41</v>
      </c>
      <c r="S17" s="5">
        <v>100000</v>
      </c>
      <c r="T17" s="3" t="s">
        <v>42</v>
      </c>
      <c r="U17" s="5">
        <v>100000</v>
      </c>
      <c r="V17" s="3" t="s">
        <v>56</v>
      </c>
      <c r="W17" s="3" t="s">
        <v>48</v>
      </c>
      <c r="X17" s="3" t="s">
        <v>39</v>
      </c>
      <c r="Y17" s="3" t="s">
        <v>36</v>
      </c>
      <c r="Z17" s="3" t="s">
        <v>44</v>
      </c>
      <c r="AA17" s="50">
        <f>_xlfn.XLOOKUP(M17,'[1]TDS To Be Booked'!$D:$D,'[1]TDS To Be Booked'!$K:$K,,0)</f>
        <v>1162.377777777778</v>
      </c>
      <c r="AB17" s="3" t="s">
        <v>137</v>
      </c>
      <c r="AC17" s="3" t="s">
        <v>39</v>
      </c>
      <c r="AD17" s="3" t="s">
        <v>39</v>
      </c>
      <c r="AE17" s="3" t="s">
        <v>39</v>
      </c>
      <c r="AF17" s="4">
        <v>45870</v>
      </c>
      <c r="AG17" s="4"/>
      <c r="AH17" s="3" t="s">
        <v>39</v>
      </c>
    </row>
    <row r="18" spans="1:34" outlineLevel="2" x14ac:dyDescent="0.35">
      <c r="A18" s="3" t="s">
        <v>121</v>
      </c>
      <c r="B18" s="3" t="s">
        <v>32</v>
      </c>
      <c r="C18" s="3" t="s">
        <v>117</v>
      </c>
      <c r="D18" s="3" t="s">
        <v>118</v>
      </c>
      <c r="E18" s="3" t="s">
        <v>33</v>
      </c>
      <c r="F18" s="3" t="s">
        <v>61</v>
      </c>
      <c r="G18" s="4">
        <v>45904</v>
      </c>
      <c r="H18" s="3" t="s">
        <v>138</v>
      </c>
      <c r="I18" s="3" t="s">
        <v>35</v>
      </c>
      <c r="J18" s="4">
        <v>45904</v>
      </c>
      <c r="K18" s="4">
        <v>45909</v>
      </c>
      <c r="L18" s="3" t="s">
        <v>36</v>
      </c>
      <c r="M18" s="40">
        <v>256779417344</v>
      </c>
      <c r="N18" s="3" t="s">
        <v>37</v>
      </c>
      <c r="O18" s="3" t="s">
        <v>38</v>
      </c>
      <c r="P18" s="3" t="s">
        <v>39</v>
      </c>
      <c r="Q18" s="3" t="s">
        <v>40</v>
      </c>
      <c r="R18" s="3" t="s">
        <v>41</v>
      </c>
      <c r="S18" s="5">
        <v>100000</v>
      </c>
      <c r="T18" s="3" t="s">
        <v>42</v>
      </c>
      <c r="U18" s="5">
        <v>100000</v>
      </c>
      <c r="V18" s="3" t="s">
        <v>56</v>
      </c>
      <c r="W18" s="3" t="s">
        <v>48</v>
      </c>
      <c r="X18" s="3" t="s">
        <v>39</v>
      </c>
      <c r="Y18" s="3" t="s">
        <v>139</v>
      </c>
      <c r="Z18" s="3" t="s">
        <v>44</v>
      </c>
      <c r="AA18" s="50">
        <f>_xlfn.XLOOKUP(M18,'[1]TDS To Be Booked'!$D:$D,'[1]TDS To Be Booked'!$K:$K,,0)</f>
        <v>1142.6666666666667</v>
      </c>
      <c r="AB18" s="3" t="s">
        <v>140</v>
      </c>
      <c r="AC18" s="3" t="s">
        <v>39</v>
      </c>
      <c r="AD18" s="3" t="s">
        <v>39</v>
      </c>
      <c r="AE18" s="3" t="s">
        <v>39</v>
      </c>
      <c r="AF18" s="4">
        <v>45904</v>
      </c>
      <c r="AG18" s="4"/>
      <c r="AH18" s="3" t="s">
        <v>39</v>
      </c>
    </row>
    <row r="19" spans="1:34" outlineLevel="2" x14ac:dyDescent="0.35">
      <c r="A19" s="3" t="s">
        <v>121</v>
      </c>
      <c r="B19" s="3" t="s">
        <v>32</v>
      </c>
      <c r="C19" s="3" t="s">
        <v>117</v>
      </c>
      <c r="D19" s="3" t="s">
        <v>118</v>
      </c>
      <c r="E19" s="3" t="s">
        <v>33</v>
      </c>
      <c r="F19" s="3" t="s">
        <v>65</v>
      </c>
      <c r="G19" s="4">
        <v>45935</v>
      </c>
      <c r="H19" s="3" t="s">
        <v>141</v>
      </c>
      <c r="I19" s="3" t="s">
        <v>35</v>
      </c>
      <c r="J19" s="4">
        <v>45935</v>
      </c>
      <c r="K19" s="4">
        <v>45937</v>
      </c>
      <c r="L19" s="3" t="s">
        <v>36</v>
      </c>
      <c r="M19" s="40">
        <v>256779417871</v>
      </c>
      <c r="N19" s="3" t="s">
        <v>37</v>
      </c>
      <c r="O19" s="3" t="s">
        <v>38</v>
      </c>
      <c r="P19" s="3" t="s">
        <v>39</v>
      </c>
      <c r="Q19" s="3" t="s">
        <v>40</v>
      </c>
      <c r="R19" s="3" t="s">
        <v>41</v>
      </c>
      <c r="S19" s="5">
        <v>100000</v>
      </c>
      <c r="T19" s="3" t="s">
        <v>42</v>
      </c>
      <c r="U19" s="5">
        <v>100000</v>
      </c>
      <c r="V19" s="3" t="s">
        <v>56</v>
      </c>
      <c r="W19" s="3" t="s">
        <v>48</v>
      </c>
      <c r="X19" s="3" t="s">
        <v>39</v>
      </c>
      <c r="Y19" s="3" t="s">
        <v>142</v>
      </c>
      <c r="Z19" s="3" t="s">
        <v>44</v>
      </c>
      <c r="AA19" s="50">
        <f>_xlfn.XLOOKUP(M19,'[1]TDS To Be Booked'!$D:$D,'[1]TDS To Be Booked'!$K:$K,,0)</f>
        <v>1133.9111111111113</v>
      </c>
      <c r="AB19" s="3" t="s">
        <v>143</v>
      </c>
      <c r="AC19" s="3" t="s">
        <v>39</v>
      </c>
      <c r="AD19" s="3" t="s">
        <v>39</v>
      </c>
      <c r="AE19" s="3" t="s">
        <v>39</v>
      </c>
      <c r="AF19" s="4">
        <v>45935</v>
      </c>
      <c r="AG19" s="4"/>
      <c r="AH19" s="3" t="s">
        <v>39</v>
      </c>
    </row>
    <row r="20" spans="1:34" outlineLevel="2" x14ac:dyDescent="0.35">
      <c r="A20" s="3" t="s">
        <v>121</v>
      </c>
      <c r="B20" s="3" t="s">
        <v>32</v>
      </c>
      <c r="C20" s="3" t="s">
        <v>117</v>
      </c>
      <c r="D20" s="3" t="s">
        <v>118</v>
      </c>
      <c r="E20" s="3" t="s">
        <v>33</v>
      </c>
      <c r="F20" s="3" t="s">
        <v>47</v>
      </c>
      <c r="G20" s="4">
        <v>45966</v>
      </c>
      <c r="H20" s="3" t="s">
        <v>144</v>
      </c>
      <c r="I20" s="3" t="s">
        <v>35</v>
      </c>
      <c r="J20" s="4">
        <v>45966</v>
      </c>
      <c r="K20" s="4">
        <v>45966</v>
      </c>
      <c r="L20" s="3" t="s">
        <v>36</v>
      </c>
      <c r="M20" s="40">
        <v>256779418773</v>
      </c>
      <c r="N20" s="3" t="s">
        <v>37</v>
      </c>
      <c r="O20" s="3" t="s">
        <v>38</v>
      </c>
      <c r="P20" s="3" t="s">
        <v>39</v>
      </c>
      <c r="Q20" s="3" t="s">
        <v>40</v>
      </c>
      <c r="R20" s="3" t="s">
        <v>41</v>
      </c>
      <c r="S20" s="5">
        <v>100000</v>
      </c>
      <c r="T20" s="3" t="s">
        <v>42</v>
      </c>
      <c r="U20" s="5">
        <v>100000</v>
      </c>
      <c r="V20" s="3" t="s">
        <v>56</v>
      </c>
      <c r="W20" s="3" t="s">
        <v>48</v>
      </c>
      <c r="X20" s="3" t="s">
        <v>39</v>
      </c>
      <c r="Y20" s="3" t="s">
        <v>145</v>
      </c>
      <c r="Z20" s="3" t="s">
        <v>44</v>
      </c>
      <c r="AA20" s="50">
        <f>_xlfn.XLOOKUP(M20,'[1]TDS To Be Booked'!$D:$D,'[1]TDS To Be Booked'!$K:$K,,0)</f>
        <v>1136.3222222222221</v>
      </c>
      <c r="AB20" s="3" t="s">
        <v>146</v>
      </c>
      <c r="AC20" s="3" t="s">
        <v>39</v>
      </c>
      <c r="AD20" s="3" t="s">
        <v>39</v>
      </c>
      <c r="AE20" s="3" t="s">
        <v>39</v>
      </c>
      <c r="AF20" s="4">
        <v>45966</v>
      </c>
      <c r="AG20" s="4"/>
      <c r="AH20" s="3" t="s">
        <v>39</v>
      </c>
    </row>
    <row r="21" spans="1:34" outlineLevel="2" x14ac:dyDescent="0.35">
      <c r="A21" s="3" t="s">
        <v>121</v>
      </c>
      <c r="B21" s="3" t="s">
        <v>32</v>
      </c>
      <c r="C21" s="3" t="s">
        <v>117</v>
      </c>
      <c r="D21" s="3" t="s">
        <v>118</v>
      </c>
      <c r="E21" s="3" t="s">
        <v>33</v>
      </c>
      <c r="F21" s="3" t="s">
        <v>60</v>
      </c>
      <c r="G21" s="4">
        <v>45995</v>
      </c>
      <c r="H21" s="3" t="s">
        <v>147</v>
      </c>
      <c r="I21" s="3" t="s">
        <v>35</v>
      </c>
      <c r="J21" s="4">
        <v>45995</v>
      </c>
      <c r="K21" s="4">
        <v>46000</v>
      </c>
      <c r="L21" s="3" t="s">
        <v>36</v>
      </c>
      <c r="M21" s="40">
        <v>256779419966</v>
      </c>
      <c r="N21" s="3" t="s">
        <v>37</v>
      </c>
      <c r="O21" s="3" t="s">
        <v>38</v>
      </c>
      <c r="P21" s="3" t="s">
        <v>39</v>
      </c>
      <c r="Q21" s="3" t="s">
        <v>40</v>
      </c>
      <c r="R21" s="3" t="s">
        <v>41</v>
      </c>
      <c r="S21" s="5">
        <v>100000</v>
      </c>
      <c r="T21" s="3" t="s">
        <v>42</v>
      </c>
      <c r="U21" s="5">
        <v>100000</v>
      </c>
      <c r="V21" s="3" t="s">
        <v>56</v>
      </c>
      <c r="W21" s="3" t="s">
        <v>48</v>
      </c>
      <c r="X21" s="3" t="s">
        <v>39</v>
      </c>
      <c r="Y21" s="3" t="s">
        <v>148</v>
      </c>
      <c r="Z21" s="3" t="s">
        <v>44</v>
      </c>
      <c r="AA21" s="50">
        <f>_xlfn.XLOOKUP(M21,'[1]TDS To Be Booked'!$D:$D,'[1]TDS To Be Booked'!$K:$K,,0)</f>
        <v>1127.3888888888889</v>
      </c>
      <c r="AB21" s="3" t="s">
        <v>149</v>
      </c>
      <c r="AC21" s="3" t="s">
        <v>39</v>
      </c>
      <c r="AD21" s="3" t="s">
        <v>39</v>
      </c>
      <c r="AE21" s="3" t="s">
        <v>39</v>
      </c>
      <c r="AF21" s="4">
        <v>45995</v>
      </c>
      <c r="AG21" s="4"/>
      <c r="AH21" s="3" t="s">
        <v>39</v>
      </c>
    </row>
    <row r="22" spans="1:34" outlineLevel="2" x14ac:dyDescent="0.35">
      <c r="A22" s="3" t="s">
        <v>121</v>
      </c>
      <c r="B22" s="3" t="s">
        <v>32</v>
      </c>
      <c r="C22" s="3" t="s">
        <v>117</v>
      </c>
      <c r="D22" s="3" t="s">
        <v>118</v>
      </c>
      <c r="E22" s="3" t="s">
        <v>33</v>
      </c>
      <c r="F22" s="3" t="s">
        <v>51</v>
      </c>
      <c r="G22" s="4">
        <v>45730</v>
      </c>
      <c r="H22" s="3" t="s">
        <v>150</v>
      </c>
      <c r="I22" s="3" t="s">
        <v>35</v>
      </c>
      <c r="J22" s="4">
        <v>45730</v>
      </c>
      <c r="K22" s="4">
        <v>45733</v>
      </c>
      <c r="L22" s="3" t="s">
        <v>36</v>
      </c>
      <c r="M22" s="40">
        <v>246779411485</v>
      </c>
      <c r="N22" s="3" t="s">
        <v>37</v>
      </c>
      <c r="O22" s="3" t="s">
        <v>38</v>
      </c>
      <c r="P22" s="3" t="s">
        <v>39</v>
      </c>
      <c r="Q22" s="3" t="s">
        <v>40</v>
      </c>
      <c r="R22" s="3" t="s">
        <v>41</v>
      </c>
      <c r="S22" s="5">
        <v>100</v>
      </c>
      <c r="T22" s="3" t="s">
        <v>42</v>
      </c>
      <c r="U22" s="5">
        <v>8669.1299999999992</v>
      </c>
      <c r="V22" s="3" t="s">
        <v>56</v>
      </c>
      <c r="W22" s="3" t="s">
        <v>48</v>
      </c>
      <c r="X22" s="3" t="s">
        <v>39</v>
      </c>
      <c r="Y22" s="3" t="s">
        <v>36</v>
      </c>
      <c r="Z22" s="3" t="s">
        <v>44</v>
      </c>
      <c r="AA22" s="41">
        <f t="shared" ref="AA22:AA53" si="1">S22</f>
        <v>100</v>
      </c>
      <c r="AB22" s="3" t="s">
        <v>151</v>
      </c>
      <c r="AC22" s="3" t="s">
        <v>39</v>
      </c>
      <c r="AD22" s="3" t="s">
        <v>39</v>
      </c>
      <c r="AE22" s="3" t="s">
        <v>39</v>
      </c>
      <c r="AF22" s="4">
        <v>45730</v>
      </c>
      <c r="AG22" s="4"/>
      <c r="AH22" s="3" t="s">
        <v>39</v>
      </c>
    </row>
    <row r="23" spans="1:34" outlineLevel="2" x14ac:dyDescent="0.35">
      <c r="A23" s="3" t="s">
        <v>121</v>
      </c>
      <c r="B23" s="3" t="s">
        <v>32</v>
      </c>
      <c r="C23" s="3" t="s">
        <v>117</v>
      </c>
      <c r="D23" s="3" t="s">
        <v>118</v>
      </c>
      <c r="E23" s="3" t="s">
        <v>33</v>
      </c>
      <c r="F23" s="3" t="s">
        <v>51</v>
      </c>
      <c r="G23" s="4">
        <v>45730</v>
      </c>
      <c r="H23" s="3" t="s">
        <v>152</v>
      </c>
      <c r="I23" s="3" t="s">
        <v>35</v>
      </c>
      <c r="J23" s="4">
        <v>45730</v>
      </c>
      <c r="K23" s="4">
        <v>45735</v>
      </c>
      <c r="L23" s="3" t="s">
        <v>36</v>
      </c>
      <c r="M23" s="40">
        <v>246779412274</v>
      </c>
      <c r="N23" s="3" t="s">
        <v>37</v>
      </c>
      <c r="O23" s="3" t="s">
        <v>38</v>
      </c>
      <c r="P23" s="3" t="s">
        <v>39</v>
      </c>
      <c r="Q23" s="3" t="s">
        <v>40</v>
      </c>
      <c r="R23" s="3" t="s">
        <v>41</v>
      </c>
      <c r="S23" s="5">
        <v>100</v>
      </c>
      <c r="T23" s="3" t="s">
        <v>42</v>
      </c>
      <c r="U23" s="5">
        <v>8669.1299999999992</v>
      </c>
      <c r="V23" s="3" t="s">
        <v>56</v>
      </c>
      <c r="W23" s="3" t="s">
        <v>48</v>
      </c>
      <c r="X23" s="3" t="s">
        <v>39</v>
      </c>
      <c r="Y23" s="3" t="s">
        <v>36</v>
      </c>
      <c r="Z23" s="3" t="s">
        <v>44</v>
      </c>
      <c r="AA23" s="41">
        <f t="shared" si="1"/>
        <v>100</v>
      </c>
      <c r="AB23" s="3" t="s">
        <v>151</v>
      </c>
      <c r="AC23" s="3" t="s">
        <v>39</v>
      </c>
      <c r="AD23" s="3" t="s">
        <v>39</v>
      </c>
      <c r="AE23" s="3" t="s">
        <v>39</v>
      </c>
      <c r="AF23" s="4">
        <v>45730</v>
      </c>
      <c r="AG23" s="4"/>
      <c r="AH23" s="3" t="s">
        <v>39</v>
      </c>
    </row>
    <row r="24" spans="1:34" outlineLevel="2" x14ac:dyDescent="0.35">
      <c r="A24" s="3" t="s">
        <v>121</v>
      </c>
      <c r="B24" s="3" t="s">
        <v>32</v>
      </c>
      <c r="C24" s="3" t="s">
        <v>117</v>
      </c>
      <c r="D24" s="3" t="s">
        <v>118</v>
      </c>
      <c r="E24" s="3" t="s">
        <v>33</v>
      </c>
      <c r="F24" s="3" t="s">
        <v>51</v>
      </c>
      <c r="G24" s="4">
        <v>45720</v>
      </c>
      <c r="H24" s="3" t="s">
        <v>153</v>
      </c>
      <c r="I24" s="3" t="s">
        <v>35</v>
      </c>
      <c r="J24" s="4">
        <v>45720</v>
      </c>
      <c r="K24" s="4">
        <v>45720</v>
      </c>
      <c r="L24" s="3" t="s">
        <v>36</v>
      </c>
      <c r="M24" s="40">
        <v>246779410694</v>
      </c>
      <c r="N24" s="3" t="s">
        <v>37</v>
      </c>
      <c r="O24" s="3" t="s">
        <v>38</v>
      </c>
      <c r="P24" s="3" t="s">
        <v>39</v>
      </c>
      <c r="Q24" s="3" t="s">
        <v>40</v>
      </c>
      <c r="R24" s="3" t="s">
        <v>41</v>
      </c>
      <c r="S24" s="5">
        <v>59.36</v>
      </c>
      <c r="T24" s="3" t="s">
        <v>42</v>
      </c>
      <c r="U24" s="5">
        <v>5145.99</v>
      </c>
      <c r="V24" s="3" t="s">
        <v>56</v>
      </c>
      <c r="W24" s="3" t="s">
        <v>48</v>
      </c>
      <c r="X24" s="3" t="s">
        <v>39</v>
      </c>
      <c r="Y24" s="3" t="s">
        <v>36</v>
      </c>
      <c r="Z24" s="3" t="s">
        <v>44</v>
      </c>
      <c r="AA24" s="41">
        <f t="shared" si="1"/>
        <v>59.36</v>
      </c>
      <c r="AB24" s="3" t="s">
        <v>91</v>
      </c>
      <c r="AC24" s="3" t="s">
        <v>39</v>
      </c>
      <c r="AD24" s="3" t="s">
        <v>39</v>
      </c>
      <c r="AE24" s="3" t="s">
        <v>39</v>
      </c>
      <c r="AF24" s="4">
        <v>45720</v>
      </c>
      <c r="AG24" s="4"/>
      <c r="AH24" s="3" t="s">
        <v>39</v>
      </c>
    </row>
    <row r="25" spans="1:34" outlineLevel="2" x14ac:dyDescent="0.35">
      <c r="A25" s="3" t="s">
        <v>121</v>
      </c>
      <c r="B25" s="3" t="s">
        <v>32</v>
      </c>
      <c r="C25" s="3" t="s">
        <v>117</v>
      </c>
      <c r="D25" s="3" t="s">
        <v>118</v>
      </c>
      <c r="E25" s="3" t="s">
        <v>33</v>
      </c>
      <c r="F25" s="3" t="s">
        <v>51</v>
      </c>
      <c r="G25" s="4">
        <v>45720</v>
      </c>
      <c r="H25" s="3" t="s">
        <v>154</v>
      </c>
      <c r="I25" s="3" t="s">
        <v>35</v>
      </c>
      <c r="J25" s="4">
        <v>45720</v>
      </c>
      <c r="K25" s="4">
        <v>45721</v>
      </c>
      <c r="L25" s="3" t="s">
        <v>36</v>
      </c>
      <c r="M25" s="40">
        <v>246779410856</v>
      </c>
      <c r="N25" s="3" t="s">
        <v>37</v>
      </c>
      <c r="O25" s="3" t="s">
        <v>38</v>
      </c>
      <c r="P25" s="3" t="s">
        <v>39</v>
      </c>
      <c r="Q25" s="3" t="s">
        <v>40</v>
      </c>
      <c r="R25" s="3" t="s">
        <v>41</v>
      </c>
      <c r="S25" s="5">
        <v>18.32</v>
      </c>
      <c r="T25" s="3" t="s">
        <v>42</v>
      </c>
      <c r="U25" s="5">
        <v>1588.18</v>
      </c>
      <c r="V25" s="3" t="s">
        <v>56</v>
      </c>
      <c r="W25" s="3" t="s">
        <v>48</v>
      </c>
      <c r="X25" s="3" t="s">
        <v>39</v>
      </c>
      <c r="Y25" s="3" t="s">
        <v>36</v>
      </c>
      <c r="Z25" s="3" t="s">
        <v>44</v>
      </c>
      <c r="AA25" s="41">
        <f t="shared" si="1"/>
        <v>18.32</v>
      </c>
      <c r="AB25" s="3" t="s">
        <v>90</v>
      </c>
      <c r="AC25" s="3" t="s">
        <v>39</v>
      </c>
      <c r="AD25" s="3" t="s">
        <v>39</v>
      </c>
      <c r="AE25" s="3" t="s">
        <v>39</v>
      </c>
      <c r="AF25" s="4">
        <v>45720</v>
      </c>
      <c r="AG25" s="4"/>
      <c r="AH25" s="3" t="s">
        <v>39</v>
      </c>
    </row>
    <row r="26" spans="1:34" outlineLevel="2" x14ac:dyDescent="0.35">
      <c r="A26" s="3" t="s">
        <v>121</v>
      </c>
      <c r="B26" s="3" t="s">
        <v>32</v>
      </c>
      <c r="C26" s="3" t="s">
        <v>117</v>
      </c>
      <c r="D26" s="3" t="s">
        <v>118</v>
      </c>
      <c r="E26" s="3" t="s">
        <v>33</v>
      </c>
      <c r="F26" s="3" t="s">
        <v>63</v>
      </c>
      <c r="G26" s="4">
        <v>45751</v>
      </c>
      <c r="H26" s="3" t="s">
        <v>155</v>
      </c>
      <c r="I26" s="3" t="s">
        <v>35</v>
      </c>
      <c r="J26" s="4">
        <v>45751</v>
      </c>
      <c r="K26" s="4">
        <v>45752</v>
      </c>
      <c r="L26" s="3" t="s">
        <v>36</v>
      </c>
      <c r="M26" s="40">
        <v>256779410791</v>
      </c>
      <c r="N26" s="3" t="s">
        <v>37</v>
      </c>
      <c r="O26" s="3" t="s">
        <v>38</v>
      </c>
      <c r="P26" s="3" t="s">
        <v>39</v>
      </c>
      <c r="Q26" s="3" t="s">
        <v>40</v>
      </c>
      <c r="R26" s="3" t="s">
        <v>41</v>
      </c>
      <c r="S26" s="5">
        <v>441.2</v>
      </c>
      <c r="T26" s="3" t="s">
        <v>42</v>
      </c>
      <c r="U26" s="5">
        <v>38349.910000000003</v>
      </c>
      <c r="V26" s="3" t="s">
        <v>56</v>
      </c>
      <c r="W26" s="3" t="s">
        <v>39</v>
      </c>
      <c r="X26" s="3" t="s">
        <v>39</v>
      </c>
      <c r="Y26" s="3" t="s">
        <v>36</v>
      </c>
      <c r="Z26" s="3" t="s">
        <v>44</v>
      </c>
      <c r="AA26" s="41">
        <f t="shared" si="1"/>
        <v>441.2</v>
      </c>
      <c r="AB26" s="3" t="s">
        <v>156</v>
      </c>
      <c r="AC26" s="3" t="s">
        <v>39</v>
      </c>
      <c r="AD26" s="3" t="s">
        <v>39</v>
      </c>
      <c r="AE26" s="3" t="s">
        <v>39</v>
      </c>
      <c r="AF26" s="4">
        <v>45751</v>
      </c>
      <c r="AG26" s="4"/>
      <c r="AH26" s="3" t="s">
        <v>39</v>
      </c>
    </row>
    <row r="27" spans="1:34" outlineLevel="2" x14ac:dyDescent="0.35">
      <c r="A27" s="3" t="s">
        <v>121</v>
      </c>
      <c r="B27" s="3" t="s">
        <v>32</v>
      </c>
      <c r="C27" s="3" t="s">
        <v>117</v>
      </c>
      <c r="D27" s="3" t="s">
        <v>118</v>
      </c>
      <c r="E27" s="3" t="s">
        <v>33</v>
      </c>
      <c r="F27" s="3" t="s">
        <v>63</v>
      </c>
      <c r="G27" s="4">
        <v>45751</v>
      </c>
      <c r="H27" s="3" t="s">
        <v>157</v>
      </c>
      <c r="I27" s="3" t="s">
        <v>35</v>
      </c>
      <c r="J27" s="4">
        <v>45751</v>
      </c>
      <c r="K27" s="4">
        <v>45752</v>
      </c>
      <c r="L27" s="3" t="s">
        <v>36</v>
      </c>
      <c r="M27" s="40">
        <v>256779410807</v>
      </c>
      <c r="N27" s="3" t="s">
        <v>37</v>
      </c>
      <c r="O27" s="3" t="s">
        <v>38</v>
      </c>
      <c r="P27" s="3" t="s">
        <v>39</v>
      </c>
      <c r="Q27" s="3" t="s">
        <v>40</v>
      </c>
      <c r="R27" s="3" t="s">
        <v>41</v>
      </c>
      <c r="S27" s="5">
        <v>742.7</v>
      </c>
      <c r="T27" s="3" t="s">
        <v>42</v>
      </c>
      <c r="U27" s="5">
        <v>64556.84</v>
      </c>
      <c r="V27" s="3" t="s">
        <v>56</v>
      </c>
      <c r="W27" s="3" t="s">
        <v>39</v>
      </c>
      <c r="X27" s="3" t="s">
        <v>39</v>
      </c>
      <c r="Y27" s="3" t="s">
        <v>36</v>
      </c>
      <c r="Z27" s="3" t="s">
        <v>44</v>
      </c>
      <c r="AA27" s="41">
        <f t="shared" si="1"/>
        <v>742.7</v>
      </c>
      <c r="AB27" s="3" t="s">
        <v>158</v>
      </c>
      <c r="AC27" s="3" t="s">
        <v>39</v>
      </c>
      <c r="AD27" s="3" t="s">
        <v>39</v>
      </c>
      <c r="AE27" s="3" t="s">
        <v>39</v>
      </c>
      <c r="AF27" s="4">
        <v>45751</v>
      </c>
      <c r="AG27" s="4"/>
      <c r="AH27" s="3" t="s">
        <v>39</v>
      </c>
    </row>
    <row r="28" spans="1:34" outlineLevel="2" x14ac:dyDescent="0.35">
      <c r="A28" s="3" t="s">
        <v>121</v>
      </c>
      <c r="B28" s="3" t="s">
        <v>32</v>
      </c>
      <c r="C28" s="3" t="s">
        <v>117</v>
      </c>
      <c r="D28" s="3" t="s">
        <v>118</v>
      </c>
      <c r="E28" s="3" t="s">
        <v>33</v>
      </c>
      <c r="F28" s="3" t="s">
        <v>51</v>
      </c>
      <c r="G28" s="4">
        <v>45722</v>
      </c>
      <c r="H28" s="3" t="s">
        <v>159</v>
      </c>
      <c r="I28" s="3" t="s">
        <v>35</v>
      </c>
      <c r="J28" s="4">
        <v>45722</v>
      </c>
      <c r="K28" s="4">
        <v>45722</v>
      </c>
      <c r="L28" s="3" t="s">
        <v>36</v>
      </c>
      <c r="M28" s="40">
        <v>246779410888</v>
      </c>
      <c r="N28" s="3" t="s">
        <v>37</v>
      </c>
      <c r="O28" s="3" t="s">
        <v>38</v>
      </c>
      <c r="P28" s="3" t="s">
        <v>39</v>
      </c>
      <c r="Q28" s="3" t="s">
        <v>40</v>
      </c>
      <c r="R28" s="3" t="s">
        <v>41</v>
      </c>
      <c r="S28" s="5">
        <v>446.38</v>
      </c>
      <c r="T28" s="3" t="s">
        <v>42</v>
      </c>
      <c r="U28" s="5">
        <v>38697.24</v>
      </c>
      <c r="V28" s="3" t="s">
        <v>56</v>
      </c>
      <c r="W28" s="3" t="s">
        <v>48</v>
      </c>
      <c r="X28" s="3" t="s">
        <v>39</v>
      </c>
      <c r="Y28" s="3" t="s">
        <v>36</v>
      </c>
      <c r="Z28" s="3" t="s">
        <v>44</v>
      </c>
      <c r="AA28" s="41">
        <f t="shared" si="1"/>
        <v>446.38</v>
      </c>
      <c r="AB28" s="3" t="s">
        <v>160</v>
      </c>
      <c r="AC28" s="3" t="s">
        <v>39</v>
      </c>
      <c r="AD28" s="3" t="s">
        <v>39</v>
      </c>
      <c r="AE28" s="3" t="s">
        <v>39</v>
      </c>
      <c r="AF28" s="4">
        <v>45722</v>
      </c>
      <c r="AG28" s="4"/>
      <c r="AH28" s="3" t="s">
        <v>39</v>
      </c>
    </row>
    <row r="29" spans="1:34" outlineLevel="2" x14ac:dyDescent="0.35">
      <c r="A29" s="3" t="s">
        <v>121</v>
      </c>
      <c r="B29" s="3" t="s">
        <v>32</v>
      </c>
      <c r="C29" s="3" t="s">
        <v>117</v>
      </c>
      <c r="D29" s="3" t="s">
        <v>118</v>
      </c>
      <c r="E29" s="3" t="s">
        <v>33</v>
      </c>
      <c r="F29" s="3" t="s">
        <v>51</v>
      </c>
      <c r="G29" s="4">
        <v>45722</v>
      </c>
      <c r="H29" s="3" t="s">
        <v>161</v>
      </c>
      <c r="I29" s="3" t="s">
        <v>35</v>
      </c>
      <c r="J29" s="4">
        <v>45722</v>
      </c>
      <c r="K29" s="4">
        <v>45722</v>
      </c>
      <c r="L29" s="3" t="s">
        <v>36</v>
      </c>
      <c r="M29" s="40">
        <v>246779410865</v>
      </c>
      <c r="N29" s="3" t="s">
        <v>37</v>
      </c>
      <c r="O29" s="3" t="s">
        <v>38</v>
      </c>
      <c r="P29" s="3" t="s">
        <v>39</v>
      </c>
      <c r="Q29" s="3" t="s">
        <v>40</v>
      </c>
      <c r="R29" s="3" t="s">
        <v>41</v>
      </c>
      <c r="S29" s="5">
        <v>412.11</v>
      </c>
      <c r="T29" s="3" t="s">
        <v>42</v>
      </c>
      <c r="U29" s="5">
        <v>35726.339999999997</v>
      </c>
      <c r="V29" s="3" t="s">
        <v>56</v>
      </c>
      <c r="W29" s="3" t="s">
        <v>48</v>
      </c>
      <c r="X29" s="3" t="s">
        <v>39</v>
      </c>
      <c r="Y29" s="3" t="s">
        <v>36</v>
      </c>
      <c r="Z29" s="3" t="s">
        <v>44</v>
      </c>
      <c r="AA29" s="41">
        <f t="shared" si="1"/>
        <v>412.11</v>
      </c>
      <c r="AB29" s="3" t="s">
        <v>162</v>
      </c>
      <c r="AC29" s="3" t="s">
        <v>39</v>
      </c>
      <c r="AD29" s="3" t="s">
        <v>39</v>
      </c>
      <c r="AE29" s="3" t="s">
        <v>39</v>
      </c>
      <c r="AF29" s="4">
        <v>45722</v>
      </c>
      <c r="AG29" s="4"/>
      <c r="AH29" s="3" t="s">
        <v>39</v>
      </c>
    </row>
    <row r="30" spans="1:34" outlineLevel="2" x14ac:dyDescent="0.35">
      <c r="A30" s="3" t="s">
        <v>121</v>
      </c>
      <c r="B30" s="3" t="s">
        <v>32</v>
      </c>
      <c r="C30" s="3" t="s">
        <v>117</v>
      </c>
      <c r="D30" s="3" t="s">
        <v>118</v>
      </c>
      <c r="E30" s="3" t="s">
        <v>33</v>
      </c>
      <c r="F30" s="3" t="s">
        <v>51</v>
      </c>
      <c r="G30" s="4">
        <v>45722</v>
      </c>
      <c r="H30" s="3" t="s">
        <v>163</v>
      </c>
      <c r="I30" s="3" t="s">
        <v>35</v>
      </c>
      <c r="J30" s="4">
        <v>45722</v>
      </c>
      <c r="K30" s="4">
        <v>45722</v>
      </c>
      <c r="L30" s="3" t="s">
        <v>36</v>
      </c>
      <c r="M30" s="40">
        <v>246779410975</v>
      </c>
      <c r="N30" s="3" t="s">
        <v>37</v>
      </c>
      <c r="O30" s="3" t="s">
        <v>38</v>
      </c>
      <c r="P30" s="3" t="s">
        <v>39</v>
      </c>
      <c r="Q30" s="3" t="s">
        <v>40</v>
      </c>
      <c r="R30" s="3" t="s">
        <v>41</v>
      </c>
      <c r="S30" s="5">
        <v>28.91</v>
      </c>
      <c r="T30" s="3" t="s">
        <v>42</v>
      </c>
      <c r="U30" s="5">
        <v>2506.2399999999998</v>
      </c>
      <c r="V30" s="3" t="s">
        <v>56</v>
      </c>
      <c r="W30" s="3" t="s">
        <v>48</v>
      </c>
      <c r="X30" s="3" t="s">
        <v>39</v>
      </c>
      <c r="Y30" s="3" t="s">
        <v>36</v>
      </c>
      <c r="Z30" s="3" t="s">
        <v>44</v>
      </c>
      <c r="AA30" s="41">
        <f t="shared" si="1"/>
        <v>28.91</v>
      </c>
      <c r="AB30" s="3" t="s">
        <v>92</v>
      </c>
      <c r="AC30" s="3" t="s">
        <v>39</v>
      </c>
      <c r="AD30" s="3" t="s">
        <v>39</v>
      </c>
      <c r="AE30" s="3" t="s">
        <v>39</v>
      </c>
      <c r="AF30" s="4">
        <v>45722</v>
      </c>
      <c r="AG30" s="4"/>
      <c r="AH30" s="3" t="s">
        <v>39</v>
      </c>
    </row>
    <row r="31" spans="1:34" outlineLevel="2" x14ac:dyDescent="0.35">
      <c r="A31" s="3" t="s">
        <v>121</v>
      </c>
      <c r="B31" s="3" t="s">
        <v>32</v>
      </c>
      <c r="C31" s="3" t="s">
        <v>117</v>
      </c>
      <c r="D31" s="3" t="s">
        <v>118</v>
      </c>
      <c r="E31" s="3" t="s">
        <v>33</v>
      </c>
      <c r="F31" s="3" t="s">
        <v>51</v>
      </c>
      <c r="G31" s="4">
        <v>45722</v>
      </c>
      <c r="H31" s="3" t="s">
        <v>164</v>
      </c>
      <c r="I31" s="3" t="s">
        <v>35</v>
      </c>
      <c r="J31" s="4">
        <v>45722</v>
      </c>
      <c r="K31" s="4">
        <v>45722</v>
      </c>
      <c r="L31" s="3" t="s">
        <v>36</v>
      </c>
      <c r="M31" s="40">
        <v>246779410976</v>
      </c>
      <c r="N31" s="3" t="s">
        <v>37</v>
      </c>
      <c r="O31" s="3" t="s">
        <v>38</v>
      </c>
      <c r="P31" s="3" t="s">
        <v>39</v>
      </c>
      <c r="Q31" s="3" t="s">
        <v>40</v>
      </c>
      <c r="R31" s="3" t="s">
        <v>41</v>
      </c>
      <c r="S31" s="5">
        <v>24</v>
      </c>
      <c r="T31" s="3" t="s">
        <v>42</v>
      </c>
      <c r="U31" s="5">
        <v>2080.59</v>
      </c>
      <c r="V31" s="3" t="s">
        <v>56</v>
      </c>
      <c r="W31" s="3" t="s">
        <v>48</v>
      </c>
      <c r="X31" s="3" t="s">
        <v>39</v>
      </c>
      <c r="Y31" s="3" t="s">
        <v>36</v>
      </c>
      <c r="Z31" s="3" t="s">
        <v>44</v>
      </c>
      <c r="AA31" s="41">
        <f t="shared" si="1"/>
        <v>24</v>
      </c>
      <c r="AB31" s="3" t="s">
        <v>92</v>
      </c>
      <c r="AC31" s="3" t="s">
        <v>39</v>
      </c>
      <c r="AD31" s="3" t="s">
        <v>39</v>
      </c>
      <c r="AE31" s="3" t="s">
        <v>39</v>
      </c>
      <c r="AF31" s="4">
        <v>45722</v>
      </c>
      <c r="AG31" s="4"/>
      <c r="AH31" s="3" t="s">
        <v>39</v>
      </c>
    </row>
    <row r="32" spans="1:34" outlineLevel="2" x14ac:dyDescent="0.35">
      <c r="A32" s="3" t="s">
        <v>121</v>
      </c>
      <c r="B32" s="3" t="s">
        <v>32</v>
      </c>
      <c r="C32" s="3" t="s">
        <v>117</v>
      </c>
      <c r="D32" s="3" t="s">
        <v>118</v>
      </c>
      <c r="E32" s="3" t="s">
        <v>33</v>
      </c>
      <c r="F32" s="3" t="s">
        <v>51</v>
      </c>
      <c r="G32" s="4">
        <v>45722</v>
      </c>
      <c r="H32" s="3" t="s">
        <v>165</v>
      </c>
      <c r="I32" s="3" t="s">
        <v>35</v>
      </c>
      <c r="J32" s="4">
        <v>45722</v>
      </c>
      <c r="K32" s="4">
        <v>45723</v>
      </c>
      <c r="L32" s="3" t="s">
        <v>36</v>
      </c>
      <c r="M32" s="40">
        <v>246779411056</v>
      </c>
      <c r="N32" s="3" t="s">
        <v>37</v>
      </c>
      <c r="O32" s="3" t="s">
        <v>38</v>
      </c>
      <c r="P32" s="3" t="s">
        <v>39</v>
      </c>
      <c r="Q32" s="3" t="s">
        <v>40</v>
      </c>
      <c r="R32" s="3" t="s">
        <v>41</v>
      </c>
      <c r="S32" s="5">
        <v>59.36</v>
      </c>
      <c r="T32" s="3" t="s">
        <v>42</v>
      </c>
      <c r="U32" s="5">
        <v>5145.99</v>
      </c>
      <c r="V32" s="3" t="s">
        <v>56</v>
      </c>
      <c r="W32" s="3" t="s">
        <v>48</v>
      </c>
      <c r="X32" s="3" t="s">
        <v>39</v>
      </c>
      <c r="Y32" s="3" t="s">
        <v>36</v>
      </c>
      <c r="Z32" s="3" t="s">
        <v>44</v>
      </c>
      <c r="AA32" s="41">
        <f t="shared" si="1"/>
        <v>59.36</v>
      </c>
      <c r="AB32" s="3" t="s">
        <v>166</v>
      </c>
      <c r="AC32" s="3" t="s">
        <v>39</v>
      </c>
      <c r="AD32" s="3" t="s">
        <v>39</v>
      </c>
      <c r="AE32" s="3" t="s">
        <v>39</v>
      </c>
      <c r="AF32" s="4">
        <v>45722</v>
      </c>
      <c r="AG32" s="4"/>
      <c r="AH32" s="3" t="s">
        <v>39</v>
      </c>
    </row>
    <row r="33" spans="1:34" outlineLevel="2" x14ac:dyDescent="0.35">
      <c r="A33" s="3" t="s">
        <v>121</v>
      </c>
      <c r="B33" s="3" t="s">
        <v>32</v>
      </c>
      <c r="C33" s="3" t="s">
        <v>117</v>
      </c>
      <c r="D33" s="3" t="s">
        <v>118</v>
      </c>
      <c r="E33" s="3" t="s">
        <v>33</v>
      </c>
      <c r="F33" s="3" t="s">
        <v>51</v>
      </c>
      <c r="G33" s="4">
        <v>45722</v>
      </c>
      <c r="H33" s="3" t="s">
        <v>167</v>
      </c>
      <c r="I33" s="3" t="s">
        <v>35</v>
      </c>
      <c r="J33" s="4">
        <v>45722</v>
      </c>
      <c r="K33" s="4">
        <v>45723</v>
      </c>
      <c r="L33" s="3" t="s">
        <v>36</v>
      </c>
      <c r="M33" s="40">
        <v>246779411057</v>
      </c>
      <c r="N33" s="3" t="s">
        <v>37</v>
      </c>
      <c r="O33" s="3" t="s">
        <v>38</v>
      </c>
      <c r="P33" s="3" t="s">
        <v>39</v>
      </c>
      <c r="Q33" s="3" t="s">
        <v>40</v>
      </c>
      <c r="R33" s="3" t="s">
        <v>41</v>
      </c>
      <c r="S33" s="5">
        <v>67.67</v>
      </c>
      <c r="T33" s="3" t="s">
        <v>42</v>
      </c>
      <c r="U33" s="5">
        <v>5866.4</v>
      </c>
      <c r="V33" s="3" t="s">
        <v>56</v>
      </c>
      <c r="W33" s="3" t="s">
        <v>48</v>
      </c>
      <c r="X33" s="3" t="s">
        <v>39</v>
      </c>
      <c r="Y33" s="3" t="s">
        <v>36</v>
      </c>
      <c r="Z33" s="3" t="s">
        <v>44</v>
      </c>
      <c r="AA33" s="41">
        <f t="shared" si="1"/>
        <v>67.67</v>
      </c>
      <c r="AB33" s="3" t="s">
        <v>166</v>
      </c>
      <c r="AC33" s="3" t="s">
        <v>39</v>
      </c>
      <c r="AD33" s="3" t="s">
        <v>39</v>
      </c>
      <c r="AE33" s="3" t="s">
        <v>39</v>
      </c>
      <c r="AF33" s="4">
        <v>45722</v>
      </c>
      <c r="AG33" s="4"/>
      <c r="AH33" s="3" t="s">
        <v>39</v>
      </c>
    </row>
    <row r="34" spans="1:34" outlineLevel="2" x14ac:dyDescent="0.35">
      <c r="A34" s="3" t="s">
        <v>121</v>
      </c>
      <c r="B34" s="3" t="s">
        <v>32</v>
      </c>
      <c r="C34" s="3" t="s">
        <v>117</v>
      </c>
      <c r="D34" s="3" t="s">
        <v>118</v>
      </c>
      <c r="E34" s="3" t="s">
        <v>33</v>
      </c>
      <c r="F34" s="3" t="s">
        <v>51</v>
      </c>
      <c r="G34" s="4">
        <v>45722</v>
      </c>
      <c r="H34" s="3" t="s">
        <v>168</v>
      </c>
      <c r="I34" s="3" t="s">
        <v>35</v>
      </c>
      <c r="J34" s="4">
        <v>45722</v>
      </c>
      <c r="K34" s="4">
        <v>45723</v>
      </c>
      <c r="L34" s="3" t="s">
        <v>36</v>
      </c>
      <c r="M34" s="40">
        <v>246779411190</v>
      </c>
      <c r="N34" s="3" t="s">
        <v>37</v>
      </c>
      <c r="O34" s="3" t="s">
        <v>38</v>
      </c>
      <c r="P34" s="3" t="s">
        <v>39</v>
      </c>
      <c r="Q34" s="3" t="s">
        <v>40</v>
      </c>
      <c r="R34" s="3" t="s">
        <v>41</v>
      </c>
      <c r="S34" s="5">
        <v>17.25</v>
      </c>
      <c r="T34" s="3" t="s">
        <v>42</v>
      </c>
      <c r="U34" s="5">
        <v>1495.42</v>
      </c>
      <c r="V34" s="3" t="s">
        <v>56</v>
      </c>
      <c r="W34" s="3" t="s">
        <v>48</v>
      </c>
      <c r="X34" s="3" t="s">
        <v>39</v>
      </c>
      <c r="Y34" s="3" t="s">
        <v>36</v>
      </c>
      <c r="Z34" s="3" t="s">
        <v>44</v>
      </c>
      <c r="AA34" s="41">
        <f t="shared" si="1"/>
        <v>17.25</v>
      </c>
      <c r="AB34" s="3" t="s">
        <v>55</v>
      </c>
      <c r="AC34" s="3" t="s">
        <v>39</v>
      </c>
      <c r="AD34" s="3" t="s">
        <v>39</v>
      </c>
      <c r="AE34" s="3" t="s">
        <v>39</v>
      </c>
      <c r="AF34" s="4">
        <v>45722</v>
      </c>
      <c r="AG34" s="4"/>
      <c r="AH34" s="3" t="s">
        <v>39</v>
      </c>
    </row>
    <row r="35" spans="1:34" outlineLevel="2" x14ac:dyDescent="0.35">
      <c r="A35" s="3" t="s">
        <v>121</v>
      </c>
      <c r="B35" s="3" t="s">
        <v>32</v>
      </c>
      <c r="C35" s="3" t="s">
        <v>117</v>
      </c>
      <c r="D35" s="3" t="s">
        <v>118</v>
      </c>
      <c r="E35" s="3" t="s">
        <v>33</v>
      </c>
      <c r="F35" s="3" t="s">
        <v>51</v>
      </c>
      <c r="G35" s="4">
        <v>45722</v>
      </c>
      <c r="H35" s="3" t="s">
        <v>169</v>
      </c>
      <c r="I35" s="3" t="s">
        <v>35</v>
      </c>
      <c r="J35" s="4">
        <v>45722</v>
      </c>
      <c r="K35" s="4">
        <v>45723</v>
      </c>
      <c r="L35" s="3" t="s">
        <v>36</v>
      </c>
      <c r="M35" s="40">
        <v>246779411191</v>
      </c>
      <c r="N35" s="3" t="s">
        <v>37</v>
      </c>
      <c r="O35" s="3" t="s">
        <v>38</v>
      </c>
      <c r="P35" s="3" t="s">
        <v>39</v>
      </c>
      <c r="Q35" s="3" t="s">
        <v>40</v>
      </c>
      <c r="R35" s="3" t="s">
        <v>41</v>
      </c>
      <c r="S35" s="5">
        <v>26.15</v>
      </c>
      <c r="T35" s="3" t="s">
        <v>42</v>
      </c>
      <c r="U35" s="5">
        <v>2266.98</v>
      </c>
      <c r="V35" s="3" t="s">
        <v>56</v>
      </c>
      <c r="W35" s="3" t="s">
        <v>48</v>
      </c>
      <c r="X35" s="3" t="s">
        <v>39</v>
      </c>
      <c r="Y35" s="3" t="s">
        <v>36</v>
      </c>
      <c r="Z35" s="3" t="s">
        <v>44</v>
      </c>
      <c r="AA35" s="41">
        <f t="shared" si="1"/>
        <v>26.15</v>
      </c>
      <c r="AB35" s="3" t="s">
        <v>55</v>
      </c>
      <c r="AC35" s="3" t="s">
        <v>39</v>
      </c>
      <c r="AD35" s="3" t="s">
        <v>39</v>
      </c>
      <c r="AE35" s="3" t="s">
        <v>39</v>
      </c>
      <c r="AF35" s="4">
        <v>45722</v>
      </c>
      <c r="AG35" s="4"/>
      <c r="AH35" s="3" t="s">
        <v>39</v>
      </c>
    </row>
    <row r="36" spans="1:34" outlineLevel="2" x14ac:dyDescent="0.35">
      <c r="A36" s="3" t="s">
        <v>121</v>
      </c>
      <c r="B36" s="3" t="s">
        <v>32</v>
      </c>
      <c r="C36" s="3" t="s">
        <v>117</v>
      </c>
      <c r="D36" s="3" t="s">
        <v>118</v>
      </c>
      <c r="E36" s="3" t="s">
        <v>33</v>
      </c>
      <c r="F36" s="3" t="s">
        <v>51</v>
      </c>
      <c r="G36" s="4">
        <v>45722</v>
      </c>
      <c r="H36" s="3" t="s">
        <v>170</v>
      </c>
      <c r="I36" s="3" t="s">
        <v>35</v>
      </c>
      <c r="J36" s="4">
        <v>45722</v>
      </c>
      <c r="K36" s="4">
        <v>45723</v>
      </c>
      <c r="L36" s="3" t="s">
        <v>36</v>
      </c>
      <c r="M36" s="40">
        <v>246779411253</v>
      </c>
      <c r="N36" s="3" t="s">
        <v>37</v>
      </c>
      <c r="O36" s="3" t="s">
        <v>38</v>
      </c>
      <c r="P36" s="3" t="s">
        <v>39</v>
      </c>
      <c r="Q36" s="3" t="s">
        <v>40</v>
      </c>
      <c r="R36" s="3" t="s">
        <v>41</v>
      </c>
      <c r="S36" s="5">
        <v>20</v>
      </c>
      <c r="T36" s="3" t="s">
        <v>42</v>
      </c>
      <c r="U36" s="5">
        <v>1733.83</v>
      </c>
      <c r="V36" s="3" t="s">
        <v>56</v>
      </c>
      <c r="W36" s="3" t="s">
        <v>48</v>
      </c>
      <c r="X36" s="3" t="s">
        <v>39</v>
      </c>
      <c r="Y36" s="3" t="s">
        <v>36</v>
      </c>
      <c r="Z36" s="3" t="s">
        <v>44</v>
      </c>
      <c r="AA36" s="41">
        <f t="shared" si="1"/>
        <v>20</v>
      </c>
      <c r="AB36" s="3" t="s">
        <v>97</v>
      </c>
      <c r="AC36" s="3" t="s">
        <v>39</v>
      </c>
      <c r="AD36" s="3" t="s">
        <v>39</v>
      </c>
      <c r="AE36" s="3" t="s">
        <v>39</v>
      </c>
      <c r="AF36" s="4">
        <v>45722</v>
      </c>
      <c r="AG36" s="4"/>
      <c r="AH36" s="3" t="s">
        <v>39</v>
      </c>
    </row>
    <row r="37" spans="1:34" outlineLevel="2" x14ac:dyDescent="0.35">
      <c r="A37" s="3" t="s">
        <v>121</v>
      </c>
      <c r="B37" s="3" t="s">
        <v>32</v>
      </c>
      <c r="C37" s="3" t="s">
        <v>117</v>
      </c>
      <c r="D37" s="3" t="s">
        <v>118</v>
      </c>
      <c r="E37" s="3" t="s">
        <v>33</v>
      </c>
      <c r="F37" s="3" t="s">
        <v>65</v>
      </c>
      <c r="G37" s="4">
        <v>45943</v>
      </c>
      <c r="H37" s="3" t="s">
        <v>171</v>
      </c>
      <c r="I37" s="3" t="s">
        <v>46</v>
      </c>
      <c r="J37" s="4">
        <v>45943</v>
      </c>
      <c r="K37" s="4">
        <v>45944</v>
      </c>
      <c r="L37" s="3" t="s">
        <v>36</v>
      </c>
      <c r="M37" s="40">
        <v>256779421974</v>
      </c>
      <c r="N37" s="3" t="s">
        <v>37</v>
      </c>
      <c r="O37" s="3" t="s">
        <v>38</v>
      </c>
      <c r="P37" s="3" t="s">
        <v>39</v>
      </c>
      <c r="Q37" s="3" t="s">
        <v>47</v>
      </c>
      <c r="R37" s="3" t="s">
        <v>41</v>
      </c>
      <c r="S37" s="5">
        <v>-435.91</v>
      </c>
      <c r="T37" s="3" t="s">
        <v>42</v>
      </c>
      <c r="U37" s="5">
        <v>-38443.24</v>
      </c>
      <c r="V37" s="3" t="s">
        <v>56</v>
      </c>
      <c r="W37" s="3" t="s">
        <v>48</v>
      </c>
      <c r="X37" s="3" t="s">
        <v>39</v>
      </c>
      <c r="Y37" s="3" t="s">
        <v>172</v>
      </c>
      <c r="Z37" s="3" t="s">
        <v>44</v>
      </c>
      <c r="AA37" s="41">
        <f t="shared" si="1"/>
        <v>-435.91</v>
      </c>
      <c r="AB37" s="3" t="s">
        <v>173</v>
      </c>
      <c r="AC37" s="3" t="s">
        <v>39</v>
      </c>
      <c r="AD37" s="3" t="s">
        <v>39</v>
      </c>
      <c r="AE37" s="3" t="s">
        <v>39</v>
      </c>
      <c r="AF37" s="4">
        <v>45943</v>
      </c>
      <c r="AG37" s="4"/>
      <c r="AH37" s="3" t="s">
        <v>39</v>
      </c>
    </row>
    <row r="38" spans="1:34" outlineLevel="2" x14ac:dyDescent="0.35">
      <c r="A38" s="3" t="s">
        <v>121</v>
      </c>
      <c r="B38" s="3" t="s">
        <v>32</v>
      </c>
      <c r="C38" s="3" t="s">
        <v>117</v>
      </c>
      <c r="D38" s="3" t="s">
        <v>118</v>
      </c>
      <c r="E38" s="3" t="s">
        <v>33</v>
      </c>
      <c r="F38" s="3" t="s">
        <v>65</v>
      </c>
      <c r="G38" s="4">
        <v>45943</v>
      </c>
      <c r="H38" s="3" t="s">
        <v>174</v>
      </c>
      <c r="I38" s="3" t="s">
        <v>46</v>
      </c>
      <c r="J38" s="4">
        <v>45943</v>
      </c>
      <c r="K38" s="4">
        <v>45944</v>
      </c>
      <c r="L38" s="3" t="s">
        <v>36</v>
      </c>
      <c r="M38" s="40">
        <v>256779421975</v>
      </c>
      <c r="N38" s="3" t="s">
        <v>37</v>
      </c>
      <c r="O38" s="3" t="s">
        <v>38</v>
      </c>
      <c r="P38" s="3" t="s">
        <v>39</v>
      </c>
      <c r="Q38" s="3" t="s">
        <v>47</v>
      </c>
      <c r="R38" s="3" t="s">
        <v>41</v>
      </c>
      <c r="S38" s="5">
        <v>-447.05</v>
      </c>
      <c r="T38" s="3" t="s">
        <v>42</v>
      </c>
      <c r="U38" s="5">
        <v>-39425.68</v>
      </c>
      <c r="V38" s="3" t="s">
        <v>56</v>
      </c>
      <c r="W38" s="3" t="s">
        <v>48</v>
      </c>
      <c r="X38" s="3" t="s">
        <v>39</v>
      </c>
      <c r="Y38" s="3" t="s">
        <v>172</v>
      </c>
      <c r="Z38" s="3" t="s">
        <v>44</v>
      </c>
      <c r="AA38" s="41">
        <f t="shared" si="1"/>
        <v>-447.05</v>
      </c>
      <c r="AB38" s="3" t="s">
        <v>175</v>
      </c>
      <c r="AC38" s="3" t="s">
        <v>39</v>
      </c>
      <c r="AD38" s="3" t="s">
        <v>39</v>
      </c>
      <c r="AE38" s="3" t="s">
        <v>39</v>
      </c>
      <c r="AF38" s="4">
        <v>45943</v>
      </c>
      <c r="AG38" s="4"/>
      <c r="AH38" s="3" t="s">
        <v>39</v>
      </c>
    </row>
    <row r="39" spans="1:34" outlineLevel="2" x14ac:dyDescent="0.35">
      <c r="A39" s="3" t="s">
        <v>116</v>
      </c>
      <c r="B39" s="3" t="s">
        <v>32</v>
      </c>
      <c r="C39" s="3" t="s">
        <v>117</v>
      </c>
      <c r="D39" s="3" t="s">
        <v>118</v>
      </c>
      <c r="E39" s="3" t="s">
        <v>33</v>
      </c>
      <c r="F39" s="3" t="s">
        <v>65</v>
      </c>
      <c r="G39" s="4">
        <v>45943</v>
      </c>
      <c r="H39" s="3" t="s">
        <v>176</v>
      </c>
      <c r="I39" s="3" t="s">
        <v>46</v>
      </c>
      <c r="J39" s="4">
        <v>45943</v>
      </c>
      <c r="K39" s="4">
        <v>45944</v>
      </c>
      <c r="L39" s="3" t="s">
        <v>36</v>
      </c>
      <c r="M39" s="40">
        <v>256779421982</v>
      </c>
      <c r="N39" s="3" t="s">
        <v>37</v>
      </c>
      <c r="O39" s="3" t="s">
        <v>38</v>
      </c>
      <c r="P39" s="3" t="s">
        <v>39</v>
      </c>
      <c r="Q39" s="3" t="s">
        <v>47</v>
      </c>
      <c r="R39" s="3" t="s">
        <v>41</v>
      </c>
      <c r="S39" s="5">
        <v>-480.02</v>
      </c>
      <c r="T39" s="3" t="s">
        <v>42</v>
      </c>
      <c r="U39" s="5">
        <v>-42333.33</v>
      </c>
      <c r="V39" s="3" t="s">
        <v>56</v>
      </c>
      <c r="W39" s="3" t="s">
        <v>48</v>
      </c>
      <c r="X39" s="3" t="s">
        <v>39</v>
      </c>
      <c r="Y39" s="3" t="s">
        <v>177</v>
      </c>
      <c r="Z39" s="3" t="s">
        <v>44</v>
      </c>
      <c r="AA39" s="41">
        <f t="shared" si="1"/>
        <v>-480.02</v>
      </c>
      <c r="AB39" s="3" t="s">
        <v>178</v>
      </c>
      <c r="AC39" s="3" t="s">
        <v>39</v>
      </c>
      <c r="AD39" s="3" t="s">
        <v>39</v>
      </c>
      <c r="AE39" s="3" t="s">
        <v>39</v>
      </c>
      <c r="AF39" s="4">
        <v>45943</v>
      </c>
      <c r="AG39" s="4">
        <v>45976</v>
      </c>
      <c r="AH39" s="39">
        <v>1400001904</v>
      </c>
    </row>
    <row r="40" spans="1:34" outlineLevel="2" x14ac:dyDescent="0.35">
      <c r="A40" s="3" t="s">
        <v>116</v>
      </c>
      <c r="B40" s="3" t="s">
        <v>32</v>
      </c>
      <c r="C40" s="3" t="s">
        <v>117</v>
      </c>
      <c r="D40" s="3" t="s">
        <v>118</v>
      </c>
      <c r="E40" s="3" t="s">
        <v>33</v>
      </c>
      <c r="F40" s="3" t="s">
        <v>65</v>
      </c>
      <c r="G40" s="4">
        <v>45943</v>
      </c>
      <c r="H40" s="3" t="s">
        <v>179</v>
      </c>
      <c r="I40" s="3" t="s">
        <v>46</v>
      </c>
      <c r="J40" s="4">
        <v>45943</v>
      </c>
      <c r="K40" s="4">
        <v>45944</v>
      </c>
      <c r="L40" s="3" t="s">
        <v>36</v>
      </c>
      <c r="M40" s="40">
        <v>256779421976</v>
      </c>
      <c r="N40" s="3" t="s">
        <v>37</v>
      </c>
      <c r="O40" s="3" t="s">
        <v>38</v>
      </c>
      <c r="P40" s="3" t="s">
        <v>39</v>
      </c>
      <c r="Q40" s="3" t="s">
        <v>47</v>
      </c>
      <c r="R40" s="3" t="s">
        <v>41</v>
      </c>
      <c r="S40" s="5">
        <v>-111.25</v>
      </c>
      <c r="T40" s="3" t="s">
        <v>42</v>
      </c>
      <c r="U40" s="5">
        <v>-9811.2199999999993</v>
      </c>
      <c r="V40" s="3" t="s">
        <v>56</v>
      </c>
      <c r="W40" s="3" t="s">
        <v>48</v>
      </c>
      <c r="X40" s="3" t="s">
        <v>39</v>
      </c>
      <c r="Y40" s="3" t="s">
        <v>172</v>
      </c>
      <c r="Z40" s="3" t="s">
        <v>44</v>
      </c>
      <c r="AA40" s="41">
        <f t="shared" si="1"/>
        <v>-111.25</v>
      </c>
      <c r="AB40" s="3" t="s">
        <v>180</v>
      </c>
      <c r="AC40" s="3" t="s">
        <v>39</v>
      </c>
      <c r="AD40" s="3" t="s">
        <v>39</v>
      </c>
      <c r="AE40" s="3" t="s">
        <v>39</v>
      </c>
      <c r="AF40" s="4">
        <v>45943</v>
      </c>
      <c r="AG40" s="4">
        <v>45976</v>
      </c>
      <c r="AH40" s="39">
        <v>1400001905</v>
      </c>
    </row>
    <row r="41" spans="1:34" outlineLevel="2" x14ac:dyDescent="0.35">
      <c r="A41" s="3" t="s">
        <v>116</v>
      </c>
      <c r="B41" s="3" t="s">
        <v>32</v>
      </c>
      <c r="C41" s="3" t="s">
        <v>117</v>
      </c>
      <c r="D41" s="3" t="s">
        <v>118</v>
      </c>
      <c r="E41" s="3" t="s">
        <v>33</v>
      </c>
      <c r="F41" s="3" t="s">
        <v>65</v>
      </c>
      <c r="G41" s="4">
        <v>45943</v>
      </c>
      <c r="H41" s="3" t="s">
        <v>181</v>
      </c>
      <c r="I41" s="3" t="s">
        <v>46</v>
      </c>
      <c r="J41" s="4">
        <v>45943</v>
      </c>
      <c r="K41" s="4">
        <v>45944</v>
      </c>
      <c r="L41" s="3" t="s">
        <v>36</v>
      </c>
      <c r="M41" s="40">
        <v>256779421977</v>
      </c>
      <c r="N41" s="3" t="s">
        <v>37</v>
      </c>
      <c r="O41" s="3" t="s">
        <v>38</v>
      </c>
      <c r="P41" s="3" t="s">
        <v>39</v>
      </c>
      <c r="Q41" s="3" t="s">
        <v>47</v>
      </c>
      <c r="R41" s="3" t="s">
        <v>41</v>
      </c>
      <c r="S41" s="5">
        <v>-376.4</v>
      </c>
      <c r="T41" s="3" t="s">
        <v>42</v>
      </c>
      <c r="U41" s="5">
        <v>-33195.01</v>
      </c>
      <c r="V41" s="3" t="s">
        <v>56</v>
      </c>
      <c r="W41" s="3" t="s">
        <v>48</v>
      </c>
      <c r="X41" s="3" t="s">
        <v>39</v>
      </c>
      <c r="Y41" s="3" t="s">
        <v>172</v>
      </c>
      <c r="Z41" s="3" t="s">
        <v>44</v>
      </c>
      <c r="AA41" s="41">
        <f t="shared" si="1"/>
        <v>-376.4</v>
      </c>
      <c r="AB41" s="3" t="s">
        <v>182</v>
      </c>
      <c r="AC41" s="3" t="s">
        <v>39</v>
      </c>
      <c r="AD41" s="3" t="s">
        <v>39</v>
      </c>
      <c r="AE41" s="3" t="s">
        <v>39</v>
      </c>
      <c r="AF41" s="4">
        <v>45943</v>
      </c>
      <c r="AG41" s="4">
        <v>45976</v>
      </c>
      <c r="AH41" s="39">
        <v>1400001905</v>
      </c>
    </row>
    <row r="42" spans="1:34" outlineLevel="2" x14ac:dyDescent="0.35">
      <c r="A42" s="3" t="s">
        <v>116</v>
      </c>
      <c r="B42" s="3" t="s">
        <v>32</v>
      </c>
      <c r="C42" s="3" t="s">
        <v>117</v>
      </c>
      <c r="D42" s="3" t="s">
        <v>118</v>
      </c>
      <c r="E42" s="3" t="s">
        <v>33</v>
      </c>
      <c r="F42" s="3" t="s">
        <v>65</v>
      </c>
      <c r="G42" s="4">
        <v>45943</v>
      </c>
      <c r="H42" s="3" t="s">
        <v>183</v>
      </c>
      <c r="I42" s="3" t="s">
        <v>46</v>
      </c>
      <c r="J42" s="4">
        <v>45943</v>
      </c>
      <c r="K42" s="4">
        <v>45944</v>
      </c>
      <c r="L42" s="3" t="s">
        <v>36</v>
      </c>
      <c r="M42" s="40">
        <v>256779421978</v>
      </c>
      <c r="N42" s="3" t="s">
        <v>37</v>
      </c>
      <c r="O42" s="3" t="s">
        <v>38</v>
      </c>
      <c r="P42" s="3" t="s">
        <v>39</v>
      </c>
      <c r="Q42" s="3" t="s">
        <v>47</v>
      </c>
      <c r="R42" s="3" t="s">
        <v>41</v>
      </c>
      <c r="S42" s="5">
        <v>-391.55</v>
      </c>
      <c r="T42" s="3" t="s">
        <v>42</v>
      </c>
      <c r="U42" s="5">
        <v>-34531.1</v>
      </c>
      <c r="V42" s="3" t="s">
        <v>56</v>
      </c>
      <c r="W42" s="3" t="s">
        <v>48</v>
      </c>
      <c r="X42" s="3" t="s">
        <v>39</v>
      </c>
      <c r="Y42" s="3" t="s">
        <v>172</v>
      </c>
      <c r="Z42" s="3" t="s">
        <v>44</v>
      </c>
      <c r="AA42" s="41">
        <f t="shared" si="1"/>
        <v>-391.55</v>
      </c>
      <c r="AB42" s="3" t="s">
        <v>184</v>
      </c>
      <c r="AC42" s="3" t="s">
        <v>39</v>
      </c>
      <c r="AD42" s="3" t="s">
        <v>39</v>
      </c>
      <c r="AE42" s="3" t="s">
        <v>39</v>
      </c>
      <c r="AF42" s="4">
        <v>45943</v>
      </c>
      <c r="AG42" s="4">
        <v>45976</v>
      </c>
      <c r="AH42" s="39">
        <v>1400001905</v>
      </c>
    </row>
    <row r="43" spans="1:34" outlineLevel="2" x14ac:dyDescent="0.35">
      <c r="A43" s="3" t="s">
        <v>121</v>
      </c>
      <c r="B43" s="3" t="s">
        <v>32</v>
      </c>
      <c r="C43" s="3" t="s">
        <v>117</v>
      </c>
      <c r="D43" s="3" t="s">
        <v>118</v>
      </c>
      <c r="E43" s="3" t="s">
        <v>33</v>
      </c>
      <c r="F43" s="3" t="s">
        <v>51</v>
      </c>
      <c r="G43" s="4">
        <v>45719</v>
      </c>
      <c r="H43" s="3" t="s">
        <v>185</v>
      </c>
      <c r="I43" s="3" t="s">
        <v>35</v>
      </c>
      <c r="J43" s="4">
        <v>45719</v>
      </c>
      <c r="K43" s="4">
        <v>45719</v>
      </c>
      <c r="L43" s="3" t="s">
        <v>36</v>
      </c>
      <c r="M43" s="40">
        <v>246779410368</v>
      </c>
      <c r="N43" s="3" t="s">
        <v>37</v>
      </c>
      <c r="O43" s="3" t="s">
        <v>38</v>
      </c>
      <c r="P43" s="3" t="s">
        <v>39</v>
      </c>
      <c r="Q43" s="3" t="s">
        <v>40</v>
      </c>
      <c r="R43" s="3" t="s">
        <v>41</v>
      </c>
      <c r="S43" s="5">
        <v>356.43</v>
      </c>
      <c r="T43" s="3" t="s">
        <v>42</v>
      </c>
      <c r="U43" s="5">
        <v>30899.37</v>
      </c>
      <c r="V43" s="3" t="s">
        <v>56</v>
      </c>
      <c r="W43" s="3" t="s">
        <v>48</v>
      </c>
      <c r="X43" s="3" t="s">
        <v>39</v>
      </c>
      <c r="Y43" s="3" t="s">
        <v>36</v>
      </c>
      <c r="Z43" s="3" t="s">
        <v>44</v>
      </c>
      <c r="AA43" s="41">
        <f t="shared" si="1"/>
        <v>356.43</v>
      </c>
      <c r="AB43" s="3" t="s">
        <v>186</v>
      </c>
      <c r="AC43" s="3" t="s">
        <v>39</v>
      </c>
      <c r="AD43" s="3" t="s">
        <v>39</v>
      </c>
      <c r="AE43" s="3" t="s">
        <v>39</v>
      </c>
      <c r="AF43" s="4">
        <v>45719</v>
      </c>
      <c r="AG43" s="4"/>
      <c r="AH43" s="3" t="s">
        <v>39</v>
      </c>
    </row>
    <row r="44" spans="1:34" outlineLevel="2" x14ac:dyDescent="0.35">
      <c r="A44" s="3" t="s">
        <v>121</v>
      </c>
      <c r="B44" s="3" t="s">
        <v>32</v>
      </c>
      <c r="C44" s="3" t="s">
        <v>117</v>
      </c>
      <c r="D44" s="3" t="s">
        <v>118</v>
      </c>
      <c r="E44" s="3" t="s">
        <v>33</v>
      </c>
      <c r="F44" s="3" t="s">
        <v>51</v>
      </c>
      <c r="G44" s="4">
        <v>45719</v>
      </c>
      <c r="H44" s="3" t="s">
        <v>187</v>
      </c>
      <c r="I44" s="3" t="s">
        <v>35</v>
      </c>
      <c r="J44" s="4">
        <v>45719</v>
      </c>
      <c r="K44" s="4">
        <v>45720</v>
      </c>
      <c r="L44" s="3" t="s">
        <v>36</v>
      </c>
      <c r="M44" s="40">
        <v>246779410615</v>
      </c>
      <c r="N44" s="3" t="s">
        <v>37</v>
      </c>
      <c r="O44" s="3" t="s">
        <v>38</v>
      </c>
      <c r="P44" s="3" t="s">
        <v>39</v>
      </c>
      <c r="Q44" s="3" t="s">
        <v>40</v>
      </c>
      <c r="R44" s="3" t="s">
        <v>41</v>
      </c>
      <c r="S44" s="5">
        <v>9</v>
      </c>
      <c r="T44" s="3" t="s">
        <v>42</v>
      </c>
      <c r="U44" s="5">
        <v>780.22</v>
      </c>
      <c r="V44" s="3" t="s">
        <v>56</v>
      </c>
      <c r="W44" s="3" t="s">
        <v>48</v>
      </c>
      <c r="X44" s="3" t="s">
        <v>39</v>
      </c>
      <c r="Y44" s="3" t="s">
        <v>36</v>
      </c>
      <c r="Z44" s="3" t="s">
        <v>44</v>
      </c>
      <c r="AA44" s="41">
        <f t="shared" si="1"/>
        <v>9</v>
      </c>
      <c r="AB44" s="3" t="s">
        <v>94</v>
      </c>
      <c r="AC44" s="3" t="s">
        <v>39</v>
      </c>
      <c r="AD44" s="3" t="s">
        <v>39</v>
      </c>
      <c r="AE44" s="3" t="s">
        <v>39</v>
      </c>
      <c r="AF44" s="4">
        <v>45719</v>
      </c>
      <c r="AG44" s="4"/>
      <c r="AH44" s="3" t="s">
        <v>39</v>
      </c>
    </row>
    <row r="45" spans="1:34" outlineLevel="2" x14ac:dyDescent="0.35">
      <c r="A45" s="3" t="s">
        <v>121</v>
      </c>
      <c r="B45" s="3" t="s">
        <v>32</v>
      </c>
      <c r="C45" s="3" t="s">
        <v>117</v>
      </c>
      <c r="D45" s="3" t="s">
        <v>118</v>
      </c>
      <c r="E45" s="3" t="s">
        <v>33</v>
      </c>
      <c r="F45" s="3" t="s">
        <v>51</v>
      </c>
      <c r="G45" s="4">
        <v>45719</v>
      </c>
      <c r="H45" s="3" t="s">
        <v>188</v>
      </c>
      <c r="I45" s="3" t="s">
        <v>35</v>
      </c>
      <c r="J45" s="4">
        <v>45719</v>
      </c>
      <c r="K45" s="4">
        <v>45719</v>
      </c>
      <c r="L45" s="3" t="s">
        <v>36</v>
      </c>
      <c r="M45" s="40">
        <v>246779410394</v>
      </c>
      <c r="N45" s="3" t="s">
        <v>37</v>
      </c>
      <c r="O45" s="3" t="s">
        <v>38</v>
      </c>
      <c r="P45" s="3" t="s">
        <v>39</v>
      </c>
      <c r="Q45" s="3" t="s">
        <v>40</v>
      </c>
      <c r="R45" s="3" t="s">
        <v>41</v>
      </c>
      <c r="S45" s="5">
        <v>505.86</v>
      </c>
      <c r="T45" s="3" t="s">
        <v>42</v>
      </c>
      <c r="U45" s="5">
        <v>43853.64</v>
      </c>
      <c r="V45" s="3" t="s">
        <v>56</v>
      </c>
      <c r="W45" s="3" t="s">
        <v>48</v>
      </c>
      <c r="X45" s="3" t="s">
        <v>39</v>
      </c>
      <c r="Y45" s="3" t="s">
        <v>36</v>
      </c>
      <c r="Z45" s="3" t="s">
        <v>44</v>
      </c>
      <c r="AA45" s="41">
        <f t="shared" si="1"/>
        <v>505.86</v>
      </c>
      <c r="AB45" s="3" t="s">
        <v>189</v>
      </c>
      <c r="AC45" s="3" t="s">
        <v>39</v>
      </c>
      <c r="AD45" s="3" t="s">
        <v>39</v>
      </c>
      <c r="AE45" s="3" t="s">
        <v>39</v>
      </c>
      <c r="AF45" s="4">
        <v>45719</v>
      </c>
      <c r="AG45" s="4"/>
      <c r="AH45" s="3" t="s">
        <v>39</v>
      </c>
    </row>
    <row r="46" spans="1:34" outlineLevel="2" x14ac:dyDescent="0.35">
      <c r="A46" s="3" t="s">
        <v>121</v>
      </c>
      <c r="B46" s="3" t="s">
        <v>32</v>
      </c>
      <c r="C46" s="3" t="s">
        <v>117</v>
      </c>
      <c r="D46" s="3" t="s">
        <v>118</v>
      </c>
      <c r="E46" s="3" t="s">
        <v>33</v>
      </c>
      <c r="F46" s="3" t="s">
        <v>51</v>
      </c>
      <c r="G46" s="4">
        <v>45719</v>
      </c>
      <c r="H46" s="3" t="s">
        <v>190</v>
      </c>
      <c r="I46" s="3" t="s">
        <v>35</v>
      </c>
      <c r="J46" s="4">
        <v>45719</v>
      </c>
      <c r="K46" s="4">
        <v>45719</v>
      </c>
      <c r="L46" s="3" t="s">
        <v>36</v>
      </c>
      <c r="M46" s="40">
        <v>246779410418</v>
      </c>
      <c r="N46" s="3" t="s">
        <v>37</v>
      </c>
      <c r="O46" s="3" t="s">
        <v>38</v>
      </c>
      <c r="P46" s="3" t="s">
        <v>39</v>
      </c>
      <c r="Q46" s="3" t="s">
        <v>40</v>
      </c>
      <c r="R46" s="3" t="s">
        <v>41</v>
      </c>
      <c r="S46" s="5">
        <v>562.6</v>
      </c>
      <c r="T46" s="3" t="s">
        <v>42</v>
      </c>
      <c r="U46" s="5">
        <v>48772.5</v>
      </c>
      <c r="V46" s="3" t="s">
        <v>56</v>
      </c>
      <c r="W46" s="3" t="s">
        <v>48</v>
      </c>
      <c r="X46" s="3" t="s">
        <v>39</v>
      </c>
      <c r="Y46" s="3" t="s">
        <v>36</v>
      </c>
      <c r="Z46" s="3" t="s">
        <v>44</v>
      </c>
      <c r="AA46" s="41">
        <f t="shared" si="1"/>
        <v>562.6</v>
      </c>
      <c r="AB46" s="3" t="s">
        <v>191</v>
      </c>
      <c r="AC46" s="3" t="s">
        <v>39</v>
      </c>
      <c r="AD46" s="3" t="s">
        <v>39</v>
      </c>
      <c r="AE46" s="3" t="s">
        <v>39</v>
      </c>
      <c r="AF46" s="4">
        <v>45719</v>
      </c>
      <c r="AG46" s="4"/>
      <c r="AH46" s="3" t="s">
        <v>39</v>
      </c>
    </row>
    <row r="47" spans="1:34" outlineLevel="2" x14ac:dyDescent="0.35">
      <c r="A47" s="3" t="s">
        <v>121</v>
      </c>
      <c r="B47" s="3" t="s">
        <v>32</v>
      </c>
      <c r="C47" s="3" t="s">
        <v>117</v>
      </c>
      <c r="D47" s="3" t="s">
        <v>118</v>
      </c>
      <c r="E47" s="3" t="s">
        <v>33</v>
      </c>
      <c r="F47" s="3" t="s">
        <v>51</v>
      </c>
      <c r="G47" s="4">
        <v>45719</v>
      </c>
      <c r="H47" s="3" t="s">
        <v>192</v>
      </c>
      <c r="I47" s="3" t="s">
        <v>35</v>
      </c>
      <c r="J47" s="4">
        <v>45719</v>
      </c>
      <c r="K47" s="4">
        <v>45719</v>
      </c>
      <c r="L47" s="3" t="s">
        <v>36</v>
      </c>
      <c r="M47" s="40">
        <v>246779410509</v>
      </c>
      <c r="N47" s="3" t="s">
        <v>37</v>
      </c>
      <c r="O47" s="3" t="s">
        <v>38</v>
      </c>
      <c r="P47" s="3" t="s">
        <v>39</v>
      </c>
      <c r="Q47" s="3" t="s">
        <v>40</v>
      </c>
      <c r="R47" s="3" t="s">
        <v>41</v>
      </c>
      <c r="S47" s="5">
        <v>29.25</v>
      </c>
      <c r="T47" s="3" t="s">
        <v>42</v>
      </c>
      <c r="U47" s="5">
        <v>2535.7199999999998</v>
      </c>
      <c r="V47" s="3" t="s">
        <v>56</v>
      </c>
      <c r="W47" s="3" t="s">
        <v>48</v>
      </c>
      <c r="X47" s="3" t="s">
        <v>39</v>
      </c>
      <c r="Y47" s="3" t="s">
        <v>36</v>
      </c>
      <c r="Z47" s="3" t="s">
        <v>44</v>
      </c>
      <c r="AA47" s="41">
        <f t="shared" si="1"/>
        <v>29.25</v>
      </c>
      <c r="AB47" s="3" t="s">
        <v>93</v>
      </c>
      <c r="AC47" s="3" t="s">
        <v>39</v>
      </c>
      <c r="AD47" s="3" t="s">
        <v>39</v>
      </c>
      <c r="AE47" s="3" t="s">
        <v>39</v>
      </c>
      <c r="AF47" s="4">
        <v>45719</v>
      </c>
      <c r="AG47" s="4"/>
      <c r="AH47" s="3" t="s">
        <v>39</v>
      </c>
    </row>
    <row r="48" spans="1:34" outlineLevel="2" x14ac:dyDescent="0.35">
      <c r="A48" s="3" t="s">
        <v>121</v>
      </c>
      <c r="B48" s="3" t="s">
        <v>32</v>
      </c>
      <c r="C48" s="3" t="s">
        <v>117</v>
      </c>
      <c r="D48" s="3" t="s">
        <v>118</v>
      </c>
      <c r="E48" s="3" t="s">
        <v>33</v>
      </c>
      <c r="F48" s="3" t="s">
        <v>51</v>
      </c>
      <c r="G48" s="4">
        <v>45719</v>
      </c>
      <c r="H48" s="3" t="s">
        <v>193</v>
      </c>
      <c r="I48" s="3" t="s">
        <v>35</v>
      </c>
      <c r="J48" s="4">
        <v>45719</v>
      </c>
      <c r="K48" s="4">
        <v>45719</v>
      </c>
      <c r="L48" s="3" t="s">
        <v>36</v>
      </c>
      <c r="M48" s="40">
        <v>246779410510</v>
      </c>
      <c r="N48" s="3" t="s">
        <v>37</v>
      </c>
      <c r="O48" s="3" t="s">
        <v>38</v>
      </c>
      <c r="P48" s="3" t="s">
        <v>39</v>
      </c>
      <c r="Q48" s="3" t="s">
        <v>40</v>
      </c>
      <c r="R48" s="3" t="s">
        <v>41</v>
      </c>
      <c r="S48" s="5">
        <v>194.9</v>
      </c>
      <c r="T48" s="3" t="s">
        <v>42</v>
      </c>
      <c r="U48" s="5">
        <v>16896.13</v>
      </c>
      <c r="V48" s="3" t="s">
        <v>56</v>
      </c>
      <c r="W48" s="3" t="s">
        <v>48</v>
      </c>
      <c r="X48" s="3" t="s">
        <v>39</v>
      </c>
      <c r="Y48" s="3" t="s">
        <v>36</v>
      </c>
      <c r="Z48" s="3" t="s">
        <v>44</v>
      </c>
      <c r="AA48" s="41">
        <f t="shared" si="1"/>
        <v>194.9</v>
      </c>
      <c r="AB48" s="3" t="s">
        <v>93</v>
      </c>
      <c r="AC48" s="3" t="s">
        <v>39</v>
      </c>
      <c r="AD48" s="3" t="s">
        <v>39</v>
      </c>
      <c r="AE48" s="3" t="s">
        <v>39</v>
      </c>
      <c r="AF48" s="4">
        <v>45719</v>
      </c>
      <c r="AG48" s="4"/>
      <c r="AH48" s="3" t="s">
        <v>39</v>
      </c>
    </row>
    <row r="49" spans="1:34" outlineLevel="2" x14ac:dyDescent="0.35">
      <c r="A49" s="3" t="s">
        <v>121</v>
      </c>
      <c r="B49" s="3" t="s">
        <v>32</v>
      </c>
      <c r="C49" s="3" t="s">
        <v>117</v>
      </c>
      <c r="D49" s="3" t="s">
        <v>118</v>
      </c>
      <c r="E49" s="3" t="s">
        <v>33</v>
      </c>
      <c r="F49" s="3" t="s">
        <v>51</v>
      </c>
      <c r="G49" s="4">
        <v>45719</v>
      </c>
      <c r="H49" s="3" t="s">
        <v>194</v>
      </c>
      <c r="I49" s="3" t="s">
        <v>35</v>
      </c>
      <c r="J49" s="4">
        <v>45719</v>
      </c>
      <c r="K49" s="4">
        <v>45719</v>
      </c>
      <c r="L49" s="3" t="s">
        <v>36</v>
      </c>
      <c r="M49" s="40">
        <v>246779410511</v>
      </c>
      <c r="N49" s="3" t="s">
        <v>37</v>
      </c>
      <c r="O49" s="3" t="s">
        <v>38</v>
      </c>
      <c r="P49" s="3" t="s">
        <v>39</v>
      </c>
      <c r="Q49" s="3" t="s">
        <v>40</v>
      </c>
      <c r="R49" s="3" t="s">
        <v>41</v>
      </c>
      <c r="S49" s="5">
        <v>13.91</v>
      </c>
      <c r="T49" s="3" t="s">
        <v>42</v>
      </c>
      <c r="U49" s="5">
        <v>1205.8800000000001</v>
      </c>
      <c r="V49" s="3" t="s">
        <v>56</v>
      </c>
      <c r="W49" s="3" t="s">
        <v>48</v>
      </c>
      <c r="X49" s="3" t="s">
        <v>39</v>
      </c>
      <c r="Y49" s="3" t="s">
        <v>36</v>
      </c>
      <c r="Z49" s="3" t="s">
        <v>44</v>
      </c>
      <c r="AA49" s="41">
        <f t="shared" si="1"/>
        <v>13.91</v>
      </c>
      <c r="AB49" s="3" t="s">
        <v>93</v>
      </c>
      <c r="AC49" s="3" t="s">
        <v>39</v>
      </c>
      <c r="AD49" s="3" t="s">
        <v>39</v>
      </c>
      <c r="AE49" s="3" t="s">
        <v>39</v>
      </c>
      <c r="AF49" s="4">
        <v>45719</v>
      </c>
      <c r="AG49" s="4"/>
      <c r="AH49" s="3" t="s">
        <v>39</v>
      </c>
    </row>
    <row r="50" spans="1:34" outlineLevel="2" x14ac:dyDescent="0.35">
      <c r="A50" s="3" t="s">
        <v>121</v>
      </c>
      <c r="B50" s="3" t="s">
        <v>32</v>
      </c>
      <c r="C50" s="3" t="s">
        <v>117</v>
      </c>
      <c r="D50" s="3" t="s">
        <v>118</v>
      </c>
      <c r="E50" s="3" t="s">
        <v>33</v>
      </c>
      <c r="F50" s="3" t="s">
        <v>51</v>
      </c>
      <c r="G50" s="4">
        <v>45719</v>
      </c>
      <c r="H50" s="3" t="s">
        <v>195</v>
      </c>
      <c r="I50" s="3" t="s">
        <v>35</v>
      </c>
      <c r="J50" s="4">
        <v>45719</v>
      </c>
      <c r="K50" s="4">
        <v>45720</v>
      </c>
      <c r="L50" s="3" t="s">
        <v>36</v>
      </c>
      <c r="M50" s="40">
        <v>246779410614</v>
      </c>
      <c r="N50" s="3" t="s">
        <v>37</v>
      </c>
      <c r="O50" s="3" t="s">
        <v>38</v>
      </c>
      <c r="P50" s="3" t="s">
        <v>39</v>
      </c>
      <c r="Q50" s="3" t="s">
        <v>40</v>
      </c>
      <c r="R50" s="3" t="s">
        <v>41</v>
      </c>
      <c r="S50" s="5">
        <v>2.25</v>
      </c>
      <c r="T50" s="3" t="s">
        <v>42</v>
      </c>
      <c r="U50" s="5">
        <v>195.06</v>
      </c>
      <c r="V50" s="3" t="s">
        <v>56</v>
      </c>
      <c r="W50" s="3" t="s">
        <v>48</v>
      </c>
      <c r="X50" s="3" t="s">
        <v>39</v>
      </c>
      <c r="Y50" s="3" t="s">
        <v>36</v>
      </c>
      <c r="Z50" s="3" t="s">
        <v>44</v>
      </c>
      <c r="AA50" s="41">
        <f t="shared" si="1"/>
        <v>2.25</v>
      </c>
      <c r="AB50" s="3" t="s">
        <v>94</v>
      </c>
      <c r="AC50" s="3" t="s">
        <v>39</v>
      </c>
      <c r="AD50" s="3" t="s">
        <v>39</v>
      </c>
      <c r="AE50" s="3" t="s">
        <v>39</v>
      </c>
      <c r="AF50" s="4">
        <v>45719</v>
      </c>
      <c r="AG50" s="4"/>
      <c r="AH50" s="3" t="s">
        <v>39</v>
      </c>
    </row>
    <row r="51" spans="1:34" outlineLevel="2" x14ac:dyDescent="0.35">
      <c r="A51" s="3" t="s">
        <v>121</v>
      </c>
      <c r="B51" s="3" t="s">
        <v>32</v>
      </c>
      <c r="C51" s="3" t="s">
        <v>117</v>
      </c>
      <c r="D51" s="3" t="s">
        <v>118</v>
      </c>
      <c r="E51" s="3" t="s">
        <v>33</v>
      </c>
      <c r="F51" s="3" t="s">
        <v>51</v>
      </c>
      <c r="G51" s="4">
        <v>45733</v>
      </c>
      <c r="H51" s="3" t="s">
        <v>196</v>
      </c>
      <c r="I51" s="3" t="s">
        <v>35</v>
      </c>
      <c r="J51" s="4">
        <v>45733</v>
      </c>
      <c r="K51" s="4">
        <v>45733</v>
      </c>
      <c r="L51" s="3" t="s">
        <v>36</v>
      </c>
      <c r="M51" s="40">
        <v>246779411622</v>
      </c>
      <c r="N51" s="3" t="s">
        <v>37</v>
      </c>
      <c r="O51" s="3" t="s">
        <v>38</v>
      </c>
      <c r="P51" s="3" t="s">
        <v>39</v>
      </c>
      <c r="Q51" s="3" t="s">
        <v>40</v>
      </c>
      <c r="R51" s="3" t="s">
        <v>41</v>
      </c>
      <c r="S51" s="5">
        <v>3.82</v>
      </c>
      <c r="T51" s="3" t="s">
        <v>42</v>
      </c>
      <c r="U51" s="5">
        <v>331.16</v>
      </c>
      <c r="V51" s="3" t="s">
        <v>56</v>
      </c>
      <c r="W51" s="3" t="s">
        <v>48</v>
      </c>
      <c r="X51" s="3" t="s">
        <v>39</v>
      </c>
      <c r="Y51" s="3" t="s">
        <v>36</v>
      </c>
      <c r="Z51" s="3" t="s">
        <v>44</v>
      </c>
      <c r="AA51" s="41">
        <f t="shared" si="1"/>
        <v>3.82</v>
      </c>
      <c r="AB51" s="3" t="s">
        <v>95</v>
      </c>
      <c r="AC51" s="3" t="s">
        <v>39</v>
      </c>
      <c r="AD51" s="3" t="s">
        <v>39</v>
      </c>
      <c r="AE51" s="3" t="s">
        <v>39</v>
      </c>
      <c r="AF51" s="4">
        <v>45733</v>
      </c>
      <c r="AG51" s="4"/>
      <c r="AH51" s="3" t="s">
        <v>39</v>
      </c>
    </row>
    <row r="52" spans="1:34" outlineLevel="2" x14ac:dyDescent="0.35">
      <c r="A52" s="3" t="s">
        <v>121</v>
      </c>
      <c r="B52" s="3" t="s">
        <v>32</v>
      </c>
      <c r="C52" s="3" t="s">
        <v>117</v>
      </c>
      <c r="D52" s="3" t="s">
        <v>118</v>
      </c>
      <c r="E52" s="3" t="s">
        <v>33</v>
      </c>
      <c r="F52" s="3" t="s">
        <v>51</v>
      </c>
      <c r="G52" s="4">
        <v>45733</v>
      </c>
      <c r="H52" s="3" t="s">
        <v>197</v>
      </c>
      <c r="I52" s="3" t="s">
        <v>35</v>
      </c>
      <c r="J52" s="4">
        <v>45733</v>
      </c>
      <c r="K52" s="4">
        <v>45733</v>
      </c>
      <c r="L52" s="3" t="s">
        <v>36</v>
      </c>
      <c r="M52" s="40">
        <v>246779411623</v>
      </c>
      <c r="N52" s="3" t="s">
        <v>37</v>
      </c>
      <c r="O52" s="3" t="s">
        <v>38</v>
      </c>
      <c r="P52" s="3" t="s">
        <v>39</v>
      </c>
      <c r="Q52" s="3" t="s">
        <v>40</v>
      </c>
      <c r="R52" s="3" t="s">
        <v>41</v>
      </c>
      <c r="S52" s="5">
        <v>1.91</v>
      </c>
      <c r="T52" s="3" t="s">
        <v>42</v>
      </c>
      <c r="U52" s="5">
        <v>165.58</v>
      </c>
      <c r="V52" s="3" t="s">
        <v>56</v>
      </c>
      <c r="W52" s="3" t="s">
        <v>48</v>
      </c>
      <c r="X52" s="3" t="s">
        <v>39</v>
      </c>
      <c r="Y52" s="3" t="s">
        <v>36</v>
      </c>
      <c r="Z52" s="3" t="s">
        <v>44</v>
      </c>
      <c r="AA52" s="41">
        <f t="shared" si="1"/>
        <v>1.91</v>
      </c>
      <c r="AB52" s="3" t="s">
        <v>95</v>
      </c>
      <c r="AC52" s="3" t="s">
        <v>39</v>
      </c>
      <c r="AD52" s="3" t="s">
        <v>39</v>
      </c>
      <c r="AE52" s="3" t="s">
        <v>39</v>
      </c>
      <c r="AF52" s="4">
        <v>45733</v>
      </c>
      <c r="AG52" s="4"/>
      <c r="AH52" s="3" t="s">
        <v>39</v>
      </c>
    </row>
    <row r="53" spans="1:34" outlineLevel="2" x14ac:dyDescent="0.35">
      <c r="A53" s="3" t="s">
        <v>121</v>
      </c>
      <c r="B53" s="3" t="s">
        <v>32</v>
      </c>
      <c r="C53" s="3" t="s">
        <v>117</v>
      </c>
      <c r="D53" s="3" t="s">
        <v>118</v>
      </c>
      <c r="E53" s="3" t="s">
        <v>33</v>
      </c>
      <c r="F53" s="3" t="s">
        <v>47</v>
      </c>
      <c r="G53" s="4">
        <v>45980</v>
      </c>
      <c r="H53" s="3" t="s">
        <v>198</v>
      </c>
      <c r="I53" s="3" t="s">
        <v>35</v>
      </c>
      <c r="J53" s="4">
        <v>45980</v>
      </c>
      <c r="K53" s="4">
        <v>45982</v>
      </c>
      <c r="L53" s="3" t="s">
        <v>36</v>
      </c>
      <c r="M53" s="40">
        <v>256779419365</v>
      </c>
      <c r="N53" s="3" t="s">
        <v>37</v>
      </c>
      <c r="O53" s="3" t="s">
        <v>38</v>
      </c>
      <c r="P53" s="3" t="s">
        <v>39</v>
      </c>
      <c r="Q53" s="3" t="s">
        <v>40</v>
      </c>
      <c r="R53" s="3" t="s">
        <v>41</v>
      </c>
      <c r="S53" s="5">
        <v>292.99</v>
      </c>
      <c r="T53" s="3" t="s">
        <v>42</v>
      </c>
      <c r="U53" s="5">
        <v>25784.11</v>
      </c>
      <c r="V53" s="3" t="s">
        <v>56</v>
      </c>
      <c r="W53" s="3" t="s">
        <v>48</v>
      </c>
      <c r="X53" s="3" t="s">
        <v>39</v>
      </c>
      <c r="Y53" s="3" t="s">
        <v>199</v>
      </c>
      <c r="Z53" s="3" t="s">
        <v>44</v>
      </c>
      <c r="AA53" s="41">
        <f t="shared" si="1"/>
        <v>292.99</v>
      </c>
      <c r="AB53" s="3" t="s">
        <v>200</v>
      </c>
      <c r="AC53" s="3" t="s">
        <v>39</v>
      </c>
      <c r="AD53" s="3" t="s">
        <v>39</v>
      </c>
      <c r="AE53" s="3" t="s">
        <v>39</v>
      </c>
      <c r="AF53" s="4">
        <v>45980</v>
      </c>
      <c r="AG53" s="4"/>
      <c r="AH53" s="3" t="s">
        <v>39</v>
      </c>
    </row>
    <row r="54" spans="1:34" outlineLevel="2" x14ac:dyDescent="0.35">
      <c r="A54" s="3" t="s">
        <v>121</v>
      </c>
      <c r="B54" s="3" t="s">
        <v>32</v>
      </c>
      <c r="C54" s="3" t="s">
        <v>117</v>
      </c>
      <c r="D54" s="3" t="s">
        <v>118</v>
      </c>
      <c r="E54" s="3" t="s">
        <v>33</v>
      </c>
      <c r="F54" s="3" t="s">
        <v>63</v>
      </c>
      <c r="G54" s="4">
        <v>45762</v>
      </c>
      <c r="H54" s="3" t="s">
        <v>201</v>
      </c>
      <c r="I54" s="3" t="s">
        <v>35</v>
      </c>
      <c r="J54" s="4">
        <v>45762</v>
      </c>
      <c r="K54" s="4">
        <v>45763</v>
      </c>
      <c r="L54" s="3" t="s">
        <v>36</v>
      </c>
      <c r="M54" s="40">
        <v>256779411160</v>
      </c>
      <c r="N54" s="3" t="s">
        <v>37</v>
      </c>
      <c r="O54" s="3" t="s">
        <v>38</v>
      </c>
      <c r="P54" s="3" t="s">
        <v>39</v>
      </c>
      <c r="Q54" s="3" t="s">
        <v>40</v>
      </c>
      <c r="R54" s="3" t="s">
        <v>41</v>
      </c>
      <c r="S54" s="5">
        <v>18.38</v>
      </c>
      <c r="T54" s="3" t="s">
        <v>42</v>
      </c>
      <c r="U54" s="5">
        <v>1597.62</v>
      </c>
      <c r="V54" s="3" t="s">
        <v>56</v>
      </c>
      <c r="W54" s="3" t="s">
        <v>39</v>
      </c>
      <c r="X54" s="3" t="s">
        <v>39</v>
      </c>
      <c r="Y54" s="3" t="s">
        <v>36</v>
      </c>
      <c r="Z54" s="3" t="s">
        <v>44</v>
      </c>
      <c r="AA54" s="41">
        <f t="shared" ref="AA54:AA85" si="2">S54</f>
        <v>18.38</v>
      </c>
      <c r="AB54" s="3" t="s">
        <v>202</v>
      </c>
      <c r="AC54" s="3" t="s">
        <v>39</v>
      </c>
      <c r="AD54" s="3" t="s">
        <v>39</v>
      </c>
      <c r="AE54" s="3" t="s">
        <v>39</v>
      </c>
      <c r="AF54" s="4">
        <v>45762</v>
      </c>
      <c r="AG54" s="4"/>
      <c r="AH54" s="3" t="s">
        <v>39</v>
      </c>
    </row>
    <row r="55" spans="1:34" outlineLevel="2" x14ac:dyDescent="0.35">
      <c r="A55" s="3" t="s">
        <v>121</v>
      </c>
      <c r="B55" s="3" t="s">
        <v>32</v>
      </c>
      <c r="C55" s="3" t="s">
        <v>117</v>
      </c>
      <c r="D55" s="3" t="s">
        <v>118</v>
      </c>
      <c r="E55" s="3" t="s">
        <v>33</v>
      </c>
      <c r="F55" s="3" t="s">
        <v>63</v>
      </c>
      <c r="G55" s="4">
        <v>45762</v>
      </c>
      <c r="H55" s="3" t="s">
        <v>203</v>
      </c>
      <c r="I55" s="3" t="s">
        <v>35</v>
      </c>
      <c r="J55" s="4">
        <v>45762</v>
      </c>
      <c r="K55" s="4">
        <v>45763</v>
      </c>
      <c r="L55" s="3" t="s">
        <v>36</v>
      </c>
      <c r="M55" s="40">
        <v>256779411161</v>
      </c>
      <c r="N55" s="3" t="s">
        <v>37</v>
      </c>
      <c r="O55" s="3" t="s">
        <v>38</v>
      </c>
      <c r="P55" s="3" t="s">
        <v>39</v>
      </c>
      <c r="Q55" s="3" t="s">
        <v>40</v>
      </c>
      <c r="R55" s="3" t="s">
        <v>41</v>
      </c>
      <c r="S55" s="5">
        <v>46.76</v>
      </c>
      <c r="T55" s="3" t="s">
        <v>42</v>
      </c>
      <c r="U55" s="5">
        <v>4064.46</v>
      </c>
      <c r="V55" s="3" t="s">
        <v>56</v>
      </c>
      <c r="W55" s="3" t="s">
        <v>39</v>
      </c>
      <c r="X55" s="3" t="s">
        <v>39</v>
      </c>
      <c r="Y55" s="3" t="s">
        <v>36</v>
      </c>
      <c r="Z55" s="3" t="s">
        <v>44</v>
      </c>
      <c r="AA55" s="41">
        <f t="shared" si="2"/>
        <v>46.76</v>
      </c>
      <c r="AB55" s="3" t="s">
        <v>96</v>
      </c>
      <c r="AC55" s="3" t="s">
        <v>39</v>
      </c>
      <c r="AD55" s="3" t="s">
        <v>39</v>
      </c>
      <c r="AE55" s="3" t="s">
        <v>39</v>
      </c>
      <c r="AF55" s="4">
        <v>45762</v>
      </c>
      <c r="AG55" s="4"/>
      <c r="AH55" s="3" t="s">
        <v>39</v>
      </c>
    </row>
    <row r="56" spans="1:34" outlineLevel="2" x14ac:dyDescent="0.35">
      <c r="A56" s="3" t="s">
        <v>121</v>
      </c>
      <c r="B56" s="3" t="s">
        <v>32</v>
      </c>
      <c r="C56" s="3" t="s">
        <v>117</v>
      </c>
      <c r="D56" s="3" t="s">
        <v>118</v>
      </c>
      <c r="E56" s="3" t="s">
        <v>33</v>
      </c>
      <c r="F56" s="3" t="s">
        <v>63</v>
      </c>
      <c r="G56" s="4">
        <v>45762</v>
      </c>
      <c r="H56" s="3" t="s">
        <v>204</v>
      </c>
      <c r="I56" s="3" t="s">
        <v>35</v>
      </c>
      <c r="J56" s="4">
        <v>45762</v>
      </c>
      <c r="K56" s="4">
        <v>45763</v>
      </c>
      <c r="L56" s="3" t="s">
        <v>36</v>
      </c>
      <c r="M56" s="40">
        <v>256779411162</v>
      </c>
      <c r="N56" s="3" t="s">
        <v>37</v>
      </c>
      <c r="O56" s="3" t="s">
        <v>38</v>
      </c>
      <c r="P56" s="3" t="s">
        <v>39</v>
      </c>
      <c r="Q56" s="3" t="s">
        <v>40</v>
      </c>
      <c r="R56" s="3" t="s">
        <v>41</v>
      </c>
      <c r="S56" s="5">
        <v>35.25</v>
      </c>
      <c r="T56" s="3" t="s">
        <v>42</v>
      </c>
      <c r="U56" s="5">
        <v>3063.99</v>
      </c>
      <c r="V56" s="3" t="s">
        <v>56</v>
      </c>
      <c r="W56" s="3" t="s">
        <v>39</v>
      </c>
      <c r="X56" s="3" t="s">
        <v>39</v>
      </c>
      <c r="Y56" s="3" t="s">
        <v>36</v>
      </c>
      <c r="Z56" s="3" t="s">
        <v>44</v>
      </c>
      <c r="AA56" s="41">
        <f t="shared" si="2"/>
        <v>35.25</v>
      </c>
      <c r="AB56" s="3" t="s">
        <v>202</v>
      </c>
      <c r="AC56" s="3" t="s">
        <v>39</v>
      </c>
      <c r="AD56" s="3" t="s">
        <v>39</v>
      </c>
      <c r="AE56" s="3" t="s">
        <v>39</v>
      </c>
      <c r="AF56" s="4">
        <v>45762</v>
      </c>
      <c r="AG56" s="4"/>
      <c r="AH56" s="3" t="s">
        <v>39</v>
      </c>
    </row>
    <row r="57" spans="1:34" outlineLevel="2" x14ac:dyDescent="0.35">
      <c r="A57" s="3" t="s">
        <v>121</v>
      </c>
      <c r="B57" s="3" t="s">
        <v>32</v>
      </c>
      <c r="C57" s="3" t="s">
        <v>117</v>
      </c>
      <c r="D57" s="3" t="s">
        <v>118</v>
      </c>
      <c r="E57" s="3" t="s">
        <v>33</v>
      </c>
      <c r="F57" s="3" t="s">
        <v>63</v>
      </c>
      <c r="G57" s="4">
        <v>45762</v>
      </c>
      <c r="H57" s="3" t="s">
        <v>205</v>
      </c>
      <c r="I57" s="3" t="s">
        <v>35</v>
      </c>
      <c r="J57" s="4">
        <v>45762</v>
      </c>
      <c r="K57" s="4">
        <v>45763</v>
      </c>
      <c r="L57" s="3" t="s">
        <v>36</v>
      </c>
      <c r="M57" s="40">
        <v>256779411163</v>
      </c>
      <c r="N57" s="3" t="s">
        <v>37</v>
      </c>
      <c r="O57" s="3" t="s">
        <v>38</v>
      </c>
      <c r="P57" s="3" t="s">
        <v>39</v>
      </c>
      <c r="Q57" s="3" t="s">
        <v>40</v>
      </c>
      <c r="R57" s="3" t="s">
        <v>41</v>
      </c>
      <c r="S57" s="5">
        <v>24</v>
      </c>
      <c r="T57" s="3" t="s">
        <v>42</v>
      </c>
      <c r="U57" s="5">
        <v>2086.12</v>
      </c>
      <c r="V57" s="3" t="s">
        <v>56</v>
      </c>
      <c r="W57" s="3" t="s">
        <v>39</v>
      </c>
      <c r="X57" s="3" t="s">
        <v>39</v>
      </c>
      <c r="Y57" s="3" t="s">
        <v>36</v>
      </c>
      <c r="Z57" s="3" t="s">
        <v>44</v>
      </c>
      <c r="AA57" s="41">
        <f t="shared" si="2"/>
        <v>24</v>
      </c>
      <c r="AB57" s="3" t="s">
        <v>202</v>
      </c>
      <c r="AC57" s="3" t="s">
        <v>39</v>
      </c>
      <c r="AD57" s="3" t="s">
        <v>39</v>
      </c>
      <c r="AE57" s="3" t="s">
        <v>39</v>
      </c>
      <c r="AF57" s="4">
        <v>45762</v>
      </c>
      <c r="AG57" s="4"/>
      <c r="AH57" s="3" t="s">
        <v>39</v>
      </c>
    </row>
    <row r="58" spans="1:34" outlineLevel="2" x14ac:dyDescent="0.35">
      <c r="A58" s="3" t="s">
        <v>121</v>
      </c>
      <c r="B58" s="3" t="s">
        <v>32</v>
      </c>
      <c r="C58" s="3" t="s">
        <v>117</v>
      </c>
      <c r="D58" s="3" t="s">
        <v>118</v>
      </c>
      <c r="E58" s="3" t="s">
        <v>33</v>
      </c>
      <c r="F58" s="3" t="s">
        <v>63</v>
      </c>
      <c r="G58" s="4">
        <v>45762</v>
      </c>
      <c r="H58" s="3" t="s">
        <v>206</v>
      </c>
      <c r="I58" s="3" t="s">
        <v>35</v>
      </c>
      <c r="J58" s="4">
        <v>45762</v>
      </c>
      <c r="K58" s="4">
        <v>45763</v>
      </c>
      <c r="L58" s="3" t="s">
        <v>36</v>
      </c>
      <c r="M58" s="40">
        <v>256779411164</v>
      </c>
      <c r="N58" s="3" t="s">
        <v>37</v>
      </c>
      <c r="O58" s="3" t="s">
        <v>38</v>
      </c>
      <c r="P58" s="3" t="s">
        <v>39</v>
      </c>
      <c r="Q58" s="3" t="s">
        <v>40</v>
      </c>
      <c r="R58" s="3" t="s">
        <v>41</v>
      </c>
      <c r="S58" s="5">
        <v>33</v>
      </c>
      <c r="T58" s="3" t="s">
        <v>42</v>
      </c>
      <c r="U58" s="5">
        <v>2868.42</v>
      </c>
      <c r="V58" s="3" t="s">
        <v>56</v>
      </c>
      <c r="W58" s="3" t="s">
        <v>39</v>
      </c>
      <c r="X58" s="3" t="s">
        <v>39</v>
      </c>
      <c r="Y58" s="3" t="s">
        <v>36</v>
      </c>
      <c r="Z58" s="3" t="s">
        <v>44</v>
      </c>
      <c r="AA58" s="41">
        <f t="shared" si="2"/>
        <v>33</v>
      </c>
      <c r="AB58" s="3" t="s">
        <v>202</v>
      </c>
      <c r="AC58" s="3" t="s">
        <v>39</v>
      </c>
      <c r="AD58" s="3" t="s">
        <v>39</v>
      </c>
      <c r="AE58" s="3" t="s">
        <v>39</v>
      </c>
      <c r="AF58" s="4">
        <v>45762</v>
      </c>
      <c r="AG58" s="4"/>
      <c r="AH58" s="3" t="s">
        <v>39</v>
      </c>
    </row>
    <row r="59" spans="1:34" outlineLevel="2" x14ac:dyDescent="0.35">
      <c r="A59" s="3" t="s">
        <v>121</v>
      </c>
      <c r="B59" s="3" t="s">
        <v>32</v>
      </c>
      <c r="C59" s="3" t="s">
        <v>117</v>
      </c>
      <c r="D59" s="3" t="s">
        <v>118</v>
      </c>
      <c r="E59" s="3" t="s">
        <v>33</v>
      </c>
      <c r="F59" s="3" t="s">
        <v>63</v>
      </c>
      <c r="G59" s="4">
        <v>45762</v>
      </c>
      <c r="H59" s="3" t="s">
        <v>207</v>
      </c>
      <c r="I59" s="3" t="s">
        <v>35</v>
      </c>
      <c r="J59" s="4">
        <v>45762</v>
      </c>
      <c r="K59" s="4">
        <v>45763</v>
      </c>
      <c r="L59" s="3" t="s">
        <v>36</v>
      </c>
      <c r="M59" s="40">
        <v>256779411587</v>
      </c>
      <c r="N59" s="3" t="s">
        <v>37</v>
      </c>
      <c r="O59" s="3" t="s">
        <v>38</v>
      </c>
      <c r="P59" s="3" t="s">
        <v>39</v>
      </c>
      <c r="Q59" s="3" t="s">
        <v>40</v>
      </c>
      <c r="R59" s="3" t="s">
        <v>41</v>
      </c>
      <c r="S59" s="5">
        <v>2.25</v>
      </c>
      <c r="T59" s="3" t="s">
        <v>42</v>
      </c>
      <c r="U59" s="5">
        <v>195.57</v>
      </c>
      <c r="V59" s="3" t="s">
        <v>56</v>
      </c>
      <c r="W59" s="3" t="s">
        <v>39</v>
      </c>
      <c r="X59" s="3" t="s">
        <v>39</v>
      </c>
      <c r="Y59" s="3" t="s">
        <v>36</v>
      </c>
      <c r="Z59" s="3" t="s">
        <v>44</v>
      </c>
      <c r="AA59" s="41">
        <f t="shared" si="2"/>
        <v>2.25</v>
      </c>
      <c r="AB59" s="3" t="s">
        <v>68</v>
      </c>
      <c r="AC59" s="3" t="s">
        <v>39</v>
      </c>
      <c r="AD59" s="3" t="s">
        <v>39</v>
      </c>
      <c r="AE59" s="3" t="s">
        <v>39</v>
      </c>
      <c r="AF59" s="4">
        <v>45762</v>
      </c>
      <c r="AG59" s="4"/>
      <c r="AH59" s="3" t="s">
        <v>39</v>
      </c>
    </row>
    <row r="60" spans="1:34" outlineLevel="2" x14ac:dyDescent="0.35">
      <c r="A60" s="3" t="s">
        <v>121</v>
      </c>
      <c r="B60" s="3" t="s">
        <v>32</v>
      </c>
      <c r="C60" s="3" t="s">
        <v>117</v>
      </c>
      <c r="D60" s="3" t="s">
        <v>118</v>
      </c>
      <c r="E60" s="3" t="s">
        <v>33</v>
      </c>
      <c r="F60" s="3" t="s">
        <v>63</v>
      </c>
      <c r="G60" s="4">
        <v>45762</v>
      </c>
      <c r="H60" s="3" t="s">
        <v>208</v>
      </c>
      <c r="I60" s="3" t="s">
        <v>35</v>
      </c>
      <c r="J60" s="4">
        <v>45762</v>
      </c>
      <c r="K60" s="4">
        <v>45763</v>
      </c>
      <c r="L60" s="3" t="s">
        <v>36</v>
      </c>
      <c r="M60" s="40">
        <v>256779411588</v>
      </c>
      <c r="N60" s="3" t="s">
        <v>37</v>
      </c>
      <c r="O60" s="3" t="s">
        <v>38</v>
      </c>
      <c r="P60" s="3" t="s">
        <v>39</v>
      </c>
      <c r="Q60" s="3" t="s">
        <v>40</v>
      </c>
      <c r="R60" s="3" t="s">
        <v>41</v>
      </c>
      <c r="S60" s="5">
        <v>2.25</v>
      </c>
      <c r="T60" s="3" t="s">
        <v>42</v>
      </c>
      <c r="U60" s="5">
        <v>195.57</v>
      </c>
      <c r="V60" s="3" t="s">
        <v>56</v>
      </c>
      <c r="W60" s="3" t="s">
        <v>39</v>
      </c>
      <c r="X60" s="3" t="s">
        <v>39</v>
      </c>
      <c r="Y60" s="3" t="s">
        <v>36</v>
      </c>
      <c r="Z60" s="3" t="s">
        <v>44</v>
      </c>
      <c r="AA60" s="41">
        <f t="shared" si="2"/>
        <v>2.25</v>
      </c>
      <c r="AB60" s="3" t="s">
        <v>68</v>
      </c>
      <c r="AC60" s="3" t="s">
        <v>39</v>
      </c>
      <c r="AD60" s="3" t="s">
        <v>39</v>
      </c>
      <c r="AE60" s="3" t="s">
        <v>39</v>
      </c>
      <c r="AF60" s="4">
        <v>45762</v>
      </c>
      <c r="AG60" s="4"/>
      <c r="AH60" s="3" t="s">
        <v>39</v>
      </c>
    </row>
    <row r="61" spans="1:34" outlineLevel="2" x14ac:dyDescent="0.35">
      <c r="A61" s="3" t="s">
        <v>121</v>
      </c>
      <c r="B61" s="3" t="s">
        <v>32</v>
      </c>
      <c r="C61" s="3" t="s">
        <v>117</v>
      </c>
      <c r="D61" s="3" t="s">
        <v>118</v>
      </c>
      <c r="E61" s="3" t="s">
        <v>33</v>
      </c>
      <c r="F61" s="3" t="s">
        <v>63</v>
      </c>
      <c r="G61" s="4">
        <v>45762</v>
      </c>
      <c r="H61" s="3" t="s">
        <v>209</v>
      </c>
      <c r="I61" s="3" t="s">
        <v>35</v>
      </c>
      <c r="J61" s="4">
        <v>45762</v>
      </c>
      <c r="K61" s="4">
        <v>45763</v>
      </c>
      <c r="L61" s="3" t="s">
        <v>36</v>
      </c>
      <c r="M61" s="40">
        <v>256779411589</v>
      </c>
      <c r="N61" s="3" t="s">
        <v>37</v>
      </c>
      <c r="O61" s="3" t="s">
        <v>38</v>
      </c>
      <c r="P61" s="3" t="s">
        <v>39</v>
      </c>
      <c r="Q61" s="3" t="s">
        <v>40</v>
      </c>
      <c r="R61" s="3" t="s">
        <v>41</v>
      </c>
      <c r="S61" s="5">
        <v>3.38</v>
      </c>
      <c r="T61" s="3" t="s">
        <v>42</v>
      </c>
      <c r="U61" s="5">
        <v>293.8</v>
      </c>
      <c r="V61" s="3" t="s">
        <v>56</v>
      </c>
      <c r="W61" s="3" t="s">
        <v>39</v>
      </c>
      <c r="X61" s="3" t="s">
        <v>39</v>
      </c>
      <c r="Y61" s="3" t="s">
        <v>36</v>
      </c>
      <c r="Z61" s="3" t="s">
        <v>44</v>
      </c>
      <c r="AA61" s="41">
        <f t="shared" si="2"/>
        <v>3.38</v>
      </c>
      <c r="AB61" s="3" t="s">
        <v>68</v>
      </c>
      <c r="AC61" s="3" t="s">
        <v>39</v>
      </c>
      <c r="AD61" s="3" t="s">
        <v>39</v>
      </c>
      <c r="AE61" s="3" t="s">
        <v>39</v>
      </c>
      <c r="AF61" s="4">
        <v>45762</v>
      </c>
      <c r="AG61" s="4"/>
      <c r="AH61" s="3" t="s">
        <v>39</v>
      </c>
    </row>
    <row r="62" spans="1:34" outlineLevel="2" x14ac:dyDescent="0.35">
      <c r="A62" s="3" t="s">
        <v>121</v>
      </c>
      <c r="B62" s="3" t="s">
        <v>32</v>
      </c>
      <c r="C62" s="3" t="s">
        <v>117</v>
      </c>
      <c r="D62" s="3" t="s">
        <v>118</v>
      </c>
      <c r="E62" s="3" t="s">
        <v>33</v>
      </c>
      <c r="F62" s="3" t="s">
        <v>63</v>
      </c>
      <c r="G62" s="4">
        <v>45762</v>
      </c>
      <c r="H62" s="3" t="s">
        <v>210</v>
      </c>
      <c r="I62" s="3" t="s">
        <v>35</v>
      </c>
      <c r="J62" s="4">
        <v>45762</v>
      </c>
      <c r="K62" s="4">
        <v>45763</v>
      </c>
      <c r="L62" s="3" t="s">
        <v>36</v>
      </c>
      <c r="M62" s="40">
        <v>256779411590</v>
      </c>
      <c r="N62" s="3" t="s">
        <v>37</v>
      </c>
      <c r="O62" s="3" t="s">
        <v>38</v>
      </c>
      <c r="P62" s="3" t="s">
        <v>39</v>
      </c>
      <c r="Q62" s="3" t="s">
        <v>40</v>
      </c>
      <c r="R62" s="3" t="s">
        <v>41</v>
      </c>
      <c r="S62" s="5">
        <v>2.25</v>
      </c>
      <c r="T62" s="3" t="s">
        <v>42</v>
      </c>
      <c r="U62" s="5">
        <v>195.57</v>
      </c>
      <c r="V62" s="3" t="s">
        <v>56</v>
      </c>
      <c r="W62" s="3" t="s">
        <v>39</v>
      </c>
      <c r="X62" s="3" t="s">
        <v>39</v>
      </c>
      <c r="Y62" s="3" t="s">
        <v>36</v>
      </c>
      <c r="Z62" s="3" t="s">
        <v>44</v>
      </c>
      <c r="AA62" s="41">
        <f t="shared" si="2"/>
        <v>2.25</v>
      </c>
      <c r="AB62" s="3" t="s">
        <v>68</v>
      </c>
      <c r="AC62" s="3" t="s">
        <v>39</v>
      </c>
      <c r="AD62" s="3" t="s">
        <v>39</v>
      </c>
      <c r="AE62" s="3" t="s">
        <v>39</v>
      </c>
      <c r="AF62" s="4">
        <v>45762</v>
      </c>
      <c r="AG62" s="4"/>
      <c r="AH62" s="3" t="s">
        <v>39</v>
      </c>
    </row>
    <row r="63" spans="1:34" outlineLevel="2" x14ac:dyDescent="0.35">
      <c r="A63" s="3" t="s">
        <v>121</v>
      </c>
      <c r="B63" s="3" t="s">
        <v>32</v>
      </c>
      <c r="C63" s="3" t="s">
        <v>117</v>
      </c>
      <c r="D63" s="3" t="s">
        <v>118</v>
      </c>
      <c r="E63" s="3" t="s">
        <v>33</v>
      </c>
      <c r="F63" s="3" t="s">
        <v>63</v>
      </c>
      <c r="G63" s="4">
        <v>45762</v>
      </c>
      <c r="H63" s="3" t="s">
        <v>211</v>
      </c>
      <c r="I63" s="3" t="s">
        <v>35</v>
      </c>
      <c r="J63" s="4">
        <v>45762</v>
      </c>
      <c r="K63" s="4">
        <v>45763</v>
      </c>
      <c r="L63" s="3" t="s">
        <v>36</v>
      </c>
      <c r="M63" s="40">
        <v>256779411591</v>
      </c>
      <c r="N63" s="3" t="s">
        <v>37</v>
      </c>
      <c r="O63" s="3" t="s">
        <v>38</v>
      </c>
      <c r="P63" s="3" t="s">
        <v>39</v>
      </c>
      <c r="Q63" s="3" t="s">
        <v>40</v>
      </c>
      <c r="R63" s="3" t="s">
        <v>41</v>
      </c>
      <c r="S63" s="5">
        <v>3</v>
      </c>
      <c r="T63" s="3" t="s">
        <v>42</v>
      </c>
      <c r="U63" s="5">
        <v>260.77</v>
      </c>
      <c r="V63" s="3" t="s">
        <v>56</v>
      </c>
      <c r="W63" s="3" t="s">
        <v>39</v>
      </c>
      <c r="X63" s="3" t="s">
        <v>39</v>
      </c>
      <c r="Y63" s="3" t="s">
        <v>36</v>
      </c>
      <c r="Z63" s="3" t="s">
        <v>44</v>
      </c>
      <c r="AA63" s="41">
        <f t="shared" si="2"/>
        <v>3</v>
      </c>
      <c r="AB63" s="3" t="s">
        <v>68</v>
      </c>
      <c r="AC63" s="3" t="s">
        <v>39</v>
      </c>
      <c r="AD63" s="3" t="s">
        <v>39</v>
      </c>
      <c r="AE63" s="3" t="s">
        <v>39</v>
      </c>
      <c r="AF63" s="4">
        <v>45762</v>
      </c>
      <c r="AG63" s="4"/>
      <c r="AH63" s="3" t="s">
        <v>39</v>
      </c>
    </row>
    <row r="64" spans="1:34" outlineLevel="2" x14ac:dyDescent="0.35">
      <c r="A64" s="3" t="s">
        <v>121</v>
      </c>
      <c r="B64" s="3" t="s">
        <v>32</v>
      </c>
      <c r="C64" s="3" t="s">
        <v>117</v>
      </c>
      <c r="D64" s="3" t="s">
        <v>118</v>
      </c>
      <c r="E64" s="3" t="s">
        <v>33</v>
      </c>
      <c r="F64" s="3" t="s">
        <v>63</v>
      </c>
      <c r="G64" s="4">
        <v>45762</v>
      </c>
      <c r="H64" s="3" t="s">
        <v>212</v>
      </c>
      <c r="I64" s="3" t="s">
        <v>35</v>
      </c>
      <c r="J64" s="4">
        <v>45762</v>
      </c>
      <c r="K64" s="4">
        <v>45763</v>
      </c>
      <c r="L64" s="3" t="s">
        <v>36</v>
      </c>
      <c r="M64" s="40">
        <v>256779411592</v>
      </c>
      <c r="N64" s="3" t="s">
        <v>37</v>
      </c>
      <c r="O64" s="3" t="s">
        <v>38</v>
      </c>
      <c r="P64" s="3" t="s">
        <v>39</v>
      </c>
      <c r="Q64" s="3" t="s">
        <v>40</v>
      </c>
      <c r="R64" s="3" t="s">
        <v>41</v>
      </c>
      <c r="S64" s="5">
        <v>9.59</v>
      </c>
      <c r="T64" s="3" t="s">
        <v>42</v>
      </c>
      <c r="U64" s="5">
        <v>833.58</v>
      </c>
      <c r="V64" s="3" t="s">
        <v>56</v>
      </c>
      <c r="W64" s="3" t="s">
        <v>39</v>
      </c>
      <c r="X64" s="3" t="s">
        <v>39</v>
      </c>
      <c r="Y64" s="3" t="s">
        <v>36</v>
      </c>
      <c r="Z64" s="3" t="s">
        <v>44</v>
      </c>
      <c r="AA64" s="41">
        <f t="shared" si="2"/>
        <v>9.59</v>
      </c>
      <c r="AB64" s="3" t="s">
        <v>68</v>
      </c>
      <c r="AC64" s="3" t="s">
        <v>39</v>
      </c>
      <c r="AD64" s="3" t="s">
        <v>39</v>
      </c>
      <c r="AE64" s="3" t="s">
        <v>39</v>
      </c>
      <c r="AF64" s="4">
        <v>45762</v>
      </c>
      <c r="AG64" s="4"/>
      <c r="AH64" s="3" t="s">
        <v>39</v>
      </c>
    </row>
    <row r="65" spans="1:34" outlineLevel="2" x14ac:dyDescent="0.35">
      <c r="A65" s="3" t="s">
        <v>121</v>
      </c>
      <c r="B65" s="3" t="s">
        <v>32</v>
      </c>
      <c r="C65" s="3" t="s">
        <v>117</v>
      </c>
      <c r="D65" s="3" t="s">
        <v>118</v>
      </c>
      <c r="E65" s="3" t="s">
        <v>33</v>
      </c>
      <c r="F65" s="3" t="s">
        <v>63</v>
      </c>
      <c r="G65" s="4">
        <v>45762</v>
      </c>
      <c r="H65" s="3" t="s">
        <v>213</v>
      </c>
      <c r="I65" s="3" t="s">
        <v>35</v>
      </c>
      <c r="J65" s="4">
        <v>45762</v>
      </c>
      <c r="K65" s="4">
        <v>45763</v>
      </c>
      <c r="L65" s="3" t="s">
        <v>36</v>
      </c>
      <c r="M65" s="40">
        <v>256779411593</v>
      </c>
      <c r="N65" s="3" t="s">
        <v>37</v>
      </c>
      <c r="O65" s="3" t="s">
        <v>38</v>
      </c>
      <c r="P65" s="3" t="s">
        <v>39</v>
      </c>
      <c r="Q65" s="3" t="s">
        <v>40</v>
      </c>
      <c r="R65" s="3" t="s">
        <v>41</v>
      </c>
      <c r="S65" s="5">
        <v>3</v>
      </c>
      <c r="T65" s="3" t="s">
        <v>42</v>
      </c>
      <c r="U65" s="5">
        <v>260.77</v>
      </c>
      <c r="V65" s="3" t="s">
        <v>56</v>
      </c>
      <c r="W65" s="3" t="s">
        <v>39</v>
      </c>
      <c r="X65" s="3" t="s">
        <v>39</v>
      </c>
      <c r="Y65" s="3" t="s">
        <v>36</v>
      </c>
      <c r="Z65" s="3" t="s">
        <v>44</v>
      </c>
      <c r="AA65" s="41">
        <f t="shared" si="2"/>
        <v>3</v>
      </c>
      <c r="AB65" s="3" t="s">
        <v>68</v>
      </c>
      <c r="AC65" s="3" t="s">
        <v>39</v>
      </c>
      <c r="AD65" s="3" t="s">
        <v>39</v>
      </c>
      <c r="AE65" s="3" t="s">
        <v>39</v>
      </c>
      <c r="AF65" s="4">
        <v>45762</v>
      </c>
      <c r="AG65" s="4"/>
      <c r="AH65" s="3" t="s">
        <v>39</v>
      </c>
    </row>
    <row r="66" spans="1:34" outlineLevel="2" x14ac:dyDescent="0.35">
      <c r="A66" s="3" t="s">
        <v>121</v>
      </c>
      <c r="B66" s="3" t="s">
        <v>32</v>
      </c>
      <c r="C66" s="3" t="s">
        <v>117</v>
      </c>
      <c r="D66" s="3" t="s">
        <v>118</v>
      </c>
      <c r="E66" s="3" t="s">
        <v>33</v>
      </c>
      <c r="F66" s="3" t="s">
        <v>63</v>
      </c>
      <c r="G66" s="4">
        <v>45762</v>
      </c>
      <c r="H66" s="3" t="s">
        <v>214</v>
      </c>
      <c r="I66" s="3" t="s">
        <v>35</v>
      </c>
      <c r="J66" s="4">
        <v>45762</v>
      </c>
      <c r="K66" s="4">
        <v>45763</v>
      </c>
      <c r="L66" s="3" t="s">
        <v>36</v>
      </c>
      <c r="M66" s="40">
        <v>256779411594</v>
      </c>
      <c r="N66" s="3" t="s">
        <v>37</v>
      </c>
      <c r="O66" s="3" t="s">
        <v>38</v>
      </c>
      <c r="P66" s="3" t="s">
        <v>39</v>
      </c>
      <c r="Q66" s="3" t="s">
        <v>40</v>
      </c>
      <c r="R66" s="3" t="s">
        <v>41</v>
      </c>
      <c r="S66" s="5">
        <v>5.25</v>
      </c>
      <c r="T66" s="3" t="s">
        <v>42</v>
      </c>
      <c r="U66" s="5">
        <v>456.34</v>
      </c>
      <c r="V66" s="3" t="s">
        <v>56</v>
      </c>
      <c r="W66" s="3" t="s">
        <v>39</v>
      </c>
      <c r="X66" s="3" t="s">
        <v>39</v>
      </c>
      <c r="Y66" s="3" t="s">
        <v>36</v>
      </c>
      <c r="Z66" s="3" t="s">
        <v>44</v>
      </c>
      <c r="AA66" s="41">
        <f t="shared" si="2"/>
        <v>5.25</v>
      </c>
      <c r="AB66" s="3" t="s">
        <v>68</v>
      </c>
      <c r="AC66" s="3" t="s">
        <v>39</v>
      </c>
      <c r="AD66" s="3" t="s">
        <v>39</v>
      </c>
      <c r="AE66" s="3" t="s">
        <v>39</v>
      </c>
      <c r="AF66" s="4">
        <v>45762</v>
      </c>
      <c r="AG66" s="4"/>
      <c r="AH66" s="3" t="s">
        <v>39</v>
      </c>
    </row>
    <row r="67" spans="1:34" outlineLevel="2" x14ac:dyDescent="0.35">
      <c r="A67" s="3" t="s">
        <v>121</v>
      </c>
      <c r="B67" s="3" t="s">
        <v>32</v>
      </c>
      <c r="C67" s="3" t="s">
        <v>117</v>
      </c>
      <c r="D67" s="3" t="s">
        <v>118</v>
      </c>
      <c r="E67" s="3" t="s">
        <v>33</v>
      </c>
      <c r="F67" s="3" t="s">
        <v>63</v>
      </c>
      <c r="G67" s="4">
        <v>45762</v>
      </c>
      <c r="H67" s="3" t="s">
        <v>215</v>
      </c>
      <c r="I67" s="3" t="s">
        <v>35</v>
      </c>
      <c r="J67" s="4">
        <v>45762</v>
      </c>
      <c r="K67" s="4">
        <v>45763</v>
      </c>
      <c r="L67" s="3" t="s">
        <v>36</v>
      </c>
      <c r="M67" s="40">
        <v>256779411595</v>
      </c>
      <c r="N67" s="3" t="s">
        <v>37</v>
      </c>
      <c r="O67" s="3" t="s">
        <v>38</v>
      </c>
      <c r="P67" s="3" t="s">
        <v>39</v>
      </c>
      <c r="Q67" s="3" t="s">
        <v>40</v>
      </c>
      <c r="R67" s="3" t="s">
        <v>41</v>
      </c>
      <c r="S67" s="5">
        <v>62.35</v>
      </c>
      <c r="T67" s="3" t="s">
        <v>42</v>
      </c>
      <c r="U67" s="5">
        <v>5419.58</v>
      </c>
      <c r="V67" s="3" t="s">
        <v>56</v>
      </c>
      <c r="W67" s="3" t="s">
        <v>39</v>
      </c>
      <c r="X67" s="3" t="s">
        <v>39</v>
      </c>
      <c r="Y67" s="3" t="s">
        <v>36</v>
      </c>
      <c r="Z67" s="3" t="s">
        <v>44</v>
      </c>
      <c r="AA67" s="41">
        <f t="shared" si="2"/>
        <v>62.35</v>
      </c>
      <c r="AB67" s="3" t="s">
        <v>68</v>
      </c>
      <c r="AC67" s="3" t="s">
        <v>39</v>
      </c>
      <c r="AD67" s="3" t="s">
        <v>39</v>
      </c>
      <c r="AE67" s="3" t="s">
        <v>39</v>
      </c>
      <c r="AF67" s="4">
        <v>45762</v>
      </c>
      <c r="AG67" s="4"/>
      <c r="AH67" s="3" t="s">
        <v>39</v>
      </c>
    </row>
    <row r="68" spans="1:34" outlineLevel="2" x14ac:dyDescent="0.35">
      <c r="A68" s="3" t="s">
        <v>121</v>
      </c>
      <c r="B68" s="3" t="s">
        <v>32</v>
      </c>
      <c r="C68" s="3" t="s">
        <v>117</v>
      </c>
      <c r="D68" s="3" t="s">
        <v>118</v>
      </c>
      <c r="E68" s="3" t="s">
        <v>33</v>
      </c>
      <c r="F68" s="3" t="s">
        <v>63</v>
      </c>
      <c r="G68" s="4">
        <v>45762</v>
      </c>
      <c r="H68" s="3" t="s">
        <v>216</v>
      </c>
      <c r="I68" s="3" t="s">
        <v>35</v>
      </c>
      <c r="J68" s="4">
        <v>45762</v>
      </c>
      <c r="K68" s="4">
        <v>45763</v>
      </c>
      <c r="L68" s="3" t="s">
        <v>36</v>
      </c>
      <c r="M68" s="40">
        <v>256779411596</v>
      </c>
      <c r="N68" s="3" t="s">
        <v>37</v>
      </c>
      <c r="O68" s="3" t="s">
        <v>38</v>
      </c>
      <c r="P68" s="3" t="s">
        <v>39</v>
      </c>
      <c r="Q68" s="3" t="s">
        <v>40</v>
      </c>
      <c r="R68" s="3" t="s">
        <v>41</v>
      </c>
      <c r="S68" s="5">
        <v>13.88</v>
      </c>
      <c r="T68" s="3" t="s">
        <v>42</v>
      </c>
      <c r="U68" s="5">
        <v>1206.47</v>
      </c>
      <c r="V68" s="3" t="s">
        <v>56</v>
      </c>
      <c r="W68" s="3" t="s">
        <v>39</v>
      </c>
      <c r="X68" s="3" t="s">
        <v>39</v>
      </c>
      <c r="Y68" s="3" t="s">
        <v>36</v>
      </c>
      <c r="Z68" s="3" t="s">
        <v>44</v>
      </c>
      <c r="AA68" s="41">
        <f t="shared" si="2"/>
        <v>13.88</v>
      </c>
      <c r="AB68" s="3" t="s">
        <v>68</v>
      </c>
      <c r="AC68" s="3" t="s">
        <v>39</v>
      </c>
      <c r="AD68" s="3" t="s">
        <v>39</v>
      </c>
      <c r="AE68" s="3" t="s">
        <v>39</v>
      </c>
      <c r="AF68" s="4">
        <v>45762</v>
      </c>
      <c r="AG68" s="4"/>
      <c r="AH68" s="3" t="s">
        <v>39</v>
      </c>
    </row>
    <row r="69" spans="1:34" outlineLevel="2" x14ac:dyDescent="0.35">
      <c r="A69" s="3" t="s">
        <v>121</v>
      </c>
      <c r="B69" s="3" t="s">
        <v>32</v>
      </c>
      <c r="C69" s="3" t="s">
        <v>117</v>
      </c>
      <c r="D69" s="3" t="s">
        <v>118</v>
      </c>
      <c r="E69" s="3" t="s">
        <v>33</v>
      </c>
      <c r="F69" s="3" t="s">
        <v>63</v>
      </c>
      <c r="G69" s="4">
        <v>45762</v>
      </c>
      <c r="H69" s="3" t="s">
        <v>217</v>
      </c>
      <c r="I69" s="3" t="s">
        <v>35</v>
      </c>
      <c r="J69" s="4">
        <v>45762</v>
      </c>
      <c r="K69" s="4">
        <v>45763</v>
      </c>
      <c r="L69" s="3" t="s">
        <v>36</v>
      </c>
      <c r="M69" s="40">
        <v>256779411597</v>
      </c>
      <c r="N69" s="3" t="s">
        <v>37</v>
      </c>
      <c r="O69" s="3" t="s">
        <v>38</v>
      </c>
      <c r="P69" s="3" t="s">
        <v>39</v>
      </c>
      <c r="Q69" s="3" t="s">
        <v>40</v>
      </c>
      <c r="R69" s="3" t="s">
        <v>41</v>
      </c>
      <c r="S69" s="5">
        <v>19.95</v>
      </c>
      <c r="T69" s="3" t="s">
        <v>42</v>
      </c>
      <c r="U69" s="5">
        <v>1734.09</v>
      </c>
      <c r="V69" s="3" t="s">
        <v>56</v>
      </c>
      <c r="W69" s="3" t="s">
        <v>39</v>
      </c>
      <c r="X69" s="3" t="s">
        <v>39</v>
      </c>
      <c r="Y69" s="3" t="s">
        <v>36</v>
      </c>
      <c r="Z69" s="3" t="s">
        <v>44</v>
      </c>
      <c r="AA69" s="41">
        <f t="shared" si="2"/>
        <v>19.95</v>
      </c>
      <c r="AB69" s="3" t="s">
        <v>68</v>
      </c>
      <c r="AC69" s="3" t="s">
        <v>39</v>
      </c>
      <c r="AD69" s="3" t="s">
        <v>39</v>
      </c>
      <c r="AE69" s="3" t="s">
        <v>39</v>
      </c>
      <c r="AF69" s="4">
        <v>45762</v>
      </c>
      <c r="AG69" s="4"/>
      <c r="AH69" s="3" t="s">
        <v>39</v>
      </c>
    </row>
    <row r="70" spans="1:34" outlineLevel="2" x14ac:dyDescent="0.35">
      <c r="A70" s="3" t="s">
        <v>121</v>
      </c>
      <c r="B70" s="3" t="s">
        <v>32</v>
      </c>
      <c r="C70" s="3" t="s">
        <v>117</v>
      </c>
      <c r="D70" s="3" t="s">
        <v>118</v>
      </c>
      <c r="E70" s="3" t="s">
        <v>33</v>
      </c>
      <c r="F70" s="3" t="s">
        <v>63</v>
      </c>
      <c r="G70" s="4">
        <v>45763</v>
      </c>
      <c r="H70" s="3" t="s">
        <v>218</v>
      </c>
      <c r="I70" s="3" t="s">
        <v>35</v>
      </c>
      <c r="J70" s="4">
        <v>45763</v>
      </c>
      <c r="K70" s="4">
        <v>45764</v>
      </c>
      <c r="L70" s="3" t="s">
        <v>36</v>
      </c>
      <c r="M70" s="40">
        <v>256779411811</v>
      </c>
      <c r="N70" s="3" t="s">
        <v>37</v>
      </c>
      <c r="O70" s="3" t="s">
        <v>38</v>
      </c>
      <c r="P70" s="3" t="s">
        <v>39</v>
      </c>
      <c r="Q70" s="3" t="s">
        <v>40</v>
      </c>
      <c r="R70" s="3" t="s">
        <v>41</v>
      </c>
      <c r="S70" s="5">
        <v>3.24</v>
      </c>
      <c r="T70" s="3" t="s">
        <v>42</v>
      </c>
      <c r="U70" s="5">
        <v>281.63</v>
      </c>
      <c r="V70" s="3" t="s">
        <v>56</v>
      </c>
      <c r="W70" s="3" t="s">
        <v>48</v>
      </c>
      <c r="X70" s="3" t="s">
        <v>39</v>
      </c>
      <c r="Y70" s="3" t="s">
        <v>36</v>
      </c>
      <c r="Z70" s="3" t="s">
        <v>44</v>
      </c>
      <c r="AA70" s="41">
        <f t="shared" si="2"/>
        <v>3.24</v>
      </c>
      <c r="AB70" s="3" t="s">
        <v>97</v>
      </c>
      <c r="AC70" s="3" t="s">
        <v>39</v>
      </c>
      <c r="AD70" s="3" t="s">
        <v>39</v>
      </c>
      <c r="AE70" s="3" t="s">
        <v>39</v>
      </c>
      <c r="AF70" s="4">
        <v>45763</v>
      </c>
      <c r="AG70" s="4"/>
      <c r="AH70" s="3" t="s">
        <v>39</v>
      </c>
    </row>
    <row r="71" spans="1:34" outlineLevel="2" x14ac:dyDescent="0.35">
      <c r="A71" s="3" t="s">
        <v>121</v>
      </c>
      <c r="B71" s="3" t="s">
        <v>32</v>
      </c>
      <c r="C71" s="3" t="s">
        <v>117</v>
      </c>
      <c r="D71" s="3" t="s">
        <v>118</v>
      </c>
      <c r="E71" s="3" t="s">
        <v>33</v>
      </c>
      <c r="F71" s="3" t="s">
        <v>63</v>
      </c>
      <c r="G71" s="4">
        <v>45763</v>
      </c>
      <c r="H71" s="3" t="s">
        <v>219</v>
      </c>
      <c r="I71" s="3" t="s">
        <v>35</v>
      </c>
      <c r="J71" s="4">
        <v>45763</v>
      </c>
      <c r="K71" s="4">
        <v>45764</v>
      </c>
      <c r="L71" s="3" t="s">
        <v>36</v>
      </c>
      <c r="M71" s="40">
        <v>256779411812</v>
      </c>
      <c r="N71" s="3" t="s">
        <v>37</v>
      </c>
      <c r="O71" s="3" t="s">
        <v>38</v>
      </c>
      <c r="P71" s="3" t="s">
        <v>39</v>
      </c>
      <c r="Q71" s="3" t="s">
        <v>40</v>
      </c>
      <c r="R71" s="3" t="s">
        <v>41</v>
      </c>
      <c r="S71" s="5">
        <v>15</v>
      </c>
      <c r="T71" s="3" t="s">
        <v>42</v>
      </c>
      <c r="U71" s="5">
        <v>1303.83</v>
      </c>
      <c r="V71" s="3" t="s">
        <v>56</v>
      </c>
      <c r="W71" s="3" t="s">
        <v>48</v>
      </c>
      <c r="X71" s="3" t="s">
        <v>39</v>
      </c>
      <c r="Y71" s="3" t="s">
        <v>36</v>
      </c>
      <c r="Z71" s="3" t="s">
        <v>44</v>
      </c>
      <c r="AA71" s="41">
        <f t="shared" si="2"/>
        <v>15</v>
      </c>
      <c r="AB71" s="3" t="s">
        <v>220</v>
      </c>
      <c r="AC71" s="3" t="s">
        <v>39</v>
      </c>
      <c r="AD71" s="3" t="s">
        <v>39</v>
      </c>
      <c r="AE71" s="3" t="s">
        <v>39</v>
      </c>
      <c r="AF71" s="4">
        <v>45763</v>
      </c>
      <c r="AG71" s="4"/>
      <c r="AH71" s="3" t="s">
        <v>39</v>
      </c>
    </row>
    <row r="72" spans="1:34" outlineLevel="2" x14ac:dyDescent="0.35">
      <c r="A72" s="3" t="s">
        <v>121</v>
      </c>
      <c r="B72" s="3" t="s">
        <v>32</v>
      </c>
      <c r="C72" s="3" t="s">
        <v>117</v>
      </c>
      <c r="D72" s="3" t="s">
        <v>118</v>
      </c>
      <c r="E72" s="3" t="s">
        <v>33</v>
      </c>
      <c r="F72" s="3" t="s">
        <v>63</v>
      </c>
      <c r="G72" s="4">
        <v>45763</v>
      </c>
      <c r="H72" s="3" t="s">
        <v>221</v>
      </c>
      <c r="I72" s="3" t="s">
        <v>35</v>
      </c>
      <c r="J72" s="4">
        <v>45763</v>
      </c>
      <c r="K72" s="4">
        <v>45764</v>
      </c>
      <c r="L72" s="3" t="s">
        <v>36</v>
      </c>
      <c r="M72" s="40">
        <v>256779411890</v>
      </c>
      <c r="N72" s="3" t="s">
        <v>37</v>
      </c>
      <c r="O72" s="3" t="s">
        <v>38</v>
      </c>
      <c r="P72" s="3" t="s">
        <v>39</v>
      </c>
      <c r="Q72" s="3" t="s">
        <v>40</v>
      </c>
      <c r="R72" s="3" t="s">
        <v>41</v>
      </c>
      <c r="S72" s="5">
        <v>24.75</v>
      </c>
      <c r="T72" s="3" t="s">
        <v>42</v>
      </c>
      <c r="U72" s="5">
        <v>2151.3200000000002</v>
      </c>
      <c r="V72" s="3" t="s">
        <v>56</v>
      </c>
      <c r="W72" s="3" t="s">
        <v>48</v>
      </c>
      <c r="X72" s="3" t="s">
        <v>39</v>
      </c>
      <c r="Y72" s="3" t="s">
        <v>36</v>
      </c>
      <c r="Z72" s="3" t="s">
        <v>44</v>
      </c>
      <c r="AA72" s="41">
        <f t="shared" si="2"/>
        <v>24.75</v>
      </c>
      <c r="AB72" s="3" t="s">
        <v>98</v>
      </c>
      <c r="AC72" s="3" t="s">
        <v>39</v>
      </c>
      <c r="AD72" s="3" t="s">
        <v>39</v>
      </c>
      <c r="AE72" s="3" t="s">
        <v>39</v>
      </c>
      <c r="AF72" s="4">
        <v>45763</v>
      </c>
      <c r="AG72" s="4"/>
      <c r="AH72" s="3" t="s">
        <v>39</v>
      </c>
    </row>
    <row r="73" spans="1:34" outlineLevel="2" x14ac:dyDescent="0.35">
      <c r="A73" s="3" t="s">
        <v>121</v>
      </c>
      <c r="B73" s="3" t="s">
        <v>32</v>
      </c>
      <c r="C73" s="3" t="s">
        <v>117</v>
      </c>
      <c r="D73" s="3" t="s">
        <v>118</v>
      </c>
      <c r="E73" s="3" t="s">
        <v>33</v>
      </c>
      <c r="F73" s="3" t="s">
        <v>63</v>
      </c>
      <c r="G73" s="4">
        <v>45763</v>
      </c>
      <c r="H73" s="3" t="s">
        <v>222</v>
      </c>
      <c r="I73" s="3" t="s">
        <v>35</v>
      </c>
      <c r="J73" s="4">
        <v>45763</v>
      </c>
      <c r="K73" s="4">
        <v>45764</v>
      </c>
      <c r="L73" s="3" t="s">
        <v>36</v>
      </c>
      <c r="M73" s="40">
        <v>256779411891</v>
      </c>
      <c r="N73" s="3" t="s">
        <v>37</v>
      </c>
      <c r="O73" s="3" t="s">
        <v>38</v>
      </c>
      <c r="P73" s="3" t="s">
        <v>39</v>
      </c>
      <c r="Q73" s="3" t="s">
        <v>40</v>
      </c>
      <c r="R73" s="3" t="s">
        <v>41</v>
      </c>
      <c r="S73" s="5">
        <v>2.25</v>
      </c>
      <c r="T73" s="3" t="s">
        <v>42</v>
      </c>
      <c r="U73" s="5">
        <v>195.57</v>
      </c>
      <c r="V73" s="3" t="s">
        <v>56</v>
      </c>
      <c r="W73" s="3" t="s">
        <v>48</v>
      </c>
      <c r="X73" s="3" t="s">
        <v>39</v>
      </c>
      <c r="Y73" s="3" t="s">
        <v>36</v>
      </c>
      <c r="Z73" s="3" t="s">
        <v>44</v>
      </c>
      <c r="AA73" s="41">
        <f t="shared" si="2"/>
        <v>2.25</v>
      </c>
      <c r="AB73" s="3" t="s">
        <v>223</v>
      </c>
      <c r="AC73" s="3" t="s">
        <v>39</v>
      </c>
      <c r="AD73" s="3" t="s">
        <v>39</v>
      </c>
      <c r="AE73" s="3" t="s">
        <v>39</v>
      </c>
      <c r="AF73" s="4">
        <v>45763</v>
      </c>
      <c r="AG73" s="4"/>
      <c r="AH73" s="3" t="s">
        <v>39</v>
      </c>
    </row>
    <row r="74" spans="1:34" outlineLevel="2" x14ac:dyDescent="0.35">
      <c r="A74" s="3" t="s">
        <v>121</v>
      </c>
      <c r="B74" s="3" t="s">
        <v>32</v>
      </c>
      <c r="C74" s="3" t="s">
        <v>117</v>
      </c>
      <c r="D74" s="3" t="s">
        <v>118</v>
      </c>
      <c r="E74" s="3" t="s">
        <v>33</v>
      </c>
      <c r="F74" s="3" t="s">
        <v>63</v>
      </c>
      <c r="G74" s="4">
        <v>45763</v>
      </c>
      <c r="H74" s="3" t="s">
        <v>224</v>
      </c>
      <c r="I74" s="3" t="s">
        <v>35</v>
      </c>
      <c r="J74" s="4">
        <v>45763</v>
      </c>
      <c r="K74" s="4">
        <v>45764</v>
      </c>
      <c r="L74" s="3" t="s">
        <v>36</v>
      </c>
      <c r="M74" s="40">
        <v>256779412103</v>
      </c>
      <c r="N74" s="3" t="s">
        <v>37</v>
      </c>
      <c r="O74" s="3" t="s">
        <v>38</v>
      </c>
      <c r="P74" s="3" t="s">
        <v>39</v>
      </c>
      <c r="Q74" s="3" t="s">
        <v>40</v>
      </c>
      <c r="R74" s="3" t="s">
        <v>41</v>
      </c>
      <c r="S74" s="5">
        <v>42.53</v>
      </c>
      <c r="T74" s="3" t="s">
        <v>42</v>
      </c>
      <c r="U74" s="5">
        <v>3696.79</v>
      </c>
      <c r="V74" s="3" t="s">
        <v>56</v>
      </c>
      <c r="W74" s="3" t="s">
        <v>48</v>
      </c>
      <c r="X74" s="3" t="s">
        <v>39</v>
      </c>
      <c r="Y74" s="3" t="s">
        <v>36</v>
      </c>
      <c r="Z74" s="3" t="s">
        <v>44</v>
      </c>
      <c r="AA74" s="41">
        <f t="shared" si="2"/>
        <v>42.53</v>
      </c>
      <c r="AB74" s="3" t="s">
        <v>99</v>
      </c>
      <c r="AC74" s="3" t="s">
        <v>39</v>
      </c>
      <c r="AD74" s="3" t="s">
        <v>39</v>
      </c>
      <c r="AE74" s="3" t="s">
        <v>39</v>
      </c>
      <c r="AF74" s="4">
        <v>45763</v>
      </c>
      <c r="AG74" s="4"/>
      <c r="AH74" s="3" t="s">
        <v>39</v>
      </c>
    </row>
    <row r="75" spans="1:34" outlineLevel="2" x14ac:dyDescent="0.35">
      <c r="A75" s="3" t="s">
        <v>121</v>
      </c>
      <c r="B75" s="3" t="s">
        <v>32</v>
      </c>
      <c r="C75" s="3" t="s">
        <v>117</v>
      </c>
      <c r="D75" s="3" t="s">
        <v>118</v>
      </c>
      <c r="E75" s="3" t="s">
        <v>33</v>
      </c>
      <c r="F75" s="3" t="s">
        <v>63</v>
      </c>
      <c r="G75" s="4">
        <v>45763</v>
      </c>
      <c r="H75" s="3" t="s">
        <v>225</v>
      </c>
      <c r="I75" s="3" t="s">
        <v>35</v>
      </c>
      <c r="J75" s="4">
        <v>45763</v>
      </c>
      <c r="K75" s="4">
        <v>45764</v>
      </c>
      <c r="L75" s="3" t="s">
        <v>36</v>
      </c>
      <c r="M75" s="40">
        <v>256779412113</v>
      </c>
      <c r="N75" s="3" t="s">
        <v>37</v>
      </c>
      <c r="O75" s="3" t="s">
        <v>38</v>
      </c>
      <c r="P75" s="3" t="s">
        <v>39</v>
      </c>
      <c r="Q75" s="3" t="s">
        <v>40</v>
      </c>
      <c r="R75" s="3" t="s">
        <v>41</v>
      </c>
      <c r="S75" s="5">
        <v>827.48</v>
      </c>
      <c r="T75" s="3" t="s">
        <v>42</v>
      </c>
      <c r="U75" s="5">
        <v>71926.070000000007</v>
      </c>
      <c r="V75" s="3" t="s">
        <v>56</v>
      </c>
      <c r="W75" s="3" t="s">
        <v>48</v>
      </c>
      <c r="X75" s="3" t="s">
        <v>39</v>
      </c>
      <c r="Y75" s="3" t="s">
        <v>36</v>
      </c>
      <c r="Z75" s="3" t="s">
        <v>44</v>
      </c>
      <c r="AA75" s="41">
        <f t="shared" si="2"/>
        <v>827.48</v>
      </c>
      <c r="AB75" s="3" t="s">
        <v>226</v>
      </c>
      <c r="AC75" s="3" t="s">
        <v>39</v>
      </c>
      <c r="AD75" s="3" t="s">
        <v>39</v>
      </c>
      <c r="AE75" s="3" t="s">
        <v>39</v>
      </c>
      <c r="AF75" s="4">
        <v>45763</v>
      </c>
      <c r="AG75" s="4"/>
      <c r="AH75" s="3" t="s">
        <v>39</v>
      </c>
    </row>
    <row r="76" spans="1:34" outlineLevel="2" x14ac:dyDescent="0.35">
      <c r="A76" s="3" t="s">
        <v>121</v>
      </c>
      <c r="B76" s="3" t="s">
        <v>32</v>
      </c>
      <c r="C76" s="3" t="s">
        <v>117</v>
      </c>
      <c r="D76" s="3" t="s">
        <v>118</v>
      </c>
      <c r="E76" s="3" t="s">
        <v>33</v>
      </c>
      <c r="F76" s="3" t="s">
        <v>51</v>
      </c>
      <c r="G76" s="4">
        <v>45730</v>
      </c>
      <c r="H76" s="3" t="s">
        <v>227</v>
      </c>
      <c r="I76" s="3" t="s">
        <v>35</v>
      </c>
      <c r="J76" s="4">
        <v>45730</v>
      </c>
      <c r="K76" s="4">
        <v>45733</v>
      </c>
      <c r="L76" s="3" t="s">
        <v>36</v>
      </c>
      <c r="M76" s="40">
        <v>246779411451</v>
      </c>
      <c r="N76" s="3" t="s">
        <v>37</v>
      </c>
      <c r="O76" s="3" t="s">
        <v>38</v>
      </c>
      <c r="P76" s="3" t="s">
        <v>39</v>
      </c>
      <c r="Q76" s="3" t="s">
        <v>40</v>
      </c>
      <c r="R76" s="3" t="s">
        <v>41</v>
      </c>
      <c r="S76" s="5">
        <v>2.86</v>
      </c>
      <c r="T76" s="3" t="s">
        <v>42</v>
      </c>
      <c r="U76" s="5">
        <v>247.94</v>
      </c>
      <c r="V76" s="3" t="s">
        <v>56</v>
      </c>
      <c r="W76" s="3" t="s">
        <v>48</v>
      </c>
      <c r="X76" s="3" t="s">
        <v>39</v>
      </c>
      <c r="Y76" s="3" t="s">
        <v>36</v>
      </c>
      <c r="Z76" s="3" t="s">
        <v>44</v>
      </c>
      <c r="AA76" s="41">
        <f t="shared" si="2"/>
        <v>2.86</v>
      </c>
      <c r="AB76" s="3" t="s">
        <v>100</v>
      </c>
      <c r="AC76" s="3" t="s">
        <v>39</v>
      </c>
      <c r="AD76" s="3" t="s">
        <v>39</v>
      </c>
      <c r="AE76" s="3" t="s">
        <v>39</v>
      </c>
      <c r="AF76" s="4">
        <v>45730</v>
      </c>
      <c r="AG76" s="4"/>
      <c r="AH76" s="3" t="s">
        <v>39</v>
      </c>
    </row>
    <row r="77" spans="1:34" outlineLevel="2" x14ac:dyDescent="0.35">
      <c r="A77" s="3" t="s">
        <v>121</v>
      </c>
      <c r="B77" s="3" t="s">
        <v>32</v>
      </c>
      <c r="C77" s="3" t="s">
        <v>117</v>
      </c>
      <c r="D77" s="3" t="s">
        <v>118</v>
      </c>
      <c r="E77" s="3" t="s">
        <v>33</v>
      </c>
      <c r="F77" s="3" t="s">
        <v>51</v>
      </c>
      <c r="G77" s="4">
        <v>45730</v>
      </c>
      <c r="H77" s="3" t="s">
        <v>228</v>
      </c>
      <c r="I77" s="3" t="s">
        <v>35</v>
      </c>
      <c r="J77" s="4">
        <v>45730</v>
      </c>
      <c r="K77" s="4">
        <v>45733</v>
      </c>
      <c r="L77" s="3" t="s">
        <v>36</v>
      </c>
      <c r="M77" s="40">
        <v>246779411452</v>
      </c>
      <c r="N77" s="3" t="s">
        <v>37</v>
      </c>
      <c r="O77" s="3" t="s">
        <v>38</v>
      </c>
      <c r="P77" s="3" t="s">
        <v>39</v>
      </c>
      <c r="Q77" s="3" t="s">
        <v>40</v>
      </c>
      <c r="R77" s="3" t="s">
        <v>41</v>
      </c>
      <c r="S77" s="5">
        <v>0.95</v>
      </c>
      <c r="T77" s="3" t="s">
        <v>42</v>
      </c>
      <c r="U77" s="5">
        <v>82.36</v>
      </c>
      <c r="V77" s="3" t="s">
        <v>56</v>
      </c>
      <c r="W77" s="3" t="s">
        <v>48</v>
      </c>
      <c r="X77" s="3" t="s">
        <v>39</v>
      </c>
      <c r="Y77" s="3" t="s">
        <v>36</v>
      </c>
      <c r="Z77" s="3" t="s">
        <v>44</v>
      </c>
      <c r="AA77" s="41">
        <f t="shared" si="2"/>
        <v>0.95</v>
      </c>
      <c r="AB77" s="3" t="s">
        <v>100</v>
      </c>
      <c r="AC77" s="3" t="s">
        <v>39</v>
      </c>
      <c r="AD77" s="3" t="s">
        <v>39</v>
      </c>
      <c r="AE77" s="3" t="s">
        <v>39</v>
      </c>
      <c r="AF77" s="4">
        <v>45730</v>
      </c>
      <c r="AG77" s="4"/>
      <c r="AH77" s="3" t="s">
        <v>39</v>
      </c>
    </row>
    <row r="78" spans="1:34" outlineLevel="2" x14ac:dyDescent="0.35">
      <c r="A78" s="3" t="s">
        <v>121</v>
      </c>
      <c r="B78" s="3" t="s">
        <v>32</v>
      </c>
      <c r="C78" s="3" t="s">
        <v>117</v>
      </c>
      <c r="D78" s="3" t="s">
        <v>118</v>
      </c>
      <c r="E78" s="3" t="s">
        <v>33</v>
      </c>
      <c r="F78" s="3" t="s">
        <v>51</v>
      </c>
      <c r="G78" s="4">
        <v>45730</v>
      </c>
      <c r="H78" s="3" t="s">
        <v>229</v>
      </c>
      <c r="I78" s="3" t="s">
        <v>35</v>
      </c>
      <c r="J78" s="4">
        <v>45730</v>
      </c>
      <c r="K78" s="4">
        <v>45733</v>
      </c>
      <c r="L78" s="3" t="s">
        <v>36</v>
      </c>
      <c r="M78" s="40">
        <v>246779411453</v>
      </c>
      <c r="N78" s="3" t="s">
        <v>37</v>
      </c>
      <c r="O78" s="3" t="s">
        <v>38</v>
      </c>
      <c r="P78" s="3" t="s">
        <v>39</v>
      </c>
      <c r="Q78" s="3" t="s">
        <v>40</v>
      </c>
      <c r="R78" s="3" t="s">
        <v>41</v>
      </c>
      <c r="S78" s="5">
        <v>4.7699999999999996</v>
      </c>
      <c r="T78" s="3" t="s">
        <v>42</v>
      </c>
      <c r="U78" s="5">
        <v>413.52</v>
      </c>
      <c r="V78" s="3" t="s">
        <v>56</v>
      </c>
      <c r="W78" s="3" t="s">
        <v>48</v>
      </c>
      <c r="X78" s="3" t="s">
        <v>39</v>
      </c>
      <c r="Y78" s="3" t="s">
        <v>36</v>
      </c>
      <c r="Z78" s="3" t="s">
        <v>44</v>
      </c>
      <c r="AA78" s="41">
        <f t="shared" si="2"/>
        <v>4.7699999999999996</v>
      </c>
      <c r="AB78" s="3" t="s">
        <v>100</v>
      </c>
      <c r="AC78" s="3" t="s">
        <v>39</v>
      </c>
      <c r="AD78" s="3" t="s">
        <v>39</v>
      </c>
      <c r="AE78" s="3" t="s">
        <v>39</v>
      </c>
      <c r="AF78" s="4">
        <v>45730</v>
      </c>
      <c r="AG78" s="4"/>
      <c r="AH78" s="3" t="s">
        <v>39</v>
      </c>
    </row>
    <row r="79" spans="1:34" outlineLevel="2" x14ac:dyDescent="0.35">
      <c r="A79" s="3" t="s">
        <v>121</v>
      </c>
      <c r="B79" s="3" t="s">
        <v>32</v>
      </c>
      <c r="C79" s="3" t="s">
        <v>117</v>
      </c>
      <c r="D79" s="3" t="s">
        <v>118</v>
      </c>
      <c r="E79" s="3" t="s">
        <v>33</v>
      </c>
      <c r="F79" s="3" t="s">
        <v>51</v>
      </c>
      <c r="G79" s="4">
        <v>45730</v>
      </c>
      <c r="H79" s="3" t="s">
        <v>230</v>
      </c>
      <c r="I79" s="3" t="s">
        <v>35</v>
      </c>
      <c r="J79" s="4">
        <v>45730</v>
      </c>
      <c r="K79" s="4">
        <v>45733</v>
      </c>
      <c r="L79" s="3" t="s">
        <v>36</v>
      </c>
      <c r="M79" s="40">
        <v>246779411454</v>
      </c>
      <c r="N79" s="3" t="s">
        <v>37</v>
      </c>
      <c r="O79" s="3" t="s">
        <v>38</v>
      </c>
      <c r="P79" s="3" t="s">
        <v>39</v>
      </c>
      <c r="Q79" s="3" t="s">
        <v>40</v>
      </c>
      <c r="R79" s="3" t="s">
        <v>41</v>
      </c>
      <c r="S79" s="5">
        <v>1.91</v>
      </c>
      <c r="T79" s="3" t="s">
        <v>42</v>
      </c>
      <c r="U79" s="5">
        <v>165.58</v>
      </c>
      <c r="V79" s="3" t="s">
        <v>56</v>
      </c>
      <c r="W79" s="3" t="s">
        <v>48</v>
      </c>
      <c r="X79" s="3" t="s">
        <v>39</v>
      </c>
      <c r="Y79" s="3" t="s">
        <v>36</v>
      </c>
      <c r="Z79" s="3" t="s">
        <v>44</v>
      </c>
      <c r="AA79" s="41">
        <f t="shared" si="2"/>
        <v>1.91</v>
      </c>
      <c r="AB79" s="3" t="s">
        <v>100</v>
      </c>
      <c r="AC79" s="3" t="s">
        <v>39</v>
      </c>
      <c r="AD79" s="3" t="s">
        <v>39</v>
      </c>
      <c r="AE79" s="3" t="s">
        <v>39</v>
      </c>
      <c r="AF79" s="4">
        <v>45730</v>
      </c>
      <c r="AG79" s="4"/>
      <c r="AH79" s="3" t="s">
        <v>39</v>
      </c>
    </row>
    <row r="80" spans="1:34" outlineLevel="2" x14ac:dyDescent="0.35">
      <c r="A80" s="3" t="s">
        <v>121</v>
      </c>
      <c r="B80" s="3" t="s">
        <v>32</v>
      </c>
      <c r="C80" s="3" t="s">
        <v>117</v>
      </c>
      <c r="D80" s="3" t="s">
        <v>118</v>
      </c>
      <c r="E80" s="3" t="s">
        <v>33</v>
      </c>
      <c r="F80" s="3" t="s">
        <v>51</v>
      </c>
      <c r="G80" s="4">
        <v>45730</v>
      </c>
      <c r="H80" s="3" t="s">
        <v>231</v>
      </c>
      <c r="I80" s="3" t="s">
        <v>35</v>
      </c>
      <c r="J80" s="4">
        <v>45730</v>
      </c>
      <c r="K80" s="4">
        <v>45733</v>
      </c>
      <c r="L80" s="3" t="s">
        <v>36</v>
      </c>
      <c r="M80" s="40">
        <v>246779411455</v>
      </c>
      <c r="N80" s="3" t="s">
        <v>37</v>
      </c>
      <c r="O80" s="3" t="s">
        <v>38</v>
      </c>
      <c r="P80" s="3" t="s">
        <v>39</v>
      </c>
      <c r="Q80" s="3" t="s">
        <v>40</v>
      </c>
      <c r="R80" s="3" t="s">
        <v>41</v>
      </c>
      <c r="S80" s="5">
        <v>1.91</v>
      </c>
      <c r="T80" s="3" t="s">
        <v>42</v>
      </c>
      <c r="U80" s="5">
        <v>165.58</v>
      </c>
      <c r="V80" s="3" t="s">
        <v>56</v>
      </c>
      <c r="W80" s="3" t="s">
        <v>48</v>
      </c>
      <c r="X80" s="3" t="s">
        <v>39</v>
      </c>
      <c r="Y80" s="3" t="s">
        <v>36</v>
      </c>
      <c r="Z80" s="3" t="s">
        <v>44</v>
      </c>
      <c r="AA80" s="41">
        <f t="shared" si="2"/>
        <v>1.91</v>
      </c>
      <c r="AB80" s="3" t="s">
        <v>100</v>
      </c>
      <c r="AC80" s="3" t="s">
        <v>39</v>
      </c>
      <c r="AD80" s="3" t="s">
        <v>39</v>
      </c>
      <c r="AE80" s="3" t="s">
        <v>39</v>
      </c>
      <c r="AF80" s="4">
        <v>45730</v>
      </c>
      <c r="AG80" s="4"/>
      <c r="AH80" s="3" t="s">
        <v>39</v>
      </c>
    </row>
    <row r="81" spans="1:34" outlineLevel="2" x14ac:dyDescent="0.35">
      <c r="A81" s="3" t="s">
        <v>121</v>
      </c>
      <c r="B81" s="3" t="s">
        <v>32</v>
      </c>
      <c r="C81" s="3" t="s">
        <v>117</v>
      </c>
      <c r="D81" s="3" t="s">
        <v>118</v>
      </c>
      <c r="E81" s="3" t="s">
        <v>33</v>
      </c>
      <c r="F81" s="3" t="s">
        <v>51</v>
      </c>
      <c r="G81" s="4">
        <v>45730</v>
      </c>
      <c r="H81" s="3" t="s">
        <v>232</v>
      </c>
      <c r="I81" s="3" t="s">
        <v>35</v>
      </c>
      <c r="J81" s="4">
        <v>45730</v>
      </c>
      <c r="K81" s="4">
        <v>45733</v>
      </c>
      <c r="L81" s="3" t="s">
        <v>36</v>
      </c>
      <c r="M81" s="40">
        <v>246779411456</v>
      </c>
      <c r="N81" s="3" t="s">
        <v>37</v>
      </c>
      <c r="O81" s="3" t="s">
        <v>38</v>
      </c>
      <c r="P81" s="3" t="s">
        <v>39</v>
      </c>
      <c r="Q81" s="3" t="s">
        <v>40</v>
      </c>
      <c r="R81" s="3" t="s">
        <v>41</v>
      </c>
      <c r="S81" s="5">
        <v>4.7699999999999996</v>
      </c>
      <c r="T81" s="3" t="s">
        <v>42</v>
      </c>
      <c r="U81" s="5">
        <v>413.52</v>
      </c>
      <c r="V81" s="3" t="s">
        <v>56</v>
      </c>
      <c r="W81" s="3" t="s">
        <v>48</v>
      </c>
      <c r="X81" s="3" t="s">
        <v>39</v>
      </c>
      <c r="Y81" s="3" t="s">
        <v>36</v>
      </c>
      <c r="Z81" s="3" t="s">
        <v>44</v>
      </c>
      <c r="AA81" s="41">
        <f t="shared" si="2"/>
        <v>4.7699999999999996</v>
      </c>
      <c r="AB81" s="3" t="s">
        <v>100</v>
      </c>
      <c r="AC81" s="3" t="s">
        <v>39</v>
      </c>
      <c r="AD81" s="3" t="s">
        <v>39</v>
      </c>
      <c r="AE81" s="3" t="s">
        <v>39</v>
      </c>
      <c r="AF81" s="4">
        <v>45730</v>
      </c>
      <c r="AG81" s="4"/>
      <c r="AH81" s="3" t="s">
        <v>39</v>
      </c>
    </row>
    <row r="82" spans="1:34" outlineLevel="2" x14ac:dyDescent="0.35">
      <c r="A82" s="3" t="s">
        <v>116</v>
      </c>
      <c r="B82" s="3" t="s">
        <v>32</v>
      </c>
      <c r="C82" s="3" t="s">
        <v>117</v>
      </c>
      <c r="D82" s="3" t="s">
        <v>118</v>
      </c>
      <c r="E82" s="3" t="s">
        <v>33</v>
      </c>
      <c r="F82" s="3" t="s">
        <v>51</v>
      </c>
      <c r="G82" s="4">
        <v>45730</v>
      </c>
      <c r="H82" s="3" t="s">
        <v>233</v>
      </c>
      <c r="I82" s="3" t="s">
        <v>35</v>
      </c>
      <c r="J82" s="4">
        <v>45730</v>
      </c>
      <c r="K82" s="4">
        <v>45735</v>
      </c>
      <c r="L82" s="3" t="s">
        <v>36</v>
      </c>
      <c r="M82" s="40">
        <v>246779412240</v>
      </c>
      <c r="N82" s="3" t="s">
        <v>37</v>
      </c>
      <c r="O82" s="3" t="s">
        <v>38</v>
      </c>
      <c r="P82" s="3" t="s">
        <v>39</v>
      </c>
      <c r="Q82" s="3" t="s">
        <v>40</v>
      </c>
      <c r="R82" s="3" t="s">
        <v>41</v>
      </c>
      <c r="S82" s="5">
        <v>2.86</v>
      </c>
      <c r="T82" s="3" t="s">
        <v>42</v>
      </c>
      <c r="U82" s="5">
        <v>247.94</v>
      </c>
      <c r="V82" s="3" t="s">
        <v>56</v>
      </c>
      <c r="W82" s="3" t="s">
        <v>48</v>
      </c>
      <c r="X82" s="3" t="s">
        <v>39</v>
      </c>
      <c r="Y82" s="3" t="s">
        <v>36</v>
      </c>
      <c r="Z82" s="3" t="s">
        <v>44</v>
      </c>
      <c r="AA82" s="41">
        <f t="shared" si="2"/>
        <v>2.86</v>
      </c>
      <c r="AB82" s="3" t="s">
        <v>100</v>
      </c>
      <c r="AC82" s="3" t="s">
        <v>39</v>
      </c>
      <c r="AD82" s="3" t="s">
        <v>39</v>
      </c>
      <c r="AE82" s="3" t="s">
        <v>39</v>
      </c>
      <c r="AF82" s="4">
        <v>45730</v>
      </c>
      <c r="AG82" s="4">
        <v>45861</v>
      </c>
      <c r="AH82" s="39">
        <v>1400000797</v>
      </c>
    </row>
    <row r="83" spans="1:34" outlineLevel="2" x14ac:dyDescent="0.35">
      <c r="A83" s="3" t="s">
        <v>116</v>
      </c>
      <c r="B83" s="3" t="s">
        <v>32</v>
      </c>
      <c r="C83" s="3" t="s">
        <v>117</v>
      </c>
      <c r="D83" s="3" t="s">
        <v>118</v>
      </c>
      <c r="E83" s="3" t="s">
        <v>33</v>
      </c>
      <c r="F83" s="3" t="s">
        <v>51</v>
      </c>
      <c r="G83" s="4">
        <v>45730</v>
      </c>
      <c r="H83" s="3" t="s">
        <v>234</v>
      </c>
      <c r="I83" s="3" t="s">
        <v>35</v>
      </c>
      <c r="J83" s="4">
        <v>45730</v>
      </c>
      <c r="K83" s="4">
        <v>45735</v>
      </c>
      <c r="L83" s="3" t="s">
        <v>36</v>
      </c>
      <c r="M83" s="40">
        <v>246779412241</v>
      </c>
      <c r="N83" s="3" t="s">
        <v>37</v>
      </c>
      <c r="O83" s="3" t="s">
        <v>38</v>
      </c>
      <c r="P83" s="3" t="s">
        <v>39</v>
      </c>
      <c r="Q83" s="3" t="s">
        <v>40</v>
      </c>
      <c r="R83" s="3" t="s">
        <v>41</v>
      </c>
      <c r="S83" s="5">
        <v>0.95</v>
      </c>
      <c r="T83" s="3" t="s">
        <v>42</v>
      </c>
      <c r="U83" s="5">
        <v>82.36</v>
      </c>
      <c r="V83" s="3" t="s">
        <v>56</v>
      </c>
      <c r="W83" s="3" t="s">
        <v>48</v>
      </c>
      <c r="X83" s="3" t="s">
        <v>39</v>
      </c>
      <c r="Y83" s="3" t="s">
        <v>36</v>
      </c>
      <c r="Z83" s="3" t="s">
        <v>44</v>
      </c>
      <c r="AA83" s="41">
        <f t="shared" si="2"/>
        <v>0.95</v>
      </c>
      <c r="AB83" s="3" t="s">
        <v>100</v>
      </c>
      <c r="AC83" s="3" t="s">
        <v>39</v>
      </c>
      <c r="AD83" s="3" t="s">
        <v>39</v>
      </c>
      <c r="AE83" s="3" t="s">
        <v>39</v>
      </c>
      <c r="AF83" s="4">
        <v>45730</v>
      </c>
      <c r="AG83" s="4">
        <v>45861</v>
      </c>
      <c r="AH83" s="39">
        <v>1400000797</v>
      </c>
    </row>
    <row r="84" spans="1:34" outlineLevel="2" x14ac:dyDescent="0.35">
      <c r="A84" s="3" t="s">
        <v>116</v>
      </c>
      <c r="B84" s="3" t="s">
        <v>32</v>
      </c>
      <c r="C84" s="3" t="s">
        <v>117</v>
      </c>
      <c r="D84" s="3" t="s">
        <v>118</v>
      </c>
      <c r="E84" s="3" t="s">
        <v>33</v>
      </c>
      <c r="F84" s="3" t="s">
        <v>51</v>
      </c>
      <c r="G84" s="4">
        <v>45730</v>
      </c>
      <c r="H84" s="3" t="s">
        <v>235</v>
      </c>
      <c r="I84" s="3" t="s">
        <v>35</v>
      </c>
      <c r="J84" s="4">
        <v>45730</v>
      </c>
      <c r="K84" s="4">
        <v>45735</v>
      </c>
      <c r="L84" s="3" t="s">
        <v>36</v>
      </c>
      <c r="M84" s="40">
        <v>246779412242</v>
      </c>
      <c r="N84" s="3" t="s">
        <v>37</v>
      </c>
      <c r="O84" s="3" t="s">
        <v>38</v>
      </c>
      <c r="P84" s="3" t="s">
        <v>39</v>
      </c>
      <c r="Q84" s="3" t="s">
        <v>40</v>
      </c>
      <c r="R84" s="3" t="s">
        <v>41</v>
      </c>
      <c r="S84" s="5">
        <v>4.7699999999999996</v>
      </c>
      <c r="T84" s="3" t="s">
        <v>42</v>
      </c>
      <c r="U84" s="5">
        <v>413.52</v>
      </c>
      <c r="V84" s="3" t="s">
        <v>56</v>
      </c>
      <c r="W84" s="3" t="s">
        <v>48</v>
      </c>
      <c r="X84" s="3" t="s">
        <v>39</v>
      </c>
      <c r="Y84" s="3" t="s">
        <v>36</v>
      </c>
      <c r="Z84" s="3" t="s">
        <v>44</v>
      </c>
      <c r="AA84" s="41">
        <f t="shared" si="2"/>
        <v>4.7699999999999996</v>
      </c>
      <c r="AB84" s="3" t="s">
        <v>100</v>
      </c>
      <c r="AC84" s="3" t="s">
        <v>39</v>
      </c>
      <c r="AD84" s="3" t="s">
        <v>39</v>
      </c>
      <c r="AE84" s="3" t="s">
        <v>39</v>
      </c>
      <c r="AF84" s="4">
        <v>45730</v>
      </c>
      <c r="AG84" s="4">
        <v>45861</v>
      </c>
      <c r="AH84" s="39">
        <v>1400000797</v>
      </c>
    </row>
    <row r="85" spans="1:34" outlineLevel="2" x14ac:dyDescent="0.35">
      <c r="A85" s="3" t="s">
        <v>116</v>
      </c>
      <c r="B85" s="3" t="s">
        <v>32</v>
      </c>
      <c r="C85" s="3" t="s">
        <v>117</v>
      </c>
      <c r="D85" s="3" t="s">
        <v>118</v>
      </c>
      <c r="E85" s="3" t="s">
        <v>33</v>
      </c>
      <c r="F85" s="3" t="s">
        <v>51</v>
      </c>
      <c r="G85" s="4">
        <v>45730</v>
      </c>
      <c r="H85" s="3" t="s">
        <v>236</v>
      </c>
      <c r="I85" s="3" t="s">
        <v>35</v>
      </c>
      <c r="J85" s="4">
        <v>45730</v>
      </c>
      <c r="K85" s="4">
        <v>45735</v>
      </c>
      <c r="L85" s="3" t="s">
        <v>36</v>
      </c>
      <c r="M85" s="40">
        <v>246779412243</v>
      </c>
      <c r="N85" s="3" t="s">
        <v>37</v>
      </c>
      <c r="O85" s="3" t="s">
        <v>38</v>
      </c>
      <c r="P85" s="3" t="s">
        <v>39</v>
      </c>
      <c r="Q85" s="3" t="s">
        <v>40</v>
      </c>
      <c r="R85" s="3" t="s">
        <v>41</v>
      </c>
      <c r="S85" s="5">
        <v>1.91</v>
      </c>
      <c r="T85" s="3" t="s">
        <v>42</v>
      </c>
      <c r="U85" s="5">
        <v>165.58</v>
      </c>
      <c r="V85" s="3" t="s">
        <v>56</v>
      </c>
      <c r="W85" s="3" t="s">
        <v>48</v>
      </c>
      <c r="X85" s="3" t="s">
        <v>39</v>
      </c>
      <c r="Y85" s="3" t="s">
        <v>36</v>
      </c>
      <c r="Z85" s="3" t="s">
        <v>44</v>
      </c>
      <c r="AA85" s="41">
        <f t="shared" si="2"/>
        <v>1.91</v>
      </c>
      <c r="AB85" s="3" t="s">
        <v>100</v>
      </c>
      <c r="AC85" s="3" t="s">
        <v>39</v>
      </c>
      <c r="AD85" s="3" t="s">
        <v>39</v>
      </c>
      <c r="AE85" s="3" t="s">
        <v>39</v>
      </c>
      <c r="AF85" s="4">
        <v>45730</v>
      </c>
      <c r="AG85" s="4">
        <v>45861</v>
      </c>
      <c r="AH85" s="39">
        <v>1400000797</v>
      </c>
    </row>
    <row r="86" spans="1:34" outlineLevel="2" x14ac:dyDescent="0.35">
      <c r="A86" s="3" t="s">
        <v>116</v>
      </c>
      <c r="B86" s="3" t="s">
        <v>32</v>
      </c>
      <c r="C86" s="3" t="s">
        <v>117</v>
      </c>
      <c r="D86" s="3" t="s">
        <v>118</v>
      </c>
      <c r="E86" s="3" t="s">
        <v>33</v>
      </c>
      <c r="F86" s="3" t="s">
        <v>51</v>
      </c>
      <c r="G86" s="4">
        <v>45730</v>
      </c>
      <c r="H86" s="3" t="s">
        <v>237</v>
      </c>
      <c r="I86" s="3" t="s">
        <v>35</v>
      </c>
      <c r="J86" s="4">
        <v>45730</v>
      </c>
      <c r="K86" s="4">
        <v>45735</v>
      </c>
      <c r="L86" s="3" t="s">
        <v>36</v>
      </c>
      <c r="M86" s="40">
        <v>246779412244</v>
      </c>
      <c r="N86" s="3" t="s">
        <v>37</v>
      </c>
      <c r="O86" s="3" t="s">
        <v>38</v>
      </c>
      <c r="P86" s="3" t="s">
        <v>39</v>
      </c>
      <c r="Q86" s="3" t="s">
        <v>40</v>
      </c>
      <c r="R86" s="3" t="s">
        <v>41</v>
      </c>
      <c r="S86" s="5">
        <v>1.91</v>
      </c>
      <c r="T86" s="3" t="s">
        <v>42</v>
      </c>
      <c r="U86" s="5">
        <v>165.58</v>
      </c>
      <c r="V86" s="3" t="s">
        <v>56</v>
      </c>
      <c r="W86" s="3" t="s">
        <v>48</v>
      </c>
      <c r="X86" s="3" t="s">
        <v>39</v>
      </c>
      <c r="Y86" s="3" t="s">
        <v>36</v>
      </c>
      <c r="Z86" s="3" t="s">
        <v>44</v>
      </c>
      <c r="AA86" s="41">
        <f t="shared" ref="AA86:AA117" si="3">S86</f>
        <v>1.91</v>
      </c>
      <c r="AB86" s="3" t="s">
        <v>100</v>
      </c>
      <c r="AC86" s="3" t="s">
        <v>39</v>
      </c>
      <c r="AD86" s="3" t="s">
        <v>39</v>
      </c>
      <c r="AE86" s="3" t="s">
        <v>39</v>
      </c>
      <c r="AF86" s="4">
        <v>45730</v>
      </c>
      <c r="AG86" s="4">
        <v>45861</v>
      </c>
      <c r="AH86" s="39">
        <v>1400000797</v>
      </c>
    </row>
    <row r="87" spans="1:34" outlineLevel="2" x14ac:dyDescent="0.35">
      <c r="A87" s="3" t="s">
        <v>116</v>
      </c>
      <c r="B87" s="3" t="s">
        <v>32</v>
      </c>
      <c r="C87" s="3" t="s">
        <v>117</v>
      </c>
      <c r="D87" s="3" t="s">
        <v>118</v>
      </c>
      <c r="E87" s="3" t="s">
        <v>33</v>
      </c>
      <c r="F87" s="3" t="s">
        <v>51</v>
      </c>
      <c r="G87" s="4">
        <v>45730</v>
      </c>
      <c r="H87" s="3" t="s">
        <v>238</v>
      </c>
      <c r="I87" s="3" t="s">
        <v>35</v>
      </c>
      <c r="J87" s="4">
        <v>45730</v>
      </c>
      <c r="K87" s="4">
        <v>45735</v>
      </c>
      <c r="L87" s="3" t="s">
        <v>36</v>
      </c>
      <c r="M87" s="40">
        <v>246779412245</v>
      </c>
      <c r="N87" s="3" t="s">
        <v>37</v>
      </c>
      <c r="O87" s="3" t="s">
        <v>38</v>
      </c>
      <c r="P87" s="3" t="s">
        <v>39</v>
      </c>
      <c r="Q87" s="3" t="s">
        <v>40</v>
      </c>
      <c r="R87" s="3" t="s">
        <v>41</v>
      </c>
      <c r="S87" s="5">
        <v>4.7699999999999996</v>
      </c>
      <c r="T87" s="3" t="s">
        <v>42</v>
      </c>
      <c r="U87" s="5">
        <v>413.52</v>
      </c>
      <c r="V87" s="3" t="s">
        <v>56</v>
      </c>
      <c r="W87" s="3" t="s">
        <v>48</v>
      </c>
      <c r="X87" s="3" t="s">
        <v>39</v>
      </c>
      <c r="Y87" s="3" t="s">
        <v>36</v>
      </c>
      <c r="Z87" s="3" t="s">
        <v>44</v>
      </c>
      <c r="AA87" s="41">
        <f t="shared" si="3"/>
        <v>4.7699999999999996</v>
      </c>
      <c r="AB87" s="3" t="s">
        <v>100</v>
      </c>
      <c r="AC87" s="3" t="s">
        <v>39</v>
      </c>
      <c r="AD87" s="3" t="s">
        <v>39</v>
      </c>
      <c r="AE87" s="3" t="s">
        <v>39</v>
      </c>
      <c r="AF87" s="4">
        <v>45730</v>
      </c>
      <c r="AG87" s="4">
        <v>45861</v>
      </c>
      <c r="AH87" s="39">
        <v>1400000797</v>
      </c>
    </row>
    <row r="88" spans="1:34" outlineLevel="2" x14ac:dyDescent="0.35">
      <c r="A88" s="3" t="s">
        <v>121</v>
      </c>
      <c r="B88" s="3" t="s">
        <v>32</v>
      </c>
      <c r="C88" s="3" t="s">
        <v>117</v>
      </c>
      <c r="D88" s="3" t="s">
        <v>118</v>
      </c>
      <c r="E88" s="3" t="s">
        <v>33</v>
      </c>
      <c r="F88" s="3" t="s">
        <v>61</v>
      </c>
      <c r="G88" s="4">
        <v>45904</v>
      </c>
      <c r="H88" s="3" t="s">
        <v>239</v>
      </c>
      <c r="I88" s="3" t="s">
        <v>35</v>
      </c>
      <c r="J88" s="4">
        <v>45904</v>
      </c>
      <c r="K88" s="4">
        <v>45908</v>
      </c>
      <c r="L88" s="3" t="s">
        <v>36</v>
      </c>
      <c r="M88" s="40">
        <v>256779416912</v>
      </c>
      <c r="N88" s="3" t="s">
        <v>37</v>
      </c>
      <c r="O88" s="3" t="s">
        <v>38</v>
      </c>
      <c r="P88" s="3" t="s">
        <v>39</v>
      </c>
      <c r="Q88" s="3" t="s">
        <v>40</v>
      </c>
      <c r="R88" s="3" t="s">
        <v>41</v>
      </c>
      <c r="S88" s="5">
        <v>44.96</v>
      </c>
      <c r="T88" s="3" t="s">
        <v>42</v>
      </c>
      <c r="U88" s="5">
        <v>3934.64</v>
      </c>
      <c r="V88" s="3" t="s">
        <v>56</v>
      </c>
      <c r="W88" s="3" t="s">
        <v>48</v>
      </c>
      <c r="X88" s="3" t="s">
        <v>39</v>
      </c>
      <c r="Y88" s="3" t="s">
        <v>36</v>
      </c>
      <c r="Z88" s="3" t="s">
        <v>44</v>
      </c>
      <c r="AA88" s="41">
        <f t="shared" si="3"/>
        <v>44.96</v>
      </c>
      <c r="AB88" s="3" t="s">
        <v>240</v>
      </c>
      <c r="AC88" s="3" t="s">
        <v>39</v>
      </c>
      <c r="AD88" s="3" t="s">
        <v>39</v>
      </c>
      <c r="AE88" s="3" t="s">
        <v>39</v>
      </c>
      <c r="AF88" s="4">
        <v>45904</v>
      </c>
      <c r="AG88" s="4"/>
      <c r="AH88" s="3" t="s">
        <v>39</v>
      </c>
    </row>
    <row r="89" spans="1:34" outlineLevel="2" x14ac:dyDescent="0.35">
      <c r="A89" s="3" t="s">
        <v>121</v>
      </c>
      <c r="B89" s="3" t="s">
        <v>32</v>
      </c>
      <c r="C89" s="3" t="s">
        <v>117</v>
      </c>
      <c r="D89" s="3" t="s">
        <v>118</v>
      </c>
      <c r="E89" s="3" t="s">
        <v>33</v>
      </c>
      <c r="F89" s="3" t="s">
        <v>61</v>
      </c>
      <c r="G89" s="4">
        <v>45904</v>
      </c>
      <c r="H89" s="3" t="s">
        <v>241</v>
      </c>
      <c r="I89" s="3" t="s">
        <v>35</v>
      </c>
      <c r="J89" s="4">
        <v>45904</v>
      </c>
      <c r="K89" s="4">
        <v>45908</v>
      </c>
      <c r="L89" s="3" t="s">
        <v>36</v>
      </c>
      <c r="M89" s="40">
        <v>256779416949</v>
      </c>
      <c r="N89" s="3" t="s">
        <v>37</v>
      </c>
      <c r="O89" s="3" t="s">
        <v>38</v>
      </c>
      <c r="P89" s="3" t="s">
        <v>39</v>
      </c>
      <c r="Q89" s="3" t="s">
        <v>40</v>
      </c>
      <c r="R89" s="3" t="s">
        <v>41</v>
      </c>
      <c r="S89" s="5">
        <v>30.16</v>
      </c>
      <c r="T89" s="3" t="s">
        <v>42</v>
      </c>
      <c r="U89" s="5">
        <v>2639.43</v>
      </c>
      <c r="V89" s="3" t="s">
        <v>56</v>
      </c>
      <c r="W89" s="3" t="s">
        <v>48</v>
      </c>
      <c r="X89" s="3" t="s">
        <v>39</v>
      </c>
      <c r="Y89" s="3" t="s">
        <v>36</v>
      </c>
      <c r="Z89" s="3" t="s">
        <v>44</v>
      </c>
      <c r="AA89" s="41">
        <f t="shared" si="3"/>
        <v>30.16</v>
      </c>
      <c r="AB89" s="3" t="s">
        <v>242</v>
      </c>
      <c r="AC89" s="3" t="s">
        <v>39</v>
      </c>
      <c r="AD89" s="3" t="s">
        <v>39</v>
      </c>
      <c r="AE89" s="3" t="s">
        <v>39</v>
      </c>
      <c r="AF89" s="4">
        <v>45904</v>
      </c>
      <c r="AG89" s="4"/>
      <c r="AH89" s="3" t="s">
        <v>39</v>
      </c>
    </row>
    <row r="90" spans="1:34" outlineLevel="2" x14ac:dyDescent="0.35">
      <c r="A90" s="3" t="s">
        <v>121</v>
      </c>
      <c r="B90" s="3" t="s">
        <v>32</v>
      </c>
      <c r="C90" s="3" t="s">
        <v>117</v>
      </c>
      <c r="D90" s="3" t="s">
        <v>118</v>
      </c>
      <c r="E90" s="3" t="s">
        <v>33</v>
      </c>
      <c r="F90" s="3" t="s">
        <v>61</v>
      </c>
      <c r="G90" s="4">
        <v>45904</v>
      </c>
      <c r="H90" s="3" t="s">
        <v>243</v>
      </c>
      <c r="I90" s="3" t="s">
        <v>35</v>
      </c>
      <c r="J90" s="4">
        <v>45904</v>
      </c>
      <c r="K90" s="4">
        <v>45909</v>
      </c>
      <c r="L90" s="3" t="s">
        <v>36</v>
      </c>
      <c r="M90" s="40">
        <v>256779417136</v>
      </c>
      <c r="N90" s="3" t="s">
        <v>37</v>
      </c>
      <c r="O90" s="3" t="s">
        <v>38</v>
      </c>
      <c r="P90" s="3" t="s">
        <v>39</v>
      </c>
      <c r="Q90" s="3" t="s">
        <v>40</v>
      </c>
      <c r="R90" s="3" t="s">
        <v>41</v>
      </c>
      <c r="S90" s="5">
        <v>1.71</v>
      </c>
      <c r="T90" s="3" t="s">
        <v>42</v>
      </c>
      <c r="U90" s="5">
        <v>149.65</v>
      </c>
      <c r="V90" s="3" t="s">
        <v>56</v>
      </c>
      <c r="W90" s="3" t="s">
        <v>48</v>
      </c>
      <c r="X90" s="3" t="s">
        <v>39</v>
      </c>
      <c r="Y90" s="3" t="s">
        <v>36</v>
      </c>
      <c r="Z90" s="3" t="s">
        <v>44</v>
      </c>
      <c r="AA90" s="41">
        <f t="shared" si="3"/>
        <v>1.71</v>
      </c>
      <c r="AB90" s="3" t="s">
        <v>101</v>
      </c>
      <c r="AC90" s="3" t="s">
        <v>39</v>
      </c>
      <c r="AD90" s="3" t="s">
        <v>39</v>
      </c>
      <c r="AE90" s="3" t="s">
        <v>39</v>
      </c>
      <c r="AF90" s="4">
        <v>45904</v>
      </c>
      <c r="AG90" s="4"/>
      <c r="AH90" s="3" t="s">
        <v>39</v>
      </c>
    </row>
    <row r="91" spans="1:34" outlineLevel="2" x14ac:dyDescent="0.35">
      <c r="A91" s="3" t="s">
        <v>121</v>
      </c>
      <c r="B91" s="3" t="s">
        <v>32</v>
      </c>
      <c r="C91" s="3" t="s">
        <v>117</v>
      </c>
      <c r="D91" s="3" t="s">
        <v>118</v>
      </c>
      <c r="E91" s="3" t="s">
        <v>33</v>
      </c>
      <c r="F91" s="3" t="s">
        <v>61</v>
      </c>
      <c r="G91" s="4">
        <v>45904</v>
      </c>
      <c r="H91" s="3" t="s">
        <v>244</v>
      </c>
      <c r="I91" s="3" t="s">
        <v>35</v>
      </c>
      <c r="J91" s="4">
        <v>45904</v>
      </c>
      <c r="K91" s="4">
        <v>45909</v>
      </c>
      <c r="L91" s="3" t="s">
        <v>36</v>
      </c>
      <c r="M91" s="40">
        <v>256779417162</v>
      </c>
      <c r="N91" s="3" t="s">
        <v>37</v>
      </c>
      <c r="O91" s="3" t="s">
        <v>38</v>
      </c>
      <c r="P91" s="3" t="s">
        <v>39</v>
      </c>
      <c r="Q91" s="3" t="s">
        <v>40</v>
      </c>
      <c r="R91" s="3" t="s">
        <v>41</v>
      </c>
      <c r="S91" s="5">
        <v>44.74</v>
      </c>
      <c r="T91" s="3" t="s">
        <v>42</v>
      </c>
      <c r="U91" s="5">
        <v>3915.39</v>
      </c>
      <c r="V91" s="3" t="s">
        <v>56</v>
      </c>
      <c r="W91" s="3" t="s">
        <v>48</v>
      </c>
      <c r="X91" s="3" t="s">
        <v>39</v>
      </c>
      <c r="Y91" s="3" t="s">
        <v>36</v>
      </c>
      <c r="Z91" s="3" t="s">
        <v>44</v>
      </c>
      <c r="AA91" s="41">
        <f t="shared" si="3"/>
        <v>44.74</v>
      </c>
      <c r="AB91" s="3" t="s">
        <v>245</v>
      </c>
      <c r="AC91" s="3" t="s">
        <v>39</v>
      </c>
      <c r="AD91" s="3" t="s">
        <v>39</v>
      </c>
      <c r="AE91" s="3" t="s">
        <v>39</v>
      </c>
      <c r="AF91" s="4">
        <v>45904</v>
      </c>
      <c r="AG91" s="4"/>
      <c r="AH91" s="3" t="s">
        <v>39</v>
      </c>
    </row>
    <row r="92" spans="1:34" outlineLevel="2" x14ac:dyDescent="0.35">
      <c r="A92" s="3" t="s">
        <v>121</v>
      </c>
      <c r="B92" s="3" t="s">
        <v>32</v>
      </c>
      <c r="C92" s="3" t="s">
        <v>117</v>
      </c>
      <c r="D92" s="3" t="s">
        <v>118</v>
      </c>
      <c r="E92" s="3" t="s">
        <v>33</v>
      </c>
      <c r="F92" s="3" t="s">
        <v>61</v>
      </c>
      <c r="G92" s="4">
        <v>45904</v>
      </c>
      <c r="H92" s="3" t="s">
        <v>246</v>
      </c>
      <c r="I92" s="3" t="s">
        <v>35</v>
      </c>
      <c r="J92" s="4">
        <v>45904</v>
      </c>
      <c r="K92" s="4">
        <v>45909</v>
      </c>
      <c r="L92" s="3" t="s">
        <v>36</v>
      </c>
      <c r="M92" s="40">
        <v>256779417328</v>
      </c>
      <c r="N92" s="3" t="s">
        <v>37</v>
      </c>
      <c r="O92" s="3" t="s">
        <v>38</v>
      </c>
      <c r="P92" s="3" t="s">
        <v>39</v>
      </c>
      <c r="Q92" s="3" t="s">
        <v>40</v>
      </c>
      <c r="R92" s="3" t="s">
        <v>41</v>
      </c>
      <c r="S92" s="5">
        <v>2.25</v>
      </c>
      <c r="T92" s="3" t="s">
        <v>42</v>
      </c>
      <c r="U92" s="5">
        <v>196.91</v>
      </c>
      <c r="V92" s="3" t="s">
        <v>56</v>
      </c>
      <c r="W92" s="3" t="s">
        <v>48</v>
      </c>
      <c r="X92" s="3" t="s">
        <v>39</v>
      </c>
      <c r="Y92" s="3" t="s">
        <v>102</v>
      </c>
      <c r="Z92" s="3" t="s">
        <v>44</v>
      </c>
      <c r="AA92" s="41">
        <f t="shared" si="3"/>
        <v>2.25</v>
      </c>
      <c r="AB92" s="3" t="s">
        <v>103</v>
      </c>
      <c r="AC92" s="3" t="s">
        <v>39</v>
      </c>
      <c r="AD92" s="3" t="s">
        <v>39</v>
      </c>
      <c r="AE92" s="3" t="s">
        <v>39</v>
      </c>
      <c r="AF92" s="4">
        <v>45904</v>
      </c>
      <c r="AG92" s="4"/>
      <c r="AH92" s="3" t="s">
        <v>39</v>
      </c>
    </row>
    <row r="93" spans="1:34" outlineLevel="2" x14ac:dyDescent="0.35">
      <c r="A93" s="3" t="s">
        <v>121</v>
      </c>
      <c r="B93" s="3" t="s">
        <v>32</v>
      </c>
      <c r="C93" s="3" t="s">
        <v>117</v>
      </c>
      <c r="D93" s="3" t="s">
        <v>118</v>
      </c>
      <c r="E93" s="3" t="s">
        <v>33</v>
      </c>
      <c r="F93" s="3" t="s">
        <v>49</v>
      </c>
      <c r="G93" s="4">
        <v>45842</v>
      </c>
      <c r="H93" s="3" t="s">
        <v>247</v>
      </c>
      <c r="I93" s="3" t="s">
        <v>35</v>
      </c>
      <c r="J93" s="4">
        <v>45842</v>
      </c>
      <c r="K93" s="4">
        <v>45845</v>
      </c>
      <c r="L93" s="3" t="s">
        <v>36</v>
      </c>
      <c r="M93" s="40">
        <v>256779414833</v>
      </c>
      <c r="N93" s="3" t="s">
        <v>37</v>
      </c>
      <c r="O93" s="3" t="s">
        <v>38</v>
      </c>
      <c r="P93" s="3" t="s">
        <v>39</v>
      </c>
      <c r="Q93" s="3" t="s">
        <v>40</v>
      </c>
      <c r="R93" s="3" t="s">
        <v>41</v>
      </c>
      <c r="S93" s="5">
        <v>3</v>
      </c>
      <c r="T93" s="3" t="s">
        <v>42</v>
      </c>
      <c r="U93" s="5">
        <v>258</v>
      </c>
      <c r="V93" s="3" t="s">
        <v>56</v>
      </c>
      <c r="W93" s="3" t="s">
        <v>48</v>
      </c>
      <c r="X93" s="3" t="s">
        <v>39</v>
      </c>
      <c r="Y93" s="3" t="s">
        <v>36</v>
      </c>
      <c r="Z93" s="3" t="s">
        <v>44</v>
      </c>
      <c r="AA93" s="41">
        <f t="shared" si="3"/>
        <v>3</v>
      </c>
      <c r="AB93" s="3" t="s">
        <v>104</v>
      </c>
      <c r="AC93" s="3" t="s">
        <v>39</v>
      </c>
      <c r="AD93" s="3" t="s">
        <v>39</v>
      </c>
      <c r="AE93" s="3" t="s">
        <v>39</v>
      </c>
      <c r="AF93" s="4">
        <v>45842</v>
      </c>
      <c r="AG93" s="4"/>
      <c r="AH93" s="3" t="s">
        <v>39</v>
      </c>
    </row>
    <row r="94" spans="1:34" outlineLevel="2" x14ac:dyDescent="0.35">
      <c r="A94" s="3" t="s">
        <v>121</v>
      </c>
      <c r="B94" s="3" t="s">
        <v>32</v>
      </c>
      <c r="C94" s="3" t="s">
        <v>117</v>
      </c>
      <c r="D94" s="3" t="s">
        <v>118</v>
      </c>
      <c r="E94" s="3" t="s">
        <v>33</v>
      </c>
      <c r="F94" s="3" t="s">
        <v>49</v>
      </c>
      <c r="G94" s="4">
        <v>45842</v>
      </c>
      <c r="H94" s="3" t="s">
        <v>248</v>
      </c>
      <c r="I94" s="3" t="s">
        <v>35</v>
      </c>
      <c r="J94" s="4">
        <v>45842</v>
      </c>
      <c r="K94" s="4">
        <v>45847</v>
      </c>
      <c r="L94" s="3" t="s">
        <v>36</v>
      </c>
      <c r="M94" s="40">
        <v>256779415190</v>
      </c>
      <c r="N94" s="3" t="s">
        <v>37</v>
      </c>
      <c r="O94" s="3" t="s">
        <v>38</v>
      </c>
      <c r="P94" s="3" t="s">
        <v>39</v>
      </c>
      <c r="Q94" s="3" t="s">
        <v>40</v>
      </c>
      <c r="R94" s="3" t="s">
        <v>41</v>
      </c>
      <c r="S94" s="5">
        <v>690.7</v>
      </c>
      <c r="T94" s="3" t="s">
        <v>42</v>
      </c>
      <c r="U94" s="5">
        <v>59400.66</v>
      </c>
      <c r="V94" s="3" t="s">
        <v>56</v>
      </c>
      <c r="W94" s="3" t="s">
        <v>48</v>
      </c>
      <c r="X94" s="3" t="s">
        <v>39</v>
      </c>
      <c r="Y94" s="3" t="s">
        <v>36</v>
      </c>
      <c r="Z94" s="3" t="s">
        <v>44</v>
      </c>
      <c r="AA94" s="41">
        <f t="shared" si="3"/>
        <v>690.7</v>
      </c>
      <c r="AB94" s="3" t="s">
        <v>249</v>
      </c>
      <c r="AC94" s="3" t="s">
        <v>39</v>
      </c>
      <c r="AD94" s="3" t="s">
        <v>39</v>
      </c>
      <c r="AE94" s="3" t="s">
        <v>39</v>
      </c>
      <c r="AF94" s="4">
        <v>45842</v>
      </c>
      <c r="AG94" s="4"/>
      <c r="AH94" s="3" t="s">
        <v>39</v>
      </c>
    </row>
    <row r="95" spans="1:34" outlineLevel="2" x14ac:dyDescent="0.35">
      <c r="A95" s="3" t="s">
        <v>121</v>
      </c>
      <c r="B95" s="3" t="s">
        <v>32</v>
      </c>
      <c r="C95" s="3" t="s">
        <v>117</v>
      </c>
      <c r="D95" s="3" t="s">
        <v>118</v>
      </c>
      <c r="E95" s="3" t="s">
        <v>33</v>
      </c>
      <c r="F95" s="3" t="s">
        <v>47</v>
      </c>
      <c r="G95" s="4">
        <v>45966</v>
      </c>
      <c r="H95" s="3" t="s">
        <v>250</v>
      </c>
      <c r="I95" s="3" t="s">
        <v>35</v>
      </c>
      <c r="J95" s="4">
        <v>45966</v>
      </c>
      <c r="K95" s="4">
        <v>45967</v>
      </c>
      <c r="L95" s="3" t="s">
        <v>36</v>
      </c>
      <c r="M95" s="40">
        <v>256779418821</v>
      </c>
      <c r="N95" s="3" t="s">
        <v>37</v>
      </c>
      <c r="O95" s="3" t="s">
        <v>38</v>
      </c>
      <c r="P95" s="3" t="s">
        <v>39</v>
      </c>
      <c r="Q95" s="3" t="s">
        <v>40</v>
      </c>
      <c r="R95" s="3" t="s">
        <v>41</v>
      </c>
      <c r="S95" s="5">
        <v>49.59</v>
      </c>
      <c r="T95" s="3" t="s">
        <v>42</v>
      </c>
      <c r="U95" s="5">
        <v>4364.09</v>
      </c>
      <c r="V95" s="3" t="s">
        <v>56</v>
      </c>
      <c r="W95" s="3" t="s">
        <v>48</v>
      </c>
      <c r="X95" s="3" t="s">
        <v>39</v>
      </c>
      <c r="Y95" s="3" t="s">
        <v>251</v>
      </c>
      <c r="Z95" s="3" t="s">
        <v>44</v>
      </c>
      <c r="AA95" s="41">
        <f t="shared" si="3"/>
        <v>49.59</v>
      </c>
      <c r="AB95" s="3" t="s">
        <v>105</v>
      </c>
      <c r="AC95" s="3" t="s">
        <v>39</v>
      </c>
      <c r="AD95" s="3" t="s">
        <v>39</v>
      </c>
      <c r="AE95" s="3" t="s">
        <v>39</v>
      </c>
      <c r="AF95" s="4">
        <v>45966</v>
      </c>
      <c r="AG95" s="4"/>
      <c r="AH95" s="3" t="s">
        <v>39</v>
      </c>
    </row>
    <row r="96" spans="1:34" outlineLevel="2" x14ac:dyDescent="0.35">
      <c r="A96" s="3" t="s">
        <v>121</v>
      </c>
      <c r="B96" s="3" t="s">
        <v>32</v>
      </c>
      <c r="C96" s="3" t="s">
        <v>117</v>
      </c>
      <c r="D96" s="3" t="s">
        <v>118</v>
      </c>
      <c r="E96" s="3" t="s">
        <v>33</v>
      </c>
      <c r="F96" s="3" t="s">
        <v>47</v>
      </c>
      <c r="G96" s="4">
        <v>45966</v>
      </c>
      <c r="H96" s="3" t="s">
        <v>252</v>
      </c>
      <c r="I96" s="3" t="s">
        <v>35</v>
      </c>
      <c r="J96" s="4">
        <v>45966</v>
      </c>
      <c r="K96" s="4">
        <v>45967</v>
      </c>
      <c r="L96" s="3" t="s">
        <v>36</v>
      </c>
      <c r="M96" s="40">
        <v>256779418827</v>
      </c>
      <c r="N96" s="3" t="s">
        <v>37</v>
      </c>
      <c r="O96" s="3" t="s">
        <v>38</v>
      </c>
      <c r="P96" s="3" t="s">
        <v>39</v>
      </c>
      <c r="Q96" s="3" t="s">
        <v>40</v>
      </c>
      <c r="R96" s="3" t="s">
        <v>41</v>
      </c>
      <c r="S96" s="5">
        <v>60.86</v>
      </c>
      <c r="T96" s="3" t="s">
        <v>42</v>
      </c>
      <c r="U96" s="5">
        <v>5355.89</v>
      </c>
      <c r="V96" s="3" t="s">
        <v>56</v>
      </c>
      <c r="W96" s="3" t="s">
        <v>48</v>
      </c>
      <c r="X96" s="3" t="s">
        <v>39</v>
      </c>
      <c r="Y96" s="3" t="s">
        <v>251</v>
      </c>
      <c r="Z96" s="3" t="s">
        <v>44</v>
      </c>
      <c r="AA96" s="41">
        <f t="shared" si="3"/>
        <v>60.86</v>
      </c>
      <c r="AB96" s="3" t="s">
        <v>106</v>
      </c>
      <c r="AC96" s="3" t="s">
        <v>39</v>
      </c>
      <c r="AD96" s="3" t="s">
        <v>39</v>
      </c>
      <c r="AE96" s="3" t="s">
        <v>39</v>
      </c>
      <c r="AF96" s="4">
        <v>45966</v>
      </c>
      <c r="AG96" s="4"/>
      <c r="AH96" s="3" t="s">
        <v>39</v>
      </c>
    </row>
    <row r="97" spans="1:34" outlineLevel="2" x14ac:dyDescent="0.35">
      <c r="A97" s="3" t="s">
        <v>121</v>
      </c>
      <c r="B97" s="3" t="s">
        <v>32</v>
      </c>
      <c r="C97" s="3" t="s">
        <v>117</v>
      </c>
      <c r="D97" s="3" t="s">
        <v>118</v>
      </c>
      <c r="E97" s="3" t="s">
        <v>33</v>
      </c>
      <c r="F97" s="3" t="s">
        <v>47</v>
      </c>
      <c r="G97" s="4">
        <v>45966</v>
      </c>
      <c r="H97" s="3" t="s">
        <v>253</v>
      </c>
      <c r="I97" s="3" t="s">
        <v>35</v>
      </c>
      <c r="J97" s="4">
        <v>45966</v>
      </c>
      <c r="K97" s="4">
        <v>45967</v>
      </c>
      <c r="L97" s="3" t="s">
        <v>36</v>
      </c>
      <c r="M97" s="40">
        <v>256779418870</v>
      </c>
      <c r="N97" s="3" t="s">
        <v>37</v>
      </c>
      <c r="O97" s="3" t="s">
        <v>38</v>
      </c>
      <c r="P97" s="3" t="s">
        <v>39</v>
      </c>
      <c r="Q97" s="3" t="s">
        <v>40</v>
      </c>
      <c r="R97" s="3" t="s">
        <v>41</v>
      </c>
      <c r="S97" s="5">
        <v>493.91</v>
      </c>
      <c r="T97" s="3" t="s">
        <v>42</v>
      </c>
      <c r="U97" s="5">
        <v>43465.75</v>
      </c>
      <c r="V97" s="3" t="s">
        <v>56</v>
      </c>
      <c r="W97" s="3" t="s">
        <v>48</v>
      </c>
      <c r="X97" s="3" t="s">
        <v>39</v>
      </c>
      <c r="Y97" s="3" t="s">
        <v>254</v>
      </c>
      <c r="Z97" s="3" t="s">
        <v>44</v>
      </c>
      <c r="AA97" s="41">
        <f t="shared" si="3"/>
        <v>493.91</v>
      </c>
      <c r="AB97" s="3" t="s">
        <v>255</v>
      </c>
      <c r="AC97" s="3" t="s">
        <v>39</v>
      </c>
      <c r="AD97" s="3" t="s">
        <v>39</v>
      </c>
      <c r="AE97" s="3" t="s">
        <v>39</v>
      </c>
      <c r="AF97" s="4">
        <v>45966</v>
      </c>
      <c r="AG97" s="4"/>
      <c r="AH97" s="3" t="s">
        <v>39</v>
      </c>
    </row>
    <row r="98" spans="1:34" outlineLevel="2" x14ac:dyDescent="0.35">
      <c r="A98" s="3" t="s">
        <v>121</v>
      </c>
      <c r="B98" s="3" t="s">
        <v>32</v>
      </c>
      <c r="C98" s="3" t="s">
        <v>117</v>
      </c>
      <c r="D98" s="3" t="s">
        <v>118</v>
      </c>
      <c r="E98" s="3" t="s">
        <v>33</v>
      </c>
      <c r="F98" s="3" t="s">
        <v>47</v>
      </c>
      <c r="G98" s="4">
        <v>45966</v>
      </c>
      <c r="H98" s="3" t="s">
        <v>256</v>
      </c>
      <c r="I98" s="3" t="s">
        <v>35</v>
      </c>
      <c r="J98" s="4">
        <v>45966</v>
      </c>
      <c r="K98" s="4">
        <v>45967</v>
      </c>
      <c r="L98" s="3" t="s">
        <v>36</v>
      </c>
      <c r="M98" s="40">
        <v>256779418945</v>
      </c>
      <c r="N98" s="3" t="s">
        <v>37</v>
      </c>
      <c r="O98" s="3" t="s">
        <v>38</v>
      </c>
      <c r="P98" s="3" t="s">
        <v>39</v>
      </c>
      <c r="Q98" s="3" t="s">
        <v>40</v>
      </c>
      <c r="R98" s="3" t="s">
        <v>41</v>
      </c>
      <c r="S98" s="5">
        <v>293.04000000000002</v>
      </c>
      <c r="T98" s="3" t="s">
        <v>42</v>
      </c>
      <c r="U98" s="5">
        <v>25788.51</v>
      </c>
      <c r="V98" s="3" t="s">
        <v>56</v>
      </c>
      <c r="W98" s="3" t="s">
        <v>48</v>
      </c>
      <c r="X98" s="3" t="s">
        <v>39</v>
      </c>
      <c r="Y98" s="3" t="s">
        <v>36</v>
      </c>
      <c r="Z98" s="3" t="s">
        <v>44</v>
      </c>
      <c r="AA98" s="41">
        <f t="shared" si="3"/>
        <v>293.04000000000002</v>
      </c>
      <c r="AB98" s="3" t="s">
        <v>257</v>
      </c>
      <c r="AC98" s="3" t="s">
        <v>39</v>
      </c>
      <c r="AD98" s="3" t="s">
        <v>39</v>
      </c>
      <c r="AE98" s="3" t="s">
        <v>39</v>
      </c>
      <c r="AF98" s="4">
        <v>45966</v>
      </c>
      <c r="AG98" s="4"/>
      <c r="AH98" s="3" t="s">
        <v>39</v>
      </c>
    </row>
    <row r="99" spans="1:34" outlineLevel="2" x14ac:dyDescent="0.35">
      <c r="A99" s="3" t="s">
        <v>121</v>
      </c>
      <c r="B99" s="3" t="s">
        <v>32</v>
      </c>
      <c r="C99" s="3" t="s">
        <v>117</v>
      </c>
      <c r="D99" s="3" t="s">
        <v>118</v>
      </c>
      <c r="E99" s="3" t="s">
        <v>33</v>
      </c>
      <c r="F99" s="3" t="s">
        <v>47</v>
      </c>
      <c r="G99" s="4">
        <v>45966</v>
      </c>
      <c r="H99" s="3" t="s">
        <v>258</v>
      </c>
      <c r="I99" s="3" t="s">
        <v>35</v>
      </c>
      <c r="J99" s="4">
        <v>45966</v>
      </c>
      <c r="K99" s="4">
        <v>45967</v>
      </c>
      <c r="L99" s="3" t="s">
        <v>36</v>
      </c>
      <c r="M99" s="40">
        <v>256779418946</v>
      </c>
      <c r="N99" s="3" t="s">
        <v>37</v>
      </c>
      <c r="O99" s="3" t="s">
        <v>38</v>
      </c>
      <c r="P99" s="3" t="s">
        <v>39</v>
      </c>
      <c r="Q99" s="3" t="s">
        <v>40</v>
      </c>
      <c r="R99" s="3" t="s">
        <v>41</v>
      </c>
      <c r="S99" s="5">
        <v>293.04000000000002</v>
      </c>
      <c r="T99" s="3" t="s">
        <v>42</v>
      </c>
      <c r="U99" s="5">
        <v>25788.51</v>
      </c>
      <c r="V99" s="3" t="s">
        <v>56</v>
      </c>
      <c r="W99" s="3" t="s">
        <v>48</v>
      </c>
      <c r="X99" s="3" t="s">
        <v>39</v>
      </c>
      <c r="Y99" s="3" t="s">
        <v>36</v>
      </c>
      <c r="Z99" s="3" t="s">
        <v>44</v>
      </c>
      <c r="AA99" s="41">
        <f t="shared" si="3"/>
        <v>293.04000000000002</v>
      </c>
      <c r="AB99" s="3" t="s">
        <v>259</v>
      </c>
      <c r="AC99" s="3" t="s">
        <v>39</v>
      </c>
      <c r="AD99" s="3" t="s">
        <v>39</v>
      </c>
      <c r="AE99" s="3" t="s">
        <v>39</v>
      </c>
      <c r="AF99" s="4">
        <v>45966</v>
      </c>
      <c r="AG99" s="4"/>
      <c r="AH99" s="3" t="s">
        <v>39</v>
      </c>
    </row>
    <row r="100" spans="1:34" outlineLevel="2" x14ac:dyDescent="0.35">
      <c r="A100" s="3" t="s">
        <v>121</v>
      </c>
      <c r="B100" s="3" t="s">
        <v>32</v>
      </c>
      <c r="C100" s="3" t="s">
        <v>117</v>
      </c>
      <c r="D100" s="3" t="s">
        <v>118</v>
      </c>
      <c r="E100" s="3" t="s">
        <v>33</v>
      </c>
      <c r="F100" s="3" t="s">
        <v>47</v>
      </c>
      <c r="G100" s="4">
        <v>45966</v>
      </c>
      <c r="H100" s="3" t="s">
        <v>260</v>
      </c>
      <c r="I100" s="3" t="s">
        <v>35</v>
      </c>
      <c r="J100" s="4">
        <v>45966</v>
      </c>
      <c r="K100" s="4">
        <v>45967</v>
      </c>
      <c r="L100" s="3" t="s">
        <v>36</v>
      </c>
      <c r="M100" s="40">
        <v>256779418947</v>
      </c>
      <c r="N100" s="3" t="s">
        <v>37</v>
      </c>
      <c r="O100" s="3" t="s">
        <v>38</v>
      </c>
      <c r="P100" s="3" t="s">
        <v>39</v>
      </c>
      <c r="Q100" s="3" t="s">
        <v>40</v>
      </c>
      <c r="R100" s="3" t="s">
        <v>41</v>
      </c>
      <c r="S100" s="5">
        <v>293.04000000000002</v>
      </c>
      <c r="T100" s="3" t="s">
        <v>42</v>
      </c>
      <c r="U100" s="5">
        <v>25788.51</v>
      </c>
      <c r="V100" s="3" t="s">
        <v>56</v>
      </c>
      <c r="W100" s="3" t="s">
        <v>48</v>
      </c>
      <c r="X100" s="3" t="s">
        <v>39</v>
      </c>
      <c r="Y100" s="3" t="s">
        <v>36</v>
      </c>
      <c r="Z100" s="3" t="s">
        <v>44</v>
      </c>
      <c r="AA100" s="41">
        <f t="shared" si="3"/>
        <v>293.04000000000002</v>
      </c>
      <c r="AB100" s="3" t="s">
        <v>261</v>
      </c>
      <c r="AC100" s="3" t="s">
        <v>39</v>
      </c>
      <c r="AD100" s="3" t="s">
        <v>39</v>
      </c>
      <c r="AE100" s="3" t="s">
        <v>39</v>
      </c>
      <c r="AF100" s="4">
        <v>45966</v>
      </c>
      <c r="AG100" s="4"/>
      <c r="AH100" s="3" t="s">
        <v>39</v>
      </c>
    </row>
    <row r="101" spans="1:34" outlineLevel="2" x14ac:dyDescent="0.35">
      <c r="A101" s="3" t="s">
        <v>121</v>
      </c>
      <c r="B101" s="3" t="s">
        <v>32</v>
      </c>
      <c r="C101" s="3" t="s">
        <v>117</v>
      </c>
      <c r="D101" s="3" t="s">
        <v>118</v>
      </c>
      <c r="E101" s="3" t="s">
        <v>33</v>
      </c>
      <c r="F101" s="3" t="s">
        <v>47</v>
      </c>
      <c r="G101" s="4">
        <v>45966</v>
      </c>
      <c r="H101" s="3" t="s">
        <v>262</v>
      </c>
      <c r="I101" s="3" t="s">
        <v>35</v>
      </c>
      <c r="J101" s="4">
        <v>45966</v>
      </c>
      <c r="K101" s="4">
        <v>45967</v>
      </c>
      <c r="L101" s="3" t="s">
        <v>36</v>
      </c>
      <c r="M101" s="40">
        <v>256779419178</v>
      </c>
      <c r="N101" s="3" t="s">
        <v>37</v>
      </c>
      <c r="O101" s="3" t="s">
        <v>38</v>
      </c>
      <c r="P101" s="3" t="s">
        <v>39</v>
      </c>
      <c r="Q101" s="3" t="s">
        <v>40</v>
      </c>
      <c r="R101" s="3" t="s">
        <v>41</v>
      </c>
      <c r="S101" s="5">
        <v>2.25</v>
      </c>
      <c r="T101" s="3" t="s">
        <v>42</v>
      </c>
      <c r="U101" s="5">
        <v>198.01</v>
      </c>
      <c r="V101" s="3" t="s">
        <v>56</v>
      </c>
      <c r="W101" s="3" t="s">
        <v>48</v>
      </c>
      <c r="X101" s="3" t="s">
        <v>39</v>
      </c>
      <c r="Y101" s="3" t="s">
        <v>107</v>
      </c>
      <c r="Z101" s="3" t="s">
        <v>44</v>
      </c>
      <c r="AA101" s="41">
        <f t="shared" si="3"/>
        <v>2.25</v>
      </c>
      <c r="AB101" s="3" t="s">
        <v>108</v>
      </c>
      <c r="AC101" s="3" t="s">
        <v>39</v>
      </c>
      <c r="AD101" s="3" t="s">
        <v>39</v>
      </c>
      <c r="AE101" s="3" t="s">
        <v>39</v>
      </c>
      <c r="AF101" s="4">
        <v>45966</v>
      </c>
      <c r="AG101" s="4"/>
      <c r="AH101" s="3" t="s">
        <v>39</v>
      </c>
    </row>
    <row r="102" spans="1:34" outlineLevel="2" x14ac:dyDescent="0.35">
      <c r="A102" s="3" t="s">
        <v>121</v>
      </c>
      <c r="B102" s="3" t="s">
        <v>32</v>
      </c>
      <c r="C102" s="3" t="s">
        <v>117</v>
      </c>
      <c r="D102" s="3" t="s">
        <v>118</v>
      </c>
      <c r="E102" s="3" t="s">
        <v>33</v>
      </c>
      <c r="F102" s="3" t="s">
        <v>47</v>
      </c>
      <c r="G102" s="4">
        <v>45966</v>
      </c>
      <c r="H102" s="3" t="s">
        <v>263</v>
      </c>
      <c r="I102" s="3" t="s">
        <v>35</v>
      </c>
      <c r="J102" s="4">
        <v>45966</v>
      </c>
      <c r="K102" s="4">
        <v>45967</v>
      </c>
      <c r="L102" s="3" t="s">
        <v>36</v>
      </c>
      <c r="M102" s="40">
        <v>256779419202</v>
      </c>
      <c r="N102" s="3" t="s">
        <v>37</v>
      </c>
      <c r="O102" s="3" t="s">
        <v>38</v>
      </c>
      <c r="P102" s="3" t="s">
        <v>39</v>
      </c>
      <c r="Q102" s="3" t="s">
        <v>40</v>
      </c>
      <c r="R102" s="3" t="s">
        <v>41</v>
      </c>
      <c r="S102" s="5">
        <v>62.66</v>
      </c>
      <c r="T102" s="3" t="s">
        <v>42</v>
      </c>
      <c r="U102" s="5">
        <v>5514.29</v>
      </c>
      <c r="V102" s="3" t="s">
        <v>56</v>
      </c>
      <c r="W102" s="3" t="s">
        <v>48</v>
      </c>
      <c r="X102" s="3" t="s">
        <v>39</v>
      </c>
      <c r="Y102" s="3" t="s">
        <v>109</v>
      </c>
      <c r="Z102" s="3" t="s">
        <v>44</v>
      </c>
      <c r="AA102" s="41">
        <f t="shared" si="3"/>
        <v>62.66</v>
      </c>
      <c r="AB102" s="3" t="s">
        <v>110</v>
      </c>
      <c r="AC102" s="3" t="s">
        <v>39</v>
      </c>
      <c r="AD102" s="3" t="s">
        <v>39</v>
      </c>
      <c r="AE102" s="3" t="s">
        <v>39</v>
      </c>
      <c r="AF102" s="4">
        <v>45966</v>
      </c>
      <c r="AG102" s="4"/>
      <c r="AH102" s="3" t="s">
        <v>39</v>
      </c>
    </row>
    <row r="103" spans="1:34" outlineLevel="2" x14ac:dyDescent="0.35">
      <c r="A103" s="3" t="s">
        <v>121</v>
      </c>
      <c r="B103" s="3" t="s">
        <v>32</v>
      </c>
      <c r="C103" s="3" t="s">
        <v>117</v>
      </c>
      <c r="D103" s="3" t="s">
        <v>118</v>
      </c>
      <c r="E103" s="3" t="s">
        <v>33</v>
      </c>
      <c r="F103" s="3" t="s">
        <v>47</v>
      </c>
      <c r="G103" s="4">
        <v>45964</v>
      </c>
      <c r="H103" s="3" t="s">
        <v>264</v>
      </c>
      <c r="I103" s="3" t="s">
        <v>35</v>
      </c>
      <c r="J103" s="4">
        <v>45964</v>
      </c>
      <c r="K103" s="4">
        <v>45967</v>
      </c>
      <c r="L103" s="3" t="s">
        <v>36</v>
      </c>
      <c r="M103" s="40">
        <v>256779419134</v>
      </c>
      <c r="N103" s="3" t="s">
        <v>37</v>
      </c>
      <c r="O103" s="3" t="s">
        <v>38</v>
      </c>
      <c r="P103" s="3" t="s">
        <v>39</v>
      </c>
      <c r="Q103" s="3" t="s">
        <v>40</v>
      </c>
      <c r="R103" s="3" t="s">
        <v>41</v>
      </c>
      <c r="S103" s="5">
        <v>21.75</v>
      </c>
      <c r="T103" s="3" t="s">
        <v>42</v>
      </c>
      <c r="U103" s="5">
        <v>1914.07</v>
      </c>
      <c r="V103" s="3" t="s">
        <v>56</v>
      </c>
      <c r="W103" s="3" t="s">
        <v>48</v>
      </c>
      <c r="X103" s="3" t="s">
        <v>39</v>
      </c>
      <c r="Y103" s="3" t="s">
        <v>111</v>
      </c>
      <c r="Z103" s="3" t="s">
        <v>44</v>
      </c>
      <c r="AA103" s="41">
        <f t="shared" si="3"/>
        <v>21.75</v>
      </c>
      <c r="AB103" s="3" t="s">
        <v>265</v>
      </c>
      <c r="AC103" s="3" t="s">
        <v>39</v>
      </c>
      <c r="AD103" s="3" t="s">
        <v>39</v>
      </c>
      <c r="AE103" s="3" t="s">
        <v>39</v>
      </c>
      <c r="AF103" s="4">
        <v>45964</v>
      </c>
      <c r="AG103" s="4"/>
      <c r="AH103" s="3" t="s">
        <v>39</v>
      </c>
    </row>
    <row r="104" spans="1:34" outlineLevel="2" x14ac:dyDescent="0.35">
      <c r="A104" s="3" t="s">
        <v>121</v>
      </c>
      <c r="B104" s="3" t="s">
        <v>32</v>
      </c>
      <c r="C104" s="3" t="s">
        <v>117</v>
      </c>
      <c r="D104" s="3" t="s">
        <v>118</v>
      </c>
      <c r="E104" s="3" t="s">
        <v>33</v>
      </c>
      <c r="F104" s="3" t="s">
        <v>59</v>
      </c>
      <c r="G104" s="4">
        <v>45877</v>
      </c>
      <c r="H104" s="3" t="s">
        <v>266</v>
      </c>
      <c r="I104" s="3" t="s">
        <v>35</v>
      </c>
      <c r="J104" s="4">
        <v>45877</v>
      </c>
      <c r="K104" s="4">
        <v>45877</v>
      </c>
      <c r="L104" s="3" t="s">
        <v>36</v>
      </c>
      <c r="M104" s="40">
        <v>256779416082</v>
      </c>
      <c r="N104" s="3" t="s">
        <v>37</v>
      </c>
      <c r="O104" s="3" t="s">
        <v>38</v>
      </c>
      <c r="P104" s="3" t="s">
        <v>39</v>
      </c>
      <c r="Q104" s="3" t="s">
        <v>40</v>
      </c>
      <c r="R104" s="3" t="s">
        <v>41</v>
      </c>
      <c r="S104" s="5">
        <v>759.67</v>
      </c>
      <c r="T104" s="3" t="s">
        <v>42</v>
      </c>
      <c r="U104" s="5">
        <v>65354.5</v>
      </c>
      <c r="V104" s="3" t="s">
        <v>56</v>
      </c>
      <c r="W104" s="3" t="s">
        <v>48</v>
      </c>
      <c r="X104" s="3" t="s">
        <v>39</v>
      </c>
      <c r="Y104" s="3" t="s">
        <v>36</v>
      </c>
      <c r="Z104" s="3" t="s">
        <v>44</v>
      </c>
      <c r="AA104" s="41">
        <f t="shared" si="3"/>
        <v>759.67</v>
      </c>
      <c r="AB104" s="3" t="s">
        <v>267</v>
      </c>
      <c r="AC104" s="3" t="s">
        <v>39</v>
      </c>
      <c r="AD104" s="3" t="s">
        <v>39</v>
      </c>
      <c r="AE104" s="3" t="s">
        <v>39</v>
      </c>
      <c r="AF104" s="4">
        <v>45877</v>
      </c>
      <c r="AG104" s="4"/>
      <c r="AH104" s="3" t="s">
        <v>39</v>
      </c>
    </row>
    <row r="105" spans="1:34" outlineLevel="2" x14ac:dyDescent="0.35">
      <c r="A105" s="3" t="s">
        <v>121</v>
      </c>
      <c r="B105" s="3" t="s">
        <v>32</v>
      </c>
      <c r="C105" s="3" t="s">
        <v>117</v>
      </c>
      <c r="D105" s="3" t="s">
        <v>118</v>
      </c>
      <c r="E105" s="3" t="s">
        <v>33</v>
      </c>
      <c r="F105" s="3" t="s">
        <v>59</v>
      </c>
      <c r="G105" s="4">
        <v>45877</v>
      </c>
      <c r="H105" s="3" t="s">
        <v>268</v>
      </c>
      <c r="I105" s="3" t="s">
        <v>35</v>
      </c>
      <c r="J105" s="4">
        <v>45877</v>
      </c>
      <c r="K105" s="4">
        <v>45877</v>
      </c>
      <c r="L105" s="3" t="s">
        <v>36</v>
      </c>
      <c r="M105" s="40">
        <v>256779416182</v>
      </c>
      <c r="N105" s="3" t="s">
        <v>37</v>
      </c>
      <c r="O105" s="3" t="s">
        <v>38</v>
      </c>
      <c r="P105" s="3" t="s">
        <v>39</v>
      </c>
      <c r="Q105" s="3" t="s">
        <v>40</v>
      </c>
      <c r="R105" s="3" t="s">
        <v>41</v>
      </c>
      <c r="S105" s="5">
        <v>18</v>
      </c>
      <c r="T105" s="3" t="s">
        <v>42</v>
      </c>
      <c r="U105" s="5">
        <v>1548.54</v>
      </c>
      <c r="V105" s="3" t="s">
        <v>56</v>
      </c>
      <c r="W105" s="3" t="s">
        <v>48</v>
      </c>
      <c r="X105" s="3" t="s">
        <v>39</v>
      </c>
      <c r="Y105" s="3" t="s">
        <v>36</v>
      </c>
      <c r="Z105" s="3" t="s">
        <v>44</v>
      </c>
      <c r="AA105" s="41">
        <f t="shared" si="3"/>
        <v>18</v>
      </c>
      <c r="AB105" s="3" t="s">
        <v>269</v>
      </c>
      <c r="AC105" s="3" t="s">
        <v>39</v>
      </c>
      <c r="AD105" s="3" t="s">
        <v>39</v>
      </c>
      <c r="AE105" s="3" t="s">
        <v>39</v>
      </c>
      <c r="AF105" s="4">
        <v>45877</v>
      </c>
      <c r="AG105" s="4"/>
      <c r="AH105" s="3" t="s">
        <v>39</v>
      </c>
    </row>
    <row r="106" spans="1:34" outlineLevel="2" x14ac:dyDescent="0.35">
      <c r="A106" s="3" t="s">
        <v>121</v>
      </c>
      <c r="B106" s="3" t="s">
        <v>32</v>
      </c>
      <c r="C106" s="3" t="s">
        <v>117</v>
      </c>
      <c r="D106" s="3" t="s">
        <v>118</v>
      </c>
      <c r="E106" s="3" t="s">
        <v>33</v>
      </c>
      <c r="F106" s="3" t="s">
        <v>59</v>
      </c>
      <c r="G106" s="4">
        <v>45877</v>
      </c>
      <c r="H106" s="3" t="s">
        <v>270</v>
      </c>
      <c r="I106" s="3" t="s">
        <v>35</v>
      </c>
      <c r="J106" s="4">
        <v>45877</v>
      </c>
      <c r="K106" s="4">
        <v>45877</v>
      </c>
      <c r="L106" s="3" t="s">
        <v>36</v>
      </c>
      <c r="M106" s="40">
        <v>256779416228</v>
      </c>
      <c r="N106" s="3" t="s">
        <v>37</v>
      </c>
      <c r="O106" s="3" t="s">
        <v>38</v>
      </c>
      <c r="P106" s="3" t="s">
        <v>39</v>
      </c>
      <c r="Q106" s="3" t="s">
        <v>40</v>
      </c>
      <c r="R106" s="3" t="s">
        <v>41</v>
      </c>
      <c r="S106" s="5">
        <v>3</v>
      </c>
      <c r="T106" s="3" t="s">
        <v>42</v>
      </c>
      <c r="U106" s="5">
        <v>258.08999999999997</v>
      </c>
      <c r="V106" s="3" t="s">
        <v>56</v>
      </c>
      <c r="W106" s="3" t="s">
        <v>48</v>
      </c>
      <c r="X106" s="3" t="s">
        <v>39</v>
      </c>
      <c r="Y106" s="3" t="s">
        <v>36</v>
      </c>
      <c r="Z106" s="3" t="s">
        <v>44</v>
      </c>
      <c r="AA106" s="41">
        <f t="shared" si="3"/>
        <v>3</v>
      </c>
      <c r="AB106" s="3" t="s">
        <v>113</v>
      </c>
      <c r="AC106" s="3" t="s">
        <v>39</v>
      </c>
      <c r="AD106" s="3" t="s">
        <v>39</v>
      </c>
      <c r="AE106" s="3" t="s">
        <v>39</v>
      </c>
      <c r="AF106" s="4">
        <v>45877</v>
      </c>
      <c r="AG106" s="4"/>
      <c r="AH106" s="3" t="s">
        <v>39</v>
      </c>
    </row>
    <row r="107" spans="1:34" outlineLevel="2" x14ac:dyDescent="0.35">
      <c r="A107" s="3" t="s">
        <v>121</v>
      </c>
      <c r="B107" s="3" t="s">
        <v>32</v>
      </c>
      <c r="C107" s="3" t="s">
        <v>117</v>
      </c>
      <c r="D107" s="3" t="s">
        <v>118</v>
      </c>
      <c r="E107" s="3" t="s">
        <v>33</v>
      </c>
      <c r="F107" s="3" t="s">
        <v>59</v>
      </c>
      <c r="G107" s="4">
        <v>45877</v>
      </c>
      <c r="H107" s="3" t="s">
        <v>271</v>
      </c>
      <c r="I107" s="3" t="s">
        <v>35</v>
      </c>
      <c r="J107" s="4">
        <v>45877</v>
      </c>
      <c r="K107" s="4">
        <v>45877</v>
      </c>
      <c r="L107" s="3" t="s">
        <v>36</v>
      </c>
      <c r="M107" s="40">
        <v>256779416246</v>
      </c>
      <c r="N107" s="3" t="s">
        <v>37</v>
      </c>
      <c r="O107" s="3" t="s">
        <v>38</v>
      </c>
      <c r="P107" s="3" t="s">
        <v>39</v>
      </c>
      <c r="Q107" s="3" t="s">
        <v>40</v>
      </c>
      <c r="R107" s="3" t="s">
        <v>41</v>
      </c>
      <c r="S107" s="5">
        <v>70.95</v>
      </c>
      <c r="T107" s="3" t="s">
        <v>42</v>
      </c>
      <c r="U107" s="5">
        <v>6103.84</v>
      </c>
      <c r="V107" s="3" t="s">
        <v>56</v>
      </c>
      <c r="W107" s="3" t="s">
        <v>48</v>
      </c>
      <c r="X107" s="3" t="s">
        <v>39</v>
      </c>
      <c r="Y107" s="3" t="s">
        <v>36</v>
      </c>
      <c r="Z107" s="3" t="s">
        <v>44</v>
      </c>
      <c r="AA107" s="41">
        <f t="shared" si="3"/>
        <v>70.95</v>
      </c>
      <c r="AB107" s="3" t="s">
        <v>272</v>
      </c>
      <c r="AC107" s="3" t="s">
        <v>39</v>
      </c>
      <c r="AD107" s="3" t="s">
        <v>39</v>
      </c>
      <c r="AE107" s="3" t="s">
        <v>39</v>
      </c>
      <c r="AF107" s="4">
        <v>45877</v>
      </c>
      <c r="AG107" s="4"/>
      <c r="AH107" s="3" t="s">
        <v>39</v>
      </c>
    </row>
    <row r="108" spans="1:34" outlineLevel="2" x14ac:dyDescent="0.35">
      <c r="A108" s="3" t="s">
        <v>121</v>
      </c>
      <c r="B108" s="3" t="s">
        <v>32</v>
      </c>
      <c r="C108" s="3" t="s">
        <v>117</v>
      </c>
      <c r="D108" s="3" t="s">
        <v>118</v>
      </c>
      <c r="E108" s="3" t="s">
        <v>33</v>
      </c>
      <c r="F108" s="3" t="s">
        <v>59</v>
      </c>
      <c r="G108" s="4">
        <v>45877</v>
      </c>
      <c r="H108" s="3" t="s">
        <v>273</v>
      </c>
      <c r="I108" s="3" t="s">
        <v>35</v>
      </c>
      <c r="J108" s="4">
        <v>45877</v>
      </c>
      <c r="K108" s="4">
        <v>45877</v>
      </c>
      <c r="L108" s="3" t="s">
        <v>36</v>
      </c>
      <c r="M108" s="40">
        <v>256779416257</v>
      </c>
      <c r="N108" s="3" t="s">
        <v>37</v>
      </c>
      <c r="O108" s="3" t="s">
        <v>38</v>
      </c>
      <c r="P108" s="3" t="s">
        <v>39</v>
      </c>
      <c r="Q108" s="3" t="s">
        <v>40</v>
      </c>
      <c r="R108" s="3" t="s">
        <v>41</v>
      </c>
      <c r="S108" s="5">
        <v>22.87</v>
      </c>
      <c r="T108" s="3" t="s">
        <v>42</v>
      </c>
      <c r="U108" s="5">
        <v>1967.51</v>
      </c>
      <c r="V108" s="3" t="s">
        <v>56</v>
      </c>
      <c r="W108" s="3" t="s">
        <v>48</v>
      </c>
      <c r="X108" s="3" t="s">
        <v>39</v>
      </c>
      <c r="Y108" s="3" t="s">
        <v>36</v>
      </c>
      <c r="Z108" s="3" t="s">
        <v>44</v>
      </c>
      <c r="AA108" s="41">
        <f t="shared" si="3"/>
        <v>22.87</v>
      </c>
      <c r="AB108" s="3" t="s">
        <v>114</v>
      </c>
      <c r="AC108" s="3" t="s">
        <v>39</v>
      </c>
      <c r="AD108" s="3" t="s">
        <v>39</v>
      </c>
      <c r="AE108" s="3" t="s">
        <v>39</v>
      </c>
      <c r="AF108" s="4">
        <v>45877</v>
      </c>
      <c r="AG108" s="4"/>
      <c r="AH108" s="3" t="s">
        <v>39</v>
      </c>
    </row>
    <row r="109" spans="1:34" outlineLevel="2" x14ac:dyDescent="0.35">
      <c r="A109" s="3" t="s">
        <v>121</v>
      </c>
      <c r="B109" s="3" t="s">
        <v>32</v>
      </c>
      <c r="C109" s="3" t="s">
        <v>117</v>
      </c>
      <c r="D109" s="3" t="s">
        <v>118</v>
      </c>
      <c r="E109" s="3" t="s">
        <v>33</v>
      </c>
      <c r="F109" s="3" t="s">
        <v>59</v>
      </c>
      <c r="G109" s="4">
        <v>45877</v>
      </c>
      <c r="H109" s="3" t="s">
        <v>274</v>
      </c>
      <c r="I109" s="3" t="s">
        <v>35</v>
      </c>
      <c r="J109" s="4">
        <v>45877</v>
      </c>
      <c r="K109" s="4">
        <v>45877</v>
      </c>
      <c r="L109" s="3" t="s">
        <v>36</v>
      </c>
      <c r="M109" s="40">
        <v>256779416446</v>
      </c>
      <c r="N109" s="3" t="s">
        <v>37</v>
      </c>
      <c r="O109" s="3" t="s">
        <v>38</v>
      </c>
      <c r="P109" s="3" t="s">
        <v>39</v>
      </c>
      <c r="Q109" s="3" t="s">
        <v>40</v>
      </c>
      <c r="R109" s="3" t="s">
        <v>41</v>
      </c>
      <c r="S109" s="5">
        <v>2.2799999999999998</v>
      </c>
      <c r="T109" s="3" t="s">
        <v>42</v>
      </c>
      <c r="U109" s="5">
        <v>196.15</v>
      </c>
      <c r="V109" s="3" t="s">
        <v>56</v>
      </c>
      <c r="W109" s="3" t="s">
        <v>48</v>
      </c>
      <c r="X109" s="3" t="s">
        <v>39</v>
      </c>
      <c r="Y109" s="3" t="s">
        <v>36</v>
      </c>
      <c r="Z109" s="3" t="s">
        <v>44</v>
      </c>
      <c r="AA109" s="41">
        <f t="shared" si="3"/>
        <v>2.2799999999999998</v>
      </c>
      <c r="AB109" s="3" t="s">
        <v>112</v>
      </c>
      <c r="AC109" s="3" t="s">
        <v>39</v>
      </c>
      <c r="AD109" s="3" t="s">
        <v>39</v>
      </c>
      <c r="AE109" s="3" t="s">
        <v>39</v>
      </c>
      <c r="AF109" s="4">
        <v>45877</v>
      </c>
      <c r="AG109" s="4"/>
      <c r="AH109" s="3" t="s">
        <v>39</v>
      </c>
    </row>
    <row r="110" spans="1:34" outlineLevel="2" x14ac:dyDescent="0.35">
      <c r="A110" s="3" t="s">
        <v>121</v>
      </c>
      <c r="B110" s="3" t="s">
        <v>32</v>
      </c>
      <c r="C110" s="3" t="s">
        <v>117</v>
      </c>
      <c r="D110" s="3" t="s">
        <v>118</v>
      </c>
      <c r="E110" s="3" t="s">
        <v>33</v>
      </c>
      <c r="F110" s="3" t="s">
        <v>34</v>
      </c>
      <c r="G110" s="4">
        <v>45812</v>
      </c>
      <c r="H110" s="3" t="s">
        <v>275</v>
      </c>
      <c r="I110" s="3" t="s">
        <v>35</v>
      </c>
      <c r="J110" s="4">
        <v>45812</v>
      </c>
      <c r="K110" s="4">
        <v>45817</v>
      </c>
      <c r="L110" s="3" t="s">
        <v>36</v>
      </c>
      <c r="M110" s="40">
        <v>256779414003</v>
      </c>
      <c r="N110" s="3" t="s">
        <v>37</v>
      </c>
      <c r="O110" s="3" t="s">
        <v>38</v>
      </c>
      <c r="P110" s="3" t="s">
        <v>39</v>
      </c>
      <c r="Q110" s="3" t="s">
        <v>40</v>
      </c>
      <c r="R110" s="3" t="s">
        <v>41</v>
      </c>
      <c r="S110" s="5">
        <v>807.39</v>
      </c>
      <c r="T110" s="3" t="s">
        <v>42</v>
      </c>
      <c r="U110" s="5">
        <v>69024.399999999994</v>
      </c>
      <c r="V110" s="3" t="s">
        <v>56</v>
      </c>
      <c r="W110" s="3" t="s">
        <v>48</v>
      </c>
      <c r="X110" s="3" t="s">
        <v>39</v>
      </c>
      <c r="Y110" s="3" t="s">
        <v>36</v>
      </c>
      <c r="Z110" s="3" t="s">
        <v>44</v>
      </c>
      <c r="AA110" s="41">
        <f t="shared" si="3"/>
        <v>807.39</v>
      </c>
      <c r="AB110" s="3" t="s">
        <v>276</v>
      </c>
      <c r="AC110" s="3" t="s">
        <v>39</v>
      </c>
      <c r="AD110" s="3" t="s">
        <v>39</v>
      </c>
      <c r="AE110" s="3" t="s">
        <v>39</v>
      </c>
      <c r="AF110" s="4">
        <v>45812</v>
      </c>
      <c r="AG110" s="4"/>
      <c r="AH110" s="3" t="s">
        <v>39</v>
      </c>
    </row>
    <row r="111" spans="1:34" outlineLevel="2" x14ac:dyDescent="0.35">
      <c r="A111" s="3" t="s">
        <v>121</v>
      </c>
      <c r="B111" s="3" t="s">
        <v>32</v>
      </c>
      <c r="C111" s="3" t="s">
        <v>117</v>
      </c>
      <c r="D111" s="3" t="s">
        <v>118</v>
      </c>
      <c r="E111" s="3" t="s">
        <v>33</v>
      </c>
      <c r="F111" s="3" t="s">
        <v>34</v>
      </c>
      <c r="G111" s="4">
        <v>45812</v>
      </c>
      <c r="H111" s="3" t="s">
        <v>277</v>
      </c>
      <c r="I111" s="3" t="s">
        <v>35</v>
      </c>
      <c r="J111" s="4">
        <v>45812</v>
      </c>
      <c r="K111" s="4">
        <v>45817</v>
      </c>
      <c r="L111" s="3" t="s">
        <v>36</v>
      </c>
      <c r="M111" s="40">
        <v>256779414004</v>
      </c>
      <c r="N111" s="3" t="s">
        <v>37</v>
      </c>
      <c r="O111" s="3" t="s">
        <v>38</v>
      </c>
      <c r="P111" s="3" t="s">
        <v>39</v>
      </c>
      <c r="Q111" s="3" t="s">
        <v>40</v>
      </c>
      <c r="R111" s="3" t="s">
        <v>41</v>
      </c>
      <c r="S111" s="5">
        <v>808.16</v>
      </c>
      <c r="T111" s="3" t="s">
        <v>42</v>
      </c>
      <c r="U111" s="5">
        <v>69090.23</v>
      </c>
      <c r="V111" s="3" t="s">
        <v>56</v>
      </c>
      <c r="W111" s="3" t="s">
        <v>48</v>
      </c>
      <c r="X111" s="3" t="s">
        <v>39</v>
      </c>
      <c r="Y111" s="3" t="s">
        <v>36</v>
      </c>
      <c r="Z111" s="3" t="s">
        <v>44</v>
      </c>
      <c r="AA111" s="41">
        <f t="shared" si="3"/>
        <v>808.16</v>
      </c>
      <c r="AB111" s="3" t="s">
        <v>278</v>
      </c>
      <c r="AC111" s="3" t="s">
        <v>39</v>
      </c>
      <c r="AD111" s="3" t="s">
        <v>39</v>
      </c>
      <c r="AE111" s="3" t="s">
        <v>39</v>
      </c>
      <c r="AF111" s="4">
        <v>45812</v>
      </c>
      <c r="AG111" s="4"/>
      <c r="AH111" s="3" t="s">
        <v>39</v>
      </c>
    </row>
    <row r="112" spans="1:34" outlineLevel="2" x14ac:dyDescent="0.35">
      <c r="A112" s="3" t="s">
        <v>121</v>
      </c>
      <c r="B112" s="3" t="s">
        <v>32</v>
      </c>
      <c r="C112" s="3" t="s">
        <v>117</v>
      </c>
      <c r="D112" s="3" t="s">
        <v>118</v>
      </c>
      <c r="E112" s="3" t="s">
        <v>33</v>
      </c>
      <c r="F112" s="3" t="s">
        <v>34</v>
      </c>
      <c r="G112" s="4">
        <v>45812</v>
      </c>
      <c r="H112" s="3" t="s">
        <v>279</v>
      </c>
      <c r="I112" s="3" t="s">
        <v>35</v>
      </c>
      <c r="J112" s="4">
        <v>45812</v>
      </c>
      <c r="K112" s="4">
        <v>45817</v>
      </c>
      <c r="L112" s="3" t="s">
        <v>36</v>
      </c>
      <c r="M112" s="40">
        <v>256779414005</v>
      </c>
      <c r="N112" s="3" t="s">
        <v>37</v>
      </c>
      <c r="O112" s="3" t="s">
        <v>38</v>
      </c>
      <c r="P112" s="3" t="s">
        <v>39</v>
      </c>
      <c r="Q112" s="3" t="s">
        <v>40</v>
      </c>
      <c r="R112" s="3" t="s">
        <v>41</v>
      </c>
      <c r="S112" s="5">
        <v>805.28</v>
      </c>
      <c r="T112" s="3" t="s">
        <v>42</v>
      </c>
      <c r="U112" s="5">
        <v>68844.02</v>
      </c>
      <c r="V112" s="3" t="s">
        <v>56</v>
      </c>
      <c r="W112" s="3" t="s">
        <v>48</v>
      </c>
      <c r="X112" s="3" t="s">
        <v>39</v>
      </c>
      <c r="Y112" s="3" t="s">
        <v>36</v>
      </c>
      <c r="Z112" s="3" t="s">
        <v>44</v>
      </c>
      <c r="AA112" s="41">
        <f t="shared" si="3"/>
        <v>805.28</v>
      </c>
      <c r="AB112" s="3" t="s">
        <v>280</v>
      </c>
      <c r="AC112" s="3" t="s">
        <v>39</v>
      </c>
      <c r="AD112" s="3" t="s">
        <v>39</v>
      </c>
      <c r="AE112" s="3" t="s">
        <v>39</v>
      </c>
      <c r="AF112" s="4">
        <v>45812</v>
      </c>
      <c r="AG112" s="4"/>
      <c r="AH112" s="3" t="s">
        <v>39</v>
      </c>
    </row>
    <row r="113" spans="1:34" outlineLevel="2" x14ac:dyDescent="0.35">
      <c r="A113" s="3" t="s">
        <v>121</v>
      </c>
      <c r="B113" s="3" t="s">
        <v>32</v>
      </c>
      <c r="C113" s="3" t="s">
        <v>117</v>
      </c>
      <c r="D113" s="3" t="s">
        <v>118</v>
      </c>
      <c r="E113" s="3" t="s">
        <v>33</v>
      </c>
      <c r="F113" s="3" t="s">
        <v>34</v>
      </c>
      <c r="G113" s="4">
        <v>45812</v>
      </c>
      <c r="H113" s="3" t="s">
        <v>281</v>
      </c>
      <c r="I113" s="3" t="s">
        <v>35</v>
      </c>
      <c r="J113" s="4">
        <v>45812</v>
      </c>
      <c r="K113" s="4">
        <v>45817</v>
      </c>
      <c r="L113" s="3" t="s">
        <v>36</v>
      </c>
      <c r="M113" s="40">
        <v>256779414006</v>
      </c>
      <c r="N113" s="3" t="s">
        <v>37</v>
      </c>
      <c r="O113" s="3" t="s">
        <v>38</v>
      </c>
      <c r="P113" s="3" t="s">
        <v>39</v>
      </c>
      <c r="Q113" s="3" t="s">
        <v>40</v>
      </c>
      <c r="R113" s="3" t="s">
        <v>41</v>
      </c>
      <c r="S113" s="5">
        <v>801.47</v>
      </c>
      <c r="T113" s="3" t="s">
        <v>42</v>
      </c>
      <c r="U113" s="5">
        <v>68518.3</v>
      </c>
      <c r="V113" s="3" t="s">
        <v>56</v>
      </c>
      <c r="W113" s="3" t="s">
        <v>48</v>
      </c>
      <c r="X113" s="3" t="s">
        <v>39</v>
      </c>
      <c r="Y113" s="3" t="s">
        <v>36</v>
      </c>
      <c r="Z113" s="3" t="s">
        <v>44</v>
      </c>
      <c r="AA113" s="41">
        <f t="shared" si="3"/>
        <v>801.47</v>
      </c>
      <c r="AB113" s="3" t="s">
        <v>282</v>
      </c>
      <c r="AC113" s="3" t="s">
        <v>39</v>
      </c>
      <c r="AD113" s="3" t="s">
        <v>39</v>
      </c>
      <c r="AE113" s="3" t="s">
        <v>39</v>
      </c>
      <c r="AF113" s="4">
        <v>45812</v>
      </c>
      <c r="AG113" s="4"/>
      <c r="AH113" s="3" t="s">
        <v>39</v>
      </c>
    </row>
    <row r="114" spans="1:34" outlineLevel="2" x14ac:dyDescent="0.35">
      <c r="A114" s="3" t="s">
        <v>121</v>
      </c>
      <c r="B114" s="3" t="s">
        <v>32</v>
      </c>
      <c r="C114" s="3" t="s">
        <v>117</v>
      </c>
      <c r="D114" s="3" t="s">
        <v>118</v>
      </c>
      <c r="E114" s="3" t="s">
        <v>33</v>
      </c>
      <c r="F114" s="3" t="s">
        <v>34</v>
      </c>
      <c r="G114" s="4">
        <v>45812</v>
      </c>
      <c r="H114" s="3" t="s">
        <v>283</v>
      </c>
      <c r="I114" s="3" t="s">
        <v>35</v>
      </c>
      <c r="J114" s="4">
        <v>45812</v>
      </c>
      <c r="K114" s="4">
        <v>45817</v>
      </c>
      <c r="L114" s="3" t="s">
        <v>36</v>
      </c>
      <c r="M114" s="40">
        <v>256779414007</v>
      </c>
      <c r="N114" s="3" t="s">
        <v>37</v>
      </c>
      <c r="O114" s="3" t="s">
        <v>38</v>
      </c>
      <c r="P114" s="3" t="s">
        <v>39</v>
      </c>
      <c r="Q114" s="3" t="s">
        <v>40</v>
      </c>
      <c r="R114" s="3" t="s">
        <v>41</v>
      </c>
      <c r="S114" s="5">
        <v>790.89</v>
      </c>
      <c r="T114" s="3" t="s">
        <v>42</v>
      </c>
      <c r="U114" s="5">
        <v>67613.8</v>
      </c>
      <c r="V114" s="3" t="s">
        <v>56</v>
      </c>
      <c r="W114" s="3" t="s">
        <v>48</v>
      </c>
      <c r="X114" s="3" t="s">
        <v>39</v>
      </c>
      <c r="Y114" s="3" t="s">
        <v>36</v>
      </c>
      <c r="Z114" s="3" t="s">
        <v>44</v>
      </c>
      <c r="AA114" s="41">
        <f t="shared" si="3"/>
        <v>790.89</v>
      </c>
      <c r="AB114" s="3" t="s">
        <v>284</v>
      </c>
      <c r="AC114" s="3" t="s">
        <v>39</v>
      </c>
      <c r="AD114" s="3" t="s">
        <v>39</v>
      </c>
      <c r="AE114" s="3" t="s">
        <v>39</v>
      </c>
      <c r="AF114" s="4">
        <v>45812</v>
      </c>
      <c r="AG114" s="4"/>
      <c r="AH114" s="3" t="s">
        <v>39</v>
      </c>
    </row>
    <row r="115" spans="1:34" outlineLevel="2" x14ac:dyDescent="0.35">
      <c r="A115" s="3" t="s">
        <v>116</v>
      </c>
      <c r="B115" s="3" t="s">
        <v>32</v>
      </c>
      <c r="C115" s="3" t="s">
        <v>117</v>
      </c>
      <c r="D115" s="3" t="s">
        <v>118</v>
      </c>
      <c r="E115" s="3" t="s">
        <v>33</v>
      </c>
      <c r="F115" s="3" t="s">
        <v>45</v>
      </c>
      <c r="G115" s="4">
        <v>45791</v>
      </c>
      <c r="H115" s="3" t="s">
        <v>285</v>
      </c>
      <c r="I115" s="3" t="s">
        <v>46</v>
      </c>
      <c r="J115" s="4">
        <v>45791</v>
      </c>
      <c r="K115" s="4">
        <v>45793</v>
      </c>
      <c r="L115" s="3" t="s">
        <v>36</v>
      </c>
      <c r="M115" s="40">
        <v>256779420311</v>
      </c>
      <c r="N115" s="3" t="s">
        <v>37</v>
      </c>
      <c r="O115" s="3" t="s">
        <v>38</v>
      </c>
      <c r="P115" s="3" t="s">
        <v>39</v>
      </c>
      <c r="Q115" s="3" t="s">
        <v>47</v>
      </c>
      <c r="R115" s="3" t="s">
        <v>41</v>
      </c>
      <c r="S115" s="5">
        <v>-1.91</v>
      </c>
      <c r="T115" s="3" t="s">
        <v>42</v>
      </c>
      <c r="U115" s="5">
        <v>-165.58</v>
      </c>
      <c r="V115" s="3" t="s">
        <v>56</v>
      </c>
      <c r="W115" s="3" t="s">
        <v>48</v>
      </c>
      <c r="X115" s="3" t="s">
        <v>39</v>
      </c>
      <c r="Y115" s="3" t="s">
        <v>36</v>
      </c>
      <c r="Z115" s="3" t="s">
        <v>44</v>
      </c>
      <c r="AA115" s="41">
        <f t="shared" si="3"/>
        <v>-1.91</v>
      </c>
      <c r="AB115" s="3" t="s">
        <v>286</v>
      </c>
      <c r="AC115" s="3" t="s">
        <v>39</v>
      </c>
      <c r="AD115" s="3" t="s">
        <v>39</v>
      </c>
      <c r="AE115" s="3" t="s">
        <v>39</v>
      </c>
      <c r="AF115" s="4">
        <v>45791</v>
      </c>
      <c r="AG115" s="4">
        <v>45861</v>
      </c>
      <c r="AH115" s="39">
        <v>1400000797</v>
      </c>
    </row>
    <row r="116" spans="1:34" outlineLevel="2" x14ac:dyDescent="0.35">
      <c r="A116" s="3" t="s">
        <v>116</v>
      </c>
      <c r="B116" s="3" t="s">
        <v>32</v>
      </c>
      <c r="C116" s="3" t="s">
        <v>117</v>
      </c>
      <c r="D116" s="3" t="s">
        <v>118</v>
      </c>
      <c r="E116" s="3" t="s">
        <v>33</v>
      </c>
      <c r="F116" s="3" t="s">
        <v>45</v>
      </c>
      <c r="G116" s="4">
        <v>45791</v>
      </c>
      <c r="H116" s="3" t="s">
        <v>287</v>
      </c>
      <c r="I116" s="3" t="s">
        <v>46</v>
      </c>
      <c r="J116" s="4">
        <v>45791</v>
      </c>
      <c r="K116" s="4">
        <v>45793</v>
      </c>
      <c r="L116" s="3" t="s">
        <v>36</v>
      </c>
      <c r="M116" s="40">
        <v>256779420307</v>
      </c>
      <c r="N116" s="3" t="s">
        <v>37</v>
      </c>
      <c r="O116" s="3" t="s">
        <v>38</v>
      </c>
      <c r="P116" s="3" t="s">
        <v>39</v>
      </c>
      <c r="Q116" s="3" t="s">
        <v>47</v>
      </c>
      <c r="R116" s="3" t="s">
        <v>41</v>
      </c>
      <c r="S116" s="5">
        <v>-2.86</v>
      </c>
      <c r="T116" s="3" t="s">
        <v>42</v>
      </c>
      <c r="U116" s="5">
        <v>-247.94</v>
      </c>
      <c r="V116" s="3" t="s">
        <v>56</v>
      </c>
      <c r="W116" s="3" t="s">
        <v>48</v>
      </c>
      <c r="X116" s="3" t="s">
        <v>39</v>
      </c>
      <c r="Y116" s="3" t="s">
        <v>36</v>
      </c>
      <c r="Z116" s="3" t="s">
        <v>44</v>
      </c>
      <c r="AA116" s="41">
        <f t="shared" si="3"/>
        <v>-2.86</v>
      </c>
      <c r="AB116" s="3" t="s">
        <v>288</v>
      </c>
      <c r="AC116" s="3" t="s">
        <v>39</v>
      </c>
      <c r="AD116" s="3" t="s">
        <v>39</v>
      </c>
      <c r="AE116" s="3" t="s">
        <v>39</v>
      </c>
      <c r="AF116" s="4">
        <v>45791</v>
      </c>
      <c r="AG116" s="4">
        <v>45861</v>
      </c>
      <c r="AH116" s="39">
        <v>1400000797</v>
      </c>
    </row>
    <row r="117" spans="1:34" outlineLevel="2" x14ac:dyDescent="0.35">
      <c r="A117" s="3" t="s">
        <v>116</v>
      </c>
      <c r="B117" s="3" t="s">
        <v>32</v>
      </c>
      <c r="C117" s="3" t="s">
        <v>117</v>
      </c>
      <c r="D117" s="3" t="s">
        <v>118</v>
      </c>
      <c r="E117" s="3" t="s">
        <v>33</v>
      </c>
      <c r="F117" s="3" t="s">
        <v>45</v>
      </c>
      <c r="G117" s="4">
        <v>45791</v>
      </c>
      <c r="H117" s="3" t="s">
        <v>289</v>
      </c>
      <c r="I117" s="3" t="s">
        <v>46</v>
      </c>
      <c r="J117" s="4">
        <v>45791</v>
      </c>
      <c r="K117" s="4">
        <v>45793</v>
      </c>
      <c r="L117" s="3" t="s">
        <v>36</v>
      </c>
      <c r="M117" s="40">
        <v>256779420308</v>
      </c>
      <c r="N117" s="3" t="s">
        <v>37</v>
      </c>
      <c r="O117" s="3" t="s">
        <v>38</v>
      </c>
      <c r="P117" s="3" t="s">
        <v>39</v>
      </c>
      <c r="Q117" s="3" t="s">
        <v>47</v>
      </c>
      <c r="R117" s="3" t="s">
        <v>41</v>
      </c>
      <c r="S117" s="5">
        <v>-0.95</v>
      </c>
      <c r="T117" s="3" t="s">
        <v>42</v>
      </c>
      <c r="U117" s="5">
        <v>-82.36</v>
      </c>
      <c r="V117" s="3" t="s">
        <v>56</v>
      </c>
      <c r="W117" s="3" t="s">
        <v>48</v>
      </c>
      <c r="X117" s="3" t="s">
        <v>39</v>
      </c>
      <c r="Y117" s="3" t="s">
        <v>36</v>
      </c>
      <c r="Z117" s="3" t="s">
        <v>44</v>
      </c>
      <c r="AA117" s="41">
        <f t="shared" si="3"/>
        <v>-0.95</v>
      </c>
      <c r="AB117" s="3" t="s">
        <v>290</v>
      </c>
      <c r="AC117" s="3" t="s">
        <v>39</v>
      </c>
      <c r="AD117" s="3" t="s">
        <v>39</v>
      </c>
      <c r="AE117" s="3" t="s">
        <v>39</v>
      </c>
      <c r="AF117" s="4">
        <v>45791</v>
      </c>
      <c r="AG117" s="4">
        <v>45861</v>
      </c>
      <c r="AH117" s="39">
        <v>1400000797</v>
      </c>
    </row>
    <row r="118" spans="1:34" outlineLevel="2" x14ac:dyDescent="0.35">
      <c r="A118" s="3" t="s">
        <v>116</v>
      </c>
      <c r="B118" s="3" t="s">
        <v>32</v>
      </c>
      <c r="C118" s="3" t="s">
        <v>117</v>
      </c>
      <c r="D118" s="3" t="s">
        <v>118</v>
      </c>
      <c r="E118" s="3" t="s">
        <v>33</v>
      </c>
      <c r="F118" s="3" t="s">
        <v>45</v>
      </c>
      <c r="G118" s="4">
        <v>45791</v>
      </c>
      <c r="H118" s="3" t="s">
        <v>291</v>
      </c>
      <c r="I118" s="3" t="s">
        <v>46</v>
      </c>
      <c r="J118" s="4">
        <v>45791</v>
      </c>
      <c r="K118" s="4">
        <v>45793</v>
      </c>
      <c r="L118" s="3" t="s">
        <v>36</v>
      </c>
      <c r="M118" s="40">
        <v>256779420309</v>
      </c>
      <c r="N118" s="3" t="s">
        <v>37</v>
      </c>
      <c r="O118" s="3" t="s">
        <v>38</v>
      </c>
      <c r="P118" s="3" t="s">
        <v>39</v>
      </c>
      <c r="Q118" s="3" t="s">
        <v>47</v>
      </c>
      <c r="R118" s="3" t="s">
        <v>41</v>
      </c>
      <c r="S118" s="5">
        <v>-4.7699999999999996</v>
      </c>
      <c r="T118" s="3" t="s">
        <v>42</v>
      </c>
      <c r="U118" s="5">
        <v>-413.52</v>
      </c>
      <c r="V118" s="3" t="s">
        <v>56</v>
      </c>
      <c r="W118" s="3" t="s">
        <v>48</v>
      </c>
      <c r="X118" s="3" t="s">
        <v>39</v>
      </c>
      <c r="Y118" s="3" t="s">
        <v>36</v>
      </c>
      <c r="Z118" s="3" t="s">
        <v>44</v>
      </c>
      <c r="AA118" s="41">
        <f t="shared" ref="AA118:AA149" si="4">S118</f>
        <v>-4.7699999999999996</v>
      </c>
      <c r="AB118" s="3" t="s">
        <v>292</v>
      </c>
      <c r="AC118" s="3" t="s">
        <v>39</v>
      </c>
      <c r="AD118" s="3" t="s">
        <v>39</v>
      </c>
      <c r="AE118" s="3" t="s">
        <v>39</v>
      </c>
      <c r="AF118" s="4">
        <v>45791</v>
      </c>
      <c r="AG118" s="4">
        <v>45861</v>
      </c>
      <c r="AH118" s="39">
        <v>1400000797</v>
      </c>
    </row>
    <row r="119" spans="1:34" outlineLevel="2" x14ac:dyDescent="0.35">
      <c r="A119" s="3" t="s">
        <v>116</v>
      </c>
      <c r="B119" s="3" t="s">
        <v>32</v>
      </c>
      <c r="C119" s="3" t="s">
        <v>117</v>
      </c>
      <c r="D119" s="3" t="s">
        <v>118</v>
      </c>
      <c r="E119" s="3" t="s">
        <v>33</v>
      </c>
      <c r="F119" s="3" t="s">
        <v>45</v>
      </c>
      <c r="G119" s="4">
        <v>45791</v>
      </c>
      <c r="H119" s="3" t="s">
        <v>293</v>
      </c>
      <c r="I119" s="3" t="s">
        <v>46</v>
      </c>
      <c r="J119" s="4">
        <v>45791</v>
      </c>
      <c r="K119" s="4">
        <v>45793</v>
      </c>
      <c r="L119" s="3" t="s">
        <v>36</v>
      </c>
      <c r="M119" s="40">
        <v>256779420310</v>
      </c>
      <c r="N119" s="3" t="s">
        <v>37</v>
      </c>
      <c r="O119" s="3" t="s">
        <v>38</v>
      </c>
      <c r="P119" s="3" t="s">
        <v>39</v>
      </c>
      <c r="Q119" s="3" t="s">
        <v>47</v>
      </c>
      <c r="R119" s="3" t="s">
        <v>41</v>
      </c>
      <c r="S119" s="5">
        <v>-1.91</v>
      </c>
      <c r="T119" s="3" t="s">
        <v>42</v>
      </c>
      <c r="U119" s="5">
        <v>-165.58</v>
      </c>
      <c r="V119" s="3" t="s">
        <v>56</v>
      </c>
      <c r="W119" s="3" t="s">
        <v>48</v>
      </c>
      <c r="X119" s="3" t="s">
        <v>39</v>
      </c>
      <c r="Y119" s="3" t="s">
        <v>36</v>
      </c>
      <c r="Z119" s="3" t="s">
        <v>44</v>
      </c>
      <c r="AA119" s="41">
        <f t="shared" si="4"/>
        <v>-1.91</v>
      </c>
      <c r="AB119" s="3" t="s">
        <v>294</v>
      </c>
      <c r="AC119" s="3" t="s">
        <v>39</v>
      </c>
      <c r="AD119" s="3" t="s">
        <v>39</v>
      </c>
      <c r="AE119" s="3" t="s">
        <v>39</v>
      </c>
      <c r="AF119" s="4">
        <v>45791</v>
      </c>
      <c r="AG119" s="4">
        <v>45861</v>
      </c>
      <c r="AH119" s="39">
        <v>1400000797</v>
      </c>
    </row>
    <row r="120" spans="1:34" outlineLevel="2" x14ac:dyDescent="0.35">
      <c r="A120" s="3" t="s">
        <v>116</v>
      </c>
      <c r="B120" s="3" t="s">
        <v>32</v>
      </c>
      <c r="C120" s="3" t="s">
        <v>117</v>
      </c>
      <c r="D120" s="3" t="s">
        <v>118</v>
      </c>
      <c r="E120" s="3" t="s">
        <v>33</v>
      </c>
      <c r="F120" s="3" t="s">
        <v>45</v>
      </c>
      <c r="G120" s="4">
        <v>45791</v>
      </c>
      <c r="H120" s="3" t="s">
        <v>295</v>
      </c>
      <c r="I120" s="3" t="s">
        <v>46</v>
      </c>
      <c r="J120" s="4">
        <v>45791</v>
      </c>
      <c r="K120" s="4">
        <v>45793</v>
      </c>
      <c r="L120" s="3" t="s">
        <v>36</v>
      </c>
      <c r="M120" s="40">
        <v>256779420312</v>
      </c>
      <c r="N120" s="3" t="s">
        <v>37</v>
      </c>
      <c r="O120" s="3" t="s">
        <v>38</v>
      </c>
      <c r="P120" s="3" t="s">
        <v>39</v>
      </c>
      <c r="Q120" s="3" t="s">
        <v>47</v>
      </c>
      <c r="R120" s="3" t="s">
        <v>41</v>
      </c>
      <c r="S120" s="5">
        <v>-4.7699999999999996</v>
      </c>
      <c r="T120" s="3" t="s">
        <v>42</v>
      </c>
      <c r="U120" s="5">
        <v>-413.52</v>
      </c>
      <c r="V120" s="3" t="s">
        <v>56</v>
      </c>
      <c r="W120" s="3" t="s">
        <v>48</v>
      </c>
      <c r="X120" s="3" t="s">
        <v>39</v>
      </c>
      <c r="Y120" s="3" t="s">
        <v>36</v>
      </c>
      <c r="Z120" s="3" t="s">
        <v>44</v>
      </c>
      <c r="AA120" s="41">
        <f t="shared" si="4"/>
        <v>-4.7699999999999996</v>
      </c>
      <c r="AB120" s="3" t="s">
        <v>296</v>
      </c>
      <c r="AC120" s="3" t="s">
        <v>39</v>
      </c>
      <c r="AD120" s="3" t="s">
        <v>39</v>
      </c>
      <c r="AE120" s="3" t="s">
        <v>39</v>
      </c>
      <c r="AF120" s="4">
        <v>45791</v>
      </c>
      <c r="AG120" s="4">
        <v>45861</v>
      </c>
      <c r="AH120" s="39">
        <v>1400000797</v>
      </c>
    </row>
    <row r="121" spans="1:34" outlineLevel="2" x14ac:dyDescent="0.35">
      <c r="A121" s="3" t="s">
        <v>116</v>
      </c>
      <c r="B121" s="3" t="s">
        <v>32</v>
      </c>
      <c r="C121" s="3" t="s">
        <v>117</v>
      </c>
      <c r="D121" s="3" t="s">
        <v>118</v>
      </c>
      <c r="E121" s="3" t="s">
        <v>33</v>
      </c>
      <c r="F121" s="3" t="s">
        <v>45</v>
      </c>
      <c r="G121" s="4">
        <v>45791</v>
      </c>
      <c r="H121" s="3" t="s">
        <v>297</v>
      </c>
      <c r="I121" s="3" t="s">
        <v>46</v>
      </c>
      <c r="J121" s="4">
        <v>45791</v>
      </c>
      <c r="K121" s="4">
        <v>45793</v>
      </c>
      <c r="L121" s="3" t="s">
        <v>36</v>
      </c>
      <c r="M121" s="40">
        <v>256779420489</v>
      </c>
      <c r="N121" s="3" t="s">
        <v>37</v>
      </c>
      <c r="O121" s="3" t="s">
        <v>38</v>
      </c>
      <c r="P121" s="3" t="s">
        <v>39</v>
      </c>
      <c r="Q121" s="3" t="s">
        <v>47</v>
      </c>
      <c r="R121" s="3" t="s">
        <v>41</v>
      </c>
      <c r="S121" s="5">
        <v>-1166.5899999999999</v>
      </c>
      <c r="T121" s="3" t="s">
        <v>42</v>
      </c>
      <c r="U121" s="5">
        <v>-101402.13</v>
      </c>
      <c r="V121" s="3" t="s">
        <v>56</v>
      </c>
      <c r="W121" s="3" t="s">
        <v>48</v>
      </c>
      <c r="X121" s="3" t="s">
        <v>39</v>
      </c>
      <c r="Y121" s="3" t="s">
        <v>36</v>
      </c>
      <c r="Z121" s="3" t="s">
        <v>44</v>
      </c>
      <c r="AA121" s="41">
        <f t="shared" si="4"/>
        <v>-1166.5899999999999</v>
      </c>
      <c r="AB121" s="3" t="s">
        <v>298</v>
      </c>
      <c r="AC121" s="3" t="s">
        <v>39</v>
      </c>
      <c r="AD121" s="3" t="s">
        <v>39</v>
      </c>
      <c r="AE121" s="3" t="s">
        <v>39</v>
      </c>
      <c r="AF121" s="4">
        <v>45791</v>
      </c>
      <c r="AG121" s="4">
        <v>45861</v>
      </c>
      <c r="AH121" s="39">
        <v>1400000797</v>
      </c>
    </row>
    <row r="122" spans="1:34" outlineLevel="2" x14ac:dyDescent="0.35">
      <c r="A122" s="3" t="s">
        <v>116</v>
      </c>
      <c r="B122" s="3" t="s">
        <v>32</v>
      </c>
      <c r="C122" s="3" t="s">
        <v>117</v>
      </c>
      <c r="D122" s="3" t="s">
        <v>118</v>
      </c>
      <c r="E122" s="3" t="s">
        <v>33</v>
      </c>
      <c r="F122" s="3" t="s">
        <v>45</v>
      </c>
      <c r="G122" s="4">
        <v>45791</v>
      </c>
      <c r="H122" s="3" t="s">
        <v>299</v>
      </c>
      <c r="I122" s="3" t="s">
        <v>46</v>
      </c>
      <c r="J122" s="4">
        <v>45791</v>
      </c>
      <c r="K122" s="4">
        <v>45793</v>
      </c>
      <c r="L122" s="3" t="s">
        <v>36</v>
      </c>
      <c r="M122" s="40">
        <v>256779420523</v>
      </c>
      <c r="N122" s="3" t="s">
        <v>37</v>
      </c>
      <c r="O122" s="3" t="s">
        <v>38</v>
      </c>
      <c r="P122" s="3" t="s">
        <v>39</v>
      </c>
      <c r="Q122" s="3" t="s">
        <v>47</v>
      </c>
      <c r="R122" s="3" t="s">
        <v>41</v>
      </c>
      <c r="S122" s="5">
        <v>-1143.1199999999999</v>
      </c>
      <c r="T122" s="3" t="s">
        <v>42</v>
      </c>
      <c r="U122" s="5">
        <v>-99362.07</v>
      </c>
      <c r="V122" s="3" t="s">
        <v>56</v>
      </c>
      <c r="W122" s="3" t="s">
        <v>48</v>
      </c>
      <c r="X122" s="3" t="s">
        <v>39</v>
      </c>
      <c r="Y122" s="3" t="s">
        <v>36</v>
      </c>
      <c r="Z122" s="3" t="s">
        <v>44</v>
      </c>
      <c r="AA122" s="41">
        <f t="shared" si="4"/>
        <v>-1143.1199999999999</v>
      </c>
      <c r="AB122" s="3" t="s">
        <v>300</v>
      </c>
      <c r="AC122" s="3" t="s">
        <v>39</v>
      </c>
      <c r="AD122" s="3" t="s">
        <v>39</v>
      </c>
      <c r="AE122" s="3" t="s">
        <v>39</v>
      </c>
      <c r="AF122" s="4">
        <v>45791</v>
      </c>
      <c r="AG122" s="4">
        <v>45861</v>
      </c>
      <c r="AH122" s="39">
        <v>1400000797</v>
      </c>
    </row>
    <row r="123" spans="1:34" outlineLevel="2" x14ac:dyDescent="0.35">
      <c r="A123" s="3" t="s">
        <v>121</v>
      </c>
      <c r="B123" s="3" t="s">
        <v>32</v>
      </c>
      <c r="C123" s="3" t="s">
        <v>117</v>
      </c>
      <c r="D123" s="3" t="s">
        <v>118</v>
      </c>
      <c r="E123" s="3" t="s">
        <v>33</v>
      </c>
      <c r="F123" s="3" t="s">
        <v>45</v>
      </c>
      <c r="G123" s="4">
        <v>45793</v>
      </c>
      <c r="H123" s="3" t="s">
        <v>301</v>
      </c>
      <c r="I123" s="3" t="s">
        <v>35</v>
      </c>
      <c r="J123" s="4">
        <v>45793</v>
      </c>
      <c r="K123" s="4">
        <v>45800</v>
      </c>
      <c r="L123" s="3" t="s">
        <v>36</v>
      </c>
      <c r="M123" s="40">
        <v>256779413272</v>
      </c>
      <c r="N123" s="3" t="s">
        <v>37</v>
      </c>
      <c r="O123" s="3" t="s">
        <v>38</v>
      </c>
      <c r="P123" s="3" t="s">
        <v>39</v>
      </c>
      <c r="Q123" s="3" t="s">
        <v>40</v>
      </c>
      <c r="R123" s="3" t="s">
        <v>41</v>
      </c>
      <c r="S123" s="5">
        <v>25.28</v>
      </c>
      <c r="T123" s="3" t="s">
        <v>42</v>
      </c>
      <c r="U123" s="5">
        <v>2173.67</v>
      </c>
      <c r="V123" s="3" t="s">
        <v>56</v>
      </c>
      <c r="W123" s="3" t="s">
        <v>48</v>
      </c>
      <c r="X123" s="3" t="s">
        <v>39</v>
      </c>
      <c r="Y123" s="3" t="s">
        <v>36</v>
      </c>
      <c r="Z123" s="3" t="s">
        <v>44</v>
      </c>
      <c r="AA123" s="41">
        <f t="shared" si="4"/>
        <v>25.28</v>
      </c>
      <c r="AB123" s="3" t="s">
        <v>89</v>
      </c>
      <c r="AC123" s="3" t="s">
        <v>39</v>
      </c>
      <c r="AD123" s="3" t="s">
        <v>39</v>
      </c>
      <c r="AE123" s="3" t="s">
        <v>39</v>
      </c>
      <c r="AF123" s="4">
        <v>45793</v>
      </c>
      <c r="AG123" s="4"/>
      <c r="AH123" s="3" t="s">
        <v>39</v>
      </c>
    </row>
    <row r="124" spans="1:34" outlineLevel="2" x14ac:dyDescent="0.35">
      <c r="A124" s="3" t="s">
        <v>121</v>
      </c>
      <c r="B124" s="3" t="s">
        <v>32</v>
      </c>
      <c r="C124" s="3" t="s">
        <v>117</v>
      </c>
      <c r="D124" s="3" t="s">
        <v>118</v>
      </c>
      <c r="E124" s="3" t="s">
        <v>33</v>
      </c>
      <c r="F124" s="3" t="s">
        <v>45</v>
      </c>
      <c r="G124" s="4">
        <v>45793</v>
      </c>
      <c r="H124" s="3" t="s">
        <v>302</v>
      </c>
      <c r="I124" s="3" t="s">
        <v>35</v>
      </c>
      <c r="J124" s="4">
        <v>45793</v>
      </c>
      <c r="K124" s="4">
        <v>45800</v>
      </c>
      <c r="L124" s="3" t="s">
        <v>36</v>
      </c>
      <c r="M124" s="40">
        <v>256779413361</v>
      </c>
      <c r="N124" s="3" t="s">
        <v>37</v>
      </c>
      <c r="O124" s="3" t="s">
        <v>38</v>
      </c>
      <c r="P124" s="3" t="s">
        <v>39</v>
      </c>
      <c r="Q124" s="3" t="s">
        <v>40</v>
      </c>
      <c r="R124" s="3" t="s">
        <v>41</v>
      </c>
      <c r="S124" s="5">
        <v>3</v>
      </c>
      <c r="T124" s="3" t="s">
        <v>42</v>
      </c>
      <c r="U124" s="5">
        <v>257.95</v>
      </c>
      <c r="V124" s="3" t="s">
        <v>56</v>
      </c>
      <c r="W124" s="3" t="s">
        <v>48</v>
      </c>
      <c r="X124" s="3" t="s">
        <v>39</v>
      </c>
      <c r="Y124" s="3" t="s">
        <v>36</v>
      </c>
      <c r="Z124" s="3" t="s">
        <v>44</v>
      </c>
      <c r="AA124" s="41">
        <f t="shared" si="4"/>
        <v>3</v>
      </c>
      <c r="AB124" s="3" t="s">
        <v>303</v>
      </c>
      <c r="AC124" s="3" t="s">
        <v>39</v>
      </c>
      <c r="AD124" s="3" t="s">
        <v>39</v>
      </c>
      <c r="AE124" s="3" t="s">
        <v>39</v>
      </c>
      <c r="AF124" s="4">
        <v>45793</v>
      </c>
      <c r="AG124" s="4"/>
      <c r="AH124" s="3" t="s">
        <v>39</v>
      </c>
    </row>
    <row r="125" spans="1:34" outlineLevel="2" x14ac:dyDescent="0.35">
      <c r="A125" s="3" t="s">
        <v>121</v>
      </c>
      <c r="B125" s="3" t="s">
        <v>32</v>
      </c>
      <c r="C125" s="3" t="s">
        <v>117</v>
      </c>
      <c r="D125" s="3" t="s">
        <v>118</v>
      </c>
      <c r="E125" s="3" t="s">
        <v>33</v>
      </c>
      <c r="F125" s="3" t="s">
        <v>45</v>
      </c>
      <c r="G125" s="4">
        <v>45805</v>
      </c>
      <c r="H125" s="3" t="s">
        <v>304</v>
      </c>
      <c r="I125" s="3" t="s">
        <v>35</v>
      </c>
      <c r="J125" s="4">
        <v>45805</v>
      </c>
      <c r="K125" s="4">
        <v>45805</v>
      </c>
      <c r="L125" s="3" t="s">
        <v>36</v>
      </c>
      <c r="M125" s="40">
        <v>256779413893</v>
      </c>
      <c r="N125" s="3" t="s">
        <v>37</v>
      </c>
      <c r="O125" s="3" t="s">
        <v>38</v>
      </c>
      <c r="P125" s="3" t="s">
        <v>39</v>
      </c>
      <c r="Q125" s="3" t="s">
        <v>40</v>
      </c>
      <c r="R125" s="3" t="s">
        <v>41</v>
      </c>
      <c r="S125" s="5">
        <v>797.57</v>
      </c>
      <c r="T125" s="3" t="s">
        <v>42</v>
      </c>
      <c r="U125" s="5">
        <v>68578.02</v>
      </c>
      <c r="V125" s="3" t="s">
        <v>56</v>
      </c>
      <c r="W125" s="3" t="s">
        <v>48</v>
      </c>
      <c r="X125" s="3" t="s">
        <v>39</v>
      </c>
      <c r="Y125" s="3" t="s">
        <v>36</v>
      </c>
      <c r="Z125" s="3" t="s">
        <v>44</v>
      </c>
      <c r="AA125" s="41">
        <f t="shared" si="4"/>
        <v>797.57</v>
      </c>
      <c r="AB125" s="3" t="s">
        <v>305</v>
      </c>
      <c r="AC125" s="3" t="s">
        <v>39</v>
      </c>
      <c r="AD125" s="3" t="s">
        <v>39</v>
      </c>
      <c r="AE125" s="3" t="s">
        <v>39</v>
      </c>
      <c r="AF125" s="4">
        <v>45805</v>
      </c>
      <c r="AG125" s="4"/>
      <c r="AH125" s="3" t="s">
        <v>39</v>
      </c>
    </row>
    <row r="126" spans="1:34" outlineLevel="2" x14ac:dyDescent="0.35">
      <c r="A126" s="3" t="s">
        <v>121</v>
      </c>
      <c r="B126" s="3" t="s">
        <v>32</v>
      </c>
      <c r="C126" s="3" t="s">
        <v>117</v>
      </c>
      <c r="D126" s="3" t="s">
        <v>118</v>
      </c>
      <c r="E126" s="3" t="s">
        <v>33</v>
      </c>
      <c r="F126" s="3" t="s">
        <v>49</v>
      </c>
      <c r="G126" s="4">
        <v>45856</v>
      </c>
      <c r="H126" s="3" t="s">
        <v>306</v>
      </c>
      <c r="I126" s="3" t="s">
        <v>35</v>
      </c>
      <c r="J126" s="4">
        <v>45856</v>
      </c>
      <c r="K126" s="4">
        <v>45859</v>
      </c>
      <c r="L126" s="3" t="s">
        <v>36</v>
      </c>
      <c r="M126" s="40">
        <v>256779415485</v>
      </c>
      <c r="N126" s="3" t="s">
        <v>37</v>
      </c>
      <c r="O126" s="3" t="s">
        <v>38</v>
      </c>
      <c r="P126" s="3" t="s">
        <v>39</v>
      </c>
      <c r="Q126" s="3" t="s">
        <v>40</v>
      </c>
      <c r="R126" s="3" t="s">
        <v>41</v>
      </c>
      <c r="S126" s="5">
        <v>17.25</v>
      </c>
      <c r="T126" s="3" t="s">
        <v>42</v>
      </c>
      <c r="U126" s="5">
        <v>1483.51</v>
      </c>
      <c r="V126" s="3" t="s">
        <v>56</v>
      </c>
      <c r="W126" s="3" t="s">
        <v>48</v>
      </c>
      <c r="X126" s="3" t="s">
        <v>39</v>
      </c>
      <c r="Y126" s="3" t="s">
        <v>36</v>
      </c>
      <c r="Z126" s="3" t="s">
        <v>44</v>
      </c>
      <c r="AA126" s="41">
        <f t="shared" si="4"/>
        <v>17.25</v>
      </c>
      <c r="AB126" s="3" t="s">
        <v>307</v>
      </c>
      <c r="AC126" s="3" t="s">
        <v>39</v>
      </c>
      <c r="AD126" s="3" t="s">
        <v>39</v>
      </c>
      <c r="AE126" s="3" t="s">
        <v>39</v>
      </c>
      <c r="AF126" s="4">
        <v>45856</v>
      </c>
      <c r="AG126" s="4"/>
      <c r="AH126" s="3" t="s">
        <v>39</v>
      </c>
    </row>
    <row r="127" spans="1:34" outlineLevel="2" x14ac:dyDescent="0.35">
      <c r="A127" s="3" t="s">
        <v>121</v>
      </c>
      <c r="B127" s="3" t="s">
        <v>32</v>
      </c>
      <c r="C127" s="3" t="s">
        <v>117</v>
      </c>
      <c r="D127" s="3" t="s">
        <v>118</v>
      </c>
      <c r="E127" s="3" t="s">
        <v>33</v>
      </c>
      <c r="F127" s="3" t="s">
        <v>49</v>
      </c>
      <c r="G127" s="4">
        <v>45856</v>
      </c>
      <c r="H127" s="3" t="s">
        <v>308</v>
      </c>
      <c r="I127" s="3" t="s">
        <v>35</v>
      </c>
      <c r="J127" s="4">
        <v>45856</v>
      </c>
      <c r="K127" s="4">
        <v>45859</v>
      </c>
      <c r="L127" s="3" t="s">
        <v>36</v>
      </c>
      <c r="M127" s="40">
        <v>256779415533</v>
      </c>
      <c r="N127" s="3" t="s">
        <v>37</v>
      </c>
      <c r="O127" s="3" t="s">
        <v>38</v>
      </c>
      <c r="P127" s="3" t="s">
        <v>39</v>
      </c>
      <c r="Q127" s="3" t="s">
        <v>40</v>
      </c>
      <c r="R127" s="3" t="s">
        <v>41</v>
      </c>
      <c r="S127" s="5">
        <v>21.75</v>
      </c>
      <c r="T127" s="3" t="s">
        <v>42</v>
      </c>
      <c r="U127" s="5">
        <v>1870.51</v>
      </c>
      <c r="V127" s="3" t="s">
        <v>56</v>
      </c>
      <c r="W127" s="3" t="s">
        <v>48</v>
      </c>
      <c r="X127" s="3" t="s">
        <v>39</v>
      </c>
      <c r="Y127" s="3" t="s">
        <v>36</v>
      </c>
      <c r="Z127" s="3" t="s">
        <v>44</v>
      </c>
      <c r="AA127" s="41">
        <f t="shared" si="4"/>
        <v>21.75</v>
      </c>
      <c r="AB127" s="3" t="s">
        <v>50</v>
      </c>
      <c r="AC127" s="3" t="s">
        <v>39</v>
      </c>
      <c r="AD127" s="3" t="s">
        <v>39</v>
      </c>
      <c r="AE127" s="3" t="s">
        <v>39</v>
      </c>
      <c r="AF127" s="4">
        <v>45856</v>
      </c>
      <c r="AG127" s="4"/>
      <c r="AH127" s="3" t="s">
        <v>39</v>
      </c>
    </row>
    <row r="128" spans="1:34" outlineLevel="2" x14ac:dyDescent="0.35">
      <c r="A128" s="3" t="s">
        <v>116</v>
      </c>
      <c r="B128" s="3" t="s">
        <v>32</v>
      </c>
      <c r="C128" s="3" t="s">
        <v>117</v>
      </c>
      <c r="D128" s="3" t="s">
        <v>118</v>
      </c>
      <c r="E128" s="3" t="s">
        <v>33</v>
      </c>
      <c r="F128" s="3" t="s">
        <v>49</v>
      </c>
      <c r="G128" s="4">
        <v>45856</v>
      </c>
      <c r="H128" s="3" t="s">
        <v>309</v>
      </c>
      <c r="I128" s="3" t="s">
        <v>35</v>
      </c>
      <c r="J128" s="4">
        <v>45856</v>
      </c>
      <c r="K128" s="4">
        <v>45859</v>
      </c>
      <c r="L128" s="3" t="s">
        <v>36</v>
      </c>
      <c r="M128" s="40">
        <v>256779415490</v>
      </c>
      <c r="N128" s="3" t="s">
        <v>37</v>
      </c>
      <c r="O128" s="3" t="s">
        <v>38</v>
      </c>
      <c r="P128" s="3" t="s">
        <v>39</v>
      </c>
      <c r="Q128" s="3" t="s">
        <v>40</v>
      </c>
      <c r="R128" s="3" t="s">
        <v>41</v>
      </c>
      <c r="S128" s="5">
        <v>17.25</v>
      </c>
      <c r="T128" s="3" t="s">
        <v>42</v>
      </c>
      <c r="U128" s="5">
        <v>1483.51</v>
      </c>
      <c r="V128" s="3" t="s">
        <v>56</v>
      </c>
      <c r="W128" s="3" t="s">
        <v>48</v>
      </c>
      <c r="X128" s="3" t="s">
        <v>39</v>
      </c>
      <c r="Y128" s="3" t="s">
        <v>36</v>
      </c>
      <c r="Z128" s="3" t="s">
        <v>44</v>
      </c>
      <c r="AA128" s="41">
        <f t="shared" si="4"/>
        <v>17.25</v>
      </c>
      <c r="AB128" s="3" t="s">
        <v>307</v>
      </c>
      <c r="AC128" s="3" t="s">
        <v>39</v>
      </c>
      <c r="AD128" s="3" t="s">
        <v>39</v>
      </c>
      <c r="AE128" s="3" t="s">
        <v>39</v>
      </c>
      <c r="AF128" s="4">
        <v>45856</v>
      </c>
      <c r="AG128" s="4">
        <v>45976</v>
      </c>
      <c r="AH128" s="39">
        <v>1400001904</v>
      </c>
    </row>
    <row r="129" spans="1:34" outlineLevel="2" x14ac:dyDescent="0.35">
      <c r="A129" s="3" t="s">
        <v>116</v>
      </c>
      <c r="B129" s="3" t="s">
        <v>32</v>
      </c>
      <c r="C129" s="3" t="s">
        <v>117</v>
      </c>
      <c r="D129" s="3" t="s">
        <v>118</v>
      </c>
      <c r="E129" s="3" t="s">
        <v>33</v>
      </c>
      <c r="F129" s="3" t="s">
        <v>49</v>
      </c>
      <c r="G129" s="4">
        <v>45856</v>
      </c>
      <c r="H129" s="3" t="s">
        <v>310</v>
      </c>
      <c r="I129" s="3" t="s">
        <v>35</v>
      </c>
      <c r="J129" s="4">
        <v>45856</v>
      </c>
      <c r="K129" s="4">
        <v>45859</v>
      </c>
      <c r="L129" s="3" t="s">
        <v>36</v>
      </c>
      <c r="M129" s="40">
        <v>256779415805</v>
      </c>
      <c r="N129" s="3" t="s">
        <v>37</v>
      </c>
      <c r="O129" s="3" t="s">
        <v>38</v>
      </c>
      <c r="P129" s="3" t="s">
        <v>39</v>
      </c>
      <c r="Q129" s="3" t="s">
        <v>40</v>
      </c>
      <c r="R129" s="3" t="s">
        <v>41</v>
      </c>
      <c r="S129" s="5">
        <v>17.25</v>
      </c>
      <c r="T129" s="3" t="s">
        <v>42</v>
      </c>
      <c r="U129" s="5">
        <v>1483.51</v>
      </c>
      <c r="V129" s="3" t="s">
        <v>56</v>
      </c>
      <c r="W129" s="3" t="s">
        <v>48</v>
      </c>
      <c r="X129" s="3" t="s">
        <v>39</v>
      </c>
      <c r="Y129" s="3" t="s">
        <v>36</v>
      </c>
      <c r="Z129" s="3" t="s">
        <v>44</v>
      </c>
      <c r="AA129" s="41">
        <f t="shared" si="4"/>
        <v>17.25</v>
      </c>
      <c r="AB129" s="3" t="s">
        <v>307</v>
      </c>
      <c r="AC129" s="3" t="s">
        <v>39</v>
      </c>
      <c r="AD129" s="3" t="s">
        <v>39</v>
      </c>
      <c r="AE129" s="3" t="s">
        <v>39</v>
      </c>
      <c r="AF129" s="4">
        <v>45856</v>
      </c>
      <c r="AG129" s="4">
        <v>45976</v>
      </c>
      <c r="AH129" s="39">
        <v>1400001904</v>
      </c>
    </row>
    <row r="130" spans="1:34" outlineLevel="2" x14ac:dyDescent="0.35">
      <c r="A130" s="3" t="s">
        <v>116</v>
      </c>
      <c r="B130" s="3" t="s">
        <v>32</v>
      </c>
      <c r="C130" s="3" t="s">
        <v>117</v>
      </c>
      <c r="D130" s="3" t="s">
        <v>118</v>
      </c>
      <c r="E130" s="3" t="s">
        <v>33</v>
      </c>
      <c r="F130" s="3" t="s">
        <v>49</v>
      </c>
      <c r="G130" s="4">
        <v>45856</v>
      </c>
      <c r="H130" s="3" t="s">
        <v>311</v>
      </c>
      <c r="I130" s="3" t="s">
        <v>35</v>
      </c>
      <c r="J130" s="4">
        <v>45856</v>
      </c>
      <c r="K130" s="4">
        <v>45859</v>
      </c>
      <c r="L130" s="3" t="s">
        <v>36</v>
      </c>
      <c r="M130" s="40">
        <v>256779415810</v>
      </c>
      <c r="N130" s="3" t="s">
        <v>37</v>
      </c>
      <c r="O130" s="3" t="s">
        <v>38</v>
      </c>
      <c r="P130" s="3" t="s">
        <v>39</v>
      </c>
      <c r="Q130" s="3" t="s">
        <v>40</v>
      </c>
      <c r="R130" s="3" t="s">
        <v>41</v>
      </c>
      <c r="S130" s="5">
        <v>17.25</v>
      </c>
      <c r="T130" s="3" t="s">
        <v>42</v>
      </c>
      <c r="U130" s="5">
        <v>1483.51</v>
      </c>
      <c r="V130" s="3" t="s">
        <v>56</v>
      </c>
      <c r="W130" s="3" t="s">
        <v>48</v>
      </c>
      <c r="X130" s="3" t="s">
        <v>39</v>
      </c>
      <c r="Y130" s="3" t="s">
        <v>36</v>
      </c>
      <c r="Z130" s="3" t="s">
        <v>44</v>
      </c>
      <c r="AA130" s="41">
        <f t="shared" si="4"/>
        <v>17.25</v>
      </c>
      <c r="AB130" s="3" t="s">
        <v>307</v>
      </c>
      <c r="AC130" s="3" t="s">
        <v>39</v>
      </c>
      <c r="AD130" s="3" t="s">
        <v>39</v>
      </c>
      <c r="AE130" s="3" t="s">
        <v>39</v>
      </c>
      <c r="AF130" s="4">
        <v>45856</v>
      </c>
      <c r="AG130" s="4">
        <v>45976</v>
      </c>
      <c r="AH130" s="39">
        <v>1400001904</v>
      </c>
    </row>
    <row r="131" spans="1:34" outlineLevel="2" x14ac:dyDescent="0.35">
      <c r="A131" s="3" t="s">
        <v>121</v>
      </c>
      <c r="B131" s="3" t="s">
        <v>32</v>
      </c>
      <c r="C131" s="3" t="s">
        <v>117</v>
      </c>
      <c r="D131" s="3" t="s">
        <v>118</v>
      </c>
      <c r="E131" s="3" t="s">
        <v>33</v>
      </c>
      <c r="F131" s="3" t="s">
        <v>51</v>
      </c>
      <c r="G131" s="4">
        <v>45736</v>
      </c>
      <c r="H131" s="3" t="s">
        <v>312</v>
      </c>
      <c r="I131" s="3" t="s">
        <v>35</v>
      </c>
      <c r="J131" s="4">
        <v>45736</v>
      </c>
      <c r="K131" s="4">
        <v>45737</v>
      </c>
      <c r="L131" s="3" t="s">
        <v>36</v>
      </c>
      <c r="M131" s="40">
        <v>246779413953</v>
      </c>
      <c r="N131" s="3" t="s">
        <v>37</v>
      </c>
      <c r="O131" s="3" t="s">
        <v>38</v>
      </c>
      <c r="P131" s="3" t="s">
        <v>39</v>
      </c>
      <c r="Q131" s="3" t="s">
        <v>40</v>
      </c>
      <c r="R131" s="3" t="s">
        <v>41</v>
      </c>
      <c r="S131" s="5">
        <v>3</v>
      </c>
      <c r="T131" s="3" t="s">
        <v>42</v>
      </c>
      <c r="U131" s="5">
        <v>260.07</v>
      </c>
      <c r="V131" s="3" t="s">
        <v>56</v>
      </c>
      <c r="W131" s="3" t="s">
        <v>48</v>
      </c>
      <c r="X131" s="3" t="s">
        <v>39</v>
      </c>
      <c r="Y131" s="3" t="s">
        <v>36</v>
      </c>
      <c r="Z131" s="3" t="s">
        <v>44</v>
      </c>
      <c r="AA131" s="41">
        <f t="shared" si="4"/>
        <v>3</v>
      </c>
      <c r="AB131" s="3" t="s">
        <v>53</v>
      </c>
      <c r="AC131" s="3" t="s">
        <v>39</v>
      </c>
      <c r="AD131" s="3" t="s">
        <v>39</v>
      </c>
      <c r="AE131" s="3" t="s">
        <v>39</v>
      </c>
      <c r="AF131" s="4">
        <v>45736</v>
      </c>
      <c r="AG131" s="4"/>
      <c r="AH131" s="3" t="s">
        <v>39</v>
      </c>
    </row>
    <row r="132" spans="1:34" outlineLevel="2" x14ac:dyDescent="0.35">
      <c r="A132" s="3" t="s">
        <v>121</v>
      </c>
      <c r="B132" s="3" t="s">
        <v>32</v>
      </c>
      <c r="C132" s="3" t="s">
        <v>117</v>
      </c>
      <c r="D132" s="3" t="s">
        <v>118</v>
      </c>
      <c r="E132" s="3" t="s">
        <v>33</v>
      </c>
      <c r="F132" s="3" t="s">
        <v>51</v>
      </c>
      <c r="G132" s="4">
        <v>45736</v>
      </c>
      <c r="H132" s="3" t="s">
        <v>313</v>
      </c>
      <c r="I132" s="3" t="s">
        <v>35</v>
      </c>
      <c r="J132" s="4">
        <v>45736</v>
      </c>
      <c r="K132" s="4">
        <v>45737</v>
      </c>
      <c r="L132" s="3" t="s">
        <v>36</v>
      </c>
      <c r="M132" s="40">
        <v>246779414225</v>
      </c>
      <c r="N132" s="3" t="s">
        <v>37</v>
      </c>
      <c r="O132" s="3" t="s">
        <v>38</v>
      </c>
      <c r="P132" s="3" t="s">
        <v>39</v>
      </c>
      <c r="Q132" s="3" t="s">
        <v>40</v>
      </c>
      <c r="R132" s="3" t="s">
        <v>41</v>
      </c>
      <c r="S132" s="5">
        <v>13.5</v>
      </c>
      <c r="T132" s="3" t="s">
        <v>42</v>
      </c>
      <c r="U132" s="5">
        <v>1170.33</v>
      </c>
      <c r="V132" s="3" t="s">
        <v>56</v>
      </c>
      <c r="W132" s="3" t="s">
        <v>48</v>
      </c>
      <c r="X132" s="3" t="s">
        <v>39</v>
      </c>
      <c r="Y132" s="3" t="s">
        <v>36</v>
      </c>
      <c r="Z132" s="3" t="s">
        <v>44</v>
      </c>
      <c r="AA132" s="41">
        <f t="shared" si="4"/>
        <v>13.5</v>
      </c>
      <c r="AB132" s="3" t="s">
        <v>54</v>
      </c>
      <c r="AC132" s="3" t="s">
        <v>39</v>
      </c>
      <c r="AD132" s="3" t="s">
        <v>39</v>
      </c>
      <c r="AE132" s="3" t="s">
        <v>39</v>
      </c>
      <c r="AF132" s="4">
        <v>45736</v>
      </c>
      <c r="AG132" s="4"/>
      <c r="AH132" s="3" t="s">
        <v>39</v>
      </c>
    </row>
    <row r="133" spans="1:34" outlineLevel="2" x14ac:dyDescent="0.35">
      <c r="A133" s="3" t="s">
        <v>121</v>
      </c>
      <c r="B133" s="3" t="s">
        <v>32</v>
      </c>
      <c r="C133" s="3" t="s">
        <v>117</v>
      </c>
      <c r="D133" s="3" t="s">
        <v>118</v>
      </c>
      <c r="E133" s="3" t="s">
        <v>33</v>
      </c>
      <c r="F133" s="3" t="s">
        <v>51</v>
      </c>
      <c r="G133" s="4">
        <v>45736</v>
      </c>
      <c r="H133" s="3" t="s">
        <v>314</v>
      </c>
      <c r="I133" s="3" t="s">
        <v>35</v>
      </c>
      <c r="J133" s="4">
        <v>45736</v>
      </c>
      <c r="K133" s="4">
        <v>45737</v>
      </c>
      <c r="L133" s="3" t="s">
        <v>36</v>
      </c>
      <c r="M133" s="40">
        <v>246779414400</v>
      </c>
      <c r="N133" s="3" t="s">
        <v>37</v>
      </c>
      <c r="O133" s="3" t="s">
        <v>38</v>
      </c>
      <c r="P133" s="3" t="s">
        <v>39</v>
      </c>
      <c r="Q133" s="3" t="s">
        <v>40</v>
      </c>
      <c r="R133" s="3" t="s">
        <v>41</v>
      </c>
      <c r="S133" s="5">
        <v>80.95</v>
      </c>
      <c r="T133" s="3" t="s">
        <v>42</v>
      </c>
      <c r="U133" s="5">
        <v>7017.66</v>
      </c>
      <c r="V133" s="3" t="s">
        <v>56</v>
      </c>
      <c r="W133" s="3" t="s">
        <v>48</v>
      </c>
      <c r="X133" s="3" t="s">
        <v>39</v>
      </c>
      <c r="Y133" s="3" t="s">
        <v>36</v>
      </c>
      <c r="Z133" s="3" t="s">
        <v>44</v>
      </c>
      <c r="AA133" s="41">
        <f t="shared" si="4"/>
        <v>80.95</v>
      </c>
      <c r="AB133" s="3" t="s">
        <v>55</v>
      </c>
      <c r="AC133" s="3" t="s">
        <v>39</v>
      </c>
      <c r="AD133" s="3" t="s">
        <v>39</v>
      </c>
      <c r="AE133" s="3" t="s">
        <v>39</v>
      </c>
      <c r="AF133" s="4">
        <v>45736</v>
      </c>
      <c r="AG133" s="4"/>
      <c r="AH133" s="3" t="s">
        <v>39</v>
      </c>
    </row>
    <row r="134" spans="1:34" outlineLevel="2" x14ac:dyDescent="0.35">
      <c r="A134" s="3" t="s">
        <v>121</v>
      </c>
      <c r="B134" s="3" t="s">
        <v>32</v>
      </c>
      <c r="C134" s="3" t="s">
        <v>117</v>
      </c>
      <c r="D134" s="3" t="s">
        <v>118</v>
      </c>
      <c r="E134" s="3" t="s">
        <v>33</v>
      </c>
      <c r="F134" s="3" t="s">
        <v>51</v>
      </c>
      <c r="G134" s="4">
        <v>45736</v>
      </c>
      <c r="H134" s="3" t="s">
        <v>315</v>
      </c>
      <c r="I134" s="3" t="s">
        <v>35</v>
      </c>
      <c r="J134" s="4">
        <v>45736</v>
      </c>
      <c r="K134" s="4">
        <v>45737</v>
      </c>
      <c r="L134" s="3" t="s">
        <v>36</v>
      </c>
      <c r="M134" s="40">
        <v>246779414401</v>
      </c>
      <c r="N134" s="3" t="s">
        <v>37</v>
      </c>
      <c r="O134" s="3" t="s">
        <v>38</v>
      </c>
      <c r="P134" s="3" t="s">
        <v>39</v>
      </c>
      <c r="Q134" s="3" t="s">
        <v>40</v>
      </c>
      <c r="R134" s="3" t="s">
        <v>41</v>
      </c>
      <c r="S134" s="5">
        <v>15</v>
      </c>
      <c r="T134" s="3" t="s">
        <v>42</v>
      </c>
      <c r="U134" s="5">
        <v>1300.3699999999999</v>
      </c>
      <c r="V134" s="3" t="s">
        <v>56</v>
      </c>
      <c r="W134" s="3" t="s">
        <v>48</v>
      </c>
      <c r="X134" s="3" t="s">
        <v>39</v>
      </c>
      <c r="Y134" s="3" t="s">
        <v>36</v>
      </c>
      <c r="Z134" s="3" t="s">
        <v>44</v>
      </c>
      <c r="AA134" s="41">
        <f t="shared" si="4"/>
        <v>15</v>
      </c>
      <c r="AB134" s="3" t="s">
        <v>316</v>
      </c>
      <c r="AC134" s="3" t="s">
        <v>39</v>
      </c>
      <c r="AD134" s="3" t="s">
        <v>39</v>
      </c>
      <c r="AE134" s="3" t="s">
        <v>39</v>
      </c>
      <c r="AF134" s="4">
        <v>45736</v>
      </c>
      <c r="AG134" s="4"/>
      <c r="AH134" s="3" t="s">
        <v>39</v>
      </c>
    </row>
    <row r="135" spans="1:34" outlineLevel="2" x14ac:dyDescent="0.35">
      <c r="A135" s="3" t="s">
        <v>121</v>
      </c>
      <c r="B135" s="3" t="s">
        <v>32</v>
      </c>
      <c r="C135" s="3" t="s">
        <v>117</v>
      </c>
      <c r="D135" s="3" t="s">
        <v>118</v>
      </c>
      <c r="E135" s="3" t="s">
        <v>33</v>
      </c>
      <c r="F135" s="3" t="s">
        <v>51</v>
      </c>
      <c r="G135" s="4">
        <v>45736</v>
      </c>
      <c r="H135" s="3" t="s">
        <v>317</v>
      </c>
      <c r="I135" s="3" t="s">
        <v>35</v>
      </c>
      <c r="J135" s="4">
        <v>45736</v>
      </c>
      <c r="K135" s="4">
        <v>45737</v>
      </c>
      <c r="L135" s="3" t="s">
        <v>36</v>
      </c>
      <c r="M135" s="40">
        <v>246779414738</v>
      </c>
      <c r="N135" s="3" t="s">
        <v>37</v>
      </c>
      <c r="O135" s="3" t="s">
        <v>38</v>
      </c>
      <c r="P135" s="3" t="s">
        <v>39</v>
      </c>
      <c r="Q135" s="3" t="s">
        <v>40</v>
      </c>
      <c r="R135" s="3" t="s">
        <v>41</v>
      </c>
      <c r="S135" s="5">
        <v>2.25</v>
      </c>
      <c r="T135" s="3" t="s">
        <v>42</v>
      </c>
      <c r="U135" s="5">
        <v>195.06</v>
      </c>
      <c r="V135" s="3" t="s">
        <v>56</v>
      </c>
      <c r="W135" s="3" t="s">
        <v>48</v>
      </c>
      <c r="X135" s="3" t="s">
        <v>39</v>
      </c>
      <c r="Y135" s="3" t="s">
        <v>36</v>
      </c>
      <c r="Z135" s="3" t="s">
        <v>44</v>
      </c>
      <c r="AA135" s="41">
        <f t="shared" si="4"/>
        <v>2.25</v>
      </c>
      <c r="AB135" s="3" t="s">
        <v>52</v>
      </c>
      <c r="AC135" s="3" t="s">
        <v>39</v>
      </c>
      <c r="AD135" s="3" t="s">
        <v>39</v>
      </c>
      <c r="AE135" s="3" t="s">
        <v>39</v>
      </c>
      <c r="AF135" s="4">
        <v>45736</v>
      </c>
      <c r="AG135" s="4"/>
      <c r="AH135" s="3" t="s">
        <v>39</v>
      </c>
    </row>
    <row r="136" spans="1:34" outlineLevel="2" x14ac:dyDescent="0.35">
      <c r="A136" s="3" t="s">
        <v>121</v>
      </c>
      <c r="B136" s="3" t="s">
        <v>32</v>
      </c>
      <c r="C136" s="3" t="s">
        <v>117</v>
      </c>
      <c r="D136" s="3" t="s">
        <v>118</v>
      </c>
      <c r="E136" s="3" t="s">
        <v>33</v>
      </c>
      <c r="F136" s="3" t="s">
        <v>51</v>
      </c>
      <c r="G136" s="4">
        <v>45736</v>
      </c>
      <c r="H136" s="3" t="s">
        <v>318</v>
      </c>
      <c r="I136" s="3" t="s">
        <v>35</v>
      </c>
      <c r="J136" s="4">
        <v>45736</v>
      </c>
      <c r="K136" s="4">
        <v>45737</v>
      </c>
      <c r="L136" s="3" t="s">
        <v>36</v>
      </c>
      <c r="M136" s="40">
        <v>246779414739</v>
      </c>
      <c r="N136" s="3" t="s">
        <v>37</v>
      </c>
      <c r="O136" s="3" t="s">
        <v>38</v>
      </c>
      <c r="P136" s="3" t="s">
        <v>39</v>
      </c>
      <c r="Q136" s="3" t="s">
        <v>40</v>
      </c>
      <c r="R136" s="3" t="s">
        <v>41</v>
      </c>
      <c r="S136" s="5">
        <v>0.75</v>
      </c>
      <c r="T136" s="3" t="s">
        <v>42</v>
      </c>
      <c r="U136" s="5">
        <v>65.02</v>
      </c>
      <c r="V136" s="3" t="s">
        <v>56</v>
      </c>
      <c r="W136" s="3" t="s">
        <v>48</v>
      </c>
      <c r="X136" s="3" t="s">
        <v>39</v>
      </c>
      <c r="Y136" s="3" t="s">
        <v>36</v>
      </c>
      <c r="Z136" s="3" t="s">
        <v>44</v>
      </c>
      <c r="AA136" s="41">
        <f t="shared" si="4"/>
        <v>0.75</v>
      </c>
      <c r="AB136" s="3" t="s">
        <v>319</v>
      </c>
      <c r="AC136" s="3" t="s">
        <v>39</v>
      </c>
      <c r="AD136" s="3" t="s">
        <v>39</v>
      </c>
      <c r="AE136" s="3" t="s">
        <v>39</v>
      </c>
      <c r="AF136" s="4">
        <v>45736</v>
      </c>
      <c r="AG136" s="4"/>
      <c r="AH136" s="3" t="s">
        <v>39</v>
      </c>
    </row>
    <row r="137" spans="1:34" outlineLevel="2" x14ac:dyDescent="0.35">
      <c r="A137" s="3" t="s">
        <v>121</v>
      </c>
      <c r="B137" s="3" t="s">
        <v>32</v>
      </c>
      <c r="C137" s="3" t="s">
        <v>117</v>
      </c>
      <c r="D137" s="3" t="s">
        <v>118</v>
      </c>
      <c r="E137" s="3" t="s">
        <v>33</v>
      </c>
      <c r="F137" s="3" t="s">
        <v>51</v>
      </c>
      <c r="G137" s="4">
        <v>45736</v>
      </c>
      <c r="H137" s="3" t="s">
        <v>320</v>
      </c>
      <c r="I137" s="3" t="s">
        <v>35</v>
      </c>
      <c r="J137" s="4">
        <v>45736</v>
      </c>
      <c r="K137" s="4">
        <v>45737</v>
      </c>
      <c r="L137" s="3" t="s">
        <v>36</v>
      </c>
      <c r="M137" s="40">
        <v>246779414794</v>
      </c>
      <c r="N137" s="3" t="s">
        <v>37</v>
      </c>
      <c r="O137" s="3" t="s">
        <v>38</v>
      </c>
      <c r="P137" s="3" t="s">
        <v>39</v>
      </c>
      <c r="Q137" s="3" t="s">
        <v>40</v>
      </c>
      <c r="R137" s="3" t="s">
        <v>41</v>
      </c>
      <c r="S137" s="5">
        <v>2.25</v>
      </c>
      <c r="T137" s="3" t="s">
        <v>42</v>
      </c>
      <c r="U137" s="5">
        <v>195.06</v>
      </c>
      <c r="V137" s="3" t="s">
        <v>56</v>
      </c>
      <c r="W137" s="3" t="s">
        <v>48</v>
      </c>
      <c r="X137" s="3" t="s">
        <v>39</v>
      </c>
      <c r="Y137" s="3" t="s">
        <v>36</v>
      </c>
      <c r="Z137" s="3" t="s">
        <v>44</v>
      </c>
      <c r="AA137" s="41">
        <f t="shared" si="4"/>
        <v>2.25</v>
      </c>
      <c r="AB137" s="3" t="s">
        <v>53</v>
      </c>
      <c r="AC137" s="3" t="s">
        <v>39</v>
      </c>
      <c r="AD137" s="3" t="s">
        <v>39</v>
      </c>
      <c r="AE137" s="3" t="s">
        <v>39</v>
      </c>
      <c r="AF137" s="4">
        <v>45736</v>
      </c>
      <c r="AG137" s="4"/>
      <c r="AH137" s="3" t="s">
        <v>39</v>
      </c>
    </row>
    <row r="138" spans="1:34" outlineLevel="2" x14ac:dyDescent="0.35">
      <c r="A138" s="3" t="s">
        <v>121</v>
      </c>
      <c r="B138" s="3" t="s">
        <v>32</v>
      </c>
      <c r="C138" s="3" t="s">
        <v>117</v>
      </c>
      <c r="D138" s="3" t="s">
        <v>118</v>
      </c>
      <c r="E138" s="3" t="s">
        <v>33</v>
      </c>
      <c r="F138" s="3" t="s">
        <v>51</v>
      </c>
      <c r="G138" s="4">
        <v>45736</v>
      </c>
      <c r="H138" s="3" t="s">
        <v>321</v>
      </c>
      <c r="I138" s="3" t="s">
        <v>35</v>
      </c>
      <c r="J138" s="4">
        <v>45736</v>
      </c>
      <c r="K138" s="4">
        <v>45737</v>
      </c>
      <c r="L138" s="3" t="s">
        <v>36</v>
      </c>
      <c r="M138" s="40">
        <v>246779414795</v>
      </c>
      <c r="N138" s="3" t="s">
        <v>37</v>
      </c>
      <c r="O138" s="3" t="s">
        <v>38</v>
      </c>
      <c r="P138" s="3" t="s">
        <v>39</v>
      </c>
      <c r="Q138" s="3" t="s">
        <v>40</v>
      </c>
      <c r="R138" s="3" t="s">
        <v>41</v>
      </c>
      <c r="S138" s="5">
        <v>0.75</v>
      </c>
      <c r="T138" s="3" t="s">
        <v>42</v>
      </c>
      <c r="U138" s="5">
        <v>65.02</v>
      </c>
      <c r="V138" s="3" t="s">
        <v>56</v>
      </c>
      <c r="W138" s="3" t="s">
        <v>48</v>
      </c>
      <c r="X138" s="3" t="s">
        <v>39</v>
      </c>
      <c r="Y138" s="3" t="s">
        <v>36</v>
      </c>
      <c r="Z138" s="3" t="s">
        <v>44</v>
      </c>
      <c r="AA138" s="41">
        <f t="shared" si="4"/>
        <v>0.75</v>
      </c>
      <c r="AB138" s="3" t="s">
        <v>322</v>
      </c>
      <c r="AC138" s="3" t="s">
        <v>39</v>
      </c>
      <c r="AD138" s="3" t="s">
        <v>39</v>
      </c>
      <c r="AE138" s="3" t="s">
        <v>39</v>
      </c>
      <c r="AF138" s="4">
        <v>45736</v>
      </c>
      <c r="AG138" s="4"/>
      <c r="AH138" s="3" t="s">
        <v>39</v>
      </c>
    </row>
    <row r="139" spans="1:34" outlineLevel="2" x14ac:dyDescent="0.35">
      <c r="A139" s="3" t="s">
        <v>121</v>
      </c>
      <c r="B139" s="3" t="s">
        <v>32</v>
      </c>
      <c r="C139" s="3" t="s">
        <v>117</v>
      </c>
      <c r="D139" s="3" t="s">
        <v>118</v>
      </c>
      <c r="E139" s="3" t="s">
        <v>33</v>
      </c>
      <c r="F139" s="3" t="s">
        <v>51</v>
      </c>
      <c r="G139" s="4">
        <v>45736</v>
      </c>
      <c r="H139" s="3" t="s">
        <v>323</v>
      </c>
      <c r="I139" s="3" t="s">
        <v>35</v>
      </c>
      <c r="J139" s="4">
        <v>45736</v>
      </c>
      <c r="K139" s="4">
        <v>45737</v>
      </c>
      <c r="L139" s="3" t="s">
        <v>36</v>
      </c>
      <c r="M139" s="40">
        <v>246779414607</v>
      </c>
      <c r="N139" s="3" t="s">
        <v>37</v>
      </c>
      <c r="O139" s="3" t="s">
        <v>38</v>
      </c>
      <c r="P139" s="3" t="s">
        <v>39</v>
      </c>
      <c r="Q139" s="3" t="s">
        <v>40</v>
      </c>
      <c r="R139" s="3" t="s">
        <v>41</v>
      </c>
      <c r="S139" s="5">
        <v>2.25</v>
      </c>
      <c r="T139" s="3" t="s">
        <v>42</v>
      </c>
      <c r="U139" s="5">
        <v>195.06</v>
      </c>
      <c r="V139" s="3" t="s">
        <v>56</v>
      </c>
      <c r="W139" s="3" t="s">
        <v>48</v>
      </c>
      <c r="X139" s="3" t="s">
        <v>39</v>
      </c>
      <c r="Y139" s="3" t="s">
        <v>36</v>
      </c>
      <c r="Z139" s="3" t="s">
        <v>44</v>
      </c>
      <c r="AA139" s="41">
        <f t="shared" si="4"/>
        <v>2.25</v>
      </c>
      <c r="AB139" s="3" t="s">
        <v>57</v>
      </c>
      <c r="AC139" s="3" t="s">
        <v>39</v>
      </c>
      <c r="AD139" s="3" t="s">
        <v>39</v>
      </c>
      <c r="AE139" s="3" t="s">
        <v>39</v>
      </c>
      <c r="AF139" s="4">
        <v>45736</v>
      </c>
      <c r="AG139" s="4"/>
      <c r="AH139" s="3" t="s">
        <v>39</v>
      </c>
    </row>
    <row r="140" spans="1:34" outlineLevel="2" x14ac:dyDescent="0.35">
      <c r="A140" s="3" t="s">
        <v>121</v>
      </c>
      <c r="B140" s="3" t="s">
        <v>32</v>
      </c>
      <c r="C140" s="3" t="s">
        <v>117</v>
      </c>
      <c r="D140" s="3" t="s">
        <v>118</v>
      </c>
      <c r="E140" s="3" t="s">
        <v>33</v>
      </c>
      <c r="F140" s="3" t="s">
        <v>51</v>
      </c>
      <c r="G140" s="4">
        <v>45736</v>
      </c>
      <c r="H140" s="3" t="s">
        <v>324</v>
      </c>
      <c r="I140" s="3" t="s">
        <v>35</v>
      </c>
      <c r="J140" s="4">
        <v>45736</v>
      </c>
      <c r="K140" s="4">
        <v>45737</v>
      </c>
      <c r="L140" s="3" t="s">
        <v>36</v>
      </c>
      <c r="M140" s="40">
        <v>246779414685</v>
      </c>
      <c r="N140" s="3" t="s">
        <v>37</v>
      </c>
      <c r="O140" s="3" t="s">
        <v>38</v>
      </c>
      <c r="P140" s="3" t="s">
        <v>39</v>
      </c>
      <c r="Q140" s="3" t="s">
        <v>40</v>
      </c>
      <c r="R140" s="3" t="s">
        <v>41</v>
      </c>
      <c r="S140" s="5">
        <v>42.93</v>
      </c>
      <c r="T140" s="3" t="s">
        <v>42</v>
      </c>
      <c r="U140" s="5">
        <v>3721.66</v>
      </c>
      <c r="V140" s="3" t="s">
        <v>56</v>
      </c>
      <c r="W140" s="3" t="s">
        <v>48</v>
      </c>
      <c r="X140" s="3" t="s">
        <v>39</v>
      </c>
      <c r="Y140" s="3" t="s">
        <v>36</v>
      </c>
      <c r="Z140" s="3" t="s">
        <v>44</v>
      </c>
      <c r="AA140" s="41">
        <f t="shared" si="4"/>
        <v>42.93</v>
      </c>
      <c r="AB140" s="3" t="s">
        <v>58</v>
      </c>
      <c r="AC140" s="3" t="s">
        <v>39</v>
      </c>
      <c r="AD140" s="3" t="s">
        <v>39</v>
      </c>
      <c r="AE140" s="3" t="s">
        <v>39</v>
      </c>
      <c r="AF140" s="4">
        <v>45736</v>
      </c>
      <c r="AG140" s="4"/>
      <c r="AH140" s="3" t="s">
        <v>39</v>
      </c>
    </row>
    <row r="141" spans="1:34" outlineLevel="2" x14ac:dyDescent="0.35">
      <c r="A141" s="3" t="s">
        <v>121</v>
      </c>
      <c r="B141" s="3" t="s">
        <v>32</v>
      </c>
      <c r="C141" s="3" t="s">
        <v>117</v>
      </c>
      <c r="D141" s="3" t="s">
        <v>118</v>
      </c>
      <c r="E141" s="3" t="s">
        <v>33</v>
      </c>
      <c r="F141" s="3" t="s">
        <v>65</v>
      </c>
      <c r="G141" s="4">
        <v>45944</v>
      </c>
      <c r="H141" s="3" t="s">
        <v>325</v>
      </c>
      <c r="I141" s="3" t="s">
        <v>35</v>
      </c>
      <c r="J141" s="4">
        <v>45944</v>
      </c>
      <c r="K141" s="4">
        <v>45945</v>
      </c>
      <c r="L141" s="3" t="s">
        <v>36</v>
      </c>
      <c r="M141" s="40">
        <v>256779418410</v>
      </c>
      <c r="N141" s="3" t="s">
        <v>37</v>
      </c>
      <c r="O141" s="3" t="s">
        <v>38</v>
      </c>
      <c r="P141" s="3" t="s">
        <v>39</v>
      </c>
      <c r="Q141" s="3" t="s">
        <v>40</v>
      </c>
      <c r="R141" s="3" t="s">
        <v>41</v>
      </c>
      <c r="S141" s="5">
        <v>480.02</v>
      </c>
      <c r="T141" s="3" t="s">
        <v>42</v>
      </c>
      <c r="U141" s="5">
        <v>42333.33</v>
      </c>
      <c r="V141" s="3" t="s">
        <v>56</v>
      </c>
      <c r="W141" s="3" t="s">
        <v>48</v>
      </c>
      <c r="X141" s="3" t="s">
        <v>39</v>
      </c>
      <c r="Y141" s="3" t="s">
        <v>326</v>
      </c>
      <c r="Z141" s="3" t="s">
        <v>44</v>
      </c>
      <c r="AA141" s="41">
        <f t="shared" si="4"/>
        <v>480.02</v>
      </c>
      <c r="AB141" s="3" t="s">
        <v>327</v>
      </c>
      <c r="AC141" s="3" t="s">
        <v>39</v>
      </c>
      <c r="AD141" s="3" t="s">
        <v>39</v>
      </c>
      <c r="AE141" s="3" t="s">
        <v>39</v>
      </c>
      <c r="AF141" s="4">
        <v>45944</v>
      </c>
      <c r="AG141" s="4"/>
      <c r="AH141" s="3" t="s">
        <v>39</v>
      </c>
    </row>
    <row r="142" spans="1:34" outlineLevel="2" x14ac:dyDescent="0.35">
      <c r="A142" s="3" t="s">
        <v>116</v>
      </c>
      <c r="B142" s="3" t="s">
        <v>32</v>
      </c>
      <c r="C142" s="3" t="s">
        <v>117</v>
      </c>
      <c r="D142" s="3" t="s">
        <v>118</v>
      </c>
      <c r="E142" s="3" t="s">
        <v>33</v>
      </c>
      <c r="F142" s="3" t="s">
        <v>82</v>
      </c>
      <c r="G142" s="4">
        <v>45708</v>
      </c>
      <c r="H142" s="3" t="s">
        <v>328</v>
      </c>
      <c r="I142" s="3" t="s">
        <v>35</v>
      </c>
      <c r="J142" s="4">
        <v>45708</v>
      </c>
      <c r="K142" s="4">
        <v>45708</v>
      </c>
      <c r="L142" s="3" t="s">
        <v>36</v>
      </c>
      <c r="M142" s="40">
        <v>246779410007</v>
      </c>
      <c r="N142" s="3" t="s">
        <v>37</v>
      </c>
      <c r="O142" s="3" t="s">
        <v>38</v>
      </c>
      <c r="P142" s="3" t="s">
        <v>39</v>
      </c>
      <c r="Q142" s="3" t="s">
        <v>40</v>
      </c>
      <c r="R142" s="3" t="s">
        <v>41</v>
      </c>
      <c r="S142" s="5">
        <v>1190.48</v>
      </c>
      <c r="T142" s="3" t="s">
        <v>42</v>
      </c>
      <c r="U142" s="5">
        <v>102742.78</v>
      </c>
      <c r="V142" s="3" t="s">
        <v>56</v>
      </c>
      <c r="W142" s="3" t="s">
        <v>48</v>
      </c>
      <c r="X142" s="3" t="s">
        <v>39</v>
      </c>
      <c r="Y142" s="3" t="s">
        <v>36</v>
      </c>
      <c r="Z142" s="3" t="s">
        <v>44</v>
      </c>
      <c r="AA142" s="41">
        <f t="shared" si="4"/>
        <v>1190.48</v>
      </c>
      <c r="AB142" s="3" t="s">
        <v>329</v>
      </c>
      <c r="AC142" s="3" t="s">
        <v>39</v>
      </c>
      <c r="AD142" s="3" t="s">
        <v>39</v>
      </c>
      <c r="AE142" s="3" t="s">
        <v>39</v>
      </c>
      <c r="AF142" s="4">
        <v>45708</v>
      </c>
      <c r="AG142" s="4">
        <v>45862</v>
      </c>
      <c r="AH142" s="39">
        <v>1400000805</v>
      </c>
    </row>
    <row r="143" spans="1:34" outlineLevel="2" x14ac:dyDescent="0.35">
      <c r="A143" s="3" t="s">
        <v>116</v>
      </c>
      <c r="B143" s="3" t="s">
        <v>32</v>
      </c>
      <c r="C143" s="3" t="s">
        <v>117</v>
      </c>
      <c r="D143" s="3" t="s">
        <v>118</v>
      </c>
      <c r="E143" s="3" t="s">
        <v>33</v>
      </c>
      <c r="F143" s="3" t="s">
        <v>82</v>
      </c>
      <c r="G143" s="4">
        <v>45708</v>
      </c>
      <c r="H143" s="3" t="s">
        <v>330</v>
      </c>
      <c r="I143" s="3" t="s">
        <v>35</v>
      </c>
      <c r="J143" s="4">
        <v>45708</v>
      </c>
      <c r="K143" s="4">
        <v>45709</v>
      </c>
      <c r="L143" s="3" t="s">
        <v>36</v>
      </c>
      <c r="M143" s="40">
        <v>246779410274</v>
      </c>
      <c r="N143" s="3" t="s">
        <v>37</v>
      </c>
      <c r="O143" s="3" t="s">
        <v>38</v>
      </c>
      <c r="P143" s="3" t="s">
        <v>39</v>
      </c>
      <c r="Q143" s="3" t="s">
        <v>40</v>
      </c>
      <c r="R143" s="3" t="s">
        <v>41</v>
      </c>
      <c r="S143" s="5">
        <v>1190.48</v>
      </c>
      <c r="T143" s="3" t="s">
        <v>42</v>
      </c>
      <c r="U143" s="5">
        <v>102742.78</v>
      </c>
      <c r="V143" s="3" t="s">
        <v>56</v>
      </c>
      <c r="W143" s="3" t="s">
        <v>48</v>
      </c>
      <c r="X143" s="3" t="s">
        <v>39</v>
      </c>
      <c r="Y143" s="3" t="s">
        <v>36</v>
      </c>
      <c r="Z143" s="3" t="s">
        <v>44</v>
      </c>
      <c r="AA143" s="41">
        <f t="shared" si="4"/>
        <v>1190.48</v>
      </c>
      <c r="AB143" s="3" t="s">
        <v>331</v>
      </c>
      <c r="AC143" s="3" t="s">
        <v>39</v>
      </c>
      <c r="AD143" s="3" t="s">
        <v>39</v>
      </c>
      <c r="AE143" s="3" t="s">
        <v>39</v>
      </c>
      <c r="AF143" s="4">
        <v>45708</v>
      </c>
      <c r="AG143" s="4">
        <v>45862</v>
      </c>
      <c r="AH143" s="39">
        <v>1400000805</v>
      </c>
    </row>
    <row r="144" spans="1:34" outlineLevel="2" x14ac:dyDescent="0.35">
      <c r="A144" s="3" t="s">
        <v>116</v>
      </c>
      <c r="B144" s="3" t="s">
        <v>32</v>
      </c>
      <c r="C144" s="3" t="s">
        <v>117</v>
      </c>
      <c r="D144" s="3" t="s">
        <v>118</v>
      </c>
      <c r="E144" s="3" t="s">
        <v>33</v>
      </c>
      <c r="F144" s="3" t="s">
        <v>82</v>
      </c>
      <c r="G144" s="4">
        <v>45708</v>
      </c>
      <c r="H144" s="3" t="s">
        <v>332</v>
      </c>
      <c r="I144" s="3" t="s">
        <v>35</v>
      </c>
      <c r="J144" s="4">
        <v>45708</v>
      </c>
      <c r="K144" s="4">
        <v>45708</v>
      </c>
      <c r="L144" s="3" t="s">
        <v>36</v>
      </c>
      <c r="M144" s="40">
        <v>246779410027</v>
      </c>
      <c r="N144" s="3" t="s">
        <v>37</v>
      </c>
      <c r="O144" s="3" t="s">
        <v>38</v>
      </c>
      <c r="P144" s="3" t="s">
        <v>39</v>
      </c>
      <c r="Q144" s="3" t="s">
        <v>40</v>
      </c>
      <c r="R144" s="3" t="s">
        <v>41</v>
      </c>
      <c r="S144" s="5">
        <v>1190.48</v>
      </c>
      <c r="T144" s="3" t="s">
        <v>42</v>
      </c>
      <c r="U144" s="5">
        <v>102742.78</v>
      </c>
      <c r="V144" s="3" t="s">
        <v>56</v>
      </c>
      <c r="W144" s="3" t="s">
        <v>48</v>
      </c>
      <c r="X144" s="3" t="s">
        <v>39</v>
      </c>
      <c r="Y144" s="3" t="s">
        <v>36</v>
      </c>
      <c r="Z144" s="3" t="s">
        <v>44</v>
      </c>
      <c r="AA144" s="41">
        <f t="shared" si="4"/>
        <v>1190.48</v>
      </c>
      <c r="AB144" s="3" t="s">
        <v>333</v>
      </c>
      <c r="AC144" s="3" t="s">
        <v>39</v>
      </c>
      <c r="AD144" s="3" t="s">
        <v>39</v>
      </c>
      <c r="AE144" s="3" t="s">
        <v>39</v>
      </c>
      <c r="AF144" s="4">
        <v>45708</v>
      </c>
      <c r="AG144" s="4">
        <v>45862</v>
      </c>
      <c r="AH144" s="39">
        <v>1400000805</v>
      </c>
    </row>
    <row r="145" spans="1:34" outlineLevel="2" x14ac:dyDescent="0.35">
      <c r="A145" s="3" t="s">
        <v>116</v>
      </c>
      <c r="B145" s="3" t="s">
        <v>32</v>
      </c>
      <c r="C145" s="3" t="s">
        <v>117</v>
      </c>
      <c r="D145" s="3" t="s">
        <v>118</v>
      </c>
      <c r="E145" s="3" t="s">
        <v>33</v>
      </c>
      <c r="F145" s="3" t="s">
        <v>82</v>
      </c>
      <c r="G145" s="4">
        <v>45708</v>
      </c>
      <c r="H145" s="3" t="s">
        <v>334</v>
      </c>
      <c r="I145" s="3" t="s">
        <v>35</v>
      </c>
      <c r="J145" s="4">
        <v>45708</v>
      </c>
      <c r="K145" s="4">
        <v>45708</v>
      </c>
      <c r="L145" s="3" t="s">
        <v>36</v>
      </c>
      <c r="M145" s="40">
        <v>246779410095</v>
      </c>
      <c r="N145" s="3" t="s">
        <v>37</v>
      </c>
      <c r="O145" s="3" t="s">
        <v>38</v>
      </c>
      <c r="P145" s="3" t="s">
        <v>39</v>
      </c>
      <c r="Q145" s="3" t="s">
        <v>40</v>
      </c>
      <c r="R145" s="3" t="s">
        <v>41</v>
      </c>
      <c r="S145" s="5">
        <v>1190.48</v>
      </c>
      <c r="T145" s="3" t="s">
        <v>42</v>
      </c>
      <c r="U145" s="5">
        <v>102742.78</v>
      </c>
      <c r="V145" s="3" t="s">
        <v>56</v>
      </c>
      <c r="W145" s="3" t="s">
        <v>48</v>
      </c>
      <c r="X145" s="3" t="s">
        <v>39</v>
      </c>
      <c r="Y145" s="3" t="s">
        <v>36</v>
      </c>
      <c r="Z145" s="3" t="s">
        <v>44</v>
      </c>
      <c r="AA145" s="41">
        <f t="shared" si="4"/>
        <v>1190.48</v>
      </c>
      <c r="AB145" s="3" t="s">
        <v>335</v>
      </c>
      <c r="AC145" s="3" t="s">
        <v>39</v>
      </c>
      <c r="AD145" s="3" t="s">
        <v>39</v>
      </c>
      <c r="AE145" s="3" t="s">
        <v>39</v>
      </c>
      <c r="AF145" s="4">
        <v>45708</v>
      </c>
      <c r="AG145" s="4">
        <v>45862</v>
      </c>
      <c r="AH145" s="39">
        <v>1400000805</v>
      </c>
    </row>
    <row r="146" spans="1:34" outlineLevel="2" x14ac:dyDescent="0.35">
      <c r="A146" s="3" t="s">
        <v>116</v>
      </c>
      <c r="B146" s="3" t="s">
        <v>32</v>
      </c>
      <c r="C146" s="3" t="s">
        <v>117</v>
      </c>
      <c r="D146" s="3" t="s">
        <v>118</v>
      </c>
      <c r="E146" s="3" t="s">
        <v>33</v>
      </c>
      <c r="F146" s="3" t="s">
        <v>82</v>
      </c>
      <c r="G146" s="4">
        <v>45708</v>
      </c>
      <c r="H146" s="3" t="s">
        <v>336</v>
      </c>
      <c r="I146" s="3" t="s">
        <v>35</v>
      </c>
      <c r="J146" s="4">
        <v>45708</v>
      </c>
      <c r="K146" s="4">
        <v>45708</v>
      </c>
      <c r="L146" s="3" t="s">
        <v>36</v>
      </c>
      <c r="M146" s="40">
        <v>246779410138</v>
      </c>
      <c r="N146" s="3" t="s">
        <v>37</v>
      </c>
      <c r="O146" s="3" t="s">
        <v>38</v>
      </c>
      <c r="P146" s="3" t="s">
        <v>39</v>
      </c>
      <c r="Q146" s="3" t="s">
        <v>40</v>
      </c>
      <c r="R146" s="3" t="s">
        <v>41</v>
      </c>
      <c r="S146" s="5">
        <v>1190.48</v>
      </c>
      <c r="T146" s="3" t="s">
        <v>42</v>
      </c>
      <c r="U146" s="5">
        <v>102742.78</v>
      </c>
      <c r="V146" s="3" t="s">
        <v>56</v>
      </c>
      <c r="W146" s="3" t="s">
        <v>48</v>
      </c>
      <c r="X146" s="3" t="s">
        <v>39</v>
      </c>
      <c r="Y146" s="3" t="s">
        <v>36</v>
      </c>
      <c r="Z146" s="3" t="s">
        <v>44</v>
      </c>
      <c r="AA146" s="41">
        <f t="shared" si="4"/>
        <v>1190.48</v>
      </c>
      <c r="AB146" s="3" t="s">
        <v>337</v>
      </c>
      <c r="AC146" s="3" t="s">
        <v>39</v>
      </c>
      <c r="AD146" s="3" t="s">
        <v>39</v>
      </c>
      <c r="AE146" s="3" t="s">
        <v>39</v>
      </c>
      <c r="AF146" s="4">
        <v>45708</v>
      </c>
      <c r="AG146" s="4">
        <v>45862</v>
      </c>
      <c r="AH146" s="39">
        <v>1400000805</v>
      </c>
    </row>
    <row r="147" spans="1:34" outlineLevel="2" x14ac:dyDescent="0.35">
      <c r="A147" s="3" t="s">
        <v>116</v>
      </c>
      <c r="B147" s="3" t="s">
        <v>32</v>
      </c>
      <c r="C147" s="3" t="s">
        <v>117</v>
      </c>
      <c r="D147" s="3" t="s">
        <v>118</v>
      </c>
      <c r="E147" s="3" t="s">
        <v>33</v>
      </c>
      <c r="F147" s="3" t="s">
        <v>82</v>
      </c>
      <c r="G147" s="4">
        <v>45708</v>
      </c>
      <c r="H147" s="3" t="s">
        <v>338</v>
      </c>
      <c r="I147" s="3" t="s">
        <v>35</v>
      </c>
      <c r="J147" s="4">
        <v>45708</v>
      </c>
      <c r="K147" s="4">
        <v>45708</v>
      </c>
      <c r="L147" s="3" t="s">
        <v>36</v>
      </c>
      <c r="M147" s="40">
        <v>246779410181</v>
      </c>
      <c r="N147" s="3" t="s">
        <v>37</v>
      </c>
      <c r="O147" s="3" t="s">
        <v>38</v>
      </c>
      <c r="P147" s="3" t="s">
        <v>39</v>
      </c>
      <c r="Q147" s="3" t="s">
        <v>40</v>
      </c>
      <c r="R147" s="3" t="s">
        <v>41</v>
      </c>
      <c r="S147" s="5">
        <v>1166.5899999999999</v>
      </c>
      <c r="T147" s="3" t="s">
        <v>42</v>
      </c>
      <c r="U147" s="5">
        <v>100680.99</v>
      </c>
      <c r="V147" s="3" t="s">
        <v>56</v>
      </c>
      <c r="W147" s="3" t="s">
        <v>48</v>
      </c>
      <c r="X147" s="3" t="s">
        <v>39</v>
      </c>
      <c r="Y147" s="3" t="s">
        <v>36</v>
      </c>
      <c r="Z147" s="3" t="s">
        <v>44</v>
      </c>
      <c r="AA147" s="41">
        <f t="shared" si="4"/>
        <v>1166.5899999999999</v>
      </c>
      <c r="AB147" s="3" t="s">
        <v>339</v>
      </c>
      <c r="AC147" s="3" t="s">
        <v>39</v>
      </c>
      <c r="AD147" s="3" t="s">
        <v>39</v>
      </c>
      <c r="AE147" s="3" t="s">
        <v>39</v>
      </c>
      <c r="AF147" s="4">
        <v>45708</v>
      </c>
      <c r="AG147" s="4">
        <v>45862</v>
      </c>
      <c r="AH147" s="39">
        <v>1400000805</v>
      </c>
    </row>
    <row r="148" spans="1:34" outlineLevel="2" x14ac:dyDescent="0.35">
      <c r="A148" s="3" t="s">
        <v>116</v>
      </c>
      <c r="B148" s="3" t="s">
        <v>32</v>
      </c>
      <c r="C148" s="3" t="s">
        <v>117</v>
      </c>
      <c r="D148" s="3" t="s">
        <v>118</v>
      </c>
      <c r="E148" s="3" t="s">
        <v>33</v>
      </c>
      <c r="F148" s="3" t="s">
        <v>82</v>
      </c>
      <c r="G148" s="4">
        <v>45708</v>
      </c>
      <c r="H148" s="3" t="s">
        <v>340</v>
      </c>
      <c r="I148" s="3" t="s">
        <v>35</v>
      </c>
      <c r="J148" s="4">
        <v>45708</v>
      </c>
      <c r="K148" s="4">
        <v>45708</v>
      </c>
      <c r="L148" s="3" t="s">
        <v>36</v>
      </c>
      <c r="M148" s="40">
        <v>246779410224</v>
      </c>
      <c r="N148" s="3" t="s">
        <v>37</v>
      </c>
      <c r="O148" s="3" t="s">
        <v>38</v>
      </c>
      <c r="P148" s="3" t="s">
        <v>39</v>
      </c>
      <c r="Q148" s="3" t="s">
        <v>40</v>
      </c>
      <c r="R148" s="3" t="s">
        <v>41</v>
      </c>
      <c r="S148" s="5">
        <v>1143.1199999999999</v>
      </c>
      <c r="T148" s="3" t="s">
        <v>42</v>
      </c>
      <c r="U148" s="5">
        <v>98655.44</v>
      </c>
      <c r="V148" s="3" t="s">
        <v>56</v>
      </c>
      <c r="W148" s="3" t="s">
        <v>48</v>
      </c>
      <c r="X148" s="3" t="s">
        <v>39</v>
      </c>
      <c r="Y148" s="3" t="s">
        <v>36</v>
      </c>
      <c r="Z148" s="3" t="s">
        <v>44</v>
      </c>
      <c r="AA148" s="41">
        <f t="shared" si="4"/>
        <v>1143.1199999999999</v>
      </c>
      <c r="AB148" s="3" t="s">
        <v>341</v>
      </c>
      <c r="AC148" s="3" t="s">
        <v>39</v>
      </c>
      <c r="AD148" s="3" t="s">
        <v>39</v>
      </c>
      <c r="AE148" s="3" t="s">
        <v>39</v>
      </c>
      <c r="AF148" s="4">
        <v>45708</v>
      </c>
      <c r="AG148" s="4">
        <v>45862</v>
      </c>
      <c r="AH148" s="39">
        <v>1400000805</v>
      </c>
    </row>
    <row r="149" spans="1:34" outlineLevel="2" x14ac:dyDescent="0.35">
      <c r="A149" s="3" t="s">
        <v>121</v>
      </c>
      <c r="B149" s="3" t="s">
        <v>32</v>
      </c>
      <c r="C149" s="3" t="s">
        <v>117</v>
      </c>
      <c r="D149" s="3" t="s">
        <v>118</v>
      </c>
      <c r="E149" s="3" t="s">
        <v>33</v>
      </c>
      <c r="F149" s="3" t="s">
        <v>59</v>
      </c>
      <c r="G149" s="4">
        <v>45889</v>
      </c>
      <c r="H149" s="3" t="s">
        <v>342</v>
      </c>
      <c r="I149" s="3" t="s">
        <v>35</v>
      </c>
      <c r="J149" s="4">
        <v>45889</v>
      </c>
      <c r="K149" s="4">
        <v>45891</v>
      </c>
      <c r="L149" s="3" t="s">
        <v>36</v>
      </c>
      <c r="M149" s="40">
        <v>256779416604</v>
      </c>
      <c r="N149" s="3" t="s">
        <v>37</v>
      </c>
      <c r="O149" s="3" t="s">
        <v>38</v>
      </c>
      <c r="P149" s="3" t="s">
        <v>39</v>
      </c>
      <c r="Q149" s="3" t="s">
        <v>40</v>
      </c>
      <c r="R149" s="3" t="s">
        <v>41</v>
      </c>
      <c r="S149" s="5">
        <v>17.309999999999999</v>
      </c>
      <c r="T149" s="3" t="s">
        <v>42</v>
      </c>
      <c r="U149" s="5">
        <v>1489.18</v>
      </c>
      <c r="V149" s="3" t="s">
        <v>56</v>
      </c>
      <c r="W149" s="3" t="s">
        <v>48</v>
      </c>
      <c r="X149" s="3" t="s">
        <v>39</v>
      </c>
      <c r="Y149" s="3" t="s">
        <v>36</v>
      </c>
      <c r="Z149" s="3" t="s">
        <v>44</v>
      </c>
      <c r="AA149" s="41">
        <f t="shared" si="4"/>
        <v>17.309999999999999</v>
      </c>
      <c r="AB149" s="3" t="s">
        <v>343</v>
      </c>
      <c r="AC149" s="3" t="s">
        <v>39</v>
      </c>
      <c r="AD149" s="3" t="s">
        <v>39</v>
      </c>
      <c r="AE149" s="3" t="s">
        <v>39</v>
      </c>
      <c r="AF149" s="4">
        <v>45889</v>
      </c>
      <c r="AG149" s="4"/>
      <c r="AH149" s="3" t="s">
        <v>39</v>
      </c>
    </row>
    <row r="150" spans="1:34" outlineLevel="2" x14ac:dyDescent="0.35">
      <c r="A150" s="3" t="s">
        <v>121</v>
      </c>
      <c r="B150" s="3" t="s">
        <v>32</v>
      </c>
      <c r="C150" s="3" t="s">
        <v>117</v>
      </c>
      <c r="D150" s="3" t="s">
        <v>118</v>
      </c>
      <c r="E150" s="3" t="s">
        <v>33</v>
      </c>
      <c r="F150" s="3" t="s">
        <v>59</v>
      </c>
      <c r="G150" s="4">
        <v>45889</v>
      </c>
      <c r="H150" s="3" t="s">
        <v>344</v>
      </c>
      <c r="I150" s="3" t="s">
        <v>35</v>
      </c>
      <c r="J150" s="4">
        <v>45889</v>
      </c>
      <c r="K150" s="4">
        <v>45891</v>
      </c>
      <c r="L150" s="3" t="s">
        <v>36</v>
      </c>
      <c r="M150" s="40">
        <v>256779416616</v>
      </c>
      <c r="N150" s="3" t="s">
        <v>37</v>
      </c>
      <c r="O150" s="3" t="s">
        <v>38</v>
      </c>
      <c r="P150" s="3" t="s">
        <v>39</v>
      </c>
      <c r="Q150" s="3" t="s">
        <v>40</v>
      </c>
      <c r="R150" s="3" t="s">
        <v>41</v>
      </c>
      <c r="S150" s="5">
        <v>63.65</v>
      </c>
      <c r="T150" s="3" t="s">
        <v>42</v>
      </c>
      <c r="U150" s="5">
        <v>5475.82</v>
      </c>
      <c r="V150" s="3" t="s">
        <v>56</v>
      </c>
      <c r="W150" s="3" t="s">
        <v>48</v>
      </c>
      <c r="X150" s="3" t="s">
        <v>39</v>
      </c>
      <c r="Y150" s="3" t="s">
        <v>36</v>
      </c>
      <c r="Z150" s="3" t="s">
        <v>44</v>
      </c>
      <c r="AA150" s="41">
        <f t="shared" ref="AA150:AA181" si="5">S150</f>
        <v>63.65</v>
      </c>
      <c r="AB150" s="3" t="s">
        <v>345</v>
      </c>
      <c r="AC150" s="3" t="s">
        <v>39</v>
      </c>
      <c r="AD150" s="3" t="s">
        <v>39</v>
      </c>
      <c r="AE150" s="3" t="s">
        <v>39</v>
      </c>
      <c r="AF150" s="4">
        <v>45889</v>
      </c>
      <c r="AG150" s="4"/>
      <c r="AH150" s="3" t="s">
        <v>39</v>
      </c>
    </row>
    <row r="151" spans="1:34" outlineLevel="2" x14ac:dyDescent="0.35">
      <c r="A151" s="3" t="s">
        <v>121</v>
      </c>
      <c r="B151" s="3" t="s">
        <v>32</v>
      </c>
      <c r="C151" s="3" t="s">
        <v>117</v>
      </c>
      <c r="D151" s="3" t="s">
        <v>118</v>
      </c>
      <c r="E151" s="3" t="s">
        <v>33</v>
      </c>
      <c r="F151" s="3" t="s">
        <v>59</v>
      </c>
      <c r="G151" s="4">
        <v>45889</v>
      </c>
      <c r="H151" s="3" t="s">
        <v>346</v>
      </c>
      <c r="I151" s="3" t="s">
        <v>35</v>
      </c>
      <c r="J151" s="4">
        <v>45889</v>
      </c>
      <c r="K151" s="4">
        <v>45891</v>
      </c>
      <c r="L151" s="3" t="s">
        <v>36</v>
      </c>
      <c r="M151" s="40">
        <v>256779416847</v>
      </c>
      <c r="N151" s="3" t="s">
        <v>37</v>
      </c>
      <c r="O151" s="3" t="s">
        <v>38</v>
      </c>
      <c r="P151" s="3" t="s">
        <v>39</v>
      </c>
      <c r="Q151" s="3" t="s">
        <v>40</v>
      </c>
      <c r="R151" s="3" t="s">
        <v>41</v>
      </c>
      <c r="S151" s="5">
        <v>27.83</v>
      </c>
      <c r="T151" s="3" t="s">
        <v>42</v>
      </c>
      <c r="U151" s="5">
        <v>2394.2199999999998</v>
      </c>
      <c r="V151" s="3" t="s">
        <v>56</v>
      </c>
      <c r="W151" s="3" t="s">
        <v>48</v>
      </c>
      <c r="X151" s="3" t="s">
        <v>39</v>
      </c>
      <c r="Y151" s="3" t="s">
        <v>36</v>
      </c>
      <c r="Z151" s="3" t="s">
        <v>44</v>
      </c>
      <c r="AA151" s="41">
        <f t="shared" si="5"/>
        <v>27.83</v>
      </c>
      <c r="AB151" s="3" t="s">
        <v>347</v>
      </c>
      <c r="AC151" s="3" t="s">
        <v>39</v>
      </c>
      <c r="AD151" s="3" t="s">
        <v>39</v>
      </c>
      <c r="AE151" s="3" t="s">
        <v>39</v>
      </c>
      <c r="AF151" s="4">
        <v>45889</v>
      </c>
      <c r="AG151" s="4"/>
      <c r="AH151" s="3" t="s">
        <v>39</v>
      </c>
    </row>
    <row r="152" spans="1:34" outlineLevel="2" x14ac:dyDescent="0.35">
      <c r="A152" s="3" t="s">
        <v>121</v>
      </c>
      <c r="B152" s="3" t="s">
        <v>32</v>
      </c>
      <c r="C152" s="3" t="s">
        <v>117</v>
      </c>
      <c r="D152" s="3" t="s">
        <v>118</v>
      </c>
      <c r="E152" s="3" t="s">
        <v>33</v>
      </c>
      <c r="F152" s="3" t="s">
        <v>59</v>
      </c>
      <c r="G152" s="4">
        <v>45889</v>
      </c>
      <c r="H152" s="3" t="s">
        <v>348</v>
      </c>
      <c r="I152" s="3" t="s">
        <v>35</v>
      </c>
      <c r="J152" s="4">
        <v>45889</v>
      </c>
      <c r="K152" s="4">
        <v>45891</v>
      </c>
      <c r="L152" s="3" t="s">
        <v>36</v>
      </c>
      <c r="M152" s="40">
        <v>256779416882</v>
      </c>
      <c r="N152" s="3" t="s">
        <v>37</v>
      </c>
      <c r="O152" s="3" t="s">
        <v>38</v>
      </c>
      <c r="P152" s="3" t="s">
        <v>39</v>
      </c>
      <c r="Q152" s="3" t="s">
        <v>40</v>
      </c>
      <c r="R152" s="3" t="s">
        <v>41</v>
      </c>
      <c r="S152" s="5">
        <v>12.83</v>
      </c>
      <c r="T152" s="3" t="s">
        <v>42</v>
      </c>
      <c r="U152" s="5">
        <v>1103.77</v>
      </c>
      <c r="V152" s="3" t="s">
        <v>56</v>
      </c>
      <c r="W152" s="3" t="s">
        <v>48</v>
      </c>
      <c r="X152" s="3" t="s">
        <v>39</v>
      </c>
      <c r="Y152" s="3" t="s">
        <v>36</v>
      </c>
      <c r="Z152" s="3" t="s">
        <v>44</v>
      </c>
      <c r="AA152" s="41">
        <f t="shared" si="5"/>
        <v>12.83</v>
      </c>
      <c r="AB152" s="3" t="s">
        <v>349</v>
      </c>
      <c r="AC152" s="3" t="s">
        <v>39</v>
      </c>
      <c r="AD152" s="3" t="s">
        <v>39</v>
      </c>
      <c r="AE152" s="3" t="s">
        <v>39</v>
      </c>
      <c r="AF152" s="4">
        <v>45889</v>
      </c>
      <c r="AG152" s="4"/>
      <c r="AH152" s="3" t="s">
        <v>39</v>
      </c>
    </row>
    <row r="153" spans="1:34" outlineLevel="2" x14ac:dyDescent="0.35">
      <c r="A153" s="3" t="s">
        <v>121</v>
      </c>
      <c r="B153" s="3" t="s">
        <v>32</v>
      </c>
      <c r="C153" s="3" t="s">
        <v>117</v>
      </c>
      <c r="D153" s="3" t="s">
        <v>118</v>
      </c>
      <c r="E153" s="3" t="s">
        <v>33</v>
      </c>
      <c r="F153" s="3" t="s">
        <v>60</v>
      </c>
      <c r="G153" s="4">
        <v>45999</v>
      </c>
      <c r="H153" s="3" t="s">
        <v>350</v>
      </c>
      <c r="I153" s="3" t="s">
        <v>35</v>
      </c>
      <c r="J153" s="4">
        <v>45999</v>
      </c>
      <c r="K153" s="4">
        <v>46000</v>
      </c>
      <c r="L153" s="3" t="s">
        <v>36</v>
      </c>
      <c r="M153" s="40">
        <v>256779419870</v>
      </c>
      <c r="N153" s="3" t="s">
        <v>37</v>
      </c>
      <c r="O153" s="3" t="s">
        <v>38</v>
      </c>
      <c r="P153" s="3" t="s">
        <v>39</v>
      </c>
      <c r="Q153" s="3" t="s">
        <v>40</v>
      </c>
      <c r="R153" s="3" t="s">
        <v>41</v>
      </c>
      <c r="S153" s="5">
        <v>18.96</v>
      </c>
      <c r="T153" s="3" t="s">
        <v>42</v>
      </c>
      <c r="U153" s="5">
        <v>1681.75</v>
      </c>
      <c r="V153" s="3" t="s">
        <v>56</v>
      </c>
      <c r="W153" s="3" t="s">
        <v>48</v>
      </c>
      <c r="X153" s="3" t="s">
        <v>39</v>
      </c>
      <c r="Y153" s="3" t="s">
        <v>351</v>
      </c>
      <c r="Z153" s="3" t="s">
        <v>44</v>
      </c>
      <c r="AA153" s="41">
        <f t="shared" si="5"/>
        <v>18.96</v>
      </c>
      <c r="AB153" s="3" t="s">
        <v>352</v>
      </c>
      <c r="AC153" s="3" t="s">
        <v>39</v>
      </c>
      <c r="AD153" s="3" t="s">
        <v>39</v>
      </c>
      <c r="AE153" s="3" t="s">
        <v>39</v>
      </c>
      <c r="AF153" s="4">
        <v>45999</v>
      </c>
      <c r="AG153" s="4"/>
      <c r="AH153" s="3" t="s">
        <v>39</v>
      </c>
    </row>
    <row r="154" spans="1:34" outlineLevel="2" x14ac:dyDescent="0.35">
      <c r="A154" s="3" t="s">
        <v>116</v>
      </c>
      <c r="B154" s="3" t="s">
        <v>32</v>
      </c>
      <c r="C154" s="3" t="s">
        <v>117</v>
      </c>
      <c r="D154" s="3" t="s">
        <v>118</v>
      </c>
      <c r="E154" s="3" t="s">
        <v>33</v>
      </c>
      <c r="F154" s="3" t="s">
        <v>65</v>
      </c>
      <c r="G154" s="4">
        <v>45958</v>
      </c>
      <c r="H154" s="3" t="s">
        <v>353</v>
      </c>
      <c r="I154" s="3" t="s">
        <v>46</v>
      </c>
      <c r="J154" s="4">
        <v>45958</v>
      </c>
      <c r="K154" s="4">
        <v>45958</v>
      </c>
      <c r="L154" s="3" t="s">
        <v>36</v>
      </c>
      <c r="M154" s="40">
        <v>256779422046</v>
      </c>
      <c r="N154" s="3" t="s">
        <v>37</v>
      </c>
      <c r="O154" s="3" t="s">
        <v>38</v>
      </c>
      <c r="P154" s="3" t="s">
        <v>39</v>
      </c>
      <c r="Q154" s="3" t="s">
        <v>47</v>
      </c>
      <c r="R154" s="3" t="s">
        <v>41</v>
      </c>
      <c r="S154" s="5">
        <v>-246.92</v>
      </c>
      <c r="T154" s="3" t="s">
        <v>42</v>
      </c>
      <c r="U154" s="5">
        <v>-21776.06</v>
      </c>
      <c r="V154" s="3" t="s">
        <v>56</v>
      </c>
      <c r="W154" s="3" t="s">
        <v>48</v>
      </c>
      <c r="X154" s="3" t="s">
        <v>39</v>
      </c>
      <c r="Y154" s="3" t="s">
        <v>354</v>
      </c>
      <c r="Z154" s="3" t="s">
        <v>44</v>
      </c>
      <c r="AA154" s="41">
        <f t="shared" si="5"/>
        <v>-246.92</v>
      </c>
      <c r="AB154" s="3" t="s">
        <v>355</v>
      </c>
      <c r="AC154" s="3" t="s">
        <v>39</v>
      </c>
      <c r="AD154" s="3" t="s">
        <v>39</v>
      </c>
      <c r="AE154" s="3" t="s">
        <v>39</v>
      </c>
      <c r="AF154" s="4">
        <v>45958</v>
      </c>
      <c r="AG154" s="4">
        <v>45976</v>
      </c>
      <c r="AH154" s="39">
        <v>1400001904</v>
      </c>
    </row>
    <row r="155" spans="1:34" outlineLevel="2" x14ac:dyDescent="0.35">
      <c r="A155" s="3" t="s">
        <v>121</v>
      </c>
      <c r="B155" s="3" t="s">
        <v>32</v>
      </c>
      <c r="C155" s="3" t="s">
        <v>117</v>
      </c>
      <c r="D155" s="3" t="s">
        <v>118</v>
      </c>
      <c r="E155" s="3" t="s">
        <v>33</v>
      </c>
      <c r="F155" s="3" t="s">
        <v>45</v>
      </c>
      <c r="G155" s="4">
        <v>45797</v>
      </c>
      <c r="H155" s="3" t="s">
        <v>356</v>
      </c>
      <c r="I155" s="3" t="s">
        <v>35</v>
      </c>
      <c r="J155" s="4">
        <v>45797</v>
      </c>
      <c r="K155" s="4">
        <v>45805</v>
      </c>
      <c r="L155" s="3" t="s">
        <v>36</v>
      </c>
      <c r="M155" s="40">
        <v>256779413490</v>
      </c>
      <c r="N155" s="3" t="s">
        <v>37</v>
      </c>
      <c r="O155" s="3" t="s">
        <v>38</v>
      </c>
      <c r="P155" s="3" t="s">
        <v>39</v>
      </c>
      <c r="Q155" s="3" t="s">
        <v>40</v>
      </c>
      <c r="R155" s="3" t="s">
        <v>41</v>
      </c>
      <c r="S155" s="5">
        <v>3</v>
      </c>
      <c r="T155" s="3" t="s">
        <v>42</v>
      </c>
      <c r="U155" s="5">
        <v>257.95</v>
      </c>
      <c r="V155" s="3" t="s">
        <v>56</v>
      </c>
      <c r="W155" s="3" t="s">
        <v>48</v>
      </c>
      <c r="X155" s="3" t="s">
        <v>39</v>
      </c>
      <c r="Y155" s="3" t="s">
        <v>36</v>
      </c>
      <c r="Z155" s="3" t="s">
        <v>44</v>
      </c>
      <c r="AA155" s="41">
        <f t="shared" si="5"/>
        <v>3</v>
      </c>
      <c r="AB155" s="3" t="s">
        <v>62</v>
      </c>
      <c r="AC155" s="3" t="s">
        <v>39</v>
      </c>
      <c r="AD155" s="3" t="s">
        <v>39</v>
      </c>
      <c r="AE155" s="3" t="s">
        <v>39</v>
      </c>
      <c r="AF155" s="4">
        <v>45797</v>
      </c>
      <c r="AG155" s="4"/>
      <c r="AH155" s="3" t="s">
        <v>39</v>
      </c>
    </row>
    <row r="156" spans="1:34" outlineLevel="2" x14ac:dyDescent="0.35">
      <c r="A156" s="3" t="s">
        <v>116</v>
      </c>
      <c r="B156" s="3" t="s">
        <v>32</v>
      </c>
      <c r="C156" s="3" t="s">
        <v>117</v>
      </c>
      <c r="D156" s="3" t="s">
        <v>118</v>
      </c>
      <c r="E156" s="3" t="s">
        <v>33</v>
      </c>
      <c r="F156" s="3" t="s">
        <v>59</v>
      </c>
      <c r="G156" s="4">
        <v>45873</v>
      </c>
      <c r="H156" s="3" t="s">
        <v>357</v>
      </c>
      <c r="I156" s="3" t="s">
        <v>46</v>
      </c>
      <c r="J156" s="4">
        <v>45873</v>
      </c>
      <c r="K156" s="4">
        <v>45873</v>
      </c>
      <c r="L156" s="3" t="s">
        <v>36</v>
      </c>
      <c r="M156" s="40">
        <v>256779421588</v>
      </c>
      <c r="N156" s="3" t="s">
        <v>37</v>
      </c>
      <c r="O156" s="3" t="s">
        <v>38</v>
      </c>
      <c r="P156" s="3" t="s">
        <v>39</v>
      </c>
      <c r="Q156" s="3" t="s">
        <v>47</v>
      </c>
      <c r="R156" s="3" t="s">
        <v>41</v>
      </c>
      <c r="S156" s="5">
        <v>-17.25</v>
      </c>
      <c r="T156" s="3" t="s">
        <v>42</v>
      </c>
      <c r="U156" s="5">
        <v>-1483.51</v>
      </c>
      <c r="V156" s="3" t="s">
        <v>56</v>
      </c>
      <c r="W156" s="3" t="s">
        <v>48</v>
      </c>
      <c r="X156" s="3" t="s">
        <v>39</v>
      </c>
      <c r="Y156" s="3" t="s">
        <v>36</v>
      </c>
      <c r="Z156" s="3" t="s">
        <v>44</v>
      </c>
      <c r="AA156" s="41">
        <f t="shared" si="5"/>
        <v>-17.25</v>
      </c>
      <c r="AB156" s="3" t="s">
        <v>358</v>
      </c>
      <c r="AC156" s="3" t="s">
        <v>39</v>
      </c>
      <c r="AD156" s="3" t="s">
        <v>39</v>
      </c>
      <c r="AE156" s="3" t="s">
        <v>39</v>
      </c>
      <c r="AF156" s="4">
        <v>45873</v>
      </c>
      <c r="AG156" s="4">
        <v>45976</v>
      </c>
      <c r="AH156" s="39">
        <v>1400001904</v>
      </c>
    </row>
    <row r="157" spans="1:34" outlineLevel="2" x14ac:dyDescent="0.35">
      <c r="A157" s="3" t="s">
        <v>116</v>
      </c>
      <c r="B157" s="3" t="s">
        <v>32</v>
      </c>
      <c r="C157" s="3" t="s">
        <v>117</v>
      </c>
      <c r="D157" s="3" t="s">
        <v>118</v>
      </c>
      <c r="E157" s="3" t="s">
        <v>33</v>
      </c>
      <c r="F157" s="3" t="s">
        <v>59</v>
      </c>
      <c r="G157" s="4">
        <v>45873</v>
      </c>
      <c r="H157" s="3" t="s">
        <v>359</v>
      </c>
      <c r="I157" s="3" t="s">
        <v>46</v>
      </c>
      <c r="J157" s="4">
        <v>45873</v>
      </c>
      <c r="K157" s="4">
        <v>45873</v>
      </c>
      <c r="L157" s="3" t="s">
        <v>36</v>
      </c>
      <c r="M157" s="40">
        <v>256779421633</v>
      </c>
      <c r="N157" s="3" t="s">
        <v>37</v>
      </c>
      <c r="O157" s="3" t="s">
        <v>38</v>
      </c>
      <c r="P157" s="3" t="s">
        <v>39</v>
      </c>
      <c r="Q157" s="3" t="s">
        <v>47</v>
      </c>
      <c r="R157" s="3" t="s">
        <v>41</v>
      </c>
      <c r="S157" s="5">
        <v>-17.25</v>
      </c>
      <c r="T157" s="3" t="s">
        <v>42</v>
      </c>
      <c r="U157" s="5">
        <v>-1483.51</v>
      </c>
      <c r="V157" s="3" t="s">
        <v>56</v>
      </c>
      <c r="W157" s="3" t="s">
        <v>48</v>
      </c>
      <c r="X157" s="3" t="s">
        <v>39</v>
      </c>
      <c r="Y157" s="3" t="s">
        <v>36</v>
      </c>
      <c r="Z157" s="3" t="s">
        <v>44</v>
      </c>
      <c r="AA157" s="41">
        <f t="shared" si="5"/>
        <v>-17.25</v>
      </c>
      <c r="AB157" s="3" t="s">
        <v>360</v>
      </c>
      <c r="AC157" s="3" t="s">
        <v>39</v>
      </c>
      <c r="AD157" s="3" t="s">
        <v>39</v>
      </c>
      <c r="AE157" s="3" t="s">
        <v>39</v>
      </c>
      <c r="AF157" s="4">
        <v>45873</v>
      </c>
      <c r="AG157" s="4">
        <v>45976</v>
      </c>
      <c r="AH157" s="39">
        <v>1400001904</v>
      </c>
    </row>
    <row r="158" spans="1:34" outlineLevel="2" x14ac:dyDescent="0.35">
      <c r="A158" s="3" t="s">
        <v>116</v>
      </c>
      <c r="B158" s="3" t="s">
        <v>32</v>
      </c>
      <c r="C158" s="3" t="s">
        <v>117</v>
      </c>
      <c r="D158" s="3" t="s">
        <v>118</v>
      </c>
      <c r="E158" s="3" t="s">
        <v>33</v>
      </c>
      <c r="F158" s="3" t="s">
        <v>59</v>
      </c>
      <c r="G158" s="4">
        <v>45873</v>
      </c>
      <c r="H158" s="3" t="s">
        <v>361</v>
      </c>
      <c r="I158" s="3" t="s">
        <v>46</v>
      </c>
      <c r="J158" s="4">
        <v>45873</v>
      </c>
      <c r="K158" s="4">
        <v>45873</v>
      </c>
      <c r="L158" s="3" t="s">
        <v>36</v>
      </c>
      <c r="M158" s="40">
        <v>256779421638</v>
      </c>
      <c r="N158" s="3" t="s">
        <v>37</v>
      </c>
      <c r="O158" s="3" t="s">
        <v>38</v>
      </c>
      <c r="P158" s="3" t="s">
        <v>39</v>
      </c>
      <c r="Q158" s="3" t="s">
        <v>47</v>
      </c>
      <c r="R158" s="3" t="s">
        <v>41</v>
      </c>
      <c r="S158" s="5">
        <v>-17.25</v>
      </c>
      <c r="T158" s="3" t="s">
        <v>42</v>
      </c>
      <c r="U158" s="5">
        <v>-1483.51</v>
      </c>
      <c r="V158" s="3" t="s">
        <v>56</v>
      </c>
      <c r="W158" s="3" t="s">
        <v>48</v>
      </c>
      <c r="X158" s="3" t="s">
        <v>39</v>
      </c>
      <c r="Y158" s="3" t="s">
        <v>36</v>
      </c>
      <c r="Z158" s="3" t="s">
        <v>44</v>
      </c>
      <c r="AA158" s="41">
        <f t="shared" si="5"/>
        <v>-17.25</v>
      </c>
      <c r="AB158" s="3" t="s">
        <v>362</v>
      </c>
      <c r="AC158" s="3" t="s">
        <v>39</v>
      </c>
      <c r="AD158" s="3" t="s">
        <v>39</v>
      </c>
      <c r="AE158" s="3" t="s">
        <v>39</v>
      </c>
      <c r="AF158" s="4">
        <v>45873</v>
      </c>
      <c r="AG158" s="4">
        <v>45976</v>
      </c>
      <c r="AH158" s="39">
        <v>1400001904</v>
      </c>
    </row>
    <row r="159" spans="1:34" outlineLevel="2" x14ac:dyDescent="0.35">
      <c r="A159" s="3" t="s">
        <v>121</v>
      </c>
      <c r="B159" s="3" t="s">
        <v>32</v>
      </c>
      <c r="C159" s="3" t="s">
        <v>117</v>
      </c>
      <c r="D159" s="3" t="s">
        <v>118</v>
      </c>
      <c r="E159" s="3" t="s">
        <v>33</v>
      </c>
      <c r="F159" s="3" t="s">
        <v>63</v>
      </c>
      <c r="G159" s="4">
        <v>45750</v>
      </c>
      <c r="H159" s="3" t="s">
        <v>363</v>
      </c>
      <c r="I159" s="3" t="s">
        <v>35</v>
      </c>
      <c r="J159" s="4">
        <v>45750</v>
      </c>
      <c r="K159" s="4">
        <v>45752</v>
      </c>
      <c r="L159" s="3" t="s">
        <v>36</v>
      </c>
      <c r="M159" s="40">
        <v>256779410137</v>
      </c>
      <c r="N159" s="3" t="s">
        <v>37</v>
      </c>
      <c r="O159" s="3" t="s">
        <v>38</v>
      </c>
      <c r="P159" s="3" t="s">
        <v>39</v>
      </c>
      <c r="Q159" s="3" t="s">
        <v>40</v>
      </c>
      <c r="R159" s="3" t="s">
        <v>41</v>
      </c>
      <c r="S159" s="5">
        <v>4.5</v>
      </c>
      <c r="T159" s="3" t="s">
        <v>42</v>
      </c>
      <c r="U159" s="5">
        <v>391.15</v>
      </c>
      <c r="V159" s="3" t="s">
        <v>56</v>
      </c>
      <c r="W159" s="3" t="s">
        <v>39</v>
      </c>
      <c r="X159" s="3" t="s">
        <v>39</v>
      </c>
      <c r="Y159" s="3" t="s">
        <v>36</v>
      </c>
      <c r="Z159" s="3" t="s">
        <v>44</v>
      </c>
      <c r="AA159" s="41">
        <f t="shared" si="5"/>
        <v>4.5</v>
      </c>
      <c r="AB159" s="3" t="s">
        <v>64</v>
      </c>
      <c r="AC159" s="3" t="s">
        <v>39</v>
      </c>
      <c r="AD159" s="3" t="s">
        <v>39</v>
      </c>
      <c r="AE159" s="3" t="s">
        <v>39</v>
      </c>
      <c r="AF159" s="4">
        <v>45750</v>
      </c>
      <c r="AG159" s="4"/>
      <c r="AH159" s="3" t="s">
        <v>39</v>
      </c>
    </row>
    <row r="160" spans="1:34" outlineLevel="2" x14ac:dyDescent="0.35">
      <c r="A160" s="3" t="s">
        <v>121</v>
      </c>
      <c r="B160" s="3" t="s">
        <v>32</v>
      </c>
      <c r="C160" s="3" t="s">
        <v>117</v>
      </c>
      <c r="D160" s="3" t="s">
        <v>118</v>
      </c>
      <c r="E160" s="3" t="s">
        <v>33</v>
      </c>
      <c r="F160" s="3" t="s">
        <v>63</v>
      </c>
      <c r="G160" s="4">
        <v>45750</v>
      </c>
      <c r="H160" s="3" t="s">
        <v>364</v>
      </c>
      <c r="I160" s="3" t="s">
        <v>35</v>
      </c>
      <c r="J160" s="4">
        <v>45750</v>
      </c>
      <c r="K160" s="4">
        <v>45752</v>
      </c>
      <c r="L160" s="3" t="s">
        <v>36</v>
      </c>
      <c r="M160" s="40">
        <v>256779410138</v>
      </c>
      <c r="N160" s="3" t="s">
        <v>37</v>
      </c>
      <c r="O160" s="3" t="s">
        <v>38</v>
      </c>
      <c r="P160" s="3" t="s">
        <v>39</v>
      </c>
      <c r="Q160" s="3" t="s">
        <v>40</v>
      </c>
      <c r="R160" s="3" t="s">
        <v>41</v>
      </c>
      <c r="S160" s="5">
        <v>1.5</v>
      </c>
      <c r="T160" s="3" t="s">
        <v>42</v>
      </c>
      <c r="U160" s="5">
        <v>130.38</v>
      </c>
      <c r="V160" s="3" t="s">
        <v>56</v>
      </c>
      <c r="W160" s="3" t="s">
        <v>39</v>
      </c>
      <c r="X160" s="3" t="s">
        <v>39</v>
      </c>
      <c r="Y160" s="3" t="s">
        <v>36</v>
      </c>
      <c r="Z160" s="3" t="s">
        <v>44</v>
      </c>
      <c r="AA160" s="41">
        <f t="shared" si="5"/>
        <v>1.5</v>
      </c>
      <c r="AB160" s="3" t="s">
        <v>365</v>
      </c>
      <c r="AC160" s="3" t="s">
        <v>39</v>
      </c>
      <c r="AD160" s="3" t="s">
        <v>39</v>
      </c>
      <c r="AE160" s="3" t="s">
        <v>39</v>
      </c>
      <c r="AF160" s="4">
        <v>45750</v>
      </c>
      <c r="AG160" s="4"/>
      <c r="AH160" s="3" t="s">
        <v>39</v>
      </c>
    </row>
    <row r="161" spans="1:34" outlineLevel="2" x14ac:dyDescent="0.35">
      <c r="A161" s="3" t="s">
        <v>116</v>
      </c>
      <c r="B161" s="3" t="s">
        <v>32</v>
      </c>
      <c r="C161" s="3" t="s">
        <v>117</v>
      </c>
      <c r="D161" s="3" t="s">
        <v>118</v>
      </c>
      <c r="E161" s="3" t="s">
        <v>33</v>
      </c>
      <c r="F161" s="3" t="s">
        <v>63</v>
      </c>
      <c r="G161" s="4">
        <v>45750</v>
      </c>
      <c r="H161" s="3" t="s">
        <v>366</v>
      </c>
      <c r="I161" s="3" t="s">
        <v>35</v>
      </c>
      <c r="J161" s="4">
        <v>45750</v>
      </c>
      <c r="K161" s="4">
        <v>45752</v>
      </c>
      <c r="L161" s="3" t="s">
        <v>36</v>
      </c>
      <c r="M161" s="40">
        <v>256779410228</v>
      </c>
      <c r="N161" s="3" t="s">
        <v>37</v>
      </c>
      <c r="O161" s="3" t="s">
        <v>38</v>
      </c>
      <c r="P161" s="3" t="s">
        <v>39</v>
      </c>
      <c r="Q161" s="3" t="s">
        <v>40</v>
      </c>
      <c r="R161" s="3" t="s">
        <v>41</v>
      </c>
      <c r="S161" s="5">
        <v>1166.5899999999999</v>
      </c>
      <c r="T161" s="3" t="s">
        <v>42</v>
      </c>
      <c r="U161" s="5">
        <v>101402.13</v>
      </c>
      <c r="V161" s="3" t="s">
        <v>56</v>
      </c>
      <c r="W161" s="3" t="s">
        <v>39</v>
      </c>
      <c r="X161" s="3" t="s">
        <v>39</v>
      </c>
      <c r="Y161" s="3" t="s">
        <v>36</v>
      </c>
      <c r="Z161" s="3" t="s">
        <v>44</v>
      </c>
      <c r="AA161" s="41">
        <f t="shared" si="5"/>
        <v>1166.5899999999999</v>
      </c>
      <c r="AB161" s="3" t="s">
        <v>339</v>
      </c>
      <c r="AC161" s="3" t="s">
        <v>39</v>
      </c>
      <c r="AD161" s="3" t="s">
        <v>39</v>
      </c>
      <c r="AE161" s="3" t="s">
        <v>39</v>
      </c>
      <c r="AF161" s="4">
        <v>45750</v>
      </c>
      <c r="AG161" s="4">
        <v>45861</v>
      </c>
      <c r="AH161" s="39">
        <v>1400000797</v>
      </c>
    </row>
    <row r="162" spans="1:34" outlineLevel="2" x14ac:dyDescent="0.35">
      <c r="A162" s="3" t="s">
        <v>116</v>
      </c>
      <c r="B162" s="3" t="s">
        <v>32</v>
      </c>
      <c r="C162" s="3" t="s">
        <v>117</v>
      </c>
      <c r="D162" s="3" t="s">
        <v>118</v>
      </c>
      <c r="E162" s="3" t="s">
        <v>33</v>
      </c>
      <c r="F162" s="3" t="s">
        <v>63</v>
      </c>
      <c r="G162" s="4">
        <v>45750</v>
      </c>
      <c r="H162" s="3" t="s">
        <v>367</v>
      </c>
      <c r="I162" s="3" t="s">
        <v>35</v>
      </c>
      <c r="J162" s="4">
        <v>45750</v>
      </c>
      <c r="K162" s="4">
        <v>45752</v>
      </c>
      <c r="L162" s="3" t="s">
        <v>36</v>
      </c>
      <c r="M162" s="40">
        <v>256779410269</v>
      </c>
      <c r="N162" s="3" t="s">
        <v>37</v>
      </c>
      <c r="O162" s="3" t="s">
        <v>38</v>
      </c>
      <c r="P162" s="3" t="s">
        <v>39</v>
      </c>
      <c r="Q162" s="3" t="s">
        <v>40</v>
      </c>
      <c r="R162" s="3" t="s">
        <v>41</v>
      </c>
      <c r="S162" s="5">
        <v>1143.1199999999999</v>
      </c>
      <c r="T162" s="3" t="s">
        <v>42</v>
      </c>
      <c r="U162" s="5">
        <v>99362.07</v>
      </c>
      <c r="V162" s="3" t="s">
        <v>56</v>
      </c>
      <c r="W162" s="3" t="s">
        <v>39</v>
      </c>
      <c r="X162" s="3" t="s">
        <v>39</v>
      </c>
      <c r="Y162" s="3" t="s">
        <v>36</v>
      </c>
      <c r="Z162" s="3" t="s">
        <v>44</v>
      </c>
      <c r="AA162" s="41">
        <f t="shared" si="5"/>
        <v>1143.1199999999999</v>
      </c>
      <c r="AB162" s="3" t="s">
        <v>341</v>
      </c>
      <c r="AC162" s="3" t="s">
        <v>39</v>
      </c>
      <c r="AD162" s="3" t="s">
        <v>39</v>
      </c>
      <c r="AE162" s="3" t="s">
        <v>39</v>
      </c>
      <c r="AF162" s="4">
        <v>45750</v>
      </c>
      <c r="AG162" s="4">
        <v>45861</v>
      </c>
      <c r="AH162" s="39">
        <v>1400000797</v>
      </c>
    </row>
    <row r="163" spans="1:34" outlineLevel="2" x14ac:dyDescent="0.35">
      <c r="A163" s="3" t="s">
        <v>121</v>
      </c>
      <c r="B163" s="3" t="s">
        <v>32</v>
      </c>
      <c r="C163" s="3" t="s">
        <v>117</v>
      </c>
      <c r="D163" s="3" t="s">
        <v>118</v>
      </c>
      <c r="E163" s="3" t="s">
        <v>33</v>
      </c>
      <c r="F163" s="3" t="s">
        <v>65</v>
      </c>
      <c r="G163" s="4">
        <v>45950</v>
      </c>
      <c r="H163" s="3" t="s">
        <v>368</v>
      </c>
      <c r="I163" s="3" t="s">
        <v>35</v>
      </c>
      <c r="J163" s="4">
        <v>45950</v>
      </c>
      <c r="K163" s="4">
        <v>45951</v>
      </c>
      <c r="L163" s="3" t="s">
        <v>36</v>
      </c>
      <c r="M163" s="40">
        <v>256779418704</v>
      </c>
      <c r="N163" s="3" t="s">
        <v>37</v>
      </c>
      <c r="O163" s="3" t="s">
        <v>38</v>
      </c>
      <c r="P163" s="3" t="s">
        <v>39</v>
      </c>
      <c r="Q163" s="3" t="s">
        <v>40</v>
      </c>
      <c r="R163" s="3" t="s">
        <v>41</v>
      </c>
      <c r="S163" s="5">
        <v>2.25</v>
      </c>
      <c r="T163" s="3" t="s">
        <v>42</v>
      </c>
      <c r="U163" s="5">
        <v>198.43</v>
      </c>
      <c r="V163" s="3" t="s">
        <v>56</v>
      </c>
      <c r="W163" s="3" t="s">
        <v>48</v>
      </c>
      <c r="X163" s="3" t="s">
        <v>39</v>
      </c>
      <c r="Y163" s="3" t="s">
        <v>66</v>
      </c>
      <c r="Z163" s="3" t="s">
        <v>44</v>
      </c>
      <c r="AA163" s="41">
        <f t="shared" si="5"/>
        <v>2.25</v>
      </c>
      <c r="AB163" s="3" t="s">
        <v>67</v>
      </c>
      <c r="AC163" s="3" t="s">
        <v>39</v>
      </c>
      <c r="AD163" s="3" t="s">
        <v>39</v>
      </c>
      <c r="AE163" s="3" t="s">
        <v>39</v>
      </c>
      <c r="AF163" s="4">
        <v>45950</v>
      </c>
      <c r="AG163" s="4"/>
      <c r="AH163" s="3" t="s">
        <v>39</v>
      </c>
    </row>
    <row r="164" spans="1:34" outlineLevel="2" x14ac:dyDescent="0.35">
      <c r="A164" s="3" t="s">
        <v>121</v>
      </c>
      <c r="B164" s="3" t="s">
        <v>32</v>
      </c>
      <c r="C164" s="3" t="s">
        <v>117</v>
      </c>
      <c r="D164" s="3" t="s">
        <v>118</v>
      </c>
      <c r="E164" s="3" t="s">
        <v>33</v>
      </c>
      <c r="F164" s="3" t="s">
        <v>63</v>
      </c>
      <c r="G164" s="4">
        <v>45768</v>
      </c>
      <c r="H164" s="3" t="s">
        <v>369</v>
      </c>
      <c r="I164" s="3" t="s">
        <v>35</v>
      </c>
      <c r="J164" s="4">
        <v>45768</v>
      </c>
      <c r="K164" s="4">
        <v>45769</v>
      </c>
      <c r="L164" s="3" t="s">
        <v>36</v>
      </c>
      <c r="M164" s="40">
        <v>256779412153</v>
      </c>
      <c r="N164" s="3" t="s">
        <v>37</v>
      </c>
      <c r="O164" s="3" t="s">
        <v>38</v>
      </c>
      <c r="P164" s="3" t="s">
        <v>39</v>
      </c>
      <c r="Q164" s="3" t="s">
        <v>40</v>
      </c>
      <c r="R164" s="3" t="s">
        <v>41</v>
      </c>
      <c r="S164" s="5">
        <v>1165.3699999999999</v>
      </c>
      <c r="T164" s="3" t="s">
        <v>42</v>
      </c>
      <c r="U164" s="5">
        <v>100000.4</v>
      </c>
      <c r="V164" s="3" t="s">
        <v>56</v>
      </c>
      <c r="W164" s="3" t="s">
        <v>48</v>
      </c>
      <c r="X164" s="3" t="s">
        <v>39</v>
      </c>
      <c r="Y164" s="3" t="s">
        <v>36</v>
      </c>
      <c r="Z164" s="3" t="s">
        <v>44</v>
      </c>
      <c r="AA164" s="41">
        <f t="shared" si="5"/>
        <v>1165.3699999999999</v>
      </c>
      <c r="AB164" s="3" t="s">
        <v>370</v>
      </c>
      <c r="AC164" s="3" t="s">
        <v>39</v>
      </c>
      <c r="AD164" s="3" t="s">
        <v>39</v>
      </c>
      <c r="AE164" s="3" t="s">
        <v>39</v>
      </c>
      <c r="AF164" s="4">
        <v>45768</v>
      </c>
      <c r="AG164" s="4"/>
      <c r="AH164" s="3" t="s">
        <v>39</v>
      </c>
    </row>
    <row r="165" spans="1:34" outlineLevel="2" x14ac:dyDescent="0.35">
      <c r="A165" s="3" t="s">
        <v>116</v>
      </c>
      <c r="B165" s="3" t="s">
        <v>32</v>
      </c>
      <c r="C165" s="3" t="s">
        <v>117</v>
      </c>
      <c r="D165" s="3" t="s">
        <v>118</v>
      </c>
      <c r="E165" s="3" t="s">
        <v>33</v>
      </c>
      <c r="F165" s="3" t="s">
        <v>49</v>
      </c>
      <c r="G165" s="4">
        <v>45862</v>
      </c>
      <c r="H165" s="3" t="s">
        <v>371</v>
      </c>
      <c r="I165" s="3" t="s">
        <v>46</v>
      </c>
      <c r="J165" s="4">
        <v>45862</v>
      </c>
      <c r="K165" s="4">
        <v>45862</v>
      </c>
      <c r="L165" s="3" t="s">
        <v>36</v>
      </c>
      <c r="M165" s="40">
        <v>256779421502</v>
      </c>
      <c r="N165" s="3" t="s">
        <v>37</v>
      </c>
      <c r="O165" s="3" t="s">
        <v>38</v>
      </c>
      <c r="P165" s="3" t="s">
        <v>39</v>
      </c>
      <c r="Q165" s="3" t="s">
        <v>47</v>
      </c>
      <c r="R165" s="3" t="s">
        <v>41</v>
      </c>
      <c r="S165" s="5">
        <v>-1190.48</v>
      </c>
      <c r="T165" s="3" t="s">
        <v>42</v>
      </c>
      <c r="U165" s="5">
        <v>-102382.08</v>
      </c>
      <c r="V165" s="3" t="s">
        <v>56</v>
      </c>
      <c r="W165" s="3" t="s">
        <v>48</v>
      </c>
      <c r="X165" s="3" t="s">
        <v>39</v>
      </c>
      <c r="Y165" s="3" t="s">
        <v>36</v>
      </c>
      <c r="Z165" s="3" t="s">
        <v>44</v>
      </c>
      <c r="AA165" s="41">
        <f t="shared" si="5"/>
        <v>-1190.48</v>
      </c>
      <c r="AB165" s="3" t="s">
        <v>372</v>
      </c>
      <c r="AC165" s="3" t="s">
        <v>39</v>
      </c>
      <c r="AD165" s="3" t="s">
        <v>39</v>
      </c>
      <c r="AE165" s="3" t="s">
        <v>39</v>
      </c>
      <c r="AF165" s="4">
        <v>45862</v>
      </c>
      <c r="AG165" s="4">
        <v>45902</v>
      </c>
      <c r="AH165" s="39">
        <v>1400001107</v>
      </c>
    </row>
    <row r="166" spans="1:34" outlineLevel="2" x14ac:dyDescent="0.35">
      <c r="A166" s="3" t="s">
        <v>116</v>
      </c>
      <c r="B166" s="3" t="s">
        <v>32</v>
      </c>
      <c r="C166" s="3" t="s">
        <v>117</v>
      </c>
      <c r="D166" s="3" t="s">
        <v>118</v>
      </c>
      <c r="E166" s="3" t="s">
        <v>33</v>
      </c>
      <c r="F166" s="3" t="s">
        <v>34</v>
      </c>
      <c r="G166" s="4">
        <v>45826</v>
      </c>
      <c r="H166" s="3" t="s">
        <v>373</v>
      </c>
      <c r="I166" s="3" t="s">
        <v>35</v>
      </c>
      <c r="J166" s="4">
        <v>45826</v>
      </c>
      <c r="K166" s="4">
        <v>45827</v>
      </c>
      <c r="L166" s="3" t="s">
        <v>36</v>
      </c>
      <c r="M166" s="40">
        <v>256779414435</v>
      </c>
      <c r="N166" s="3" t="s">
        <v>37</v>
      </c>
      <c r="O166" s="3" t="s">
        <v>38</v>
      </c>
      <c r="P166" s="3" t="s">
        <v>39</v>
      </c>
      <c r="Q166" s="3" t="s">
        <v>40</v>
      </c>
      <c r="R166" s="3" t="s">
        <v>41</v>
      </c>
      <c r="S166" s="5">
        <v>1190.48</v>
      </c>
      <c r="T166" s="3" t="s">
        <v>42</v>
      </c>
      <c r="U166" s="5">
        <v>101775.06</v>
      </c>
      <c r="V166" s="3" t="s">
        <v>56</v>
      </c>
      <c r="W166" s="3" t="s">
        <v>48</v>
      </c>
      <c r="X166" s="3" t="s">
        <v>39</v>
      </c>
      <c r="Y166" s="3" t="s">
        <v>36</v>
      </c>
      <c r="Z166" s="3" t="s">
        <v>44</v>
      </c>
      <c r="AA166" s="41">
        <f t="shared" si="5"/>
        <v>1190.48</v>
      </c>
      <c r="AB166" s="3" t="s">
        <v>337</v>
      </c>
      <c r="AC166" s="3" t="s">
        <v>39</v>
      </c>
      <c r="AD166" s="3" t="s">
        <v>39</v>
      </c>
      <c r="AE166" s="3" t="s">
        <v>39</v>
      </c>
      <c r="AF166" s="4">
        <v>45826</v>
      </c>
      <c r="AG166" s="4">
        <v>45902</v>
      </c>
      <c r="AH166" s="39">
        <v>1400001107</v>
      </c>
    </row>
    <row r="167" spans="1:34" outlineLevel="2" x14ac:dyDescent="0.35">
      <c r="A167" s="3" t="s">
        <v>121</v>
      </c>
      <c r="B167" s="3" t="s">
        <v>32</v>
      </c>
      <c r="C167" s="3" t="s">
        <v>117</v>
      </c>
      <c r="D167" s="3" t="s">
        <v>118</v>
      </c>
      <c r="E167" s="3" t="s">
        <v>33</v>
      </c>
      <c r="F167" s="3" t="s">
        <v>65</v>
      </c>
      <c r="G167" s="4">
        <v>45951</v>
      </c>
      <c r="H167" s="3" t="s">
        <v>374</v>
      </c>
      <c r="I167" s="3" t="s">
        <v>35</v>
      </c>
      <c r="J167" s="4">
        <v>45951</v>
      </c>
      <c r="K167" s="4">
        <v>45951</v>
      </c>
      <c r="L167" s="3" t="s">
        <v>36</v>
      </c>
      <c r="M167" s="40">
        <v>256779418478</v>
      </c>
      <c r="N167" s="3" t="s">
        <v>37</v>
      </c>
      <c r="O167" s="3" t="s">
        <v>38</v>
      </c>
      <c r="P167" s="3" t="s">
        <v>39</v>
      </c>
      <c r="Q167" s="3" t="s">
        <v>40</v>
      </c>
      <c r="R167" s="3" t="s">
        <v>41</v>
      </c>
      <c r="S167" s="5">
        <v>27.64</v>
      </c>
      <c r="T167" s="3" t="s">
        <v>42</v>
      </c>
      <c r="U167" s="5">
        <v>2437.59</v>
      </c>
      <c r="V167" s="3" t="s">
        <v>56</v>
      </c>
      <c r="W167" s="3" t="s">
        <v>48</v>
      </c>
      <c r="X167" s="3" t="s">
        <v>39</v>
      </c>
      <c r="Y167" s="3" t="s">
        <v>375</v>
      </c>
      <c r="Z167" s="3" t="s">
        <v>44</v>
      </c>
      <c r="AA167" s="41">
        <f t="shared" si="5"/>
        <v>27.64</v>
      </c>
      <c r="AB167" s="3" t="s">
        <v>376</v>
      </c>
      <c r="AC167" s="3" t="s">
        <v>39</v>
      </c>
      <c r="AD167" s="3" t="s">
        <v>39</v>
      </c>
      <c r="AE167" s="3" t="s">
        <v>39</v>
      </c>
      <c r="AF167" s="4">
        <v>45951</v>
      </c>
      <c r="AG167" s="4"/>
      <c r="AH167" s="3" t="s">
        <v>39</v>
      </c>
    </row>
    <row r="168" spans="1:34" outlineLevel="2" x14ac:dyDescent="0.35">
      <c r="A168" s="3" t="s">
        <v>121</v>
      </c>
      <c r="B168" s="3" t="s">
        <v>32</v>
      </c>
      <c r="C168" s="3" t="s">
        <v>117</v>
      </c>
      <c r="D168" s="3" t="s">
        <v>118</v>
      </c>
      <c r="E168" s="3" t="s">
        <v>33</v>
      </c>
      <c r="F168" s="3" t="s">
        <v>65</v>
      </c>
      <c r="G168" s="4">
        <v>45951</v>
      </c>
      <c r="H168" s="3" t="s">
        <v>377</v>
      </c>
      <c r="I168" s="3" t="s">
        <v>35</v>
      </c>
      <c r="J168" s="4">
        <v>45951</v>
      </c>
      <c r="K168" s="4">
        <v>45951</v>
      </c>
      <c r="L168" s="3" t="s">
        <v>36</v>
      </c>
      <c r="M168" s="40">
        <v>256779418493</v>
      </c>
      <c r="N168" s="3" t="s">
        <v>37</v>
      </c>
      <c r="O168" s="3" t="s">
        <v>38</v>
      </c>
      <c r="P168" s="3" t="s">
        <v>39</v>
      </c>
      <c r="Q168" s="3" t="s">
        <v>40</v>
      </c>
      <c r="R168" s="3" t="s">
        <v>41</v>
      </c>
      <c r="S168" s="5">
        <v>27.64</v>
      </c>
      <c r="T168" s="3" t="s">
        <v>42</v>
      </c>
      <c r="U168" s="5">
        <v>2437.59</v>
      </c>
      <c r="V168" s="3" t="s">
        <v>56</v>
      </c>
      <c r="W168" s="3" t="s">
        <v>48</v>
      </c>
      <c r="X168" s="3" t="s">
        <v>39</v>
      </c>
      <c r="Y168" s="3" t="s">
        <v>375</v>
      </c>
      <c r="Z168" s="3" t="s">
        <v>44</v>
      </c>
      <c r="AA168" s="41">
        <f t="shared" si="5"/>
        <v>27.64</v>
      </c>
      <c r="AB168" s="3" t="s">
        <v>376</v>
      </c>
      <c r="AC168" s="3" t="s">
        <v>39</v>
      </c>
      <c r="AD168" s="3" t="s">
        <v>39</v>
      </c>
      <c r="AE168" s="3" t="s">
        <v>39</v>
      </c>
      <c r="AF168" s="4">
        <v>45951</v>
      </c>
      <c r="AG168" s="4"/>
      <c r="AH168" s="3" t="s">
        <v>39</v>
      </c>
    </row>
    <row r="169" spans="1:34" outlineLevel="2" x14ac:dyDescent="0.35">
      <c r="A169" s="3" t="s">
        <v>121</v>
      </c>
      <c r="B169" s="3" t="s">
        <v>32</v>
      </c>
      <c r="C169" s="3" t="s">
        <v>117</v>
      </c>
      <c r="D169" s="3" t="s">
        <v>118</v>
      </c>
      <c r="E169" s="3" t="s">
        <v>33</v>
      </c>
      <c r="F169" s="3" t="s">
        <v>51</v>
      </c>
      <c r="G169" s="4">
        <v>45735</v>
      </c>
      <c r="H169" s="3" t="s">
        <v>378</v>
      </c>
      <c r="I169" s="3" t="s">
        <v>35</v>
      </c>
      <c r="J169" s="4">
        <v>45735</v>
      </c>
      <c r="K169" s="4">
        <v>45736</v>
      </c>
      <c r="L169" s="3" t="s">
        <v>36</v>
      </c>
      <c r="M169" s="40">
        <v>246779412992</v>
      </c>
      <c r="N169" s="3" t="s">
        <v>37</v>
      </c>
      <c r="O169" s="3" t="s">
        <v>38</v>
      </c>
      <c r="P169" s="3" t="s">
        <v>39</v>
      </c>
      <c r="Q169" s="3" t="s">
        <v>40</v>
      </c>
      <c r="R169" s="3" t="s">
        <v>41</v>
      </c>
      <c r="S169" s="5">
        <v>1148.6300000000001</v>
      </c>
      <c r="T169" s="3" t="s">
        <v>42</v>
      </c>
      <c r="U169" s="5">
        <v>99576.18</v>
      </c>
      <c r="V169" s="3" t="s">
        <v>56</v>
      </c>
      <c r="W169" s="3" t="s">
        <v>48</v>
      </c>
      <c r="X169" s="3" t="s">
        <v>39</v>
      </c>
      <c r="Y169" s="3" t="s">
        <v>36</v>
      </c>
      <c r="Z169" s="3" t="s">
        <v>44</v>
      </c>
      <c r="AA169" s="41">
        <f t="shared" si="5"/>
        <v>1148.6300000000001</v>
      </c>
      <c r="AB169" s="3" t="s">
        <v>379</v>
      </c>
      <c r="AC169" s="3" t="s">
        <v>39</v>
      </c>
      <c r="AD169" s="3" t="s">
        <v>39</v>
      </c>
      <c r="AE169" s="3" t="s">
        <v>39</v>
      </c>
      <c r="AF169" s="4">
        <v>45735</v>
      </c>
      <c r="AG169" s="4"/>
      <c r="AH169" s="3" t="s">
        <v>39</v>
      </c>
    </row>
    <row r="170" spans="1:34" outlineLevel="2" x14ac:dyDescent="0.35">
      <c r="A170" s="3" t="s">
        <v>121</v>
      </c>
      <c r="B170" s="3" t="s">
        <v>32</v>
      </c>
      <c r="C170" s="3" t="s">
        <v>117</v>
      </c>
      <c r="D170" s="3" t="s">
        <v>118</v>
      </c>
      <c r="E170" s="3" t="s">
        <v>33</v>
      </c>
      <c r="F170" s="3" t="s">
        <v>47</v>
      </c>
      <c r="G170" s="4">
        <v>45981</v>
      </c>
      <c r="H170" s="3" t="s">
        <v>380</v>
      </c>
      <c r="I170" s="3" t="s">
        <v>35</v>
      </c>
      <c r="J170" s="4">
        <v>45981</v>
      </c>
      <c r="K170" s="4">
        <v>45985</v>
      </c>
      <c r="L170" s="3" t="s">
        <v>36</v>
      </c>
      <c r="M170" s="40">
        <v>256779419592</v>
      </c>
      <c r="N170" s="3" t="s">
        <v>37</v>
      </c>
      <c r="O170" s="3" t="s">
        <v>38</v>
      </c>
      <c r="P170" s="3" t="s">
        <v>39</v>
      </c>
      <c r="Q170" s="3" t="s">
        <v>40</v>
      </c>
      <c r="R170" s="3" t="s">
        <v>41</v>
      </c>
      <c r="S170" s="5">
        <v>17.62</v>
      </c>
      <c r="T170" s="3" t="s">
        <v>42</v>
      </c>
      <c r="U170" s="5">
        <v>1550.62</v>
      </c>
      <c r="V170" s="3" t="s">
        <v>56</v>
      </c>
      <c r="W170" s="3" t="s">
        <v>48</v>
      </c>
      <c r="X170" s="3" t="s">
        <v>39</v>
      </c>
      <c r="Y170" s="3" t="s">
        <v>381</v>
      </c>
      <c r="Z170" s="3" t="s">
        <v>44</v>
      </c>
      <c r="AA170" s="41">
        <f t="shared" si="5"/>
        <v>17.62</v>
      </c>
      <c r="AB170" s="3" t="s">
        <v>382</v>
      </c>
      <c r="AC170" s="3" t="s">
        <v>39</v>
      </c>
      <c r="AD170" s="3" t="s">
        <v>39</v>
      </c>
      <c r="AE170" s="3" t="s">
        <v>39</v>
      </c>
      <c r="AF170" s="4">
        <v>45981</v>
      </c>
      <c r="AG170" s="4"/>
      <c r="AH170" s="3" t="s">
        <v>39</v>
      </c>
    </row>
    <row r="171" spans="1:34" outlineLevel="2" x14ac:dyDescent="0.35">
      <c r="A171" s="3" t="s">
        <v>121</v>
      </c>
      <c r="B171" s="3" t="s">
        <v>32</v>
      </c>
      <c r="C171" s="3" t="s">
        <v>117</v>
      </c>
      <c r="D171" s="3" t="s">
        <v>118</v>
      </c>
      <c r="E171" s="3" t="s">
        <v>33</v>
      </c>
      <c r="F171" s="3" t="s">
        <v>47</v>
      </c>
      <c r="G171" s="4">
        <v>45981</v>
      </c>
      <c r="H171" s="3" t="s">
        <v>383</v>
      </c>
      <c r="I171" s="3" t="s">
        <v>35</v>
      </c>
      <c r="J171" s="4">
        <v>45981</v>
      </c>
      <c r="K171" s="4">
        <v>45985</v>
      </c>
      <c r="L171" s="3" t="s">
        <v>36</v>
      </c>
      <c r="M171" s="40">
        <v>256779419633</v>
      </c>
      <c r="N171" s="3" t="s">
        <v>37</v>
      </c>
      <c r="O171" s="3" t="s">
        <v>38</v>
      </c>
      <c r="P171" s="3" t="s">
        <v>39</v>
      </c>
      <c r="Q171" s="3" t="s">
        <v>40</v>
      </c>
      <c r="R171" s="3" t="s">
        <v>41</v>
      </c>
      <c r="S171" s="5">
        <v>9.3699999999999992</v>
      </c>
      <c r="T171" s="3" t="s">
        <v>42</v>
      </c>
      <c r="U171" s="5">
        <v>824.59</v>
      </c>
      <c r="V171" s="3" t="s">
        <v>56</v>
      </c>
      <c r="W171" s="3" t="s">
        <v>48</v>
      </c>
      <c r="X171" s="3" t="s">
        <v>39</v>
      </c>
      <c r="Y171" s="3" t="s">
        <v>69</v>
      </c>
      <c r="Z171" s="3" t="s">
        <v>44</v>
      </c>
      <c r="AA171" s="41">
        <f t="shared" si="5"/>
        <v>9.3699999999999992</v>
      </c>
      <c r="AB171" s="3" t="s">
        <v>70</v>
      </c>
      <c r="AC171" s="3" t="s">
        <v>39</v>
      </c>
      <c r="AD171" s="3" t="s">
        <v>39</v>
      </c>
      <c r="AE171" s="3" t="s">
        <v>39</v>
      </c>
      <c r="AF171" s="4">
        <v>45981</v>
      </c>
      <c r="AG171" s="4"/>
      <c r="AH171" s="3" t="s">
        <v>39</v>
      </c>
    </row>
    <row r="172" spans="1:34" outlineLevel="2" x14ac:dyDescent="0.35">
      <c r="A172" s="3" t="s">
        <v>121</v>
      </c>
      <c r="B172" s="3" t="s">
        <v>32</v>
      </c>
      <c r="C172" s="3" t="s">
        <v>117</v>
      </c>
      <c r="D172" s="3" t="s">
        <v>118</v>
      </c>
      <c r="E172" s="3" t="s">
        <v>33</v>
      </c>
      <c r="F172" s="3" t="s">
        <v>63</v>
      </c>
      <c r="G172" s="4">
        <v>45769</v>
      </c>
      <c r="H172" s="3" t="s">
        <v>384</v>
      </c>
      <c r="I172" s="3" t="s">
        <v>35</v>
      </c>
      <c r="J172" s="4">
        <v>45769</v>
      </c>
      <c r="K172" s="4">
        <v>45770</v>
      </c>
      <c r="L172" s="3" t="s">
        <v>36</v>
      </c>
      <c r="M172" s="40">
        <v>256779412617</v>
      </c>
      <c r="N172" s="3" t="s">
        <v>37</v>
      </c>
      <c r="O172" s="3" t="s">
        <v>38</v>
      </c>
      <c r="P172" s="3" t="s">
        <v>39</v>
      </c>
      <c r="Q172" s="3" t="s">
        <v>40</v>
      </c>
      <c r="R172" s="3" t="s">
        <v>41</v>
      </c>
      <c r="S172" s="5">
        <v>384.63</v>
      </c>
      <c r="T172" s="3" t="s">
        <v>42</v>
      </c>
      <c r="U172" s="5">
        <v>33432.74</v>
      </c>
      <c r="V172" s="3" t="s">
        <v>56</v>
      </c>
      <c r="W172" s="3" t="s">
        <v>48</v>
      </c>
      <c r="X172" s="3" t="s">
        <v>39</v>
      </c>
      <c r="Y172" s="3" t="s">
        <v>36</v>
      </c>
      <c r="Z172" s="3" t="s">
        <v>44</v>
      </c>
      <c r="AA172" s="41">
        <f t="shared" si="5"/>
        <v>384.63</v>
      </c>
      <c r="AB172" s="3" t="s">
        <v>385</v>
      </c>
      <c r="AC172" s="3" t="s">
        <v>39</v>
      </c>
      <c r="AD172" s="3" t="s">
        <v>39</v>
      </c>
      <c r="AE172" s="3" t="s">
        <v>39</v>
      </c>
      <c r="AF172" s="4">
        <v>45769</v>
      </c>
      <c r="AG172" s="4"/>
      <c r="AH172" s="3" t="s">
        <v>39</v>
      </c>
    </row>
    <row r="173" spans="1:34" outlineLevel="2" x14ac:dyDescent="0.35">
      <c r="A173" s="3" t="s">
        <v>121</v>
      </c>
      <c r="B173" s="3" t="s">
        <v>32</v>
      </c>
      <c r="C173" s="3" t="s">
        <v>117</v>
      </c>
      <c r="D173" s="3" t="s">
        <v>118</v>
      </c>
      <c r="E173" s="3" t="s">
        <v>33</v>
      </c>
      <c r="F173" s="3" t="s">
        <v>63</v>
      </c>
      <c r="G173" s="4">
        <v>45769</v>
      </c>
      <c r="H173" s="3" t="s">
        <v>386</v>
      </c>
      <c r="I173" s="3" t="s">
        <v>35</v>
      </c>
      <c r="J173" s="4">
        <v>45769</v>
      </c>
      <c r="K173" s="4">
        <v>45770</v>
      </c>
      <c r="L173" s="3" t="s">
        <v>36</v>
      </c>
      <c r="M173" s="40">
        <v>256779412660</v>
      </c>
      <c r="N173" s="3" t="s">
        <v>37</v>
      </c>
      <c r="O173" s="3" t="s">
        <v>38</v>
      </c>
      <c r="P173" s="3" t="s">
        <v>39</v>
      </c>
      <c r="Q173" s="3" t="s">
        <v>40</v>
      </c>
      <c r="R173" s="3" t="s">
        <v>41</v>
      </c>
      <c r="S173" s="5">
        <v>7.5</v>
      </c>
      <c r="T173" s="3" t="s">
        <v>42</v>
      </c>
      <c r="U173" s="5">
        <v>651.91</v>
      </c>
      <c r="V173" s="3" t="s">
        <v>56</v>
      </c>
      <c r="W173" s="3" t="s">
        <v>48</v>
      </c>
      <c r="X173" s="3" t="s">
        <v>39</v>
      </c>
      <c r="Y173" s="3" t="s">
        <v>36</v>
      </c>
      <c r="Z173" s="3" t="s">
        <v>44</v>
      </c>
      <c r="AA173" s="41">
        <f t="shared" si="5"/>
        <v>7.5</v>
      </c>
      <c r="AB173" s="3" t="s">
        <v>71</v>
      </c>
      <c r="AC173" s="3" t="s">
        <v>39</v>
      </c>
      <c r="AD173" s="3" t="s">
        <v>39</v>
      </c>
      <c r="AE173" s="3" t="s">
        <v>39</v>
      </c>
      <c r="AF173" s="4">
        <v>45769</v>
      </c>
      <c r="AG173" s="4"/>
      <c r="AH173" s="3" t="s">
        <v>39</v>
      </c>
    </row>
    <row r="174" spans="1:34" outlineLevel="2" x14ac:dyDescent="0.35">
      <c r="A174" s="3" t="s">
        <v>121</v>
      </c>
      <c r="B174" s="3" t="s">
        <v>32</v>
      </c>
      <c r="C174" s="3" t="s">
        <v>117</v>
      </c>
      <c r="D174" s="3" t="s">
        <v>118</v>
      </c>
      <c r="E174" s="3" t="s">
        <v>33</v>
      </c>
      <c r="F174" s="3" t="s">
        <v>61</v>
      </c>
      <c r="G174" s="4">
        <v>45918</v>
      </c>
      <c r="H174" s="3" t="s">
        <v>387</v>
      </c>
      <c r="I174" s="3" t="s">
        <v>35</v>
      </c>
      <c r="J174" s="4">
        <v>45918</v>
      </c>
      <c r="K174" s="4">
        <v>45922</v>
      </c>
      <c r="L174" s="3" t="s">
        <v>36</v>
      </c>
      <c r="M174" s="40">
        <v>256779417528</v>
      </c>
      <c r="N174" s="3" t="s">
        <v>37</v>
      </c>
      <c r="O174" s="3" t="s">
        <v>38</v>
      </c>
      <c r="P174" s="3" t="s">
        <v>39</v>
      </c>
      <c r="Q174" s="3" t="s">
        <v>40</v>
      </c>
      <c r="R174" s="3" t="s">
        <v>41</v>
      </c>
      <c r="S174" s="5">
        <v>3</v>
      </c>
      <c r="T174" s="3" t="s">
        <v>42</v>
      </c>
      <c r="U174" s="5">
        <v>262.54000000000002</v>
      </c>
      <c r="V174" s="3" t="s">
        <v>56</v>
      </c>
      <c r="W174" s="3" t="s">
        <v>48</v>
      </c>
      <c r="X174" s="3" t="s">
        <v>39</v>
      </c>
      <c r="Y174" s="3" t="s">
        <v>72</v>
      </c>
      <c r="Z174" s="3" t="s">
        <v>44</v>
      </c>
      <c r="AA174" s="41">
        <f t="shared" si="5"/>
        <v>3</v>
      </c>
      <c r="AB174" s="3" t="s">
        <v>73</v>
      </c>
      <c r="AC174" s="3" t="s">
        <v>39</v>
      </c>
      <c r="AD174" s="3" t="s">
        <v>39</v>
      </c>
      <c r="AE174" s="3" t="s">
        <v>39</v>
      </c>
      <c r="AF174" s="4">
        <v>45918</v>
      </c>
      <c r="AG174" s="4"/>
      <c r="AH174" s="3" t="s">
        <v>39</v>
      </c>
    </row>
    <row r="175" spans="1:34" outlineLevel="2" x14ac:dyDescent="0.35">
      <c r="A175" s="3" t="s">
        <v>121</v>
      </c>
      <c r="B175" s="3" t="s">
        <v>32</v>
      </c>
      <c r="C175" s="3" t="s">
        <v>117</v>
      </c>
      <c r="D175" s="3" t="s">
        <v>118</v>
      </c>
      <c r="E175" s="3" t="s">
        <v>33</v>
      </c>
      <c r="F175" s="3" t="s">
        <v>63</v>
      </c>
      <c r="G175" s="4">
        <v>45770</v>
      </c>
      <c r="H175" s="3" t="s">
        <v>388</v>
      </c>
      <c r="I175" s="3" t="s">
        <v>35</v>
      </c>
      <c r="J175" s="4">
        <v>45770</v>
      </c>
      <c r="K175" s="4">
        <v>45776</v>
      </c>
      <c r="L175" s="3" t="s">
        <v>36</v>
      </c>
      <c r="M175" s="40">
        <v>256779412932</v>
      </c>
      <c r="N175" s="3" t="s">
        <v>37</v>
      </c>
      <c r="O175" s="3" t="s">
        <v>38</v>
      </c>
      <c r="P175" s="3" t="s">
        <v>39</v>
      </c>
      <c r="Q175" s="3" t="s">
        <v>40</v>
      </c>
      <c r="R175" s="3" t="s">
        <v>41</v>
      </c>
      <c r="S175" s="5">
        <v>66.86</v>
      </c>
      <c r="T175" s="3" t="s">
        <v>42</v>
      </c>
      <c r="U175" s="5">
        <v>5811.59</v>
      </c>
      <c r="V175" s="3" t="s">
        <v>56</v>
      </c>
      <c r="W175" s="3" t="s">
        <v>48</v>
      </c>
      <c r="X175" s="3" t="s">
        <v>39</v>
      </c>
      <c r="Y175" s="3" t="s">
        <v>36</v>
      </c>
      <c r="Z175" s="3" t="s">
        <v>44</v>
      </c>
      <c r="AA175" s="41">
        <f t="shared" si="5"/>
        <v>66.86</v>
      </c>
      <c r="AB175" s="3" t="s">
        <v>74</v>
      </c>
      <c r="AC175" s="3" t="s">
        <v>39</v>
      </c>
      <c r="AD175" s="3" t="s">
        <v>39</v>
      </c>
      <c r="AE175" s="3" t="s">
        <v>39</v>
      </c>
      <c r="AF175" s="4">
        <v>45770</v>
      </c>
      <c r="AG175" s="4"/>
      <c r="AH175" s="3" t="s">
        <v>39</v>
      </c>
    </row>
    <row r="176" spans="1:34" outlineLevel="2" x14ac:dyDescent="0.35">
      <c r="A176" s="3" t="s">
        <v>121</v>
      </c>
      <c r="B176" s="3" t="s">
        <v>32</v>
      </c>
      <c r="C176" s="3" t="s">
        <v>117</v>
      </c>
      <c r="D176" s="3" t="s">
        <v>118</v>
      </c>
      <c r="E176" s="3" t="s">
        <v>33</v>
      </c>
      <c r="F176" s="3" t="s">
        <v>65</v>
      </c>
      <c r="G176" s="4">
        <v>45937</v>
      </c>
      <c r="H176" s="3" t="s">
        <v>389</v>
      </c>
      <c r="I176" s="3" t="s">
        <v>35</v>
      </c>
      <c r="J176" s="4">
        <v>45937</v>
      </c>
      <c r="K176" s="4">
        <v>45939</v>
      </c>
      <c r="L176" s="3" t="s">
        <v>36</v>
      </c>
      <c r="M176" s="40">
        <v>256779418181</v>
      </c>
      <c r="N176" s="3" t="s">
        <v>37</v>
      </c>
      <c r="O176" s="3" t="s">
        <v>38</v>
      </c>
      <c r="P176" s="3" t="s">
        <v>39</v>
      </c>
      <c r="Q176" s="3" t="s">
        <v>40</v>
      </c>
      <c r="R176" s="3" t="s">
        <v>41</v>
      </c>
      <c r="S176" s="5">
        <v>49.33</v>
      </c>
      <c r="T176" s="3" t="s">
        <v>42</v>
      </c>
      <c r="U176" s="5">
        <v>4350.45</v>
      </c>
      <c r="V176" s="3" t="s">
        <v>56</v>
      </c>
      <c r="W176" s="3" t="s">
        <v>48</v>
      </c>
      <c r="X176" s="3" t="s">
        <v>39</v>
      </c>
      <c r="Y176" s="3" t="s">
        <v>390</v>
      </c>
      <c r="Z176" s="3" t="s">
        <v>44</v>
      </c>
      <c r="AA176" s="41">
        <f t="shared" si="5"/>
        <v>49.33</v>
      </c>
      <c r="AB176" s="3" t="s">
        <v>391</v>
      </c>
      <c r="AC176" s="3" t="s">
        <v>39</v>
      </c>
      <c r="AD176" s="3" t="s">
        <v>39</v>
      </c>
      <c r="AE176" s="3" t="s">
        <v>39</v>
      </c>
      <c r="AF176" s="4">
        <v>45937</v>
      </c>
      <c r="AG176" s="4"/>
      <c r="AH176" s="3" t="s">
        <v>39</v>
      </c>
    </row>
    <row r="177" spans="1:34" outlineLevel="2" x14ac:dyDescent="0.35">
      <c r="A177" s="3" t="s">
        <v>121</v>
      </c>
      <c r="B177" s="3" t="s">
        <v>32</v>
      </c>
      <c r="C177" s="3" t="s">
        <v>117</v>
      </c>
      <c r="D177" s="3" t="s">
        <v>118</v>
      </c>
      <c r="E177" s="3" t="s">
        <v>33</v>
      </c>
      <c r="F177" s="3" t="s">
        <v>65</v>
      </c>
      <c r="G177" s="4">
        <v>45937</v>
      </c>
      <c r="H177" s="3" t="s">
        <v>392</v>
      </c>
      <c r="I177" s="3" t="s">
        <v>35</v>
      </c>
      <c r="J177" s="4">
        <v>45937</v>
      </c>
      <c r="K177" s="4">
        <v>45940</v>
      </c>
      <c r="L177" s="3" t="s">
        <v>36</v>
      </c>
      <c r="M177" s="40">
        <v>256779418342</v>
      </c>
      <c r="N177" s="3" t="s">
        <v>37</v>
      </c>
      <c r="O177" s="3" t="s">
        <v>38</v>
      </c>
      <c r="P177" s="3" t="s">
        <v>39</v>
      </c>
      <c r="Q177" s="3" t="s">
        <v>40</v>
      </c>
      <c r="R177" s="3" t="s">
        <v>41</v>
      </c>
      <c r="S177" s="5">
        <v>458.95</v>
      </c>
      <c r="T177" s="3" t="s">
        <v>42</v>
      </c>
      <c r="U177" s="5">
        <v>40475.15</v>
      </c>
      <c r="V177" s="3" t="s">
        <v>56</v>
      </c>
      <c r="W177" s="3" t="s">
        <v>48</v>
      </c>
      <c r="X177" s="3" t="s">
        <v>39</v>
      </c>
      <c r="Y177" s="3" t="s">
        <v>393</v>
      </c>
      <c r="Z177" s="3" t="s">
        <v>44</v>
      </c>
      <c r="AA177" s="41">
        <f t="shared" si="5"/>
        <v>458.95</v>
      </c>
      <c r="AB177" s="3" t="s">
        <v>394</v>
      </c>
      <c r="AC177" s="3" t="s">
        <v>39</v>
      </c>
      <c r="AD177" s="3" t="s">
        <v>39</v>
      </c>
      <c r="AE177" s="3" t="s">
        <v>39</v>
      </c>
      <c r="AF177" s="4">
        <v>45937</v>
      </c>
      <c r="AG177" s="4"/>
      <c r="AH177" s="3" t="s">
        <v>39</v>
      </c>
    </row>
    <row r="178" spans="1:34" outlineLevel="2" x14ac:dyDescent="0.35">
      <c r="A178" s="3" t="s">
        <v>121</v>
      </c>
      <c r="B178" s="3" t="s">
        <v>32</v>
      </c>
      <c r="C178" s="3" t="s">
        <v>117</v>
      </c>
      <c r="D178" s="3" t="s">
        <v>118</v>
      </c>
      <c r="E178" s="3" t="s">
        <v>33</v>
      </c>
      <c r="F178" s="3" t="s">
        <v>65</v>
      </c>
      <c r="G178" s="4">
        <v>45937</v>
      </c>
      <c r="H178" s="3" t="s">
        <v>395</v>
      </c>
      <c r="I178" s="3" t="s">
        <v>35</v>
      </c>
      <c r="J178" s="4">
        <v>45937</v>
      </c>
      <c r="K178" s="4">
        <v>45940</v>
      </c>
      <c r="L178" s="3" t="s">
        <v>36</v>
      </c>
      <c r="M178" s="40">
        <v>256779418354</v>
      </c>
      <c r="N178" s="3" t="s">
        <v>37</v>
      </c>
      <c r="O178" s="3" t="s">
        <v>38</v>
      </c>
      <c r="P178" s="3" t="s">
        <v>39</v>
      </c>
      <c r="Q178" s="3" t="s">
        <v>40</v>
      </c>
      <c r="R178" s="3" t="s">
        <v>41</v>
      </c>
      <c r="S178" s="5">
        <v>108.95</v>
      </c>
      <c r="T178" s="3" t="s">
        <v>42</v>
      </c>
      <c r="U178" s="5">
        <v>9608.3799999999992</v>
      </c>
      <c r="V178" s="3" t="s">
        <v>56</v>
      </c>
      <c r="W178" s="3" t="s">
        <v>48</v>
      </c>
      <c r="X178" s="3" t="s">
        <v>39</v>
      </c>
      <c r="Y178" s="3" t="s">
        <v>396</v>
      </c>
      <c r="Z178" s="3" t="s">
        <v>44</v>
      </c>
      <c r="AA178" s="41">
        <f t="shared" si="5"/>
        <v>108.95</v>
      </c>
      <c r="AB178" s="3" t="s">
        <v>397</v>
      </c>
      <c r="AC178" s="3" t="s">
        <v>39</v>
      </c>
      <c r="AD178" s="3" t="s">
        <v>39</v>
      </c>
      <c r="AE178" s="3" t="s">
        <v>39</v>
      </c>
      <c r="AF178" s="4">
        <v>45937</v>
      </c>
      <c r="AG178" s="4"/>
      <c r="AH178" s="3" t="s">
        <v>39</v>
      </c>
    </row>
    <row r="179" spans="1:34" outlineLevel="2" x14ac:dyDescent="0.35">
      <c r="A179" s="3" t="s">
        <v>121</v>
      </c>
      <c r="B179" s="3" t="s">
        <v>32</v>
      </c>
      <c r="C179" s="3" t="s">
        <v>117</v>
      </c>
      <c r="D179" s="3" t="s">
        <v>118</v>
      </c>
      <c r="E179" s="3" t="s">
        <v>33</v>
      </c>
      <c r="F179" s="3" t="s">
        <v>49</v>
      </c>
      <c r="G179" s="4">
        <v>45857</v>
      </c>
      <c r="H179" s="3" t="s">
        <v>398</v>
      </c>
      <c r="I179" s="3" t="s">
        <v>35</v>
      </c>
      <c r="J179" s="4">
        <v>45857</v>
      </c>
      <c r="K179" s="4">
        <v>45859</v>
      </c>
      <c r="L179" s="3" t="s">
        <v>36</v>
      </c>
      <c r="M179" s="40">
        <v>256779415772</v>
      </c>
      <c r="N179" s="3" t="s">
        <v>37</v>
      </c>
      <c r="O179" s="3" t="s">
        <v>38</v>
      </c>
      <c r="P179" s="3" t="s">
        <v>39</v>
      </c>
      <c r="Q179" s="3" t="s">
        <v>40</v>
      </c>
      <c r="R179" s="3" t="s">
        <v>41</v>
      </c>
      <c r="S179" s="5">
        <v>59.43</v>
      </c>
      <c r="T179" s="3" t="s">
        <v>42</v>
      </c>
      <c r="U179" s="5">
        <v>5111.0200000000004</v>
      </c>
      <c r="V179" s="3" t="s">
        <v>56</v>
      </c>
      <c r="W179" s="3" t="s">
        <v>48</v>
      </c>
      <c r="X179" s="3" t="s">
        <v>39</v>
      </c>
      <c r="Y179" s="3" t="s">
        <v>36</v>
      </c>
      <c r="Z179" s="3" t="s">
        <v>44</v>
      </c>
      <c r="AA179" s="41">
        <f t="shared" si="5"/>
        <v>59.43</v>
      </c>
      <c r="AB179" s="3" t="s">
        <v>399</v>
      </c>
      <c r="AC179" s="3" t="s">
        <v>39</v>
      </c>
      <c r="AD179" s="3" t="s">
        <v>39</v>
      </c>
      <c r="AE179" s="3" t="s">
        <v>39</v>
      </c>
      <c r="AF179" s="4">
        <v>45857</v>
      </c>
      <c r="AG179" s="4"/>
      <c r="AH179" s="3" t="s">
        <v>39</v>
      </c>
    </row>
    <row r="180" spans="1:34" outlineLevel="2" x14ac:dyDescent="0.35">
      <c r="A180" s="3" t="s">
        <v>116</v>
      </c>
      <c r="B180" s="3" t="s">
        <v>32</v>
      </c>
      <c r="C180" s="3" t="s">
        <v>117</v>
      </c>
      <c r="D180" s="3" t="s">
        <v>118</v>
      </c>
      <c r="E180" s="3" t="s">
        <v>33</v>
      </c>
      <c r="F180" s="3" t="s">
        <v>65</v>
      </c>
      <c r="G180" s="4">
        <v>45948</v>
      </c>
      <c r="H180" s="3" t="s">
        <v>400</v>
      </c>
      <c r="I180" s="3" t="s">
        <v>35</v>
      </c>
      <c r="J180" s="4">
        <v>45948</v>
      </c>
      <c r="K180" s="4">
        <v>45951</v>
      </c>
      <c r="L180" s="3" t="s">
        <v>36</v>
      </c>
      <c r="M180" s="40">
        <v>256779418440</v>
      </c>
      <c r="N180" s="3" t="s">
        <v>37</v>
      </c>
      <c r="O180" s="3" t="s">
        <v>38</v>
      </c>
      <c r="P180" s="3" t="s">
        <v>39</v>
      </c>
      <c r="Q180" s="3" t="s">
        <v>40</v>
      </c>
      <c r="R180" s="3" t="s">
        <v>41</v>
      </c>
      <c r="S180" s="5">
        <v>246.92</v>
      </c>
      <c r="T180" s="3" t="s">
        <v>42</v>
      </c>
      <c r="U180" s="5">
        <v>21776.06</v>
      </c>
      <c r="V180" s="3" t="s">
        <v>56</v>
      </c>
      <c r="W180" s="3" t="s">
        <v>48</v>
      </c>
      <c r="X180" s="3" t="s">
        <v>39</v>
      </c>
      <c r="Y180" s="3" t="s">
        <v>401</v>
      </c>
      <c r="Z180" s="3" t="s">
        <v>44</v>
      </c>
      <c r="AA180" s="41">
        <f t="shared" si="5"/>
        <v>246.92</v>
      </c>
      <c r="AB180" s="3" t="s">
        <v>402</v>
      </c>
      <c r="AC180" s="3" t="s">
        <v>39</v>
      </c>
      <c r="AD180" s="3" t="s">
        <v>39</v>
      </c>
      <c r="AE180" s="3" t="s">
        <v>39</v>
      </c>
      <c r="AF180" s="4">
        <v>45948</v>
      </c>
      <c r="AG180" s="4">
        <v>45976</v>
      </c>
      <c r="AH180" s="39">
        <v>1400001904</v>
      </c>
    </row>
    <row r="181" spans="1:34" outlineLevel="2" x14ac:dyDescent="0.35">
      <c r="A181" s="3" t="s">
        <v>121</v>
      </c>
      <c r="B181" s="3" t="s">
        <v>32</v>
      </c>
      <c r="C181" s="3" t="s">
        <v>117</v>
      </c>
      <c r="D181" s="3" t="s">
        <v>118</v>
      </c>
      <c r="E181" s="3" t="s">
        <v>33</v>
      </c>
      <c r="F181" s="3" t="s">
        <v>34</v>
      </c>
      <c r="G181" s="4">
        <v>45815</v>
      </c>
      <c r="H181" s="3" t="s">
        <v>403</v>
      </c>
      <c r="I181" s="3" t="s">
        <v>35</v>
      </c>
      <c r="J181" s="4">
        <v>45815</v>
      </c>
      <c r="K181" s="4">
        <v>45817</v>
      </c>
      <c r="L181" s="3" t="s">
        <v>36</v>
      </c>
      <c r="M181" s="40">
        <v>256779414234</v>
      </c>
      <c r="N181" s="3" t="s">
        <v>37</v>
      </c>
      <c r="O181" s="3" t="s">
        <v>38</v>
      </c>
      <c r="P181" s="3" t="s">
        <v>39</v>
      </c>
      <c r="Q181" s="3" t="s">
        <v>40</v>
      </c>
      <c r="R181" s="3" t="s">
        <v>41</v>
      </c>
      <c r="S181" s="5">
        <v>925.23</v>
      </c>
      <c r="T181" s="3" t="s">
        <v>42</v>
      </c>
      <c r="U181" s="5">
        <v>79098.63</v>
      </c>
      <c r="V181" s="3" t="s">
        <v>56</v>
      </c>
      <c r="W181" s="3" t="s">
        <v>48</v>
      </c>
      <c r="X181" s="3" t="s">
        <v>39</v>
      </c>
      <c r="Y181" s="3" t="s">
        <v>36</v>
      </c>
      <c r="Z181" s="3" t="s">
        <v>44</v>
      </c>
      <c r="AA181" s="41">
        <f t="shared" si="5"/>
        <v>925.23</v>
      </c>
      <c r="AB181" s="3" t="s">
        <v>404</v>
      </c>
      <c r="AC181" s="3" t="s">
        <v>39</v>
      </c>
      <c r="AD181" s="3" t="s">
        <v>39</v>
      </c>
      <c r="AE181" s="3" t="s">
        <v>39</v>
      </c>
      <c r="AF181" s="4">
        <v>45815</v>
      </c>
      <c r="AG181" s="4"/>
      <c r="AH181" s="3" t="s">
        <v>39</v>
      </c>
    </row>
    <row r="182" spans="1:34" outlineLevel="2" x14ac:dyDescent="0.35">
      <c r="A182" s="3" t="s">
        <v>116</v>
      </c>
      <c r="B182" s="3" t="s">
        <v>32</v>
      </c>
      <c r="C182" s="3" t="s">
        <v>117</v>
      </c>
      <c r="D182" s="3" t="s">
        <v>118</v>
      </c>
      <c r="E182" s="3" t="s">
        <v>33</v>
      </c>
      <c r="F182" s="3" t="s">
        <v>65</v>
      </c>
      <c r="G182" s="4">
        <v>45936</v>
      </c>
      <c r="H182" s="3" t="s">
        <v>405</v>
      </c>
      <c r="I182" s="3" t="s">
        <v>35</v>
      </c>
      <c r="J182" s="4">
        <v>45936</v>
      </c>
      <c r="K182" s="4">
        <v>45937</v>
      </c>
      <c r="L182" s="3" t="s">
        <v>36</v>
      </c>
      <c r="M182" s="40">
        <v>256779418012</v>
      </c>
      <c r="N182" s="3" t="s">
        <v>37</v>
      </c>
      <c r="O182" s="3" t="s">
        <v>38</v>
      </c>
      <c r="P182" s="3" t="s">
        <v>39</v>
      </c>
      <c r="Q182" s="3" t="s">
        <v>40</v>
      </c>
      <c r="R182" s="3" t="s">
        <v>41</v>
      </c>
      <c r="S182" s="5">
        <v>480.02</v>
      </c>
      <c r="T182" s="3" t="s">
        <v>42</v>
      </c>
      <c r="U182" s="5">
        <v>42333.33</v>
      </c>
      <c r="V182" s="3" t="s">
        <v>56</v>
      </c>
      <c r="W182" s="3" t="s">
        <v>48</v>
      </c>
      <c r="X182" s="3" t="s">
        <v>39</v>
      </c>
      <c r="Y182" s="3" t="s">
        <v>406</v>
      </c>
      <c r="Z182" s="3" t="s">
        <v>44</v>
      </c>
      <c r="AA182" s="41">
        <f t="shared" ref="AA182:AA194" si="6">S182</f>
        <v>480.02</v>
      </c>
      <c r="AB182" s="3" t="s">
        <v>327</v>
      </c>
      <c r="AC182" s="3" t="s">
        <v>39</v>
      </c>
      <c r="AD182" s="3" t="s">
        <v>39</v>
      </c>
      <c r="AE182" s="3" t="s">
        <v>39</v>
      </c>
      <c r="AF182" s="4">
        <v>45936</v>
      </c>
      <c r="AG182" s="4">
        <v>45976</v>
      </c>
      <c r="AH182" s="39">
        <v>1400001904</v>
      </c>
    </row>
    <row r="183" spans="1:34" outlineLevel="2" x14ac:dyDescent="0.35">
      <c r="A183" s="3" t="s">
        <v>121</v>
      </c>
      <c r="B183" s="3" t="s">
        <v>32</v>
      </c>
      <c r="C183" s="3" t="s">
        <v>117</v>
      </c>
      <c r="D183" s="3" t="s">
        <v>118</v>
      </c>
      <c r="E183" s="3" t="s">
        <v>33</v>
      </c>
      <c r="F183" s="3" t="s">
        <v>65</v>
      </c>
      <c r="G183" s="4">
        <v>45935</v>
      </c>
      <c r="H183" s="3" t="s">
        <v>407</v>
      </c>
      <c r="I183" s="3" t="s">
        <v>35</v>
      </c>
      <c r="J183" s="4">
        <v>45935</v>
      </c>
      <c r="K183" s="4">
        <v>45937</v>
      </c>
      <c r="L183" s="3" t="s">
        <v>36</v>
      </c>
      <c r="M183" s="40">
        <v>256779417860</v>
      </c>
      <c r="N183" s="3" t="s">
        <v>37</v>
      </c>
      <c r="O183" s="3" t="s">
        <v>38</v>
      </c>
      <c r="P183" s="3" t="s">
        <v>39</v>
      </c>
      <c r="Q183" s="3" t="s">
        <v>40</v>
      </c>
      <c r="R183" s="3" t="s">
        <v>41</v>
      </c>
      <c r="S183" s="5">
        <v>50</v>
      </c>
      <c r="T183" s="3" t="s">
        <v>42</v>
      </c>
      <c r="U183" s="5">
        <v>4409.54</v>
      </c>
      <c r="V183" s="3" t="s">
        <v>56</v>
      </c>
      <c r="W183" s="3" t="s">
        <v>48</v>
      </c>
      <c r="X183" s="3" t="s">
        <v>39</v>
      </c>
      <c r="Y183" s="3" t="s">
        <v>408</v>
      </c>
      <c r="Z183" s="3" t="s">
        <v>44</v>
      </c>
      <c r="AA183" s="41">
        <f t="shared" si="6"/>
        <v>50</v>
      </c>
      <c r="AB183" s="3" t="s">
        <v>409</v>
      </c>
      <c r="AC183" s="3" t="s">
        <v>39</v>
      </c>
      <c r="AD183" s="3" t="s">
        <v>39</v>
      </c>
      <c r="AE183" s="3" t="s">
        <v>39</v>
      </c>
      <c r="AF183" s="4">
        <v>45935</v>
      </c>
      <c r="AG183" s="4"/>
      <c r="AH183" s="3" t="s">
        <v>39</v>
      </c>
    </row>
    <row r="184" spans="1:34" outlineLevel="2" x14ac:dyDescent="0.35">
      <c r="A184" s="3" t="s">
        <v>121</v>
      </c>
      <c r="B184" s="3" t="s">
        <v>32</v>
      </c>
      <c r="C184" s="3" t="s">
        <v>117</v>
      </c>
      <c r="D184" s="3" t="s">
        <v>118</v>
      </c>
      <c r="E184" s="3" t="s">
        <v>33</v>
      </c>
      <c r="F184" s="3" t="s">
        <v>65</v>
      </c>
      <c r="G184" s="4">
        <v>45935</v>
      </c>
      <c r="H184" s="3" t="s">
        <v>410</v>
      </c>
      <c r="I184" s="3" t="s">
        <v>35</v>
      </c>
      <c r="J184" s="4">
        <v>45935</v>
      </c>
      <c r="K184" s="4">
        <v>45940</v>
      </c>
      <c r="L184" s="3" t="s">
        <v>36</v>
      </c>
      <c r="M184" s="40">
        <v>256779418401</v>
      </c>
      <c r="N184" s="3" t="s">
        <v>37</v>
      </c>
      <c r="O184" s="3" t="s">
        <v>38</v>
      </c>
      <c r="P184" s="3" t="s">
        <v>39</v>
      </c>
      <c r="Q184" s="3" t="s">
        <v>40</v>
      </c>
      <c r="R184" s="3" t="s">
        <v>41</v>
      </c>
      <c r="S184" s="5">
        <v>62.52</v>
      </c>
      <c r="T184" s="3" t="s">
        <v>42</v>
      </c>
      <c r="U184" s="5">
        <v>5513.69</v>
      </c>
      <c r="V184" s="3" t="s">
        <v>56</v>
      </c>
      <c r="W184" s="3" t="s">
        <v>48</v>
      </c>
      <c r="X184" s="3" t="s">
        <v>39</v>
      </c>
      <c r="Y184" s="3" t="s">
        <v>411</v>
      </c>
      <c r="Z184" s="3" t="s">
        <v>44</v>
      </c>
      <c r="AA184" s="41">
        <f t="shared" si="6"/>
        <v>62.52</v>
      </c>
      <c r="AB184" s="3" t="s">
        <v>412</v>
      </c>
      <c r="AC184" s="3" t="s">
        <v>39</v>
      </c>
      <c r="AD184" s="3" t="s">
        <v>39</v>
      </c>
      <c r="AE184" s="3" t="s">
        <v>39</v>
      </c>
      <c r="AF184" s="4">
        <v>45935</v>
      </c>
      <c r="AG184" s="4"/>
      <c r="AH184" s="3" t="s">
        <v>39</v>
      </c>
    </row>
    <row r="185" spans="1:34" outlineLevel="2" x14ac:dyDescent="0.35">
      <c r="A185" s="3" t="s">
        <v>121</v>
      </c>
      <c r="B185" s="3" t="s">
        <v>32</v>
      </c>
      <c r="C185" s="3" t="s">
        <v>117</v>
      </c>
      <c r="D185" s="3" t="s">
        <v>118</v>
      </c>
      <c r="E185" s="3" t="s">
        <v>33</v>
      </c>
      <c r="F185" s="3" t="s">
        <v>61</v>
      </c>
      <c r="G185" s="4">
        <v>45906</v>
      </c>
      <c r="H185" s="3" t="s">
        <v>413</v>
      </c>
      <c r="I185" s="3" t="s">
        <v>35</v>
      </c>
      <c r="J185" s="4">
        <v>45906</v>
      </c>
      <c r="K185" s="4">
        <v>45909</v>
      </c>
      <c r="L185" s="3" t="s">
        <v>36</v>
      </c>
      <c r="M185" s="40">
        <v>256779417077</v>
      </c>
      <c r="N185" s="3" t="s">
        <v>37</v>
      </c>
      <c r="O185" s="3" t="s">
        <v>38</v>
      </c>
      <c r="P185" s="3" t="s">
        <v>39</v>
      </c>
      <c r="Q185" s="3" t="s">
        <v>40</v>
      </c>
      <c r="R185" s="3" t="s">
        <v>41</v>
      </c>
      <c r="S185" s="5">
        <v>565.97</v>
      </c>
      <c r="T185" s="3" t="s">
        <v>42</v>
      </c>
      <c r="U185" s="5">
        <v>49530.49</v>
      </c>
      <c r="V185" s="3" t="s">
        <v>56</v>
      </c>
      <c r="W185" s="3" t="s">
        <v>48</v>
      </c>
      <c r="X185" s="3" t="s">
        <v>39</v>
      </c>
      <c r="Y185" s="3" t="s">
        <v>36</v>
      </c>
      <c r="Z185" s="3" t="s">
        <v>44</v>
      </c>
      <c r="AA185" s="41">
        <f t="shared" si="6"/>
        <v>565.97</v>
      </c>
      <c r="AB185" s="3" t="s">
        <v>414</v>
      </c>
      <c r="AC185" s="3" t="s">
        <v>39</v>
      </c>
      <c r="AD185" s="3" t="s">
        <v>39</v>
      </c>
      <c r="AE185" s="3" t="s">
        <v>39</v>
      </c>
      <c r="AF185" s="4">
        <v>45906</v>
      </c>
      <c r="AG185" s="4"/>
      <c r="AH185" s="3" t="s">
        <v>39</v>
      </c>
    </row>
    <row r="186" spans="1:34" outlineLevel="2" x14ac:dyDescent="0.35">
      <c r="A186" s="3" t="s">
        <v>121</v>
      </c>
      <c r="B186" s="3" t="s">
        <v>32</v>
      </c>
      <c r="C186" s="3" t="s">
        <v>117</v>
      </c>
      <c r="D186" s="3" t="s">
        <v>118</v>
      </c>
      <c r="E186" s="3" t="s">
        <v>75</v>
      </c>
      <c r="F186" s="3" t="s">
        <v>44</v>
      </c>
      <c r="G186" s="4">
        <v>46024</v>
      </c>
      <c r="H186" s="3" t="s">
        <v>415</v>
      </c>
      <c r="I186" s="3" t="s">
        <v>35</v>
      </c>
      <c r="J186" s="4">
        <v>46024</v>
      </c>
      <c r="K186" s="4">
        <v>46024</v>
      </c>
      <c r="L186" s="3" t="s">
        <v>36</v>
      </c>
      <c r="M186" s="40">
        <v>256779440005</v>
      </c>
      <c r="N186" s="3" t="s">
        <v>37</v>
      </c>
      <c r="O186" s="3" t="s">
        <v>38</v>
      </c>
      <c r="P186" s="3" t="s">
        <v>39</v>
      </c>
      <c r="Q186" s="3" t="s">
        <v>40</v>
      </c>
      <c r="R186" s="3" t="s">
        <v>41</v>
      </c>
      <c r="S186" s="5">
        <v>451.3</v>
      </c>
      <c r="T186" s="3" t="s">
        <v>42</v>
      </c>
      <c r="U186" s="5">
        <v>40952.379999999997</v>
      </c>
      <c r="V186" s="3" t="s">
        <v>56</v>
      </c>
      <c r="W186" s="3" t="s">
        <v>48</v>
      </c>
      <c r="X186" s="3" t="s">
        <v>39</v>
      </c>
      <c r="Y186" s="3" t="s">
        <v>416</v>
      </c>
      <c r="Z186" s="3" t="s">
        <v>44</v>
      </c>
      <c r="AA186" s="41">
        <f t="shared" si="6"/>
        <v>451.3</v>
      </c>
      <c r="AB186" s="3" t="s">
        <v>417</v>
      </c>
      <c r="AC186" s="3" t="s">
        <v>39</v>
      </c>
      <c r="AD186" s="3" t="s">
        <v>39</v>
      </c>
      <c r="AE186" s="3" t="s">
        <v>39</v>
      </c>
      <c r="AF186" s="4">
        <v>46024</v>
      </c>
      <c r="AG186" s="4"/>
      <c r="AH186" s="3" t="s">
        <v>39</v>
      </c>
    </row>
    <row r="187" spans="1:34" outlineLevel="2" x14ac:dyDescent="0.35">
      <c r="A187" s="3" t="s">
        <v>121</v>
      </c>
      <c r="B187" s="3" t="s">
        <v>32</v>
      </c>
      <c r="C187" s="3" t="s">
        <v>117</v>
      </c>
      <c r="D187" s="3" t="s">
        <v>118</v>
      </c>
      <c r="E187" s="3" t="s">
        <v>75</v>
      </c>
      <c r="F187" s="3" t="s">
        <v>44</v>
      </c>
      <c r="G187" s="4">
        <v>46027</v>
      </c>
      <c r="H187" s="3" t="s">
        <v>418</v>
      </c>
      <c r="I187" s="3" t="s">
        <v>46</v>
      </c>
      <c r="J187" s="4">
        <v>46027</v>
      </c>
      <c r="K187" s="4">
        <v>46027</v>
      </c>
      <c r="L187" s="3" t="s">
        <v>36</v>
      </c>
      <c r="M187" s="40">
        <v>256779422156</v>
      </c>
      <c r="N187" s="3" t="s">
        <v>37</v>
      </c>
      <c r="O187" s="3" t="s">
        <v>38</v>
      </c>
      <c r="P187" s="3" t="s">
        <v>39</v>
      </c>
      <c r="Q187" s="3" t="s">
        <v>47</v>
      </c>
      <c r="R187" s="3" t="s">
        <v>41</v>
      </c>
      <c r="S187" s="5">
        <v>-59.62</v>
      </c>
      <c r="T187" s="3" t="s">
        <v>42</v>
      </c>
      <c r="U187" s="5">
        <v>-5410.11</v>
      </c>
      <c r="V187" s="3" t="s">
        <v>56</v>
      </c>
      <c r="W187" s="3" t="s">
        <v>48</v>
      </c>
      <c r="X187" s="3" t="s">
        <v>39</v>
      </c>
      <c r="Y187" s="3" t="s">
        <v>419</v>
      </c>
      <c r="Z187" s="3" t="s">
        <v>44</v>
      </c>
      <c r="AA187" s="41">
        <f t="shared" si="6"/>
        <v>-59.62</v>
      </c>
      <c r="AB187" s="3" t="s">
        <v>420</v>
      </c>
      <c r="AC187" s="3" t="s">
        <v>39</v>
      </c>
      <c r="AD187" s="3" t="s">
        <v>39</v>
      </c>
      <c r="AE187" s="3" t="s">
        <v>39</v>
      </c>
      <c r="AF187" s="4">
        <v>46027</v>
      </c>
      <c r="AG187" s="4"/>
      <c r="AH187" s="3" t="s">
        <v>39</v>
      </c>
    </row>
    <row r="188" spans="1:34" outlineLevel="2" x14ac:dyDescent="0.35">
      <c r="A188" s="3" t="s">
        <v>121</v>
      </c>
      <c r="B188" s="3" t="s">
        <v>32</v>
      </c>
      <c r="C188" s="3" t="s">
        <v>117</v>
      </c>
      <c r="D188" s="3" t="s">
        <v>118</v>
      </c>
      <c r="E188" s="3" t="s">
        <v>75</v>
      </c>
      <c r="F188" s="3" t="s">
        <v>44</v>
      </c>
      <c r="G188" s="4">
        <v>46027</v>
      </c>
      <c r="H188" s="3" t="s">
        <v>421</v>
      </c>
      <c r="I188" s="3" t="s">
        <v>46</v>
      </c>
      <c r="J188" s="4">
        <v>46027</v>
      </c>
      <c r="K188" s="4">
        <v>46027</v>
      </c>
      <c r="L188" s="3" t="s">
        <v>36</v>
      </c>
      <c r="M188" s="40">
        <v>256779422157</v>
      </c>
      <c r="N188" s="3" t="s">
        <v>37</v>
      </c>
      <c r="O188" s="3" t="s">
        <v>38</v>
      </c>
      <c r="P188" s="3" t="s">
        <v>39</v>
      </c>
      <c r="Q188" s="3" t="s">
        <v>47</v>
      </c>
      <c r="R188" s="3" t="s">
        <v>41</v>
      </c>
      <c r="S188" s="5">
        <v>-49.33</v>
      </c>
      <c r="T188" s="3" t="s">
        <v>42</v>
      </c>
      <c r="U188" s="5">
        <v>-4476.3599999999997</v>
      </c>
      <c r="V188" s="3" t="s">
        <v>56</v>
      </c>
      <c r="W188" s="3" t="s">
        <v>48</v>
      </c>
      <c r="X188" s="3" t="s">
        <v>39</v>
      </c>
      <c r="Y188" s="3" t="s">
        <v>419</v>
      </c>
      <c r="Z188" s="3" t="s">
        <v>44</v>
      </c>
      <c r="AA188" s="41">
        <f t="shared" si="6"/>
        <v>-49.33</v>
      </c>
      <c r="AB188" s="3" t="s">
        <v>420</v>
      </c>
      <c r="AC188" s="3" t="s">
        <v>39</v>
      </c>
      <c r="AD188" s="3" t="s">
        <v>39</v>
      </c>
      <c r="AE188" s="3" t="s">
        <v>39</v>
      </c>
      <c r="AF188" s="4">
        <v>46027</v>
      </c>
      <c r="AG188" s="4"/>
      <c r="AH188" s="3" t="s">
        <v>39</v>
      </c>
    </row>
    <row r="189" spans="1:34" outlineLevel="2" x14ac:dyDescent="0.35">
      <c r="A189" s="3" t="s">
        <v>121</v>
      </c>
      <c r="B189" s="3" t="s">
        <v>32</v>
      </c>
      <c r="C189" s="3" t="s">
        <v>117</v>
      </c>
      <c r="D189" s="3" t="s">
        <v>118</v>
      </c>
      <c r="E189" s="3" t="s">
        <v>75</v>
      </c>
      <c r="F189" s="3" t="s">
        <v>44</v>
      </c>
      <c r="G189" s="4">
        <v>46027</v>
      </c>
      <c r="H189" s="3" t="s">
        <v>422</v>
      </c>
      <c r="I189" s="3" t="s">
        <v>46</v>
      </c>
      <c r="J189" s="4">
        <v>46027</v>
      </c>
      <c r="K189" s="4">
        <v>46027</v>
      </c>
      <c r="L189" s="3" t="s">
        <v>36</v>
      </c>
      <c r="M189" s="40">
        <v>256779422168</v>
      </c>
      <c r="N189" s="3" t="s">
        <v>37</v>
      </c>
      <c r="O189" s="3" t="s">
        <v>38</v>
      </c>
      <c r="P189" s="3" t="s">
        <v>39</v>
      </c>
      <c r="Q189" s="3" t="s">
        <v>47</v>
      </c>
      <c r="R189" s="3" t="s">
        <v>41</v>
      </c>
      <c r="S189" s="5">
        <v>-27.64</v>
      </c>
      <c r="T189" s="3" t="s">
        <v>42</v>
      </c>
      <c r="U189" s="5">
        <v>-2508.14</v>
      </c>
      <c r="V189" s="3" t="s">
        <v>56</v>
      </c>
      <c r="W189" s="3" t="s">
        <v>48</v>
      </c>
      <c r="X189" s="3" t="s">
        <v>39</v>
      </c>
      <c r="Y189" s="3" t="s">
        <v>419</v>
      </c>
      <c r="Z189" s="3" t="s">
        <v>44</v>
      </c>
      <c r="AA189" s="41">
        <f t="shared" si="6"/>
        <v>-27.64</v>
      </c>
      <c r="AB189" s="3" t="s">
        <v>423</v>
      </c>
      <c r="AC189" s="3" t="s">
        <v>39</v>
      </c>
      <c r="AD189" s="3" t="s">
        <v>39</v>
      </c>
      <c r="AE189" s="3" t="s">
        <v>39</v>
      </c>
      <c r="AF189" s="4">
        <v>46027</v>
      </c>
      <c r="AG189" s="4"/>
      <c r="AH189" s="3" t="s">
        <v>39</v>
      </c>
    </row>
    <row r="190" spans="1:34" outlineLevel="2" x14ac:dyDescent="0.35">
      <c r="A190" s="3" t="s">
        <v>121</v>
      </c>
      <c r="B190" s="3" t="s">
        <v>32</v>
      </c>
      <c r="C190" s="3" t="s">
        <v>117</v>
      </c>
      <c r="D190" s="3" t="s">
        <v>118</v>
      </c>
      <c r="E190" s="3" t="s">
        <v>75</v>
      </c>
      <c r="F190" s="3" t="s">
        <v>44</v>
      </c>
      <c r="G190" s="4">
        <v>46027</v>
      </c>
      <c r="H190" s="3" t="s">
        <v>424</v>
      </c>
      <c r="I190" s="3" t="s">
        <v>35</v>
      </c>
      <c r="J190" s="4">
        <v>46027</v>
      </c>
      <c r="K190" s="4">
        <v>46027</v>
      </c>
      <c r="L190" s="3" t="s">
        <v>36</v>
      </c>
      <c r="M190" s="40">
        <v>256779440070</v>
      </c>
      <c r="N190" s="3" t="s">
        <v>37</v>
      </c>
      <c r="O190" s="3" t="s">
        <v>38</v>
      </c>
      <c r="P190" s="3" t="s">
        <v>39</v>
      </c>
      <c r="Q190" s="3" t="s">
        <v>40</v>
      </c>
      <c r="R190" s="3" t="s">
        <v>41</v>
      </c>
      <c r="S190" s="5">
        <v>7.18</v>
      </c>
      <c r="T190" s="3" t="s">
        <v>42</v>
      </c>
      <c r="U190" s="5">
        <v>651.54</v>
      </c>
      <c r="V190" s="3" t="s">
        <v>56</v>
      </c>
      <c r="W190" s="3" t="s">
        <v>48</v>
      </c>
      <c r="X190" s="3" t="s">
        <v>39</v>
      </c>
      <c r="Y190" s="3" t="s">
        <v>425</v>
      </c>
      <c r="Z190" s="3" t="s">
        <v>44</v>
      </c>
      <c r="AA190" s="41">
        <f t="shared" si="6"/>
        <v>7.18</v>
      </c>
      <c r="AB190" s="3" t="s">
        <v>426</v>
      </c>
      <c r="AC190" s="3" t="s">
        <v>39</v>
      </c>
      <c r="AD190" s="3" t="s">
        <v>39</v>
      </c>
      <c r="AE190" s="3" t="s">
        <v>39</v>
      </c>
      <c r="AF190" s="4">
        <v>46027</v>
      </c>
      <c r="AG190" s="4"/>
      <c r="AH190" s="3" t="s">
        <v>39</v>
      </c>
    </row>
    <row r="191" spans="1:34" outlineLevel="2" x14ac:dyDescent="0.35">
      <c r="A191" s="3" t="s">
        <v>121</v>
      </c>
      <c r="B191" s="3" t="s">
        <v>32</v>
      </c>
      <c r="C191" s="3" t="s">
        <v>117</v>
      </c>
      <c r="D191" s="3" t="s">
        <v>118</v>
      </c>
      <c r="E191" s="3" t="s">
        <v>75</v>
      </c>
      <c r="F191" s="3" t="s">
        <v>44</v>
      </c>
      <c r="G191" s="4">
        <v>46027</v>
      </c>
      <c r="H191" s="3" t="s">
        <v>427</v>
      </c>
      <c r="I191" s="3" t="s">
        <v>35</v>
      </c>
      <c r="J191" s="4">
        <v>46027</v>
      </c>
      <c r="K191" s="4">
        <v>46027</v>
      </c>
      <c r="L191" s="3" t="s">
        <v>77</v>
      </c>
      <c r="M191" s="40">
        <v>256779440082</v>
      </c>
      <c r="N191" s="3" t="s">
        <v>37</v>
      </c>
      <c r="O191" s="3" t="s">
        <v>38</v>
      </c>
      <c r="P191" s="3" t="s">
        <v>39</v>
      </c>
      <c r="Q191" s="3" t="s">
        <v>40</v>
      </c>
      <c r="R191" s="3" t="s">
        <v>41</v>
      </c>
      <c r="S191" s="5">
        <v>2.25</v>
      </c>
      <c r="T191" s="3" t="s">
        <v>42</v>
      </c>
      <c r="U191" s="5">
        <v>204.17</v>
      </c>
      <c r="V191" s="3" t="s">
        <v>56</v>
      </c>
      <c r="W191" s="3" t="s">
        <v>48</v>
      </c>
      <c r="X191" s="3" t="s">
        <v>39</v>
      </c>
      <c r="Y191" s="3" t="s">
        <v>36</v>
      </c>
      <c r="Z191" s="3" t="s">
        <v>44</v>
      </c>
      <c r="AA191" s="41">
        <f t="shared" si="6"/>
        <v>2.25</v>
      </c>
      <c r="AB191" s="3" t="s">
        <v>78</v>
      </c>
      <c r="AC191" s="3" t="s">
        <v>39</v>
      </c>
      <c r="AD191" s="3" t="s">
        <v>39</v>
      </c>
      <c r="AE191" s="3" t="s">
        <v>39</v>
      </c>
      <c r="AF191" s="4">
        <v>46027</v>
      </c>
      <c r="AG191" s="4"/>
      <c r="AH191" s="3" t="s">
        <v>39</v>
      </c>
    </row>
    <row r="192" spans="1:34" outlineLevel="2" x14ac:dyDescent="0.35">
      <c r="A192" s="3" t="s">
        <v>121</v>
      </c>
      <c r="B192" s="3" t="s">
        <v>32</v>
      </c>
      <c r="C192" s="3" t="s">
        <v>117</v>
      </c>
      <c r="D192" s="3" t="s">
        <v>118</v>
      </c>
      <c r="E192" s="3" t="s">
        <v>75</v>
      </c>
      <c r="F192" s="3" t="s">
        <v>44</v>
      </c>
      <c r="G192" s="4">
        <v>46027</v>
      </c>
      <c r="H192" s="3" t="s">
        <v>428</v>
      </c>
      <c r="I192" s="3" t="s">
        <v>35</v>
      </c>
      <c r="J192" s="4">
        <v>46027</v>
      </c>
      <c r="K192" s="4">
        <v>46027</v>
      </c>
      <c r="L192" s="3" t="s">
        <v>429</v>
      </c>
      <c r="M192" s="40">
        <v>256779440102</v>
      </c>
      <c r="N192" s="3" t="s">
        <v>37</v>
      </c>
      <c r="O192" s="3" t="s">
        <v>38</v>
      </c>
      <c r="P192" s="3" t="s">
        <v>39</v>
      </c>
      <c r="Q192" s="3" t="s">
        <v>40</v>
      </c>
      <c r="R192" s="3" t="s">
        <v>41</v>
      </c>
      <c r="S192" s="5">
        <v>20.39</v>
      </c>
      <c r="T192" s="3" t="s">
        <v>42</v>
      </c>
      <c r="U192" s="5">
        <v>1850.25</v>
      </c>
      <c r="V192" s="3" t="s">
        <v>56</v>
      </c>
      <c r="W192" s="3" t="s">
        <v>48</v>
      </c>
      <c r="X192" s="3" t="s">
        <v>39</v>
      </c>
      <c r="Y192" s="3" t="s">
        <v>36</v>
      </c>
      <c r="Z192" s="3" t="s">
        <v>44</v>
      </c>
      <c r="AA192" s="41">
        <f t="shared" si="6"/>
        <v>20.39</v>
      </c>
      <c r="AB192" s="3" t="s">
        <v>76</v>
      </c>
      <c r="AC192" s="3" t="s">
        <v>39</v>
      </c>
      <c r="AD192" s="3" t="s">
        <v>39</v>
      </c>
      <c r="AE192" s="3" t="s">
        <v>39</v>
      </c>
      <c r="AF192" s="4">
        <v>46027</v>
      </c>
      <c r="AG192" s="4"/>
      <c r="AH192" s="3" t="s">
        <v>39</v>
      </c>
    </row>
    <row r="193" spans="1:34" outlineLevel="2" x14ac:dyDescent="0.35">
      <c r="A193" s="3" t="s">
        <v>121</v>
      </c>
      <c r="B193" s="3" t="s">
        <v>32</v>
      </c>
      <c r="C193" s="3" t="s">
        <v>117</v>
      </c>
      <c r="D193" s="3" t="s">
        <v>118</v>
      </c>
      <c r="E193" s="3" t="s">
        <v>75</v>
      </c>
      <c r="F193" s="3" t="s">
        <v>44</v>
      </c>
      <c r="G193" s="4">
        <v>46027</v>
      </c>
      <c r="H193" s="3" t="s">
        <v>430</v>
      </c>
      <c r="I193" s="3" t="s">
        <v>35</v>
      </c>
      <c r="J193" s="4">
        <v>46027</v>
      </c>
      <c r="K193" s="4">
        <v>46027</v>
      </c>
      <c r="L193" s="3" t="s">
        <v>79</v>
      </c>
      <c r="M193" s="40">
        <v>256779440119</v>
      </c>
      <c r="N193" s="3" t="s">
        <v>37</v>
      </c>
      <c r="O193" s="3" t="s">
        <v>38</v>
      </c>
      <c r="P193" s="3" t="s">
        <v>39</v>
      </c>
      <c r="Q193" s="3" t="s">
        <v>40</v>
      </c>
      <c r="R193" s="3" t="s">
        <v>41</v>
      </c>
      <c r="S193" s="5">
        <v>17.25</v>
      </c>
      <c r="T193" s="3" t="s">
        <v>42</v>
      </c>
      <c r="U193" s="5">
        <v>1565.32</v>
      </c>
      <c r="V193" s="3" t="s">
        <v>56</v>
      </c>
      <c r="W193" s="3" t="s">
        <v>48</v>
      </c>
      <c r="X193" s="3" t="s">
        <v>39</v>
      </c>
      <c r="Y193" s="3" t="s">
        <v>36</v>
      </c>
      <c r="Z193" s="3" t="s">
        <v>44</v>
      </c>
      <c r="AA193" s="41">
        <f t="shared" si="6"/>
        <v>17.25</v>
      </c>
      <c r="AB193" s="3" t="s">
        <v>431</v>
      </c>
      <c r="AC193" s="3" t="s">
        <v>39</v>
      </c>
      <c r="AD193" s="3" t="s">
        <v>39</v>
      </c>
      <c r="AE193" s="3" t="s">
        <v>39</v>
      </c>
      <c r="AF193" s="4">
        <v>46027</v>
      </c>
      <c r="AG193" s="4"/>
      <c r="AH193" s="3" t="s">
        <v>39</v>
      </c>
    </row>
    <row r="194" spans="1:34" outlineLevel="2" x14ac:dyDescent="0.35">
      <c r="A194" s="3" t="s">
        <v>121</v>
      </c>
      <c r="B194" s="3" t="s">
        <v>32</v>
      </c>
      <c r="C194" s="3" t="s">
        <v>117</v>
      </c>
      <c r="D194" s="3" t="s">
        <v>118</v>
      </c>
      <c r="E194" s="3" t="s">
        <v>75</v>
      </c>
      <c r="F194" s="3" t="s">
        <v>44</v>
      </c>
      <c r="G194" s="4">
        <v>46028</v>
      </c>
      <c r="H194" s="3" t="s">
        <v>432</v>
      </c>
      <c r="I194" s="3" t="s">
        <v>35</v>
      </c>
      <c r="J194" s="4">
        <v>46028</v>
      </c>
      <c r="K194" s="4">
        <v>46034</v>
      </c>
      <c r="L194" s="3" t="s">
        <v>433</v>
      </c>
      <c r="M194" s="40">
        <v>256779440236</v>
      </c>
      <c r="N194" s="3" t="s">
        <v>37</v>
      </c>
      <c r="O194" s="3" t="s">
        <v>38</v>
      </c>
      <c r="P194" s="3" t="s">
        <v>39</v>
      </c>
      <c r="Q194" s="3" t="s">
        <v>40</v>
      </c>
      <c r="R194" s="3" t="s">
        <v>41</v>
      </c>
      <c r="S194" s="5">
        <v>505.23</v>
      </c>
      <c r="T194" s="3" t="s">
        <v>42</v>
      </c>
      <c r="U194" s="5">
        <v>45846.16</v>
      </c>
      <c r="V194" s="3" t="s">
        <v>56</v>
      </c>
      <c r="W194" s="3" t="s">
        <v>48</v>
      </c>
      <c r="X194" s="3" t="s">
        <v>39</v>
      </c>
      <c r="Y194" s="3" t="s">
        <v>36</v>
      </c>
      <c r="Z194" s="3" t="s">
        <v>44</v>
      </c>
      <c r="AA194" s="41">
        <f t="shared" si="6"/>
        <v>505.23</v>
      </c>
      <c r="AB194" s="3" t="s">
        <v>434</v>
      </c>
      <c r="AC194" s="3" t="s">
        <v>39</v>
      </c>
      <c r="AD194" s="3" t="s">
        <v>39</v>
      </c>
      <c r="AE194" s="3" t="s">
        <v>39</v>
      </c>
      <c r="AF194" s="4">
        <v>46028</v>
      </c>
      <c r="AG194" s="4"/>
      <c r="AH194" s="3" t="s">
        <v>39</v>
      </c>
    </row>
    <row r="195" spans="1:34" outlineLevel="2" x14ac:dyDescent="0.35">
      <c r="A195" s="3" t="s">
        <v>121</v>
      </c>
      <c r="B195" s="3" t="s">
        <v>32</v>
      </c>
      <c r="C195" s="3" t="s">
        <v>117</v>
      </c>
      <c r="D195" s="3" t="s">
        <v>118</v>
      </c>
      <c r="E195" s="3" t="s">
        <v>75</v>
      </c>
      <c r="F195" s="3" t="s">
        <v>44</v>
      </c>
      <c r="G195" s="4">
        <v>46028</v>
      </c>
      <c r="H195" s="3" t="s">
        <v>435</v>
      </c>
      <c r="I195" s="3" t="s">
        <v>35</v>
      </c>
      <c r="J195" s="4">
        <v>46028</v>
      </c>
      <c r="K195" s="4">
        <v>46035</v>
      </c>
      <c r="L195" s="3" t="s">
        <v>436</v>
      </c>
      <c r="M195" s="40">
        <v>256779440305</v>
      </c>
      <c r="N195" s="3" t="s">
        <v>37</v>
      </c>
      <c r="O195" s="3" t="s">
        <v>38</v>
      </c>
      <c r="P195" s="3" t="s">
        <v>39</v>
      </c>
      <c r="Q195" s="3" t="s">
        <v>40</v>
      </c>
      <c r="R195" s="3" t="s">
        <v>41</v>
      </c>
      <c r="S195" s="5">
        <v>100000</v>
      </c>
      <c r="T195" s="3" t="s">
        <v>42</v>
      </c>
      <c r="U195" s="5">
        <v>100000</v>
      </c>
      <c r="V195" s="3" t="s">
        <v>56</v>
      </c>
      <c r="W195" s="3" t="s">
        <v>48</v>
      </c>
      <c r="X195" s="3" t="s">
        <v>39</v>
      </c>
      <c r="Y195" s="3" t="s">
        <v>36</v>
      </c>
      <c r="Z195" s="3" t="s">
        <v>44</v>
      </c>
      <c r="AA195" s="50">
        <f>_xlfn.XLOOKUP(M195,'[1]TDS To Be Booked'!$D:$D,'[1]TDS To Be Booked'!$K:$K,,0)</f>
        <v>1102.0111111111109</v>
      </c>
      <c r="AB195" s="3" t="s">
        <v>437</v>
      </c>
      <c r="AC195" s="3" t="s">
        <v>39</v>
      </c>
      <c r="AD195" s="3" t="s">
        <v>39</v>
      </c>
      <c r="AE195" s="3" t="s">
        <v>39</v>
      </c>
      <c r="AF195" s="4">
        <v>46028</v>
      </c>
      <c r="AG195" s="4"/>
      <c r="AH195" s="3" t="s">
        <v>39</v>
      </c>
    </row>
    <row r="196" spans="1:34" outlineLevel="2" x14ac:dyDescent="0.35">
      <c r="A196" s="3" t="s">
        <v>121</v>
      </c>
      <c r="B196" s="3" t="s">
        <v>32</v>
      </c>
      <c r="C196" s="3" t="s">
        <v>117</v>
      </c>
      <c r="D196" s="3" t="s">
        <v>118</v>
      </c>
      <c r="E196" s="3" t="s">
        <v>75</v>
      </c>
      <c r="F196" s="3" t="s">
        <v>44</v>
      </c>
      <c r="G196" s="4">
        <v>46035</v>
      </c>
      <c r="H196" s="3" t="s">
        <v>438</v>
      </c>
      <c r="I196" s="3" t="s">
        <v>46</v>
      </c>
      <c r="J196" s="4">
        <v>46035</v>
      </c>
      <c r="K196" s="4">
        <v>46035</v>
      </c>
      <c r="L196" s="3" t="s">
        <v>439</v>
      </c>
      <c r="M196" s="40">
        <v>256779422208</v>
      </c>
      <c r="N196" s="3" t="s">
        <v>37</v>
      </c>
      <c r="O196" s="3" t="s">
        <v>38</v>
      </c>
      <c r="P196" s="3" t="s">
        <v>39</v>
      </c>
      <c r="Q196" s="3" t="s">
        <v>47</v>
      </c>
      <c r="R196" s="3" t="s">
        <v>41</v>
      </c>
      <c r="S196" s="5">
        <v>-23.92</v>
      </c>
      <c r="T196" s="3" t="s">
        <v>42</v>
      </c>
      <c r="U196" s="5">
        <v>-2170.58</v>
      </c>
      <c r="V196" s="3" t="s">
        <v>56</v>
      </c>
      <c r="W196" s="3" t="s">
        <v>48</v>
      </c>
      <c r="X196" s="3" t="s">
        <v>39</v>
      </c>
      <c r="Y196" s="3" t="s">
        <v>36</v>
      </c>
      <c r="Z196" s="3" t="s">
        <v>44</v>
      </c>
      <c r="AA196" s="41">
        <f t="shared" ref="AA196:AA201" si="7">S196</f>
        <v>-23.92</v>
      </c>
      <c r="AB196" s="3" t="s">
        <v>440</v>
      </c>
      <c r="AC196" s="3" t="s">
        <v>39</v>
      </c>
      <c r="AD196" s="3" t="s">
        <v>39</v>
      </c>
      <c r="AE196" s="3" t="s">
        <v>39</v>
      </c>
      <c r="AF196" s="4">
        <v>46035</v>
      </c>
      <c r="AG196" s="4"/>
      <c r="AH196" s="3" t="s">
        <v>39</v>
      </c>
    </row>
    <row r="197" spans="1:34" outlineLevel="2" x14ac:dyDescent="0.35">
      <c r="A197" s="3" t="s">
        <v>121</v>
      </c>
      <c r="B197" s="3" t="s">
        <v>32</v>
      </c>
      <c r="C197" s="3" t="s">
        <v>117</v>
      </c>
      <c r="D197" s="3" t="s">
        <v>118</v>
      </c>
      <c r="E197" s="3" t="s">
        <v>75</v>
      </c>
      <c r="F197" s="3" t="s">
        <v>44</v>
      </c>
      <c r="G197" s="4">
        <v>46035</v>
      </c>
      <c r="H197" s="3" t="s">
        <v>441</v>
      </c>
      <c r="I197" s="3" t="s">
        <v>46</v>
      </c>
      <c r="J197" s="4">
        <v>46035</v>
      </c>
      <c r="K197" s="4">
        <v>46035</v>
      </c>
      <c r="L197" s="3" t="s">
        <v>439</v>
      </c>
      <c r="M197" s="40">
        <v>256779422209</v>
      </c>
      <c r="N197" s="3" t="s">
        <v>37</v>
      </c>
      <c r="O197" s="3" t="s">
        <v>38</v>
      </c>
      <c r="P197" s="3" t="s">
        <v>39</v>
      </c>
      <c r="Q197" s="3" t="s">
        <v>47</v>
      </c>
      <c r="R197" s="3" t="s">
        <v>41</v>
      </c>
      <c r="S197" s="5">
        <v>-45.63</v>
      </c>
      <c r="T197" s="3" t="s">
        <v>42</v>
      </c>
      <c r="U197" s="5">
        <v>-4140.6099999999997</v>
      </c>
      <c r="V197" s="3" t="s">
        <v>56</v>
      </c>
      <c r="W197" s="3" t="s">
        <v>48</v>
      </c>
      <c r="X197" s="3" t="s">
        <v>39</v>
      </c>
      <c r="Y197" s="3" t="s">
        <v>36</v>
      </c>
      <c r="Z197" s="3" t="s">
        <v>44</v>
      </c>
      <c r="AA197" s="41">
        <f t="shared" si="7"/>
        <v>-45.63</v>
      </c>
      <c r="AB197" s="3" t="s">
        <v>442</v>
      </c>
      <c r="AC197" s="3" t="s">
        <v>39</v>
      </c>
      <c r="AD197" s="3" t="s">
        <v>39</v>
      </c>
      <c r="AE197" s="3" t="s">
        <v>39</v>
      </c>
      <c r="AF197" s="4">
        <v>46035</v>
      </c>
      <c r="AG197" s="4"/>
      <c r="AH197" s="3" t="s">
        <v>39</v>
      </c>
    </row>
    <row r="198" spans="1:34" outlineLevel="2" x14ac:dyDescent="0.35">
      <c r="A198" s="3" t="s">
        <v>121</v>
      </c>
      <c r="B198" s="3" t="s">
        <v>32</v>
      </c>
      <c r="C198" s="3" t="s">
        <v>117</v>
      </c>
      <c r="D198" s="3" t="s">
        <v>118</v>
      </c>
      <c r="E198" s="3" t="s">
        <v>75</v>
      </c>
      <c r="F198" s="3" t="s">
        <v>44</v>
      </c>
      <c r="G198" s="4">
        <v>46035</v>
      </c>
      <c r="H198" s="3" t="s">
        <v>443</v>
      </c>
      <c r="I198" s="3" t="s">
        <v>46</v>
      </c>
      <c r="J198" s="4">
        <v>46035</v>
      </c>
      <c r="K198" s="4">
        <v>46035</v>
      </c>
      <c r="L198" s="3" t="s">
        <v>439</v>
      </c>
      <c r="M198" s="40">
        <v>256779422210</v>
      </c>
      <c r="N198" s="3" t="s">
        <v>37</v>
      </c>
      <c r="O198" s="3" t="s">
        <v>38</v>
      </c>
      <c r="P198" s="3" t="s">
        <v>39</v>
      </c>
      <c r="Q198" s="3" t="s">
        <v>47</v>
      </c>
      <c r="R198" s="3" t="s">
        <v>41</v>
      </c>
      <c r="S198" s="5">
        <v>-22.64</v>
      </c>
      <c r="T198" s="3" t="s">
        <v>42</v>
      </c>
      <c r="U198" s="5">
        <v>-2054.42</v>
      </c>
      <c r="V198" s="3" t="s">
        <v>56</v>
      </c>
      <c r="W198" s="3" t="s">
        <v>48</v>
      </c>
      <c r="X198" s="3" t="s">
        <v>39</v>
      </c>
      <c r="Y198" s="3" t="s">
        <v>36</v>
      </c>
      <c r="Z198" s="3" t="s">
        <v>44</v>
      </c>
      <c r="AA198" s="41">
        <f t="shared" si="7"/>
        <v>-22.64</v>
      </c>
      <c r="AB198" s="3" t="s">
        <v>444</v>
      </c>
      <c r="AC198" s="3" t="s">
        <v>39</v>
      </c>
      <c r="AD198" s="3" t="s">
        <v>39</v>
      </c>
      <c r="AE198" s="3" t="s">
        <v>39</v>
      </c>
      <c r="AF198" s="4">
        <v>46035</v>
      </c>
      <c r="AG198" s="4"/>
      <c r="AH198" s="3" t="s">
        <v>39</v>
      </c>
    </row>
    <row r="199" spans="1:34" outlineLevel="2" x14ac:dyDescent="0.35">
      <c r="A199" s="3" t="s">
        <v>121</v>
      </c>
      <c r="B199" s="3" t="s">
        <v>32</v>
      </c>
      <c r="C199" s="3" t="s">
        <v>117</v>
      </c>
      <c r="D199" s="3" t="s">
        <v>118</v>
      </c>
      <c r="E199" s="3" t="s">
        <v>75</v>
      </c>
      <c r="F199" s="3" t="s">
        <v>44</v>
      </c>
      <c r="G199" s="4">
        <v>46035</v>
      </c>
      <c r="H199" s="3" t="s">
        <v>445</v>
      </c>
      <c r="I199" s="3" t="s">
        <v>46</v>
      </c>
      <c r="J199" s="4">
        <v>46035</v>
      </c>
      <c r="K199" s="4">
        <v>46035</v>
      </c>
      <c r="L199" s="3" t="s">
        <v>439</v>
      </c>
      <c r="M199" s="40">
        <v>256779422211</v>
      </c>
      <c r="N199" s="3" t="s">
        <v>37</v>
      </c>
      <c r="O199" s="3" t="s">
        <v>38</v>
      </c>
      <c r="P199" s="3" t="s">
        <v>39</v>
      </c>
      <c r="Q199" s="3" t="s">
        <v>47</v>
      </c>
      <c r="R199" s="3" t="s">
        <v>41</v>
      </c>
      <c r="S199" s="5">
        <v>-21.96</v>
      </c>
      <c r="T199" s="3" t="s">
        <v>42</v>
      </c>
      <c r="U199" s="5">
        <v>-1992.72</v>
      </c>
      <c r="V199" s="3" t="s">
        <v>56</v>
      </c>
      <c r="W199" s="3" t="s">
        <v>48</v>
      </c>
      <c r="X199" s="3" t="s">
        <v>39</v>
      </c>
      <c r="Y199" s="3" t="s">
        <v>36</v>
      </c>
      <c r="Z199" s="3" t="s">
        <v>44</v>
      </c>
      <c r="AA199" s="41">
        <f t="shared" si="7"/>
        <v>-21.96</v>
      </c>
      <c r="AB199" s="3" t="s">
        <v>446</v>
      </c>
      <c r="AC199" s="3" t="s">
        <v>39</v>
      </c>
      <c r="AD199" s="3" t="s">
        <v>39</v>
      </c>
      <c r="AE199" s="3" t="s">
        <v>39</v>
      </c>
      <c r="AF199" s="4">
        <v>46035</v>
      </c>
      <c r="AG199" s="4"/>
      <c r="AH199" s="3" t="s">
        <v>39</v>
      </c>
    </row>
    <row r="200" spans="1:34" outlineLevel="2" x14ac:dyDescent="0.35">
      <c r="A200" s="3" t="s">
        <v>121</v>
      </c>
      <c r="B200" s="3" t="s">
        <v>32</v>
      </c>
      <c r="C200" s="3" t="s">
        <v>117</v>
      </c>
      <c r="D200" s="3" t="s">
        <v>118</v>
      </c>
      <c r="E200" s="3" t="s">
        <v>75</v>
      </c>
      <c r="F200" s="3" t="s">
        <v>44</v>
      </c>
      <c r="G200" s="4">
        <v>46045</v>
      </c>
      <c r="H200" s="3" t="s">
        <v>447</v>
      </c>
      <c r="I200" s="3" t="s">
        <v>35</v>
      </c>
      <c r="J200" s="4">
        <v>46045</v>
      </c>
      <c r="K200" s="4">
        <v>46049</v>
      </c>
      <c r="L200" s="3" t="s">
        <v>80</v>
      </c>
      <c r="M200" s="40">
        <v>256779440431</v>
      </c>
      <c r="N200" s="3" t="s">
        <v>37</v>
      </c>
      <c r="O200" s="3" t="s">
        <v>38</v>
      </c>
      <c r="P200" s="3" t="s">
        <v>39</v>
      </c>
      <c r="Q200" s="3" t="s">
        <v>40</v>
      </c>
      <c r="R200" s="3" t="s">
        <v>41</v>
      </c>
      <c r="S200" s="5">
        <v>3</v>
      </c>
      <c r="T200" s="3" t="s">
        <v>42</v>
      </c>
      <c r="U200" s="5">
        <v>272.23</v>
      </c>
      <c r="V200" s="3" t="s">
        <v>56</v>
      </c>
      <c r="W200" s="3" t="s">
        <v>48</v>
      </c>
      <c r="X200" s="3" t="s">
        <v>39</v>
      </c>
      <c r="Y200" s="3" t="s">
        <v>36</v>
      </c>
      <c r="Z200" s="3" t="s">
        <v>44</v>
      </c>
      <c r="AA200" s="41">
        <f t="shared" si="7"/>
        <v>3</v>
      </c>
      <c r="AB200" s="3" t="s">
        <v>81</v>
      </c>
      <c r="AC200" s="3" t="s">
        <v>39</v>
      </c>
      <c r="AD200" s="3" t="s">
        <v>39</v>
      </c>
      <c r="AE200" s="3" t="s">
        <v>39</v>
      </c>
      <c r="AF200" s="4">
        <v>46045</v>
      </c>
      <c r="AG200" s="4"/>
      <c r="AH200" s="3" t="s">
        <v>39</v>
      </c>
    </row>
    <row r="201" spans="1:34" outlineLevel="2" x14ac:dyDescent="0.35">
      <c r="A201" s="3" t="s">
        <v>121</v>
      </c>
      <c r="B201" s="3" t="s">
        <v>32</v>
      </c>
      <c r="C201" s="3" t="s">
        <v>117</v>
      </c>
      <c r="D201" s="3" t="s">
        <v>118</v>
      </c>
      <c r="E201" s="3" t="s">
        <v>75</v>
      </c>
      <c r="F201" s="3" t="s">
        <v>44</v>
      </c>
      <c r="G201" s="4">
        <v>46050</v>
      </c>
      <c r="H201" s="3" t="s">
        <v>448</v>
      </c>
      <c r="I201" s="3" t="s">
        <v>83</v>
      </c>
      <c r="J201" s="4">
        <v>46050</v>
      </c>
      <c r="K201" s="4">
        <v>46050</v>
      </c>
      <c r="L201" s="3" t="s">
        <v>449</v>
      </c>
      <c r="M201" s="40">
        <v>2166093</v>
      </c>
      <c r="N201" s="3" t="s">
        <v>37</v>
      </c>
      <c r="O201" s="3" t="s">
        <v>38</v>
      </c>
      <c r="P201" s="3" t="s">
        <v>39</v>
      </c>
      <c r="Q201" s="3" t="s">
        <v>84</v>
      </c>
      <c r="R201" s="3" t="s">
        <v>41</v>
      </c>
      <c r="S201" s="5">
        <v>-10691.42</v>
      </c>
      <c r="T201" s="3" t="s">
        <v>42</v>
      </c>
      <c r="U201" s="5">
        <v>-970173.02</v>
      </c>
      <c r="V201" s="3" t="s">
        <v>39</v>
      </c>
      <c r="W201" s="3" t="s">
        <v>85</v>
      </c>
      <c r="X201" s="3" t="s">
        <v>39</v>
      </c>
      <c r="Y201" s="3" t="s">
        <v>39</v>
      </c>
      <c r="Z201" s="3" t="s">
        <v>82</v>
      </c>
      <c r="AA201" s="41">
        <f t="shared" si="7"/>
        <v>-10691.42</v>
      </c>
      <c r="AB201" s="3" t="s">
        <v>39</v>
      </c>
      <c r="AC201" s="3" t="s">
        <v>39</v>
      </c>
      <c r="AD201" s="3" t="s">
        <v>39</v>
      </c>
      <c r="AE201" s="3" t="s">
        <v>39</v>
      </c>
      <c r="AF201" s="4">
        <v>46050</v>
      </c>
      <c r="AG201" s="4"/>
      <c r="AH201" s="3" t="s">
        <v>39</v>
      </c>
    </row>
    <row r="202" spans="1:34" outlineLevel="2" x14ac:dyDescent="0.35">
      <c r="A202" s="3" t="s">
        <v>121</v>
      </c>
      <c r="B202" s="3" t="s">
        <v>32</v>
      </c>
      <c r="C202" s="3" t="s">
        <v>117</v>
      </c>
      <c r="D202" s="3" t="s">
        <v>118</v>
      </c>
      <c r="E202" s="3" t="s">
        <v>75</v>
      </c>
      <c r="F202" s="3" t="s">
        <v>82</v>
      </c>
      <c r="G202" s="4">
        <v>46064</v>
      </c>
      <c r="H202" s="3" t="s">
        <v>450</v>
      </c>
      <c r="I202" s="3" t="s">
        <v>35</v>
      </c>
      <c r="J202" s="4">
        <v>46064</v>
      </c>
      <c r="K202" s="4">
        <v>46066</v>
      </c>
      <c r="L202" s="3" t="s">
        <v>36</v>
      </c>
      <c r="M202" s="40">
        <v>256779440488</v>
      </c>
      <c r="N202" s="3" t="s">
        <v>37</v>
      </c>
      <c r="O202" s="3" t="s">
        <v>38</v>
      </c>
      <c r="P202" s="3" t="s">
        <v>39</v>
      </c>
      <c r="Q202" s="3" t="s">
        <v>40</v>
      </c>
      <c r="R202" s="3" t="s">
        <v>41</v>
      </c>
      <c r="S202" s="5">
        <v>100000</v>
      </c>
      <c r="T202" s="3" t="s">
        <v>42</v>
      </c>
      <c r="U202" s="5">
        <v>100000</v>
      </c>
      <c r="V202" s="3" t="s">
        <v>56</v>
      </c>
      <c r="W202" s="3" t="s">
        <v>48</v>
      </c>
      <c r="X202" s="3" t="s">
        <v>39</v>
      </c>
      <c r="Y202" s="3" t="s">
        <v>451</v>
      </c>
      <c r="Z202" s="3" t="s">
        <v>44</v>
      </c>
      <c r="AA202" s="50">
        <v>1106.9888888888888</v>
      </c>
      <c r="AB202" s="3" t="s">
        <v>452</v>
      </c>
      <c r="AC202" s="3" t="s">
        <v>39</v>
      </c>
      <c r="AD202" s="3" t="s">
        <v>39</v>
      </c>
      <c r="AE202" s="3" t="s">
        <v>39</v>
      </c>
      <c r="AF202" s="4">
        <v>46064</v>
      </c>
      <c r="AG202" s="4"/>
      <c r="AH202" s="3" t="s">
        <v>39</v>
      </c>
    </row>
    <row r="203" spans="1:34" outlineLevel="2" x14ac:dyDescent="0.35">
      <c r="A203" s="3" t="s">
        <v>121</v>
      </c>
      <c r="B203" s="3" t="s">
        <v>32</v>
      </c>
      <c r="C203" s="3" t="s">
        <v>117</v>
      </c>
      <c r="D203" s="3" t="s">
        <v>118</v>
      </c>
      <c r="E203" s="3" t="s">
        <v>75</v>
      </c>
      <c r="F203" s="3" t="s">
        <v>82</v>
      </c>
      <c r="G203" s="4">
        <v>46065</v>
      </c>
      <c r="H203" s="3" t="s">
        <v>453</v>
      </c>
      <c r="I203" s="3" t="s">
        <v>35</v>
      </c>
      <c r="J203" s="4">
        <v>46065</v>
      </c>
      <c r="K203" s="4">
        <v>46069</v>
      </c>
      <c r="L203" s="3" t="s">
        <v>454</v>
      </c>
      <c r="M203" s="40">
        <v>256779451301</v>
      </c>
      <c r="N203" s="3" t="s">
        <v>37</v>
      </c>
      <c r="O203" s="3" t="s">
        <v>38</v>
      </c>
      <c r="P203" s="3" t="s">
        <v>39</v>
      </c>
      <c r="Q203" s="3" t="s">
        <v>40</v>
      </c>
      <c r="R203" s="3" t="s">
        <v>41</v>
      </c>
      <c r="S203" s="5">
        <v>6.09</v>
      </c>
      <c r="T203" s="3" t="s">
        <v>42</v>
      </c>
      <c r="U203" s="5">
        <v>550.14</v>
      </c>
      <c r="V203" s="3" t="s">
        <v>56</v>
      </c>
      <c r="W203" s="3" t="s">
        <v>43</v>
      </c>
      <c r="X203" s="3" t="s">
        <v>39</v>
      </c>
      <c r="Y203" s="3" t="s">
        <v>36</v>
      </c>
      <c r="Z203" s="3" t="s">
        <v>44</v>
      </c>
      <c r="AA203" s="41">
        <f t="shared" ref="AA203:AA213" si="8">S203</f>
        <v>6.09</v>
      </c>
      <c r="AB203" s="3" t="s">
        <v>455</v>
      </c>
      <c r="AC203" s="3" t="s">
        <v>39</v>
      </c>
      <c r="AD203" s="3" t="s">
        <v>39</v>
      </c>
      <c r="AE203" s="3" t="s">
        <v>39</v>
      </c>
      <c r="AF203" s="4">
        <v>46065</v>
      </c>
      <c r="AG203" s="4"/>
      <c r="AH203" s="3" t="s">
        <v>39</v>
      </c>
    </row>
    <row r="204" spans="1:34" outlineLevel="2" x14ac:dyDescent="0.35">
      <c r="A204" s="3" t="s">
        <v>121</v>
      </c>
      <c r="B204" s="3" t="s">
        <v>32</v>
      </c>
      <c r="C204" s="3" t="s">
        <v>117</v>
      </c>
      <c r="D204" s="3" t="s">
        <v>118</v>
      </c>
      <c r="E204" s="3" t="s">
        <v>75</v>
      </c>
      <c r="F204" s="3" t="s">
        <v>82</v>
      </c>
      <c r="G204" s="4">
        <v>46065</v>
      </c>
      <c r="H204" s="3" t="s">
        <v>456</v>
      </c>
      <c r="I204" s="3" t="s">
        <v>35</v>
      </c>
      <c r="J204" s="4">
        <v>46065</v>
      </c>
      <c r="K204" s="4">
        <v>46069</v>
      </c>
      <c r="L204" s="3" t="s">
        <v>36</v>
      </c>
      <c r="M204" s="40">
        <v>256779451318</v>
      </c>
      <c r="N204" s="3" t="s">
        <v>37</v>
      </c>
      <c r="O204" s="3" t="s">
        <v>38</v>
      </c>
      <c r="P204" s="3" t="s">
        <v>39</v>
      </c>
      <c r="Q204" s="3" t="s">
        <v>40</v>
      </c>
      <c r="R204" s="3" t="s">
        <v>41</v>
      </c>
      <c r="S204" s="5">
        <v>501.9</v>
      </c>
      <c r="T204" s="3" t="s">
        <v>42</v>
      </c>
      <c r="U204" s="5">
        <v>45339.24</v>
      </c>
      <c r="V204" s="3" t="s">
        <v>56</v>
      </c>
      <c r="W204" s="3" t="s">
        <v>43</v>
      </c>
      <c r="X204" s="3" t="s">
        <v>39</v>
      </c>
      <c r="Y204" s="3" t="s">
        <v>457</v>
      </c>
      <c r="Z204" s="3" t="s">
        <v>44</v>
      </c>
      <c r="AA204" s="41">
        <f t="shared" si="8"/>
        <v>501.9</v>
      </c>
      <c r="AB204" s="3" t="s">
        <v>458</v>
      </c>
      <c r="AC204" s="3" t="s">
        <v>39</v>
      </c>
      <c r="AD204" s="3" t="s">
        <v>39</v>
      </c>
      <c r="AE204" s="3" t="s">
        <v>39</v>
      </c>
      <c r="AF204" s="4">
        <v>46065</v>
      </c>
      <c r="AG204" s="4"/>
      <c r="AH204" s="3" t="s">
        <v>39</v>
      </c>
    </row>
    <row r="205" spans="1:34" outlineLevel="2" x14ac:dyDescent="0.35">
      <c r="A205" s="3" t="s">
        <v>121</v>
      </c>
      <c r="B205" s="3" t="s">
        <v>32</v>
      </c>
      <c r="C205" s="3" t="s">
        <v>117</v>
      </c>
      <c r="D205" s="3" t="s">
        <v>118</v>
      </c>
      <c r="E205" s="3" t="s">
        <v>75</v>
      </c>
      <c r="F205" s="3" t="s">
        <v>82</v>
      </c>
      <c r="G205" s="4">
        <v>46064</v>
      </c>
      <c r="H205" s="3" t="s">
        <v>459</v>
      </c>
      <c r="I205" s="3" t="s">
        <v>35</v>
      </c>
      <c r="J205" s="4">
        <v>46064</v>
      </c>
      <c r="K205" s="4">
        <v>46069</v>
      </c>
      <c r="L205" s="3" t="s">
        <v>460</v>
      </c>
      <c r="M205" s="40">
        <v>256779451436</v>
      </c>
      <c r="N205" s="3" t="s">
        <v>37</v>
      </c>
      <c r="O205" s="3" t="s">
        <v>38</v>
      </c>
      <c r="P205" s="3" t="s">
        <v>39</v>
      </c>
      <c r="Q205" s="3" t="s">
        <v>40</v>
      </c>
      <c r="R205" s="3" t="s">
        <v>41</v>
      </c>
      <c r="S205" s="5">
        <v>6</v>
      </c>
      <c r="T205" s="3" t="s">
        <v>42</v>
      </c>
      <c r="U205" s="5">
        <v>542.01</v>
      </c>
      <c r="V205" s="3" t="s">
        <v>56</v>
      </c>
      <c r="W205" s="3" t="s">
        <v>43</v>
      </c>
      <c r="X205" s="3" t="s">
        <v>39</v>
      </c>
      <c r="Y205" s="3" t="s">
        <v>36</v>
      </c>
      <c r="Z205" s="3" t="s">
        <v>44</v>
      </c>
      <c r="AA205" s="41">
        <f t="shared" si="8"/>
        <v>6</v>
      </c>
      <c r="AB205" s="3" t="s">
        <v>461</v>
      </c>
      <c r="AC205" s="3" t="s">
        <v>39</v>
      </c>
      <c r="AD205" s="3" t="s">
        <v>39</v>
      </c>
      <c r="AE205" s="3" t="s">
        <v>39</v>
      </c>
      <c r="AF205" s="4">
        <v>46064</v>
      </c>
      <c r="AG205" s="4"/>
      <c r="AH205" s="3" t="s">
        <v>39</v>
      </c>
    </row>
    <row r="206" spans="1:34" outlineLevel="2" x14ac:dyDescent="0.35">
      <c r="A206" s="3" t="s">
        <v>121</v>
      </c>
      <c r="B206" s="3" t="s">
        <v>32</v>
      </c>
      <c r="C206" s="3" t="s">
        <v>117</v>
      </c>
      <c r="D206" s="3" t="s">
        <v>118</v>
      </c>
      <c r="E206" s="3" t="s">
        <v>75</v>
      </c>
      <c r="F206" s="3" t="s">
        <v>82</v>
      </c>
      <c r="G206" s="4">
        <v>46068</v>
      </c>
      <c r="H206" s="3" t="s">
        <v>462</v>
      </c>
      <c r="I206" s="3" t="s">
        <v>35</v>
      </c>
      <c r="J206" s="4">
        <v>46068</v>
      </c>
      <c r="K206" s="4">
        <v>46072</v>
      </c>
      <c r="L206" s="3" t="s">
        <v>463</v>
      </c>
      <c r="M206" s="40">
        <v>256779451606</v>
      </c>
      <c r="N206" s="3" t="s">
        <v>37</v>
      </c>
      <c r="O206" s="3" t="s">
        <v>38</v>
      </c>
      <c r="P206" s="3" t="s">
        <v>39</v>
      </c>
      <c r="Q206" s="3" t="s">
        <v>40</v>
      </c>
      <c r="R206" s="3" t="s">
        <v>41</v>
      </c>
      <c r="S206" s="5">
        <v>28.53</v>
      </c>
      <c r="T206" s="3" t="s">
        <v>42</v>
      </c>
      <c r="U206" s="5">
        <v>2577.2600000000002</v>
      </c>
      <c r="V206" s="3" t="s">
        <v>56</v>
      </c>
      <c r="W206" s="3" t="s">
        <v>43</v>
      </c>
      <c r="X206" s="3" t="s">
        <v>39</v>
      </c>
      <c r="Y206" s="3" t="s">
        <v>36</v>
      </c>
      <c r="Z206" s="3" t="s">
        <v>44</v>
      </c>
      <c r="AA206" s="41">
        <f t="shared" si="8"/>
        <v>28.53</v>
      </c>
      <c r="AB206" s="3" t="s">
        <v>464</v>
      </c>
      <c r="AC206" s="3" t="s">
        <v>39</v>
      </c>
      <c r="AD206" s="3" t="s">
        <v>39</v>
      </c>
      <c r="AE206" s="3" t="s">
        <v>39</v>
      </c>
      <c r="AF206" s="4">
        <v>46068</v>
      </c>
      <c r="AG206" s="4"/>
      <c r="AH206" s="3" t="s">
        <v>39</v>
      </c>
    </row>
    <row r="207" spans="1:34" outlineLevel="2" x14ac:dyDescent="0.35">
      <c r="A207" s="3" t="s">
        <v>121</v>
      </c>
      <c r="B207" s="3" t="s">
        <v>32</v>
      </c>
      <c r="C207" s="3" t="s">
        <v>117</v>
      </c>
      <c r="D207" s="3" t="s">
        <v>118</v>
      </c>
      <c r="E207" s="3" t="s">
        <v>75</v>
      </c>
      <c r="F207" s="3" t="s">
        <v>82</v>
      </c>
      <c r="G207" s="4">
        <v>46076</v>
      </c>
      <c r="H207" s="3" t="s">
        <v>465</v>
      </c>
      <c r="I207" s="3" t="s">
        <v>35</v>
      </c>
      <c r="J207" s="4">
        <v>46076</v>
      </c>
      <c r="K207" s="4">
        <v>46077</v>
      </c>
      <c r="L207" s="3" t="s">
        <v>36</v>
      </c>
      <c r="M207" s="40">
        <v>256779451847</v>
      </c>
      <c r="N207" s="3" t="s">
        <v>37</v>
      </c>
      <c r="O207" s="3" t="s">
        <v>38</v>
      </c>
      <c r="P207" s="3" t="s">
        <v>39</v>
      </c>
      <c r="Q207" s="3" t="s">
        <v>40</v>
      </c>
      <c r="R207" s="3" t="s">
        <v>41</v>
      </c>
      <c r="S207" s="5">
        <v>16.600000000000001</v>
      </c>
      <c r="T207" s="3" t="s">
        <v>42</v>
      </c>
      <c r="U207" s="5">
        <v>1499.56</v>
      </c>
      <c r="V207" s="3" t="s">
        <v>56</v>
      </c>
      <c r="W207" s="3" t="s">
        <v>43</v>
      </c>
      <c r="X207" s="3" t="s">
        <v>39</v>
      </c>
      <c r="Y207" s="3" t="s">
        <v>466</v>
      </c>
      <c r="Z207" s="3" t="s">
        <v>44</v>
      </c>
      <c r="AA207" s="41">
        <f t="shared" si="8"/>
        <v>16.600000000000001</v>
      </c>
      <c r="AB207" s="3" t="s">
        <v>467</v>
      </c>
      <c r="AC207" s="3" t="s">
        <v>39</v>
      </c>
      <c r="AD207" s="3" t="s">
        <v>39</v>
      </c>
      <c r="AE207" s="3" t="s">
        <v>39</v>
      </c>
      <c r="AF207" s="4">
        <v>46076</v>
      </c>
      <c r="AG207" s="4"/>
      <c r="AH207" s="3" t="s">
        <v>39</v>
      </c>
    </row>
    <row r="208" spans="1:34" outlineLevel="2" x14ac:dyDescent="0.35">
      <c r="A208" s="3" t="s">
        <v>121</v>
      </c>
      <c r="B208" s="3" t="s">
        <v>32</v>
      </c>
      <c r="C208" s="3" t="s">
        <v>117</v>
      </c>
      <c r="D208" s="3" t="s">
        <v>118</v>
      </c>
      <c r="E208" s="3" t="s">
        <v>75</v>
      </c>
      <c r="F208" s="3" t="s">
        <v>82</v>
      </c>
      <c r="G208" s="4">
        <v>46077</v>
      </c>
      <c r="H208" s="3" t="s">
        <v>468</v>
      </c>
      <c r="I208" s="3" t="s">
        <v>35</v>
      </c>
      <c r="J208" s="4">
        <v>46077</v>
      </c>
      <c r="K208" s="4">
        <v>46077</v>
      </c>
      <c r="L208" s="3" t="s">
        <v>469</v>
      </c>
      <c r="M208" s="40">
        <v>256779451942</v>
      </c>
      <c r="N208" s="3" t="s">
        <v>37</v>
      </c>
      <c r="O208" s="3" t="s">
        <v>38</v>
      </c>
      <c r="P208" s="3" t="s">
        <v>39</v>
      </c>
      <c r="Q208" s="3" t="s">
        <v>40</v>
      </c>
      <c r="R208" s="3" t="s">
        <v>41</v>
      </c>
      <c r="S208" s="5">
        <v>6</v>
      </c>
      <c r="T208" s="3" t="s">
        <v>42</v>
      </c>
      <c r="U208" s="5">
        <v>542.01</v>
      </c>
      <c r="V208" s="3" t="s">
        <v>56</v>
      </c>
      <c r="W208" s="3" t="s">
        <v>43</v>
      </c>
      <c r="X208" s="3" t="s">
        <v>39</v>
      </c>
      <c r="Y208" s="3" t="s">
        <v>36</v>
      </c>
      <c r="Z208" s="3" t="s">
        <v>44</v>
      </c>
      <c r="AA208" s="41">
        <f t="shared" si="8"/>
        <v>6</v>
      </c>
      <c r="AB208" s="3" t="s">
        <v>470</v>
      </c>
      <c r="AC208" s="3" t="s">
        <v>39</v>
      </c>
      <c r="AD208" s="3" t="s">
        <v>39</v>
      </c>
      <c r="AE208" s="3" t="s">
        <v>39</v>
      </c>
      <c r="AF208" s="4">
        <v>46077</v>
      </c>
      <c r="AG208" s="4"/>
      <c r="AH208" s="3" t="s">
        <v>39</v>
      </c>
    </row>
    <row r="209" spans="1:34" outlineLevel="2" x14ac:dyDescent="0.35">
      <c r="A209" s="3" t="s">
        <v>121</v>
      </c>
      <c r="B209" s="3" t="s">
        <v>32</v>
      </c>
      <c r="C209" s="3" t="s">
        <v>117</v>
      </c>
      <c r="D209" s="3" t="s">
        <v>118</v>
      </c>
      <c r="E209" s="3" t="s">
        <v>75</v>
      </c>
      <c r="F209" s="3" t="s">
        <v>82</v>
      </c>
      <c r="G209" s="4">
        <v>46077</v>
      </c>
      <c r="H209" s="3" t="s">
        <v>471</v>
      </c>
      <c r="I209" s="3" t="s">
        <v>35</v>
      </c>
      <c r="J209" s="4">
        <v>46077</v>
      </c>
      <c r="K209" s="4">
        <v>46077</v>
      </c>
      <c r="L209" s="3" t="s">
        <v>472</v>
      </c>
      <c r="M209" s="40">
        <v>256779451965</v>
      </c>
      <c r="N209" s="3" t="s">
        <v>37</v>
      </c>
      <c r="O209" s="3" t="s">
        <v>38</v>
      </c>
      <c r="P209" s="3" t="s">
        <v>39</v>
      </c>
      <c r="Q209" s="3" t="s">
        <v>40</v>
      </c>
      <c r="R209" s="3" t="s">
        <v>41</v>
      </c>
      <c r="S209" s="5">
        <v>30.25</v>
      </c>
      <c r="T209" s="3" t="s">
        <v>42</v>
      </c>
      <c r="U209" s="5">
        <v>2732.64</v>
      </c>
      <c r="V209" s="3" t="s">
        <v>56</v>
      </c>
      <c r="W209" s="3" t="s">
        <v>43</v>
      </c>
      <c r="X209" s="3" t="s">
        <v>39</v>
      </c>
      <c r="Y209" s="3" t="s">
        <v>36</v>
      </c>
      <c r="Z209" s="3" t="s">
        <v>44</v>
      </c>
      <c r="AA209" s="41">
        <f t="shared" si="8"/>
        <v>30.25</v>
      </c>
      <c r="AB209" s="3" t="s">
        <v>473</v>
      </c>
      <c r="AC209" s="3" t="s">
        <v>39</v>
      </c>
      <c r="AD209" s="3" t="s">
        <v>39</v>
      </c>
      <c r="AE209" s="3" t="s">
        <v>39</v>
      </c>
      <c r="AF209" s="4">
        <v>46077</v>
      </c>
      <c r="AG209" s="4"/>
      <c r="AH209" s="3" t="s">
        <v>39</v>
      </c>
    </row>
    <row r="210" spans="1:34" outlineLevel="2" x14ac:dyDescent="0.35">
      <c r="A210" s="3" t="s">
        <v>121</v>
      </c>
      <c r="B210" s="3" t="s">
        <v>32</v>
      </c>
      <c r="C210" s="3" t="s">
        <v>117</v>
      </c>
      <c r="D210" s="3" t="s">
        <v>118</v>
      </c>
      <c r="E210" s="3" t="s">
        <v>75</v>
      </c>
      <c r="F210" s="3" t="s">
        <v>82</v>
      </c>
      <c r="G210" s="4">
        <v>46077</v>
      </c>
      <c r="H210" s="3" t="s">
        <v>474</v>
      </c>
      <c r="I210" s="3" t="s">
        <v>35</v>
      </c>
      <c r="J210" s="4">
        <v>46077</v>
      </c>
      <c r="K210" s="4">
        <v>46077</v>
      </c>
      <c r="L210" s="3" t="s">
        <v>475</v>
      </c>
      <c r="M210" s="40">
        <v>256779451978</v>
      </c>
      <c r="N210" s="3" t="s">
        <v>37</v>
      </c>
      <c r="O210" s="3" t="s">
        <v>38</v>
      </c>
      <c r="P210" s="3" t="s">
        <v>39</v>
      </c>
      <c r="Q210" s="3" t="s">
        <v>40</v>
      </c>
      <c r="R210" s="3" t="s">
        <v>41</v>
      </c>
      <c r="S210" s="5">
        <v>31.68</v>
      </c>
      <c r="T210" s="3" t="s">
        <v>42</v>
      </c>
      <c r="U210" s="5">
        <v>2861.82</v>
      </c>
      <c r="V210" s="3" t="s">
        <v>56</v>
      </c>
      <c r="W210" s="3" t="s">
        <v>43</v>
      </c>
      <c r="X210" s="3" t="s">
        <v>39</v>
      </c>
      <c r="Y210" s="3" t="s">
        <v>36</v>
      </c>
      <c r="Z210" s="3" t="s">
        <v>44</v>
      </c>
      <c r="AA210" s="41">
        <f t="shared" si="8"/>
        <v>31.68</v>
      </c>
      <c r="AB210" s="3" t="s">
        <v>476</v>
      </c>
      <c r="AC210" s="3" t="s">
        <v>39</v>
      </c>
      <c r="AD210" s="3" t="s">
        <v>39</v>
      </c>
      <c r="AE210" s="3" t="s">
        <v>39</v>
      </c>
      <c r="AF210" s="4">
        <v>46077</v>
      </c>
      <c r="AG210" s="4"/>
      <c r="AH210" s="3" t="s">
        <v>39</v>
      </c>
    </row>
    <row r="211" spans="1:34" s="51" customFormat="1" outlineLevel="2" x14ac:dyDescent="0.35">
      <c r="A211" s="51" t="s">
        <v>121</v>
      </c>
      <c r="B211" s="51" t="s">
        <v>32</v>
      </c>
      <c r="C211" s="51" t="s">
        <v>117</v>
      </c>
      <c r="D211" s="51" t="s">
        <v>118</v>
      </c>
      <c r="E211" s="51" t="s">
        <v>75</v>
      </c>
      <c r="F211" s="51" t="s">
        <v>51</v>
      </c>
      <c r="G211" s="52">
        <v>46090</v>
      </c>
      <c r="H211" s="51" t="s">
        <v>477</v>
      </c>
      <c r="I211" s="51" t="s">
        <v>35</v>
      </c>
      <c r="J211" s="52">
        <v>46090</v>
      </c>
      <c r="K211" s="52">
        <v>46090</v>
      </c>
      <c r="L211" s="51" t="s">
        <v>478</v>
      </c>
      <c r="M211" s="53">
        <v>256779452032</v>
      </c>
      <c r="N211" s="51" t="s">
        <v>37</v>
      </c>
      <c r="O211" s="51" t="s">
        <v>38</v>
      </c>
      <c r="P211" s="51" t="s">
        <v>39</v>
      </c>
      <c r="Q211" s="51" t="s">
        <v>40</v>
      </c>
      <c r="R211" s="51" t="s">
        <v>41</v>
      </c>
      <c r="S211" s="54">
        <v>6.57</v>
      </c>
      <c r="T211" s="51" t="s">
        <v>42</v>
      </c>
      <c r="U211" s="54">
        <v>595.22</v>
      </c>
      <c r="V211" s="51" t="s">
        <v>56</v>
      </c>
      <c r="W211" s="51" t="s">
        <v>43</v>
      </c>
      <c r="X211" s="51" t="s">
        <v>39</v>
      </c>
      <c r="Y211" s="51" t="s">
        <v>478</v>
      </c>
      <c r="Z211" s="51" t="s">
        <v>44</v>
      </c>
      <c r="AA211" s="55">
        <f t="shared" si="8"/>
        <v>6.57</v>
      </c>
      <c r="AB211" s="51" t="s">
        <v>479</v>
      </c>
      <c r="AC211" s="51" t="s">
        <v>39</v>
      </c>
      <c r="AD211" s="51" t="s">
        <v>39</v>
      </c>
      <c r="AE211" s="51" t="s">
        <v>39</v>
      </c>
      <c r="AF211" s="52">
        <v>46090</v>
      </c>
      <c r="AG211" s="52"/>
      <c r="AH211" s="51" t="s">
        <v>39</v>
      </c>
    </row>
    <row r="212" spans="1:34" outlineLevel="2" x14ac:dyDescent="0.35">
      <c r="A212" s="3" t="s">
        <v>121</v>
      </c>
      <c r="B212" s="3" t="s">
        <v>32</v>
      </c>
      <c r="C212" s="3" t="s">
        <v>117</v>
      </c>
      <c r="D212" s="3" t="s">
        <v>118</v>
      </c>
      <c r="E212" s="3" t="s">
        <v>75</v>
      </c>
      <c r="F212" s="3" t="s">
        <v>51</v>
      </c>
      <c r="G212" s="4">
        <v>46090</v>
      </c>
      <c r="H212" s="3" t="s">
        <v>480</v>
      </c>
      <c r="I212" s="3" t="s">
        <v>35</v>
      </c>
      <c r="J212" s="4">
        <v>46090</v>
      </c>
      <c r="K212" s="4">
        <v>46090</v>
      </c>
      <c r="L212" s="3" t="s">
        <v>481</v>
      </c>
      <c r="M212" s="40">
        <v>256779452043</v>
      </c>
      <c r="N212" s="3" t="s">
        <v>37</v>
      </c>
      <c r="O212" s="3" t="s">
        <v>38</v>
      </c>
      <c r="P212" s="3" t="s">
        <v>39</v>
      </c>
      <c r="Q212" s="3" t="s">
        <v>40</v>
      </c>
      <c r="R212" s="3" t="s">
        <v>41</v>
      </c>
      <c r="S212" s="5">
        <v>38.82</v>
      </c>
      <c r="T212" s="3" t="s">
        <v>42</v>
      </c>
      <c r="U212" s="5">
        <v>3516.97</v>
      </c>
      <c r="V212" s="3" t="s">
        <v>56</v>
      </c>
      <c r="W212" s="3" t="s">
        <v>43</v>
      </c>
      <c r="X212" s="3" t="s">
        <v>39</v>
      </c>
      <c r="Y212" s="3" t="s">
        <v>481</v>
      </c>
      <c r="Z212" s="3" t="s">
        <v>44</v>
      </c>
      <c r="AA212" s="41">
        <f t="shared" si="8"/>
        <v>38.82</v>
      </c>
      <c r="AB212" s="3" t="s">
        <v>482</v>
      </c>
      <c r="AC212" s="3" t="s">
        <v>39</v>
      </c>
      <c r="AD212" s="3" t="s">
        <v>39</v>
      </c>
      <c r="AE212" s="3" t="s">
        <v>39</v>
      </c>
      <c r="AF212" s="4">
        <v>46090</v>
      </c>
      <c r="AG212" s="4"/>
      <c r="AH212" s="3" t="s">
        <v>39</v>
      </c>
    </row>
    <row r="213" spans="1:34" outlineLevel="2" x14ac:dyDescent="0.35">
      <c r="A213" s="3" t="s">
        <v>121</v>
      </c>
      <c r="B213" s="3" t="s">
        <v>32</v>
      </c>
      <c r="C213" s="3" t="s">
        <v>117</v>
      </c>
      <c r="D213" s="3" t="s">
        <v>118</v>
      </c>
      <c r="E213" s="3" t="s">
        <v>75</v>
      </c>
      <c r="F213" s="3" t="s">
        <v>51</v>
      </c>
      <c r="G213" s="4">
        <v>46091</v>
      </c>
      <c r="H213" s="3" t="s">
        <v>483</v>
      </c>
      <c r="I213" s="3" t="s">
        <v>35</v>
      </c>
      <c r="J213" s="4">
        <v>46091</v>
      </c>
      <c r="K213" s="4">
        <v>46092</v>
      </c>
      <c r="L213" s="3" t="s">
        <v>484</v>
      </c>
      <c r="M213" s="40">
        <v>256779440501</v>
      </c>
      <c r="N213" s="3" t="s">
        <v>37</v>
      </c>
      <c r="O213" s="3" t="s">
        <v>38</v>
      </c>
      <c r="P213" s="3" t="s">
        <v>39</v>
      </c>
      <c r="Q213" s="3" t="s">
        <v>40</v>
      </c>
      <c r="R213" s="3" t="s">
        <v>41</v>
      </c>
      <c r="S213" s="5">
        <v>1103.75</v>
      </c>
      <c r="T213" s="3" t="s">
        <v>42</v>
      </c>
      <c r="U213" s="5">
        <v>99996.26</v>
      </c>
      <c r="V213" s="3" t="s">
        <v>56</v>
      </c>
      <c r="W213" s="3" t="s">
        <v>48</v>
      </c>
      <c r="X213" s="3" t="s">
        <v>39</v>
      </c>
      <c r="Y213" s="3" t="s">
        <v>36</v>
      </c>
      <c r="Z213" s="3" t="s">
        <v>44</v>
      </c>
      <c r="AA213" s="41">
        <f t="shared" si="8"/>
        <v>1103.75</v>
      </c>
      <c r="AB213" s="3" t="s">
        <v>485</v>
      </c>
      <c r="AC213" s="3" t="s">
        <v>39</v>
      </c>
      <c r="AD213" s="3" t="s">
        <v>39</v>
      </c>
      <c r="AE213" s="3" t="s">
        <v>39</v>
      </c>
      <c r="AF213" s="4">
        <v>46091</v>
      </c>
      <c r="AG213" s="4"/>
      <c r="AH213" s="3" t="s">
        <v>39</v>
      </c>
    </row>
    <row r="214" spans="1:34" outlineLevel="2" x14ac:dyDescent="0.35">
      <c r="A214" s="3" t="s">
        <v>121</v>
      </c>
      <c r="B214" s="3" t="s">
        <v>32</v>
      </c>
      <c r="C214" s="3" t="s">
        <v>117</v>
      </c>
      <c r="D214" s="3" t="s">
        <v>118</v>
      </c>
      <c r="E214" s="3" t="s">
        <v>75</v>
      </c>
      <c r="F214" s="3" t="s">
        <v>51</v>
      </c>
      <c r="G214" s="4">
        <v>46092</v>
      </c>
      <c r="H214" s="3" t="s">
        <v>486</v>
      </c>
      <c r="I214" s="3" t="s">
        <v>35</v>
      </c>
      <c r="J214" s="4">
        <v>46092</v>
      </c>
      <c r="K214" s="4">
        <v>46094</v>
      </c>
      <c r="L214" s="3" t="s">
        <v>487</v>
      </c>
      <c r="M214" s="40">
        <v>256779452125</v>
      </c>
      <c r="N214" s="3" t="s">
        <v>37</v>
      </c>
      <c r="O214" s="3" t="s">
        <v>38</v>
      </c>
      <c r="P214" s="3" t="s">
        <v>39</v>
      </c>
      <c r="Q214" s="3" t="s">
        <v>40</v>
      </c>
      <c r="R214" s="3" t="s">
        <v>41</v>
      </c>
      <c r="S214" s="5">
        <v>345.26</v>
      </c>
      <c r="T214" s="3" t="s">
        <v>42</v>
      </c>
      <c r="U214" s="5">
        <v>345.26</v>
      </c>
      <c r="V214" s="3" t="s">
        <v>56</v>
      </c>
      <c r="W214" s="3" t="s">
        <v>43</v>
      </c>
      <c r="X214" s="3" t="s">
        <v>39</v>
      </c>
      <c r="Y214" s="3" t="s">
        <v>36</v>
      </c>
      <c r="Z214" s="3" t="s">
        <v>44</v>
      </c>
      <c r="AA214" s="50">
        <f>U214</f>
        <v>345.26</v>
      </c>
      <c r="AB214" s="3" t="s">
        <v>488</v>
      </c>
      <c r="AC214" s="3" t="s">
        <v>39</v>
      </c>
      <c r="AD214" s="3" t="s">
        <v>39</v>
      </c>
      <c r="AE214" s="3" t="s">
        <v>39</v>
      </c>
      <c r="AF214" s="4">
        <v>46092</v>
      </c>
      <c r="AG214" s="4"/>
      <c r="AH214" s="3" t="s">
        <v>39</v>
      </c>
    </row>
    <row r="215" spans="1:34" outlineLevel="2" x14ac:dyDescent="0.35">
      <c r="A215" s="3" t="s">
        <v>121</v>
      </c>
      <c r="B215" s="3" t="s">
        <v>32</v>
      </c>
      <c r="C215" s="3" t="s">
        <v>117</v>
      </c>
      <c r="D215" s="3" t="s">
        <v>118</v>
      </c>
      <c r="E215" s="3" t="s">
        <v>75</v>
      </c>
      <c r="F215" s="3" t="s">
        <v>51</v>
      </c>
      <c r="G215" s="4">
        <v>46092</v>
      </c>
      <c r="H215" s="3" t="s">
        <v>489</v>
      </c>
      <c r="I215" s="3" t="s">
        <v>35</v>
      </c>
      <c r="J215" s="4">
        <v>46092</v>
      </c>
      <c r="K215" s="4">
        <v>46094</v>
      </c>
      <c r="L215" s="3" t="s">
        <v>490</v>
      </c>
      <c r="M215" s="40">
        <v>256779452169</v>
      </c>
      <c r="N215" s="3" t="s">
        <v>37</v>
      </c>
      <c r="O215" s="3" t="s">
        <v>38</v>
      </c>
      <c r="P215" s="3" t="s">
        <v>39</v>
      </c>
      <c r="Q215" s="3" t="s">
        <v>40</v>
      </c>
      <c r="R215" s="3" t="s">
        <v>41</v>
      </c>
      <c r="S215" s="5">
        <v>6.62</v>
      </c>
      <c r="T215" s="3" t="s">
        <v>42</v>
      </c>
      <c r="U215" s="5">
        <v>599.75</v>
      </c>
      <c r="V215" s="3" t="s">
        <v>56</v>
      </c>
      <c r="W215" s="3" t="s">
        <v>43</v>
      </c>
      <c r="X215" s="3" t="s">
        <v>39</v>
      </c>
      <c r="Y215" s="3" t="s">
        <v>36</v>
      </c>
      <c r="Z215" s="3" t="s">
        <v>44</v>
      </c>
      <c r="AA215" s="41">
        <f>S215</f>
        <v>6.62</v>
      </c>
      <c r="AB215" s="3" t="s">
        <v>491</v>
      </c>
      <c r="AC215" s="3" t="s">
        <v>39</v>
      </c>
      <c r="AD215" s="3" t="s">
        <v>39</v>
      </c>
      <c r="AE215" s="3" t="s">
        <v>39</v>
      </c>
      <c r="AF215" s="4">
        <v>46092</v>
      </c>
      <c r="AG215" s="4"/>
      <c r="AH215" s="3" t="s">
        <v>39</v>
      </c>
    </row>
    <row r="216" spans="1:34" outlineLevel="2" x14ac:dyDescent="0.35">
      <c r="A216" s="3" t="s">
        <v>121</v>
      </c>
      <c r="B216" s="3" t="s">
        <v>32</v>
      </c>
      <c r="C216" s="3" t="s">
        <v>117</v>
      </c>
      <c r="D216" s="3" t="s">
        <v>118</v>
      </c>
      <c r="E216" s="3" t="s">
        <v>75</v>
      </c>
      <c r="F216" s="3" t="s">
        <v>51</v>
      </c>
      <c r="G216" s="4">
        <v>46097</v>
      </c>
      <c r="H216" s="3" t="s">
        <v>492</v>
      </c>
      <c r="I216" s="3" t="s">
        <v>46</v>
      </c>
      <c r="J216" s="4">
        <v>46097</v>
      </c>
      <c r="K216" s="4">
        <v>46097</v>
      </c>
      <c r="L216" s="3" t="s">
        <v>493</v>
      </c>
      <c r="M216" s="40">
        <v>256779422411</v>
      </c>
      <c r="N216" s="3" t="s">
        <v>37</v>
      </c>
      <c r="O216" s="3" t="s">
        <v>38</v>
      </c>
      <c r="P216" s="3" t="s">
        <v>39</v>
      </c>
      <c r="Q216" s="3" t="s">
        <v>47</v>
      </c>
      <c r="R216" s="3" t="s">
        <v>41</v>
      </c>
      <c r="S216" s="5">
        <v>-345.26</v>
      </c>
      <c r="T216" s="3" t="s">
        <v>42</v>
      </c>
      <c r="U216" s="5">
        <v>-345.26</v>
      </c>
      <c r="V216" s="3" t="s">
        <v>56</v>
      </c>
      <c r="W216" s="3" t="s">
        <v>43</v>
      </c>
      <c r="X216" s="3" t="s">
        <v>39</v>
      </c>
      <c r="Y216" s="3" t="s">
        <v>36</v>
      </c>
      <c r="Z216" s="3" t="s">
        <v>44</v>
      </c>
      <c r="AA216" s="50">
        <f>U216</f>
        <v>-345.26</v>
      </c>
      <c r="AB216" s="3" t="s">
        <v>494</v>
      </c>
      <c r="AC216" s="3" t="s">
        <v>39</v>
      </c>
      <c r="AD216" s="3" t="s">
        <v>39</v>
      </c>
      <c r="AE216" s="3" t="s">
        <v>39</v>
      </c>
      <c r="AF216" s="4">
        <v>46097</v>
      </c>
      <c r="AG216" s="4"/>
      <c r="AH216" s="3" t="s">
        <v>39</v>
      </c>
    </row>
    <row r="217" spans="1:34" outlineLevel="2" x14ac:dyDescent="0.35">
      <c r="A217" s="3" t="s">
        <v>121</v>
      </c>
      <c r="B217" s="3" t="s">
        <v>32</v>
      </c>
      <c r="C217" s="3" t="s">
        <v>117</v>
      </c>
      <c r="D217" s="3" t="s">
        <v>118</v>
      </c>
      <c r="E217" s="3" t="s">
        <v>75</v>
      </c>
      <c r="F217" s="3" t="s">
        <v>51</v>
      </c>
      <c r="G217" s="4">
        <v>46097</v>
      </c>
      <c r="H217" s="3" t="s">
        <v>495</v>
      </c>
      <c r="I217" s="3" t="s">
        <v>35</v>
      </c>
      <c r="J217" s="4">
        <v>46097</v>
      </c>
      <c r="K217" s="4">
        <v>46097</v>
      </c>
      <c r="L217" s="3" t="s">
        <v>493</v>
      </c>
      <c r="M217" s="40">
        <v>256779452544</v>
      </c>
      <c r="N217" s="3" t="s">
        <v>37</v>
      </c>
      <c r="O217" s="3" t="s">
        <v>38</v>
      </c>
      <c r="P217" s="3" t="s">
        <v>39</v>
      </c>
      <c r="Q217" s="3" t="s">
        <v>40</v>
      </c>
      <c r="R217" s="3" t="s">
        <v>41</v>
      </c>
      <c r="S217" s="5">
        <v>345.26</v>
      </c>
      <c r="T217" s="3" t="s">
        <v>42</v>
      </c>
      <c r="U217" s="5">
        <v>31279.46</v>
      </c>
      <c r="V217" s="3" t="s">
        <v>56</v>
      </c>
      <c r="W217" s="3" t="s">
        <v>43</v>
      </c>
      <c r="X217" s="3" t="s">
        <v>39</v>
      </c>
      <c r="Y217" s="3" t="s">
        <v>36</v>
      </c>
      <c r="Z217" s="3" t="s">
        <v>44</v>
      </c>
      <c r="AA217" s="41">
        <f t="shared" ref="AA217:AA226" si="9">S217</f>
        <v>345.26</v>
      </c>
      <c r="AB217" s="3" t="s">
        <v>488</v>
      </c>
      <c r="AC217" s="3" t="s">
        <v>39</v>
      </c>
      <c r="AD217" s="3" t="s">
        <v>39</v>
      </c>
      <c r="AE217" s="3" t="s">
        <v>39</v>
      </c>
      <c r="AF217" s="4">
        <v>46097</v>
      </c>
      <c r="AG217" s="4"/>
      <c r="AH217" s="3" t="s">
        <v>39</v>
      </c>
    </row>
    <row r="218" spans="1:34" outlineLevel="2" x14ac:dyDescent="0.35">
      <c r="A218" s="3" t="s">
        <v>121</v>
      </c>
      <c r="B218" s="3" t="s">
        <v>32</v>
      </c>
      <c r="C218" s="3" t="s">
        <v>117</v>
      </c>
      <c r="D218" s="3" t="s">
        <v>118</v>
      </c>
      <c r="E218" s="3" t="s">
        <v>75</v>
      </c>
      <c r="F218" s="3" t="s">
        <v>51</v>
      </c>
      <c r="G218" s="4">
        <v>46104</v>
      </c>
      <c r="H218" s="3" t="s">
        <v>496</v>
      </c>
      <c r="I218" s="3" t="s">
        <v>46</v>
      </c>
      <c r="J218" s="4">
        <v>46104</v>
      </c>
      <c r="K218" s="4">
        <v>46104</v>
      </c>
      <c r="L218" s="3" t="s">
        <v>497</v>
      </c>
      <c r="M218" s="40">
        <v>256779422424</v>
      </c>
      <c r="N218" s="3" t="s">
        <v>37</v>
      </c>
      <c r="O218" s="3" t="s">
        <v>38</v>
      </c>
      <c r="P218" s="3" t="s">
        <v>39</v>
      </c>
      <c r="Q218" s="3" t="s">
        <v>47</v>
      </c>
      <c r="R218" s="3" t="s">
        <v>41</v>
      </c>
      <c r="S218" s="5">
        <v>-100</v>
      </c>
      <c r="T218" s="3" t="s">
        <v>42</v>
      </c>
      <c r="U218" s="5">
        <v>-9059.68</v>
      </c>
      <c r="V218" s="3" t="s">
        <v>56</v>
      </c>
      <c r="W218" s="3" t="s">
        <v>48</v>
      </c>
      <c r="X218" s="3" t="s">
        <v>39</v>
      </c>
      <c r="Y218" s="3" t="s">
        <v>36</v>
      </c>
      <c r="Z218" s="3" t="s">
        <v>44</v>
      </c>
      <c r="AA218" s="41">
        <f t="shared" si="9"/>
        <v>-100</v>
      </c>
      <c r="AB218" s="3" t="s">
        <v>498</v>
      </c>
      <c r="AC218" s="3" t="s">
        <v>39</v>
      </c>
      <c r="AD218" s="3" t="s">
        <v>39</v>
      </c>
      <c r="AE218" s="3" t="s">
        <v>39</v>
      </c>
      <c r="AF218" s="4">
        <v>46104</v>
      </c>
      <c r="AG218" s="4"/>
      <c r="AH218" s="3" t="s">
        <v>39</v>
      </c>
    </row>
    <row r="219" spans="1:34" outlineLevel="2" x14ac:dyDescent="0.35">
      <c r="A219" s="3" t="s">
        <v>121</v>
      </c>
      <c r="B219" s="3" t="s">
        <v>32</v>
      </c>
      <c r="C219" s="3" t="s">
        <v>117</v>
      </c>
      <c r="D219" s="3" t="s">
        <v>118</v>
      </c>
      <c r="E219" s="3" t="s">
        <v>75</v>
      </c>
      <c r="F219" s="3" t="s">
        <v>51</v>
      </c>
      <c r="G219" s="4">
        <v>46104</v>
      </c>
      <c r="H219" s="3" t="s">
        <v>499</v>
      </c>
      <c r="I219" s="3" t="s">
        <v>46</v>
      </c>
      <c r="J219" s="4">
        <v>46104</v>
      </c>
      <c r="K219" s="4">
        <v>46104</v>
      </c>
      <c r="L219" s="3" t="s">
        <v>497</v>
      </c>
      <c r="M219" s="40">
        <v>256779422425</v>
      </c>
      <c r="N219" s="3" t="s">
        <v>37</v>
      </c>
      <c r="O219" s="3" t="s">
        <v>38</v>
      </c>
      <c r="P219" s="3" t="s">
        <v>39</v>
      </c>
      <c r="Q219" s="3" t="s">
        <v>47</v>
      </c>
      <c r="R219" s="3" t="s">
        <v>41</v>
      </c>
      <c r="S219" s="5">
        <v>-1.1299999999999999</v>
      </c>
      <c r="T219" s="3" t="s">
        <v>42</v>
      </c>
      <c r="U219" s="5">
        <v>-102.37</v>
      </c>
      <c r="V219" s="3" t="s">
        <v>56</v>
      </c>
      <c r="W219" s="3" t="s">
        <v>48</v>
      </c>
      <c r="X219" s="3" t="s">
        <v>39</v>
      </c>
      <c r="Y219" s="3" t="s">
        <v>36</v>
      </c>
      <c r="Z219" s="3" t="s">
        <v>44</v>
      </c>
      <c r="AA219" s="41">
        <f t="shared" si="9"/>
        <v>-1.1299999999999999</v>
      </c>
      <c r="AB219" s="3" t="s">
        <v>500</v>
      </c>
      <c r="AC219" s="3" t="s">
        <v>39</v>
      </c>
      <c r="AD219" s="3" t="s">
        <v>39</v>
      </c>
      <c r="AE219" s="3" t="s">
        <v>39</v>
      </c>
      <c r="AF219" s="4">
        <v>46104</v>
      </c>
      <c r="AG219" s="4"/>
      <c r="AH219" s="3" t="s">
        <v>39</v>
      </c>
    </row>
    <row r="220" spans="1:34" outlineLevel="2" x14ac:dyDescent="0.35">
      <c r="A220" s="3" t="s">
        <v>121</v>
      </c>
      <c r="B220" s="3" t="s">
        <v>32</v>
      </c>
      <c r="C220" s="3" t="s">
        <v>117</v>
      </c>
      <c r="D220" s="3" t="s">
        <v>118</v>
      </c>
      <c r="E220" s="3" t="s">
        <v>75</v>
      </c>
      <c r="F220" s="3" t="s">
        <v>51</v>
      </c>
      <c r="G220" s="4">
        <v>46104</v>
      </c>
      <c r="H220" s="3" t="s">
        <v>501</v>
      </c>
      <c r="I220" s="3" t="s">
        <v>46</v>
      </c>
      <c r="J220" s="4">
        <v>46104</v>
      </c>
      <c r="K220" s="4">
        <v>46104</v>
      </c>
      <c r="L220" s="3" t="s">
        <v>497</v>
      </c>
      <c r="M220" s="40">
        <v>256779422426</v>
      </c>
      <c r="N220" s="3" t="s">
        <v>37</v>
      </c>
      <c r="O220" s="3" t="s">
        <v>38</v>
      </c>
      <c r="P220" s="3" t="s">
        <v>39</v>
      </c>
      <c r="Q220" s="3" t="s">
        <v>47</v>
      </c>
      <c r="R220" s="3" t="s">
        <v>41</v>
      </c>
      <c r="S220" s="5">
        <v>-4.7699999999999996</v>
      </c>
      <c r="T220" s="3" t="s">
        <v>42</v>
      </c>
      <c r="U220" s="5">
        <v>-432.15</v>
      </c>
      <c r="V220" s="3" t="s">
        <v>56</v>
      </c>
      <c r="W220" s="3" t="s">
        <v>48</v>
      </c>
      <c r="X220" s="3" t="s">
        <v>39</v>
      </c>
      <c r="Y220" s="3" t="s">
        <v>36</v>
      </c>
      <c r="Z220" s="3" t="s">
        <v>44</v>
      </c>
      <c r="AA220" s="41">
        <f t="shared" si="9"/>
        <v>-4.7699999999999996</v>
      </c>
      <c r="AB220" s="3" t="s">
        <v>502</v>
      </c>
      <c r="AC220" s="3" t="s">
        <v>39</v>
      </c>
      <c r="AD220" s="3" t="s">
        <v>39</v>
      </c>
      <c r="AE220" s="3" t="s">
        <v>39</v>
      </c>
      <c r="AF220" s="4">
        <v>46104</v>
      </c>
      <c r="AG220" s="4"/>
      <c r="AH220" s="3" t="s">
        <v>39</v>
      </c>
    </row>
    <row r="221" spans="1:34" outlineLevel="2" x14ac:dyDescent="0.35">
      <c r="A221" s="3" t="s">
        <v>121</v>
      </c>
      <c r="B221" s="3" t="s">
        <v>32</v>
      </c>
      <c r="C221" s="3" t="s">
        <v>117</v>
      </c>
      <c r="D221" s="3" t="s">
        <v>118</v>
      </c>
      <c r="E221" s="3" t="s">
        <v>75</v>
      </c>
      <c r="F221" s="3" t="s">
        <v>51</v>
      </c>
      <c r="G221" s="4">
        <v>46104</v>
      </c>
      <c r="H221" s="3" t="s">
        <v>503</v>
      </c>
      <c r="I221" s="3" t="s">
        <v>46</v>
      </c>
      <c r="J221" s="4">
        <v>46104</v>
      </c>
      <c r="K221" s="4">
        <v>46104</v>
      </c>
      <c r="L221" s="3" t="s">
        <v>497</v>
      </c>
      <c r="M221" s="40">
        <v>256779422427</v>
      </c>
      <c r="N221" s="3" t="s">
        <v>37</v>
      </c>
      <c r="O221" s="3" t="s">
        <v>38</v>
      </c>
      <c r="P221" s="3" t="s">
        <v>39</v>
      </c>
      <c r="Q221" s="3" t="s">
        <v>47</v>
      </c>
      <c r="R221" s="3" t="s">
        <v>41</v>
      </c>
      <c r="S221" s="5">
        <v>-20.25</v>
      </c>
      <c r="T221" s="3" t="s">
        <v>42</v>
      </c>
      <c r="U221" s="5">
        <v>-1834.59</v>
      </c>
      <c r="V221" s="3" t="s">
        <v>56</v>
      </c>
      <c r="W221" s="3" t="s">
        <v>48</v>
      </c>
      <c r="X221" s="3" t="s">
        <v>39</v>
      </c>
      <c r="Y221" s="3" t="s">
        <v>36</v>
      </c>
      <c r="Z221" s="3" t="s">
        <v>44</v>
      </c>
      <c r="AA221" s="41">
        <f t="shared" si="9"/>
        <v>-20.25</v>
      </c>
      <c r="AB221" s="3" t="s">
        <v>504</v>
      </c>
      <c r="AC221" s="3" t="s">
        <v>39</v>
      </c>
      <c r="AD221" s="3" t="s">
        <v>39</v>
      </c>
      <c r="AE221" s="3" t="s">
        <v>39</v>
      </c>
      <c r="AF221" s="4">
        <v>46104</v>
      </c>
      <c r="AG221" s="4"/>
      <c r="AH221" s="3" t="s">
        <v>39</v>
      </c>
    </row>
    <row r="222" spans="1:34" outlineLevel="2" x14ac:dyDescent="0.35">
      <c r="A222" s="3" t="s">
        <v>121</v>
      </c>
      <c r="B222" s="3" t="s">
        <v>32</v>
      </c>
      <c r="C222" s="3" t="s">
        <v>117</v>
      </c>
      <c r="D222" s="3" t="s">
        <v>118</v>
      </c>
      <c r="E222" s="3" t="s">
        <v>75</v>
      </c>
      <c r="F222" s="3" t="s">
        <v>51</v>
      </c>
      <c r="G222" s="4">
        <v>46104</v>
      </c>
      <c r="H222" s="3" t="s">
        <v>505</v>
      </c>
      <c r="I222" s="3" t="s">
        <v>46</v>
      </c>
      <c r="J222" s="4">
        <v>46104</v>
      </c>
      <c r="K222" s="4">
        <v>46104</v>
      </c>
      <c r="L222" s="3" t="s">
        <v>497</v>
      </c>
      <c r="M222" s="40">
        <v>256779422428</v>
      </c>
      <c r="N222" s="3" t="s">
        <v>37</v>
      </c>
      <c r="O222" s="3" t="s">
        <v>38</v>
      </c>
      <c r="P222" s="3" t="s">
        <v>39</v>
      </c>
      <c r="Q222" s="3" t="s">
        <v>47</v>
      </c>
      <c r="R222" s="3" t="s">
        <v>41</v>
      </c>
      <c r="S222" s="5">
        <v>-56.61</v>
      </c>
      <c r="T222" s="3" t="s">
        <v>42</v>
      </c>
      <c r="U222" s="5">
        <v>-5128.6899999999996</v>
      </c>
      <c r="V222" s="3" t="s">
        <v>56</v>
      </c>
      <c r="W222" s="3" t="s">
        <v>48</v>
      </c>
      <c r="X222" s="3" t="s">
        <v>39</v>
      </c>
      <c r="Y222" s="3" t="s">
        <v>36</v>
      </c>
      <c r="Z222" s="3" t="s">
        <v>44</v>
      </c>
      <c r="AA222" s="41">
        <f t="shared" si="9"/>
        <v>-56.61</v>
      </c>
      <c r="AB222" s="3" t="s">
        <v>506</v>
      </c>
      <c r="AC222" s="3" t="s">
        <v>39</v>
      </c>
      <c r="AD222" s="3" t="s">
        <v>39</v>
      </c>
      <c r="AE222" s="3" t="s">
        <v>39</v>
      </c>
      <c r="AF222" s="4">
        <v>46104</v>
      </c>
      <c r="AG222" s="4"/>
      <c r="AH222" s="3" t="s">
        <v>39</v>
      </c>
    </row>
    <row r="223" spans="1:34" outlineLevel="2" x14ac:dyDescent="0.35">
      <c r="A223" s="3" t="s">
        <v>121</v>
      </c>
      <c r="B223" s="3" t="s">
        <v>32</v>
      </c>
      <c r="C223" s="3" t="s">
        <v>117</v>
      </c>
      <c r="D223" s="3" t="s">
        <v>118</v>
      </c>
      <c r="E223" s="3" t="s">
        <v>75</v>
      </c>
      <c r="F223" s="3" t="s">
        <v>51</v>
      </c>
      <c r="G223" s="4">
        <v>46104</v>
      </c>
      <c r="H223" s="3" t="s">
        <v>507</v>
      </c>
      <c r="I223" s="3" t="s">
        <v>46</v>
      </c>
      <c r="J223" s="4">
        <v>46104</v>
      </c>
      <c r="K223" s="4">
        <v>46104</v>
      </c>
      <c r="L223" s="3" t="s">
        <v>497</v>
      </c>
      <c r="M223" s="40">
        <v>256779422429</v>
      </c>
      <c r="N223" s="3" t="s">
        <v>37</v>
      </c>
      <c r="O223" s="3" t="s">
        <v>38</v>
      </c>
      <c r="P223" s="3" t="s">
        <v>39</v>
      </c>
      <c r="Q223" s="3" t="s">
        <v>47</v>
      </c>
      <c r="R223" s="3" t="s">
        <v>41</v>
      </c>
      <c r="S223" s="5">
        <v>-149.25</v>
      </c>
      <c r="T223" s="3" t="s">
        <v>42</v>
      </c>
      <c r="U223" s="5">
        <v>-13521.58</v>
      </c>
      <c r="V223" s="3" t="s">
        <v>56</v>
      </c>
      <c r="W223" s="3" t="s">
        <v>48</v>
      </c>
      <c r="X223" s="3" t="s">
        <v>39</v>
      </c>
      <c r="Y223" s="3" t="s">
        <v>36</v>
      </c>
      <c r="Z223" s="3" t="s">
        <v>44</v>
      </c>
      <c r="AA223" s="41">
        <f t="shared" si="9"/>
        <v>-149.25</v>
      </c>
      <c r="AB223" s="3" t="s">
        <v>508</v>
      </c>
      <c r="AC223" s="3" t="s">
        <v>39</v>
      </c>
      <c r="AD223" s="3" t="s">
        <v>39</v>
      </c>
      <c r="AE223" s="3" t="s">
        <v>39</v>
      </c>
      <c r="AF223" s="4">
        <v>46104</v>
      </c>
      <c r="AG223" s="4"/>
      <c r="AH223" s="3" t="s">
        <v>39</v>
      </c>
    </row>
    <row r="224" spans="1:34" outlineLevel="2" x14ac:dyDescent="0.35">
      <c r="A224" s="3" t="s">
        <v>121</v>
      </c>
      <c r="B224" s="3" t="s">
        <v>32</v>
      </c>
      <c r="C224" s="3" t="s">
        <v>117</v>
      </c>
      <c r="D224" s="3" t="s">
        <v>118</v>
      </c>
      <c r="E224" s="3" t="s">
        <v>75</v>
      </c>
      <c r="F224" s="3" t="s">
        <v>51</v>
      </c>
      <c r="G224" s="4">
        <v>46104</v>
      </c>
      <c r="H224" s="3" t="s">
        <v>509</v>
      </c>
      <c r="I224" s="3" t="s">
        <v>46</v>
      </c>
      <c r="J224" s="4">
        <v>46104</v>
      </c>
      <c r="K224" s="4">
        <v>46104</v>
      </c>
      <c r="L224" s="3" t="s">
        <v>497</v>
      </c>
      <c r="M224" s="40">
        <v>256779422430</v>
      </c>
      <c r="N224" s="3" t="s">
        <v>37</v>
      </c>
      <c r="O224" s="3" t="s">
        <v>38</v>
      </c>
      <c r="P224" s="3" t="s">
        <v>39</v>
      </c>
      <c r="Q224" s="3" t="s">
        <v>47</v>
      </c>
      <c r="R224" s="3" t="s">
        <v>41</v>
      </c>
      <c r="S224" s="5">
        <v>-21.4</v>
      </c>
      <c r="T224" s="3" t="s">
        <v>42</v>
      </c>
      <c r="U224" s="5">
        <v>-1938.77</v>
      </c>
      <c r="V224" s="3" t="s">
        <v>56</v>
      </c>
      <c r="W224" s="3" t="s">
        <v>48</v>
      </c>
      <c r="X224" s="3" t="s">
        <v>39</v>
      </c>
      <c r="Y224" s="3" t="s">
        <v>36</v>
      </c>
      <c r="Z224" s="3" t="s">
        <v>44</v>
      </c>
      <c r="AA224" s="41">
        <f t="shared" si="9"/>
        <v>-21.4</v>
      </c>
      <c r="AB224" s="3" t="s">
        <v>510</v>
      </c>
      <c r="AC224" s="3" t="s">
        <v>39</v>
      </c>
      <c r="AD224" s="3" t="s">
        <v>39</v>
      </c>
      <c r="AE224" s="3" t="s">
        <v>39</v>
      </c>
      <c r="AF224" s="4">
        <v>46104</v>
      </c>
      <c r="AG224" s="4"/>
      <c r="AH224" s="3" t="s">
        <v>39</v>
      </c>
    </row>
    <row r="225" spans="1:34" outlineLevel="2" x14ac:dyDescent="0.35">
      <c r="A225" s="3" t="s">
        <v>121</v>
      </c>
      <c r="B225" s="3" t="s">
        <v>32</v>
      </c>
      <c r="C225" s="3" t="s">
        <v>117</v>
      </c>
      <c r="D225" s="3" t="s">
        <v>118</v>
      </c>
      <c r="E225" s="3" t="s">
        <v>75</v>
      </c>
      <c r="F225" s="3" t="s">
        <v>51</v>
      </c>
      <c r="G225" s="4">
        <v>46104</v>
      </c>
      <c r="H225" s="3" t="s">
        <v>511</v>
      </c>
      <c r="I225" s="3" t="s">
        <v>46</v>
      </c>
      <c r="J225" s="4">
        <v>46104</v>
      </c>
      <c r="K225" s="4">
        <v>46104</v>
      </c>
      <c r="L225" s="3" t="s">
        <v>497</v>
      </c>
      <c r="M225" s="40">
        <v>256779422431</v>
      </c>
      <c r="N225" s="3" t="s">
        <v>37</v>
      </c>
      <c r="O225" s="3" t="s">
        <v>38</v>
      </c>
      <c r="P225" s="3" t="s">
        <v>39</v>
      </c>
      <c r="Q225" s="3" t="s">
        <v>47</v>
      </c>
      <c r="R225" s="3" t="s">
        <v>41</v>
      </c>
      <c r="S225" s="5">
        <v>-49.33</v>
      </c>
      <c r="T225" s="3" t="s">
        <v>42</v>
      </c>
      <c r="U225" s="5">
        <v>-4469.1400000000003</v>
      </c>
      <c r="V225" s="3" t="s">
        <v>56</v>
      </c>
      <c r="W225" s="3" t="s">
        <v>48</v>
      </c>
      <c r="X225" s="3" t="s">
        <v>39</v>
      </c>
      <c r="Y225" s="3" t="s">
        <v>36</v>
      </c>
      <c r="Z225" s="3" t="s">
        <v>44</v>
      </c>
      <c r="AA225" s="41">
        <f t="shared" si="9"/>
        <v>-49.33</v>
      </c>
      <c r="AB225" s="3" t="s">
        <v>512</v>
      </c>
      <c r="AC225" s="3" t="s">
        <v>39</v>
      </c>
      <c r="AD225" s="3" t="s">
        <v>39</v>
      </c>
      <c r="AE225" s="3" t="s">
        <v>39</v>
      </c>
      <c r="AF225" s="4">
        <v>46104</v>
      </c>
      <c r="AG225" s="4"/>
      <c r="AH225" s="3" t="s">
        <v>39</v>
      </c>
    </row>
    <row r="226" spans="1:34" outlineLevel="2" x14ac:dyDescent="0.35">
      <c r="A226" s="3" t="s">
        <v>121</v>
      </c>
      <c r="B226" s="3" t="s">
        <v>32</v>
      </c>
      <c r="C226" s="3" t="s">
        <v>117</v>
      </c>
      <c r="D226" s="3" t="s">
        <v>118</v>
      </c>
      <c r="E226" s="3" t="s">
        <v>75</v>
      </c>
      <c r="F226" s="3" t="s">
        <v>51</v>
      </c>
      <c r="G226" s="4">
        <v>46104</v>
      </c>
      <c r="H226" s="3" t="s">
        <v>513</v>
      </c>
      <c r="I226" s="3" t="s">
        <v>46</v>
      </c>
      <c r="J226" s="4">
        <v>46104</v>
      </c>
      <c r="K226" s="4">
        <v>46104</v>
      </c>
      <c r="L226" s="3" t="s">
        <v>497</v>
      </c>
      <c r="M226" s="40">
        <v>256779422432</v>
      </c>
      <c r="N226" s="3" t="s">
        <v>37</v>
      </c>
      <c r="O226" s="3" t="s">
        <v>38</v>
      </c>
      <c r="P226" s="3" t="s">
        <v>39</v>
      </c>
      <c r="Q226" s="3" t="s">
        <v>47</v>
      </c>
      <c r="R226" s="3" t="s">
        <v>41</v>
      </c>
      <c r="S226" s="5">
        <v>-60.86</v>
      </c>
      <c r="T226" s="3" t="s">
        <v>42</v>
      </c>
      <c r="U226" s="5">
        <v>-5513.72</v>
      </c>
      <c r="V226" s="3" t="s">
        <v>56</v>
      </c>
      <c r="W226" s="3" t="s">
        <v>48</v>
      </c>
      <c r="X226" s="3" t="s">
        <v>39</v>
      </c>
      <c r="Y226" s="3" t="s">
        <v>36</v>
      </c>
      <c r="Z226" s="3" t="s">
        <v>44</v>
      </c>
      <c r="AA226" s="41">
        <f t="shared" si="9"/>
        <v>-60.86</v>
      </c>
      <c r="AB226" s="3" t="s">
        <v>514</v>
      </c>
      <c r="AC226" s="3" t="s">
        <v>39</v>
      </c>
      <c r="AD226" s="3" t="s">
        <v>39</v>
      </c>
      <c r="AE226" s="3" t="s">
        <v>39</v>
      </c>
      <c r="AF226" s="4">
        <v>46104</v>
      </c>
      <c r="AG226" s="4"/>
      <c r="AH226" s="3" t="s">
        <v>39</v>
      </c>
    </row>
    <row r="227" spans="1:34" outlineLevel="1" x14ac:dyDescent="0.35">
      <c r="A227" s="6" t="s">
        <v>39</v>
      </c>
      <c r="B227" s="6" t="s">
        <v>39</v>
      </c>
      <c r="C227" s="6" t="s">
        <v>39</v>
      </c>
      <c r="D227" s="6" t="s">
        <v>39</v>
      </c>
      <c r="E227" s="6" t="s">
        <v>39</v>
      </c>
      <c r="F227" s="6" t="s">
        <v>39</v>
      </c>
      <c r="G227" s="7"/>
      <c r="H227" s="6" t="s">
        <v>39</v>
      </c>
      <c r="I227" s="6" t="s">
        <v>39</v>
      </c>
      <c r="J227" s="7"/>
      <c r="K227" s="7"/>
      <c r="L227" s="6" t="s">
        <v>39</v>
      </c>
      <c r="M227" s="6" t="s">
        <v>39</v>
      </c>
      <c r="N227" s="6" t="s">
        <v>37</v>
      </c>
      <c r="O227" s="6" t="s">
        <v>39</v>
      </c>
      <c r="P227" s="6" t="s">
        <v>39</v>
      </c>
      <c r="Q227" s="6" t="s">
        <v>39</v>
      </c>
      <c r="R227" s="6" t="s">
        <v>42</v>
      </c>
      <c r="S227" s="8">
        <v>1000000</v>
      </c>
      <c r="T227" s="6" t="s">
        <v>42</v>
      </c>
      <c r="U227" s="8">
        <v>1360383.89</v>
      </c>
      <c r="V227" s="6" t="s">
        <v>39</v>
      </c>
      <c r="W227" s="6" t="s">
        <v>39</v>
      </c>
      <c r="X227" s="6" t="s">
        <v>39</v>
      </c>
      <c r="Y227" s="6" t="s">
        <v>39</v>
      </c>
      <c r="Z227" s="6" t="s">
        <v>39</v>
      </c>
      <c r="AA227" s="6"/>
      <c r="AB227" s="6" t="s">
        <v>39</v>
      </c>
      <c r="AC227" s="6" t="s">
        <v>39</v>
      </c>
      <c r="AD227" s="6" t="s">
        <v>39</v>
      </c>
      <c r="AE227" s="6" t="s">
        <v>39</v>
      </c>
      <c r="AF227" s="7"/>
      <c r="AG227" s="7"/>
      <c r="AH227" s="6" t="s">
        <v>39</v>
      </c>
    </row>
    <row r="228" spans="1:34" outlineLevel="1" x14ac:dyDescent="0.35">
      <c r="A228" s="6" t="s">
        <v>39</v>
      </c>
      <c r="B228" s="6" t="s">
        <v>39</v>
      </c>
      <c r="C228" s="6" t="s">
        <v>39</v>
      </c>
      <c r="D228" s="6" t="s">
        <v>39</v>
      </c>
      <c r="E228" s="6" t="s">
        <v>39</v>
      </c>
      <c r="F228" s="6" t="s">
        <v>39</v>
      </c>
      <c r="G228" s="7"/>
      <c r="H228" s="6" t="s">
        <v>39</v>
      </c>
      <c r="I228" s="6" t="s">
        <v>39</v>
      </c>
      <c r="J228" s="7"/>
      <c r="K228" s="7"/>
      <c r="L228" s="6" t="s">
        <v>39</v>
      </c>
      <c r="M228" s="6" t="s">
        <v>39</v>
      </c>
      <c r="N228" s="6" t="s">
        <v>39</v>
      </c>
      <c r="O228" s="6" t="s">
        <v>39</v>
      </c>
      <c r="P228" s="6" t="s">
        <v>39</v>
      </c>
      <c r="Q228" s="6" t="s">
        <v>39</v>
      </c>
      <c r="R228" s="6" t="s">
        <v>41</v>
      </c>
      <c r="S228" s="8">
        <v>4391.24</v>
      </c>
      <c r="T228" s="6" t="s">
        <v>39</v>
      </c>
      <c r="U228" s="9"/>
      <c r="V228" s="6" t="s">
        <v>39</v>
      </c>
      <c r="W228" s="6" t="s">
        <v>39</v>
      </c>
      <c r="X228" s="6" t="s">
        <v>39</v>
      </c>
      <c r="Y228" s="6" t="s">
        <v>39</v>
      </c>
      <c r="Z228" s="6" t="s">
        <v>39</v>
      </c>
      <c r="AA228" s="6"/>
      <c r="AB228" s="6" t="s">
        <v>39</v>
      </c>
      <c r="AC228" s="6" t="s">
        <v>39</v>
      </c>
      <c r="AD228" s="6" t="s">
        <v>39</v>
      </c>
      <c r="AE228" s="6" t="s">
        <v>39</v>
      </c>
      <c r="AF228" s="7"/>
      <c r="AG228" s="7"/>
      <c r="AH228" s="6" t="s">
        <v>39</v>
      </c>
    </row>
    <row r="229" spans="1:34" x14ac:dyDescent="0.35">
      <c r="A229" s="10" t="s">
        <v>39</v>
      </c>
      <c r="B229" s="10" t="s">
        <v>39</v>
      </c>
      <c r="C229" s="10" t="s">
        <v>39</v>
      </c>
      <c r="D229" s="10" t="s">
        <v>39</v>
      </c>
      <c r="E229" s="10" t="s">
        <v>39</v>
      </c>
      <c r="F229" s="10" t="s">
        <v>39</v>
      </c>
      <c r="G229" s="11"/>
      <c r="H229" s="10" t="s">
        <v>39</v>
      </c>
      <c r="I229" s="10" t="s">
        <v>39</v>
      </c>
      <c r="J229" s="11"/>
      <c r="K229" s="11"/>
      <c r="L229" s="10" t="s">
        <v>39</v>
      </c>
      <c r="M229" s="10" t="s">
        <v>39</v>
      </c>
      <c r="N229" s="10" t="s">
        <v>39</v>
      </c>
      <c r="O229" s="10" t="s">
        <v>39</v>
      </c>
      <c r="P229" s="10" t="s">
        <v>39</v>
      </c>
      <c r="Q229" s="10" t="s">
        <v>39</v>
      </c>
      <c r="R229" s="10" t="s">
        <v>42</v>
      </c>
      <c r="S229" s="12">
        <v>1000000</v>
      </c>
      <c r="T229" s="10" t="s">
        <v>42</v>
      </c>
      <c r="U229" s="12">
        <v>1360383.89</v>
      </c>
      <c r="V229" s="10" t="s">
        <v>39</v>
      </c>
      <c r="W229" s="10" t="s">
        <v>39</v>
      </c>
      <c r="X229" s="10" t="s">
        <v>39</v>
      </c>
      <c r="Y229" s="10" t="s">
        <v>39</v>
      </c>
      <c r="Z229" s="10" t="s">
        <v>39</v>
      </c>
      <c r="AA229" s="10"/>
      <c r="AB229" s="10" t="s">
        <v>39</v>
      </c>
      <c r="AC229" s="10" t="s">
        <v>39</v>
      </c>
      <c r="AD229" s="10" t="s">
        <v>39</v>
      </c>
      <c r="AE229" s="10" t="s">
        <v>39</v>
      </c>
      <c r="AF229" s="11"/>
      <c r="AG229" s="11"/>
      <c r="AH229" s="10" t="s">
        <v>39</v>
      </c>
    </row>
    <row r="230" spans="1:34" x14ac:dyDescent="0.35">
      <c r="A230" s="10" t="s">
        <v>39</v>
      </c>
      <c r="B230" s="10" t="s">
        <v>39</v>
      </c>
      <c r="C230" s="10" t="s">
        <v>39</v>
      </c>
      <c r="D230" s="10" t="s">
        <v>39</v>
      </c>
      <c r="E230" s="10" t="s">
        <v>39</v>
      </c>
      <c r="F230" s="10" t="s">
        <v>39</v>
      </c>
      <c r="G230" s="11"/>
      <c r="H230" s="10" t="s">
        <v>39</v>
      </c>
      <c r="I230" s="10" t="s">
        <v>39</v>
      </c>
      <c r="J230" s="11"/>
      <c r="K230" s="11"/>
      <c r="L230" s="10" t="s">
        <v>39</v>
      </c>
      <c r="M230" s="10" t="s">
        <v>39</v>
      </c>
      <c r="N230" s="10" t="s">
        <v>39</v>
      </c>
      <c r="O230" s="10" t="s">
        <v>39</v>
      </c>
      <c r="P230" s="10" t="s">
        <v>39</v>
      </c>
      <c r="Q230" s="10" t="s">
        <v>39</v>
      </c>
      <c r="R230" s="10" t="s">
        <v>41</v>
      </c>
      <c r="S230" s="12">
        <v>4391.24</v>
      </c>
      <c r="T230" s="10" t="s">
        <v>39</v>
      </c>
      <c r="U230" s="13"/>
      <c r="V230" s="10" t="s">
        <v>39</v>
      </c>
      <c r="W230" s="10" t="s">
        <v>39</v>
      </c>
      <c r="X230" s="10" t="s">
        <v>39</v>
      </c>
      <c r="Y230" s="10" t="s">
        <v>39</v>
      </c>
      <c r="Z230" s="10" t="s">
        <v>39</v>
      </c>
      <c r="AA230" s="10"/>
      <c r="AB230" s="10" t="s">
        <v>39</v>
      </c>
      <c r="AC230" s="10" t="s">
        <v>39</v>
      </c>
      <c r="AD230" s="10" t="s">
        <v>39</v>
      </c>
      <c r="AE230" s="10" t="s">
        <v>39</v>
      </c>
      <c r="AF230" s="11"/>
      <c r="AG230" s="11"/>
      <c r="AH230" s="10" t="s">
        <v>39</v>
      </c>
    </row>
  </sheetData>
  <autoFilter ref="H1:AH226" xr:uid="{C7AF5EAD-5B88-4537-AD97-FD3DF26F7874}">
    <sortState xmlns:xlrd2="http://schemas.microsoft.com/office/spreadsheetml/2017/richdata2" ref="H2:AH230">
      <sortCondition ref="J1:J226"/>
    </sortState>
  </autoFilter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56FB-499F-47B6-AFF9-7A34EAE5EB41}">
  <dimension ref="A1:G154"/>
  <sheetViews>
    <sheetView topLeftCell="A128" workbookViewId="0">
      <selection activeCell="F154" sqref="F154"/>
    </sheetView>
  </sheetViews>
  <sheetFormatPr defaultRowHeight="14.5" x14ac:dyDescent="0.35"/>
  <cols>
    <col min="1" max="1" width="16.7265625" bestFit="1" customWidth="1"/>
    <col min="2" max="2" width="13.08984375" customWidth="1"/>
    <col min="3" max="3" width="9.7265625" bestFit="1" customWidth="1"/>
    <col min="4" max="4" width="9.81640625" bestFit="1" customWidth="1"/>
    <col min="5" max="5" width="9.7265625" bestFit="1" customWidth="1"/>
    <col min="6" max="6" width="8.81640625" bestFit="1" customWidth="1"/>
    <col min="7" max="7" width="4.54296875" bestFit="1" customWidth="1"/>
  </cols>
  <sheetData>
    <row r="1" spans="1:7" x14ac:dyDescent="0.35">
      <c r="F1" s="36">
        <f>SUM(F3:F153)</f>
        <v>3385.1758888888876</v>
      </c>
    </row>
    <row r="2" spans="1:7" s="104" customFormat="1" ht="29" x14ac:dyDescent="0.35">
      <c r="A2" s="99" t="s">
        <v>516</v>
      </c>
      <c r="B2" s="100" t="s">
        <v>558</v>
      </c>
      <c r="C2" s="101" t="s">
        <v>518</v>
      </c>
      <c r="D2" s="101" t="s">
        <v>519</v>
      </c>
      <c r="E2" s="102" t="s">
        <v>521</v>
      </c>
      <c r="F2" s="103" t="s">
        <v>556</v>
      </c>
      <c r="G2" s="103" t="s">
        <v>557</v>
      </c>
    </row>
    <row r="3" spans="1:7" x14ac:dyDescent="0.35">
      <c r="A3" s="16">
        <v>246779410007</v>
      </c>
      <c r="B3" s="43">
        <v>45708</v>
      </c>
      <c r="C3" s="17"/>
      <c r="D3" s="18">
        <v>1071.43</v>
      </c>
      <c r="E3" s="22">
        <f>_xlfn.XLOOKUP(A3,'CL Ledger'!$M:$M,'CL Ledger'!$AA:$AA,,0)</f>
        <v>1190.48</v>
      </c>
      <c r="F3" s="97">
        <f>E3-D3</f>
        <v>119.04999999999995</v>
      </c>
      <c r="G3" s="98">
        <f>F3/E3</f>
        <v>0.10000167999462398</v>
      </c>
    </row>
    <row r="4" spans="1:7" x14ac:dyDescent="0.35">
      <c r="A4" s="16">
        <v>246779410138</v>
      </c>
      <c r="B4" s="43">
        <v>45708</v>
      </c>
      <c r="C4" s="17"/>
      <c r="D4" s="18">
        <v>1071.43</v>
      </c>
      <c r="E4" s="22">
        <f>_xlfn.XLOOKUP(A4,'CL Ledger'!$M:$M,'CL Ledger'!$AA:$AA,,0)</f>
        <v>1190.48</v>
      </c>
      <c r="F4" s="97">
        <f t="shared" ref="F4:F67" si="0">E4-D4</f>
        <v>119.04999999999995</v>
      </c>
      <c r="G4" s="98">
        <f t="shared" ref="G4:G67" si="1">F4/E4</f>
        <v>0.10000167999462398</v>
      </c>
    </row>
    <row r="5" spans="1:7" x14ac:dyDescent="0.35">
      <c r="A5" s="16">
        <v>246779410095</v>
      </c>
      <c r="B5" s="43">
        <v>45708</v>
      </c>
      <c r="C5" s="17"/>
      <c r="D5" s="18">
        <v>1071.43</v>
      </c>
      <c r="E5" s="22">
        <f>_xlfn.XLOOKUP(A5,'CL Ledger'!$M:$M,'CL Ledger'!$AA:$AA,,0)</f>
        <v>1190.48</v>
      </c>
      <c r="F5" s="97">
        <f t="shared" si="0"/>
        <v>119.04999999999995</v>
      </c>
      <c r="G5" s="98">
        <f t="shared" si="1"/>
        <v>0.10000167999462398</v>
      </c>
    </row>
    <row r="6" spans="1:7" x14ac:dyDescent="0.35">
      <c r="A6" s="16">
        <v>246779410274</v>
      </c>
      <c r="B6" s="43">
        <v>45708</v>
      </c>
      <c r="C6" s="17"/>
      <c r="D6" s="18">
        <v>1071.43</v>
      </c>
      <c r="E6" s="22">
        <f>_xlfn.XLOOKUP(A6,'CL Ledger'!$M:$M,'CL Ledger'!$AA:$AA,,0)</f>
        <v>1190.48</v>
      </c>
      <c r="F6" s="97">
        <f t="shared" si="0"/>
        <v>119.04999999999995</v>
      </c>
      <c r="G6" s="98">
        <f t="shared" si="1"/>
        <v>0.10000167999462398</v>
      </c>
    </row>
    <row r="7" spans="1:7" x14ac:dyDescent="0.35">
      <c r="A7" s="16">
        <v>246779410027</v>
      </c>
      <c r="B7" s="43">
        <v>45708</v>
      </c>
      <c r="C7" s="17"/>
      <c r="D7" s="18">
        <v>1071.43</v>
      </c>
      <c r="E7" s="22">
        <f>_xlfn.XLOOKUP(A7,'CL Ledger'!$M:$M,'CL Ledger'!$AA:$AA,,0)</f>
        <v>1190.48</v>
      </c>
      <c r="F7" s="97">
        <f t="shared" si="0"/>
        <v>119.04999999999995</v>
      </c>
      <c r="G7" s="98">
        <f t="shared" si="1"/>
        <v>0.10000167999462398</v>
      </c>
    </row>
    <row r="8" spans="1:7" x14ac:dyDescent="0.35">
      <c r="A8" s="16">
        <v>246779410181</v>
      </c>
      <c r="B8" s="43">
        <v>45708</v>
      </c>
      <c r="C8" s="17"/>
      <c r="D8" s="18">
        <v>1049.9299999999998</v>
      </c>
      <c r="E8" s="22">
        <f>_xlfn.XLOOKUP(A8,'CL Ledger'!$M:$M,'CL Ledger'!$AA:$AA,,0)</f>
        <v>1166.5899999999999</v>
      </c>
      <c r="F8" s="97">
        <f t="shared" si="0"/>
        <v>116.66000000000008</v>
      </c>
      <c r="G8" s="98">
        <f t="shared" si="1"/>
        <v>0.10000085719918746</v>
      </c>
    </row>
    <row r="9" spans="1:7" x14ac:dyDescent="0.35">
      <c r="A9" s="16">
        <v>246779410224</v>
      </c>
      <c r="B9" s="43">
        <v>45708</v>
      </c>
      <c r="C9" s="17"/>
      <c r="D9" s="18">
        <v>1028.81</v>
      </c>
      <c r="E9" s="22">
        <f>_xlfn.XLOOKUP(A9,'CL Ledger'!$M:$M,'CL Ledger'!$AA:$AA,,0)</f>
        <v>1143.1199999999999</v>
      </c>
      <c r="F9" s="97">
        <f t="shared" si="0"/>
        <v>114.30999999999995</v>
      </c>
      <c r="G9" s="98">
        <f t="shared" si="1"/>
        <v>9.999825040240741E-2</v>
      </c>
    </row>
    <row r="10" spans="1:7" x14ac:dyDescent="0.35">
      <c r="A10" s="23">
        <v>246779410614</v>
      </c>
      <c r="B10" s="45">
        <v>45719</v>
      </c>
      <c r="C10" s="22"/>
      <c r="D10" s="24">
        <v>2.2000000000000002</v>
      </c>
      <c r="E10" s="22">
        <f>_xlfn.XLOOKUP(A10,'CL Ledger'!$M:$M,'CL Ledger'!$AA:$AA,,0)</f>
        <v>2.25</v>
      </c>
      <c r="F10" s="97">
        <f t="shared" si="0"/>
        <v>4.9999999999999822E-2</v>
      </c>
      <c r="G10" s="98">
        <f t="shared" si="1"/>
        <v>2.2222222222222143E-2</v>
      </c>
    </row>
    <row r="11" spans="1:7" x14ac:dyDescent="0.35">
      <c r="A11" s="25">
        <v>246779410615</v>
      </c>
      <c r="B11" s="46">
        <v>45719</v>
      </c>
      <c r="C11" s="22"/>
      <c r="D11" s="26">
        <v>8.81</v>
      </c>
      <c r="E11" s="22">
        <f>_xlfn.XLOOKUP(A11,'CL Ledger'!$M:$M,'CL Ledger'!$AA:$AA,,0)</f>
        <v>9</v>
      </c>
      <c r="F11" s="97">
        <f t="shared" si="0"/>
        <v>0.1899999999999995</v>
      </c>
      <c r="G11" s="98">
        <f t="shared" si="1"/>
        <v>2.1111111111111056E-2</v>
      </c>
    </row>
    <row r="12" spans="1:7" x14ac:dyDescent="0.35">
      <c r="A12" s="23">
        <v>246779410511</v>
      </c>
      <c r="B12" s="45">
        <v>45719</v>
      </c>
      <c r="C12" s="22"/>
      <c r="D12" s="24">
        <v>13.63</v>
      </c>
      <c r="E12" s="22">
        <f>_xlfn.XLOOKUP(A12,'CL Ledger'!$M:$M,'CL Ledger'!$AA:$AA,,0)</f>
        <v>13.91</v>
      </c>
      <c r="F12" s="97">
        <f t="shared" si="0"/>
        <v>0.27999999999999936</v>
      </c>
      <c r="G12" s="98">
        <f t="shared" si="1"/>
        <v>2.0129403306973354E-2</v>
      </c>
    </row>
    <row r="13" spans="1:7" x14ac:dyDescent="0.35">
      <c r="A13" s="23">
        <v>246779410510</v>
      </c>
      <c r="B13" s="45">
        <v>45719</v>
      </c>
      <c r="C13" s="22"/>
      <c r="D13" s="24">
        <v>191</v>
      </c>
      <c r="E13" s="22">
        <f>_xlfn.XLOOKUP(A13,'CL Ledger'!$M:$M,'CL Ledger'!$AA:$AA,,0)</f>
        <v>194.9</v>
      </c>
      <c r="F13" s="97">
        <f t="shared" si="0"/>
        <v>3.9000000000000057</v>
      </c>
      <c r="G13" s="98">
        <f t="shared" si="1"/>
        <v>2.0010261672652671E-2</v>
      </c>
    </row>
    <row r="14" spans="1:7" x14ac:dyDescent="0.35">
      <c r="A14" s="30">
        <v>246779410368</v>
      </c>
      <c r="B14" s="44">
        <v>45719</v>
      </c>
      <c r="C14" s="22"/>
      <c r="D14" s="24">
        <v>320.78000000000003</v>
      </c>
      <c r="E14" s="22">
        <f>_xlfn.XLOOKUP(A14,'CL Ledger'!$M:$M,'CL Ledger'!$AA:$AA,,0)</f>
        <v>356.43</v>
      </c>
      <c r="F14" s="97">
        <f t="shared" si="0"/>
        <v>35.649999999999977</v>
      </c>
      <c r="G14" s="98">
        <f t="shared" si="1"/>
        <v>0.10001963919984282</v>
      </c>
    </row>
    <row r="15" spans="1:7" x14ac:dyDescent="0.35">
      <c r="A15" s="30">
        <v>246779410394</v>
      </c>
      <c r="B15" s="44">
        <v>45719</v>
      </c>
      <c r="C15" s="22"/>
      <c r="D15" s="24">
        <v>455.27</v>
      </c>
      <c r="E15" s="22">
        <f>_xlfn.XLOOKUP(A15,'CL Ledger'!$M:$M,'CL Ledger'!$AA:$AA,,0)</f>
        <v>505.86</v>
      </c>
      <c r="F15" s="97">
        <f t="shared" si="0"/>
        <v>50.590000000000032</v>
      </c>
      <c r="G15" s="98">
        <f t="shared" si="1"/>
        <v>0.10000790732613772</v>
      </c>
    </row>
    <row r="16" spans="1:7" x14ac:dyDescent="0.35">
      <c r="A16" s="30">
        <v>246779410418</v>
      </c>
      <c r="B16" s="44">
        <v>45719</v>
      </c>
      <c r="C16" s="22"/>
      <c r="D16" s="24">
        <v>506.34000000000003</v>
      </c>
      <c r="E16" s="22">
        <f>_xlfn.XLOOKUP(A16,'CL Ledger'!$M:$M,'CL Ledger'!$AA:$AA,,0)</f>
        <v>562.6</v>
      </c>
      <c r="F16" s="97">
        <f t="shared" si="0"/>
        <v>56.259999999999991</v>
      </c>
      <c r="G16" s="98">
        <f t="shared" si="1"/>
        <v>9.9999999999999978E-2</v>
      </c>
    </row>
    <row r="17" spans="1:7" x14ac:dyDescent="0.35">
      <c r="A17" s="32">
        <v>246779410865</v>
      </c>
      <c r="B17" s="44">
        <v>45719</v>
      </c>
      <c r="C17" s="22"/>
      <c r="D17" s="24">
        <v>370.90000000000003</v>
      </c>
      <c r="E17" s="22">
        <f>_xlfn.XLOOKUP(A17,'CL Ledger'!$M:$M,'CL Ledger'!$AA:$AA,,0)</f>
        <v>412.11</v>
      </c>
      <c r="F17" s="97">
        <f t="shared" si="0"/>
        <v>41.20999999999998</v>
      </c>
      <c r="G17" s="98">
        <f t="shared" si="1"/>
        <v>9.9997573463395648E-2</v>
      </c>
    </row>
    <row r="18" spans="1:7" x14ac:dyDescent="0.35">
      <c r="A18" s="32">
        <v>246779410888</v>
      </c>
      <c r="B18" s="44">
        <v>45719</v>
      </c>
      <c r="C18" s="22"/>
      <c r="D18" s="24">
        <v>401.74</v>
      </c>
      <c r="E18" s="22">
        <f>_xlfn.XLOOKUP(A18,'CL Ledger'!$M:$M,'CL Ledger'!$AA:$AA,,0)</f>
        <v>446.38</v>
      </c>
      <c r="F18" s="97">
        <f t="shared" si="0"/>
        <v>44.639999999999986</v>
      </c>
      <c r="G18" s="98">
        <f t="shared" si="1"/>
        <v>0.10000448048747701</v>
      </c>
    </row>
    <row r="19" spans="1:7" x14ac:dyDescent="0.35">
      <c r="A19" s="16">
        <v>246779410509</v>
      </c>
      <c r="B19" s="43">
        <v>45719</v>
      </c>
      <c r="C19" s="22"/>
      <c r="D19" s="17">
        <v>28.66</v>
      </c>
      <c r="E19" s="22">
        <f>_xlfn.XLOOKUP(A19,'CL Ledger'!$M:$M,'CL Ledger'!$AA:$AA,,0)</f>
        <v>29.25</v>
      </c>
      <c r="F19" s="97">
        <f t="shared" si="0"/>
        <v>0.58999999999999986</v>
      </c>
      <c r="G19" s="98">
        <f t="shared" si="1"/>
        <v>2.0170940170940167E-2</v>
      </c>
    </row>
    <row r="20" spans="1:7" x14ac:dyDescent="0.35">
      <c r="A20" s="23">
        <v>246779410694</v>
      </c>
      <c r="B20" s="45">
        <v>45720</v>
      </c>
      <c r="C20" s="22"/>
      <c r="D20" s="24">
        <v>58.17</v>
      </c>
      <c r="E20" s="22">
        <f>_xlfn.XLOOKUP(A20,'CL Ledger'!$M:$M,'CL Ledger'!$AA:$AA,,0)</f>
        <v>59.36</v>
      </c>
      <c r="F20" s="97">
        <f t="shared" si="0"/>
        <v>1.1899999999999977</v>
      </c>
      <c r="G20" s="98">
        <f t="shared" si="1"/>
        <v>2.0047169811320716E-2</v>
      </c>
    </row>
    <row r="21" spans="1:7" x14ac:dyDescent="0.35">
      <c r="A21" s="23">
        <v>246779410975</v>
      </c>
      <c r="B21" s="45">
        <v>45722</v>
      </c>
      <c r="C21" s="22"/>
      <c r="D21" s="24">
        <v>28.330000000000002</v>
      </c>
      <c r="E21" s="22">
        <f>_xlfn.XLOOKUP(A21,'CL Ledger'!$M:$M,'CL Ledger'!$AA:$AA,,0)</f>
        <v>28.91</v>
      </c>
      <c r="F21" s="97">
        <f t="shared" si="0"/>
        <v>0.57999999999999829</v>
      </c>
      <c r="G21" s="98">
        <f t="shared" si="1"/>
        <v>2.0062262193012739E-2</v>
      </c>
    </row>
    <row r="22" spans="1:7" x14ac:dyDescent="0.35">
      <c r="A22" s="25">
        <v>246779410976</v>
      </c>
      <c r="B22" s="46">
        <v>45722</v>
      </c>
      <c r="C22" s="22"/>
      <c r="D22" s="26">
        <v>23.51</v>
      </c>
      <c r="E22" s="22">
        <f>_xlfn.XLOOKUP(A22,'CL Ledger'!$M:$M,'CL Ledger'!$AA:$AA,,0)</f>
        <v>24</v>
      </c>
      <c r="F22" s="97">
        <f t="shared" si="0"/>
        <v>0.48999999999999844</v>
      </c>
      <c r="G22" s="98">
        <f t="shared" si="1"/>
        <v>2.04166666666666E-2</v>
      </c>
    </row>
    <row r="23" spans="1:7" x14ac:dyDescent="0.35">
      <c r="A23" s="23">
        <v>246779411190</v>
      </c>
      <c r="B23" s="45">
        <v>45722</v>
      </c>
      <c r="C23" s="22"/>
      <c r="D23" s="24">
        <v>16.899999999999999</v>
      </c>
      <c r="E23" s="22">
        <f>_xlfn.XLOOKUP(A23,'CL Ledger'!$M:$M,'CL Ledger'!$AA:$AA,,0)</f>
        <v>17.25</v>
      </c>
      <c r="F23" s="97">
        <f t="shared" si="0"/>
        <v>0.35000000000000142</v>
      </c>
      <c r="G23" s="98">
        <f t="shared" si="1"/>
        <v>2.028985507246385E-2</v>
      </c>
    </row>
    <row r="24" spans="1:7" x14ac:dyDescent="0.35">
      <c r="A24" s="23">
        <v>246779411191</v>
      </c>
      <c r="B24" s="45">
        <v>45722</v>
      </c>
      <c r="C24" s="22"/>
      <c r="D24" s="24">
        <v>25.63</v>
      </c>
      <c r="E24" s="22">
        <f>_xlfn.XLOOKUP(A24,'CL Ledger'!$M:$M,'CL Ledger'!$AA:$AA,,0)</f>
        <v>26.15</v>
      </c>
      <c r="F24" s="97">
        <f t="shared" si="0"/>
        <v>0.51999999999999957</v>
      </c>
      <c r="G24" s="98">
        <f t="shared" si="1"/>
        <v>1.9885277246653905E-2</v>
      </c>
    </row>
    <row r="25" spans="1:7" x14ac:dyDescent="0.35">
      <c r="A25" s="23">
        <v>246779412242</v>
      </c>
      <c r="B25" s="45">
        <v>45730</v>
      </c>
      <c r="C25" s="22"/>
      <c r="D25" s="24">
        <v>4.67</v>
      </c>
      <c r="E25" s="22">
        <f>_xlfn.XLOOKUP(A25,'CL Ledger'!$M:$M,'CL Ledger'!$AA:$AA,,0)</f>
        <v>4.7699999999999996</v>
      </c>
      <c r="F25" s="97">
        <f t="shared" si="0"/>
        <v>9.9999999999999645E-2</v>
      </c>
      <c r="G25" s="98">
        <f t="shared" si="1"/>
        <v>2.0964360587002025E-2</v>
      </c>
    </row>
    <row r="26" spans="1:7" x14ac:dyDescent="0.35">
      <c r="A26" s="23">
        <v>246779412243</v>
      </c>
      <c r="B26" s="45">
        <v>45730</v>
      </c>
      <c r="C26" s="22"/>
      <c r="D26" s="24">
        <v>1.8699999999999999</v>
      </c>
      <c r="E26" s="22">
        <f>_xlfn.XLOOKUP(A26,'CL Ledger'!$M:$M,'CL Ledger'!$AA:$AA,,0)</f>
        <v>1.91</v>
      </c>
      <c r="F26" s="97">
        <f t="shared" si="0"/>
        <v>4.0000000000000036E-2</v>
      </c>
      <c r="G26" s="98">
        <f t="shared" si="1"/>
        <v>2.0942408376963369E-2</v>
      </c>
    </row>
    <row r="27" spans="1:7" x14ac:dyDescent="0.35">
      <c r="A27" s="23">
        <v>246779412244</v>
      </c>
      <c r="B27" s="45">
        <v>45730</v>
      </c>
      <c r="C27" s="22"/>
      <c r="D27" s="24">
        <v>1.8699999999999999</v>
      </c>
      <c r="E27" s="22">
        <f>_xlfn.XLOOKUP(A27,'CL Ledger'!$M:$M,'CL Ledger'!$AA:$AA,,0)</f>
        <v>1.91</v>
      </c>
      <c r="F27" s="97">
        <f t="shared" si="0"/>
        <v>4.0000000000000036E-2</v>
      </c>
      <c r="G27" s="98">
        <f t="shared" si="1"/>
        <v>2.0942408376963369E-2</v>
      </c>
    </row>
    <row r="28" spans="1:7" x14ac:dyDescent="0.35">
      <c r="A28" s="23">
        <v>246779412245</v>
      </c>
      <c r="B28" s="45">
        <v>45730</v>
      </c>
      <c r="C28" s="22"/>
      <c r="D28" s="24">
        <v>4.68</v>
      </c>
      <c r="E28" s="22">
        <f>_xlfn.XLOOKUP(A28,'CL Ledger'!$M:$M,'CL Ledger'!$AA:$AA,,0)</f>
        <v>4.7699999999999996</v>
      </c>
      <c r="F28" s="97">
        <f t="shared" si="0"/>
        <v>8.9999999999999858E-2</v>
      </c>
      <c r="G28" s="98">
        <f t="shared" si="1"/>
        <v>1.8867924528301858E-2</v>
      </c>
    </row>
    <row r="29" spans="1:7" x14ac:dyDescent="0.35">
      <c r="A29" s="23">
        <v>246779411622</v>
      </c>
      <c r="B29" s="45">
        <v>45733</v>
      </c>
      <c r="C29" s="22"/>
      <c r="D29" s="24">
        <v>3.7399999999999998</v>
      </c>
      <c r="E29" s="22">
        <f>_xlfn.XLOOKUP(A29,'CL Ledger'!$M:$M,'CL Ledger'!$AA:$AA,,0)</f>
        <v>3.82</v>
      </c>
      <c r="F29" s="97">
        <f t="shared" si="0"/>
        <v>8.0000000000000071E-2</v>
      </c>
      <c r="G29" s="98">
        <f t="shared" si="1"/>
        <v>2.0942408376963369E-2</v>
      </c>
    </row>
    <row r="30" spans="1:7" x14ac:dyDescent="0.35">
      <c r="A30" s="23">
        <v>246779411623</v>
      </c>
      <c r="B30" s="45">
        <v>45733</v>
      </c>
      <c r="C30" s="22"/>
      <c r="D30" s="24">
        <v>1.8699999999999999</v>
      </c>
      <c r="E30" s="22">
        <f>_xlfn.XLOOKUP(A30,'CL Ledger'!$M:$M,'CL Ledger'!$AA:$AA,,0)</f>
        <v>1.91</v>
      </c>
      <c r="F30" s="97">
        <f t="shared" si="0"/>
        <v>4.0000000000000036E-2</v>
      </c>
      <c r="G30" s="98">
        <f t="shared" si="1"/>
        <v>2.0942408376963369E-2</v>
      </c>
    </row>
    <row r="31" spans="1:7" x14ac:dyDescent="0.35">
      <c r="A31" s="23">
        <v>246779412992</v>
      </c>
      <c r="B31" s="45">
        <v>45735</v>
      </c>
      <c r="C31" s="22"/>
      <c r="D31" s="24">
        <v>1033.7700000000002</v>
      </c>
      <c r="E31" s="22">
        <f>_xlfn.XLOOKUP(A31,'CL Ledger'!$M:$M,'CL Ledger'!$AA:$AA,,0)</f>
        <v>1148.6300000000001</v>
      </c>
      <c r="F31" s="97">
        <f t="shared" si="0"/>
        <v>114.8599999999999</v>
      </c>
      <c r="G31" s="98">
        <f t="shared" si="1"/>
        <v>9.9997388192890571E-2</v>
      </c>
    </row>
    <row r="32" spans="1:7" x14ac:dyDescent="0.35">
      <c r="A32" s="34">
        <v>246779414401</v>
      </c>
      <c r="B32" s="43">
        <v>45736</v>
      </c>
      <c r="C32" s="22"/>
      <c r="D32" s="17">
        <v>14.7</v>
      </c>
      <c r="E32" s="22">
        <f>_xlfn.XLOOKUP(A32,'CL Ledger'!$M:$M,'CL Ledger'!$AA:$AA,,0)</f>
        <v>15</v>
      </c>
      <c r="F32" s="97">
        <f t="shared" si="0"/>
        <v>0.30000000000000071</v>
      </c>
      <c r="G32" s="98">
        <f t="shared" si="1"/>
        <v>2.0000000000000049E-2</v>
      </c>
    </row>
    <row r="33" spans="1:7" x14ac:dyDescent="0.35">
      <c r="A33" s="34">
        <v>246779414400</v>
      </c>
      <c r="B33" s="43">
        <v>45736</v>
      </c>
      <c r="C33" s="22"/>
      <c r="D33" s="17">
        <v>79.33</v>
      </c>
      <c r="E33" s="22">
        <f>_xlfn.XLOOKUP(A33,'CL Ledger'!$M:$M,'CL Ledger'!$AA:$AA,,0)</f>
        <v>80.95</v>
      </c>
      <c r="F33" s="97">
        <f t="shared" si="0"/>
        <v>1.6200000000000045</v>
      </c>
      <c r="G33" s="98">
        <f t="shared" si="1"/>
        <v>2.0012353304509012E-2</v>
      </c>
    </row>
    <row r="34" spans="1:7" x14ac:dyDescent="0.35">
      <c r="A34" s="23">
        <v>246779412240</v>
      </c>
      <c r="B34" s="45">
        <v>45747</v>
      </c>
      <c r="C34" s="22"/>
      <c r="D34" s="24">
        <v>2.8</v>
      </c>
      <c r="E34" s="22">
        <f>_xlfn.XLOOKUP(A34,'CL Ledger'!$M:$M,'CL Ledger'!$AA:$AA,,0)</f>
        <v>2.86</v>
      </c>
      <c r="F34" s="97">
        <f t="shared" si="0"/>
        <v>6.0000000000000053E-2</v>
      </c>
      <c r="G34" s="98">
        <f t="shared" si="1"/>
        <v>2.0979020979020997E-2</v>
      </c>
    </row>
    <row r="35" spans="1:7" x14ac:dyDescent="0.35">
      <c r="A35" s="23">
        <v>246779411452</v>
      </c>
      <c r="B35" s="45">
        <v>45747</v>
      </c>
      <c r="C35" s="22"/>
      <c r="D35" s="24">
        <v>0.92999999999999994</v>
      </c>
      <c r="E35" s="22">
        <f>_xlfn.XLOOKUP(A35,'CL Ledger'!$M:$M,'CL Ledger'!$AA:$AA,,0)</f>
        <v>0.95</v>
      </c>
      <c r="F35" s="97">
        <f t="shared" si="0"/>
        <v>2.0000000000000018E-2</v>
      </c>
      <c r="G35" s="98">
        <f t="shared" si="1"/>
        <v>2.1052631578947389E-2</v>
      </c>
    </row>
    <row r="36" spans="1:7" x14ac:dyDescent="0.35">
      <c r="A36" s="23">
        <v>246779410856</v>
      </c>
      <c r="B36" s="45">
        <v>45748</v>
      </c>
      <c r="C36" s="22"/>
      <c r="D36" s="24">
        <v>17.95</v>
      </c>
      <c r="E36" s="22">
        <f>_xlfn.XLOOKUP(A36,'CL Ledger'!$M:$M,'CL Ledger'!$AA:$AA,,0)</f>
        <v>18.32</v>
      </c>
      <c r="F36" s="97">
        <f t="shared" si="0"/>
        <v>0.37000000000000099</v>
      </c>
      <c r="G36" s="98">
        <f t="shared" si="1"/>
        <v>2.0196506550218395E-2</v>
      </c>
    </row>
    <row r="37" spans="1:7" x14ac:dyDescent="0.35">
      <c r="A37" s="23">
        <v>246779411253</v>
      </c>
      <c r="B37" s="45">
        <v>45748</v>
      </c>
      <c r="C37" s="22"/>
      <c r="D37" s="24">
        <v>19.600000000000001</v>
      </c>
      <c r="E37" s="22">
        <f>_xlfn.XLOOKUP(A37,'CL Ledger'!$M:$M,'CL Ledger'!$AA:$AA,,0)</f>
        <v>20</v>
      </c>
      <c r="F37" s="97">
        <f t="shared" si="0"/>
        <v>0.39999999999999858</v>
      </c>
      <c r="G37" s="98">
        <f t="shared" si="1"/>
        <v>1.9999999999999928E-2</v>
      </c>
    </row>
    <row r="38" spans="1:7" x14ac:dyDescent="0.35">
      <c r="A38" s="23">
        <v>246779411056</v>
      </c>
      <c r="B38" s="45">
        <v>45748</v>
      </c>
      <c r="C38" s="22"/>
      <c r="D38" s="24">
        <v>58.17</v>
      </c>
      <c r="E38" s="22">
        <f>_xlfn.XLOOKUP(A38,'CL Ledger'!$M:$M,'CL Ledger'!$AA:$AA,,0)</f>
        <v>59.36</v>
      </c>
      <c r="F38" s="97">
        <f t="shared" si="0"/>
        <v>1.1899999999999977</v>
      </c>
      <c r="G38" s="98">
        <f t="shared" si="1"/>
        <v>2.0047169811320716E-2</v>
      </c>
    </row>
    <row r="39" spans="1:7" x14ac:dyDescent="0.35">
      <c r="A39" s="23">
        <v>246779411485</v>
      </c>
      <c r="B39" s="45">
        <v>45748</v>
      </c>
      <c r="C39" s="22"/>
      <c r="D39" s="24">
        <v>98</v>
      </c>
      <c r="E39" s="22">
        <f>_xlfn.XLOOKUP(A39,'CL Ledger'!$M:$M,'CL Ledger'!$AA:$AA,,0)</f>
        <v>100</v>
      </c>
      <c r="F39" s="97">
        <f t="shared" si="0"/>
        <v>2</v>
      </c>
      <c r="G39" s="98">
        <f t="shared" si="1"/>
        <v>0.02</v>
      </c>
    </row>
    <row r="40" spans="1:7" x14ac:dyDescent="0.35">
      <c r="A40" s="23">
        <v>246779414225</v>
      </c>
      <c r="B40" s="45">
        <v>45748</v>
      </c>
      <c r="C40" s="22"/>
      <c r="D40" s="24">
        <v>13.23</v>
      </c>
      <c r="E40" s="22">
        <f>_xlfn.XLOOKUP(A40,'CL Ledger'!$M:$M,'CL Ledger'!$AA:$AA,,0)</f>
        <v>13.5</v>
      </c>
      <c r="F40" s="97">
        <f t="shared" si="0"/>
        <v>0.26999999999999957</v>
      </c>
      <c r="G40" s="98">
        <f t="shared" si="1"/>
        <v>1.9999999999999969E-2</v>
      </c>
    </row>
    <row r="41" spans="1:7" x14ac:dyDescent="0.35">
      <c r="A41" s="23">
        <v>246779414607</v>
      </c>
      <c r="B41" s="45">
        <v>45748</v>
      </c>
      <c r="C41" s="22"/>
      <c r="D41" s="24">
        <v>2.2000000000000002</v>
      </c>
      <c r="E41" s="22">
        <f>_xlfn.XLOOKUP(A41,'CL Ledger'!$M:$M,'CL Ledger'!$AA:$AA,,0)</f>
        <v>2.25</v>
      </c>
      <c r="F41" s="97">
        <f t="shared" si="0"/>
        <v>4.9999999999999822E-2</v>
      </c>
      <c r="G41" s="98">
        <f t="shared" si="1"/>
        <v>2.2222222222222143E-2</v>
      </c>
    </row>
    <row r="42" spans="1:7" x14ac:dyDescent="0.35">
      <c r="A42" s="23">
        <v>246779414738</v>
      </c>
      <c r="B42" s="45">
        <v>45748</v>
      </c>
      <c r="C42" s="22"/>
      <c r="D42" s="24">
        <v>2.2000000000000002</v>
      </c>
      <c r="E42" s="22">
        <f>_xlfn.XLOOKUP(A42,'CL Ledger'!$M:$M,'CL Ledger'!$AA:$AA,,0)</f>
        <v>2.25</v>
      </c>
      <c r="F42" s="97">
        <f t="shared" si="0"/>
        <v>4.9999999999999822E-2</v>
      </c>
      <c r="G42" s="98">
        <f t="shared" si="1"/>
        <v>2.2222222222222143E-2</v>
      </c>
    </row>
    <row r="43" spans="1:7" x14ac:dyDescent="0.35">
      <c r="A43" s="23">
        <v>246779414685</v>
      </c>
      <c r="B43" s="45">
        <v>45748</v>
      </c>
      <c r="C43" s="22"/>
      <c r="D43" s="24">
        <v>42.07</v>
      </c>
      <c r="E43" s="22">
        <f>_xlfn.XLOOKUP(A43,'CL Ledger'!$M:$M,'CL Ledger'!$AA:$AA,,0)</f>
        <v>42.93</v>
      </c>
      <c r="F43" s="97">
        <f t="shared" si="0"/>
        <v>0.85999999999999943</v>
      </c>
      <c r="G43" s="98">
        <f t="shared" si="1"/>
        <v>2.0032611227579766E-2</v>
      </c>
    </row>
    <row r="44" spans="1:7" x14ac:dyDescent="0.35">
      <c r="A44" s="23">
        <v>246779414739</v>
      </c>
      <c r="B44" s="45">
        <v>45748</v>
      </c>
      <c r="C44" s="22"/>
      <c r="D44" s="24">
        <v>0.73</v>
      </c>
      <c r="E44" s="22">
        <f>_xlfn.XLOOKUP(A44,'CL Ledger'!$M:$M,'CL Ledger'!$AA:$AA,,0)</f>
        <v>0.75</v>
      </c>
      <c r="F44" s="97">
        <f t="shared" si="0"/>
        <v>2.0000000000000018E-2</v>
      </c>
      <c r="G44" s="98">
        <f t="shared" si="1"/>
        <v>2.6666666666666689E-2</v>
      </c>
    </row>
    <row r="45" spans="1:7" x14ac:dyDescent="0.35">
      <c r="A45" s="23">
        <v>246779413953</v>
      </c>
      <c r="B45" s="45">
        <v>45748</v>
      </c>
      <c r="C45" s="22"/>
      <c r="D45" s="24">
        <v>2.94</v>
      </c>
      <c r="E45" s="22">
        <f>_xlfn.XLOOKUP(A45,'CL Ledger'!$M:$M,'CL Ledger'!$AA:$AA,,0)</f>
        <v>3</v>
      </c>
      <c r="F45" s="97">
        <f t="shared" si="0"/>
        <v>6.0000000000000053E-2</v>
      </c>
      <c r="G45" s="98">
        <f t="shared" si="1"/>
        <v>2.0000000000000018E-2</v>
      </c>
    </row>
    <row r="46" spans="1:7" x14ac:dyDescent="0.35">
      <c r="A46" s="23">
        <v>246779414794</v>
      </c>
      <c r="B46" s="45">
        <v>45748</v>
      </c>
      <c r="C46" s="22"/>
      <c r="D46" s="24">
        <v>2.2000000000000002</v>
      </c>
      <c r="E46" s="22">
        <f>_xlfn.XLOOKUP(A46,'CL Ledger'!$M:$M,'CL Ledger'!$AA:$AA,,0)</f>
        <v>2.25</v>
      </c>
      <c r="F46" s="97">
        <f t="shared" si="0"/>
        <v>4.9999999999999822E-2</v>
      </c>
      <c r="G46" s="98">
        <f t="shared" si="1"/>
        <v>2.2222222222222143E-2</v>
      </c>
    </row>
    <row r="47" spans="1:7" x14ac:dyDescent="0.35">
      <c r="A47" s="23">
        <v>246779414795</v>
      </c>
      <c r="B47" s="45">
        <v>45748</v>
      </c>
      <c r="C47" s="22"/>
      <c r="D47" s="24">
        <v>0.73</v>
      </c>
      <c r="E47" s="22">
        <f>_xlfn.XLOOKUP(A47,'CL Ledger'!$M:$M,'CL Ledger'!$AA:$AA,,0)</f>
        <v>0.75</v>
      </c>
      <c r="F47" s="97">
        <f t="shared" si="0"/>
        <v>2.0000000000000018E-2</v>
      </c>
      <c r="G47" s="98">
        <f t="shared" si="1"/>
        <v>2.6666666666666689E-2</v>
      </c>
    </row>
    <row r="48" spans="1:7" x14ac:dyDescent="0.35">
      <c r="A48" s="20">
        <v>246779411057</v>
      </c>
      <c r="B48" s="43">
        <v>45748</v>
      </c>
      <c r="C48" s="22"/>
      <c r="D48" s="24">
        <v>66.320000000000007</v>
      </c>
      <c r="E48" s="22">
        <f>_xlfn.XLOOKUP(A48,'CL Ledger'!$M:$M,'CL Ledger'!$AA:$AA,,0)</f>
        <v>67.67</v>
      </c>
      <c r="F48" s="97">
        <f t="shared" si="0"/>
        <v>1.3499999999999943</v>
      </c>
      <c r="G48" s="98">
        <f t="shared" si="1"/>
        <v>1.994975616964673E-2</v>
      </c>
    </row>
    <row r="49" spans="1:7" x14ac:dyDescent="0.35">
      <c r="A49" s="23">
        <v>256779410138</v>
      </c>
      <c r="B49" s="45">
        <v>45750</v>
      </c>
      <c r="C49" s="22"/>
      <c r="D49" s="24">
        <v>1.47</v>
      </c>
      <c r="E49" s="22">
        <f>_xlfn.XLOOKUP(A49,'CL Ledger'!$M:$M,'CL Ledger'!$AA:$AA,,0)</f>
        <v>1.5</v>
      </c>
      <c r="F49" s="97">
        <f t="shared" si="0"/>
        <v>3.0000000000000027E-2</v>
      </c>
      <c r="G49" s="98">
        <f t="shared" si="1"/>
        <v>2.0000000000000018E-2</v>
      </c>
    </row>
    <row r="50" spans="1:7" x14ac:dyDescent="0.35">
      <c r="A50" s="23">
        <v>256779410137</v>
      </c>
      <c r="B50" s="45">
        <v>45750</v>
      </c>
      <c r="C50" s="22"/>
      <c r="D50" s="24">
        <v>4.41</v>
      </c>
      <c r="E50" s="22">
        <f>_xlfn.XLOOKUP(A50,'CL Ledger'!$M:$M,'CL Ledger'!$AA:$AA,,0)</f>
        <v>4.5</v>
      </c>
      <c r="F50" s="97">
        <f t="shared" si="0"/>
        <v>8.9999999999999858E-2</v>
      </c>
      <c r="G50" s="98">
        <f t="shared" si="1"/>
        <v>1.9999999999999969E-2</v>
      </c>
    </row>
    <row r="51" spans="1:7" x14ac:dyDescent="0.35">
      <c r="A51" s="30">
        <v>256779410807</v>
      </c>
      <c r="B51" s="44">
        <v>45751</v>
      </c>
      <c r="C51" s="22"/>
      <c r="D51" s="24">
        <v>668.43000000000006</v>
      </c>
      <c r="E51" s="22">
        <f>_xlfn.XLOOKUP(A51,'CL Ledger'!$M:$M,'CL Ledger'!$AA:$AA,,0)</f>
        <v>742.7</v>
      </c>
      <c r="F51" s="97">
        <f t="shared" si="0"/>
        <v>74.269999999999982</v>
      </c>
      <c r="G51" s="98">
        <f t="shared" si="1"/>
        <v>9.9999999999999964E-2</v>
      </c>
    </row>
    <row r="52" spans="1:7" x14ac:dyDescent="0.35">
      <c r="A52" s="16">
        <v>256779410791</v>
      </c>
      <c r="B52" s="43">
        <v>45751</v>
      </c>
      <c r="C52" s="22"/>
      <c r="D52" s="17">
        <v>397.08</v>
      </c>
      <c r="E52" s="22">
        <f>_xlfn.XLOOKUP(A52,'CL Ledger'!$M:$M,'CL Ledger'!$AA:$AA,,0)</f>
        <v>441.2</v>
      </c>
      <c r="F52" s="97">
        <f t="shared" si="0"/>
        <v>44.120000000000005</v>
      </c>
      <c r="G52" s="98">
        <f t="shared" si="1"/>
        <v>0.10000000000000002</v>
      </c>
    </row>
    <row r="53" spans="1:7" x14ac:dyDescent="0.35">
      <c r="A53" s="23">
        <v>256779411891</v>
      </c>
      <c r="B53" s="45">
        <v>45759</v>
      </c>
      <c r="C53" s="22"/>
      <c r="D53" s="24">
        <v>2.2000000000000002</v>
      </c>
      <c r="E53" s="22">
        <f>_xlfn.XLOOKUP(A53,'CL Ledger'!$M:$M,'CL Ledger'!$AA:$AA,,0)</f>
        <v>2.25</v>
      </c>
      <c r="F53" s="97">
        <f t="shared" si="0"/>
        <v>4.9999999999999822E-2</v>
      </c>
      <c r="G53" s="98">
        <f t="shared" si="1"/>
        <v>2.2222222222222143E-2</v>
      </c>
    </row>
    <row r="54" spans="1:7" x14ac:dyDescent="0.35">
      <c r="A54" s="23">
        <v>256779411587</v>
      </c>
      <c r="B54" s="45">
        <v>45762</v>
      </c>
      <c r="C54" s="22"/>
      <c r="D54" s="24">
        <v>2.2000000000000002</v>
      </c>
      <c r="E54" s="22">
        <f>_xlfn.XLOOKUP(A54,'CL Ledger'!$M:$M,'CL Ledger'!$AA:$AA,,0)</f>
        <v>2.25</v>
      </c>
      <c r="F54" s="97">
        <f t="shared" si="0"/>
        <v>4.9999999999999822E-2</v>
      </c>
      <c r="G54" s="98">
        <f t="shared" si="1"/>
        <v>2.2222222222222143E-2</v>
      </c>
    </row>
    <row r="55" spans="1:7" x14ac:dyDescent="0.35">
      <c r="A55" s="23">
        <v>256779411588</v>
      </c>
      <c r="B55" s="45">
        <v>45762</v>
      </c>
      <c r="C55" s="22"/>
      <c r="D55" s="24">
        <v>2.2000000000000002</v>
      </c>
      <c r="E55" s="22">
        <f>_xlfn.XLOOKUP(A55,'CL Ledger'!$M:$M,'CL Ledger'!$AA:$AA,,0)</f>
        <v>2.25</v>
      </c>
      <c r="F55" s="97">
        <f t="shared" si="0"/>
        <v>4.9999999999999822E-2</v>
      </c>
      <c r="G55" s="98">
        <f t="shared" si="1"/>
        <v>2.2222222222222143E-2</v>
      </c>
    </row>
    <row r="56" spans="1:7" x14ac:dyDescent="0.35">
      <c r="A56" s="23">
        <v>256779411591</v>
      </c>
      <c r="B56" s="45">
        <v>45762</v>
      </c>
      <c r="C56" s="22"/>
      <c r="D56" s="24">
        <v>2.94</v>
      </c>
      <c r="E56" s="22">
        <f>_xlfn.XLOOKUP(A56,'CL Ledger'!$M:$M,'CL Ledger'!$AA:$AA,,0)</f>
        <v>3</v>
      </c>
      <c r="F56" s="97">
        <f t="shared" si="0"/>
        <v>6.0000000000000053E-2</v>
      </c>
      <c r="G56" s="98">
        <f t="shared" si="1"/>
        <v>2.0000000000000018E-2</v>
      </c>
    </row>
    <row r="57" spans="1:7" x14ac:dyDescent="0.35">
      <c r="A57" s="23">
        <v>256779411592</v>
      </c>
      <c r="B57" s="45">
        <v>45762</v>
      </c>
      <c r="C57" s="22"/>
      <c r="D57" s="24">
        <v>9.4</v>
      </c>
      <c r="E57" s="22">
        <f>_xlfn.XLOOKUP(A57,'CL Ledger'!$M:$M,'CL Ledger'!$AA:$AA,,0)</f>
        <v>9.59</v>
      </c>
      <c r="F57" s="97">
        <f t="shared" si="0"/>
        <v>0.1899999999999995</v>
      </c>
      <c r="G57" s="98">
        <f t="shared" si="1"/>
        <v>1.9812304483837279E-2</v>
      </c>
    </row>
    <row r="58" spans="1:7" x14ac:dyDescent="0.35">
      <c r="A58" s="23">
        <v>256779411593</v>
      </c>
      <c r="B58" s="45">
        <v>45762</v>
      </c>
      <c r="C58" s="22"/>
      <c r="D58" s="24">
        <v>2.94</v>
      </c>
      <c r="E58" s="22">
        <f>_xlfn.XLOOKUP(A58,'CL Ledger'!$M:$M,'CL Ledger'!$AA:$AA,,0)</f>
        <v>3</v>
      </c>
      <c r="F58" s="97">
        <f t="shared" si="0"/>
        <v>6.0000000000000053E-2</v>
      </c>
      <c r="G58" s="98">
        <f t="shared" si="1"/>
        <v>2.0000000000000018E-2</v>
      </c>
    </row>
    <row r="59" spans="1:7" x14ac:dyDescent="0.35">
      <c r="A59" s="23">
        <v>256779411594</v>
      </c>
      <c r="B59" s="45">
        <v>45762</v>
      </c>
      <c r="C59" s="22"/>
      <c r="D59" s="24">
        <v>5.14</v>
      </c>
      <c r="E59" s="22">
        <f>_xlfn.XLOOKUP(A59,'CL Ledger'!$M:$M,'CL Ledger'!$AA:$AA,,0)</f>
        <v>5.25</v>
      </c>
      <c r="F59" s="97">
        <f t="shared" si="0"/>
        <v>0.11000000000000032</v>
      </c>
      <c r="G59" s="98">
        <f t="shared" si="1"/>
        <v>2.0952380952381014E-2</v>
      </c>
    </row>
    <row r="60" spans="1:7" x14ac:dyDescent="0.35">
      <c r="A60" s="23">
        <v>256779411595</v>
      </c>
      <c r="B60" s="45">
        <v>45762</v>
      </c>
      <c r="C60" s="22"/>
      <c r="D60" s="24">
        <v>61.1</v>
      </c>
      <c r="E60" s="22">
        <f>_xlfn.XLOOKUP(A60,'CL Ledger'!$M:$M,'CL Ledger'!$AA:$AA,,0)</f>
        <v>62.35</v>
      </c>
      <c r="F60" s="97">
        <f t="shared" si="0"/>
        <v>1.25</v>
      </c>
      <c r="G60" s="98">
        <f t="shared" si="1"/>
        <v>2.0048115477145148E-2</v>
      </c>
    </row>
    <row r="61" spans="1:7" x14ac:dyDescent="0.35">
      <c r="A61" s="23">
        <v>256779411596</v>
      </c>
      <c r="B61" s="45">
        <v>45762</v>
      </c>
      <c r="C61" s="22"/>
      <c r="D61" s="24">
        <v>13.600000000000001</v>
      </c>
      <c r="E61" s="22">
        <f>_xlfn.XLOOKUP(A61,'CL Ledger'!$M:$M,'CL Ledger'!$AA:$AA,,0)</f>
        <v>13.88</v>
      </c>
      <c r="F61" s="97">
        <f t="shared" si="0"/>
        <v>0.27999999999999936</v>
      </c>
      <c r="G61" s="98">
        <f t="shared" si="1"/>
        <v>2.0172910662824159E-2</v>
      </c>
    </row>
    <row r="62" spans="1:7" x14ac:dyDescent="0.35">
      <c r="A62" s="23">
        <v>256779411597</v>
      </c>
      <c r="B62" s="45">
        <v>45762</v>
      </c>
      <c r="C62" s="22"/>
      <c r="D62" s="24">
        <v>19.55</v>
      </c>
      <c r="E62" s="22">
        <f>_xlfn.XLOOKUP(A62,'CL Ledger'!$M:$M,'CL Ledger'!$AA:$AA,,0)</f>
        <v>19.95</v>
      </c>
      <c r="F62" s="97">
        <f t="shared" si="0"/>
        <v>0.39999999999999858</v>
      </c>
      <c r="G62" s="98">
        <f t="shared" si="1"/>
        <v>2.0050125313283138E-2</v>
      </c>
    </row>
    <row r="63" spans="1:7" x14ac:dyDescent="0.35">
      <c r="A63" s="23">
        <v>256779411160</v>
      </c>
      <c r="B63" s="45">
        <v>45762</v>
      </c>
      <c r="C63" s="22"/>
      <c r="D63" s="24">
        <v>18.009999999999998</v>
      </c>
      <c r="E63" s="22">
        <f>_xlfn.XLOOKUP(A63,'CL Ledger'!$M:$M,'CL Ledger'!$AA:$AA,,0)</f>
        <v>18.38</v>
      </c>
      <c r="F63" s="97">
        <f t="shared" si="0"/>
        <v>0.37000000000000099</v>
      </c>
      <c r="G63" s="98">
        <f t="shared" si="1"/>
        <v>2.0130576713819424E-2</v>
      </c>
    </row>
    <row r="64" spans="1:7" x14ac:dyDescent="0.35">
      <c r="A64" s="23">
        <v>256779411161</v>
      </c>
      <c r="B64" s="45">
        <v>45762</v>
      </c>
      <c r="C64" s="22"/>
      <c r="D64" s="24">
        <v>45.82</v>
      </c>
      <c r="E64" s="22">
        <f>_xlfn.XLOOKUP(A64,'CL Ledger'!$M:$M,'CL Ledger'!$AA:$AA,,0)</f>
        <v>46.76</v>
      </c>
      <c r="F64" s="97">
        <f t="shared" si="0"/>
        <v>0.93999999999999773</v>
      </c>
      <c r="G64" s="98">
        <f t="shared" si="1"/>
        <v>2.0102651839178736E-2</v>
      </c>
    </row>
    <row r="65" spans="1:7" x14ac:dyDescent="0.35">
      <c r="A65" s="23">
        <v>256779411162</v>
      </c>
      <c r="B65" s="45">
        <v>45762</v>
      </c>
      <c r="C65" s="22"/>
      <c r="D65" s="24">
        <v>34.54</v>
      </c>
      <c r="E65" s="22">
        <f>_xlfn.XLOOKUP(A65,'CL Ledger'!$M:$M,'CL Ledger'!$AA:$AA,,0)</f>
        <v>35.25</v>
      </c>
      <c r="F65" s="97">
        <f t="shared" si="0"/>
        <v>0.71000000000000085</v>
      </c>
      <c r="G65" s="98">
        <f t="shared" si="1"/>
        <v>2.014184397163123E-2</v>
      </c>
    </row>
    <row r="66" spans="1:7" x14ac:dyDescent="0.35">
      <c r="A66" s="23">
        <v>256779411163</v>
      </c>
      <c r="B66" s="45">
        <v>45762</v>
      </c>
      <c r="C66" s="22"/>
      <c r="D66" s="24">
        <v>23.52</v>
      </c>
      <c r="E66" s="22">
        <f>_xlfn.XLOOKUP(A66,'CL Ledger'!$M:$M,'CL Ledger'!$AA:$AA,,0)</f>
        <v>24</v>
      </c>
      <c r="F66" s="97">
        <f t="shared" si="0"/>
        <v>0.48000000000000043</v>
      </c>
      <c r="G66" s="98">
        <f t="shared" si="1"/>
        <v>2.0000000000000018E-2</v>
      </c>
    </row>
    <row r="67" spans="1:7" x14ac:dyDescent="0.35">
      <c r="A67" s="23">
        <v>256779411164</v>
      </c>
      <c r="B67" s="45">
        <v>45762</v>
      </c>
      <c r="C67" s="22"/>
      <c r="D67" s="24">
        <v>32.340000000000003</v>
      </c>
      <c r="E67" s="22">
        <f>_xlfn.XLOOKUP(A67,'CL Ledger'!$M:$M,'CL Ledger'!$AA:$AA,,0)</f>
        <v>33</v>
      </c>
      <c r="F67" s="97">
        <f t="shared" si="0"/>
        <v>0.65999999999999659</v>
      </c>
      <c r="G67" s="98">
        <f t="shared" si="1"/>
        <v>1.9999999999999896E-2</v>
      </c>
    </row>
    <row r="68" spans="1:7" x14ac:dyDescent="0.35">
      <c r="A68" s="16">
        <v>256779411589</v>
      </c>
      <c r="B68" s="43">
        <v>45762</v>
      </c>
      <c r="C68" s="22"/>
      <c r="D68" s="17">
        <v>3.31</v>
      </c>
      <c r="E68" s="22">
        <f>_xlfn.XLOOKUP(A68,'CL Ledger'!$M:$M,'CL Ledger'!$AA:$AA,,0)</f>
        <v>3.38</v>
      </c>
      <c r="F68" s="97">
        <f t="shared" ref="F68:F131" si="2">E68-D68</f>
        <v>6.999999999999984E-2</v>
      </c>
      <c r="G68" s="98">
        <f t="shared" ref="G68:G131" si="3">F68/E68</f>
        <v>2.0710059171597586E-2</v>
      </c>
    </row>
    <row r="69" spans="1:7" x14ac:dyDescent="0.35">
      <c r="A69" s="23">
        <v>256779411890</v>
      </c>
      <c r="B69" s="45">
        <v>45763</v>
      </c>
      <c r="C69" s="22"/>
      <c r="D69" s="24">
        <v>24.25</v>
      </c>
      <c r="E69" s="22">
        <f>_xlfn.XLOOKUP(A69,'CL Ledger'!$M:$M,'CL Ledger'!$AA:$AA,,0)</f>
        <v>24.75</v>
      </c>
      <c r="F69" s="97">
        <f t="shared" si="2"/>
        <v>0.5</v>
      </c>
      <c r="G69" s="98">
        <f t="shared" si="3"/>
        <v>2.0202020202020204E-2</v>
      </c>
    </row>
    <row r="70" spans="1:7" x14ac:dyDescent="0.35">
      <c r="A70" s="23">
        <v>256779411811</v>
      </c>
      <c r="B70" s="45">
        <v>45763</v>
      </c>
      <c r="C70" s="22"/>
      <c r="D70" s="24">
        <v>3.18</v>
      </c>
      <c r="E70" s="22">
        <f>_xlfn.XLOOKUP(A70,'CL Ledger'!$M:$M,'CL Ledger'!$AA:$AA,,0)</f>
        <v>3.24</v>
      </c>
      <c r="F70" s="97">
        <f t="shared" si="2"/>
        <v>6.0000000000000053E-2</v>
      </c>
      <c r="G70" s="98">
        <f t="shared" si="3"/>
        <v>1.8518518518518535E-2</v>
      </c>
    </row>
    <row r="71" spans="1:7" x14ac:dyDescent="0.35">
      <c r="A71" s="23">
        <v>256779411812</v>
      </c>
      <c r="B71" s="45">
        <v>45763</v>
      </c>
      <c r="C71" s="22"/>
      <c r="D71" s="24">
        <v>14.7</v>
      </c>
      <c r="E71" s="22">
        <f>_xlfn.XLOOKUP(A71,'CL Ledger'!$M:$M,'CL Ledger'!$AA:$AA,,0)</f>
        <v>15</v>
      </c>
      <c r="F71" s="97">
        <f t="shared" si="2"/>
        <v>0.30000000000000071</v>
      </c>
      <c r="G71" s="98">
        <f t="shared" si="3"/>
        <v>2.0000000000000049E-2</v>
      </c>
    </row>
    <row r="72" spans="1:7" x14ac:dyDescent="0.35">
      <c r="A72" s="23">
        <v>256779412103</v>
      </c>
      <c r="B72" s="45">
        <v>45763</v>
      </c>
      <c r="C72" s="22"/>
      <c r="D72" s="24">
        <v>41.67</v>
      </c>
      <c r="E72" s="22">
        <f>_xlfn.XLOOKUP(A72,'CL Ledger'!$M:$M,'CL Ledger'!$AA:$AA,,0)</f>
        <v>42.53</v>
      </c>
      <c r="F72" s="97">
        <f t="shared" si="2"/>
        <v>0.85999999999999943</v>
      </c>
      <c r="G72" s="98">
        <f t="shared" si="3"/>
        <v>2.0221020456148587E-2</v>
      </c>
    </row>
    <row r="73" spans="1:7" x14ac:dyDescent="0.35">
      <c r="A73" s="16">
        <v>256779412113</v>
      </c>
      <c r="B73" s="43">
        <v>45763</v>
      </c>
      <c r="C73" s="22"/>
      <c r="D73" s="17">
        <v>744.73</v>
      </c>
      <c r="E73" s="22">
        <f>_xlfn.XLOOKUP(A73,'CL Ledger'!$M:$M,'CL Ledger'!$AA:$AA,,0)</f>
        <v>827.48</v>
      </c>
      <c r="F73" s="97">
        <f t="shared" si="2"/>
        <v>82.75</v>
      </c>
      <c r="G73" s="98">
        <f t="shared" si="3"/>
        <v>0.10000241697684537</v>
      </c>
    </row>
    <row r="74" spans="1:7" x14ac:dyDescent="0.35">
      <c r="A74" s="23">
        <v>256779412153</v>
      </c>
      <c r="B74" s="45">
        <v>45768</v>
      </c>
      <c r="C74" s="22"/>
      <c r="D74" s="24">
        <v>1048.83</v>
      </c>
      <c r="E74" s="22">
        <f>_xlfn.XLOOKUP(A74,'CL Ledger'!$M:$M,'CL Ledger'!$AA:$AA,,0)</f>
        <v>1165.3699999999999</v>
      </c>
      <c r="F74" s="97">
        <f t="shared" si="2"/>
        <v>116.53999999999996</v>
      </c>
      <c r="G74" s="98">
        <f t="shared" si="3"/>
        <v>0.10000257428971054</v>
      </c>
    </row>
    <row r="75" spans="1:7" x14ac:dyDescent="0.35">
      <c r="A75" s="23">
        <v>256779412617</v>
      </c>
      <c r="B75" s="45">
        <v>45769</v>
      </c>
      <c r="C75" s="22"/>
      <c r="D75" s="24">
        <v>376.93</v>
      </c>
      <c r="E75" s="22">
        <f>_xlfn.XLOOKUP(A75,'CL Ledger'!$M:$M,'CL Ledger'!$AA:$AA,,0)</f>
        <v>384.63</v>
      </c>
      <c r="F75" s="97">
        <f t="shared" si="2"/>
        <v>7.6999999999999886</v>
      </c>
      <c r="G75" s="98">
        <f t="shared" si="3"/>
        <v>2.0019239268907751E-2</v>
      </c>
    </row>
    <row r="76" spans="1:7" x14ac:dyDescent="0.35">
      <c r="A76" s="25">
        <v>256779412660</v>
      </c>
      <c r="B76" s="46">
        <v>45769</v>
      </c>
      <c r="C76" s="22"/>
      <c r="D76" s="26">
        <v>7.34</v>
      </c>
      <c r="E76" s="22">
        <f>_xlfn.XLOOKUP(A76,'CL Ledger'!$M:$M,'CL Ledger'!$AA:$AA,,0)</f>
        <v>7.5</v>
      </c>
      <c r="F76" s="97">
        <f t="shared" si="2"/>
        <v>0.16000000000000014</v>
      </c>
      <c r="G76" s="98">
        <f t="shared" si="3"/>
        <v>2.1333333333333353E-2</v>
      </c>
    </row>
    <row r="77" spans="1:7" x14ac:dyDescent="0.35">
      <c r="A77" s="23">
        <v>256779412932</v>
      </c>
      <c r="B77" s="45">
        <v>45770</v>
      </c>
      <c r="C77" s="22"/>
      <c r="D77" s="24">
        <v>65.52</v>
      </c>
      <c r="E77" s="22">
        <f>_xlfn.XLOOKUP(A77,'CL Ledger'!$M:$M,'CL Ledger'!$AA:$AA,,0)</f>
        <v>66.86</v>
      </c>
      <c r="F77" s="97">
        <f t="shared" si="2"/>
        <v>1.3400000000000034</v>
      </c>
      <c r="G77" s="98">
        <f t="shared" si="3"/>
        <v>2.0041878552198675E-2</v>
      </c>
    </row>
    <row r="78" spans="1:7" x14ac:dyDescent="0.35">
      <c r="A78" s="23">
        <v>256779413142</v>
      </c>
      <c r="B78" s="45">
        <v>45787</v>
      </c>
      <c r="C78" s="22"/>
      <c r="D78" s="24">
        <v>1046.71</v>
      </c>
      <c r="E78" s="22">
        <f>_xlfn.XLOOKUP(A78,'CL Ledger'!$M:$M,'CL Ledger'!$AA:$AA,,0)</f>
        <v>1163.0111111111112</v>
      </c>
      <c r="F78" s="97">
        <f t="shared" si="2"/>
        <v>116.30111111111114</v>
      </c>
      <c r="G78" s="98">
        <f t="shared" si="3"/>
        <v>0.10000000000000002</v>
      </c>
    </row>
    <row r="79" spans="1:7" x14ac:dyDescent="0.35">
      <c r="A79" s="23">
        <v>256779411590</v>
      </c>
      <c r="B79" s="45">
        <v>45789</v>
      </c>
      <c r="C79" s="22"/>
      <c r="D79" s="24">
        <v>2.2000000000000002</v>
      </c>
      <c r="E79" s="22">
        <f>_xlfn.XLOOKUP(A79,'CL Ledger'!$M:$M,'CL Ledger'!$AA:$AA,,0)</f>
        <v>2.25</v>
      </c>
      <c r="F79" s="97">
        <f t="shared" si="2"/>
        <v>4.9999999999999822E-2</v>
      </c>
      <c r="G79" s="98">
        <f t="shared" si="3"/>
        <v>2.2222222222222143E-2</v>
      </c>
    </row>
    <row r="80" spans="1:7" x14ac:dyDescent="0.35">
      <c r="A80" s="23">
        <v>256779413361</v>
      </c>
      <c r="B80" s="45">
        <v>45793</v>
      </c>
      <c r="C80" s="22"/>
      <c r="D80" s="24">
        <v>2.94</v>
      </c>
      <c r="E80" s="22">
        <f>_xlfn.XLOOKUP(A80,'CL Ledger'!$M:$M,'CL Ledger'!$AA:$AA,,0)</f>
        <v>3</v>
      </c>
      <c r="F80" s="97">
        <f t="shared" si="2"/>
        <v>6.0000000000000053E-2</v>
      </c>
      <c r="G80" s="98">
        <f t="shared" si="3"/>
        <v>2.0000000000000018E-2</v>
      </c>
    </row>
    <row r="81" spans="1:7" x14ac:dyDescent="0.35">
      <c r="A81" s="20">
        <v>256779413272</v>
      </c>
      <c r="B81" s="43">
        <v>45793</v>
      </c>
      <c r="C81" s="22"/>
      <c r="D81" s="24">
        <v>24.77</v>
      </c>
      <c r="E81" s="22">
        <f>_xlfn.XLOOKUP(A81,'CL Ledger'!$M:$M,'CL Ledger'!$AA:$AA,,0)</f>
        <v>25.28</v>
      </c>
      <c r="F81" s="97">
        <f t="shared" si="2"/>
        <v>0.51000000000000156</v>
      </c>
      <c r="G81" s="98">
        <f t="shared" si="3"/>
        <v>2.0174050632911455E-2</v>
      </c>
    </row>
    <row r="82" spans="1:7" x14ac:dyDescent="0.35">
      <c r="A82" s="27">
        <v>256779413490</v>
      </c>
      <c r="B82" s="45">
        <v>45797</v>
      </c>
      <c r="C82" s="22"/>
      <c r="D82" s="24">
        <v>2.94</v>
      </c>
      <c r="E82" s="22">
        <f>_xlfn.XLOOKUP(A82,'CL Ledger'!$M:$M,'CL Ledger'!$AA:$AA,,0)</f>
        <v>3</v>
      </c>
      <c r="F82" s="97">
        <f t="shared" si="2"/>
        <v>6.0000000000000053E-2</v>
      </c>
      <c r="G82" s="98">
        <f t="shared" si="3"/>
        <v>2.0000000000000018E-2</v>
      </c>
    </row>
    <row r="83" spans="1:7" x14ac:dyDescent="0.35">
      <c r="A83" s="16">
        <v>256779413893</v>
      </c>
      <c r="B83" s="43">
        <v>45805</v>
      </c>
      <c r="C83" s="22"/>
      <c r="D83" s="17">
        <v>717.81</v>
      </c>
      <c r="E83" s="22">
        <f>_xlfn.XLOOKUP(A83,'CL Ledger'!$M:$M,'CL Ledger'!$AA:$AA,,0)</f>
        <v>797.57</v>
      </c>
      <c r="F83" s="97">
        <f t="shared" si="2"/>
        <v>79.760000000000105</v>
      </c>
      <c r="G83" s="98">
        <f t="shared" si="3"/>
        <v>0.10000376142532956</v>
      </c>
    </row>
    <row r="84" spans="1:7" x14ac:dyDescent="0.35">
      <c r="A84" s="30">
        <v>256779414003</v>
      </c>
      <c r="B84" s="44">
        <v>45812</v>
      </c>
      <c r="C84" s="22"/>
      <c r="D84" s="24">
        <v>726.65</v>
      </c>
      <c r="E84" s="22">
        <f>_xlfn.XLOOKUP(A84,'CL Ledger'!$M:$M,'CL Ledger'!$AA:$AA,,0)</f>
        <v>807.39</v>
      </c>
      <c r="F84" s="97">
        <f t="shared" si="2"/>
        <v>80.740000000000009</v>
      </c>
      <c r="G84" s="98">
        <f t="shared" si="3"/>
        <v>0.10000123855881297</v>
      </c>
    </row>
    <row r="85" spans="1:7" x14ac:dyDescent="0.35">
      <c r="A85" s="30">
        <v>256779414004</v>
      </c>
      <c r="B85" s="44">
        <v>45812</v>
      </c>
      <c r="C85" s="22"/>
      <c r="D85" s="24">
        <v>727.33999999999992</v>
      </c>
      <c r="E85" s="22">
        <f>_xlfn.XLOOKUP(A85,'CL Ledger'!$M:$M,'CL Ledger'!$AA:$AA,,0)</f>
        <v>808.16</v>
      </c>
      <c r="F85" s="97">
        <f t="shared" si="2"/>
        <v>80.82000000000005</v>
      </c>
      <c r="G85" s="98">
        <f t="shared" si="3"/>
        <v>0.10000494951494759</v>
      </c>
    </row>
    <row r="86" spans="1:7" x14ac:dyDescent="0.35">
      <c r="A86" s="30">
        <v>256779414005</v>
      </c>
      <c r="B86" s="44">
        <v>45812</v>
      </c>
      <c r="C86" s="22"/>
      <c r="D86" s="24">
        <v>724.75</v>
      </c>
      <c r="E86" s="22">
        <f>_xlfn.XLOOKUP(A86,'CL Ledger'!$M:$M,'CL Ledger'!$AA:$AA,,0)</f>
        <v>805.28</v>
      </c>
      <c r="F86" s="97">
        <f t="shared" si="2"/>
        <v>80.529999999999973</v>
      </c>
      <c r="G86" s="98">
        <f t="shared" si="3"/>
        <v>0.10000248360818594</v>
      </c>
    </row>
    <row r="87" spans="1:7" x14ac:dyDescent="0.35">
      <c r="A87" s="30">
        <v>256779414006</v>
      </c>
      <c r="B87" s="44">
        <v>45812</v>
      </c>
      <c r="C87" s="22"/>
      <c r="D87" s="24">
        <v>721.32</v>
      </c>
      <c r="E87" s="22">
        <f>_xlfn.XLOOKUP(A87,'CL Ledger'!$M:$M,'CL Ledger'!$AA:$AA,,0)</f>
        <v>801.47</v>
      </c>
      <c r="F87" s="97">
        <f t="shared" si="2"/>
        <v>80.149999999999977</v>
      </c>
      <c r="G87" s="98">
        <f t="shared" si="3"/>
        <v>0.10000374312201327</v>
      </c>
    </row>
    <row r="88" spans="1:7" x14ac:dyDescent="0.35">
      <c r="A88" s="30">
        <v>256779414007</v>
      </c>
      <c r="B88" s="44">
        <v>45812</v>
      </c>
      <c r="C88" s="22"/>
      <c r="D88" s="24">
        <v>711.8</v>
      </c>
      <c r="E88" s="22">
        <f>_xlfn.XLOOKUP(A88,'CL Ledger'!$M:$M,'CL Ledger'!$AA:$AA,,0)</f>
        <v>790.89</v>
      </c>
      <c r="F88" s="97">
        <f t="shared" si="2"/>
        <v>79.090000000000032</v>
      </c>
      <c r="G88" s="98">
        <f t="shared" si="3"/>
        <v>0.10000126439833609</v>
      </c>
    </row>
    <row r="89" spans="1:7" x14ac:dyDescent="0.35">
      <c r="A89" s="16">
        <v>256779414234</v>
      </c>
      <c r="B89" s="43">
        <v>45815</v>
      </c>
      <c r="C89" s="22"/>
      <c r="D89" s="17">
        <v>832.7</v>
      </c>
      <c r="E89" s="22">
        <f>_xlfn.XLOOKUP(A89,'CL Ledger'!$M:$M,'CL Ledger'!$AA:$AA,,0)</f>
        <v>925.23</v>
      </c>
      <c r="F89" s="97">
        <f t="shared" si="2"/>
        <v>92.529999999999973</v>
      </c>
      <c r="G89" s="98">
        <f t="shared" si="3"/>
        <v>0.10000756568636984</v>
      </c>
    </row>
    <row r="90" spans="1:7" x14ac:dyDescent="0.35">
      <c r="A90" s="20">
        <v>256779414354</v>
      </c>
      <c r="B90" s="43">
        <v>45818</v>
      </c>
      <c r="C90" s="22"/>
      <c r="D90" s="24">
        <v>1052.75</v>
      </c>
      <c r="E90" s="22">
        <f>_xlfn.XLOOKUP(A90,'CL Ledger'!$M:$M,'CL Ledger'!$AA:$AA,,0)</f>
        <v>1169.7222222222222</v>
      </c>
      <c r="F90" s="97">
        <f t="shared" si="2"/>
        <v>116.97222222222217</v>
      </c>
      <c r="G90" s="98">
        <f t="shared" si="3"/>
        <v>9.9999999999999964E-2</v>
      </c>
    </row>
    <row r="91" spans="1:7" x14ac:dyDescent="0.35">
      <c r="A91" s="20">
        <v>256779414912</v>
      </c>
      <c r="B91" s="43">
        <v>45842</v>
      </c>
      <c r="C91" s="22"/>
      <c r="D91" s="28">
        <v>1046.5</v>
      </c>
      <c r="E91" s="22">
        <f>_xlfn.XLOOKUP(A91,'CL Ledger'!$M:$M,'CL Ledger'!$AA:$AA,,0)</f>
        <v>1162.7777777777778</v>
      </c>
      <c r="F91" s="97">
        <f t="shared" si="2"/>
        <v>116.27777777777783</v>
      </c>
      <c r="G91" s="98">
        <f t="shared" si="3"/>
        <v>0.10000000000000003</v>
      </c>
    </row>
    <row r="92" spans="1:7" x14ac:dyDescent="0.35">
      <c r="A92" s="29">
        <v>256779415190</v>
      </c>
      <c r="B92" s="43">
        <v>45842</v>
      </c>
      <c r="C92" s="22"/>
      <c r="D92" s="28">
        <v>621.63000000000011</v>
      </c>
      <c r="E92" s="22">
        <f>_xlfn.XLOOKUP(A92,'CL Ledger'!$M:$M,'CL Ledger'!$AA:$AA,,0)</f>
        <v>690.7</v>
      </c>
      <c r="F92" s="97">
        <f t="shared" si="2"/>
        <v>69.069999999999936</v>
      </c>
      <c r="G92" s="98">
        <f t="shared" si="3"/>
        <v>9.9999999999999895E-2</v>
      </c>
    </row>
    <row r="93" spans="1:7" x14ac:dyDescent="0.35">
      <c r="A93" s="20">
        <v>256779414833</v>
      </c>
      <c r="B93" s="43">
        <v>45842</v>
      </c>
      <c r="C93" s="22"/>
      <c r="D93" s="24">
        <v>2.94</v>
      </c>
      <c r="E93" s="22">
        <f>_xlfn.XLOOKUP(A93,'CL Ledger'!$M:$M,'CL Ledger'!$AA:$AA,,0)</f>
        <v>3</v>
      </c>
      <c r="F93" s="97">
        <f t="shared" si="2"/>
        <v>6.0000000000000053E-2</v>
      </c>
      <c r="G93" s="98">
        <f t="shared" si="3"/>
        <v>2.0000000000000018E-2</v>
      </c>
    </row>
    <row r="94" spans="1:7" x14ac:dyDescent="0.35">
      <c r="A94" s="20">
        <v>256779415485</v>
      </c>
      <c r="B94" s="43">
        <v>45856</v>
      </c>
      <c r="C94" s="22"/>
      <c r="D94" s="24">
        <v>16.899999999999999</v>
      </c>
      <c r="E94" s="22">
        <f>_xlfn.XLOOKUP(A94,'CL Ledger'!$M:$M,'CL Ledger'!$AA:$AA,,0)</f>
        <v>17.25</v>
      </c>
      <c r="F94" s="97">
        <f t="shared" si="2"/>
        <v>0.35000000000000142</v>
      </c>
      <c r="G94" s="98">
        <f t="shared" si="3"/>
        <v>2.028985507246385E-2</v>
      </c>
    </row>
    <row r="95" spans="1:7" x14ac:dyDescent="0.35">
      <c r="A95" s="20">
        <v>256779415533</v>
      </c>
      <c r="B95" s="43">
        <v>45856</v>
      </c>
      <c r="C95" s="22"/>
      <c r="D95" s="24">
        <v>21.31</v>
      </c>
      <c r="E95" s="22">
        <f>_xlfn.XLOOKUP(A95,'CL Ledger'!$M:$M,'CL Ledger'!$AA:$AA,,0)</f>
        <v>21.75</v>
      </c>
      <c r="F95" s="97">
        <f t="shared" si="2"/>
        <v>0.44000000000000128</v>
      </c>
      <c r="G95" s="98">
        <f t="shared" si="3"/>
        <v>2.0229885057471322E-2</v>
      </c>
    </row>
    <row r="96" spans="1:7" x14ac:dyDescent="0.35">
      <c r="A96" s="20">
        <v>256779415772</v>
      </c>
      <c r="B96" s="43">
        <v>45857</v>
      </c>
      <c r="C96" s="22"/>
      <c r="D96" s="24">
        <v>58.24</v>
      </c>
      <c r="E96" s="22">
        <f>_xlfn.XLOOKUP(A96,'CL Ledger'!$M:$M,'CL Ledger'!$AA:$AA,,0)</f>
        <v>59.43</v>
      </c>
      <c r="F96" s="97">
        <f t="shared" si="2"/>
        <v>1.1899999999999977</v>
      </c>
      <c r="G96" s="98">
        <f t="shared" si="3"/>
        <v>2.0023557126030586E-2</v>
      </c>
    </row>
    <row r="97" spans="1:7" x14ac:dyDescent="0.35">
      <c r="A97" s="20">
        <v>256779416024</v>
      </c>
      <c r="B97" s="43">
        <v>45870</v>
      </c>
      <c r="C97" s="22"/>
      <c r="D97" s="24">
        <v>1046.1400000000001</v>
      </c>
      <c r="E97" s="22">
        <f>_xlfn.XLOOKUP(A97,'CL Ledger'!$M:$M,'CL Ledger'!$AA:$AA,,0)</f>
        <v>1162.377777777778</v>
      </c>
      <c r="F97" s="97">
        <f t="shared" si="2"/>
        <v>116.23777777777786</v>
      </c>
      <c r="G97" s="98">
        <f t="shared" si="3"/>
        <v>0.10000000000000006</v>
      </c>
    </row>
    <row r="98" spans="1:7" x14ac:dyDescent="0.35">
      <c r="A98" s="20">
        <v>256779416082</v>
      </c>
      <c r="B98" s="43">
        <v>45877</v>
      </c>
      <c r="C98" s="22"/>
      <c r="D98" s="24">
        <v>683.69999999999993</v>
      </c>
      <c r="E98" s="22">
        <f>_xlfn.XLOOKUP(A98,'CL Ledger'!$M:$M,'CL Ledger'!$AA:$AA,,0)</f>
        <v>759.67</v>
      </c>
      <c r="F98" s="97">
        <f t="shared" si="2"/>
        <v>75.970000000000027</v>
      </c>
      <c r="G98" s="98">
        <f t="shared" si="3"/>
        <v>0.10000394908315458</v>
      </c>
    </row>
    <row r="99" spans="1:7" x14ac:dyDescent="0.35">
      <c r="A99" s="20">
        <v>256779416446</v>
      </c>
      <c r="B99" s="43">
        <v>45877</v>
      </c>
      <c r="C99" s="22"/>
      <c r="D99" s="24">
        <v>2.23</v>
      </c>
      <c r="E99" s="22">
        <f>_xlfn.XLOOKUP(A99,'CL Ledger'!$M:$M,'CL Ledger'!$AA:$AA,,0)</f>
        <v>2.2799999999999998</v>
      </c>
      <c r="F99" s="97">
        <f t="shared" si="2"/>
        <v>4.9999999999999822E-2</v>
      </c>
      <c r="G99" s="98">
        <f t="shared" si="3"/>
        <v>2.1929824561403431E-2</v>
      </c>
    </row>
    <row r="100" spans="1:7" x14ac:dyDescent="0.35">
      <c r="A100" s="20">
        <v>256779416257</v>
      </c>
      <c r="B100" s="43">
        <v>45877</v>
      </c>
      <c r="C100" s="22"/>
      <c r="D100" s="24">
        <v>22.42</v>
      </c>
      <c r="E100" s="22">
        <f>_xlfn.XLOOKUP(A100,'CL Ledger'!$M:$M,'CL Ledger'!$AA:$AA,,0)</f>
        <v>22.87</v>
      </c>
      <c r="F100" s="97">
        <f t="shared" si="2"/>
        <v>0.44999999999999929</v>
      </c>
      <c r="G100" s="98">
        <f t="shared" si="3"/>
        <v>1.9676432006996033E-2</v>
      </c>
    </row>
    <row r="101" spans="1:7" x14ac:dyDescent="0.35">
      <c r="A101" s="20">
        <v>256779416228</v>
      </c>
      <c r="B101" s="43">
        <v>45877</v>
      </c>
      <c r="C101" s="22"/>
      <c r="D101" s="24">
        <v>2.94</v>
      </c>
      <c r="E101" s="22">
        <f>_xlfn.XLOOKUP(A101,'CL Ledger'!$M:$M,'CL Ledger'!$AA:$AA,,0)</f>
        <v>3</v>
      </c>
      <c r="F101" s="97">
        <f t="shared" si="2"/>
        <v>6.0000000000000053E-2</v>
      </c>
      <c r="G101" s="98">
        <f t="shared" si="3"/>
        <v>2.0000000000000018E-2</v>
      </c>
    </row>
    <row r="102" spans="1:7" x14ac:dyDescent="0.35">
      <c r="A102" s="20">
        <v>256779416246</v>
      </c>
      <c r="B102" s="43">
        <v>45877</v>
      </c>
      <c r="C102" s="22"/>
      <c r="D102" s="24">
        <v>69.540000000000006</v>
      </c>
      <c r="E102" s="22">
        <f>_xlfn.XLOOKUP(A102,'CL Ledger'!$M:$M,'CL Ledger'!$AA:$AA,,0)</f>
        <v>70.95</v>
      </c>
      <c r="F102" s="97">
        <f t="shared" si="2"/>
        <v>1.4099999999999966</v>
      </c>
      <c r="G102" s="98">
        <f t="shared" si="3"/>
        <v>1.9873150105708195E-2</v>
      </c>
    </row>
    <row r="103" spans="1:7" x14ac:dyDescent="0.35">
      <c r="A103" s="20">
        <v>256779416182</v>
      </c>
      <c r="B103" s="43">
        <v>45877</v>
      </c>
      <c r="C103" s="22"/>
      <c r="D103" s="24">
        <v>17.64</v>
      </c>
      <c r="E103" s="22">
        <f>_xlfn.XLOOKUP(A103,'CL Ledger'!$M:$M,'CL Ledger'!$AA:$AA,,0)</f>
        <v>18</v>
      </c>
      <c r="F103" s="97">
        <f t="shared" si="2"/>
        <v>0.35999999999999943</v>
      </c>
      <c r="G103" s="98">
        <f t="shared" si="3"/>
        <v>1.9999999999999969E-2</v>
      </c>
    </row>
    <row r="104" spans="1:7" x14ac:dyDescent="0.35">
      <c r="A104" s="20">
        <v>256779416604</v>
      </c>
      <c r="B104" s="43">
        <v>45889</v>
      </c>
      <c r="C104" s="22"/>
      <c r="D104" s="24">
        <v>16.959999999999997</v>
      </c>
      <c r="E104" s="22">
        <f>_xlfn.XLOOKUP(A104,'CL Ledger'!$M:$M,'CL Ledger'!$AA:$AA,,0)</f>
        <v>17.309999999999999</v>
      </c>
      <c r="F104" s="97">
        <f t="shared" si="2"/>
        <v>0.35000000000000142</v>
      </c>
      <c r="G104" s="98">
        <f t="shared" si="3"/>
        <v>2.0219526285384256E-2</v>
      </c>
    </row>
    <row r="105" spans="1:7" x14ac:dyDescent="0.35">
      <c r="A105" s="20">
        <v>256779416847</v>
      </c>
      <c r="B105" s="43">
        <v>45889</v>
      </c>
      <c r="C105" s="22"/>
      <c r="D105" s="24">
        <v>27.27</v>
      </c>
      <c r="E105" s="22">
        <f>_xlfn.XLOOKUP(A105,'CL Ledger'!$M:$M,'CL Ledger'!$AA:$AA,,0)</f>
        <v>27.83</v>
      </c>
      <c r="F105" s="97">
        <f t="shared" si="2"/>
        <v>0.55999999999999872</v>
      </c>
      <c r="G105" s="98">
        <f t="shared" si="3"/>
        <v>2.0122170319798734E-2</v>
      </c>
    </row>
    <row r="106" spans="1:7" x14ac:dyDescent="0.35">
      <c r="A106" s="20">
        <v>256779416882</v>
      </c>
      <c r="B106" s="43">
        <v>45889</v>
      </c>
      <c r="C106" s="22"/>
      <c r="D106" s="24">
        <v>12.57</v>
      </c>
      <c r="E106" s="22">
        <f>_xlfn.XLOOKUP(A106,'CL Ledger'!$M:$M,'CL Ledger'!$AA:$AA,,0)</f>
        <v>12.83</v>
      </c>
      <c r="F106" s="97">
        <f t="shared" si="2"/>
        <v>0.25999999999999979</v>
      </c>
      <c r="G106" s="98">
        <f t="shared" si="3"/>
        <v>2.0265003897116118E-2</v>
      </c>
    </row>
    <row r="107" spans="1:7" x14ac:dyDescent="0.35">
      <c r="A107" s="20">
        <v>256779416616</v>
      </c>
      <c r="B107" s="43">
        <v>45889</v>
      </c>
      <c r="C107" s="22"/>
      <c r="D107" s="24">
        <v>62.379999999999995</v>
      </c>
      <c r="E107" s="22">
        <f>_xlfn.XLOOKUP(A107,'CL Ledger'!$M:$M,'CL Ledger'!$AA:$AA,,0)</f>
        <v>63.65</v>
      </c>
      <c r="F107" s="97">
        <f t="shared" si="2"/>
        <v>1.2700000000000031</v>
      </c>
      <c r="G107" s="98">
        <f t="shared" si="3"/>
        <v>1.9952867242733749E-2</v>
      </c>
    </row>
    <row r="108" spans="1:7" x14ac:dyDescent="0.35">
      <c r="A108" s="30">
        <v>256779417344</v>
      </c>
      <c r="B108" s="44">
        <v>45904</v>
      </c>
      <c r="C108" s="22"/>
      <c r="D108" s="24">
        <v>1028.4000000000001</v>
      </c>
      <c r="E108" s="22">
        <f>_xlfn.XLOOKUP(A108,'CL Ledger'!$M:$M,'CL Ledger'!$AA:$AA,,0)</f>
        <v>1142.6666666666667</v>
      </c>
      <c r="F108" s="97">
        <f t="shared" si="2"/>
        <v>114.26666666666665</v>
      </c>
      <c r="G108" s="98">
        <f t="shared" si="3"/>
        <v>9.9999999999999978E-2</v>
      </c>
    </row>
    <row r="109" spans="1:7" x14ac:dyDescent="0.35">
      <c r="A109" s="30">
        <v>256779417328</v>
      </c>
      <c r="B109" s="44">
        <v>45904</v>
      </c>
      <c r="C109" s="22"/>
      <c r="D109" s="24">
        <v>2.2000000000000002</v>
      </c>
      <c r="E109" s="22">
        <f>_xlfn.XLOOKUP(A109,'CL Ledger'!$M:$M,'CL Ledger'!$AA:$AA,,0)</f>
        <v>2.25</v>
      </c>
      <c r="F109" s="97">
        <f t="shared" si="2"/>
        <v>4.9999999999999822E-2</v>
      </c>
      <c r="G109" s="98">
        <f t="shared" si="3"/>
        <v>2.2222222222222143E-2</v>
      </c>
    </row>
    <row r="110" spans="1:7" x14ac:dyDescent="0.35">
      <c r="A110" s="30">
        <v>256779416912</v>
      </c>
      <c r="B110" s="44">
        <v>45904</v>
      </c>
      <c r="C110" s="22"/>
      <c r="D110" s="26">
        <v>44.06</v>
      </c>
      <c r="E110" s="22">
        <f>_xlfn.XLOOKUP(A110,'CL Ledger'!$M:$M,'CL Ledger'!$AA:$AA,,0)</f>
        <v>44.96</v>
      </c>
      <c r="F110" s="97">
        <f t="shared" si="2"/>
        <v>0.89999999999999858</v>
      </c>
      <c r="G110" s="98">
        <f t="shared" si="3"/>
        <v>2.0017793594306017E-2</v>
      </c>
    </row>
    <row r="111" spans="1:7" x14ac:dyDescent="0.35">
      <c r="A111" s="30">
        <v>256779417136</v>
      </c>
      <c r="B111" s="44">
        <v>45904</v>
      </c>
      <c r="C111" s="22"/>
      <c r="D111" s="24">
        <v>1.68</v>
      </c>
      <c r="E111" s="22">
        <f>_xlfn.XLOOKUP(A111,'CL Ledger'!$M:$M,'CL Ledger'!$AA:$AA,,0)</f>
        <v>1.71</v>
      </c>
      <c r="F111" s="97">
        <f t="shared" si="2"/>
        <v>3.0000000000000027E-2</v>
      </c>
      <c r="G111" s="98">
        <f t="shared" si="3"/>
        <v>1.7543859649122823E-2</v>
      </c>
    </row>
    <row r="112" spans="1:7" x14ac:dyDescent="0.35">
      <c r="A112" s="30">
        <v>256779416949</v>
      </c>
      <c r="B112" s="44">
        <v>45904</v>
      </c>
      <c r="C112" s="22"/>
      <c r="D112" s="24">
        <v>29.55</v>
      </c>
      <c r="E112" s="22">
        <f>_xlfn.XLOOKUP(A112,'CL Ledger'!$M:$M,'CL Ledger'!$AA:$AA,,0)</f>
        <v>30.16</v>
      </c>
      <c r="F112" s="97">
        <f t="shared" si="2"/>
        <v>0.60999999999999943</v>
      </c>
      <c r="G112" s="98">
        <f t="shared" si="3"/>
        <v>2.0225464190981413E-2</v>
      </c>
    </row>
    <row r="113" spans="1:7" x14ac:dyDescent="0.35">
      <c r="A113" s="16">
        <v>256779417162</v>
      </c>
      <c r="B113" s="43">
        <v>45904</v>
      </c>
      <c r="C113" s="22"/>
      <c r="D113" s="17">
        <v>43.84</v>
      </c>
      <c r="E113" s="22">
        <f>_xlfn.XLOOKUP(A113,'CL Ledger'!$M:$M,'CL Ledger'!$AA:$AA,,0)</f>
        <v>44.74</v>
      </c>
      <c r="F113" s="97">
        <f t="shared" si="2"/>
        <v>0.89999999999999858</v>
      </c>
      <c r="G113" s="98">
        <f t="shared" si="3"/>
        <v>2.0116227089852449E-2</v>
      </c>
    </row>
    <row r="114" spans="1:7" x14ac:dyDescent="0.35">
      <c r="A114" s="16">
        <v>256779417077</v>
      </c>
      <c r="B114" s="43">
        <v>45906</v>
      </c>
      <c r="C114" s="22"/>
      <c r="D114" s="17">
        <v>509.36</v>
      </c>
      <c r="E114" s="22">
        <f>_xlfn.XLOOKUP(A114,'CL Ledger'!$M:$M,'CL Ledger'!$AA:$AA,,0)</f>
        <v>565.97</v>
      </c>
      <c r="F114" s="97">
        <f t="shared" si="2"/>
        <v>56.610000000000014</v>
      </c>
      <c r="G114" s="98">
        <f t="shared" si="3"/>
        <v>0.10002296941534006</v>
      </c>
    </row>
    <row r="115" spans="1:7" x14ac:dyDescent="0.35">
      <c r="A115" s="30">
        <v>256779417528</v>
      </c>
      <c r="B115" s="44">
        <v>45918</v>
      </c>
      <c r="C115" s="22"/>
      <c r="D115" s="24">
        <v>2.94</v>
      </c>
      <c r="E115" s="22">
        <f>_xlfn.XLOOKUP(A115,'CL Ledger'!$M:$M,'CL Ledger'!$AA:$AA,,0)</f>
        <v>3</v>
      </c>
      <c r="F115" s="97">
        <f t="shared" si="2"/>
        <v>6.0000000000000053E-2</v>
      </c>
      <c r="G115" s="98">
        <f t="shared" si="3"/>
        <v>2.0000000000000018E-2</v>
      </c>
    </row>
    <row r="116" spans="1:7" x14ac:dyDescent="0.35">
      <c r="A116" s="30">
        <v>256779417871</v>
      </c>
      <c r="B116" s="44">
        <v>45935</v>
      </c>
      <c r="C116" s="22"/>
      <c r="D116" s="24">
        <v>1020.5200000000001</v>
      </c>
      <c r="E116" s="22">
        <f>_xlfn.XLOOKUP(A116,'CL Ledger'!$M:$M,'CL Ledger'!$AA:$AA,,0)</f>
        <v>1133.9111111111113</v>
      </c>
      <c r="F116" s="97">
        <f t="shared" si="2"/>
        <v>113.39111111111117</v>
      </c>
      <c r="G116" s="98">
        <f t="shared" si="3"/>
        <v>0.10000000000000003</v>
      </c>
    </row>
    <row r="117" spans="1:7" x14ac:dyDescent="0.35">
      <c r="A117" s="30">
        <v>256779418704</v>
      </c>
      <c r="B117" s="44">
        <v>45935</v>
      </c>
      <c r="C117" s="22"/>
      <c r="D117" s="24">
        <v>2.2000000000000002</v>
      </c>
      <c r="E117" s="22">
        <f>_xlfn.XLOOKUP(A117,'CL Ledger'!$M:$M,'CL Ledger'!$AA:$AA,,0)</f>
        <v>2.25</v>
      </c>
      <c r="F117" s="97">
        <f t="shared" si="2"/>
        <v>4.9999999999999822E-2</v>
      </c>
      <c r="G117" s="98">
        <f t="shared" si="3"/>
        <v>2.2222222222222143E-2</v>
      </c>
    </row>
    <row r="118" spans="1:7" x14ac:dyDescent="0.35">
      <c r="A118" s="30">
        <v>256779418478</v>
      </c>
      <c r="B118" s="44">
        <v>45935</v>
      </c>
      <c r="C118" s="22"/>
      <c r="D118" s="31">
        <v>27.09</v>
      </c>
      <c r="E118" s="22">
        <f>_xlfn.XLOOKUP(A118,'CL Ledger'!$M:$M,'CL Ledger'!$AA:$AA,,0)</f>
        <v>27.64</v>
      </c>
      <c r="F118" s="97">
        <f t="shared" si="2"/>
        <v>0.55000000000000071</v>
      </c>
      <c r="G118" s="98">
        <f t="shared" si="3"/>
        <v>1.9898697539797422E-2</v>
      </c>
    </row>
    <row r="119" spans="1:7" x14ac:dyDescent="0.35">
      <c r="A119" s="30">
        <v>256779418354</v>
      </c>
      <c r="B119" s="44">
        <v>45935</v>
      </c>
      <c r="C119" s="22"/>
      <c r="D119" s="31">
        <v>106.77</v>
      </c>
      <c r="E119" s="22">
        <f>_xlfn.XLOOKUP(A119,'CL Ledger'!$M:$M,'CL Ledger'!$AA:$AA,,0)</f>
        <v>108.95</v>
      </c>
      <c r="F119" s="97">
        <f t="shared" si="2"/>
        <v>2.1800000000000068</v>
      </c>
      <c r="G119" s="98">
        <f t="shared" si="3"/>
        <v>2.0009178522257979E-2</v>
      </c>
    </row>
    <row r="120" spans="1:7" x14ac:dyDescent="0.35">
      <c r="A120" s="30">
        <v>256779418342</v>
      </c>
      <c r="B120" s="44">
        <v>45937</v>
      </c>
      <c r="C120" s="22"/>
      <c r="D120" s="24">
        <v>449.77</v>
      </c>
      <c r="E120" s="22">
        <f>_xlfn.XLOOKUP(A120,'CL Ledger'!$M:$M,'CL Ledger'!$AA:$AA,,0)</f>
        <v>458.95</v>
      </c>
      <c r="F120" s="97">
        <f t="shared" si="2"/>
        <v>9.1800000000000068</v>
      </c>
      <c r="G120" s="98">
        <f t="shared" si="3"/>
        <v>2.0002178886588968E-2</v>
      </c>
    </row>
    <row r="121" spans="1:7" x14ac:dyDescent="0.35">
      <c r="A121" s="32">
        <v>256779421976</v>
      </c>
      <c r="B121" s="44">
        <v>45943</v>
      </c>
      <c r="C121" s="22"/>
      <c r="D121" s="33">
        <v>-100.12</v>
      </c>
      <c r="E121" s="22">
        <f>_xlfn.XLOOKUP(A121,'CL Ledger'!$M:$M,'CL Ledger'!$AA:$AA,,0)</f>
        <v>-111.25</v>
      </c>
      <c r="F121" s="97">
        <f t="shared" si="2"/>
        <v>-11.129999999999995</v>
      </c>
      <c r="G121" s="98">
        <f t="shared" si="3"/>
        <v>0.10004494382022468</v>
      </c>
    </row>
    <row r="122" spans="1:7" x14ac:dyDescent="0.35">
      <c r="A122" s="32">
        <v>256779421977</v>
      </c>
      <c r="B122" s="44">
        <v>45943</v>
      </c>
      <c r="C122" s="22"/>
      <c r="D122" s="33">
        <v>-338.76</v>
      </c>
      <c r="E122" s="22">
        <f>_xlfn.XLOOKUP(A122,'CL Ledger'!$M:$M,'CL Ledger'!$AA:$AA,,0)</f>
        <v>-376.4</v>
      </c>
      <c r="F122" s="97">
        <f t="shared" si="2"/>
        <v>-37.639999999999986</v>
      </c>
      <c r="G122" s="98">
        <f t="shared" si="3"/>
        <v>9.9999999999999964E-2</v>
      </c>
    </row>
    <row r="123" spans="1:7" x14ac:dyDescent="0.35">
      <c r="A123" s="32">
        <v>256779421978</v>
      </c>
      <c r="B123" s="44">
        <v>45943</v>
      </c>
      <c r="C123" s="22"/>
      <c r="D123" s="33">
        <v>-352.39</v>
      </c>
      <c r="E123" s="22">
        <f>_xlfn.XLOOKUP(A123,'CL Ledger'!$M:$M,'CL Ledger'!$AA:$AA,,0)</f>
        <v>-391.55</v>
      </c>
      <c r="F123" s="97">
        <f t="shared" si="2"/>
        <v>-39.160000000000025</v>
      </c>
      <c r="G123" s="98">
        <f t="shared" si="3"/>
        <v>0.10001276976120553</v>
      </c>
    </row>
    <row r="124" spans="1:7" x14ac:dyDescent="0.35">
      <c r="A124" s="32">
        <v>256779421974</v>
      </c>
      <c r="B124" s="44">
        <v>45943</v>
      </c>
      <c r="C124" s="22"/>
      <c r="D124" s="33">
        <v>-392.32000000000005</v>
      </c>
      <c r="E124" s="22">
        <f>_xlfn.XLOOKUP(A124,'CL Ledger'!$M:$M,'CL Ledger'!$AA:$AA,,0)</f>
        <v>-435.91</v>
      </c>
      <c r="F124" s="97">
        <f t="shared" si="2"/>
        <v>-43.589999999999975</v>
      </c>
      <c r="G124" s="98">
        <f t="shared" si="3"/>
        <v>9.999770594847554E-2</v>
      </c>
    </row>
    <row r="125" spans="1:7" x14ac:dyDescent="0.35">
      <c r="A125" s="32">
        <v>256779421975</v>
      </c>
      <c r="B125" s="44">
        <v>45943</v>
      </c>
      <c r="C125" s="22"/>
      <c r="D125" s="33">
        <v>-402.34000000000003</v>
      </c>
      <c r="E125" s="22">
        <f>_xlfn.XLOOKUP(A125,'CL Ledger'!$M:$M,'CL Ledger'!$AA:$AA,,0)</f>
        <v>-447.05</v>
      </c>
      <c r="F125" s="97">
        <f t="shared" si="2"/>
        <v>-44.70999999999998</v>
      </c>
      <c r="G125" s="98">
        <f t="shared" si="3"/>
        <v>0.10001118443127162</v>
      </c>
    </row>
    <row r="126" spans="1:7" x14ac:dyDescent="0.35">
      <c r="A126" s="30">
        <v>256779418410</v>
      </c>
      <c r="B126" s="44">
        <v>45944</v>
      </c>
      <c r="C126" s="22"/>
      <c r="D126" s="24">
        <v>432.01</v>
      </c>
      <c r="E126" s="22">
        <f>_xlfn.XLOOKUP(A126,'CL Ledger'!$M:$M,'CL Ledger'!$AA:$AA,,0)</f>
        <v>480.02</v>
      </c>
      <c r="F126" s="97">
        <f t="shared" si="2"/>
        <v>48.009999999999991</v>
      </c>
      <c r="G126" s="98">
        <f t="shared" si="3"/>
        <v>0.10001666597225115</v>
      </c>
    </row>
    <row r="127" spans="1:7" x14ac:dyDescent="0.35">
      <c r="A127" s="30">
        <v>256779419134</v>
      </c>
      <c r="B127" s="44">
        <v>45964</v>
      </c>
      <c r="C127" s="22"/>
      <c r="D127" s="24">
        <v>21.31</v>
      </c>
      <c r="E127" s="22">
        <f>_xlfn.XLOOKUP(A127,'CL Ledger'!$M:$M,'CL Ledger'!$AA:$AA,,0)</f>
        <v>21.75</v>
      </c>
      <c r="F127" s="97">
        <f t="shared" si="2"/>
        <v>0.44000000000000128</v>
      </c>
      <c r="G127" s="98">
        <f t="shared" si="3"/>
        <v>2.0229885057471322E-2</v>
      </c>
    </row>
    <row r="128" spans="1:7" x14ac:dyDescent="0.35">
      <c r="A128" s="30">
        <v>256779418773</v>
      </c>
      <c r="B128" s="44">
        <v>45966</v>
      </c>
      <c r="C128" s="22"/>
      <c r="D128" s="24">
        <v>1022.6899999999999</v>
      </c>
      <c r="E128" s="22">
        <f>_xlfn.XLOOKUP(A128,'CL Ledger'!$M:$M,'CL Ledger'!$AA:$AA,,0)</f>
        <v>1136.3222222222221</v>
      </c>
      <c r="F128" s="97">
        <f t="shared" si="2"/>
        <v>113.63222222222214</v>
      </c>
      <c r="G128" s="98">
        <f t="shared" si="3"/>
        <v>9.9999999999999936E-2</v>
      </c>
    </row>
    <row r="129" spans="1:7" x14ac:dyDescent="0.35">
      <c r="A129" s="30">
        <v>256779418821</v>
      </c>
      <c r="B129" s="44">
        <v>45966</v>
      </c>
      <c r="C129" s="22"/>
      <c r="D129" s="24">
        <v>48.6</v>
      </c>
      <c r="E129" s="22">
        <f>_xlfn.XLOOKUP(A129,'CL Ledger'!$M:$M,'CL Ledger'!$AA:$AA,,0)</f>
        <v>49.59</v>
      </c>
      <c r="F129" s="97">
        <f t="shared" si="2"/>
        <v>0.99000000000000199</v>
      </c>
      <c r="G129" s="98">
        <f t="shared" si="3"/>
        <v>1.9963702359346681E-2</v>
      </c>
    </row>
    <row r="130" spans="1:7" x14ac:dyDescent="0.35">
      <c r="A130" s="30">
        <v>256779418945</v>
      </c>
      <c r="B130" s="44">
        <v>45966</v>
      </c>
      <c r="C130" s="22"/>
      <c r="D130" s="24">
        <v>287.18</v>
      </c>
      <c r="E130" s="22">
        <f>_xlfn.XLOOKUP(A130,'CL Ledger'!$M:$M,'CL Ledger'!$AA:$AA,,0)</f>
        <v>293.04000000000002</v>
      </c>
      <c r="F130" s="97">
        <f t="shared" si="2"/>
        <v>5.8600000000000136</v>
      </c>
      <c r="G130" s="98">
        <f t="shared" si="3"/>
        <v>1.9997269997270042E-2</v>
      </c>
    </row>
    <row r="131" spans="1:7" x14ac:dyDescent="0.35">
      <c r="A131" s="30">
        <v>256779418946</v>
      </c>
      <c r="B131" s="44">
        <v>45966</v>
      </c>
      <c r="C131" s="22"/>
      <c r="D131" s="24">
        <v>287.18</v>
      </c>
      <c r="E131" s="22">
        <f>_xlfn.XLOOKUP(A131,'CL Ledger'!$M:$M,'CL Ledger'!$AA:$AA,,0)</f>
        <v>293.04000000000002</v>
      </c>
      <c r="F131" s="97">
        <f t="shared" si="2"/>
        <v>5.8600000000000136</v>
      </c>
      <c r="G131" s="98">
        <f t="shared" si="3"/>
        <v>1.9997269997270042E-2</v>
      </c>
    </row>
    <row r="132" spans="1:7" x14ac:dyDescent="0.35">
      <c r="A132" s="30">
        <v>256779418947</v>
      </c>
      <c r="B132" s="44">
        <v>45966</v>
      </c>
      <c r="C132" s="22"/>
      <c r="D132" s="24">
        <v>287.18</v>
      </c>
      <c r="E132" s="22">
        <f>_xlfn.XLOOKUP(A132,'CL Ledger'!$M:$M,'CL Ledger'!$AA:$AA,,0)</f>
        <v>293.04000000000002</v>
      </c>
      <c r="F132" s="97">
        <f t="shared" ref="F132:F153" si="4">E132-D132</f>
        <v>5.8600000000000136</v>
      </c>
      <c r="G132" s="98">
        <f t="shared" ref="G132:G153" si="5">F132/E132</f>
        <v>1.9997269997270042E-2</v>
      </c>
    </row>
    <row r="133" spans="1:7" x14ac:dyDescent="0.35">
      <c r="A133" s="30">
        <v>256779419178</v>
      </c>
      <c r="B133" s="44">
        <v>45966</v>
      </c>
      <c r="C133" s="22"/>
      <c r="D133" s="24">
        <v>2.2000000000000002</v>
      </c>
      <c r="E133" s="22">
        <f>_xlfn.XLOOKUP(A133,'CL Ledger'!$M:$M,'CL Ledger'!$AA:$AA,,0)</f>
        <v>2.25</v>
      </c>
      <c r="F133" s="97">
        <f t="shared" si="4"/>
        <v>4.9999999999999822E-2</v>
      </c>
      <c r="G133" s="98">
        <f t="shared" si="5"/>
        <v>2.2222222222222143E-2</v>
      </c>
    </row>
    <row r="134" spans="1:7" x14ac:dyDescent="0.35">
      <c r="A134" s="30">
        <v>256779418870</v>
      </c>
      <c r="B134" s="44">
        <v>45966</v>
      </c>
      <c r="C134" s="22"/>
      <c r="D134" s="24">
        <v>444.51000000000005</v>
      </c>
      <c r="E134" s="22">
        <f>_xlfn.XLOOKUP(A134,'CL Ledger'!$M:$M,'CL Ledger'!$AA:$AA,,0)</f>
        <v>493.91</v>
      </c>
      <c r="F134" s="97">
        <f t="shared" si="4"/>
        <v>49.399999999999977</v>
      </c>
      <c r="G134" s="98">
        <f t="shared" si="5"/>
        <v>0.10001822194326897</v>
      </c>
    </row>
    <row r="135" spans="1:7" x14ac:dyDescent="0.35">
      <c r="A135" s="30">
        <v>256779419202</v>
      </c>
      <c r="B135" s="44">
        <v>45966</v>
      </c>
      <c r="C135" s="22"/>
      <c r="D135" s="24">
        <v>61.41</v>
      </c>
      <c r="E135" s="22">
        <f>_xlfn.XLOOKUP(A135,'CL Ledger'!$M:$M,'CL Ledger'!$AA:$AA,,0)</f>
        <v>62.66</v>
      </c>
      <c r="F135" s="97">
        <f t="shared" si="4"/>
        <v>1.25</v>
      </c>
      <c r="G135" s="98">
        <f t="shared" si="5"/>
        <v>1.9948930737312482E-2</v>
      </c>
    </row>
    <row r="136" spans="1:7" x14ac:dyDescent="0.35">
      <c r="A136" s="30">
        <v>256779417860</v>
      </c>
      <c r="B136" s="44">
        <v>45967</v>
      </c>
      <c r="C136" s="22"/>
      <c r="D136" s="24">
        <v>49</v>
      </c>
      <c r="E136" s="22">
        <f>_xlfn.XLOOKUP(A136,'CL Ledger'!$M:$M,'CL Ledger'!$AA:$AA,,0)</f>
        <v>50</v>
      </c>
      <c r="F136" s="97">
        <f t="shared" si="4"/>
        <v>1</v>
      </c>
      <c r="G136" s="98">
        <f t="shared" si="5"/>
        <v>0.02</v>
      </c>
    </row>
    <row r="137" spans="1:7" x14ac:dyDescent="0.35">
      <c r="A137" s="30">
        <v>256779419365</v>
      </c>
      <c r="B137" s="44">
        <v>45980</v>
      </c>
      <c r="C137" s="22"/>
      <c r="D137" s="24">
        <v>287.13</v>
      </c>
      <c r="E137" s="22">
        <f>_xlfn.XLOOKUP(A137,'CL Ledger'!$M:$M,'CL Ledger'!$AA:$AA,,0)</f>
        <v>292.99</v>
      </c>
      <c r="F137" s="97">
        <f t="shared" si="4"/>
        <v>5.8600000000000136</v>
      </c>
      <c r="G137" s="98">
        <f t="shared" si="5"/>
        <v>2.0000682617154215E-2</v>
      </c>
    </row>
    <row r="138" spans="1:7" x14ac:dyDescent="0.35">
      <c r="A138" s="30">
        <v>256779419592</v>
      </c>
      <c r="B138" s="44">
        <v>45981</v>
      </c>
      <c r="C138" s="22"/>
      <c r="D138" s="24">
        <v>17.27</v>
      </c>
      <c r="E138" s="22">
        <f>_xlfn.XLOOKUP(A138,'CL Ledger'!$M:$M,'CL Ledger'!$AA:$AA,,0)</f>
        <v>17.62</v>
      </c>
      <c r="F138" s="97">
        <f t="shared" si="4"/>
        <v>0.35000000000000142</v>
      </c>
      <c r="G138" s="98">
        <f t="shared" si="5"/>
        <v>1.9863791146424597E-2</v>
      </c>
    </row>
    <row r="139" spans="1:7" x14ac:dyDescent="0.35">
      <c r="A139" s="30">
        <v>256779419633</v>
      </c>
      <c r="B139" s="44">
        <v>45981</v>
      </c>
      <c r="C139" s="22"/>
      <c r="D139" s="24">
        <v>9.18</v>
      </c>
      <c r="E139" s="22">
        <f>_xlfn.XLOOKUP(A139,'CL Ledger'!$M:$M,'CL Ledger'!$AA:$AA,,0)</f>
        <v>9.3699999999999992</v>
      </c>
      <c r="F139" s="97">
        <f t="shared" si="4"/>
        <v>0.1899999999999995</v>
      </c>
      <c r="G139" s="98">
        <f t="shared" si="5"/>
        <v>2.0277481323372416E-2</v>
      </c>
    </row>
    <row r="140" spans="1:7" x14ac:dyDescent="0.35">
      <c r="A140" s="16">
        <v>256779419966</v>
      </c>
      <c r="B140" s="43">
        <v>45995</v>
      </c>
      <c r="C140" s="22"/>
      <c r="D140" s="17">
        <v>1014.65</v>
      </c>
      <c r="E140" s="22">
        <f>_xlfn.XLOOKUP(A140,'CL Ledger'!$M:$M,'CL Ledger'!$AA:$AA,,0)</f>
        <v>1127.3888888888889</v>
      </c>
      <c r="F140" s="97">
        <f t="shared" si="4"/>
        <v>112.73888888888894</v>
      </c>
      <c r="G140" s="98">
        <f t="shared" si="5"/>
        <v>0.10000000000000005</v>
      </c>
    </row>
    <row r="141" spans="1:7" x14ac:dyDescent="0.35">
      <c r="A141" s="16">
        <v>256779419870</v>
      </c>
      <c r="B141" s="43">
        <v>45999</v>
      </c>
      <c r="C141" s="22"/>
      <c r="D141" s="17">
        <v>18.579999999999998</v>
      </c>
      <c r="E141" s="22">
        <f>_xlfn.XLOOKUP(A141,'CL Ledger'!$M:$M,'CL Ledger'!$AA:$AA,,0)</f>
        <v>18.96</v>
      </c>
      <c r="F141" s="97">
        <f t="shared" si="4"/>
        <v>0.38000000000000256</v>
      </c>
      <c r="G141" s="98">
        <f t="shared" si="5"/>
        <v>2.0042194092827138E-2</v>
      </c>
    </row>
    <row r="142" spans="1:7" x14ac:dyDescent="0.35">
      <c r="A142" s="16">
        <v>256779440005</v>
      </c>
      <c r="B142" s="43">
        <v>46024</v>
      </c>
      <c r="C142" s="22"/>
      <c r="D142" s="17">
        <v>406.16300000000001</v>
      </c>
      <c r="E142" s="22">
        <f>_xlfn.XLOOKUP(A142,'CL Ledger'!$M:$M,'CL Ledger'!$AA:$AA,,0)</f>
        <v>451.3</v>
      </c>
      <c r="F142" s="97">
        <f t="shared" si="4"/>
        <v>45.137</v>
      </c>
      <c r="G142" s="98">
        <f t="shared" si="5"/>
        <v>0.10001551074673166</v>
      </c>
    </row>
    <row r="143" spans="1:7" x14ac:dyDescent="0.35">
      <c r="A143" s="16">
        <v>256779440119</v>
      </c>
      <c r="B143" s="43">
        <v>46027</v>
      </c>
      <c r="C143" s="22"/>
      <c r="D143" s="17">
        <v>16.899999999999999</v>
      </c>
      <c r="E143" s="22">
        <f>_xlfn.XLOOKUP(A143,'CL Ledger'!$M:$M,'CL Ledger'!$AA:$AA,,0)</f>
        <v>17.25</v>
      </c>
      <c r="F143" s="97">
        <f t="shared" si="4"/>
        <v>0.35000000000000142</v>
      </c>
      <c r="G143" s="98">
        <f t="shared" si="5"/>
        <v>2.028985507246385E-2</v>
      </c>
    </row>
    <row r="144" spans="1:7" x14ac:dyDescent="0.35">
      <c r="A144" s="16">
        <v>256779440082</v>
      </c>
      <c r="B144" s="43">
        <v>46027</v>
      </c>
      <c r="C144" s="22"/>
      <c r="D144" s="17">
        <v>2.2000000000000002</v>
      </c>
      <c r="E144" s="22">
        <f>_xlfn.XLOOKUP(A144,'CL Ledger'!$M:$M,'CL Ledger'!$AA:$AA,,0)</f>
        <v>2.25</v>
      </c>
      <c r="F144" s="97">
        <f t="shared" si="4"/>
        <v>4.9999999999999822E-2</v>
      </c>
      <c r="G144" s="98">
        <f t="shared" si="5"/>
        <v>2.2222222222222143E-2</v>
      </c>
    </row>
    <row r="145" spans="1:7" x14ac:dyDescent="0.35">
      <c r="A145" s="16">
        <v>256779440070</v>
      </c>
      <c r="B145" s="43">
        <v>46027</v>
      </c>
      <c r="C145" s="22"/>
      <c r="D145" s="17">
        <v>7.04</v>
      </c>
      <c r="E145" s="22">
        <f>_xlfn.XLOOKUP(A145,'CL Ledger'!$M:$M,'CL Ledger'!$AA:$AA,,0)</f>
        <v>7.18</v>
      </c>
      <c r="F145" s="97">
        <f t="shared" si="4"/>
        <v>0.13999999999999968</v>
      </c>
      <c r="G145" s="98">
        <f t="shared" si="5"/>
        <v>1.9498607242339788E-2</v>
      </c>
    </row>
    <row r="146" spans="1:7" x14ac:dyDescent="0.35">
      <c r="A146" s="16">
        <v>256779440102</v>
      </c>
      <c r="B146" s="43">
        <v>46027</v>
      </c>
      <c r="C146" s="22"/>
      <c r="D146" s="17">
        <v>19.98</v>
      </c>
      <c r="E146" s="22">
        <f>_xlfn.XLOOKUP(A146,'CL Ledger'!$M:$M,'CL Ledger'!$AA:$AA,,0)</f>
        <v>20.39</v>
      </c>
      <c r="F146" s="97">
        <f t="shared" si="4"/>
        <v>0.41000000000000014</v>
      </c>
      <c r="G146" s="98">
        <f t="shared" si="5"/>
        <v>2.0107896027464451E-2</v>
      </c>
    </row>
    <row r="147" spans="1:7" x14ac:dyDescent="0.35">
      <c r="A147" s="16">
        <v>256779440305</v>
      </c>
      <c r="B147" s="43">
        <v>46028</v>
      </c>
      <c r="C147" s="22"/>
      <c r="D147" s="17">
        <v>991.81</v>
      </c>
      <c r="E147" s="22">
        <f>_xlfn.XLOOKUP(A147,'CL Ledger'!$M:$M,'CL Ledger'!$AA:$AA,,0)</f>
        <v>1102.0111111111109</v>
      </c>
      <c r="F147" s="97">
        <f t="shared" si="4"/>
        <v>110.201111111111</v>
      </c>
      <c r="G147" s="98">
        <f t="shared" si="5"/>
        <v>9.9999999999999922E-2</v>
      </c>
    </row>
    <row r="148" spans="1:7" x14ac:dyDescent="0.35">
      <c r="A148" s="16">
        <v>256779440236</v>
      </c>
      <c r="B148" s="43">
        <v>46028</v>
      </c>
      <c r="C148" s="22"/>
      <c r="D148" s="17">
        <v>454.71</v>
      </c>
      <c r="E148" s="22">
        <f>_xlfn.XLOOKUP(A148,'CL Ledger'!$M:$M,'CL Ledger'!$AA:$AA,,0)</f>
        <v>505.23</v>
      </c>
      <c r="F148" s="97">
        <f t="shared" si="4"/>
        <v>50.520000000000039</v>
      </c>
      <c r="G148" s="98">
        <f t="shared" si="5"/>
        <v>9.9994062110326062E-2</v>
      </c>
    </row>
    <row r="149" spans="1:7" x14ac:dyDescent="0.35">
      <c r="A149" s="34">
        <v>256779422208</v>
      </c>
      <c r="B149" s="43">
        <v>46035</v>
      </c>
      <c r="C149" s="22"/>
      <c r="D149" s="33">
        <v>-21.53</v>
      </c>
      <c r="E149" s="22">
        <f>_xlfn.XLOOKUP(A149,'CL Ledger'!$M:$M,'CL Ledger'!$AA:$AA,,0)</f>
        <v>-23.92</v>
      </c>
      <c r="F149" s="97">
        <f t="shared" si="4"/>
        <v>-2.3900000000000006</v>
      </c>
      <c r="G149" s="98">
        <f t="shared" si="5"/>
        <v>9.9916387959866237E-2</v>
      </c>
    </row>
    <row r="150" spans="1:7" x14ac:dyDescent="0.35">
      <c r="A150" s="34">
        <v>256779422209</v>
      </c>
      <c r="B150" s="43">
        <v>46035</v>
      </c>
      <c r="C150" s="22"/>
      <c r="D150" s="33">
        <v>-41.07</v>
      </c>
      <c r="E150" s="22">
        <f>_xlfn.XLOOKUP(A150,'CL Ledger'!$M:$M,'CL Ledger'!$AA:$AA,,0)</f>
        <v>-45.63</v>
      </c>
      <c r="F150" s="97">
        <f t="shared" si="4"/>
        <v>-4.5600000000000023</v>
      </c>
      <c r="G150" s="98">
        <f t="shared" si="5"/>
        <v>9.993425378040767E-2</v>
      </c>
    </row>
    <row r="151" spans="1:7" x14ac:dyDescent="0.35">
      <c r="A151" s="34">
        <v>256779422211</v>
      </c>
      <c r="B151" s="43">
        <v>46035</v>
      </c>
      <c r="C151" s="22"/>
      <c r="D151" s="33">
        <v>-19.760000000000002</v>
      </c>
      <c r="E151" s="22">
        <f>_xlfn.XLOOKUP(A151,'CL Ledger'!$M:$M,'CL Ledger'!$AA:$AA,,0)</f>
        <v>-21.96</v>
      </c>
      <c r="F151" s="97">
        <f t="shared" si="4"/>
        <v>-2.1999999999999993</v>
      </c>
      <c r="G151" s="98">
        <f t="shared" si="5"/>
        <v>0.1001821493624772</v>
      </c>
    </row>
    <row r="152" spans="1:7" x14ac:dyDescent="0.35">
      <c r="A152" s="16">
        <v>256779440431</v>
      </c>
      <c r="B152" s="43">
        <v>46045</v>
      </c>
      <c r="C152" s="22"/>
      <c r="D152" s="17">
        <v>2.94</v>
      </c>
      <c r="E152" s="22">
        <f>_xlfn.XLOOKUP(A152,'CL Ledger'!$M:$M,'CL Ledger'!$AA:$AA,,0)</f>
        <v>3</v>
      </c>
      <c r="F152" s="97">
        <f t="shared" si="4"/>
        <v>6.0000000000000053E-2</v>
      </c>
      <c r="G152" s="98">
        <f t="shared" si="5"/>
        <v>2.0000000000000018E-2</v>
      </c>
    </row>
    <row r="153" spans="1:7" x14ac:dyDescent="0.35">
      <c r="A153" s="16">
        <v>256779422210</v>
      </c>
      <c r="B153" s="43">
        <v>46053</v>
      </c>
      <c r="C153" s="22"/>
      <c r="D153" s="17">
        <v>-22.64</v>
      </c>
      <c r="E153" s="22">
        <f>_xlfn.XLOOKUP(A153,'CL Ledger'!$M:$M,'CL Ledger'!$AA:$AA,,0)</f>
        <v>-22.64</v>
      </c>
      <c r="F153" s="97">
        <f t="shared" si="4"/>
        <v>0</v>
      </c>
      <c r="G153" s="98">
        <f t="shared" si="5"/>
        <v>0</v>
      </c>
    </row>
    <row r="154" spans="1:7" x14ac:dyDescent="0.35">
      <c r="D154" s="36">
        <f>SUM(D3:D153)</f>
        <v>33836.943000000028</v>
      </c>
      <c r="E154" s="36">
        <f>SUM(E3:E153)</f>
        <v>37222.118888888923</v>
      </c>
      <c r="F154" s="36">
        <f>SUM(F3:F153)+0.31</f>
        <v>3385.4858888888875</v>
      </c>
      <c r="G154" s="3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863F-D0B3-4D57-ACCD-3A2F26C0B2FA}">
  <dimension ref="A2:G204"/>
  <sheetViews>
    <sheetView topLeftCell="A125" workbookViewId="0">
      <selection activeCell="B157" sqref="B157"/>
    </sheetView>
  </sheetViews>
  <sheetFormatPr defaultRowHeight="14.5" x14ac:dyDescent="0.35"/>
  <cols>
    <col min="1" max="1" width="18.54296875" style="38" customWidth="1"/>
    <col min="2" max="2" width="12.453125" style="49" customWidth="1"/>
    <col min="3" max="3" width="15.36328125" style="36" customWidth="1"/>
    <col min="4" max="4" width="15.54296875" style="36" customWidth="1"/>
    <col min="5" max="5" width="8.7265625" style="36"/>
  </cols>
  <sheetData>
    <row r="2" spans="1:7" x14ac:dyDescent="0.35">
      <c r="A2" s="14" t="s">
        <v>516</v>
      </c>
      <c r="B2" s="42" t="s">
        <v>517</v>
      </c>
      <c r="C2" s="15" t="s">
        <v>518</v>
      </c>
      <c r="D2" s="15" t="s">
        <v>519</v>
      </c>
      <c r="E2" s="22" t="s">
        <v>521</v>
      </c>
      <c r="F2" s="21" t="s">
        <v>556</v>
      </c>
      <c r="G2" s="21" t="s">
        <v>557</v>
      </c>
    </row>
    <row r="3" spans="1:7" x14ac:dyDescent="0.35">
      <c r="A3" s="16">
        <v>246779410007</v>
      </c>
      <c r="B3" s="43">
        <v>45708</v>
      </c>
      <c r="C3" s="17"/>
      <c r="D3" s="18">
        <v>1071.43</v>
      </c>
      <c r="E3" s="22">
        <f>_xlfn.XLOOKUP(A3,'CL Ledger'!$M:$M,'CL Ledger'!$AA:$AA,,0)</f>
        <v>1190.48</v>
      </c>
      <c r="F3" s="97">
        <f>E3-D3</f>
        <v>119.04999999999995</v>
      </c>
      <c r="G3" s="98">
        <f>F3/E3</f>
        <v>0.10000167999462398</v>
      </c>
    </row>
    <row r="4" spans="1:7" x14ac:dyDescent="0.35">
      <c r="A4" s="16">
        <v>246779410138</v>
      </c>
      <c r="B4" s="43">
        <v>45708</v>
      </c>
      <c r="C4" s="17"/>
      <c r="D4" s="18">
        <v>1071.43</v>
      </c>
      <c r="E4" s="22">
        <f>_xlfn.XLOOKUP(A4,'CL Ledger'!$M:$M,'CL Ledger'!$AA:$AA,,0)</f>
        <v>1190.48</v>
      </c>
      <c r="F4" s="97">
        <f t="shared" ref="F4:F67" si="0">E4-D4</f>
        <v>119.04999999999995</v>
      </c>
      <c r="G4" s="98">
        <f t="shared" ref="G4:G67" si="1">F4/E4</f>
        <v>0.10000167999462398</v>
      </c>
    </row>
    <row r="5" spans="1:7" x14ac:dyDescent="0.35">
      <c r="A5" s="16">
        <v>246779410095</v>
      </c>
      <c r="B5" s="43">
        <v>45708</v>
      </c>
      <c r="C5" s="17"/>
      <c r="D5" s="18">
        <v>1071.43</v>
      </c>
      <c r="E5" s="22">
        <f>_xlfn.XLOOKUP(A5,'CL Ledger'!$M:$M,'CL Ledger'!$AA:$AA,,0)</f>
        <v>1190.48</v>
      </c>
      <c r="F5" s="97">
        <f t="shared" si="0"/>
        <v>119.04999999999995</v>
      </c>
      <c r="G5" s="98">
        <f t="shared" si="1"/>
        <v>0.10000167999462398</v>
      </c>
    </row>
    <row r="6" spans="1:7" x14ac:dyDescent="0.35">
      <c r="A6" s="16">
        <v>246779410274</v>
      </c>
      <c r="B6" s="43">
        <v>45708</v>
      </c>
      <c r="C6" s="17"/>
      <c r="D6" s="18">
        <v>1071.43</v>
      </c>
      <c r="E6" s="22">
        <f>_xlfn.XLOOKUP(A6,'CL Ledger'!$M:$M,'CL Ledger'!$AA:$AA,,0)</f>
        <v>1190.48</v>
      </c>
      <c r="F6" s="97">
        <f t="shared" si="0"/>
        <v>119.04999999999995</v>
      </c>
      <c r="G6" s="98">
        <f t="shared" si="1"/>
        <v>0.10000167999462398</v>
      </c>
    </row>
    <row r="7" spans="1:7" x14ac:dyDescent="0.35">
      <c r="A7" s="16">
        <v>246779410027</v>
      </c>
      <c r="B7" s="43">
        <v>45708</v>
      </c>
      <c r="C7" s="17"/>
      <c r="D7" s="18">
        <v>1071.43</v>
      </c>
      <c r="E7" s="22">
        <f>_xlfn.XLOOKUP(A7,'CL Ledger'!$M:$M,'CL Ledger'!$AA:$AA,,0)</f>
        <v>1190.48</v>
      </c>
      <c r="F7" s="97">
        <f t="shared" si="0"/>
        <v>119.04999999999995</v>
      </c>
      <c r="G7" s="98">
        <f t="shared" si="1"/>
        <v>0.10000167999462398</v>
      </c>
    </row>
    <row r="8" spans="1:7" x14ac:dyDescent="0.35">
      <c r="A8" s="16">
        <v>246779410181</v>
      </c>
      <c r="B8" s="43">
        <v>45708</v>
      </c>
      <c r="C8" s="17"/>
      <c r="D8" s="18">
        <v>1049.9299999999998</v>
      </c>
      <c r="E8" s="22">
        <f>_xlfn.XLOOKUP(A8,'CL Ledger'!$M:$M,'CL Ledger'!$AA:$AA,,0)</f>
        <v>1166.5899999999999</v>
      </c>
      <c r="F8" s="97">
        <f t="shared" si="0"/>
        <v>116.66000000000008</v>
      </c>
      <c r="G8" s="98">
        <f t="shared" si="1"/>
        <v>0.10000085719918746</v>
      </c>
    </row>
    <row r="9" spans="1:7" x14ac:dyDescent="0.35">
      <c r="A9" s="16">
        <v>246779410224</v>
      </c>
      <c r="B9" s="43">
        <v>45708</v>
      </c>
      <c r="C9" s="17"/>
      <c r="D9" s="18">
        <v>1028.81</v>
      </c>
      <c r="E9" s="22">
        <f>_xlfn.XLOOKUP(A9,'CL Ledger'!$M:$M,'CL Ledger'!$AA:$AA,,0)</f>
        <v>1143.1199999999999</v>
      </c>
      <c r="F9" s="97">
        <f t="shared" si="0"/>
        <v>114.30999999999995</v>
      </c>
      <c r="G9" s="98">
        <f t="shared" si="1"/>
        <v>9.999825040240741E-2</v>
      </c>
    </row>
    <row r="10" spans="1:7" x14ac:dyDescent="0.35">
      <c r="A10" s="23">
        <v>246779410614</v>
      </c>
      <c r="B10" s="45">
        <v>45719</v>
      </c>
      <c r="C10" s="22"/>
      <c r="D10" s="24">
        <v>2.2000000000000002</v>
      </c>
      <c r="E10" s="22">
        <f>_xlfn.XLOOKUP(A10,'CL Ledger'!$M:$M,'CL Ledger'!$AA:$AA,,0)</f>
        <v>2.25</v>
      </c>
      <c r="F10" s="97">
        <f t="shared" si="0"/>
        <v>4.9999999999999822E-2</v>
      </c>
      <c r="G10" s="98">
        <f t="shared" si="1"/>
        <v>2.2222222222222143E-2</v>
      </c>
    </row>
    <row r="11" spans="1:7" x14ac:dyDescent="0.35">
      <c r="A11" s="25">
        <v>246779410615</v>
      </c>
      <c r="B11" s="46">
        <v>45719</v>
      </c>
      <c r="C11" s="22"/>
      <c r="D11" s="26">
        <v>8.81</v>
      </c>
      <c r="E11" s="22">
        <f>_xlfn.XLOOKUP(A11,'CL Ledger'!$M:$M,'CL Ledger'!$AA:$AA,,0)</f>
        <v>9</v>
      </c>
      <c r="F11" s="97">
        <f t="shared" si="0"/>
        <v>0.1899999999999995</v>
      </c>
      <c r="G11" s="98">
        <f t="shared" si="1"/>
        <v>2.1111111111111056E-2</v>
      </c>
    </row>
    <row r="12" spans="1:7" x14ac:dyDescent="0.35">
      <c r="A12" s="23">
        <v>246779410511</v>
      </c>
      <c r="B12" s="45">
        <v>45719</v>
      </c>
      <c r="C12" s="22"/>
      <c r="D12" s="24">
        <v>13.63</v>
      </c>
      <c r="E12" s="22">
        <f>_xlfn.XLOOKUP(A12,'CL Ledger'!$M:$M,'CL Ledger'!$AA:$AA,,0)</f>
        <v>13.91</v>
      </c>
      <c r="F12" s="97">
        <f t="shared" si="0"/>
        <v>0.27999999999999936</v>
      </c>
      <c r="G12" s="98">
        <f t="shared" si="1"/>
        <v>2.0129403306973354E-2</v>
      </c>
    </row>
    <row r="13" spans="1:7" x14ac:dyDescent="0.35">
      <c r="A13" s="23">
        <v>246779410510</v>
      </c>
      <c r="B13" s="45">
        <v>45719</v>
      </c>
      <c r="C13" s="22"/>
      <c r="D13" s="24">
        <v>191</v>
      </c>
      <c r="E13" s="22">
        <f>_xlfn.XLOOKUP(A13,'CL Ledger'!$M:$M,'CL Ledger'!$AA:$AA,,0)</f>
        <v>194.9</v>
      </c>
      <c r="F13" s="97">
        <f t="shared" si="0"/>
        <v>3.9000000000000057</v>
      </c>
      <c r="G13" s="98">
        <f t="shared" si="1"/>
        <v>2.0010261672652671E-2</v>
      </c>
    </row>
    <row r="14" spans="1:7" x14ac:dyDescent="0.35">
      <c r="A14" s="30">
        <v>246779410368</v>
      </c>
      <c r="B14" s="44">
        <v>45719</v>
      </c>
      <c r="C14" s="22"/>
      <c r="D14" s="24">
        <v>320.78000000000003</v>
      </c>
      <c r="E14" s="22">
        <f>_xlfn.XLOOKUP(A14,'CL Ledger'!$M:$M,'CL Ledger'!$AA:$AA,,0)</f>
        <v>356.43</v>
      </c>
      <c r="F14" s="97">
        <f t="shared" si="0"/>
        <v>35.649999999999977</v>
      </c>
      <c r="G14" s="98">
        <f t="shared" si="1"/>
        <v>0.10001963919984282</v>
      </c>
    </row>
    <row r="15" spans="1:7" x14ac:dyDescent="0.35">
      <c r="A15" s="30">
        <v>246779410394</v>
      </c>
      <c r="B15" s="44">
        <v>45719</v>
      </c>
      <c r="C15" s="22"/>
      <c r="D15" s="24">
        <v>455.27</v>
      </c>
      <c r="E15" s="22">
        <f>_xlfn.XLOOKUP(A15,'CL Ledger'!$M:$M,'CL Ledger'!$AA:$AA,,0)</f>
        <v>505.86</v>
      </c>
      <c r="F15" s="97">
        <f t="shared" si="0"/>
        <v>50.590000000000032</v>
      </c>
      <c r="G15" s="98">
        <f t="shared" si="1"/>
        <v>0.10000790732613772</v>
      </c>
    </row>
    <row r="16" spans="1:7" x14ac:dyDescent="0.35">
      <c r="A16" s="30">
        <v>246779410418</v>
      </c>
      <c r="B16" s="44">
        <v>45719</v>
      </c>
      <c r="C16" s="22"/>
      <c r="D16" s="24">
        <v>506.34000000000003</v>
      </c>
      <c r="E16" s="22">
        <f>_xlfn.XLOOKUP(A16,'CL Ledger'!$M:$M,'CL Ledger'!$AA:$AA,,0)</f>
        <v>562.6</v>
      </c>
      <c r="F16" s="97">
        <f t="shared" si="0"/>
        <v>56.259999999999991</v>
      </c>
      <c r="G16" s="98">
        <f t="shared" si="1"/>
        <v>9.9999999999999978E-2</v>
      </c>
    </row>
    <row r="17" spans="1:7" x14ac:dyDescent="0.35">
      <c r="A17" s="32">
        <v>246779410865</v>
      </c>
      <c r="B17" s="44">
        <v>45719</v>
      </c>
      <c r="C17" s="22"/>
      <c r="D17" s="24">
        <v>370.90000000000003</v>
      </c>
      <c r="E17" s="22">
        <f>_xlfn.XLOOKUP(A17,'CL Ledger'!$M:$M,'CL Ledger'!$AA:$AA,,0)</f>
        <v>412.11</v>
      </c>
      <c r="F17" s="97">
        <f t="shared" si="0"/>
        <v>41.20999999999998</v>
      </c>
      <c r="G17" s="98">
        <f t="shared" si="1"/>
        <v>9.9997573463395648E-2</v>
      </c>
    </row>
    <row r="18" spans="1:7" x14ac:dyDescent="0.35">
      <c r="A18" s="32">
        <v>246779410888</v>
      </c>
      <c r="B18" s="44">
        <v>45719</v>
      </c>
      <c r="C18" s="22"/>
      <c r="D18" s="24">
        <v>401.74</v>
      </c>
      <c r="E18" s="22">
        <f>_xlfn.XLOOKUP(A18,'CL Ledger'!$M:$M,'CL Ledger'!$AA:$AA,,0)</f>
        <v>446.38</v>
      </c>
      <c r="F18" s="97">
        <f t="shared" si="0"/>
        <v>44.639999999999986</v>
      </c>
      <c r="G18" s="98">
        <f t="shared" si="1"/>
        <v>0.10000448048747701</v>
      </c>
    </row>
    <row r="19" spans="1:7" x14ac:dyDescent="0.35">
      <c r="A19" s="16">
        <v>246779410509</v>
      </c>
      <c r="B19" s="43">
        <v>45719</v>
      </c>
      <c r="C19" s="22"/>
      <c r="D19" s="17">
        <v>28.66</v>
      </c>
      <c r="E19" s="22">
        <f>_xlfn.XLOOKUP(A19,'CL Ledger'!$M:$M,'CL Ledger'!$AA:$AA,,0)</f>
        <v>29.25</v>
      </c>
      <c r="F19" s="97">
        <f t="shared" si="0"/>
        <v>0.58999999999999986</v>
      </c>
      <c r="G19" s="98">
        <f t="shared" si="1"/>
        <v>2.0170940170940167E-2</v>
      </c>
    </row>
    <row r="20" spans="1:7" x14ac:dyDescent="0.35">
      <c r="A20" s="23">
        <v>246779410694</v>
      </c>
      <c r="B20" s="45">
        <v>45720</v>
      </c>
      <c r="C20" s="22"/>
      <c r="D20" s="24">
        <v>58.17</v>
      </c>
      <c r="E20" s="22">
        <f>_xlfn.XLOOKUP(A20,'CL Ledger'!$M:$M,'CL Ledger'!$AA:$AA,,0)</f>
        <v>59.36</v>
      </c>
      <c r="F20" s="97">
        <f t="shared" si="0"/>
        <v>1.1899999999999977</v>
      </c>
      <c r="G20" s="98">
        <f t="shared" si="1"/>
        <v>2.0047169811320716E-2</v>
      </c>
    </row>
    <row r="21" spans="1:7" x14ac:dyDescent="0.35">
      <c r="A21" s="23">
        <v>246779410975</v>
      </c>
      <c r="B21" s="45">
        <v>45722</v>
      </c>
      <c r="C21" s="22"/>
      <c r="D21" s="24">
        <v>28.330000000000002</v>
      </c>
      <c r="E21" s="22">
        <f>_xlfn.XLOOKUP(A21,'CL Ledger'!$M:$M,'CL Ledger'!$AA:$AA,,0)</f>
        <v>28.91</v>
      </c>
      <c r="F21" s="97">
        <f t="shared" si="0"/>
        <v>0.57999999999999829</v>
      </c>
      <c r="G21" s="98">
        <f t="shared" si="1"/>
        <v>2.0062262193012739E-2</v>
      </c>
    </row>
    <row r="22" spans="1:7" x14ac:dyDescent="0.35">
      <c r="A22" s="25">
        <v>246779410976</v>
      </c>
      <c r="B22" s="46">
        <v>45722</v>
      </c>
      <c r="C22" s="22"/>
      <c r="D22" s="26">
        <v>23.51</v>
      </c>
      <c r="E22" s="22">
        <f>_xlfn.XLOOKUP(A22,'CL Ledger'!$M:$M,'CL Ledger'!$AA:$AA,,0)</f>
        <v>24</v>
      </c>
      <c r="F22" s="97">
        <f t="shared" si="0"/>
        <v>0.48999999999999844</v>
      </c>
      <c r="G22" s="98">
        <f t="shared" si="1"/>
        <v>2.04166666666666E-2</v>
      </c>
    </row>
    <row r="23" spans="1:7" x14ac:dyDescent="0.35">
      <c r="A23" s="23">
        <v>246779411190</v>
      </c>
      <c r="B23" s="45">
        <v>45722</v>
      </c>
      <c r="C23" s="22"/>
      <c r="D23" s="24">
        <v>16.899999999999999</v>
      </c>
      <c r="E23" s="22">
        <f>_xlfn.XLOOKUP(A23,'CL Ledger'!$M:$M,'CL Ledger'!$AA:$AA,,0)</f>
        <v>17.25</v>
      </c>
      <c r="F23" s="97">
        <f t="shared" si="0"/>
        <v>0.35000000000000142</v>
      </c>
      <c r="G23" s="98">
        <f t="shared" si="1"/>
        <v>2.028985507246385E-2</v>
      </c>
    </row>
    <row r="24" spans="1:7" x14ac:dyDescent="0.35">
      <c r="A24" s="23">
        <v>246779411191</v>
      </c>
      <c r="B24" s="45">
        <v>45722</v>
      </c>
      <c r="C24" s="22"/>
      <c r="D24" s="24">
        <v>25.63</v>
      </c>
      <c r="E24" s="22">
        <f>_xlfn.XLOOKUP(A24,'CL Ledger'!$M:$M,'CL Ledger'!$AA:$AA,,0)</f>
        <v>26.15</v>
      </c>
      <c r="F24" s="97">
        <f t="shared" si="0"/>
        <v>0.51999999999999957</v>
      </c>
      <c r="G24" s="98">
        <f t="shared" si="1"/>
        <v>1.9885277246653905E-2</v>
      </c>
    </row>
    <row r="25" spans="1:7" x14ac:dyDescent="0.35">
      <c r="A25" s="23">
        <v>246779412242</v>
      </c>
      <c r="B25" s="45">
        <v>45730</v>
      </c>
      <c r="C25" s="22"/>
      <c r="D25" s="24">
        <v>4.67</v>
      </c>
      <c r="E25" s="22">
        <f>_xlfn.XLOOKUP(A25,'CL Ledger'!$M:$M,'CL Ledger'!$AA:$AA,,0)</f>
        <v>4.7699999999999996</v>
      </c>
      <c r="F25" s="97">
        <f t="shared" si="0"/>
        <v>9.9999999999999645E-2</v>
      </c>
      <c r="G25" s="98">
        <f t="shared" si="1"/>
        <v>2.0964360587002025E-2</v>
      </c>
    </row>
    <row r="26" spans="1:7" x14ac:dyDescent="0.35">
      <c r="A26" s="23">
        <v>246779412243</v>
      </c>
      <c r="B26" s="45">
        <v>45730</v>
      </c>
      <c r="C26" s="22"/>
      <c r="D26" s="24">
        <v>1.8699999999999999</v>
      </c>
      <c r="E26" s="22">
        <f>_xlfn.XLOOKUP(A26,'CL Ledger'!$M:$M,'CL Ledger'!$AA:$AA,,0)</f>
        <v>1.91</v>
      </c>
      <c r="F26" s="97">
        <f t="shared" si="0"/>
        <v>4.0000000000000036E-2</v>
      </c>
      <c r="G26" s="98">
        <f t="shared" si="1"/>
        <v>2.0942408376963369E-2</v>
      </c>
    </row>
    <row r="27" spans="1:7" x14ac:dyDescent="0.35">
      <c r="A27" s="23">
        <v>246779412244</v>
      </c>
      <c r="B27" s="45">
        <v>45730</v>
      </c>
      <c r="C27" s="22"/>
      <c r="D27" s="24">
        <v>1.8699999999999999</v>
      </c>
      <c r="E27" s="22">
        <f>_xlfn.XLOOKUP(A27,'CL Ledger'!$M:$M,'CL Ledger'!$AA:$AA,,0)</f>
        <v>1.91</v>
      </c>
      <c r="F27" s="97">
        <f t="shared" si="0"/>
        <v>4.0000000000000036E-2</v>
      </c>
      <c r="G27" s="98">
        <f t="shared" si="1"/>
        <v>2.0942408376963369E-2</v>
      </c>
    </row>
    <row r="28" spans="1:7" x14ac:dyDescent="0.35">
      <c r="A28" s="23">
        <v>246779412245</v>
      </c>
      <c r="B28" s="45">
        <v>45730</v>
      </c>
      <c r="C28" s="22"/>
      <c r="D28" s="24">
        <v>4.68</v>
      </c>
      <c r="E28" s="22">
        <f>_xlfn.XLOOKUP(A28,'CL Ledger'!$M:$M,'CL Ledger'!$AA:$AA,,0)</f>
        <v>4.7699999999999996</v>
      </c>
      <c r="F28" s="97">
        <f t="shared" si="0"/>
        <v>8.9999999999999858E-2</v>
      </c>
      <c r="G28" s="98">
        <f t="shared" si="1"/>
        <v>1.8867924528301858E-2</v>
      </c>
    </row>
    <row r="29" spans="1:7" x14ac:dyDescent="0.35">
      <c r="A29" s="23">
        <v>246779411622</v>
      </c>
      <c r="B29" s="45">
        <v>45733</v>
      </c>
      <c r="C29" s="22"/>
      <c r="D29" s="24">
        <v>3.7399999999999998</v>
      </c>
      <c r="E29" s="22">
        <f>_xlfn.XLOOKUP(A29,'CL Ledger'!$M:$M,'CL Ledger'!$AA:$AA,,0)</f>
        <v>3.82</v>
      </c>
      <c r="F29" s="97">
        <f t="shared" si="0"/>
        <v>8.0000000000000071E-2</v>
      </c>
      <c r="G29" s="98">
        <f t="shared" si="1"/>
        <v>2.0942408376963369E-2</v>
      </c>
    </row>
    <row r="30" spans="1:7" x14ac:dyDescent="0.35">
      <c r="A30" s="23">
        <v>246779411623</v>
      </c>
      <c r="B30" s="45">
        <v>45733</v>
      </c>
      <c r="C30" s="22"/>
      <c r="D30" s="24">
        <v>1.8699999999999999</v>
      </c>
      <c r="E30" s="22">
        <f>_xlfn.XLOOKUP(A30,'CL Ledger'!$M:$M,'CL Ledger'!$AA:$AA,,0)</f>
        <v>1.91</v>
      </c>
      <c r="F30" s="97">
        <f t="shared" si="0"/>
        <v>4.0000000000000036E-2</v>
      </c>
      <c r="G30" s="98">
        <f t="shared" si="1"/>
        <v>2.0942408376963369E-2</v>
      </c>
    </row>
    <row r="31" spans="1:7" x14ac:dyDescent="0.35">
      <c r="A31" s="23">
        <v>246779412992</v>
      </c>
      <c r="B31" s="45">
        <v>45735</v>
      </c>
      <c r="C31" s="22"/>
      <c r="D31" s="24">
        <v>1033.7700000000002</v>
      </c>
      <c r="E31" s="22">
        <f>_xlfn.XLOOKUP(A31,'CL Ledger'!$M:$M,'CL Ledger'!$AA:$AA,,0)</f>
        <v>1148.6300000000001</v>
      </c>
      <c r="F31" s="97">
        <f t="shared" si="0"/>
        <v>114.8599999999999</v>
      </c>
      <c r="G31" s="98">
        <f t="shared" si="1"/>
        <v>9.9997388192890571E-2</v>
      </c>
    </row>
    <row r="32" spans="1:7" x14ac:dyDescent="0.35">
      <c r="A32" s="34">
        <v>246779414401</v>
      </c>
      <c r="B32" s="43">
        <v>45736</v>
      </c>
      <c r="C32" s="22"/>
      <c r="D32" s="17">
        <v>14.7</v>
      </c>
      <c r="E32" s="22">
        <f>_xlfn.XLOOKUP(A32,'CL Ledger'!$M:$M,'CL Ledger'!$AA:$AA,,0)</f>
        <v>15</v>
      </c>
      <c r="F32" s="97">
        <f t="shared" si="0"/>
        <v>0.30000000000000071</v>
      </c>
      <c r="G32" s="98">
        <f t="shared" si="1"/>
        <v>2.0000000000000049E-2</v>
      </c>
    </row>
    <row r="33" spans="1:7" x14ac:dyDescent="0.35">
      <c r="A33" s="34">
        <v>246779414400</v>
      </c>
      <c r="B33" s="43">
        <v>45736</v>
      </c>
      <c r="C33" s="22"/>
      <c r="D33" s="17">
        <v>79.33</v>
      </c>
      <c r="E33" s="22">
        <f>_xlfn.XLOOKUP(A33,'CL Ledger'!$M:$M,'CL Ledger'!$AA:$AA,,0)</f>
        <v>80.95</v>
      </c>
      <c r="F33" s="97">
        <f t="shared" si="0"/>
        <v>1.6200000000000045</v>
      </c>
      <c r="G33" s="98">
        <f t="shared" si="1"/>
        <v>2.0012353304509012E-2</v>
      </c>
    </row>
    <row r="34" spans="1:7" x14ac:dyDescent="0.35">
      <c r="A34" s="23">
        <v>246779412240</v>
      </c>
      <c r="B34" s="45">
        <v>45747</v>
      </c>
      <c r="C34" s="22"/>
      <c r="D34" s="24">
        <v>2.8</v>
      </c>
      <c r="E34" s="22">
        <f>_xlfn.XLOOKUP(A34,'CL Ledger'!$M:$M,'CL Ledger'!$AA:$AA,,0)</f>
        <v>2.86</v>
      </c>
      <c r="F34" s="97">
        <f t="shared" si="0"/>
        <v>6.0000000000000053E-2</v>
      </c>
      <c r="G34" s="98">
        <f t="shared" si="1"/>
        <v>2.0979020979020997E-2</v>
      </c>
    </row>
    <row r="35" spans="1:7" x14ac:dyDescent="0.35">
      <c r="A35" s="23">
        <v>246779411452</v>
      </c>
      <c r="B35" s="45">
        <v>45747</v>
      </c>
      <c r="C35" s="22"/>
      <c r="D35" s="24">
        <v>0.92999999999999994</v>
      </c>
      <c r="E35" s="22">
        <f>_xlfn.XLOOKUP(A35,'CL Ledger'!$M:$M,'CL Ledger'!$AA:$AA,,0)</f>
        <v>0.95</v>
      </c>
      <c r="F35" s="97">
        <f t="shared" si="0"/>
        <v>2.0000000000000018E-2</v>
      </c>
      <c r="G35" s="98">
        <f t="shared" si="1"/>
        <v>2.1052631578947389E-2</v>
      </c>
    </row>
    <row r="36" spans="1:7" x14ac:dyDescent="0.35">
      <c r="A36" s="23">
        <v>246779410856</v>
      </c>
      <c r="B36" s="45">
        <v>45748</v>
      </c>
      <c r="C36" s="22"/>
      <c r="D36" s="24">
        <v>17.95</v>
      </c>
      <c r="E36" s="22">
        <f>_xlfn.XLOOKUP(A36,'CL Ledger'!$M:$M,'CL Ledger'!$AA:$AA,,0)</f>
        <v>18.32</v>
      </c>
      <c r="F36" s="97">
        <f t="shared" si="0"/>
        <v>0.37000000000000099</v>
      </c>
      <c r="G36" s="98">
        <f t="shared" si="1"/>
        <v>2.0196506550218395E-2</v>
      </c>
    </row>
    <row r="37" spans="1:7" x14ac:dyDescent="0.35">
      <c r="A37" s="23">
        <v>246779411253</v>
      </c>
      <c r="B37" s="45">
        <v>45748</v>
      </c>
      <c r="C37" s="22"/>
      <c r="D37" s="24">
        <v>19.600000000000001</v>
      </c>
      <c r="E37" s="22">
        <f>_xlfn.XLOOKUP(A37,'CL Ledger'!$M:$M,'CL Ledger'!$AA:$AA,,0)</f>
        <v>20</v>
      </c>
      <c r="F37" s="97">
        <f t="shared" si="0"/>
        <v>0.39999999999999858</v>
      </c>
      <c r="G37" s="98">
        <f t="shared" si="1"/>
        <v>1.9999999999999928E-2</v>
      </c>
    </row>
    <row r="38" spans="1:7" x14ac:dyDescent="0.35">
      <c r="A38" s="23">
        <v>246779411056</v>
      </c>
      <c r="B38" s="45">
        <v>45748</v>
      </c>
      <c r="C38" s="22"/>
      <c r="D38" s="24">
        <v>58.17</v>
      </c>
      <c r="E38" s="22">
        <f>_xlfn.XLOOKUP(A38,'CL Ledger'!$M:$M,'CL Ledger'!$AA:$AA,,0)</f>
        <v>59.36</v>
      </c>
      <c r="F38" s="97">
        <f t="shared" si="0"/>
        <v>1.1899999999999977</v>
      </c>
      <c r="G38" s="98">
        <f t="shared" si="1"/>
        <v>2.0047169811320716E-2</v>
      </c>
    </row>
    <row r="39" spans="1:7" x14ac:dyDescent="0.35">
      <c r="A39" s="23">
        <v>246779411485</v>
      </c>
      <c r="B39" s="45">
        <v>45748</v>
      </c>
      <c r="C39" s="22"/>
      <c r="D39" s="24">
        <v>98</v>
      </c>
      <c r="E39" s="22">
        <f>_xlfn.XLOOKUP(A39,'CL Ledger'!$M:$M,'CL Ledger'!$AA:$AA,,0)</f>
        <v>100</v>
      </c>
      <c r="F39" s="97">
        <f t="shared" si="0"/>
        <v>2</v>
      </c>
      <c r="G39" s="98">
        <f t="shared" si="1"/>
        <v>0.02</v>
      </c>
    </row>
    <row r="40" spans="1:7" x14ac:dyDescent="0.35">
      <c r="A40" s="23">
        <v>246779414225</v>
      </c>
      <c r="B40" s="45">
        <v>45748</v>
      </c>
      <c r="C40" s="22"/>
      <c r="D40" s="24">
        <v>13.23</v>
      </c>
      <c r="E40" s="22">
        <f>_xlfn.XLOOKUP(A40,'CL Ledger'!$M:$M,'CL Ledger'!$AA:$AA,,0)</f>
        <v>13.5</v>
      </c>
      <c r="F40" s="97">
        <f t="shared" si="0"/>
        <v>0.26999999999999957</v>
      </c>
      <c r="G40" s="98">
        <f t="shared" si="1"/>
        <v>1.9999999999999969E-2</v>
      </c>
    </row>
    <row r="41" spans="1:7" x14ac:dyDescent="0.35">
      <c r="A41" s="23">
        <v>246779414607</v>
      </c>
      <c r="B41" s="45">
        <v>45748</v>
      </c>
      <c r="C41" s="22"/>
      <c r="D41" s="24">
        <v>2.2000000000000002</v>
      </c>
      <c r="E41" s="22">
        <f>_xlfn.XLOOKUP(A41,'CL Ledger'!$M:$M,'CL Ledger'!$AA:$AA,,0)</f>
        <v>2.25</v>
      </c>
      <c r="F41" s="97">
        <f t="shared" si="0"/>
        <v>4.9999999999999822E-2</v>
      </c>
      <c r="G41" s="98">
        <f t="shared" si="1"/>
        <v>2.2222222222222143E-2</v>
      </c>
    </row>
    <row r="42" spans="1:7" x14ac:dyDescent="0.35">
      <c r="A42" s="23">
        <v>246779414738</v>
      </c>
      <c r="B42" s="45">
        <v>45748</v>
      </c>
      <c r="C42" s="22"/>
      <c r="D42" s="24">
        <v>2.2000000000000002</v>
      </c>
      <c r="E42" s="22">
        <f>_xlfn.XLOOKUP(A42,'CL Ledger'!$M:$M,'CL Ledger'!$AA:$AA,,0)</f>
        <v>2.25</v>
      </c>
      <c r="F42" s="97">
        <f t="shared" si="0"/>
        <v>4.9999999999999822E-2</v>
      </c>
      <c r="G42" s="98">
        <f t="shared" si="1"/>
        <v>2.2222222222222143E-2</v>
      </c>
    </row>
    <row r="43" spans="1:7" x14ac:dyDescent="0.35">
      <c r="A43" s="23">
        <v>246779414685</v>
      </c>
      <c r="B43" s="45">
        <v>45748</v>
      </c>
      <c r="C43" s="22"/>
      <c r="D43" s="24">
        <v>42.07</v>
      </c>
      <c r="E43" s="22">
        <f>_xlfn.XLOOKUP(A43,'CL Ledger'!$M:$M,'CL Ledger'!$AA:$AA,,0)</f>
        <v>42.93</v>
      </c>
      <c r="F43" s="97">
        <f t="shared" si="0"/>
        <v>0.85999999999999943</v>
      </c>
      <c r="G43" s="98">
        <f t="shared" si="1"/>
        <v>2.0032611227579766E-2</v>
      </c>
    </row>
    <row r="44" spans="1:7" x14ac:dyDescent="0.35">
      <c r="A44" s="23">
        <v>246779414739</v>
      </c>
      <c r="B44" s="45">
        <v>45748</v>
      </c>
      <c r="C44" s="22"/>
      <c r="D44" s="24">
        <v>0.73</v>
      </c>
      <c r="E44" s="22">
        <f>_xlfn.XLOOKUP(A44,'CL Ledger'!$M:$M,'CL Ledger'!$AA:$AA,,0)</f>
        <v>0.75</v>
      </c>
      <c r="F44" s="97">
        <f t="shared" si="0"/>
        <v>2.0000000000000018E-2</v>
      </c>
      <c r="G44" s="98">
        <f t="shared" si="1"/>
        <v>2.6666666666666689E-2</v>
      </c>
    </row>
    <row r="45" spans="1:7" x14ac:dyDescent="0.35">
      <c r="A45" s="23">
        <v>246779413953</v>
      </c>
      <c r="B45" s="45">
        <v>45748</v>
      </c>
      <c r="C45" s="22"/>
      <c r="D45" s="24">
        <v>2.94</v>
      </c>
      <c r="E45" s="22">
        <f>_xlfn.XLOOKUP(A45,'CL Ledger'!$M:$M,'CL Ledger'!$AA:$AA,,0)</f>
        <v>3</v>
      </c>
      <c r="F45" s="97">
        <f t="shared" si="0"/>
        <v>6.0000000000000053E-2</v>
      </c>
      <c r="G45" s="98">
        <f t="shared" si="1"/>
        <v>2.0000000000000018E-2</v>
      </c>
    </row>
    <row r="46" spans="1:7" x14ac:dyDescent="0.35">
      <c r="A46" s="23">
        <v>246779414794</v>
      </c>
      <c r="B46" s="45">
        <v>45748</v>
      </c>
      <c r="C46" s="22"/>
      <c r="D46" s="24">
        <v>2.2000000000000002</v>
      </c>
      <c r="E46" s="22">
        <f>_xlfn.XLOOKUP(A46,'CL Ledger'!$M:$M,'CL Ledger'!$AA:$AA,,0)</f>
        <v>2.25</v>
      </c>
      <c r="F46" s="97">
        <f t="shared" si="0"/>
        <v>4.9999999999999822E-2</v>
      </c>
      <c r="G46" s="98">
        <f t="shared" si="1"/>
        <v>2.2222222222222143E-2</v>
      </c>
    </row>
    <row r="47" spans="1:7" x14ac:dyDescent="0.35">
      <c r="A47" s="23">
        <v>246779414795</v>
      </c>
      <c r="B47" s="45">
        <v>45748</v>
      </c>
      <c r="C47" s="22"/>
      <c r="D47" s="24">
        <v>0.73</v>
      </c>
      <c r="E47" s="22">
        <f>_xlfn.XLOOKUP(A47,'CL Ledger'!$M:$M,'CL Ledger'!$AA:$AA,,0)</f>
        <v>0.75</v>
      </c>
      <c r="F47" s="97">
        <f t="shared" si="0"/>
        <v>2.0000000000000018E-2</v>
      </c>
      <c r="G47" s="98">
        <f t="shared" si="1"/>
        <v>2.6666666666666689E-2</v>
      </c>
    </row>
    <row r="48" spans="1:7" x14ac:dyDescent="0.35">
      <c r="A48" s="20">
        <v>246779411057</v>
      </c>
      <c r="B48" s="43">
        <v>45748</v>
      </c>
      <c r="C48" s="22"/>
      <c r="D48" s="24">
        <v>66.320000000000007</v>
      </c>
      <c r="E48" s="22">
        <f>_xlfn.XLOOKUP(A48,'CL Ledger'!$M:$M,'CL Ledger'!$AA:$AA,,0)</f>
        <v>67.67</v>
      </c>
      <c r="F48" s="97">
        <f t="shared" si="0"/>
        <v>1.3499999999999943</v>
      </c>
      <c r="G48" s="98">
        <f t="shared" si="1"/>
        <v>1.994975616964673E-2</v>
      </c>
    </row>
    <row r="49" spans="1:7" x14ac:dyDescent="0.35">
      <c r="A49" s="23">
        <v>256779410138</v>
      </c>
      <c r="B49" s="45">
        <v>45750</v>
      </c>
      <c r="C49" s="22"/>
      <c r="D49" s="24">
        <v>1.47</v>
      </c>
      <c r="E49" s="22">
        <f>_xlfn.XLOOKUP(A49,'CL Ledger'!$M:$M,'CL Ledger'!$AA:$AA,,0)</f>
        <v>1.5</v>
      </c>
      <c r="F49" s="97">
        <f t="shared" si="0"/>
        <v>3.0000000000000027E-2</v>
      </c>
      <c r="G49" s="98">
        <f t="shared" si="1"/>
        <v>2.0000000000000018E-2</v>
      </c>
    </row>
    <row r="50" spans="1:7" x14ac:dyDescent="0.35">
      <c r="A50" s="23">
        <v>256779410137</v>
      </c>
      <c r="B50" s="45">
        <v>45750</v>
      </c>
      <c r="C50" s="22"/>
      <c r="D50" s="24">
        <v>4.41</v>
      </c>
      <c r="E50" s="22">
        <f>_xlfn.XLOOKUP(A50,'CL Ledger'!$M:$M,'CL Ledger'!$AA:$AA,,0)</f>
        <v>4.5</v>
      </c>
      <c r="F50" s="97">
        <f t="shared" si="0"/>
        <v>8.9999999999999858E-2</v>
      </c>
      <c r="G50" s="98">
        <f t="shared" si="1"/>
        <v>1.9999999999999969E-2</v>
      </c>
    </row>
    <row r="51" spans="1:7" x14ac:dyDescent="0.35">
      <c r="A51" s="30">
        <v>256779410807</v>
      </c>
      <c r="B51" s="44">
        <v>45751</v>
      </c>
      <c r="C51" s="22"/>
      <c r="D51" s="24">
        <v>668.43000000000006</v>
      </c>
      <c r="E51" s="22">
        <f>_xlfn.XLOOKUP(A51,'CL Ledger'!$M:$M,'CL Ledger'!$AA:$AA,,0)</f>
        <v>742.7</v>
      </c>
      <c r="F51" s="97">
        <f t="shared" si="0"/>
        <v>74.269999999999982</v>
      </c>
      <c r="G51" s="98">
        <f t="shared" si="1"/>
        <v>9.9999999999999964E-2</v>
      </c>
    </row>
    <row r="52" spans="1:7" x14ac:dyDescent="0.35">
      <c r="A52" s="16">
        <v>256779410791</v>
      </c>
      <c r="B52" s="43">
        <v>45751</v>
      </c>
      <c r="C52" s="22"/>
      <c r="D52" s="17">
        <v>397.08</v>
      </c>
      <c r="E52" s="22">
        <f>_xlfn.XLOOKUP(A52,'CL Ledger'!$M:$M,'CL Ledger'!$AA:$AA,,0)</f>
        <v>441.2</v>
      </c>
      <c r="F52" s="97">
        <f t="shared" si="0"/>
        <v>44.120000000000005</v>
      </c>
      <c r="G52" s="98">
        <f t="shared" si="1"/>
        <v>0.10000000000000002</v>
      </c>
    </row>
    <row r="53" spans="1:7" x14ac:dyDescent="0.35">
      <c r="A53" s="23">
        <v>256779411891</v>
      </c>
      <c r="B53" s="45">
        <v>45759</v>
      </c>
      <c r="C53" s="22"/>
      <c r="D53" s="24">
        <v>2.2000000000000002</v>
      </c>
      <c r="E53" s="22">
        <f>_xlfn.XLOOKUP(A53,'CL Ledger'!$M:$M,'CL Ledger'!$AA:$AA,,0)</f>
        <v>2.25</v>
      </c>
      <c r="F53" s="97">
        <f t="shared" si="0"/>
        <v>4.9999999999999822E-2</v>
      </c>
      <c r="G53" s="98">
        <f t="shared" si="1"/>
        <v>2.2222222222222143E-2</v>
      </c>
    </row>
    <row r="54" spans="1:7" x14ac:dyDescent="0.35">
      <c r="A54" s="23">
        <v>256779411587</v>
      </c>
      <c r="B54" s="45">
        <v>45762</v>
      </c>
      <c r="C54" s="22"/>
      <c r="D54" s="24">
        <v>2.2000000000000002</v>
      </c>
      <c r="E54" s="22">
        <f>_xlfn.XLOOKUP(A54,'CL Ledger'!$M:$M,'CL Ledger'!$AA:$AA,,0)</f>
        <v>2.25</v>
      </c>
      <c r="F54" s="97">
        <f t="shared" si="0"/>
        <v>4.9999999999999822E-2</v>
      </c>
      <c r="G54" s="98">
        <f t="shared" si="1"/>
        <v>2.2222222222222143E-2</v>
      </c>
    </row>
    <row r="55" spans="1:7" x14ac:dyDescent="0.35">
      <c r="A55" s="23">
        <v>256779411588</v>
      </c>
      <c r="B55" s="45">
        <v>45762</v>
      </c>
      <c r="C55" s="22"/>
      <c r="D55" s="24">
        <v>2.2000000000000002</v>
      </c>
      <c r="E55" s="22">
        <f>_xlfn.XLOOKUP(A55,'CL Ledger'!$M:$M,'CL Ledger'!$AA:$AA,,0)</f>
        <v>2.25</v>
      </c>
      <c r="F55" s="97">
        <f t="shared" si="0"/>
        <v>4.9999999999999822E-2</v>
      </c>
      <c r="G55" s="98">
        <f t="shared" si="1"/>
        <v>2.2222222222222143E-2</v>
      </c>
    </row>
    <row r="56" spans="1:7" x14ac:dyDescent="0.35">
      <c r="A56" s="23">
        <v>256779411591</v>
      </c>
      <c r="B56" s="45">
        <v>45762</v>
      </c>
      <c r="C56" s="22"/>
      <c r="D56" s="24">
        <v>2.94</v>
      </c>
      <c r="E56" s="22">
        <f>_xlfn.XLOOKUP(A56,'CL Ledger'!$M:$M,'CL Ledger'!$AA:$AA,,0)</f>
        <v>3</v>
      </c>
      <c r="F56" s="97">
        <f t="shared" si="0"/>
        <v>6.0000000000000053E-2</v>
      </c>
      <c r="G56" s="98">
        <f t="shared" si="1"/>
        <v>2.0000000000000018E-2</v>
      </c>
    </row>
    <row r="57" spans="1:7" x14ac:dyDescent="0.35">
      <c r="A57" s="23">
        <v>256779411592</v>
      </c>
      <c r="B57" s="45">
        <v>45762</v>
      </c>
      <c r="C57" s="22"/>
      <c r="D57" s="24">
        <v>9.4</v>
      </c>
      <c r="E57" s="22">
        <f>_xlfn.XLOOKUP(A57,'CL Ledger'!$M:$M,'CL Ledger'!$AA:$AA,,0)</f>
        <v>9.59</v>
      </c>
      <c r="F57" s="97">
        <f t="shared" si="0"/>
        <v>0.1899999999999995</v>
      </c>
      <c r="G57" s="98">
        <f t="shared" si="1"/>
        <v>1.9812304483837279E-2</v>
      </c>
    </row>
    <row r="58" spans="1:7" x14ac:dyDescent="0.35">
      <c r="A58" s="23">
        <v>256779411593</v>
      </c>
      <c r="B58" s="45">
        <v>45762</v>
      </c>
      <c r="C58" s="22"/>
      <c r="D58" s="24">
        <v>2.94</v>
      </c>
      <c r="E58" s="22">
        <f>_xlfn.XLOOKUP(A58,'CL Ledger'!$M:$M,'CL Ledger'!$AA:$AA,,0)</f>
        <v>3</v>
      </c>
      <c r="F58" s="97">
        <f t="shared" si="0"/>
        <v>6.0000000000000053E-2</v>
      </c>
      <c r="G58" s="98">
        <f t="shared" si="1"/>
        <v>2.0000000000000018E-2</v>
      </c>
    </row>
    <row r="59" spans="1:7" x14ac:dyDescent="0.35">
      <c r="A59" s="23">
        <v>256779411594</v>
      </c>
      <c r="B59" s="45">
        <v>45762</v>
      </c>
      <c r="C59" s="22"/>
      <c r="D59" s="24">
        <v>5.14</v>
      </c>
      <c r="E59" s="22">
        <f>_xlfn.XLOOKUP(A59,'CL Ledger'!$M:$M,'CL Ledger'!$AA:$AA,,0)</f>
        <v>5.25</v>
      </c>
      <c r="F59" s="97">
        <f t="shared" si="0"/>
        <v>0.11000000000000032</v>
      </c>
      <c r="G59" s="98">
        <f t="shared" si="1"/>
        <v>2.0952380952381014E-2</v>
      </c>
    </row>
    <row r="60" spans="1:7" x14ac:dyDescent="0.35">
      <c r="A60" s="23">
        <v>256779411595</v>
      </c>
      <c r="B60" s="45">
        <v>45762</v>
      </c>
      <c r="C60" s="22"/>
      <c r="D60" s="24">
        <v>61.1</v>
      </c>
      <c r="E60" s="22">
        <f>_xlfn.XLOOKUP(A60,'CL Ledger'!$M:$M,'CL Ledger'!$AA:$AA,,0)</f>
        <v>62.35</v>
      </c>
      <c r="F60" s="97">
        <f t="shared" si="0"/>
        <v>1.25</v>
      </c>
      <c r="G60" s="98">
        <f t="shared" si="1"/>
        <v>2.0048115477145148E-2</v>
      </c>
    </row>
    <row r="61" spans="1:7" x14ac:dyDescent="0.35">
      <c r="A61" s="23">
        <v>256779411596</v>
      </c>
      <c r="B61" s="45">
        <v>45762</v>
      </c>
      <c r="C61" s="22"/>
      <c r="D61" s="24">
        <v>13.600000000000001</v>
      </c>
      <c r="E61" s="22">
        <f>_xlfn.XLOOKUP(A61,'CL Ledger'!$M:$M,'CL Ledger'!$AA:$AA,,0)</f>
        <v>13.88</v>
      </c>
      <c r="F61" s="97">
        <f t="shared" si="0"/>
        <v>0.27999999999999936</v>
      </c>
      <c r="G61" s="98">
        <f t="shared" si="1"/>
        <v>2.0172910662824159E-2</v>
      </c>
    </row>
    <row r="62" spans="1:7" x14ac:dyDescent="0.35">
      <c r="A62" s="23">
        <v>256779411597</v>
      </c>
      <c r="B62" s="45">
        <v>45762</v>
      </c>
      <c r="C62" s="22"/>
      <c r="D62" s="24">
        <v>19.55</v>
      </c>
      <c r="E62" s="22">
        <f>_xlfn.XLOOKUP(A62,'CL Ledger'!$M:$M,'CL Ledger'!$AA:$AA,,0)</f>
        <v>19.95</v>
      </c>
      <c r="F62" s="97">
        <f t="shared" si="0"/>
        <v>0.39999999999999858</v>
      </c>
      <c r="G62" s="98">
        <f t="shared" si="1"/>
        <v>2.0050125313283138E-2</v>
      </c>
    </row>
    <row r="63" spans="1:7" x14ac:dyDescent="0.35">
      <c r="A63" s="23">
        <v>256779411160</v>
      </c>
      <c r="B63" s="45">
        <v>45762</v>
      </c>
      <c r="C63" s="22"/>
      <c r="D63" s="24">
        <v>18.009999999999998</v>
      </c>
      <c r="E63" s="22">
        <f>_xlfn.XLOOKUP(A63,'CL Ledger'!$M:$M,'CL Ledger'!$AA:$AA,,0)</f>
        <v>18.38</v>
      </c>
      <c r="F63" s="97">
        <f t="shared" si="0"/>
        <v>0.37000000000000099</v>
      </c>
      <c r="G63" s="98">
        <f t="shared" si="1"/>
        <v>2.0130576713819424E-2</v>
      </c>
    </row>
    <row r="64" spans="1:7" x14ac:dyDescent="0.35">
      <c r="A64" s="23">
        <v>256779411161</v>
      </c>
      <c r="B64" s="45">
        <v>45762</v>
      </c>
      <c r="C64" s="22"/>
      <c r="D64" s="24">
        <v>45.82</v>
      </c>
      <c r="E64" s="22">
        <f>_xlfn.XLOOKUP(A64,'CL Ledger'!$M:$M,'CL Ledger'!$AA:$AA,,0)</f>
        <v>46.76</v>
      </c>
      <c r="F64" s="97">
        <f t="shared" si="0"/>
        <v>0.93999999999999773</v>
      </c>
      <c r="G64" s="98">
        <f t="shared" si="1"/>
        <v>2.0102651839178736E-2</v>
      </c>
    </row>
    <row r="65" spans="1:7" x14ac:dyDescent="0.35">
      <c r="A65" s="23">
        <v>256779411162</v>
      </c>
      <c r="B65" s="45">
        <v>45762</v>
      </c>
      <c r="C65" s="22"/>
      <c r="D65" s="24">
        <v>34.54</v>
      </c>
      <c r="E65" s="22">
        <f>_xlfn.XLOOKUP(A65,'CL Ledger'!$M:$M,'CL Ledger'!$AA:$AA,,0)</f>
        <v>35.25</v>
      </c>
      <c r="F65" s="97">
        <f t="shared" si="0"/>
        <v>0.71000000000000085</v>
      </c>
      <c r="G65" s="98">
        <f t="shared" si="1"/>
        <v>2.014184397163123E-2</v>
      </c>
    </row>
    <row r="66" spans="1:7" x14ac:dyDescent="0.35">
      <c r="A66" s="23">
        <v>256779411163</v>
      </c>
      <c r="B66" s="45">
        <v>45762</v>
      </c>
      <c r="C66" s="22"/>
      <c r="D66" s="24">
        <v>23.52</v>
      </c>
      <c r="E66" s="22">
        <f>_xlfn.XLOOKUP(A66,'CL Ledger'!$M:$M,'CL Ledger'!$AA:$AA,,0)</f>
        <v>24</v>
      </c>
      <c r="F66" s="97">
        <f t="shared" si="0"/>
        <v>0.48000000000000043</v>
      </c>
      <c r="G66" s="98">
        <f t="shared" si="1"/>
        <v>2.0000000000000018E-2</v>
      </c>
    </row>
    <row r="67" spans="1:7" x14ac:dyDescent="0.35">
      <c r="A67" s="23">
        <v>256779411164</v>
      </c>
      <c r="B67" s="45">
        <v>45762</v>
      </c>
      <c r="C67" s="22"/>
      <c r="D67" s="24">
        <v>32.340000000000003</v>
      </c>
      <c r="E67" s="22">
        <f>_xlfn.XLOOKUP(A67,'CL Ledger'!$M:$M,'CL Ledger'!$AA:$AA,,0)</f>
        <v>33</v>
      </c>
      <c r="F67" s="97">
        <f t="shared" si="0"/>
        <v>0.65999999999999659</v>
      </c>
      <c r="G67" s="98">
        <f t="shared" si="1"/>
        <v>1.9999999999999896E-2</v>
      </c>
    </row>
    <row r="68" spans="1:7" x14ac:dyDescent="0.35">
      <c r="A68" s="16">
        <v>256779411589</v>
      </c>
      <c r="B68" s="43">
        <v>45762</v>
      </c>
      <c r="C68" s="22"/>
      <c r="D68" s="17">
        <v>3.31</v>
      </c>
      <c r="E68" s="22">
        <f>_xlfn.XLOOKUP(A68,'CL Ledger'!$M:$M,'CL Ledger'!$AA:$AA,,0)</f>
        <v>3.38</v>
      </c>
      <c r="F68" s="97">
        <f t="shared" ref="F68:F131" si="2">E68-D68</f>
        <v>6.999999999999984E-2</v>
      </c>
      <c r="G68" s="98">
        <f t="shared" ref="G68:G131" si="3">F68/E68</f>
        <v>2.0710059171597586E-2</v>
      </c>
    </row>
    <row r="69" spans="1:7" x14ac:dyDescent="0.35">
      <c r="A69" s="23">
        <v>256779411890</v>
      </c>
      <c r="B69" s="45">
        <v>45763</v>
      </c>
      <c r="C69" s="22"/>
      <c r="D69" s="24">
        <v>24.25</v>
      </c>
      <c r="E69" s="22">
        <f>_xlfn.XLOOKUP(A69,'CL Ledger'!$M:$M,'CL Ledger'!$AA:$AA,,0)</f>
        <v>24.75</v>
      </c>
      <c r="F69" s="97">
        <f t="shared" si="2"/>
        <v>0.5</v>
      </c>
      <c r="G69" s="98">
        <f t="shared" si="3"/>
        <v>2.0202020202020204E-2</v>
      </c>
    </row>
    <row r="70" spans="1:7" x14ac:dyDescent="0.35">
      <c r="A70" s="23">
        <v>256779411811</v>
      </c>
      <c r="B70" s="45">
        <v>45763</v>
      </c>
      <c r="C70" s="22"/>
      <c r="D70" s="24">
        <v>3.18</v>
      </c>
      <c r="E70" s="22">
        <f>_xlfn.XLOOKUP(A70,'CL Ledger'!$M:$M,'CL Ledger'!$AA:$AA,,0)</f>
        <v>3.24</v>
      </c>
      <c r="F70" s="97">
        <f t="shared" si="2"/>
        <v>6.0000000000000053E-2</v>
      </c>
      <c r="G70" s="98">
        <f t="shared" si="3"/>
        <v>1.8518518518518535E-2</v>
      </c>
    </row>
    <row r="71" spans="1:7" x14ac:dyDescent="0.35">
      <c r="A71" s="23">
        <v>256779411812</v>
      </c>
      <c r="B71" s="45">
        <v>45763</v>
      </c>
      <c r="C71" s="22"/>
      <c r="D71" s="24">
        <v>14.7</v>
      </c>
      <c r="E71" s="22">
        <f>_xlfn.XLOOKUP(A71,'CL Ledger'!$M:$M,'CL Ledger'!$AA:$AA,,0)</f>
        <v>15</v>
      </c>
      <c r="F71" s="97">
        <f t="shared" si="2"/>
        <v>0.30000000000000071</v>
      </c>
      <c r="G71" s="98">
        <f t="shared" si="3"/>
        <v>2.0000000000000049E-2</v>
      </c>
    </row>
    <row r="72" spans="1:7" x14ac:dyDescent="0.35">
      <c r="A72" s="23">
        <v>256779412103</v>
      </c>
      <c r="B72" s="45">
        <v>45763</v>
      </c>
      <c r="C72" s="22"/>
      <c r="D72" s="24">
        <v>41.67</v>
      </c>
      <c r="E72" s="22">
        <f>_xlfn.XLOOKUP(A72,'CL Ledger'!$M:$M,'CL Ledger'!$AA:$AA,,0)</f>
        <v>42.53</v>
      </c>
      <c r="F72" s="97">
        <f t="shared" si="2"/>
        <v>0.85999999999999943</v>
      </c>
      <c r="G72" s="98">
        <f t="shared" si="3"/>
        <v>2.0221020456148587E-2</v>
      </c>
    </row>
    <row r="73" spans="1:7" x14ac:dyDescent="0.35">
      <c r="A73" s="16">
        <v>256779412113</v>
      </c>
      <c r="B73" s="43">
        <v>45763</v>
      </c>
      <c r="C73" s="22"/>
      <c r="D73" s="17">
        <v>744.73</v>
      </c>
      <c r="E73" s="22">
        <f>_xlfn.XLOOKUP(A73,'CL Ledger'!$M:$M,'CL Ledger'!$AA:$AA,,0)</f>
        <v>827.48</v>
      </c>
      <c r="F73" s="97">
        <f t="shared" si="2"/>
        <v>82.75</v>
      </c>
      <c r="G73" s="98">
        <f t="shared" si="3"/>
        <v>0.10000241697684537</v>
      </c>
    </row>
    <row r="74" spans="1:7" x14ac:dyDescent="0.35">
      <c r="A74" s="23">
        <v>256779412153</v>
      </c>
      <c r="B74" s="45">
        <v>45768</v>
      </c>
      <c r="C74" s="22"/>
      <c r="D74" s="24">
        <v>1048.83</v>
      </c>
      <c r="E74" s="22">
        <f>_xlfn.XLOOKUP(A74,'CL Ledger'!$M:$M,'CL Ledger'!$AA:$AA,,0)</f>
        <v>1165.3699999999999</v>
      </c>
      <c r="F74" s="97">
        <f t="shared" si="2"/>
        <v>116.53999999999996</v>
      </c>
      <c r="G74" s="98">
        <f t="shared" si="3"/>
        <v>0.10000257428971054</v>
      </c>
    </row>
    <row r="75" spans="1:7" x14ac:dyDescent="0.35">
      <c r="A75" s="23">
        <v>256779412617</v>
      </c>
      <c r="B75" s="45">
        <v>45769</v>
      </c>
      <c r="C75" s="22"/>
      <c r="D75" s="24">
        <v>376.93</v>
      </c>
      <c r="E75" s="22">
        <f>_xlfn.XLOOKUP(A75,'CL Ledger'!$M:$M,'CL Ledger'!$AA:$AA,,0)</f>
        <v>384.63</v>
      </c>
      <c r="F75" s="97">
        <f t="shared" si="2"/>
        <v>7.6999999999999886</v>
      </c>
      <c r="G75" s="98">
        <f t="shared" si="3"/>
        <v>2.0019239268907751E-2</v>
      </c>
    </row>
    <row r="76" spans="1:7" x14ac:dyDescent="0.35">
      <c r="A76" s="25">
        <v>256779412660</v>
      </c>
      <c r="B76" s="46">
        <v>45769</v>
      </c>
      <c r="C76" s="22"/>
      <c r="D76" s="26">
        <v>7.34</v>
      </c>
      <c r="E76" s="22">
        <f>_xlfn.XLOOKUP(A76,'CL Ledger'!$M:$M,'CL Ledger'!$AA:$AA,,0)</f>
        <v>7.5</v>
      </c>
      <c r="F76" s="97">
        <f t="shared" si="2"/>
        <v>0.16000000000000014</v>
      </c>
      <c r="G76" s="98">
        <f t="shared" si="3"/>
        <v>2.1333333333333353E-2</v>
      </c>
    </row>
    <row r="77" spans="1:7" x14ac:dyDescent="0.35">
      <c r="A77" s="23">
        <v>256779412932</v>
      </c>
      <c r="B77" s="45">
        <v>45770</v>
      </c>
      <c r="C77" s="22"/>
      <c r="D77" s="24">
        <v>65.52</v>
      </c>
      <c r="E77" s="22">
        <f>_xlfn.XLOOKUP(A77,'CL Ledger'!$M:$M,'CL Ledger'!$AA:$AA,,0)</f>
        <v>66.86</v>
      </c>
      <c r="F77" s="97">
        <f t="shared" si="2"/>
        <v>1.3400000000000034</v>
      </c>
      <c r="G77" s="98">
        <f t="shared" si="3"/>
        <v>2.0041878552198675E-2</v>
      </c>
    </row>
    <row r="78" spans="1:7" x14ac:dyDescent="0.35">
      <c r="A78" s="23">
        <v>256779413142</v>
      </c>
      <c r="B78" s="45">
        <v>45787</v>
      </c>
      <c r="C78" s="22"/>
      <c r="D78" s="24">
        <v>1046.71</v>
      </c>
      <c r="E78" s="22">
        <f>_xlfn.XLOOKUP(A78,'CL Ledger'!$M:$M,'CL Ledger'!$AA:$AA,,0)</f>
        <v>1163.0111111111112</v>
      </c>
      <c r="F78" s="97">
        <f t="shared" si="2"/>
        <v>116.30111111111114</v>
      </c>
      <c r="G78" s="98">
        <f t="shared" si="3"/>
        <v>0.10000000000000002</v>
      </c>
    </row>
    <row r="79" spans="1:7" x14ac:dyDescent="0.35">
      <c r="A79" s="23">
        <v>256779411590</v>
      </c>
      <c r="B79" s="45">
        <v>45789</v>
      </c>
      <c r="C79" s="22"/>
      <c r="D79" s="24">
        <v>2.2000000000000002</v>
      </c>
      <c r="E79" s="22">
        <f>_xlfn.XLOOKUP(A79,'CL Ledger'!$M:$M,'CL Ledger'!$AA:$AA,,0)</f>
        <v>2.25</v>
      </c>
      <c r="F79" s="97">
        <f t="shared" si="2"/>
        <v>4.9999999999999822E-2</v>
      </c>
      <c r="G79" s="98">
        <f t="shared" si="3"/>
        <v>2.2222222222222143E-2</v>
      </c>
    </row>
    <row r="80" spans="1:7" x14ac:dyDescent="0.35">
      <c r="A80" s="23">
        <v>256779413361</v>
      </c>
      <c r="B80" s="45">
        <v>45793</v>
      </c>
      <c r="C80" s="22"/>
      <c r="D80" s="24">
        <v>2.94</v>
      </c>
      <c r="E80" s="22">
        <f>_xlfn.XLOOKUP(A80,'CL Ledger'!$M:$M,'CL Ledger'!$AA:$AA,,0)</f>
        <v>3</v>
      </c>
      <c r="F80" s="97">
        <f t="shared" si="2"/>
        <v>6.0000000000000053E-2</v>
      </c>
      <c r="G80" s="98">
        <f t="shared" si="3"/>
        <v>2.0000000000000018E-2</v>
      </c>
    </row>
    <row r="81" spans="1:7" x14ac:dyDescent="0.35">
      <c r="A81" s="20">
        <v>256779413272</v>
      </c>
      <c r="B81" s="43">
        <v>45793</v>
      </c>
      <c r="C81" s="22"/>
      <c r="D81" s="24">
        <v>24.77</v>
      </c>
      <c r="E81" s="22">
        <f>_xlfn.XLOOKUP(A81,'CL Ledger'!$M:$M,'CL Ledger'!$AA:$AA,,0)</f>
        <v>25.28</v>
      </c>
      <c r="F81" s="97">
        <f t="shared" si="2"/>
        <v>0.51000000000000156</v>
      </c>
      <c r="G81" s="98">
        <f t="shared" si="3"/>
        <v>2.0174050632911455E-2</v>
      </c>
    </row>
    <row r="82" spans="1:7" x14ac:dyDescent="0.35">
      <c r="A82" s="27">
        <v>256779413490</v>
      </c>
      <c r="B82" s="45">
        <v>45797</v>
      </c>
      <c r="C82" s="22"/>
      <c r="D82" s="24">
        <v>2.94</v>
      </c>
      <c r="E82" s="22">
        <f>_xlfn.XLOOKUP(A82,'CL Ledger'!$M:$M,'CL Ledger'!$AA:$AA,,0)</f>
        <v>3</v>
      </c>
      <c r="F82" s="97">
        <f t="shared" si="2"/>
        <v>6.0000000000000053E-2</v>
      </c>
      <c r="G82" s="98">
        <f t="shared" si="3"/>
        <v>2.0000000000000018E-2</v>
      </c>
    </row>
    <row r="83" spans="1:7" x14ac:dyDescent="0.35">
      <c r="A83" s="16">
        <v>256779413893</v>
      </c>
      <c r="B83" s="43">
        <v>45805</v>
      </c>
      <c r="C83" s="22"/>
      <c r="D83" s="17">
        <v>717.81</v>
      </c>
      <c r="E83" s="22">
        <f>_xlfn.XLOOKUP(A83,'CL Ledger'!$M:$M,'CL Ledger'!$AA:$AA,,0)</f>
        <v>797.57</v>
      </c>
      <c r="F83" s="97">
        <f t="shared" si="2"/>
        <v>79.760000000000105</v>
      </c>
      <c r="G83" s="98">
        <f t="shared" si="3"/>
        <v>0.10000376142532956</v>
      </c>
    </row>
    <row r="84" spans="1:7" x14ac:dyDescent="0.35">
      <c r="A84" s="30">
        <v>256779414003</v>
      </c>
      <c r="B84" s="44">
        <v>45812</v>
      </c>
      <c r="C84" s="22"/>
      <c r="D84" s="24">
        <v>726.65</v>
      </c>
      <c r="E84" s="22">
        <f>_xlfn.XLOOKUP(A84,'CL Ledger'!$M:$M,'CL Ledger'!$AA:$AA,,0)</f>
        <v>807.39</v>
      </c>
      <c r="F84" s="97">
        <f t="shared" si="2"/>
        <v>80.740000000000009</v>
      </c>
      <c r="G84" s="98">
        <f t="shared" si="3"/>
        <v>0.10000123855881297</v>
      </c>
    </row>
    <row r="85" spans="1:7" x14ac:dyDescent="0.35">
      <c r="A85" s="30">
        <v>256779414004</v>
      </c>
      <c r="B85" s="44">
        <v>45812</v>
      </c>
      <c r="C85" s="22"/>
      <c r="D85" s="24">
        <v>727.33999999999992</v>
      </c>
      <c r="E85" s="22">
        <f>_xlfn.XLOOKUP(A85,'CL Ledger'!$M:$M,'CL Ledger'!$AA:$AA,,0)</f>
        <v>808.16</v>
      </c>
      <c r="F85" s="97">
        <f t="shared" si="2"/>
        <v>80.82000000000005</v>
      </c>
      <c r="G85" s="98">
        <f t="shared" si="3"/>
        <v>0.10000494951494759</v>
      </c>
    </row>
    <row r="86" spans="1:7" x14ac:dyDescent="0.35">
      <c r="A86" s="30">
        <v>256779414005</v>
      </c>
      <c r="B86" s="44">
        <v>45812</v>
      </c>
      <c r="C86" s="22"/>
      <c r="D86" s="24">
        <v>724.75</v>
      </c>
      <c r="E86" s="22">
        <f>_xlfn.XLOOKUP(A86,'CL Ledger'!$M:$M,'CL Ledger'!$AA:$AA,,0)</f>
        <v>805.28</v>
      </c>
      <c r="F86" s="97">
        <f t="shared" si="2"/>
        <v>80.529999999999973</v>
      </c>
      <c r="G86" s="98">
        <f t="shared" si="3"/>
        <v>0.10000248360818594</v>
      </c>
    </row>
    <row r="87" spans="1:7" x14ac:dyDescent="0.35">
      <c r="A87" s="30">
        <v>256779414006</v>
      </c>
      <c r="B87" s="44">
        <v>45812</v>
      </c>
      <c r="C87" s="22"/>
      <c r="D87" s="24">
        <v>721.32</v>
      </c>
      <c r="E87" s="22">
        <f>_xlfn.XLOOKUP(A87,'CL Ledger'!$M:$M,'CL Ledger'!$AA:$AA,,0)</f>
        <v>801.47</v>
      </c>
      <c r="F87" s="97">
        <f t="shared" si="2"/>
        <v>80.149999999999977</v>
      </c>
      <c r="G87" s="98">
        <f t="shared" si="3"/>
        <v>0.10000374312201327</v>
      </c>
    </row>
    <row r="88" spans="1:7" x14ac:dyDescent="0.35">
      <c r="A88" s="30">
        <v>256779414007</v>
      </c>
      <c r="B88" s="44">
        <v>45812</v>
      </c>
      <c r="C88" s="22"/>
      <c r="D88" s="24">
        <v>711.8</v>
      </c>
      <c r="E88" s="22">
        <f>_xlfn.XLOOKUP(A88,'CL Ledger'!$M:$M,'CL Ledger'!$AA:$AA,,0)</f>
        <v>790.89</v>
      </c>
      <c r="F88" s="97">
        <f t="shared" si="2"/>
        <v>79.090000000000032</v>
      </c>
      <c r="G88" s="98">
        <f t="shared" si="3"/>
        <v>0.10000126439833609</v>
      </c>
    </row>
    <row r="89" spans="1:7" x14ac:dyDescent="0.35">
      <c r="A89" s="16">
        <v>256779414234</v>
      </c>
      <c r="B89" s="43">
        <v>45815</v>
      </c>
      <c r="C89" s="22"/>
      <c r="D89" s="17">
        <v>832.7</v>
      </c>
      <c r="E89" s="22">
        <f>_xlfn.XLOOKUP(A89,'CL Ledger'!$M:$M,'CL Ledger'!$AA:$AA,,0)</f>
        <v>925.23</v>
      </c>
      <c r="F89" s="97">
        <f t="shared" si="2"/>
        <v>92.529999999999973</v>
      </c>
      <c r="G89" s="98">
        <f t="shared" si="3"/>
        <v>0.10000756568636984</v>
      </c>
    </row>
    <row r="90" spans="1:7" x14ac:dyDescent="0.35">
      <c r="A90" s="20">
        <v>256779414354</v>
      </c>
      <c r="B90" s="43">
        <v>45818</v>
      </c>
      <c r="C90" s="22"/>
      <c r="D90" s="24">
        <v>1052.75</v>
      </c>
      <c r="E90" s="22">
        <f>_xlfn.XLOOKUP(A90,'CL Ledger'!$M:$M,'CL Ledger'!$AA:$AA,,0)</f>
        <v>1169.7222222222222</v>
      </c>
      <c r="F90" s="97">
        <f t="shared" si="2"/>
        <v>116.97222222222217</v>
      </c>
      <c r="G90" s="98">
        <f t="shared" si="3"/>
        <v>9.9999999999999964E-2</v>
      </c>
    </row>
    <row r="91" spans="1:7" x14ac:dyDescent="0.35">
      <c r="A91" s="20">
        <v>256779414912</v>
      </c>
      <c r="B91" s="43">
        <v>45842</v>
      </c>
      <c r="C91" s="22"/>
      <c r="D91" s="28">
        <v>1046.5</v>
      </c>
      <c r="E91" s="22">
        <f>_xlfn.XLOOKUP(A91,'CL Ledger'!$M:$M,'CL Ledger'!$AA:$AA,,0)</f>
        <v>1162.7777777777778</v>
      </c>
      <c r="F91" s="97">
        <f t="shared" si="2"/>
        <v>116.27777777777783</v>
      </c>
      <c r="G91" s="98">
        <f t="shared" si="3"/>
        <v>0.10000000000000003</v>
      </c>
    </row>
    <row r="92" spans="1:7" x14ac:dyDescent="0.35">
      <c r="A92" s="29">
        <v>256779415190</v>
      </c>
      <c r="B92" s="43">
        <v>45842</v>
      </c>
      <c r="C92" s="22"/>
      <c r="D92" s="28">
        <v>621.63000000000011</v>
      </c>
      <c r="E92" s="22">
        <f>_xlfn.XLOOKUP(A92,'CL Ledger'!$M:$M,'CL Ledger'!$AA:$AA,,0)</f>
        <v>690.7</v>
      </c>
      <c r="F92" s="97">
        <f t="shared" si="2"/>
        <v>69.069999999999936</v>
      </c>
      <c r="G92" s="98">
        <f t="shared" si="3"/>
        <v>9.9999999999999895E-2</v>
      </c>
    </row>
    <row r="93" spans="1:7" x14ac:dyDescent="0.35">
      <c r="A93" s="20">
        <v>256779414833</v>
      </c>
      <c r="B93" s="43">
        <v>45842</v>
      </c>
      <c r="C93" s="22"/>
      <c r="D93" s="24">
        <v>2.94</v>
      </c>
      <c r="E93" s="22">
        <f>_xlfn.XLOOKUP(A93,'CL Ledger'!$M:$M,'CL Ledger'!$AA:$AA,,0)</f>
        <v>3</v>
      </c>
      <c r="F93" s="97">
        <f t="shared" si="2"/>
        <v>6.0000000000000053E-2</v>
      </c>
      <c r="G93" s="98">
        <f t="shared" si="3"/>
        <v>2.0000000000000018E-2</v>
      </c>
    </row>
    <row r="94" spans="1:7" x14ac:dyDescent="0.35">
      <c r="A94" s="20">
        <v>256779415485</v>
      </c>
      <c r="B94" s="43">
        <v>45856</v>
      </c>
      <c r="C94" s="22"/>
      <c r="D94" s="24">
        <v>16.899999999999999</v>
      </c>
      <c r="E94" s="22">
        <f>_xlfn.XLOOKUP(A94,'CL Ledger'!$M:$M,'CL Ledger'!$AA:$AA,,0)</f>
        <v>17.25</v>
      </c>
      <c r="F94" s="97">
        <f t="shared" si="2"/>
        <v>0.35000000000000142</v>
      </c>
      <c r="G94" s="98">
        <f t="shared" si="3"/>
        <v>2.028985507246385E-2</v>
      </c>
    </row>
    <row r="95" spans="1:7" x14ac:dyDescent="0.35">
      <c r="A95" s="20">
        <v>256779415533</v>
      </c>
      <c r="B95" s="43">
        <v>45856</v>
      </c>
      <c r="C95" s="22"/>
      <c r="D95" s="24">
        <v>21.31</v>
      </c>
      <c r="E95" s="22">
        <f>_xlfn.XLOOKUP(A95,'CL Ledger'!$M:$M,'CL Ledger'!$AA:$AA,,0)</f>
        <v>21.75</v>
      </c>
      <c r="F95" s="97">
        <f t="shared" si="2"/>
        <v>0.44000000000000128</v>
      </c>
      <c r="G95" s="98">
        <f t="shared" si="3"/>
        <v>2.0229885057471322E-2</v>
      </c>
    </row>
    <row r="96" spans="1:7" x14ac:dyDescent="0.35">
      <c r="A96" s="20">
        <v>256779415772</v>
      </c>
      <c r="B96" s="43">
        <v>45857</v>
      </c>
      <c r="C96" s="22"/>
      <c r="D96" s="24">
        <v>58.24</v>
      </c>
      <c r="E96" s="22">
        <f>_xlfn.XLOOKUP(A96,'CL Ledger'!$M:$M,'CL Ledger'!$AA:$AA,,0)</f>
        <v>59.43</v>
      </c>
      <c r="F96" s="97">
        <f t="shared" si="2"/>
        <v>1.1899999999999977</v>
      </c>
      <c r="G96" s="98">
        <f t="shared" si="3"/>
        <v>2.0023557126030586E-2</v>
      </c>
    </row>
    <row r="97" spans="1:7" x14ac:dyDescent="0.35">
      <c r="A97" s="20">
        <v>256779416024</v>
      </c>
      <c r="B97" s="43">
        <v>45870</v>
      </c>
      <c r="C97" s="22"/>
      <c r="D97" s="24">
        <v>1046.1400000000001</v>
      </c>
      <c r="E97" s="22">
        <f>_xlfn.XLOOKUP(A97,'CL Ledger'!$M:$M,'CL Ledger'!$AA:$AA,,0)</f>
        <v>1162.377777777778</v>
      </c>
      <c r="F97" s="97">
        <f t="shared" si="2"/>
        <v>116.23777777777786</v>
      </c>
      <c r="G97" s="98">
        <f t="shared" si="3"/>
        <v>0.10000000000000006</v>
      </c>
    </row>
    <row r="98" spans="1:7" x14ac:dyDescent="0.35">
      <c r="A98" s="20">
        <v>256779416082</v>
      </c>
      <c r="B98" s="43">
        <v>45877</v>
      </c>
      <c r="C98" s="22"/>
      <c r="D98" s="24">
        <v>683.69999999999993</v>
      </c>
      <c r="E98" s="22">
        <f>_xlfn.XLOOKUP(A98,'CL Ledger'!$M:$M,'CL Ledger'!$AA:$AA,,0)</f>
        <v>759.67</v>
      </c>
      <c r="F98" s="97">
        <f t="shared" si="2"/>
        <v>75.970000000000027</v>
      </c>
      <c r="G98" s="98">
        <f t="shared" si="3"/>
        <v>0.10000394908315458</v>
      </c>
    </row>
    <row r="99" spans="1:7" x14ac:dyDescent="0.35">
      <c r="A99" s="20">
        <v>256779416446</v>
      </c>
      <c r="B99" s="43">
        <v>45877</v>
      </c>
      <c r="C99" s="22"/>
      <c r="D99" s="24">
        <v>2.23</v>
      </c>
      <c r="E99" s="22">
        <f>_xlfn.XLOOKUP(A99,'CL Ledger'!$M:$M,'CL Ledger'!$AA:$AA,,0)</f>
        <v>2.2799999999999998</v>
      </c>
      <c r="F99" s="97">
        <f t="shared" si="2"/>
        <v>4.9999999999999822E-2</v>
      </c>
      <c r="G99" s="98">
        <f t="shared" si="3"/>
        <v>2.1929824561403431E-2</v>
      </c>
    </row>
    <row r="100" spans="1:7" x14ac:dyDescent="0.35">
      <c r="A100" s="20">
        <v>256779416257</v>
      </c>
      <c r="B100" s="43">
        <v>45877</v>
      </c>
      <c r="C100" s="22"/>
      <c r="D100" s="24">
        <v>22.42</v>
      </c>
      <c r="E100" s="22">
        <f>_xlfn.XLOOKUP(A100,'CL Ledger'!$M:$M,'CL Ledger'!$AA:$AA,,0)</f>
        <v>22.87</v>
      </c>
      <c r="F100" s="97">
        <f t="shared" si="2"/>
        <v>0.44999999999999929</v>
      </c>
      <c r="G100" s="98">
        <f t="shared" si="3"/>
        <v>1.9676432006996033E-2</v>
      </c>
    </row>
    <row r="101" spans="1:7" x14ac:dyDescent="0.35">
      <c r="A101" s="20">
        <v>256779416228</v>
      </c>
      <c r="B101" s="43">
        <v>45877</v>
      </c>
      <c r="C101" s="22"/>
      <c r="D101" s="24">
        <v>2.94</v>
      </c>
      <c r="E101" s="22">
        <f>_xlfn.XLOOKUP(A101,'CL Ledger'!$M:$M,'CL Ledger'!$AA:$AA,,0)</f>
        <v>3</v>
      </c>
      <c r="F101" s="97">
        <f t="shared" si="2"/>
        <v>6.0000000000000053E-2</v>
      </c>
      <c r="G101" s="98">
        <f t="shared" si="3"/>
        <v>2.0000000000000018E-2</v>
      </c>
    </row>
    <row r="102" spans="1:7" x14ac:dyDescent="0.35">
      <c r="A102" s="20">
        <v>256779416246</v>
      </c>
      <c r="B102" s="43">
        <v>45877</v>
      </c>
      <c r="C102" s="22"/>
      <c r="D102" s="24">
        <v>69.540000000000006</v>
      </c>
      <c r="E102" s="22">
        <f>_xlfn.XLOOKUP(A102,'CL Ledger'!$M:$M,'CL Ledger'!$AA:$AA,,0)</f>
        <v>70.95</v>
      </c>
      <c r="F102" s="97">
        <f t="shared" si="2"/>
        <v>1.4099999999999966</v>
      </c>
      <c r="G102" s="98">
        <f t="shared" si="3"/>
        <v>1.9873150105708195E-2</v>
      </c>
    </row>
    <row r="103" spans="1:7" x14ac:dyDescent="0.35">
      <c r="A103" s="20">
        <v>256779416182</v>
      </c>
      <c r="B103" s="43">
        <v>45877</v>
      </c>
      <c r="C103" s="22"/>
      <c r="D103" s="24">
        <v>17.64</v>
      </c>
      <c r="E103" s="22">
        <f>_xlfn.XLOOKUP(A103,'CL Ledger'!$M:$M,'CL Ledger'!$AA:$AA,,0)</f>
        <v>18</v>
      </c>
      <c r="F103" s="97">
        <f t="shared" si="2"/>
        <v>0.35999999999999943</v>
      </c>
      <c r="G103" s="98">
        <f t="shared" si="3"/>
        <v>1.9999999999999969E-2</v>
      </c>
    </row>
    <row r="104" spans="1:7" x14ac:dyDescent="0.35">
      <c r="A104" s="20">
        <v>256779416604</v>
      </c>
      <c r="B104" s="43">
        <v>45889</v>
      </c>
      <c r="C104" s="22"/>
      <c r="D104" s="24">
        <v>16.959999999999997</v>
      </c>
      <c r="E104" s="22">
        <f>_xlfn.XLOOKUP(A104,'CL Ledger'!$M:$M,'CL Ledger'!$AA:$AA,,0)</f>
        <v>17.309999999999999</v>
      </c>
      <c r="F104" s="97">
        <f t="shared" si="2"/>
        <v>0.35000000000000142</v>
      </c>
      <c r="G104" s="98">
        <f t="shared" si="3"/>
        <v>2.0219526285384256E-2</v>
      </c>
    </row>
    <row r="105" spans="1:7" x14ac:dyDescent="0.35">
      <c r="A105" s="20">
        <v>256779416847</v>
      </c>
      <c r="B105" s="43">
        <v>45889</v>
      </c>
      <c r="C105" s="22"/>
      <c r="D105" s="24">
        <v>27.27</v>
      </c>
      <c r="E105" s="22">
        <f>_xlfn.XLOOKUP(A105,'CL Ledger'!$M:$M,'CL Ledger'!$AA:$AA,,0)</f>
        <v>27.83</v>
      </c>
      <c r="F105" s="97">
        <f t="shared" si="2"/>
        <v>0.55999999999999872</v>
      </c>
      <c r="G105" s="98">
        <f t="shared" si="3"/>
        <v>2.0122170319798734E-2</v>
      </c>
    </row>
    <row r="106" spans="1:7" x14ac:dyDescent="0.35">
      <c r="A106" s="20">
        <v>256779416882</v>
      </c>
      <c r="B106" s="43">
        <v>45889</v>
      </c>
      <c r="C106" s="22"/>
      <c r="D106" s="24">
        <v>12.57</v>
      </c>
      <c r="E106" s="22">
        <f>_xlfn.XLOOKUP(A106,'CL Ledger'!$M:$M,'CL Ledger'!$AA:$AA,,0)</f>
        <v>12.83</v>
      </c>
      <c r="F106" s="97">
        <f t="shared" si="2"/>
        <v>0.25999999999999979</v>
      </c>
      <c r="G106" s="98">
        <f t="shared" si="3"/>
        <v>2.0265003897116118E-2</v>
      </c>
    </row>
    <row r="107" spans="1:7" x14ac:dyDescent="0.35">
      <c r="A107" s="20">
        <v>256779416616</v>
      </c>
      <c r="B107" s="43">
        <v>45889</v>
      </c>
      <c r="C107" s="22"/>
      <c r="D107" s="24">
        <v>62.379999999999995</v>
      </c>
      <c r="E107" s="22">
        <f>_xlfn.XLOOKUP(A107,'CL Ledger'!$M:$M,'CL Ledger'!$AA:$AA,,0)</f>
        <v>63.65</v>
      </c>
      <c r="F107" s="97">
        <f t="shared" si="2"/>
        <v>1.2700000000000031</v>
      </c>
      <c r="G107" s="98">
        <f t="shared" si="3"/>
        <v>1.9952867242733749E-2</v>
      </c>
    </row>
    <row r="108" spans="1:7" x14ac:dyDescent="0.35">
      <c r="A108" s="30">
        <v>256779417344</v>
      </c>
      <c r="B108" s="44">
        <v>45904</v>
      </c>
      <c r="C108" s="22"/>
      <c r="D108" s="24">
        <v>1028.4000000000001</v>
      </c>
      <c r="E108" s="22">
        <f>_xlfn.XLOOKUP(A108,'CL Ledger'!$M:$M,'CL Ledger'!$AA:$AA,,0)</f>
        <v>1142.6666666666667</v>
      </c>
      <c r="F108" s="97">
        <f t="shared" si="2"/>
        <v>114.26666666666665</v>
      </c>
      <c r="G108" s="98">
        <f t="shared" si="3"/>
        <v>9.9999999999999978E-2</v>
      </c>
    </row>
    <row r="109" spans="1:7" x14ac:dyDescent="0.35">
      <c r="A109" s="30">
        <v>256779417328</v>
      </c>
      <c r="B109" s="44">
        <v>45904</v>
      </c>
      <c r="C109" s="22"/>
      <c r="D109" s="24">
        <v>2.2000000000000002</v>
      </c>
      <c r="E109" s="22">
        <f>_xlfn.XLOOKUP(A109,'CL Ledger'!$M:$M,'CL Ledger'!$AA:$AA,,0)</f>
        <v>2.25</v>
      </c>
      <c r="F109" s="97">
        <f t="shared" si="2"/>
        <v>4.9999999999999822E-2</v>
      </c>
      <c r="G109" s="98">
        <f t="shared" si="3"/>
        <v>2.2222222222222143E-2</v>
      </c>
    </row>
    <row r="110" spans="1:7" x14ac:dyDescent="0.35">
      <c r="A110" s="30">
        <v>256779416912</v>
      </c>
      <c r="B110" s="44">
        <v>45904</v>
      </c>
      <c r="C110" s="22"/>
      <c r="D110" s="26">
        <v>44.06</v>
      </c>
      <c r="E110" s="22">
        <f>_xlfn.XLOOKUP(A110,'CL Ledger'!$M:$M,'CL Ledger'!$AA:$AA,,0)</f>
        <v>44.96</v>
      </c>
      <c r="F110" s="97">
        <f t="shared" si="2"/>
        <v>0.89999999999999858</v>
      </c>
      <c r="G110" s="98">
        <f t="shared" si="3"/>
        <v>2.0017793594306017E-2</v>
      </c>
    </row>
    <row r="111" spans="1:7" x14ac:dyDescent="0.35">
      <c r="A111" s="30">
        <v>256779417136</v>
      </c>
      <c r="B111" s="44">
        <v>45904</v>
      </c>
      <c r="C111" s="22"/>
      <c r="D111" s="24">
        <v>1.68</v>
      </c>
      <c r="E111" s="22">
        <f>_xlfn.XLOOKUP(A111,'CL Ledger'!$M:$M,'CL Ledger'!$AA:$AA,,0)</f>
        <v>1.71</v>
      </c>
      <c r="F111" s="97">
        <f t="shared" si="2"/>
        <v>3.0000000000000027E-2</v>
      </c>
      <c r="G111" s="98">
        <f t="shared" si="3"/>
        <v>1.7543859649122823E-2</v>
      </c>
    </row>
    <row r="112" spans="1:7" x14ac:dyDescent="0.35">
      <c r="A112" s="30">
        <v>256779416949</v>
      </c>
      <c r="B112" s="44">
        <v>45904</v>
      </c>
      <c r="C112" s="22"/>
      <c r="D112" s="24">
        <v>29.55</v>
      </c>
      <c r="E112" s="22">
        <f>_xlfn.XLOOKUP(A112,'CL Ledger'!$M:$M,'CL Ledger'!$AA:$AA,,0)</f>
        <v>30.16</v>
      </c>
      <c r="F112" s="97">
        <f t="shared" si="2"/>
        <v>0.60999999999999943</v>
      </c>
      <c r="G112" s="98">
        <f t="shared" si="3"/>
        <v>2.0225464190981413E-2</v>
      </c>
    </row>
    <row r="113" spans="1:7" x14ac:dyDescent="0.35">
      <c r="A113" s="16">
        <v>256779417162</v>
      </c>
      <c r="B113" s="43">
        <v>45904</v>
      </c>
      <c r="C113" s="22"/>
      <c r="D113" s="17">
        <v>43.84</v>
      </c>
      <c r="E113" s="22">
        <f>_xlfn.XLOOKUP(A113,'CL Ledger'!$M:$M,'CL Ledger'!$AA:$AA,,0)</f>
        <v>44.74</v>
      </c>
      <c r="F113" s="97">
        <f t="shared" si="2"/>
        <v>0.89999999999999858</v>
      </c>
      <c r="G113" s="98">
        <f t="shared" si="3"/>
        <v>2.0116227089852449E-2</v>
      </c>
    </row>
    <row r="114" spans="1:7" x14ac:dyDescent="0.35">
      <c r="A114" s="16">
        <v>256779417077</v>
      </c>
      <c r="B114" s="43">
        <v>45906</v>
      </c>
      <c r="C114" s="22"/>
      <c r="D114" s="17">
        <v>509.36</v>
      </c>
      <c r="E114" s="22">
        <f>_xlfn.XLOOKUP(A114,'CL Ledger'!$M:$M,'CL Ledger'!$AA:$AA,,0)</f>
        <v>565.97</v>
      </c>
      <c r="F114" s="97">
        <f t="shared" si="2"/>
        <v>56.610000000000014</v>
      </c>
      <c r="G114" s="98">
        <f t="shared" si="3"/>
        <v>0.10002296941534006</v>
      </c>
    </row>
    <row r="115" spans="1:7" x14ac:dyDescent="0.35">
      <c r="A115" s="30">
        <v>256779417528</v>
      </c>
      <c r="B115" s="44">
        <v>45918</v>
      </c>
      <c r="C115" s="22"/>
      <c r="D115" s="24">
        <v>2.94</v>
      </c>
      <c r="E115" s="22">
        <f>_xlfn.XLOOKUP(A115,'CL Ledger'!$M:$M,'CL Ledger'!$AA:$AA,,0)</f>
        <v>3</v>
      </c>
      <c r="F115" s="97">
        <f t="shared" si="2"/>
        <v>6.0000000000000053E-2</v>
      </c>
      <c r="G115" s="98">
        <f t="shared" si="3"/>
        <v>2.0000000000000018E-2</v>
      </c>
    </row>
    <row r="116" spans="1:7" x14ac:dyDescent="0.35">
      <c r="A116" s="30">
        <v>256779417871</v>
      </c>
      <c r="B116" s="44">
        <v>45935</v>
      </c>
      <c r="C116" s="22"/>
      <c r="D116" s="24">
        <v>1020.5200000000001</v>
      </c>
      <c r="E116" s="22">
        <f>_xlfn.XLOOKUP(A116,'CL Ledger'!$M:$M,'CL Ledger'!$AA:$AA,,0)</f>
        <v>1133.9111111111113</v>
      </c>
      <c r="F116" s="97">
        <f t="shared" si="2"/>
        <v>113.39111111111117</v>
      </c>
      <c r="G116" s="98">
        <f t="shared" si="3"/>
        <v>0.10000000000000003</v>
      </c>
    </row>
    <row r="117" spans="1:7" x14ac:dyDescent="0.35">
      <c r="A117" s="30">
        <v>256779418704</v>
      </c>
      <c r="B117" s="44">
        <v>45935</v>
      </c>
      <c r="C117" s="22"/>
      <c r="D117" s="24">
        <v>2.2000000000000002</v>
      </c>
      <c r="E117" s="22">
        <f>_xlfn.XLOOKUP(A117,'CL Ledger'!$M:$M,'CL Ledger'!$AA:$AA,,0)</f>
        <v>2.25</v>
      </c>
      <c r="F117" s="97">
        <f t="shared" si="2"/>
        <v>4.9999999999999822E-2</v>
      </c>
      <c r="G117" s="98">
        <f t="shared" si="3"/>
        <v>2.2222222222222143E-2</v>
      </c>
    </row>
    <row r="118" spans="1:7" x14ac:dyDescent="0.35">
      <c r="A118" s="30">
        <v>256779418478</v>
      </c>
      <c r="B118" s="44">
        <v>45935</v>
      </c>
      <c r="C118" s="22"/>
      <c r="D118" s="31">
        <v>27.09</v>
      </c>
      <c r="E118" s="22">
        <f>_xlfn.XLOOKUP(A118,'CL Ledger'!$M:$M,'CL Ledger'!$AA:$AA,,0)</f>
        <v>27.64</v>
      </c>
      <c r="F118" s="97">
        <f t="shared" si="2"/>
        <v>0.55000000000000071</v>
      </c>
      <c r="G118" s="98">
        <f t="shared" si="3"/>
        <v>1.9898697539797422E-2</v>
      </c>
    </row>
    <row r="119" spans="1:7" x14ac:dyDescent="0.35">
      <c r="A119" s="30">
        <v>256779418354</v>
      </c>
      <c r="B119" s="44">
        <v>45935</v>
      </c>
      <c r="C119" s="22"/>
      <c r="D119" s="31">
        <v>106.77</v>
      </c>
      <c r="E119" s="22">
        <f>_xlfn.XLOOKUP(A119,'CL Ledger'!$M:$M,'CL Ledger'!$AA:$AA,,0)</f>
        <v>108.95</v>
      </c>
      <c r="F119" s="97">
        <f t="shared" si="2"/>
        <v>2.1800000000000068</v>
      </c>
      <c r="G119" s="98">
        <f t="shared" si="3"/>
        <v>2.0009178522257979E-2</v>
      </c>
    </row>
    <row r="120" spans="1:7" x14ac:dyDescent="0.35">
      <c r="A120" s="30">
        <v>256779418342</v>
      </c>
      <c r="B120" s="44">
        <v>45937</v>
      </c>
      <c r="C120" s="22"/>
      <c r="D120" s="24">
        <v>449.77</v>
      </c>
      <c r="E120" s="22">
        <f>_xlfn.XLOOKUP(A120,'CL Ledger'!$M:$M,'CL Ledger'!$AA:$AA,,0)</f>
        <v>458.95</v>
      </c>
      <c r="F120" s="97">
        <f t="shared" si="2"/>
        <v>9.1800000000000068</v>
      </c>
      <c r="G120" s="98">
        <f t="shared" si="3"/>
        <v>2.0002178886588968E-2</v>
      </c>
    </row>
    <row r="121" spans="1:7" x14ac:dyDescent="0.35">
      <c r="A121" s="32">
        <v>256779421976</v>
      </c>
      <c r="B121" s="44">
        <v>45943</v>
      </c>
      <c r="C121" s="22"/>
      <c r="D121" s="33">
        <v>-100.12</v>
      </c>
      <c r="E121" s="22">
        <f>_xlfn.XLOOKUP(A121,'CL Ledger'!$M:$M,'CL Ledger'!$AA:$AA,,0)</f>
        <v>-111.25</v>
      </c>
      <c r="F121" s="97">
        <f t="shared" si="2"/>
        <v>-11.129999999999995</v>
      </c>
      <c r="G121" s="98">
        <f t="shared" si="3"/>
        <v>0.10004494382022468</v>
      </c>
    </row>
    <row r="122" spans="1:7" x14ac:dyDescent="0.35">
      <c r="A122" s="32">
        <v>256779421977</v>
      </c>
      <c r="B122" s="44">
        <v>45943</v>
      </c>
      <c r="C122" s="22"/>
      <c r="D122" s="33">
        <v>-338.76</v>
      </c>
      <c r="E122" s="22">
        <f>_xlfn.XLOOKUP(A122,'CL Ledger'!$M:$M,'CL Ledger'!$AA:$AA,,0)</f>
        <v>-376.4</v>
      </c>
      <c r="F122" s="97">
        <f t="shared" si="2"/>
        <v>-37.639999999999986</v>
      </c>
      <c r="G122" s="98">
        <f t="shared" si="3"/>
        <v>9.9999999999999964E-2</v>
      </c>
    </row>
    <row r="123" spans="1:7" x14ac:dyDescent="0.35">
      <c r="A123" s="32">
        <v>256779421978</v>
      </c>
      <c r="B123" s="44">
        <v>45943</v>
      </c>
      <c r="C123" s="22"/>
      <c r="D123" s="33">
        <v>-352.39</v>
      </c>
      <c r="E123" s="22">
        <f>_xlfn.XLOOKUP(A123,'CL Ledger'!$M:$M,'CL Ledger'!$AA:$AA,,0)</f>
        <v>-391.55</v>
      </c>
      <c r="F123" s="97">
        <f t="shared" si="2"/>
        <v>-39.160000000000025</v>
      </c>
      <c r="G123" s="98">
        <f t="shared" si="3"/>
        <v>0.10001276976120553</v>
      </c>
    </row>
    <row r="124" spans="1:7" x14ac:dyDescent="0.35">
      <c r="A124" s="32">
        <v>256779421974</v>
      </c>
      <c r="B124" s="44">
        <v>45943</v>
      </c>
      <c r="C124" s="22"/>
      <c r="D124" s="33">
        <v>-392.32000000000005</v>
      </c>
      <c r="E124" s="22">
        <f>_xlfn.XLOOKUP(A124,'CL Ledger'!$M:$M,'CL Ledger'!$AA:$AA,,0)</f>
        <v>-435.91</v>
      </c>
      <c r="F124" s="97">
        <f t="shared" si="2"/>
        <v>-43.589999999999975</v>
      </c>
      <c r="G124" s="98">
        <f t="shared" si="3"/>
        <v>9.999770594847554E-2</v>
      </c>
    </row>
    <row r="125" spans="1:7" x14ac:dyDescent="0.35">
      <c r="A125" s="32">
        <v>256779421975</v>
      </c>
      <c r="B125" s="44">
        <v>45943</v>
      </c>
      <c r="C125" s="22"/>
      <c r="D125" s="33">
        <v>-402.34000000000003</v>
      </c>
      <c r="E125" s="22">
        <f>_xlfn.XLOOKUP(A125,'CL Ledger'!$M:$M,'CL Ledger'!$AA:$AA,,0)</f>
        <v>-447.05</v>
      </c>
      <c r="F125" s="97">
        <f t="shared" si="2"/>
        <v>-44.70999999999998</v>
      </c>
      <c r="G125" s="98">
        <f t="shared" si="3"/>
        <v>0.10001118443127162</v>
      </c>
    </row>
    <row r="126" spans="1:7" x14ac:dyDescent="0.35">
      <c r="A126" s="30">
        <v>256779418410</v>
      </c>
      <c r="B126" s="44">
        <v>45944</v>
      </c>
      <c r="C126" s="22"/>
      <c r="D126" s="24">
        <v>432.01</v>
      </c>
      <c r="E126" s="22">
        <f>_xlfn.XLOOKUP(A126,'CL Ledger'!$M:$M,'CL Ledger'!$AA:$AA,,0)</f>
        <v>480.02</v>
      </c>
      <c r="F126" s="97">
        <f t="shared" si="2"/>
        <v>48.009999999999991</v>
      </c>
      <c r="G126" s="98">
        <f t="shared" si="3"/>
        <v>0.10001666597225115</v>
      </c>
    </row>
    <row r="127" spans="1:7" x14ac:dyDescent="0.35">
      <c r="A127" s="30">
        <v>256779419134</v>
      </c>
      <c r="B127" s="44">
        <v>45964</v>
      </c>
      <c r="C127" s="22"/>
      <c r="D127" s="24">
        <v>21.31</v>
      </c>
      <c r="E127" s="22">
        <f>_xlfn.XLOOKUP(A127,'CL Ledger'!$M:$M,'CL Ledger'!$AA:$AA,,0)</f>
        <v>21.75</v>
      </c>
      <c r="F127" s="97">
        <f t="shared" si="2"/>
        <v>0.44000000000000128</v>
      </c>
      <c r="G127" s="98">
        <f t="shared" si="3"/>
        <v>2.0229885057471322E-2</v>
      </c>
    </row>
    <row r="128" spans="1:7" x14ac:dyDescent="0.35">
      <c r="A128" s="30">
        <v>256779418773</v>
      </c>
      <c r="B128" s="44">
        <v>45966</v>
      </c>
      <c r="C128" s="22"/>
      <c r="D128" s="24">
        <v>1022.6899999999999</v>
      </c>
      <c r="E128" s="22">
        <f>_xlfn.XLOOKUP(A128,'CL Ledger'!$M:$M,'CL Ledger'!$AA:$AA,,0)</f>
        <v>1136.3222222222221</v>
      </c>
      <c r="F128" s="97">
        <f t="shared" si="2"/>
        <v>113.63222222222214</v>
      </c>
      <c r="G128" s="98">
        <f t="shared" si="3"/>
        <v>9.9999999999999936E-2</v>
      </c>
    </row>
    <row r="129" spans="1:7" x14ac:dyDescent="0.35">
      <c r="A129" s="30">
        <v>256779418821</v>
      </c>
      <c r="B129" s="44">
        <v>45966</v>
      </c>
      <c r="C129" s="22"/>
      <c r="D129" s="24">
        <v>48.6</v>
      </c>
      <c r="E129" s="22">
        <f>_xlfn.XLOOKUP(A129,'CL Ledger'!$M:$M,'CL Ledger'!$AA:$AA,,0)</f>
        <v>49.59</v>
      </c>
      <c r="F129" s="97">
        <f t="shared" si="2"/>
        <v>0.99000000000000199</v>
      </c>
      <c r="G129" s="98">
        <f t="shared" si="3"/>
        <v>1.9963702359346681E-2</v>
      </c>
    </row>
    <row r="130" spans="1:7" x14ac:dyDescent="0.35">
      <c r="A130" s="30">
        <v>256779418945</v>
      </c>
      <c r="B130" s="44">
        <v>45966</v>
      </c>
      <c r="C130" s="22"/>
      <c r="D130" s="24">
        <v>287.18</v>
      </c>
      <c r="E130" s="22">
        <f>_xlfn.XLOOKUP(A130,'CL Ledger'!$M:$M,'CL Ledger'!$AA:$AA,,0)</f>
        <v>293.04000000000002</v>
      </c>
      <c r="F130" s="97">
        <f t="shared" si="2"/>
        <v>5.8600000000000136</v>
      </c>
      <c r="G130" s="98">
        <f t="shared" si="3"/>
        <v>1.9997269997270042E-2</v>
      </c>
    </row>
    <row r="131" spans="1:7" x14ac:dyDescent="0.35">
      <c r="A131" s="30">
        <v>256779418946</v>
      </c>
      <c r="B131" s="44">
        <v>45966</v>
      </c>
      <c r="C131" s="22"/>
      <c r="D131" s="24">
        <v>287.18</v>
      </c>
      <c r="E131" s="22">
        <f>_xlfn.XLOOKUP(A131,'CL Ledger'!$M:$M,'CL Ledger'!$AA:$AA,,0)</f>
        <v>293.04000000000002</v>
      </c>
      <c r="F131" s="97">
        <f t="shared" si="2"/>
        <v>5.8600000000000136</v>
      </c>
      <c r="G131" s="98">
        <f t="shared" si="3"/>
        <v>1.9997269997270042E-2</v>
      </c>
    </row>
    <row r="132" spans="1:7" x14ac:dyDescent="0.35">
      <c r="A132" s="30">
        <v>256779418947</v>
      </c>
      <c r="B132" s="44">
        <v>45966</v>
      </c>
      <c r="C132" s="22"/>
      <c r="D132" s="24">
        <v>287.18</v>
      </c>
      <c r="E132" s="22">
        <f>_xlfn.XLOOKUP(A132,'CL Ledger'!$M:$M,'CL Ledger'!$AA:$AA,,0)</f>
        <v>293.04000000000002</v>
      </c>
      <c r="F132" s="97">
        <f t="shared" ref="F132:F153" si="4">E132-D132</f>
        <v>5.8600000000000136</v>
      </c>
      <c r="G132" s="98">
        <f t="shared" ref="G132:G153" si="5">F132/E132</f>
        <v>1.9997269997270042E-2</v>
      </c>
    </row>
    <row r="133" spans="1:7" x14ac:dyDescent="0.35">
      <c r="A133" s="30">
        <v>256779419178</v>
      </c>
      <c r="B133" s="44">
        <v>45966</v>
      </c>
      <c r="C133" s="22"/>
      <c r="D133" s="24">
        <v>2.2000000000000002</v>
      </c>
      <c r="E133" s="22">
        <f>_xlfn.XLOOKUP(A133,'CL Ledger'!$M:$M,'CL Ledger'!$AA:$AA,,0)</f>
        <v>2.25</v>
      </c>
      <c r="F133" s="97">
        <f t="shared" si="4"/>
        <v>4.9999999999999822E-2</v>
      </c>
      <c r="G133" s="98">
        <f t="shared" si="5"/>
        <v>2.2222222222222143E-2</v>
      </c>
    </row>
    <row r="134" spans="1:7" x14ac:dyDescent="0.35">
      <c r="A134" s="30">
        <v>256779418870</v>
      </c>
      <c r="B134" s="44">
        <v>45966</v>
      </c>
      <c r="C134" s="22"/>
      <c r="D134" s="24">
        <v>444.51000000000005</v>
      </c>
      <c r="E134" s="22">
        <f>_xlfn.XLOOKUP(A134,'CL Ledger'!$M:$M,'CL Ledger'!$AA:$AA,,0)</f>
        <v>493.91</v>
      </c>
      <c r="F134" s="97">
        <f t="shared" si="4"/>
        <v>49.399999999999977</v>
      </c>
      <c r="G134" s="98">
        <f t="shared" si="5"/>
        <v>0.10001822194326897</v>
      </c>
    </row>
    <row r="135" spans="1:7" x14ac:dyDescent="0.35">
      <c r="A135" s="30">
        <v>256779419202</v>
      </c>
      <c r="B135" s="44">
        <v>45966</v>
      </c>
      <c r="C135" s="22"/>
      <c r="D135" s="24">
        <v>61.41</v>
      </c>
      <c r="E135" s="22">
        <f>_xlfn.XLOOKUP(A135,'CL Ledger'!$M:$M,'CL Ledger'!$AA:$AA,,0)</f>
        <v>62.66</v>
      </c>
      <c r="F135" s="97">
        <f t="shared" si="4"/>
        <v>1.25</v>
      </c>
      <c r="G135" s="98">
        <f t="shared" si="5"/>
        <v>1.9948930737312482E-2</v>
      </c>
    </row>
    <row r="136" spans="1:7" x14ac:dyDescent="0.35">
      <c r="A136" s="30">
        <v>256779417860</v>
      </c>
      <c r="B136" s="44">
        <v>45967</v>
      </c>
      <c r="C136" s="22"/>
      <c r="D136" s="24">
        <v>49</v>
      </c>
      <c r="E136" s="22">
        <f>_xlfn.XLOOKUP(A136,'CL Ledger'!$M:$M,'CL Ledger'!$AA:$AA,,0)</f>
        <v>50</v>
      </c>
      <c r="F136" s="97">
        <f t="shared" si="4"/>
        <v>1</v>
      </c>
      <c r="G136" s="98">
        <f t="shared" si="5"/>
        <v>0.02</v>
      </c>
    </row>
    <row r="137" spans="1:7" x14ac:dyDescent="0.35">
      <c r="A137" s="30">
        <v>256779419365</v>
      </c>
      <c r="B137" s="44">
        <v>45980</v>
      </c>
      <c r="C137" s="22"/>
      <c r="D137" s="24">
        <v>287.13</v>
      </c>
      <c r="E137" s="22">
        <f>_xlfn.XLOOKUP(A137,'CL Ledger'!$M:$M,'CL Ledger'!$AA:$AA,,0)</f>
        <v>292.99</v>
      </c>
      <c r="F137" s="97">
        <f t="shared" si="4"/>
        <v>5.8600000000000136</v>
      </c>
      <c r="G137" s="98">
        <f t="shared" si="5"/>
        <v>2.0000682617154215E-2</v>
      </c>
    </row>
    <row r="138" spans="1:7" x14ac:dyDescent="0.35">
      <c r="A138" s="30">
        <v>256779419592</v>
      </c>
      <c r="B138" s="44">
        <v>45981</v>
      </c>
      <c r="C138" s="22"/>
      <c r="D138" s="24">
        <v>17.27</v>
      </c>
      <c r="E138" s="22">
        <f>_xlfn.XLOOKUP(A138,'CL Ledger'!$M:$M,'CL Ledger'!$AA:$AA,,0)</f>
        <v>17.62</v>
      </c>
      <c r="F138" s="97">
        <f t="shared" si="4"/>
        <v>0.35000000000000142</v>
      </c>
      <c r="G138" s="98">
        <f t="shared" si="5"/>
        <v>1.9863791146424597E-2</v>
      </c>
    </row>
    <row r="139" spans="1:7" x14ac:dyDescent="0.35">
      <c r="A139" s="30">
        <v>256779419633</v>
      </c>
      <c r="B139" s="44">
        <v>45981</v>
      </c>
      <c r="C139" s="22"/>
      <c r="D139" s="24">
        <v>9.18</v>
      </c>
      <c r="E139" s="22">
        <f>_xlfn.XLOOKUP(A139,'CL Ledger'!$M:$M,'CL Ledger'!$AA:$AA,,0)</f>
        <v>9.3699999999999992</v>
      </c>
      <c r="F139" s="97">
        <f t="shared" si="4"/>
        <v>0.1899999999999995</v>
      </c>
      <c r="G139" s="98">
        <f t="shared" si="5"/>
        <v>2.0277481323372416E-2</v>
      </c>
    </row>
    <row r="140" spans="1:7" x14ac:dyDescent="0.35">
      <c r="A140" s="16">
        <v>256779419966</v>
      </c>
      <c r="B140" s="43">
        <v>45995</v>
      </c>
      <c r="C140" s="22"/>
      <c r="D140" s="17">
        <v>1014.65</v>
      </c>
      <c r="E140" s="22">
        <f>_xlfn.XLOOKUP(A140,'CL Ledger'!$M:$M,'CL Ledger'!$AA:$AA,,0)</f>
        <v>1127.3888888888889</v>
      </c>
      <c r="F140" s="97">
        <f t="shared" si="4"/>
        <v>112.73888888888894</v>
      </c>
      <c r="G140" s="98">
        <f t="shared" si="5"/>
        <v>0.10000000000000005</v>
      </c>
    </row>
    <row r="141" spans="1:7" x14ac:dyDescent="0.35">
      <c r="A141" s="16">
        <v>256779419870</v>
      </c>
      <c r="B141" s="43">
        <v>45999</v>
      </c>
      <c r="C141" s="22"/>
      <c r="D141" s="17">
        <v>18.579999999999998</v>
      </c>
      <c r="E141" s="22">
        <f>_xlfn.XLOOKUP(A141,'CL Ledger'!$M:$M,'CL Ledger'!$AA:$AA,,0)</f>
        <v>18.96</v>
      </c>
      <c r="F141" s="97">
        <f t="shared" si="4"/>
        <v>0.38000000000000256</v>
      </c>
      <c r="G141" s="98">
        <f t="shared" si="5"/>
        <v>2.0042194092827138E-2</v>
      </c>
    </row>
    <row r="142" spans="1:7" x14ac:dyDescent="0.35">
      <c r="A142" s="16">
        <v>256779440005</v>
      </c>
      <c r="B142" s="43">
        <v>46024</v>
      </c>
      <c r="C142" s="22"/>
      <c r="D142" s="17">
        <v>406.16300000000001</v>
      </c>
      <c r="E142" s="22">
        <f>_xlfn.XLOOKUP(A142,'CL Ledger'!$M:$M,'CL Ledger'!$AA:$AA,,0)</f>
        <v>451.3</v>
      </c>
      <c r="F142" s="97">
        <f t="shared" si="4"/>
        <v>45.137</v>
      </c>
      <c r="G142" s="98">
        <f t="shared" si="5"/>
        <v>0.10001551074673166</v>
      </c>
    </row>
    <row r="143" spans="1:7" x14ac:dyDescent="0.35">
      <c r="A143" s="16">
        <v>256779440119</v>
      </c>
      <c r="B143" s="43">
        <v>46027</v>
      </c>
      <c r="C143" s="22"/>
      <c r="D143" s="17">
        <v>16.899999999999999</v>
      </c>
      <c r="E143" s="22">
        <f>_xlfn.XLOOKUP(A143,'CL Ledger'!$M:$M,'CL Ledger'!$AA:$AA,,0)</f>
        <v>17.25</v>
      </c>
      <c r="F143" s="97">
        <f t="shared" si="4"/>
        <v>0.35000000000000142</v>
      </c>
      <c r="G143" s="98">
        <f t="shared" si="5"/>
        <v>2.028985507246385E-2</v>
      </c>
    </row>
    <row r="144" spans="1:7" x14ac:dyDescent="0.35">
      <c r="A144" s="16">
        <v>256779440082</v>
      </c>
      <c r="B144" s="43">
        <v>46027</v>
      </c>
      <c r="C144" s="22"/>
      <c r="D144" s="17">
        <v>2.2000000000000002</v>
      </c>
      <c r="E144" s="22">
        <f>_xlfn.XLOOKUP(A144,'CL Ledger'!$M:$M,'CL Ledger'!$AA:$AA,,0)</f>
        <v>2.25</v>
      </c>
      <c r="F144" s="97">
        <f t="shared" si="4"/>
        <v>4.9999999999999822E-2</v>
      </c>
      <c r="G144" s="98">
        <f t="shared" si="5"/>
        <v>2.2222222222222143E-2</v>
      </c>
    </row>
    <row r="145" spans="1:7" x14ac:dyDescent="0.35">
      <c r="A145" s="16">
        <v>256779440070</v>
      </c>
      <c r="B145" s="43">
        <v>46027</v>
      </c>
      <c r="C145" s="22"/>
      <c r="D145" s="17">
        <v>7.04</v>
      </c>
      <c r="E145" s="22">
        <f>_xlfn.XLOOKUP(A145,'CL Ledger'!$M:$M,'CL Ledger'!$AA:$AA,,0)</f>
        <v>7.18</v>
      </c>
      <c r="F145" s="97">
        <f t="shared" si="4"/>
        <v>0.13999999999999968</v>
      </c>
      <c r="G145" s="98">
        <f t="shared" si="5"/>
        <v>1.9498607242339788E-2</v>
      </c>
    </row>
    <row r="146" spans="1:7" x14ac:dyDescent="0.35">
      <c r="A146" s="16">
        <v>256779440102</v>
      </c>
      <c r="B146" s="43">
        <v>46027</v>
      </c>
      <c r="C146" s="22"/>
      <c r="D146" s="17">
        <v>19.98</v>
      </c>
      <c r="E146" s="22">
        <f>_xlfn.XLOOKUP(A146,'CL Ledger'!$M:$M,'CL Ledger'!$AA:$AA,,0)</f>
        <v>20.39</v>
      </c>
      <c r="F146" s="97">
        <f t="shared" si="4"/>
        <v>0.41000000000000014</v>
      </c>
      <c r="G146" s="98">
        <f t="shared" si="5"/>
        <v>2.0107896027464451E-2</v>
      </c>
    </row>
    <row r="147" spans="1:7" x14ac:dyDescent="0.35">
      <c r="A147" s="16">
        <v>256779440305</v>
      </c>
      <c r="B147" s="43">
        <v>46028</v>
      </c>
      <c r="C147" s="22"/>
      <c r="D147" s="17">
        <v>991.81</v>
      </c>
      <c r="E147" s="22">
        <f>_xlfn.XLOOKUP(A147,'CL Ledger'!$M:$M,'CL Ledger'!$AA:$AA,,0)</f>
        <v>1102.0111111111109</v>
      </c>
      <c r="F147" s="97">
        <f t="shared" si="4"/>
        <v>110.201111111111</v>
      </c>
      <c r="G147" s="98">
        <f t="shared" si="5"/>
        <v>9.9999999999999922E-2</v>
      </c>
    </row>
    <row r="148" spans="1:7" x14ac:dyDescent="0.35">
      <c r="A148" s="16">
        <v>256779440236</v>
      </c>
      <c r="B148" s="43">
        <v>46028</v>
      </c>
      <c r="C148" s="22"/>
      <c r="D148" s="17">
        <v>454.71</v>
      </c>
      <c r="E148" s="22">
        <f>_xlfn.XLOOKUP(A148,'CL Ledger'!$M:$M,'CL Ledger'!$AA:$AA,,0)</f>
        <v>505.23</v>
      </c>
      <c r="F148" s="97">
        <f t="shared" si="4"/>
        <v>50.520000000000039</v>
      </c>
      <c r="G148" s="98">
        <f t="shared" si="5"/>
        <v>9.9994062110326062E-2</v>
      </c>
    </row>
    <row r="149" spans="1:7" x14ac:dyDescent="0.35">
      <c r="A149" s="34">
        <v>256779422208</v>
      </c>
      <c r="B149" s="43">
        <v>46035</v>
      </c>
      <c r="C149" s="22"/>
      <c r="D149" s="33">
        <v>-21.53</v>
      </c>
      <c r="E149" s="22">
        <f>_xlfn.XLOOKUP(A149,'CL Ledger'!$M:$M,'CL Ledger'!$AA:$AA,,0)</f>
        <v>-23.92</v>
      </c>
      <c r="F149" s="97">
        <f t="shared" si="4"/>
        <v>-2.3900000000000006</v>
      </c>
      <c r="G149" s="98">
        <f t="shared" si="5"/>
        <v>9.9916387959866237E-2</v>
      </c>
    </row>
    <row r="150" spans="1:7" x14ac:dyDescent="0.35">
      <c r="A150" s="34">
        <v>256779422209</v>
      </c>
      <c r="B150" s="43">
        <v>46035</v>
      </c>
      <c r="C150" s="22"/>
      <c r="D150" s="33">
        <v>-41.07</v>
      </c>
      <c r="E150" s="22">
        <f>_xlfn.XLOOKUP(A150,'CL Ledger'!$M:$M,'CL Ledger'!$AA:$AA,,0)</f>
        <v>-45.63</v>
      </c>
      <c r="F150" s="97">
        <f t="shared" si="4"/>
        <v>-4.5600000000000023</v>
      </c>
      <c r="G150" s="98">
        <f t="shared" si="5"/>
        <v>9.993425378040767E-2</v>
      </c>
    </row>
    <row r="151" spans="1:7" x14ac:dyDescent="0.35">
      <c r="A151" s="34">
        <v>256779422211</v>
      </c>
      <c r="B151" s="43">
        <v>46035</v>
      </c>
      <c r="C151" s="22"/>
      <c r="D151" s="33">
        <v>-19.760000000000002</v>
      </c>
      <c r="E151" s="22">
        <f>_xlfn.XLOOKUP(A151,'CL Ledger'!$M:$M,'CL Ledger'!$AA:$AA,,0)</f>
        <v>-21.96</v>
      </c>
      <c r="F151" s="97">
        <f t="shared" si="4"/>
        <v>-2.1999999999999993</v>
      </c>
      <c r="G151" s="98">
        <f t="shared" si="5"/>
        <v>0.1001821493624772</v>
      </c>
    </row>
    <row r="152" spans="1:7" x14ac:dyDescent="0.35">
      <c r="A152" s="16">
        <v>256779440431</v>
      </c>
      <c r="B152" s="43">
        <v>46045</v>
      </c>
      <c r="C152" s="22"/>
      <c r="D152" s="17">
        <v>2.94</v>
      </c>
      <c r="E152" s="22">
        <f>_xlfn.XLOOKUP(A152,'CL Ledger'!$M:$M,'CL Ledger'!$AA:$AA,,0)</f>
        <v>3</v>
      </c>
      <c r="F152" s="97">
        <f t="shared" si="4"/>
        <v>6.0000000000000053E-2</v>
      </c>
      <c r="G152" s="98">
        <f t="shared" si="5"/>
        <v>2.0000000000000018E-2</v>
      </c>
    </row>
    <row r="153" spans="1:7" x14ac:dyDescent="0.35">
      <c r="A153" s="16">
        <v>256779422210</v>
      </c>
      <c r="B153" s="43">
        <v>46053</v>
      </c>
      <c r="C153" s="22"/>
      <c r="D153" s="17">
        <v>-22.64</v>
      </c>
      <c r="E153" s="22">
        <f>_xlfn.XLOOKUP(A153,'CL Ledger'!$M:$M,'CL Ledger'!$AA:$AA,,0)</f>
        <v>-22.64</v>
      </c>
      <c r="F153" s="97">
        <f t="shared" si="4"/>
        <v>0</v>
      </c>
      <c r="G153" s="98">
        <f t="shared" si="5"/>
        <v>0</v>
      </c>
    </row>
    <row r="154" spans="1:7" x14ac:dyDescent="0.35">
      <c r="A154" s="20" t="s">
        <v>520</v>
      </c>
      <c r="B154" s="47">
        <v>45800</v>
      </c>
      <c r="C154" s="22">
        <v>7435.89</v>
      </c>
      <c r="D154" s="22"/>
      <c r="E154" s="22"/>
      <c r="F154" s="21"/>
      <c r="G154" s="21"/>
    </row>
    <row r="155" spans="1:7" x14ac:dyDescent="0.35">
      <c r="A155" s="20" t="s">
        <v>520</v>
      </c>
      <c r="B155" s="47">
        <v>45856</v>
      </c>
      <c r="C155" s="22">
        <v>4602.99</v>
      </c>
      <c r="D155" s="22"/>
      <c r="E155" s="22"/>
      <c r="F155" s="21"/>
      <c r="G155" s="21"/>
    </row>
    <row r="156" spans="1:7" x14ac:dyDescent="0.35">
      <c r="A156" s="20" t="s">
        <v>520</v>
      </c>
      <c r="B156" s="47">
        <v>45945</v>
      </c>
      <c r="C156" s="22">
        <v>4875.1499999999996</v>
      </c>
      <c r="D156" s="22"/>
      <c r="E156" s="22"/>
      <c r="F156" s="21"/>
      <c r="G156" s="21"/>
    </row>
    <row r="157" spans="1:7" x14ac:dyDescent="0.35">
      <c r="A157" s="20" t="s">
        <v>520</v>
      </c>
      <c r="B157" s="43">
        <v>46053</v>
      </c>
      <c r="C157" s="22">
        <v>10721.42</v>
      </c>
      <c r="D157" s="22"/>
      <c r="E157" s="22"/>
      <c r="F157" s="21"/>
      <c r="G157" s="21"/>
    </row>
    <row r="158" spans="1:7" x14ac:dyDescent="0.35">
      <c r="A158" s="16"/>
      <c r="B158" s="43"/>
      <c r="C158" s="17">
        <f>SUM(C3:C157)</f>
        <v>27635.449999999997</v>
      </c>
      <c r="D158" s="17">
        <f>SUM(D3:D157)</f>
        <v>33836.943000000028</v>
      </c>
      <c r="E158" s="22">
        <f>D158-C158</f>
        <v>6201.4930000000313</v>
      </c>
      <c r="F158" s="21"/>
      <c r="G158" s="21"/>
    </row>
    <row r="159" spans="1:7" x14ac:dyDescent="0.35">
      <c r="A159" s="35"/>
      <c r="B159" s="48"/>
      <c r="D159" s="37"/>
    </row>
    <row r="160" spans="1:7" x14ac:dyDescent="0.35">
      <c r="A160" s="35"/>
      <c r="B160" s="48"/>
      <c r="D160" s="37"/>
    </row>
    <row r="161" spans="1:4" x14ac:dyDescent="0.35">
      <c r="A161" s="35"/>
      <c r="B161" s="48"/>
      <c r="D161" s="37"/>
    </row>
    <row r="162" spans="1:4" x14ac:dyDescent="0.35">
      <c r="A162" s="35"/>
      <c r="B162" s="48"/>
      <c r="D162" s="37"/>
    </row>
    <row r="163" spans="1:4" x14ac:dyDescent="0.35">
      <c r="A163" s="35"/>
      <c r="B163" s="48"/>
      <c r="D163" s="37"/>
    </row>
    <row r="164" spans="1:4" x14ac:dyDescent="0.35">
      <c r="A164" s="35"/>
      <c r="B164" s="48"/>
      <c r="D164" s="37"/>
    </row>
    <row r="165" spans="1:4" x14ac:dyDescent="0.35">
      <c r="A165" s="35"/>
      <c r="B165" s="48"/>
      <c r="D165" s="37"/>
    </row>
    <row r="166" spans="1:4" x14ac:dyDescent="0.35">
      <c r="A166" s="35"/>
      <c r="B166" s="48"/>
      <c r="D166" s="37"/>
    </row>
    <row r="175" spans="1:4" x14ac:dyDescent="0.35">
      <c r="D175" s="37"/>
    </row>
    <row r="176" spans="1:4" x14ac:dyDescent="0.35">
      <c r="D176" s="37"/>
    </row>
    <row r="177" spans="4:4" x14ac:dyDescent="0.35">
      <c r="D177" s="37"/>
    </row>
    <row r="178" spans="4:4" x14ac:dyDescent="0.35">
      <c r="D178" s="37"/>
    </row>
    <row r="179" spans="4:4" x14ac:dyDescent="0.35">
      <c r="D179" s="37"/>
    </row>
    <row r="180" spans="4:4" x14ac:dyDescent="0.35">
      <c r="D180" s="37"/>
    </row>
    <row r="181" spans="4:4" x14ac:dyDescent="0.35">
      <c r="D181" s="37"/>
    </row>
    <row r="182" spans="4:4" x14ac:dyDescent="0.35">
      <c r="D182" s="37"/>
    </row>
    <row r="183" spans="4:4" x14ac:dyDescent="0.35">
      <c r="D183" s="37"/>
    </row>
    <row r="184" spans="4:4" x14ac:dyDescent="0.35">
      <c r="D184" s="37"/>
    </row>
    <row r="185" spans="4:4" x14ac:dyDescent="0.35">
      <c r="D185" s="37"/>
    </row>
    <row r="186" spans="4:4" x14ac:dyDescent="0.35">
      <c r="D186" s="37"/>
    </row>
    <row r="187" spans="4:4" x14ac:dyDescent="0.35">
      <c r="D187" s="37"/>
    </row>
    <row r="188" spans="4:4" x14ac:dyDescent="0.35">
      <c r="D188" s="37"/>
    </row>
    <row r="189" spans="4:4" x14ac:dyDescent="0.35">
      <c r="D189" s="37"/>
    </row>
    <row r="190" spans="4:4" x14ac:dyDescent="0.35">
      <c r="D190" s="37"/>
    </row>
    <row r="191" spans="4:4" x14ac:dyDescent="0.35">
      <c r="D191" s="37"/>
    </row>
    <row r="192" spans="4:4" x14ac:dyDescent="0.35">
      <c r="D192" s="37"/>
    </row>
    <row r="193" spans="4:4" x14ac:dyDescent="0.35">
      <c r="D193" s="37"/>
    </row>
    <row r="194" spans="4:4" x14ac:dyDescent="0.35">
      <c r="D194" s="37"/>
    </row>
    <row r="195" spans="4:4" x14ac:dyDescent="0.35">
      <c r="D195" s="37"/>
    </row>
    <row r="196" spans="4:4" x14ac:dyDescent="0.35">
      <c r="D196" s="37"/>
    </row>
    <row r="197" spans="4:4" x14ac:dyDescent="0.35">
      <c r="D197" s="37"/>
    </row>
    <row r="198" spans="4:4" x14ac:dyDescent="0.35">
      <c r="D198" s="37"/>
    </row>
    <row r="199" spans="4:4" x14ac:dyDescent="0.35">
      <c r="D199" s="37"/>
    </row>
    <row r="200" spans="4:4" x14ac:dyDescent="0.35">
      <c r="D200" s="37"/>
    </row>
    <row r="201" spans="4:4" x14ac:dyDescent="0.35">
      <c r="D201" s="37"/>
    </row>
    <row r="202" spans="4:4" x14ac:dyDescent="0.35">
      <c r="D202" s="37"/>
    </row>
    <row r="203" spans="4:4" x14ac:dyDescent="0.35">
      <c r="D203" s="37"/>
    </row>
    <row r="204" spans="4:4" x14ac:dyDescent="0.35">
      <c r="D204" s="37"/>
    </row>
  </sheetData>
  <autoFilter ref="A2:G158" xr:uid="{45A7863F-D0B3-4D57-ACCD-3A2F26C0B2FA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8161-085A-4F30-AF9C-3CDFF835F06C}">
  <dimension ref="A1:P21"/>
  <sheetViews>
    <sheetView zoomScale="70" zoomScaleNormal="70" workbookViewId="0">
      <selection activeCell="K4" sqref="K4"/>
    </sheetView>
  </sheetViews>
  <sheetFormatPr defaultRowHeight="14.5" x14ac:dyDescent="0.35"/>
  <cols>
    <col min="1" max="1" width="11.7265625" customWidth="1"/>
    <col min="2" max="2" width="3.453125" customWidth="1"/>
    <col min="3" max="3" width="11.54296875" customWidth="1"/>
    <col min="4" max="4" width="12.26953125" bestFit="1" customWidth="1"/>
    <col min="5" max="5" width="16.1796875" hidden="1" customWidth="1"/>
    <col min="6" max="6" width="14.26953125" bestFit="1" customWidth="1"/>
    <col min="7" max="7" width="4.90625" customWidth="1"/>
    <col min="8" max="8" width="9.26953125" customWidth="1"/>
    <col min="9" max="9" width="5.26953125" customWidth="1"/>
    <col min="10" max="10" width="13.90625" style="87" customWidth="1"/>
    <col min="11" max="11" width="18" style="88" customWidth="1"/>
    <col min="12" max="12" width="27.54296875" style="88" customWidth="1"/>
    <col min="13" max="13" width="19.90625" style="88" customWidth="1"/>
    <col min="14" max="14" width="27.54296875" style="88" customWidth="1"/>
    <col min="15" max="15" width="14.453125" customWidth="1"/>
  </cols>
  <sheetData>
    <row r="1" spans="1:16" x14ac:dyDescent="0.35">
      <c r="A1" s="72" t="s">
        <v>6</v>
      </c>
      <c r="B1" s="72" t="s">
        <v>7</v>
      </c>
      <c r="C1" s="72" t="s">
        <v>8</v>
      </c>
      <c r="D1" s="72" t="s">
        <v>9</v>
      </c>
      <c r="E1" s="72" t="s">
        <v>10</v>
      </c>
      <c r="F1" s="72" t="s">
        <v>11</v>
      </c>
      <c r="G1" s="72" t="s">
        <v>16</v>
      </c>
      <c r="H1" s="72" t="s">
        <v>17</v>
      </c>
      <c r="I1" s="72" t="s">
        <v>18</v>
      </c>
      <c r="J1" s="73" t="s">
        <v>19</v>
      </c>
      <c r="K1" s="74" t="s">
        <v>25</v>
      </c>
      <c r="L1" s="74" t="s">
        <v>523</v>
      </c>
      <c r="M1" s="74" t="s">
        <v>524</v>
      </c>
      <c r="N1" s="74" t="s">
        <v>525</v>
      </c>
      <c r="O1" s="21"/>
    </row>
    <row r="2" spans="1:16" ht="58" x14ac:dyDescent="0.35">
      <c r="A2" s="75">
        <v>1800001617</v>
      </c>
      <c r="B2" s="75" t="s">
        <v>35</v>
      </c>
      <c r="C2" s="76">
        <v>45730</v>
      </c>
      <c r="D2" s="76">
        <v>45735</v>
      </c>
      <c r="E2" s="75" t="s">
        <v>36</v>
      </c>
      <c r="F2" s="77">
        <v>246779412274</v>
      </c>
      <c r="G2" s="75" t="s">
        <v>41</v>
      </c>
      <c r="H2" s="78">
        <v>100</v>
      </c>
      <c r="I2" s="75" t="s">
        <v>42</v>
      </c>
      <c r="J2" s="79">
        <v>8669.1299999999992</v>
      </c>
      <c r="K2" s="80" t="s">
        <v>151</v>
      </c>
      <c r="L2" s="80" t="s">
        <v>526</v>
      </c>
      <c r="M2" s="81" t="s">
        <v>527</v>
      </c>
      <c r="N2" s="82" t="s">
        <v>528</v>
      </c>
      <c r="O2" s="21"/>
    </row>
    <row r="3" spans="1:16" ht="43.5" x14ac:dyDescent="0.35">
      <c r="A3" s="75">
        <v>1800000559</v>
      </c>
      <c r="B3" s="75" t="s">
        <v>35</v>
      </c>
      <c r="C3" s="76">
        <v>45719</v>
      </c>
      <c r="D3" s="76">
        <v>45719</v>
      </c>
      <c r="E3" s="75" t="s">
        <v>36</v>
      </c>
      <c r="F3" s="77">
        <v>246779410509</v>
      </c>
      <c r="G3" s="75" t="s">
        <v>41</v>
      </c>
      <c r="H3" s="78">
        <v>29.25</v>
      </c>
      <c r="I3" s="75" t="s">
        <v>42</v>
      </c>
      <c r="J3" s="83">
        <v>2535.7199999999998</v>
      </c>
      <c r="K3" s="80" t="s">
        <v>93</v>
      </c>
      <c r="L3" s="80" t="s">
        <v>529</v>
      </c>
      <c r="M3" s="81" t="s">
        <v>530</v>
      </c>
      <c r="N3" s="81" t="s">
        <v>531</v>
      </c>
      <c r="O3" s="21"/>
    </row>
    <row r="4" spans="1:16" ht="43.5" x14ac:dyDescent="0.35">
      <c r="A4" s="75">
        <v>1800006698</v>
      </c>
      <c r="B4" s="75" t="s">
        <v>35</v>
      </c>
      <c r="C4" s="76">
        <v>45762</v>
      </c>
      <c r="D4" s="76">
        <v>45763</v>
      </c>
      <c r="E4" s="75" t="s">
        <v>36</v>
      </c>
      <c r="F4" s="77">
        <v>256779411589</v>
      </c>
      <c r="G4" s="75" t="s">
        <v>41</v>
      </c>
      <c r="H4" s="78">
        <v>3.38</v>
      </c>
      <c r="I4" s="75" t="s">
        <v>42</v>
      </c>
      <c r="J4" s="83">
        <v>293.8</v>
      </c>
      <c r="K4" s="80" t="s">
        <v>68</v>
      </c>
      <c r="L4" s="80" t="s">
        <v>532</v>
      </c>
      <c r="M4" s="81" t="s">
        <v>530</v>
      </c>
      <c r="N4" s="82" t="s">
        <v>533</v>
      </c>
      <c r="O4" s="21"/>
    </row>
    <row r="5" spans="1:16" ht="58" x14ac:dyDescent="0.35">
      <c r="A5" s="75">
        <v>1800001791</v>
      </c>
      <c r="B5" s="75" t="s">
        <v>35</v>
      </c>
      <c r="C5" s="76">
        <v>45730</v>
      </c>
      <c r="D5" s="76">
        <v>45733</v>
      </c>
      <c r="E5" s="75" t="s">
        <v>36</v>
      </c>
      <c r="F5" s="77">
        <v>246779411456</v>
      </c>
      <c r="G5" s="75" t="s">
        <v>41</v>
      </c>
      <c r="H5" s="78">
        <v>4.7699999999999996</v>
      </c>
      <c r="I5" s="75" t="s">
        <v>42</v>
      </c>
      <c r="J5" s="83">
        <v>413.52</v>
      </c>
      <c r="K5" s="80" t="s">
        <v>100</v>
      </c>
      <c r="L5" s="80" t="s">
        <v>534</v>
      </c>
      <c r="M5" s="81" t="s">
        <v>527</v>
      </c>
      <c r="N5" s="82" t="s">
        <v>528</v>
      </c>
      <c r="O5" s="21"/>
    </row>
    <row r="6" spans="1:16" ht="29" x14ac:dyDescent="0.35">
      <c r="A6" s="75">
        <v>1800012462</v>
      </c>
      <c r="B6" s="75" t="s">
        <v>35</v>
      </c>
      <c r="C6" s="76">
        <v>45904</v>
      </c>
      <c r="D6" s="76">
        <v>45909</v>
      </c>
      <c r="E6" s="75" t="s">
        <v>36</v>
      </c>
      <c r="F6" s="77">
        <v>256779417162</v>
      </c>
      <c r="G6" s="75" t="s">
        <v>41</v>
      </c>
      <c r="H6" s="78">
        <v>44.74</v>
      </c>
      <c r="I6" s="75" t="s">
        <v>42</v>
      </c>
      <c r="J6" s="83">
        <v>3915.39</v>
      </c>
      <c r="K6" s="80" t="s">
        <v>245</v>
      </c>
      <c r="L6" s="80" t="s">
        <v>535</v>
      </c>
      <c r="M6" s="81" t="s">
        <v>536</v>
      </c>
      <c r="N6" s="82" t="s">
        <v>528</v>
      </c>
      <c r="O6" s="21"/>
    </row>
    <row r="7" spans="1:16" ht="43.5" x14ac:dyDescent="0.35">
      <c r="A7" s="75">
        <v>1800014290</v>
      </c>
      <c r="B7" s="75" t="s">
        <v>35</v>
      </c>
      <c r="C7" s="76">
        <v>45966</v>
      </c>
      <c r="D7" s="76">
        <v>45967</v>
      </c>
      <c r="E7" s="75" t="s">
        <v>36</v>
      </c>
      <c r="F7" s="77">
        <v>256779418827</v>
      </c>
      <c r="G7" s="75" t="s">
        <v>41</v>
      </c>
      <c r="H7" s="78">
        <v>60.86</v>
      </c>
      <c r="I7" s="75" t="s">
        <v>42</v>
      </c>
      <c r="J7" s="83">
        <v>5355.89</v>
      </c>
      <c r="K7" s="80" t="s">
        <v>106</v>
      </c>
      <c r="L7" s="80" t="s">
        <v>537</v>
      </c>
      <c r="M7" s="81"/>
      <c r="N7" s="82" t="s">
        <v>528</v>
      </c>
      <c r="O7" s="21"/>
    </row>
    <row r="8" spans="1:16" ht="43.5" x14ac:dyDescent="0.35">
      <c r="A8" s="75">
        <v>1800004532</v>
      </c>
      <c r="B8" s="75" t="s">
        <v>35</v>
      </c>
      <c r="C8" s="76">
        <v>45736</v>
      </c>
      <c r="D8" s="76">
        <v>45737</v>
      </c>
      <c r="E8" s="75" t="s">
        <v>36</v>
      </c>
      <c r="F8" s="77">
        <v>246779414400</v>
      </c>
      <c r="G8" s="75" t="s">
        <v>41</v>
      </c>
      <c r="H8" s="78">
        <v>80.95</v>
      </c>
      <c r="I8" s="75" t="s">
        <v>42</v>
      </c>
      <c r="J8" s="83">
        <v>7017.66</v>
      </c>
      <c r="K8" s="80" t="s">
        <v>55</v>
      </c>
      <c r="L8" s="80" t="s">
        <v>532</v>
      </c>
      <c r="M8" s="81" t="s">
        <v>530</v>
      </c>
      <c r="N8" s="82" t="s">
        <v>533</v>
      </c>
      <c r="O8" s="21"/>
    </row>
    <row r="9" spans="1:16" ht="43.5" x14ac:dyDescent="0.35">
      <c r="A9" s="75">
        <v>1800004533</v>
      </c>
      <c r="B9" s="75" t="s">
        <v>35</v>
      </c>
      <c r="C9" s="76">
        <v>45736</v>
      </c>
      <c r="D9" s="76">
        <v>45737</v>
      </c>
      <c r="E9" s="75" t="s">
        <v>36</v>
      </c>
      <c r="F9" s="77">
        <v>246779414401</v>
      </c>
      <c r="G9" s="75" t="s">
        <v>41</v>
      </c>
      <c r="H9" s="78">
        <v>15</v>
      </c>
      <c r="I9" s="75" t="s">
        <v>42</v>
      </c>
      <c r="J9" s="83">
        <v>1300.3699999999999</v>
      </c>
      <c r="K9" s="80" t="s">
        <v>316</v>
      </c>
      <c r="L9" s="80"/>
      <c r="M9" s="81" t="s">
        <v>538</v>
      </c>
      <c r="N9" s="81" t="s">
        <v>531</v>
      </c>
      <c r="O9" s="21"/>
    </row>
    <row r="10" spans="1:16" ht="114" x14ac:dyDescent="0.35">
      <c r="A10" s="75">
        <v>1800013760</v>
      </c>
      <c r="B10" s="75" t="s">
        <v>35</v>
      </c>
      <c r="C10" s="76">
        <v>45937</v>
      </c>
      <c r="D10" s="76">
        <v>45939</v>
      </c>
      <c r="E10" s="75" t="s">
        <v>36</v>
      </c>
      <c r="F10" s="77">
        <v>256779418181</v>
      </c>
      <c r="G10" s="75" t="s">
        <v>41</v>
      </c>
      <c r="H10" s="78">
        <v>49.33</v>
      </c>
      <c r="I10" s="75" t="s">
        <v>42</v>
      </c>
      <c r="J10" s="83">
        <v>4350.45</v>
      </c>
      <c r="K10" s="80" t="s">
        <v>391</v>
      </c>
      <c r="L10" s="80" t="s">
        <v>539</v>
      </c>
      <c r="M10" s="81" t="s">
        <v>540</v>
      </c>
      <c r="N10" s="82" t="s">
        <v>528</v>
      </c>
      <c r="O10" s="21"/>
    </row>
    <row r="11" spans="1:16" ht="87" x14ac:dyDescent="0.35">
      <c r="A11" s="75">
        <v>1800009470</v>
      </c>
      <c r="B11" s="75" t="s">
        <v>35</v>
      </c>
      <c r="C11" s="76">
        <v>45815</v>
      </c>
      <c r="D11" s="76">
        <v>45817</v>
      </c>
      <c r="E11" s="75" t="s">
        <v>36</v>
      </c>
      <c r="F11" s="77">
        <v>256779414234</v>
      </c>
      <c r="G11" s="75" t="s">
        <v>41</v>
      </c>
      <c r="H11" s="78">
        <v>925.23</v>
      </c>
      <c r="I11" s="75" t="s">
        <v>42</v>
      </c>
      <c r="J11" s="83">
        <v>79098.63</v>
      </c>
      <c r="K11" s="80" t="s">
        <v>404</v>
      </c>
      <c r="L11" s="80" t="s">
        <v>541</v>
      </c>
      <c r="M11" s="81" t="s">
        <v>542</v>
      </c>
      <c r="N11" s="82" t="s">
        <v>528</v>
      </c>
      <c r="O11" s="21">
        <v>149</v>
      </c>
      <c r="P11" s="78">
        <v>22.64</v>
      </c>
    </row>
    <row r="12" spans="1:16" ht="43.5" x14ac:dyDescent="0.35">
      <c r="A12" s="75">
        <v>1800013511</v>
      </c>
      <c r="B12" s="75" t="s">
        <v>35</v>
      </c>
      <c r="C12" s="76">
        <v>45935</v>
      </c>
      <c r="D12" s="76">
        <v>45940</v>
      </c>
      <c r="E12" s="75" t="s">
        <v>36</v>
      </c>
      <c r="F12" s="77">
        <v>256779418401</v>
      </c>
      <c r="G12" s="75" t="s">
        <v>41</v>
      </c>
      <c r="H12" s="78">
        <v>62.52</v>
      </c>
      <c r="I12" s="75" t="s">
        <v>42</v>
      </c>
      <c r="J12" s="83">
        <v>5513.69</v>
      </c>
      <c r="K12" s="80" t="s">
        <v>412</v>
      </c>
      <c r="L12" s="80" t="s">
        <v>537</v>
      </c>
      <c r="M12" s="81" t="s">
        <v>531</v>
      </c>
      <c r="N12" s="81" t="s">
        <v>531</v>
      </c>
      <c r="O12" s="21"/>
    </row>
    <row r="13" spans="1:16" ht="32.5" customHeight="1" x14ac:dyDescent="0.35">
      <c r="A13" s="21"/>
      <c r="B13" s="21"/>
      <c r="C13" s="21"/>
      <c r="D13" s="21"/>
      <c r="E13" s="21"/>
      <c r="F13" s="21"/>
      <c r="G13" s="21"/>
      <c r="H13" s="84">
        <f>SUM(H2:H12)</f>
        <v>1376.03</v>
      </c>
      <c r="I13" s="21"/>
      <c r="J13" s="85">
        <f>SUBTOTAL(9,J2:J12)</f>
        <v>118464.25</v>
      </c>
      <c r="K13" s="81"/>
      <c r="L13" s="80"/>
      <c r="M13" s="81"/>
      <c r="N13" s="81"/>
      <c r="O13" s="21"/>
    </row>
    <row r="14" spans="1:16" x14ac:dyDescent="0.35">
      <c r="H14" s="86"/>
    </row>
    <row r="15" spans="1:16" x14ac:dyDescent="0.35">
      <c r="H15" s="89"/>
      <c r="L15" s="90"/>
    </row>
    <row r="16" spans="1:16" ht="14" customHeight="1" x14ac:dyDescent="0.35">
      <c r="L16" s="91"/>
    </row>
    <row r="17" spans="12:12" x14ac:dyDescent="0.35">
      <c r="L17" s="91"/>
    </row>
    <row r="18" spans="12:12" x14ac:dyDescent="0.35">
      <c r="L18" s="92"/>
    </row>
    <row r="19" spans="12:12" x14ac:dyDescent="0.35">
      <c r="L19" s="92"/>
    </row>
    <row r="20" spans="12:12" x14ac:dyDescent="0.35">
      <c r="L20" s="92"/>
    </row>
    <row r="21" spans="12:12" x14ac:dyDescent="0.35">
      <c r="L21" s="92"/>
    </row>
  </sheetData>
  <autoFilter ref="A1:P12" xr:uid="{49489EA0-C501-497B-A113-50A20A488C68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66B7-8B45-46BA-99A8-185399C51BF4}">
  <dimension ref="A1:I9"/>
  <sheetViews>
    <sheetView zoomScale="145" zoomScaleNormal="145" workbookViewId="0">
      <selection activeCell="C5" sqref="C5"/>
    </sheetView>
  </sheetViews>
  <sheetFormatPr defaultRowHeight="14.5" x14ac:dyDescent="0.35"/>
  <cols>
    <col min="1" max="1" width="10.1796875" bestFit="1" customWidth="1"/>
    <col min="2" max="2" width="16.7265625" bestFit="1" customWidth="1"/>
    <col min="3" max="3" width="9.90625" bestFit="1" customWidth="1"/>
    <col min="4" max="4" width="9.7265625" bestFit="1" customWidth="1"/>
    <col min="5" max="5" width="10.1796875" bestFit="1" customWidth="1"/>
    <col min="6" max="6" width="4.26953125" bestFit="1" customWidth="1"/>
    <col min="7" max="7" width="9.54296875" bestFit="1" customWidth="1"/>
    <col min="8" max="8" width="7.90625" bestFit="1" customWidth="1"/>
    <col min="9" max="9" width="12.08984375" bestFit="1" customWidth="1"/>
  </cols>
  <sheetData>
    <row r="1" spans="1:9" ht="15" thickBot="1" x14ac:dyDescent="0.4"/>
    <row r="2" spans="1:9" ht="15" thickBot="1" x14ac:dyDescent="0.4">
      <c r="A2" s="148" t="s">
        <v>552</v>
      </c>
      <c r="B2" s="149"/>
      <c r="C2" s="150"/>
      <c r="D2" s="151" t="s">
        <v>553</v>
      </c>
      <c r="E2" s="152"/>
      <c r="F2" s="152"/>
      <c r="G2" s="153"/>
      <c r="H2" s="154"/>
      <c r="I2" s="155"/>
    </row>
    <row r="3" spans="1:9" ht="29.5" thickBot="1" x14ac:dyDescent="0.4">
      <c r="A3" s="128" t="s">
        <v>515</v>
      </c>
      <c r="B3" s="134" t="s">
        <v>544</v>
      </c>
      <c r="C3" s="135" t="s">
        <v>554</v>
      </c>
      <c r="D3" s="128" t="s">
        <v>544</v>
      </c>
      <c r="E3" s="129" t="s">
        <v>555</v>
      </c>
      <c r="F3" s="129"/>
      <c r="G3" s="130" t="s">
        <v>554</v>
      </c>
      <c r="H3" s="106" t="s">
        <v>556</v>
      </c>
      <c r="I3" s="107" t="s">
        <v>559</v>
      </c>
    </row>
    <row r="4" spans="1:9" x14ac:dyDescent="0.35">
      <c r="A4" s="131">
        <v>45800</v>
      </c>
      <c r="B4" s="132" t="s">
        <v>520</v>
      </c>
      <c r="C4" s="133">
        <v>7435.89</v>
      </c>
      <c r="D4" s="124" t="s">
        <v>83</v>
      </c>
      <c r="E4" s="125">
        <v>45862</v>
      </c>
      <c r="F4" s="126" t="s">
        <v>41</v>
      </c>
      <c r="G4" s="127">
        <v>-8262.11</v>
      </c>
      <c r="H4" s="109">
        <f>C4+G4</f>
        <v>-826.22000000000025</v>
      </c>
      <c r="I4" s="105"/>
    </row>
    <row r="5" spans="1:9" x14ac:dyDescent="0.35">
      <c r="A5" s="19">
        <v>45856</v>
      </c>
      <c r="B5" s="20" t="s">
        <v>520</v>
      </c>
      <c r="C5" s="116">
        <v>4602.99</v>
      </c>
      <c r="D5" s="118" t="s">
        <v>83</v>
      </c>
      <c r="E5" s="76">
        <v>45891</v>
      </c>
      <c r="F5" s="75" t="s">
        <v>41</v>
      </c>
      <c r="G5" s="119">
        <v>-4582.99</v>
      </c>
      <c r="H5" s="110"/>
      <c r="I5" s="111">
        <f>C5+G5</f>
        <v>20</v>
      </c>
    </row>
    <row r="6" spans="1:9" x14ac:dyDescent="0.35">
      <c r="A6" s="19">
        <v>45945</v>
      </c>
      <c r="B6" s="20" t="s">
        <v>520</v>
      </c>
      <c r="C6" s="116">
        <v>4875.1499999999996</v>
      </c>
      <c r="D6" s="118" t="s">
        <v>83</v>
      </c>
      <c r="E6" s="76">
        <v>45955</v>
      </c>
      <c r="F6" s="75" t="s">
        <v>41</v>
      </c>
      <c r="G6" s="119">
        <v>-4875.1499999999996</v>
      </c>
      <c r="H6" s="110"/>
      <c r="I6" s="111">
        <f>C6+G6</f>
        <v>0</v>
      </c>
    </row>
    <row r="7" spans="1:9" ht="15" thickBot="1" x14ac:dyDescent="0.4">
      <c r="A7" s="64"/>
      <c r="B7" s="65" t="s">
        <v>520</v>
      </c>
      <c r="C7" s="117">
        <v>10721.42</v>
      </c>
      <c r="D7" s="120" t="s">
        <v>83</v>
      </c>
      <c r="E7" s="121">
        <v>46050</v>
      </c>
      <c r="F7" s="122" t="s">
        <v>41</v>
      </c>
      <c r="G7" s="123">
        <v>-10691.42</v>
      </c>
      <c r="H7" s="112"/>
      <c r="I7" s="113">
        <f>C7+G7</f>
        <v>30</v>
      </c>
    </row>
    <row r="8" spans="1:9" ht="15" thickBot="1" x14ac:dyDescent="0.4">
      <c r="A8" s="93"/>
      <c r="B8" s="94"/>
      <c r="C8" s="95">
        <f>SUM(C4:C7)</f>
        <v>27635.449999999997</v>
      </c>
      <c r="D8" s="94"/>
      <c r="E8" s="94"/>
      <c r="F8" s="94"/>
      <c r="G8" s="108">
        <f>SUM(G4:G7)</f>
        <v>-28411.67</v>
      </c>
      <c r="H8" s="114">
        <f>SUM(H4:H7)</f>
        <v>-826.22000000000025</v>
      </c>
      <c r="I8" s="115">
        <f>SUM(I5:I7)</f>
        <v>50</v>
      </c>
    </row>
    <row r="9" spans="1:9" x14ac:dyDescent="0.35">
      <c r="H9" s="96"/>
    </row>
  </sheetData>
  <mergeCells count="3">
    <mergeCell ref="A2:C2"/>
    <mergeCell ref="D2:G2"/>
    <mergeCell ref="H2:I2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Summary</vt:lpstr>
      <vt:lpstr>Invoices not in Customer books</vt:lpstr>
      <vt:lpstr>Ascendus Ledger</vt:lpstr>
      <vt:lpstr>CL Ledger</vt:lpstr>
      <vt:lpstr>TDS</vt:lpstr>
      <vt:lpstr>Customer ledger</vt:lpstr>
      <vt:lpstr>Invoice Not in Customer Book</vt:lpstr>
      <vt:lpstr>Payment Reco</vt:lpstr>
      <vt:lpstr>'Payment Reco'!Print_Area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2026-04-15T10:33:06Z</dcterms:created>
  <dcterms:modified xsi:type="dcterms:W3CDTF">2026-04-18T08:57:30Z</dcterms:modified>
</cp:coreProperties>
</file>