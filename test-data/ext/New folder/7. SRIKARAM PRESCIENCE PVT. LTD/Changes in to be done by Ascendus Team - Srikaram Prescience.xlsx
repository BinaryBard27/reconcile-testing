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Server\2. Tax &amp; Assurance\Capital Land\7. SRIKARAM PRESCIENCE PVT. LTD\"/>
    </mc:Choice>
  </mc:AlternateContent>
  <xr:revisionPtr revIDLastSave="0" documentId="13_ncr:1_{4FA16BC4-A4EB-4C3D-9DF6-41223404CE12}" xr6:coauthVersionLast="47" xr6:coauthVersionMax="47" xr10:uidLastSave="{00000000-0000-0000-0000-000000000000}"/>
  <bookViews>
    <workbookView xWindow="-110" yWindow="-110" windowWidth="21820" windowHeight="14020" xr2:uid="{3873A3C0-E5AF-4BA0-B1CD-F8A5539E44AD}"/>
  </bookViews>
  <sheets>
    <sheet name="Payment Changes" sheetId="2" r:id="rId1"/>
    <sheet name="Credit Note to be passed "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 i="2" l="1"/>
  <c r="G4" i="2"/>
  <c r="G6" i="2" s="1"/>
  <c r="K6" i="1"/>
</calcChain>
</file>

<file path=xl/sharedStrings.xml><?xml version="1.0" encoding="utf-8"?>
<sst xmlns="http://schemas.openxmlformats.org/spreadsheetml/2006/main" count="54" uniqueCount="32">
  <si>
    <t>Customer Account: Name 1</t>
  </si>
  <si>
    <t>Fiscal Year</t>
  </si>
  <si>
    <t>Posting Date</t>
  </si>
  <si>
    <t>Document Number</t>
  </si>
  <si>
    <t>Document Type</t>
  </si>
  <si>
    <t>Document Date</t>
  </si>
  <si>
    <t>Reference</t>
  </si>
  <si>
    <t>Document Currency Key</t>
  </si>
  <si>
    <t>Document Currency Value</t>
  </si>
  <si>
    <t>Company Code Currency Key</t>
  </si>
  <si>
    <t>Company Code Currency Value</t>
  </si>
  <si>
    <t>Text</t>
  </si>
  <si>
    <t>Remarks</t>
  </si>
  <si>
    <t>SRIKARAM PRESCIENCE PVT. LTD.</t>
  </si>
  <si>
    <t>Sales</t>
  </si>
  <si>
    <t>USD</t>
  </si>
  <si>
    <t>INR</t>
  </si>
  <si>
    <t>CY Longstanding container Ground Rent charges for</t>
  </si>
  <si>
    <t>As per Customer these invoices are already billed by Ascendus Team and were generated again. The  customer has already communicated the same with  Ascendas Team but they have not received any credit noted against them. </t>
  </si>
  <si>
    <t>As per Customer</t>
  </si>
  <si>
    <t>As per Ascendus</t>
  </si>
  <si>
    <t>Date</t>
  </si>
  <si>
    <t>Ledger</t>
  </si>
  <si>
    <t>Amount</t>
  </si>
  <si>
    <t>Amount in Local Currency</t>
  </si>
  <si>
    <t>Remarks for Ascendus Books</t>
  </si>
  <si>
    <t>Remarks for Customers books</t>
  </si>
  <si>
    <t>Srikaram Prescience Pvt. Ltd- Noida</t>
  </si>
  <si>
    <t>DZ</t>
  </si>
  <si>
    <t>&gt;&gt;Less in Ascendus books</t>
  </si>
  <si>
    <t>&gt;&gt;Not in Ascendus Books</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</si>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</sst>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8" tint="0.59999389629810485"/>
        <bgColor indexed="64"/>
      </patternFill>
    </fill>
    <fill>
      <patternFill patternType="solid">
        <fgColor rgb="FFFFFF00"/>
        <bgColor indexed="64"/>
      </patternFill>
    </fill>
    <fill>
      <patternFill patternType="solid">
        <fgColor theme="4"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45">
    <xf numFmtId="0" fontId="0" fillId="0" borderId="0" xfId="0"/>
    <xf numFmtId="0" fontId="0" fillId="0" borderId="0" xfId="0" applyAlignment="1">
      <alignment wrapText="1"/>
    </xf>
    <xf numFmtId="0" fontId="0" fillId="0" borderId="0" xfId="0" applyAlignment="1"/>
    <xf numFmtId="0" fontId="0" fillId="0" borderId="1" xfId="0" applyBorder="1" applyAlignment="1">
      <alignment vertical="center" wrapText="1"/>
    </xf>
    <xf numFmtId="14" fontId="0" fillId="0" borderId="1" xfId="0" applyNumberFormat="1" applyBorder="1" applyAlignment="1">
      <alignment horizontal="right" vertical="center" wrapText="1"/>
    </xf>
    <xf numFmtId="1" fontId="0" fillId="0" borderId="1" xfId="0" applyNumberFormat="1" applyBorder="1" applyAlignment="1">
      <alignment vertical="center" wrapText="1"/>
    </xf>
    <xf numFmtId="4" fontId="0" fillId="0" borderId="1" xfId="0" applyNumberFormat="1" applyBorder="1" applyAlignment="1">
      <alignment horizontal="right" vertical="center" wrapText="1"/>
    </xf>
    <xf numFmtId="0" fontId="0" fillId="0" borderId="0" xfId="0" applyAlignment="1">
      <alignment vertical="center"/>
    </xf>
    <xf numFmtId="0" fontId="0" fillId="0" borderId="1" xfId="0" applyNumberFormat="1" applyBorder="1" applyAlignment="1">
      <alignment vertical="center" wrapText="1"/>
    </xf>
    <xf numFmtId="0" fontId="0" fillId="2" borderId="1" xfId="0" applyFill="1" applyBorder="1" applyAlignment="1">
      <alignment vertical="top" wrapText="1"/>
    </xf>
    <xf numFmtId="0" fontId="0" fillId="2" borderId="2" xfId="0" applyFill="1" applyBorder="1" applyAlignment="1">
      <alignment vertical="top" wrapText="1"/>
    </xf>
    <xf numFmtId="4" fontId="2" fillId="0" borderId="0" xfId="0" applyNumberFormat="1" applyFont="1"/>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5" borderId="11" xfId="0" applyFont="1" applyFill="1" applyBorder="1" applyAlignment="1">
      <alignment horizontal="center" vertical="top" wrapText="1"/>
    </xf>
    <xf numFmtId="0" fontId="2" fillId="5" borderId="12" xfId="0" applyFont="1" applyFill="1" applyBorder="1" applyAlignment="1">
      <alignment horizontal="center" vertical="top" wrapText="1"/>
    </xf>
    <xf numFmtId="14" fontId="0" fillId="4" borderId="6" xfId="0" applyNumberFormat="1" applyFill="1" applyBorder="1" applyAlignment="1">
      <alignment wrapText="1"/>
    </xf>
    <xf numFmtId="0" fontId="0" fillId="4" borderId="1" xfId="0" applyFill="1" applyBorder="1" applyAlignment="1">
      <alignment wrapText="1"/>
    </xf>
    <xf numFmtId="164" fontId="0" fillId="4" borderId="7" xfId="1" applyNumberFormat="1" applyFont="1" applyFill="1" applyBorder="1" applyAlignment="1">
      <alignment wrapText="1"/>
    </xf>
    <xf numFmtId="164" fontId="0" fillId="4" borderId="6" xfId="1" applyNumberFormat="1" applyFont="1" applyFill="1" applyBorder="1" applyAlignment="1">
      <alignment wrapText="1"/>
    </xf>
    <xf numFmtId="14" fontId="0" fillId="4" borderId="1" xfId="1" applyNumberFormat="1" applyFont="1" applyFill="1" applyBorder="1" applyAlignment="1">
      <alignment wrapText="1"/>
    </xf>
    <xf numFmtId="0" fontId="0" fillId="3" borderId="1" xfId="0" applyFill="1" applyBorder="1" applyAlignment="1">
      <alignment vertical="top" wrapText="1"/>
    </xf>
    <xf numFmtId="0" fontId="3" fillId="3" borderId="7" xfId="0" applyFont="1" applyFill="1" applyBorder="1" applyAlignment="1">
      <alignment vertical="top" wrapText="1"/>
    </xf>
    <xf numFmtId="14" fontId="0" fillId="4" borderId="8" xfId="0" applyNumberFormat="1" applyFill="1" applyBorder="1" applyAlignment="1">
      <alignment wrapText="1"/>
    </xf>
    <xf numFmtId="0" fontId="0" fillId="4" borderId="9" xfId="0" applyFill="1" applyBorder="1" applyAlignment="1">
      <alignment wrapText="1"/>
    </xf>
    <xf numFmtId="164" fontId="0" fillId="4" borderId="10" xfId="1" applyNumberFormat="1" applyFont="1" applyFill="1" applyBorder="1" applyAlignment="1">
      <alignment wrapText="1"/>
    </xf>
    <xf numFmtId="0" fontId="0" fillId="4" borderId="8" xfId="0" applyFill="1" applyBorder="1" applyAlignment="1">
      <alignment vertical="top" wrapText="1"/>
    </xf>
    <xf numFmtId="0" fontId="0" fillId="4" borderId="9" xfId="0" applyFill="1" applyBorder="1" applyAlignment="1">
      <alignment vertical="top" wrapText="1"/>
    </xf>
    <xf numFmtId="0" fontId="0" fillId="3" borderId="9" xfId="0" applyFill="1" applyBorder="1" applyAlignment="1">
      <alignment vertical="top" wrapText="1"/>
    </xf>
    <xf numFmtId="0" fontId="3" fillId="3" borderId="10" xfId="0" applyFont="1" applyFill="1" applyBorder="1" applyAlignment="1">
      <alignment vertical="top" wrapText="1"/>
    </xf>
    <xf numFmtId="164" fontId="0" fillId="0" borderId="0" xfId="0" applyNumberFormat="1" applyAlignment="1">
      <alignment wrapText="1"/>
    </xf>
    <xf numFmtId="14" fontId="2" fillId="4" borderId="6"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164" fontId="2" fillId="4" borderId="7" xfId="1" applyNumberFormat="1" applyFont="1" applyFill="1" applyBorder="1" applyAlignment="1">
      <alignment horizontal="center" vertical="center" wrapText="1"/>
    </xf>
    <xf numFmtId="164" fontId="2" fillId="4" borderId="6" xfId="1" applyNumberFormat="1" applyFont="1" applyFill="1" applyBorder="1" applyAlignment="1">
      <alignment horizontal="center" vertical="center" wrapText="1"/>
    </xf>
    <xf numFmtId="164" fontId="2" fillId="4" borderId="1" xfId="1" applyNumberFormat="1" applyFont="1" applyFill="1" applyBorder="1" applyAlignment="1">
      <alignment horizontal="center" vertical="center" wrapText="1"/>
    </xf>
    <xf numFmtId="164" fontId="4" fillId="5" borderId="1" xfId="1" applyNumberFormat="1" applyFont="1" applyFill="1" applyBorder="1" applyAlignment="1">
      <alignment horizontal="center" vertical="center" wrapText="1"/>
    </xf>
    <xf numFmtId="164" fontId="4" fillId="5" borderId="7" xfId="1" applyNumberFormat="1" applyFont="1" applyFill="1" applyBorder="1" applyAlignment="1">
      <alignment horizontal="center" vertical="center" wrapText="1"/>
    </xf>
    <xf numFmtId="0" fontId="0" fillId="0" borderId="0" xfId="0" applyAlignment="1">
      <alignment horizontal="center" vertical="center"/>
    </xf>
    <xf numFmtId="164" fontId="4" fillId="5" borderId="13" xfId="1" applyNumberFormat="1" applyFont="1" applyFill="1" applyBorder="1" applyAlignment="1">
      <alignment horizontal="center" vertical="center" wrapText="1"/>
    </xf>
    <xf numFmtId="164" fontId="0" fillId="3" borderId="13" xfId="1" applyNumberFormat="1" applyFont="1" applyFill="1" applyBorder="1" applyAlignment="1">
      <alignment vertical="top" wrapText="1"/>
    </xf>
    <xf numFmtId="164" fontId="0" fillId="3" borderId="14" xfId="1" applyNumberFormat="1" applyFont="1" applyFill="1" applyBorder="1" applyAlignment="1">
      <alignment vertical="top" wrapText="1"/>
    </xf>
    <xf numFmtId="164" fontId="0" fillId="4" borderId="7" xfId="1" applyNumberFormat="1" applyFont="1" applyFill="1" applyBorder="1" applyAlignment="1">
      <alignment vertical="top" wrapText="1"/>
    </xf>
    <xf numFmtId="0" fontId="0" fillId="4" borderId="10" xfId="0" applyFill="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6ABE5-26B4-47AA-9055-4B47ED2CC246}">
  <dimension ref="A1:I6"/>
  <sheetViews>
    <sheetView tabSelected="1" workbookViewId="0">
      <selection activeCell="D10" sqref="D10"/>
    </sheetView>
  </sheetViews>
  <sheetFormatPr defaultRowHeight="14.5" x14ac:dyDescent="0.35"/>
  <cols>
    <col min="1" max="1" width="10.08984375" bestFit="1" customWidth="1"/>
    <col min="2" max="2" width="30.36328125" bestFit="1" customWidth="1"/>
    <col min="3" max="3" width="8.6328125" bestFit="1" customWidth="1"/>
    <col min="4" max="4" width="14.54296875" bestFit="1" customWidth="1"/>
    <col min="5" max="5" width="10.08984375" bestFit="1" customWidth="1"/>
    <col min="6" max="6" width="22.90625" bestFit="1" customWidth="1"/>
    <col min="7" max="7" width="10.54296875" customWidth="1"/>
    <col min="8" max="8" width="21.1796875" bestFit="1" customWidth="1"/>
    <col min="9" max="9" width="22.54296875" bestFit="1" customWidth="1"/>
  </cols>
  <sheetData>
    <row r="1" spans="1:9" ht="15" thickBot="1" x14ac:dyDescent="0.4"/>
    <row r="2" spans="1:9" x14ac:dyDescent="0.35">
      <c r="A2" s="12" t="s">
        <v>19</v>
      </c>
      <c r="B2" s="13"/>
      <c r="C2" s="14"/>
      <c r="D2" s="12" t="s">
        <v>20</v>
      </c>
      <c r="E2" s="13"/>
      <c r="F2" s="14"/>
      <c r="G2" s="15" t="s">
        <v>31</v>
      </c>
      <c r="H2" s="15"/>
      <c r="I2" s="16"/>
    </row>
    <row r="3" spans="1:9" s="39" customFormat="1" ht="39" x14ac:dyDescent="0.35">
      <c r="A3" s="32" t="s">
        <v>21</v>
      </c>
      <c r="B3" s="33" t="s">
        <v>22</v>
      </c>
      <c r="C3" s="34" t="s">
        <v>23</v>
      </c>
      <c r="D3" s="35" t="s">
        <v>4</v>
      </c>
      <c r="E3" s="36" t="s">
        <v>21</v>
      </c>
      <c r="F3" s="34" t="s">
        <v>24</v>
      </c>
      <c r="G3" s="40" t="s">
        <v>31</v>
      </c>
      <c r="H3" s="37" t="s">
        <v>25</v>
      </c>
      <c r="I3" s="38" t="s">
        <v>26</v>
      </c>
    </row>
    <row r="4" spans="1:9" x14ac:dyDescent="0.35">
      <c r="A4" s="17">
        <v>45776</v>
      </c>
      <c r="B4" s="18" t="s">
        <v>27</v>
      </c>
      <c r="C4" s="19">
        <v>257391</v>
      </c>
      <c r="D4" s="20" t="s">
        <v>28</v>
      </c>
      <c r="E4" s="21">
        <v>45796</v>
      </c>
      <c r="F4" s="43">
        <v>-283762.44</v>
      </c>
      <c r="G4" s="41">
        <f>C4+F4</f>
        <v>-26371.440000000002</v>
      </c>
      <c r="H4" s="22"/>
      <c r="I4" s="23" t="s">
        <v>29</v>
      </c>
    </row>
    <row r="5" spans="1:9" ht="15" thickBot="1" x14ac:dyDescent="0.4">
      <c r="A5" s="24">
        <v>46053</v>
      </c>
      <c r="B5" s="25" t="s">
        <v>27</v>
      </c>
      <c r="C5" s="26">
        <v>200000</v>
      </c>
      <c r="D5" s="27"/>
      <c r="E5" s="28"/>
      <c r="F5" s="44"/>
      <c r="G5" s="42">
        <f t="shared" ref="G5" si="0">C5+F5</f>
        <v>200000</v>
      </c>
      <c r="H5" s="29"/>
      <c r="I5" s="30" t="s">
        <v>30</v>
      </c>
    </row>
    <row r="6" spans="1:9" x14ac:dyDescent="0.35">
      <c r="A6" s="1"/>
      <c r="B6" s="1"/>
      <c r="C6" s="1"/>
      <c r="D6" s="1"/>
      <c r="E6" s="1"/>
      <c r="F6" s="1"/>
      <c r="G6" s="31">
        <f>SUM(G4:G5)</f>
        <v>173628.56</v>
      </c>
      <c r="H6" s="1"/>
      <c r="I6" s="1"/>
    </row>
  </sheetData>
  <mergeCells count="3">
    <mergeCell ref="A2:C2"/>
    <mergeCell ref="D2:F2"/>
    <mergeCell ref="G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4EB11-EC2C-460D-AA6B-9BFF46259CD2}">
  <dimension ref="A1:M6"/>
  <sheetViews>
    <sheetView zoomScale="85" zoomScaleNormal="85" workbookViewId="0">
      <selection activeCell="K6" sqref="K6"/>
    </sheetView>
  </sheetViews>
  <sheetFormatPr defaultRowHeight="14.5" x14ac:dyDescent="0.35"/>
  <cols>
    <col min="1" max="1" width="28.54296875" bestFit="1" customWidth="1"/>
    <col min="2" max="2" width="9.453125" bestFit="1" customWidth="1"/>
    <col min="3" max="3" width="11.1796875" bestFit="1" customWidth="1"/>
    <col min="4" max="4" width="16.81640625" bestFit="1" customWidth="1"/>
    <col min="5" max="5" width="8.08984375" customWidth="1"/>
    <col min="6" max="7" width="13.90625" bestFit="1" customWidth="1"/>
    <col min="8" max="8" width="6" customWidth="1"/>
    <col min="9" max="9" width="10.81640625" customWidth="1"/>
    <col min="10" max="10" width="5" customWidth="1"/>
    <col min="11" max="11" width="11.26953125" customWidth="1"/>
    <col min="12" max="12" width="23.08984375" style="2" customWidth="1"/>
    <col min="13" max="13" width="47.1796875" style="1" customWidth="1"/>
  </cols>
  <sheetData>
    <row r="1" spans="1:13" x14ac:dyDescent="0.35">
      <c r="A1" s="9" t="s">
        <v>0</v>
      </c>
      <c r="B1" s="9" t="s">
        <v>1</v>
      </c>
      <c r="C1" s="9" t="s">
        <v>2</v>
      </c>
      <c r="D1" s="9" t="s">
        <v>3</v>
      </c>
      <c r="E1" s="9" t="s">
        <v>4</v>
      </c>
      <c r="F1" s="9" t="s">
        <v>5</v>
      </c>
      <c r="G1" s="9" t="s">
        <v>6</v>
      </c>
      <c r="H1" s="9" t="s">
        <v>7</v>
      </c>
      <c r="I1" s="9" t="s">
        <v>8</v>
      </c>
      <c r="J1" s="9" t="s">
        <v>9</v>
      </c>
      <c r="K1" s="9" t="s">
        <v>10</v>
      </c>
      <c r="L1" s="9" t="s">
        <v>11</v>
      </c>
      <c r="M1" s="10" t="s">
        <v>12</v>
      </c>
    </row>
    <row r="2" spans="1:13" s="7" customFormat="1" ht="66" customHeight="1" x14ac:dyDescent="0.35">
      <c r="A2" s="3" t="s">
        <v>13</v>
      </c>
      <c r="B2" s="8">
        <v>2025</v>
      </c>
      <c r="C2" s="4">
        <v>45750</v>
      </c>
      <c r="D2" s="3">
        <v>1800005055</v>
      </c>
      <c r="E2" s="3" t="s">
        <v>14</v>
      </c>
      <c r="F2" s="4">
        <v>45750</v>
      </c>
      <c r="G2" s="5">
        <v>256779410001</v>
      </c>
      <c r="H2" s="3" t="s">
        <v>15</v>
      </c>
      <c r="I2" s="6">
        <v>450</v>
      </c>
      <c r="J2" s="3" t="s">
        <v>16</v>
      </c>
      <c r="K2" s="6">
        <v>39114.82</v>
      </c>
      <c r="L2" s="3" t="s">
        <v>17</v>
      </c>
      <c r="M2" s="3" t="s">
        <v>18</v>
      </c>
    </row>
    <row r="3" spans="1:13" s="7" customFormat="1" ht="72.5" x14ac:dyDescent="0.35">
      <c r="A3" s="3" t="s">
        <v>13</v>
      </c>
      <c r="B3" s="8">
        <v>2025</v>
      </c>
      <c r="C3" s="4">
        <v>45750</v>
      </c>
      <c r="D3" s="3">
        <v>1800005061</v>
      </c>
      <c r="E3" s="3" t="s">
        <v>14</v>
      </c>
      <c r="F3" s="4">
        <v>45750</v>
      </c>
      <c r="G3" s="5">
        <v>256779410007</v>
      </c>
      <c r="H3" s="3" t="s">
        <v>15</v>
      </c>
      <c r="I3" s="6">
        <v>465</v>
      </c>
      <c r="J3" s="3" t="s">
        <v>16</v>
      </c>
      <c r="K3" s="6">
        <v>40418.65</v>
      </c>
      <c r="L3" s="3" t="s">
        <v>17</v>
      </c>
      <c r="M3" s="3" t="s">
        <v>18</v>
      </c>
    </row>
    <row r="4" spans="1:13" s="7" customFormat="1" ht="72.5" x14ac:dyDescent="0.35">
      <c r="A4" s="3" t="s">
        <v>13</v>
      </c>
      <c r="B4" s="8">
        <v>2025</v>
      </c>
      <c r="C4" s="4">
        <v>45750</v>
      </c>
      <c r="D4" s="3">
        <v>1800005067</v>
      </c>
      <c r="E4" s="3" t="s">
        <v>14</v>
      </c>
      <c r="F4" s="4">
        <v>45750</v>
      </c>
      <c r="G4" s="5">
        <v>256779410013</v>
      </c>
      <c r="H4" s="3" t="s">
        <v>15</v>
      </c>
      <c r="I4" s="6">
        <v>450</v>
      </c>
      <c r="J4" s="3" t="s">
        <v>16</v>
      </c>
      <c r="K4" s="6">
        <v>39114.82</v>
      </c>
      <c r="L4" s="3" t="s">
        <v>17</v>
      </c>
      <c r="M4" s="3" t="s">
        <v>18</v>
      </c>
    </row>
    <row r="5" spans="1:13" s="7" customFormat="1" ht="72.5" x14ac:dyDescent="0.35">
      <c r="A5" s="3" t="s">
        <v>13</v>
      </c>
      <c r="B5" s="8">
        <v>2025</v>
      </c>
      <c r="C5" s="4">
        <v>45750</v>
      </c>
      <c r="D5" s="3">
        <v>1800005327</v>
      </c>
      <c r="E5" s="3" t="s">
        <v>14</v>
      </c>
      <c r="F5" s="4">
        <v>45750</v>
      </c>
      <c r="G5" s="5">
        <v>256779410219</v>
      </c>
      <c r="H5" s="3" t="s">
        <v>15</v>
      </c>
      <c r="I5" s="6">
        <v>465</v>
      </c>
      <c r="J5" s="3" t="s">
        <v>16</v>
      </c>
      <c r="K5" s="6">
        <v>40418.65</v>
      </c>
      <c r="L5" s="3" t="s">
        <v>17</v>
      </c>
      <c r="M5" s="3" t="s">
        <v>18</v>
      </c>
    </row>
    <row r="6" spans="1:13" x14ac:dyDescent="0.35">
      <c r="K6" s="11">
        <f>SUM(K2:K5)</f>
        <v>159066.94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Payment Changes</vt:lpstr>
      <vt:lpstr>Credit Note to be passed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Neuroy Gonsalves</dc:creator>
  <cp:lastModifiedBy>Neuroy Gonsalves</cp:lastModifiedBy>
  <dcterms:created xsi:type="dcterms:W3CDTF">2026-03-02T08:08:16Z</dcterms:created>
  <dcterms:modified xsi:type="dcterms:W3CDTF">2026-03-02T08:17:01Z</dcterms:modified>
</cp:coreProperties>
</file>