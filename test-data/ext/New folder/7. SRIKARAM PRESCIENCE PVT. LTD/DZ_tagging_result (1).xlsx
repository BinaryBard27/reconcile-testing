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0F0FC604-4551-48FD-89F3-2DD98E21FCC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3" r:id="rId1"/>
    <sheet name="Sheet1" sheetId="1" r:id="rId2"/>
    <sheet name="DZ" sheetId="2" r:id="rId3"/>
  </sheets>
  <definedNames>
    <definedName name="_xlnm._FilterDatabase" localSheetId="1" hidden="1">Sheet1!$A$1:$T$190</definedName>
    <definedName name="_xlnm._FilterDatabase" localSheetId="0" hidden="1">Sheet2!$A$3:$E$143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60" i="1" l="1"/>
  <c r="V160" i="1" s="1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<sst xmlns="http://schemas.openxmlformats.org/spreadsheetml/2006/main" count="1185" uniqueCount="165">
  <si>
    <t>Customer Account: Name 1</t>
  </si>
  <si>
    <t>Fiscal Year</t>
  </si>
  <si>
    <t>Posting Date</t>
  </si>
  <si>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</si>
  <si>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</si>
  <si>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</si>
  <si>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</si>
  <si>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</si>
  <si>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</si>
  <si>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</si>
  <si>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</si>
  <si>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</si>
  <si>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INOVICE TAGGING</t>
  </si>
  <si>
    <t>TDS</t>
  </si>
  <si>
    <t>Net amount</t>
  </si>
  <si>
    <t>DZ Tagging</t>
  </si>
  <si>
    <t>DZ Tagged Amount</t>
  </si>
  <si>
    <t>SRIKARAM PRESCIENCE PVT. LTD.</t>
  </si>
  <si>
    <t>2025</t>
  </si>
  <si>
    <t>DR</t>
  </si>
  <si>
    <t>USD</t>
  </si>
  <si>
    <t>INR</t>
  </si>
  <si>
    <t>Fixed Rental charges for Sept 2024</t>
  </si>
  <si>
    <t>Fixed Rental charges for Nov 2024</t>
  </si>
  <si>
    <t>Fixed Rental charges for Dec 2024</t>
  </si>
  <si>
    <t>Fixed Rental charges for Jan 2025</t>
  </si>
  <si>
    <t>Fixed Rental charges for Feb 2025</t>
  </si>
  <si>
    <t>Fixed Rental charges for Oct 2024</t>
  </si>
  <si>
    <t>CY Longstanding container Ground Rent charges for</t>
  </si>
  <si>
    <t>Storage  for the month of Sept  2024</t>
  </si>
  <si>
    <t>Storage for the month of Oct 2024</t>
  </si>
  <si>
    <t>Storage for the month of Nov 2024</t>
  </si>
  <si>
    <t>Storage for the month of Dec 2024</t>
  </si>
  <si>
    <t>Scanning Charges for the month of September, 2024</t>
  </si>
  <si>
    <t>VAS Activity Charges for the month of August, 24</t>
  </si>
  <si>
    <t>VAS Activity Charges for the month of September, 2</t>
  </si>
  <si>
    <t>VAS Activity Charges for the month of December, 24</t>
  </si>
  <si>
    <t>HLBU3011446-Port SSR Shifting Jan 2025. Exch rate</t>
  </si>
  <si>
    <t>Fixed Storage Charges for Mar 2025</t>
  </si>
  <si>
    <t>Loose loading Handling charges for Sep 2024</t>
  </si>
  <si>
    <t>Outbound Handling charges for Feb 2025</t>
  </si>
  <si>
    <t>Loose Loading Handling charges for Jan 2025</t>
  </si>
  <si>
    <t>Outbound Handling charges for Jan 2025</t>
  </si>
  <si>
    <t>Loose Unloading charges for Jan 2025</t>
  </si>
  <si>
    <t>Outbound Handling charges for Oct 2024</t>
  </si>
  <si>
    <t>Outbound Handling charges for Sep 2024</t>
  </si>
  <si>
    <t>Loose handling Charges for Nov 2024</t>
  </si>
  <si>
    <t>Inbound Handling charges for Nov 2024</t>
  </si>
  <si>
    <t>Inbound Handling charges for  Sep 2024</t>
  </si>
  <si>
    <t>LCL charges for Sep 2024</t>
  </si>
  <si>
    <t>LCL Movement Charges for Nov 2024</t>
  </si>
  <si>
    <t>Inbound Handling charges for Jan 2025</t>
  </si>
  <si>
    <t>Outbound Handling charges for Nov 2024</t>
  </si>
  <si>
    <t>LCL charges for Jan 2025</t>
  </si>
  <si>
    <t>CY-MOVEMENT CHARGES for Nov 2024</t>
  </si>
  <si>
    <t>Ground Rent Feb 25</t>
  </si>
  <si>
    <t>Ground Rent Jan 25</t>
  </si>
  <si>
    <t>Loose handling Charges for Oct 2024</t>
  </si>
  <si>
    <t>LCL Movement Charges for Oct 2024</t>
  </si>
  <si>
    <t>Inbound Handling charges for Oct 2024</t>
  </si>
  <si>
    <t>Loose loading Handling charges for Mar 25</t>
  </si>
  <si>
    <t>Outbound Handling charges for Mar 25</t>
  </si>
  <si>
    <t>Inbound Handling charges for Mar 2025</t>
  </si>
  <si>
    <t>LCL charges for Mar 2025</t>
  </si>
  <si>
    <t>Storage Charges Feb, 25</t>
  </si>
  <si>
    <t>Storage Charges Jan, 25</t>
  </si>
  <si>
    <t>LCL Charges August 2024</t>
  </si>
  <si>
    <t>Inbound Handling for August 24</t>
  </si>
  <si>
    <t>Loose Unloading charges for Dec 2024</t>
  </si>
  <si>
    <t>Loose loading Handling charges for Dec 2024</t>
  </si>
  <si>
    <t>Inbound Handling charges for Dec 2024</t>
  </si>
  <si>
    <t>Outbound Handling charges for Dec 2024</t>
  </si>
  <si>
    <t>VAS Activity - Mar 25, 16-31, Ex Rate. 85.58</t>
  </si>
  <si>
    <t>LCL charges for Dec 2024</t>
  </si>
  <si>
    <t>VAS Activity - Jan 25, Ex Rate. 86.64</t>
  </si>
  <si>
    <t>CY Longstanding Transportation chgs for 31 MAR 202</t>
  </si>
  <si>
    <t>Storage Charges Mar, 25</t>
  </si>
  <si>
    <t>Fixed Storage Charges for April 2025</t>
  </si>
  <si>
    <t>Outbound Handling charges for 31 Mar 25</t>
  </si>
  <si>
    <t>Inbound Handling charges for Feb 2025</t>
  </si>
  <si>
    <t>Inbound Handling charges for 31 Mar 2025</t>
  </si>
  <si>
    <t>Inbound chgs - 01 - 15 Apr 25</t>
  </si>
  <si>
    <t>VAS 1-15 April-25,Ex.Rate-85.69</t>
  </si>
  <si>
    <t>VAS - 16-30 April 25, Ex.Rate-85.05</t>
  </si>
  <si>
    <t>CY Ground rent Chgs - 01 - 30 Apr 25</t>
  </si>
  <si>
    <t>Fixed Storage Charges fo MAY 2025</t>
  </si>
  <si>
    <t>Transportation In Chgs - 16 - 30 Apr 25</t>
  </si>
  <si>
    <t>Outbound chgs - 01 - 15 MAY 25</t>
  </si>
  <si>
    <t>Storage Chgs - 01 - 31 Apr 25</t>
  </si>
  <si>
    <t>Outbound chgs - 01 - 15 Apr 25</t>
  </si>
  <si>
    <t>Port SSR Charges - Shifting for Aug to D</t>
  </si>
  <si>
    <t>Detention Chgs - 16 - 31 MAY 25</t>
  </si>
  <si>
    <t>Outbound chgs - 16 - 31 MAY 25</t>
  </si>
  <si>
    <t>PORT SSR Chgs - 16 - 31 May 25</t>
  </si>
  <si>
    <t>LCL Chgs - 16-31 MAY 25</t>
  </si>
  <si>
    <t>Unit storage -1-31 May 25</t>
  </si>
  <si>
    <t>Fixed Storage Charges fo JUNE 2025</t>
  </si>
  <si>
    <t>CY Longstanding - March 25,16-31</t>
  </si>
  <si>
    <t>Unit to Unit 1-15 June 25</t>
  </si>
  <si>
    <t>VAS 1-15 June 25, Exch 86.10</t>
  </si>
  <si>
    <t>Outbound chgs - 01 - 15 Jun 25</t>
  </si>
  <si>
    <t>LCL chgs - 16 - 30 JUN 25</t>
  </si>
  <si>
    <t>CODC Inbound chgs - 01 - 15 Jun 25</t>
  </si>
  <si>
    <t>VAS - 16-30 June 25</t>
  </si>
  <si>
    <t>Outbound chgs - 16 - 30 Jun 25</t>
  </si>
  <si>
    <t>LCL Chgs - 01 - 15 JUN 25</t>
  </si>
  <si>
    <t>Unit Storage - 1-30 June 25</t>
  </si>
  <si>
    <t>Fixed Storage Charges fo JULY 2025</t>
  </si>
  <si>
    <t>Outbound chgs - 01 - 15 Jul 25</t>
  </si>
  <si>
    <t>CODC Inbound chgs - 01 - 15 July 25</t>
  </si>
  <si>
    <t>CODC Out chgs - 01 - 15 July 25</t>
  </si>
  <si>
    <t>PORT SSR Chgs May &amp; June 25</t>
  </si>
  <si>
    <t>Transportation In Chgs - 01 - 15 Jul 25</t>
  </si>
  <si>
    <t>LCL chgs - 01 - 15 JUL 25</t>
  </si>
  <si>
    <t>LCL Chgs - 01-15 MAY 25</t>
  </si>
  <si>
    <t>VAS 16-31 May 25 Ex.85.48</t>
  </si>
  <si>
    <t>CY Ground rent Chgs - 01 - 31 May 25</t>
  </si>
  <si>
    <t>Fixed Storage Charges for August 2025</t>
  </si>
  <si>
    <t>Weighment - 16-31 July 25</t>
  </si>
  <si>
    <t>Outbound chgs - 16 - 31 Jul 25</t>
  </si>
  <si>
    <t>Empty Lolo Chgs - 01 - 31 JUL 25</t>
  </si>
  <si>
    <t>PORT SSR Chgs July 25</t>
  </si>
  <si>
    <t>LCL chgs - 16 - 31 JUL 25</t>
  </si>
  <si>
    <t>VAS 16-31 July 25</t>
  </si>
  <si>
    <t>Unit Storage - 1-31 July 25</t>
  </si>
  <si>
    <t>LCL chgs - 01 - 15 AUG 25</t>
  </si>
  <si>
    <t>Outbound chgs - 01 - 15 Aug 25</t>
  </si>
  <si>
    <t>Outbound chgs - 16 - 31 Aug 25</t>
  </si>
  <si>
    <t>VAS -16-31 Aug 25</t>
  </si>
  <si>
    <t>PORT SSR Chgs Aug 25</t>
  </si>
  <si>
    <t>Transportation In Chgs - 16 - 31 Aug 25</t>
  </si>
  <si>
    <t>LCL chgs - 16 - 31 AUG 25</t>
  </si>
  <si>
    <t>Fixed Storage Charges for September 2025</t>
  </si>
  <si>
    <t>Unit-Storage-1-31 Aug 25</t>
  </si>
  <si>
    <t>VAS -1-15 Sept-25</t>
  </si>
  <si>
    <t>Outbound chgs - 01 - 15 Sep 25</t>
  </si>
  <si>
    <t>LCL chgs - 01 - 15 SEP 25</t>
  </si>
  <si>
    <t>Empty Lolo Chgs - 01 - 30 SEP 25</t>
  </si>
  <si>
    <t>PORT SSR Chgs Sep 25</t>
  </si>
  <si>
    <t>Outbound chgs - 16 - 30 Sep 25</t>
  </si>
  <si>
    <t>Inbound chgs - 16 - 30 SEP 25</t>
  </si>
  <si>
    <t>Fixed Storage Charges for October 2025</t>
  </si>
  <si>
    <t>Unit Storage - 1-30 Sept 2025</t>
  </si>
  <si>
    <t>VAS-16-30 Sept 25</t>
  </si>
  <si>
    <t>CODC Inbound chgs - 1-15 Oct 25</t>
  </si>
  <si>
    <t>Outbound chgs - 01 - 15 Oct 25</t>
  </si>
  <si>
    <t>Transportation In Chgs - 01 - 15 Oct 25</t>
  </si>
  <si>
    <t>Weighment  -1-15 Oct 2025</t>
  </si>
  <si>
    <t>CODC Out chgs -1-15 Oct 25</t>
  </si>
  <si>
    <t>Transportation In Chgs - 16 - 31 OCT 25</t>
  </si>
  <si>
    <t>Empty Lolo Chgs - 01 - 31 OCT 25</t>
  </si>
  <si>
    <t>WEIGHTMENT-16 -31 Oct 25</t>
  </si>
  <si>
    <t>Scanning  Chgs - 16 - 31 Oct 25</t>
  </si>
  <si>
    <t>Transportation In Chgs - 16 - 31 Oct 25</t>
  </si>
  <si>
    <t>PORT SSR Chgs Oct 25</t>
  </si>
  <si>
    <t>Detention Chgs - OCT 25</t>
  </si>
  <si>
    <t>Outbound chgs - 16 - 31 Oct 25</t>
  </si>
  <si>
    <t>Unit Storage - 1-31 Oct 2025</t>
  </si>
  <si>
    <t>Fixed Storage Charges for November 2025</t>
  </si>
  <si>
    <t>DZ</t>
  </si>
  <si>
    <t>Row Labels</t>
  </si>
  <si>
    <t>Grand Total</t>
  </si>
  <si>
    <t>Sum of INOVICE TAGGING</t>
  </si>
  <si>
    <t>Count of Company Code Currency Value</t>
  </si>
  <si>
    <t>Sum of DZ Tagged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</si>
</sst>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2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" fontId="0" fillId="2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horizontal="right" vertical="top"/>
    </xf>
    <xf numFmtId="165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164" fontId="0" fillId="0" borderId="0" xfId="1" applyFont="1" applyAlignment="1">
      <alignment vertical="top"/>
    </xf>
    <xf numFmtId="4" fontId="0" fillId="0" borderId="0" xfId="0" applyNumberFormat="1" applyAlignment="1">
      <alignment vertical="top"/>
    </xf>
    <xf numFmtId="0" fontId="2" fillId="0" borderId="0" xfId="0" applyFont="1"/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55C1-2DFE-479E-8D73-2E8C414B5A9D}">
  <dimension ref="A3:F143"/>
  <sheetViews>
    <sheetView workbookViewId="0"/>
  </sheetViews>
  <sheetFormatPr defaultRowHeight="14.4" x14ac:dyDescent="0.3"/>
  <cols>
    <col min="1" max="1" width="12.5546875" bestFit="1" customWidth="1"/>
    <col min="2" max="2" width="23.109375" bestFit="1" customWidth="1"/>
    <col min="3" max="3" width="35.5546875" bestFit="1" customWidth="1"/>
    <col min="4" max="4" width="35.5546875" customWidth="1"/>
    <col min="5" max="5" width="23.88671875" bestFit="1" customWidth="1"/>
  </cols>
  <sheetData>
    <row r="3" spans="1:6" x14ac:dyDescent="0.3">
      <c r="A3" t="s">
        <v>160</v>
      </c>
      <c r="B3" t="s">
        <v>162</v>
      </c>
      <c r="C3" t="s">
        <v>163</v>
      </c>
      <c r="E3" t="s">
        <v>164</v>
      </c>
    </row>
    <row r="4" spans="1:6" x14ac:dyDescent="0.3">
      <c r="A4">
        <v>1800000080</v>
      </c>
      <c r="B4">
        <v>280906</v>
      </c>
      <c r="C4">
        <v>2</v>
      </c>
      <c r="D4">
        <f>B4/C4</f>
        <v>140453</v>
      </c>
      <c r="E4">
        <v>140453</v>
      </c>
      <c r="F4">
        <f>D4-E4</f>
        <v>0</v>
      </c>
    </row>
    <row r="5" spans="1:6" x14ac:dyDescent="0.3">
      <c r="A5">
        <v>1800000179</v>
      </c>
      <c r="B5">
        <v>140453</v>
      </c>
      <c r="C5">
        <v>1</v>
      </c>
      <c r="D5">
        <f t="shared" ref="D5:D65" si="0">B5/C5</f>
        <v>140453</v>
      </c>
      <c r="E5">
        <v>140453</v>
      </c>
      <c r="F5">
        <f t="shared" ref="F5:F68" si="1">D5-E5</f>
        <v>0</v>
      </c>
    </row>
    <row r="6" spans="1:6" x14ac:dyDescent="0.3">
      <c r="A6">
        <v>1800000222</v>
      </c>
      <c r="B6">
        <v>140453</v>
      </c>
      <c r="C6">
        <v>1</v>
      </c>
      <c r="D6">
        <f t="shared" si="0"/>
        <v>140453</v>
      </c>
      <c r="E6">
        <v>140453</v>
      </c>
      <c r="F6">
        <f t="shared" si="1"/>
        <v>0</v>
      </c>
    </row>
    <row r="7" spans="1:6" x14ac:dyDescent="0.3">
      <c r="A7">
        <v>1800000265</v>
      </c>
      <c r="B7">
        <v>140453</v>
      </c>
      <c r="C7">
        <v>1</v>
      </c>
      <c r="D7">
        <f t="shared" si="0"/>
        <v>140453</v>
      </c>
      <c r="E7">
        <v>140453</v>
      </c>
      <c r="F7">
        <f t="shared" si="1"/>
        <v>0</v>
      </c>
    </row>
    <row r="8" spans="1:6" x14ac:dyDescent="0.3">
      <c r="A8">
        <v>1800000308</v>
      </c>
      <c r="B8">
        <v>280906</v>
      </c>
      <c r="C8">
        <v>2</v>
      </c>
      <c r="D8">
        <f t="shared" si="0"/>
        <v>140453</v>
      </c>
      <c r="E8">
        <v>140453</v>
      </c>
      <c r="F8">
        <f t="shared" si="1"/>
        <v>0</v>
      </c>
    </row>
    <row r="9" spans="1:6" x14ac:dyDescent="0.3">
      <c r="A9">
        <v>1800000376</v>
      </c>
      <c r="B9">
        <v>36577</v>
      </c>
      <c r="C9">
        <v>1</v>
      </c>
      <c r="D9">
        <f t="shared" si="0"/>
        <v>36577</v>
      </c>
      <c r="E9">
        <v>36577</v>
      </c>
      <c r="F9">
        <f t="shared" si="1"/>
        <v>0</v>
      </c>
    </row>
    <row r="10" spans="1:6" x14ac:dyDescent="0.3">
      <c r="A10">
        <v>1800000382</v>
      </c>
      <c r="B10">
        <v>36577</v>
      </c>
      <c r="C10">
        <v>1</v>
      </c>
      <c r="D10">
        <f t="shared" si="0"/>
        <v>36577</v>
      </c>
      <c r="E10">
        <v>36577</v>
      </c>
      <c r="F10">
        <f t="shared" si="1"/>
        <v>0</v>
      </c>
    </row>
    <row r="11" spans="1:6" x14ac:dyDescent="0.3">
      <c r="A11">
        <v>1800000388</v>
      </c>
      <c r="B11">
        <v>35397</v>
      </c>
      <c r="C11">
        <v>1</v>
      </c>
      <c r="D11">
        <f t="shared" si="0"/>
        <v>35397</v>
      </c>
      <c r="E11">
        <v>35397</v>
      </c>
      <c r="F11">
        <f t="shared" si="1"/>
        <v>0</v>
      </c>
    </row>
    <row r="12" spans="1:6" x14ac:dyDescent="0.3">
      <c r="A12">
        <v>1800000453</v>
      </c>
      <c r="B12">
        <v>151767</v>
      </c>
      <c r="C12">
        <v>1</v>
      </c>
      <c r="D12">
        <f t="shared" si="0"/>
        <v>151767</v>
      </c>
      <c r="E12">
        <v>151767</v>
      </c>
      <c r="F12">
        <f t="shared" si="1"/>
        <v>0</v>
      </c>
    </row>
    <row r="13" spans="1:6" x14ac:dyDescent="0.3">
      <c r="A13">
        <v>1800000922</v>
      </c>
      <c r="B13">
        <v>180778</v>
      </c>
      <c r="C13">
        <v>1</v>
      </c>
      <c r="D13">
        <f t="shared" si="0"/>
        <v>180778</v>
      </c>
      <c r="E13">
        <v>180778</v>
      </c>
      <c r="F13">
        <f t="shared" si="1"/>
        <v>0</v>
      </c>
    </row>
    <row r="14" spans="1:6" x14ac:dyDescent="0.3">
      <c r="A14">
        <v>1800000945</v>
      </c>
      <c r="B14">
        <v>374734</v>
      </c>
      <c r="C14">
        <v>2</v>
      </c>
      <c r="D14">
        <f t="shared" si="0"/>
        <v>187367</v>
      </c>
      <c r="E14">
        <v>187367</v>
      </c>
      <c r="F14">
        <f t="shared" si="1"/>
        <v>0</v>
      </c>
    </row>
    <row r="15" spans="1:6" x14ac:dyDescent="0.3">
      <c r="A15">
        <v>1800001470</v>
      </c>
      <c r="B15">
        <v>2987</v>
      </c>
      <c r="C15">
        <v>1</v>
      </c>
      <c r="D15">
        <f t="shared" si="0"/>
        <v>2987</v>
      </c>
      <c r="E15">
        <v>2987</v>
      </c>
      <c r="F15">
        <f t="shared" si="1"/>
        <v>0</v>
      </c>
    </row>
    <row r="16" spans="1:6" x14ac:dyDescent="0.3">
      <c r="A16">
        <v>1800001590</v>
      </c>
      <c r="B16">
        <v>6589</v>
      </c>
      <c r="C16">
        <v>1</v>
      </c>
      <c r="D16">
        <f t="shared" si="0"/>
        <v>6589</v>
      </c>
      <c r="E16">
        <v>6589</v>
      </c>
      <c r="F16">
        <f t="shared" si="1"/>
        <v>0</v>
      </c>
    </row>
    <row r="17" spans="1:6" x14ac:dyDescent="0.3">
      <c r="A17">
        <v>1800001793</v>
      </c>
      <c r="B17">
        <v>6589</v>
      </c>
      <c r="C17">
        <v>1</v>
      </c>
      <c r="D17">
        <f t="shared" si="0"/>
        <v>6589</v>
      </c>
      <c r="E17">
        <v>6589</v>
      </c>
      <c r="F17">
        <f t="shared" si="1"/>
        <v>0</v>
      </c>
    </row>
    <row r="18" spans="1:6" x14ac:dyDescent="0.3">
      <c r="A18">
        <v>1800001959</v>
      </c>
      <c r="B18">
        <v>20898</v>
      </c>
      <c r="C18">
        <v>1</v>
      </c>
      <c r="D18">
        <f t="shared" si="0"/>
        <v>20898</v>
      </c>
      <c r="E18">
        <v>20898</v>
      </c>
      <c r="F18">
        <f t="shared" si="1"/>
        <v>0</v>
      </c>
    </row>
    <row r="19" spans="1:6" x14ac:dyDescent="0.3">
      <c r="A19">
        <v>1800001960</v>
      </c>
      <c r="B19">
        <v>5939</v>
      </c>
      <c r="C19">
        <v>1</v>
      </c>
      <c r="D19">
        <f t="shared" si="0"/>
        <v>5939</v>
      </c>
      <c r="E19">
        <v>5939</v>
      </c>
      <c r="F19">
        <f t="shared" si="1"/>
        <v>0</v>
      </c>
    </row>
    <row r="20" spans="1:6" x14ac:dyDescent="0.3">
      <c r="A20">
        <v>1800001961</v>
      </c>
      <c r="B20">
        <v>6091</v>
      </c>
      <c r="C20">
        <v>1</v>
      </c>
      <c r="D20">
        <f t="shared" si="0"/>
        <v>6091</v>
      </c>
      <c r="E20">
        <v>6091</v>
      </c>
      <c r="F20">
        <f t="shared" si="1"/>
        <v>0</v>
      </c>
    </row>
    <row r="21" spans="1:6" x14ac:dyDescent="0.3">
      <c r="A21">
        <v>1800001962</v>
      </c>
      <c r="B21">
        <v>5258</v>
      </c>
      <c r="C21">
        <v>1</v>
      </c>
      <c r="D21">
        <f t="shared" si="0"/>
        <v>5258</v>
      </c>
      <c r="E21">
        <v>5258</v>
      </c>
      <c r="F21">
        <f t="shared" si="1"/>
        <v>0</v>
      </c>
    </row>
    <row r="22" spans="1:6" x14ac:dyDescent="0.3">
      <c r="A22">
        <v>1800002403</v>
      </c>
      <c r="B22">
        <v>10392</v>
      </c>
      <c r="C22">
        <v>1</v>
      </c>
      <c r="D22">
        <f t="shared" si="0"/>
        <v>10392</v>
      </c>
      <c r="E22">
        <v>10392</v>
      </c>
      <c r="F22">
        <f t="shared" si="1"/>
        <v>0</v>
      </c>
    </row>
    <row r="23" spans="1:6" x14ac:dyDescent="0.3">
      <c r="A23">
        <v>1800003132</v>
      </c>
      <c r="B23">
        <v>14486</v>
      </c>
      <c r="C23">
        <v>1</v>
      </c>
      <c r="D23">
        <f t="shared" si="0"/>
        <v>14486</v>
      </c>
      <c r="E23">
        <v>14486</v>
      </c>
      <c r="F23">
        <f t="shared" si="1"/>
        <v>0</v>
      </c>
    </row>
    <row r="24" spans="1:6" x14ac:dyDescent="0.3">
      <c r="A24">
        <v>1800003353</v>
      </c>
      <c r="B24">
        <v>2207</v>
      </c>
      <c r="C24">
        <v>1</v>
      </c>
      <c r="D24">
        <f t="shared" si="0"/>
        <v>2207</v>
      </c>
      <c r="E24">
        <v>2207</v>
      </c>
      <c r="F24">
        <f t="shared" si="1"/>
        <v>0</v>
      </c>
    </row>
    <row r="25" spans="1:6" x14ac:dyDescent="0.3">
      <c r="A25">
        <v>1800003930</v>
      </c>
      <c r="B25">
        <v>36118</v>
      </c>
      <c r="C25">
        <v>1</v>
      </c>
      <c r="D25">
        <f t="shared" si="0"/>
        <v>36118</v>
      </c>
      <c r="E25">
        <v>36118</v>
      </c>
      <c r="F25">
        <f t="shared" si="1"/>
        <v>0</v>
      </c>
    </row>
    <row r="26" spans="1:6" x14ac:dyDescent="0.3">
      <c r="A26">
        <v>1800003941</v>
      </c>
      <c r="B26">
        <v>32623</v>
      </c>
      <c r="C26">
        <v>1</v>
      </c>
      <c r="D26">
        <f t="shared" si="0"/>
        <v>32623</v>
      </c>
      <c r="E26">
        <v>32623</v>
      </c>
      <c r="F26">
        <f t="shared" si="1"/>
        <v>0</v>
      </c>
    </row>
    <row r="27" spans="1:6" x14ac:dyDescent="0.3">
      <c r="A27">
        <v>1800004028</v>
      </c>
      <c r="B27">
        <v>10870</v>
      </c>
      <c r="C27">
        <v>1</v>
      </c>
      <c r="D27">
        <f t="shared" si="0"/>
        <v>10870</v>
      </c>
      <c r="E27">
        <v>10870</v>
      </c>
      <c r="F27">
        <f t="shared" si="1"/>
        <v>0</v>
      </c>
    </row>
    <row r="28" spans="1:6" x14ac:dyDescent="0.3">
      <c r="A28">
        <v>1800004037</v>
      </c>
      <c r="B28">
        <v>148</v>
      </c>
      <c r="C28">
        <v>1</v>
      </c>
      <c r="D28">
        <f t="shared" si="0"/>
        <v>148</v>
      </c>
      <c r="E28">
        <v>148</v>
      </c>
      <c r="F28">
        <f t="shared" si="1"/>
        <v>0</v>
      </c>
    </row>
    <row r="29" spans="1:6" x14ac:dyDescent="0.3">
      <c r="A29">
        <v>1800004038</v>
      </c>
      <c r="B29">
        <v>170</v>
      </c>
      <c r="C29">
        <v>1</v>
      </c>
      <c r="D29">
        <f t="shared" si="0"/>
        <v>170</v>
      </c>
      <c r="E29">
        <v>170</v>
      </c>
      <c r="F29">
        <f t="shared" si="1"/>
        <v>0</v>
      </c>
    </row>
    <row r="30" spans="1:6" x14ac:dyDescent="0.3">
      <c r="A30">
        <v>1800004045</v>
      </c>
      <c r="B30">
        <v>148</v>
      </c>
      <c r="C30">
        <v>1</v>
      </c>
      <c r="D30">
        <f t="shared" si="0"/>
        <v>148</v>
      </c>
      <c r="E30">
        <v>148</v>
      </c>
      <c r="F30">
        <f t="shared" si="1"/>
        <v>0</v>
      </c>
    </row>
    <row r="31" spans="1:6" x14ac:dyDescent="0.3">
      <c r="A31">
        <v>1800004055</v>
      </c>
      <c r="B31">
        <v>169</v>
      </c>
      <c r="C31">
        <v>1</v>
      </c>
      <c r="D31">
        <f t="shared" si="0"/>
        <v>169</v>
      </c>
      <c r="E31">
        <v>169</v>
      </c>
      <c r="F31">
        <f t="shared" si="1"/>
        <v>0</v>
      </c>
    </row>
    <row r="32" spans="1:6" x14ac:dyDescent="0.3">
      <c r="A32">
        <v>1800004057</v>
      </c>
      <c r="B32">
        <v>1251</v>
      </c>
      <c r="C32">
        <v>1</v>
      </c>
      <c r="D32">
        <f t="shared" si="0"/>
        <v>1251</v>
      </c>
      <c r="E32">
        <v>1251</v>
      </c>
      <c r="F32">
        <f t="shared" si="1"/>
        <v>0</v>
      </c>
    </row>
    <row r="33" spans="1:6" x14ac:dyDescent="0.3">
      <c r="A33">
        <v>1800004192</v>
      </c>
      <c r="B33">
        <v>23090</v>
      </c>
      <c r="C33">
        <v>1</v>
      </c>
      <c r="D33">
        <f t="shared" si="0"/>
        <v>23090</v>
      </c>
      <c r="E33">
        <v>23090</v>
      </c>
      <c r="F33">
        <f t="shared" si="1"/>
        <v>0</v>
      </c>
    </row>
    <row r="34" spans="1:6" x14ac:dyDescent="0.3">
      <c r="A34">
        <v>1800004193</v>
      </c>
      <c r="B34">
        <v>23453</v>
      </c>
      <c r="C34">
        <v>1</v>
      </c>
      <c r="D34">
        <f t="shared" si="0"/>
        <v>23453</v>
      </c>
      <c r="E34">
        <v>23453</v>
      </c>
      <c r="F34">
        <f t="shared" si="1"/>
        <v>0</v>
      </c>
    </row>
    <row r="35" spans="1:6" x14ac:dyDescent="0.3">
      <c r="A35">
        <v>1800004194</v>
      </c>
      <c r="B35">
        <v>21271</v>
      </c>
      <c r="C35">
        <v>1</v>
      </c>
      <c r="D35">
        <f t="shared" si="0"/>
        <v>21271</v>
      </c>
      <c r="E35">
        <v>21271</v>
      </c>
      <c r="F35">
        <f t="shared" si="1"/>
        <v>0</v>
      </c>
    </row>
    <row r="36" spans="1:6" x14ac:dyDescent="0.3">
      <c r="A36">
        <v>1800004195</v>
      </c>
      <c r="B36">
        <v>46907</v>
      </c>
      <c r="C36">
        <v>1</v>
      </c>
      <c r="D36">
        <f t="shared" si="0"/>
        <v>46907</v>
      </c>
      <c r="E36">
        <v>46907</v>
      </c>
      <c r="F36">
        <f t="shared" si="1"/>
        <v>0</v>
      </c>
    </row>
    <row r="37" spans="1:6" x14ac:dyDescent="0.3">
      <c r="A37">
        <v>1800004196</v>
      </c>
      <c r="B37">
        <v>59746</v>
      </c>
      <c r="C37">
        <v>2</v>
      </c>
      <c r="D37">
        <f t="shared" si="0"/>
        <v>29873</v>
      </c>
      <c r="E37">
        <v>29873</v>
      </c>
      <c r="F37">
        <f t="shared" si="1"/>
        <v>0</v>
      </c>
    </row>
    <row r="38" spans="1:6" x14ac:dyDescent="0.3">
      <c r="A38">
        <v>1800004197</v>
      </c>
      <c r="B38">
        <v>23453</v>
      </c>
      <c r="C38">
        <v>1</v>
      </c>
      <c r="D38">
        <f t="shared" si="0"/>
        <v>23453</v>
      </c>
      <c r="E38">
        <v>23453</v>
      </c>
      <c r="F38">
        <f t="shared" si="1"/>
        <v>0</v>
      </c>
    </row>
    <row r="39" spans="1:6" x14ac:dyDescent="0.3">
      <c r="A39">
        <v>1800004198</v>
      </c>
      <c r="B39">
        <v>1788</v>
      </c>
      <c r="C39">
        <v>1</v>
      </c>
      <c r="D39">
        <f t="shared" si="0"/>
        <v>1788</v>
      </c>
      <c r="E39">
        <v>1788</v>
      </c>
      <c r="F39">
        <f t="shared" si="1"/>
        <v>0</v>
      </c>
    </row>
    <row r="40" spans="1:6" x14ac:dyDescent="0.3">
      <c r="A40">
        <v>1800004282</v>
      </c>
      <c r="B40">
        <v>1036</v>
      </c>
      <c r="C40">
        <v>1</v>
      </c>
      <c r="D40">
        <f t="shared" si="0"/>
        <v>1036</v>
      </c>
      <c r="E40">
        <v>1036</v>
      </c>
      <c r="F40">
        <f t="shared" si="1"/>
        <v>0</v>
      </c>
    </row>
    <row r="41" spans="1:6" x14ac:dyDescent="0.3">
      <c r="A41">
        <v>1800004283</v>
      </c>
      <c r="B41">
        <v>1269</v>
      </c>
      <c r="C41">
        <v>1</v>
      </c>
      <c r="D41">
        <f t="shared" si="0"/>
        <v>1269</v>
      </c>
      <c r="E41">
        <v>1269</v>
      </c>
      <c r="F41">
        <f t="shared" si="1"/>
        <v>0</v>
      </c>
    </row>
    <row r="42" spans="1:6" x14ac:dyDescent="0.3">
      <c r="A42">
        <v>1800004361</v>
      </c>
      <c r="B42">
        <v>769</v>
      </c>
      <c r="C42">
        <v>1</v>
      </c>
      <c r="D42">
        <f t="shared" si="0"/>
        <v>769</v>
      </c>
      <c r="E42">
        <v>769</v>
      </c>
      <c r="F42">
        <f t="shared" si="1"/>
        <v>0</v>
      </c>
    </row>
    <row r="43" spans="1:6" x14ac:dyDescent="0.3">
      <c r="A43">
        <v>1800004362</v>
      </c>
      <c r="B43">
        <v>84</v>
      </c>
      <c r="C43">
        <v>1</v>
      </c>
      <c r="D43">
        <f t="shared" si="0"/>
        <v>84</v>
      </c>
      <c r="E43">
        <v>84</v>
      </c>
      <c r="F43">
        <f t="shared" si="1"/>
        <v>0</v>
      </c>
    </row>
    <row r="44" spans="1:6" x14ac:dyDescent="0.3">
      <c r="A44">
        <v>1800004451</v>
      </c>
      <c r="B44">
        <v>1119</v>
      </c>
      <c r="C44">
        <v>1</v>
      </c>
      <c r="D44">
        <f t="shared" si="0"/>
        <v>1119</v>
      </c>
      <c r="E44">
        <v>1119</v>
      </c>
      <c r="F44">
        <f t="shared" si="1"/>
        <v>0</v>
      </c>
    </row>
    <row r="45" spans="1:6" x14ac:dyDescent="0.3">
      <c r="A45">
        <v>1800004452</v>
      </c>
      <c r="B45">
        <v>3253</v>
      </c>
      <c r="C45">
        <v>1</v>
      </c>
      <c r="D45">
        <f t="shared" si="0"/>
        <v>3253</v>
      </c>
      <c r="E45">
        <v>3253</v>
      </c>
      <c r="F45">
        <f t="shared" si="1"/>
        <v>0</v>
      </c>
    </row>
    <row r="46" spans="1:6" x14ac:dyDescent="0.3">
      <c r="A46">
        <v>1800004453</v>
      </c>
      <c r="B46">
        <v>2535</v>
      </c>
      <c r="C46">
        <v>1</v>
      </c>
      <c r="D46">
        <f t="shared" si="0"/>
        <v>2535</v>
      </c>
      <c r="E46">
        <v>2535</v>
      </c>
      <c r="F46">
        <f t="shared" si="1"/>
        <v>0</v>
      </c>
    </row>
    <row r="47" spans="1:6" x14ac:dyDescent="0.3">
      <c r="A47">
        <v>1800004534</v>
      </c>
      <c r="B47">
        <v>888</v>
      </c>
      <c r="C47">
        <v>1</v>
      </c>
      <c r="D47">
        <f t="shared" si="0"/>
        <v>888</v>
      </c>
      <c r="E47">
        <v>888</v>
      </c>
      <c r="F47">
        <f t="shared" si="1"/>
        <v>0</v>
      </c>
    </row>
    <row r="48" spans="1:6" x14ac:dyDescent="0.3">
      <c r="A48">
        <v>1800004535</v>
      </c>
      <c r="B48">
        <v>1269</v>
      </c>
      <c r="C48">
        <v>1</v>
      </c>
      <c r="D48">
        <f t="shared" si="0"/>
        <v>1269</v>
      </c>
      <c r="E48">
        <v>1269</v>
      </c>
      <c r="F48">
        <f t="shared" si="1"/>
        <v>0</v>
      </c>
    </row>
    <row r="49" spans="1:6" x14ac:dyDescent="0.3">
      <c r="A49">
        <v>1800004604</v>
      </c>
      <c r="B49">
        <v>1537</v>
      </c>
      <c r="C49">
        <v>1</v>
      </c>
      <c r="D49">
        <f t="shared" si="0"/>
        <v>1537</v>
      </c>
      <c r="E49">
        <v>1537</v>
      </c>
      <c r="F49">
        <f t="shared" si="1"/>
        <v>0</v>
      </c>
    </row>
    <row r="50" spans="1:6" x14ac:dyDescent="0.3">
      <c r="A50">
        <v>1800004605</v>
      </c>
      <c r="B50">
        <v>540</v>
      </c>
      <c r="C50">
        <v>1</v>
      </c>
      <c r="D50">
        <f t="shared" si="0"/>
        <v>540</v>
      </c>
      <c r="E50">
        <v>540</v>
      </c>
      <c r="F50">
        <f t="shared" si="1"/>
        <v>0</v>
      </c>
    </row>
    <row r="51" spans="1:6" x14ac:dyDescent="0.3">
      <c r="A51">
        <v>1800004606</v>
      </c>
      <c r="B51">
        <v>10148</v>
      </c>
      <c r="C51">
        <v>2</v>
      </c>
      <c r="D51">
        <f t="shared" si="0"/>
        <v>5074</v>
      </c>
      <c r="E51">
        <v>5074</v>
      </c>
      <c r="F51">
        <f t="shared" si="1"/>
        <v>0</v>
      </c>
    </row>
    <row r="52" spans="1:6" x14ac:dyDescent="0.3">
      <c r="A52">
        <v>1800004742</v>
      </c>
      <c r="B52">
        <v>592</v>
      </c>
      <c r="C52">
        <v>1</v>
      </c>
      <c r="D52">
        <f t="shared" si="0"/>
        <v>592</v>
      </c>
      <c r="E52">
        <v>592</v>
      </c>
      <c r="F52">
        <f t="shared" si="1"/>
        <v>0</v>
      </c>
    </row>
    <row r="53" spans="1:6" x14ac:dyDescent="0.3">
      <c r="A53">
        <v>1800004820</v>
      </c>
      <c r="B53">
        <v>837</v>
      </c>
      <c r="C53">
        <v>1</v>
      </c>
      <c r="D53">
        <f t="shared" si="0"/>
        <v>837</v>
      </c>
      <c r="E53">
        <v>837</v>
      </c>
      <c r="F53">
        <f t="shared" si="1"/>
        <v>0</v>
      </c>
    </row>
    <row r="54" spans="1:6" x14ac:dyDescent="0.3">
      <c r="A54">
        <v>1800004821</v>
      </c>
      <c r="B54">
        <v>4292</v>
      </c>
      <c r="C54">
        <v>1</v>
      </c>
      <c r="D54">
        <f t="shared" si="0"/>
        <v>4292</v>
      </c>
      <c r="E54">
        <v>4292</v>
      </c>
      <c r="F54">
        <f t="shared" si="1"/>
        <v>0</v>
      </c>
    </row>
    <row r="55" spans="1:6" x14ac:dyDescent="0.3">
      <c r="A55">
        <v>1800004822</v>
      </c>
      <c r="B55">
        <v>5074</v>
      </c>
      <c r="C55">
        <v>1</v>
      </c>
      <c r="D55">
        <f t="shared" si="0"/>
        <v>5074</v>
      </c>
      <c r="E55">
        <v>5074</v>
      </c>
      <c r="F55">
        <f t="shared" si="1"/>
        <v>0</v>
      </c>
    </row>
    <row r="56" spans="1:6" x14ac:dyDescent="0.3">
      <c r="A56">
        <v>1800004872</v>
      </c>
      <c r="B56">
        <v>9403</v>
      </c>
      <c r="C56">
        <v>1</v>
      </c>
      <c r="D56">
        <f t="shared" si="0"/>
        <v>9403</v>
      </c>
      <c r="E56">
        <v>9403</v>
      </c>
      <c r="F56">
        <f t="shared" si="1"/>
        <v>0</v>
      </c>
    </row>
    <row r="57" spans="1:6" x14ac:dyDescent="0.3">
      <c r="A57">
        <v>1800004873</v>
      </c>
      <c r="B57">
        <v>167</v>
      </c>
      <c r="C57">
        <v>1</v>
      </c>
      <c r="D57">
        <f t="shared" si="0"/>
        <v>167</v>
      </c>
      <c r="E57">
        <v>167</v>
      </c>
      <c r="F57">
        <f t="shared" si="1"/>
        <v>0</v>
      </c>
    </row>
    <row r="58" spans="1:6" x14ac:dyDescent="0.3">
      <c r="A58">
        <v>1800005027</v>
      </c>
      <c r="B58">
        <v>5074</v>
      </c>
      <c r="C58">
        <v>1</v>
      </c>
      <c r="D58">
        <f t="shared" si="0"/>
        <v>5074</v>
      </c>
      <c r="E58">
        <v>5074</v>
      </c>
      <c r="F58">
        <f t="shared" si="1"/>
        <v>0</v>
      </c>
    </row>
    <row r="59" spans="1:6" x14ac:dyDescent="0.3">
      <c r="A59">
        <v>1800005028</v>
      </c>
      <c r="B59">
        <v>3637</v>
      </c>
      <c r="C59">
        <v>1</v>
      </c>
      <c r="D59">
        <f t="shared" si="0"/>
        <v>3637</v>
      </c>
      <c r="E59">
        <v>3637</v>
      </c>
      <c r="F59">
        <f t="shared" si="1"/>
        <v>0</v>
      </c>
    </row>
    <row r="60" spans="1:6" x14ac:dyDescent="0.3">
      <c r="A60">
        <v>1800005029</v>
      </c>
      <c r="B60">
        <v>4000</v>
      </c>
      <c r="C60">
        <v>1</v>
      </c>
      <c r="D60">
        <f t="shared" si="0"/>
        <v>4000</v>
      </c>
      <c r="E60">
        <v>4000</v>
      </c>
      <c r="F60">
        <f t="shared" si="1"/>
        <v>0</v>
      </c>
    </row>
    <row r="61" spans="1:6" x14ac:dyDescent="0.3">
      <c r="A61">
        <v>1800005030</v>
      </c>
      <c r="B61">
        <v>8001</v>
      </c>
      <c r="C61">
        <v>1</v>
      </c>
      <c r="D61">
        <f t="shared" si="0"/>
        <v>8001</v>
      </c>
      <c r="E61">
        <v>8001</v>
      </c>
      <c r="F61">
        <f t="shared" si="1"/>
        <v>0</v>
      </c>
    </row>
    <row r="62" spans="1:6" x14ac:dyDescent="0.3">
      <c r="A62">
        <v>1800005031</v>
      </c>
      <c r="B62">
        <v>4384</v>
      </c>
      <c r="C62">
        <v>1</v>
      </c>
      <c r="D62">
        <f t="shared" si="0"/>
        <v>4384</v>
      </c>
      <c r="E62">
        <v>4384</v>
      </c>
      <c r="F62">
        <f t="shared" si="1"/>
        <v>0</v>
      </c>
    </row>
    <row r="63" spans="1:6" x14ac:dyDescent="0.3">
      <c r="A63">
        <v>1800005032</v>
      </c>
      <c r="B63">
        <v>4364</v>
      </c>
      <c r="C63">
        <v>1</v>
      </c>
      <c r="D63">
        <f t="shared" si="0"/>
        <v>4364</v>
      </c>
      <c r="E63">
        <v>4364</v>
      </c>
      <c r="F63">
        <f t="shared" si="1"/>
        <v>0</v>
      </c>
    </row>
    <row r="64" spans="1:6" x14ac:dyDescent="0.3">
      <c r="A64">
        <v>1800005033</v>
      </c>
      <c r="B64">
        <v>518</v>
      </c>
      <c r="C64">
        <v>1</v>
      </c>
      <c r="D64">
        <f t="shared" si="0"/>
        <v>518</v>
      </c>
      <c r="E64">
        <v>518</v>
      </c>
      <c r="F64">
        <f t="shared" si="1"/>
        <v>0</v>
      </c>
    </row>
    <row r="65" spans="1:6" x14ac:dyDescent="0.3">
      <c r="A65">
        <v>1800005034</v>
      </c>
      <c r="B65">
        <v>298</v>
      </c>
      <c r="C65">
        <v>1</v>
      </c>
      <c r="D65">
        <f t="shared" si="0"/>
        <v>298</v>
      </c>
      <c r="E65">
        <v>298</v>
      </c>
      <c r="F65">
        <f t="shared" si="1"/>
        <v>0</v>
      </c>
    </row>
    <row r="66" spans="1:6" x14ac:dyDescent="0.3">
      <c r="A66">
        <v>1800005142</v>
      </c>
      <c r="B66">
        <v>441</v>
      </c>
      <c r="C66">
        <v>1</v>
      </c>
      <c r="D66">
        <f t="shared" ref="D66:D129" si="2">B66/C66</f>
        <v>441</v>
      </c>
      <c r="E66">
        <v>441</v>
      </c>
      <c r="F66">
        <f t="shared" si="1"/>
        <v>0</v>
      </c>
    </row>
    <row r="67" spans="1:6" x14ac:dyDescent="0.3">
      <c r="A67">
        <v>1800005143</v>
      </c>
      <c r="B67">
        <v>2518</v>
      </c>
      <c r="C67">
        <v>1</v>
      </c>
      <c r="D67">
        <f t="shared" si="2"/>
        <v>2518</v>
      </c>
      <c r="E67">
        <v>2518</v>
      </c>
      <c r="F67">
        <f t="shared" si="1"/>
        <v>0</v>
      </c>
    </row>
    <row r="68" spans="1:6" x14ac:dyDescent="0.3">
      <c r="A68">
        <v>1800005193</v>
      </c>
      <c r="B68">
        <v>294</v>
      </c>
      <c r="C68">
        <v>1</v>
      </c>
      <c r="D68">
        <f t="shared" si="2"/>
        <v>294</v>
      </c>
      <c r="E68">
        <v>294</v>
      </c>
      <c r="F68">
        <f t="shared" si="1"/>
        <v>0</v>
      </c>
    </row>
    <row r="69" spans="1:6" x14ac:dyDescent="0.3">
      <c r="A69">
        <v>1800005194</v>
      </c>
      <c r="B69">
        <v>84</v>
      </c>
      <c r="C69">
        <v>1</v>
      </c>
      <c r="D69">
        <f t="shared" si="2"/>
        <v>84</v>
      </c>
      <c r="E69">
        <v>84</v>
      </c>
      <c r="F69">
        <f t="shared" ref="F69:F132" si="3">D69-E69</f>
        <v>0</v>
      </c>
    </row>
    <row r="70" spans="1:6" x14ac:dyDescent="0.3">
      <c r="A70">
        <v>1800005896</v>
      </c>
      <c r="B70">
        <v>213954</v>
      </c>
      <c r="C70">
        <v>2</v>
      </c>
      <c r="D70">
        <f t="shared" si="2"/>
        <v>106977</v>
      </c>
      <c r="E70">
        <v>106977</v>
      </c>
      <c r="F70">
        <f t="shared" si="3"/>
        <v>0</v>
      </c>
    </row>
    <row r="71" spans="1:6" x14ac:dyDescent="0.3">
      <c r="A71">
        <v>1800005913</v>
      </c>
      <c r="B71">
        <v>596631</v>
      </c>
      <c r="C71">
        <v>3</v>
      </c>
      <c r="D71">
        <f t="shared" si="2"/>
        <v>198877</v>
      </c>
      <c r="E71">
        <v>198877</v>
      </c>
      <c r="F71">
        <f t="shared" si="3"/>
        <v>0</v>
      </c>
    </row>
    <row r="72" spans="1:6" x14ac:dyDescent="0.3">
      <c r="A72">
        <v>1800006276</v>
      </c>
      <c r="B72">
        <v>5779</v>
      </c>
      <c r="C72">
        <v>1</v>
      </c>
      <c r="D72">
        <f t="shared" si="2"/>
        <v>5779</v>
      </c>
      <c r="E72">
        <v>5779</v>
      </c>
      <c r="F72">
        <f t="shared" si="3"/>
        <v>0</v>
      </c>
    </row>
    <row r="73" spans="1:6" x14ac:dyDescent="0.3">
      <c r="A73">
        <v>1800006277</v>
      </c>
      <c r="B73">
        <v>5081</v>
      </c>
      <c r="C73">
        <v>1</v>
      </c>
      <c r="D73">
        <f t="shared" si="2"/>
        <v>5081</v>
      </c>
      <c r="E73">
        <v>5081</v>
      </c>
      <c r="F73">
        <f t="shared" si="3"/>
        <v>0</v>
      </c>
    </row>
    <row r="74" spans="1:6" x14ac:dyDescent="0.3">
      <c r="A74">
        <v>1800006278</v>
      </c>
      <c r="B74">
        <v>4199</v>
      </c>
      <c r="C74">
        <v>1</v>
      </c>
      <c r="D74">
        <f t="shared" si="2"/>
        <v>4199</v>
      </c>
      <c r="E74">
        <v>4199</v>
      </c>
      <c r="F74">
        <f t="shared" si="3"/>
        <v>0</v>
      </c>
    </row>
    <row r="75" spans="1:6" x14ac:dyDescent="0.3">
      <c r="A75">
        <v>1800006279</v>
      </c>
      <c r="B75">
        <v>10077</v>
      </c>
      <c r="C75">
        <v>1</v>
      </c>
      <c r="D75">
        <f t="shared" si="2"/>
        <v>10077</v>
      </c>
      <c r="E75">
        <v>10077</v>
      </c>
      <c r="F75">
        <f t="shared" si="3"/>
        <v>0</v>
      </c>
    </row>
    <row r="76" spans="1:6" x14ac:dyDescent="0.3">
      <c r="A76">
        <v>1800006833</v>
      </c>
      <c r="B76">
        <v>52814</v>
      </c>
      <c r="C76">
        <v>1</v>
      </c>
      <c r="D76">
        <f t="shared" si="2"/>
        <v>52814</v>
      </c>
      <c r="E76">
        <v>52814</v>
      </c>
      <c r="F76">
        <f t="shared" si="3"/>
        <v>0</v>
      </c>
    </row>
    <row r="77" spans="1:6" x14ac:dyDescent="0.3">
      <c r="A77">
        <v>1800006922</v>
      </c>
      <c r="B77">
        <v>147</v>
      </c>
      <c r="C77">
        <v>1</v>
      </c>
      <c r="D77">
        <f t="shared" si="2"/>
        <v>147</v>
      </c>
      <c r="E77">
        <v>147</v>
      </c>
      <c r="F77">
        <f t="shared" si="3"/>
        <v>0</v>
      </c>
    </row>
    <row r="78" spans="1:6" x14ac:dyDescent="0.3">
      <c r="A78">
        <v>1800006923</v>
      </c>
      <c r="B78">
        <v>84</v>
      </c>
      <c r="C78">
        <v>1</v>
      </c>
      <c r="D78">
        <f t="shared" si="2"/>
        <v>84</v>
      </c>
      <c r="E78">
        <v>84</v>
      </c>
      <c r="F78">
        <f t="shared" si="3"/>
        <v>0</v>
      </c>
    </row>
    <row r="79" spans="1:6" x14ac:dyDescent="0.3">
      <c r="A79">
        <v>1800006924</v>
      </c>
      <c r="B79">
        <v>1259</v>
      </c>
      <c r="C79">
        <v>1</v>
      </c>
      <c r="D79">
        <f t="shared" si="2"/>
        <v>1259</v>
      </c>
      <c r="E79">
        <v>1259</v>
      </c>
      <c r="F79">
        <f t="shared" si="3"/>
        <v>0</v>
      </c>
    </row>
    <row r="80" spans="1:6" x14ac:dyDescent="0.3">
      <c r="A80">
        <v>1800007003</v>
      </c>
      <c r="B80">
        <v>594</v>
      </c>
      <c r="C80">
        <v>1</v>
      </c>
      <c r="D80">
        <f t="shared" si="2"/>
        <v>594</v>
      </c>
      <c r="E80">
        <v>594</v>
      </c>
      <c r="F80">
        <f t="shared" si="3"/>
        <v>0</v>
      </c>
    </row>
    <row r="81" spans="1:6" x14ac:dyDescent="0.3">
      <c r="A81">
        <v>1800007004</v>
      </c>
      <c r="B81">
        <v>84</v>
      </c>
      <c r="C81">
        <v>1</v>
      </c>
      <c r="D81">
        <f t="shared" si="2"/>
        <v>84</v>
      </c>
      <c r="E81">
        <v>84</v>
      </c>
      <c r="F81">
        <f t="shared" si="3"/>
        <v>0</v>
      </c>
    </row>
    <row r="82" spans="1:6" x14ac:dyDescent="0.3">
      <c r="A82">
        <v>1800007133</v>
      </c>
      <c r="B82">
        <v>83134</v>
      </c>
      <c r="C82">
        <v>2</v>
      </c>
      <c r="D82">
        <f t="shared" si="2"/>
        <v>41567</v>
      </c>
      <c r="E82">
        <v>41567</v>
      </c>
      <c r="F82">
        <f t="shared" si="3"/>
        <v>0</v>
      </c>
    </row>
    <row r="83" spans="1:6" x14ac:dyDescent="0.3">
      <c r="A83">
        <v>1800007214</v>
      </c>
      <c r="B83">
        <v>1078</v>
      </c>
      <c r="C83">
        <v>1</v>
      </c>
      <c r="D83">
        <f t="shared" si="2"/>
        <v>1078</v>
      </c>
      <c r="E83">
        <v>1078</v>
      </c>
      <c r="F83">
        <f t="shared" si="3"/>
        <v>0</v>
      </c>
    </row>
    <row r="84" spans="1:6" x14ac:dyDescent="0.3">
      <c r="A84">
        <v>1800007220</v>
      </c>
      <c r="B84">
        <v>83452</v>
      </c>
      <c r="C84">
        <v>1</v>
      </c>
      <c r="D84">
        <f t="shared" si="2"/>
        <v>83452</v>
      </c>
      <c r="E84">
        <v>83452</v>
      </c>
      <c r="F84">
        <f t="shared" si="3"/>
        <v>0</v>
      </c>
    </row>
    <row r="85" spans="1:6" x14ac:dyDescent="0.3">
      <c r="A85">
        <v>1800007269</v>
      </c>
      <c r="B85">
        <v>14552</v>
      </c>
      <c r="C85">
        <v>1</v>
      </c>
      <c r="D85">
        <f t="shared" si="2"/>
        <v>14552</v>
      </c>
      <c r="E85">
        <v>14552</v>
      </c>
      <c r="F85">
        <f t="shared" si="3"/>
        <v>0</v>
      </c>
    </row>
    <row r="86" spans="1:6" x14ac:dyDescent="0.3">
      <c r="A86">
        <v>1800007676</v>
      </c>
      <c r="B86">
        <v>1512</v>
      </c>
      <c r="C86">
        <v>1</v>
      </c>
      <c r="D86">
        <f t="shared" si="2"/>
        <v>1512</v>
      </c>
      <c r="E86">
        <v>1512</v>
      </c>
      <c r="F86">
        <f t="shared" si="3"/>
        <v>0</v>
      </c>
    </row>
    <row r="87" spans="1:6" x14ac:dyDescent="0.3">
      <c r="A87">
        <v>1800007727</v>
      </c>
      <c r="B87">
        <v>3664</v>
      </c>
      <c r="C87">
        <v>1</v>
      </c>
      <c r="D87">
        <f t="shared" si="2"/>
        <v>3664</v>
      </c>
      <c r="E87">
        <v>3664</v>
      </c>
      <c r="F87">
        <f t="shared" si="3"/>
        <v>0</v>
      </c>
    </row>
    <row r="88" spans="1:6" x14ac:dyDescent="0.3">
      <c r="A88">
        <v>1800007770</v>
      </c>
      <c r="B88">
        <v>515</v>
      </c>
      <c r="C88">
        <v>1</v>
      </c>
      <c r="D88">
        <f t="shared" si="2"/>
        <v>515</v>
      </c>
      <c r="E88">
        <v>515</v>
      </c>
      <c r="F88">
        <f t="shared" si="3"/>
        <v>0</v>
      </c>
    </row>
    <row r="89" spans="1:6" x14ac:dyDescent="0.3">
      <c r="A89">
        <v>1800007888</v>
      </c>
      <c r="B89">
        <v>140371</v>
      </c>
      <c r="C89">
        <v>1</v>
      </c>
      <c r="D89">
        <f t="shared" si="2"/>
        <v>140371</v>
      </c>
      <c r="E89">
        <v>140371</v>
      </c>
      <c r="F89">
        <f t="shared" si="3"/>
        <v>0</v>
      </c>
    </row>
    <row r="90" spans="1:6" x14ac:dyDescent="0.3">
      <c r="A90">
        <v>1800008001</v>
      </c>
      <c r="B90">
        <v>16117</v>
      </c>
      <c r="C90">
        <v>1</v>
      </c>
      <c r="D90">
        <f t="shared" si="2"/>
        <v>16117</v>
      </c>
      <c r="E90">
        <v>16117</v>
      </c>
      <c r="F90">
        <f t="shared" si="3"/>
        <v>0</v>
      </c>
    </row>
    <row r="91" spans="1:6" x14ac:dyDescent="0.3">
      <c r="A91">
        <v>1800008231</v>
      </c>
      <c r="B91">
        <v>278588</v>
      </c>
      <c r="C91">
        <v>2</v>
      </c>
      <c r="D91">
        <f t="shared" si="2"/>
        <v>139294</v>
      </c>
      <c r="E91">
        <v>139294</v>
      </c>
      <c r="F91">
        <f t="shared" si="3"/>
        <v>0</v>
      </c>
    </row>
    <row r="92" spans="1:6" x14ac:dyDescent="0.3">
      <c r="A92">
        <v>1800008303</v>
      </c>
      <c r="B92">
        <v>34824</v>
      </c>
      <c r="C92">
        <v>1</v>
      </c>
      <c r="D92">
        <f t="shared" si="2"/>
        <v>34824</v>
      </c>
      <c r="E92">
        <v>34824</v>
      </c>
      <c r="F92">
        <f t="shared" si="3"/>
        <v>0</v>
      </c>
    </row>
    <row r="93" spans="1:6" x14ac:dyDescent="0.3">
      <c r="A93">
        <v>1800008362</v>
      </c>
      <c r="B93">
        <v>33169</v>
      </c>
      <c r="C93">
        <v>1</v>
      </c>
      <c r="D93">
        <f t="shared" si="2"/>
        <v>33169</v>
      </c>
      <c r="E93">
        <v>33169</v>
      </c>
      <c r="F93">
        <f t="shared" si="3"/>
        <v>0</v>
      </c>
    </row>
    <row r="94" spans="1:6" x14ac:dyDescent="0.3">
      <c r="A94">
        <v>1800008552</v>
      </c>
      <c r="B94">
        <v>92016</v>
      </c>
      <c r="C94">
        <v>2</v>
      </c>
      <c r="D94">
        <f t="shared" si="2"/>
        <v>46008</v>
      </c>
      <c r="E94">
        <v>46008</v>
      </c>
      <c r="F94">
        <f t="shared" si="3"/>
        <v>0</v>
      </c>
    </row>
    <row r="95" spans="1:6" x14ac:dyDescent="0.3">
      <c r="A95">
        <v>1800008727</v>
      </c>
      <c r="B95">
        <v>7478</v>
      </c>
      <c r="C95">
        <v>1</v>
      </c>
      <c r="D95">
        <f t="shared" si="2"/>
        <v>7478</v>
      </c>
      <c r="E95">
        <v>7478</v>
      </c>
      <c r="F95">
        <f t="shared" si="3"/>
        <v>0</v>
      </c>
    </row>
    <row r="96" spans="1:6" x14ac:dyDescent="0.3">
      <c r="A96">
        <v>1800009127</v>
      </c>
      <c r="B96">
        <v>232434</v>
      </c>
      <c r="C96">
        <v>2</v>
      </c>
      <c r="D96">
        <f t="shared" si="2"/>
        <v>116217</v>
      </c>
      <c r="E96">
        <v>116217</v>
      </c>
      <c r="F96">
        <f t="shared" si="3"/>
        <v>0</v>
      </c>
    </row>
    <row r="97" spans="1:6" x14ac:dyDescent="0.3">
      <c r="A97">
        <v>1800009158</v>
      </c>
      <c r="B97">
        <v>30905</v>
      </c>
      <c r="C97">
        <v>1</v>
      </c>
      <c r="D97">
        <f t="shared" si="2"/>
        <v>30905</v>
      </c>
      <c r="E97">
        <v>30905</v>
      </c>
      <c r="F97">
        <f t="shared" si="3"/>
        <v>0</v>
      </c>
    </row>
    <row r="98" spans="1:6" x14ac:dyDescent="0.3">
      <c r="A98">
        <v>1800009234</v>
      </c>
      <c r="B98">
        <v>15936</v>
      </c>
      <c r="C98">
        <v>1</v>
      </c>
      <c r="D98">
        <f t="shared" si="2"/>
        <v>15936</v>
      </c>
      <c r="E98">
        <v>15936</v>
      </c>
      <c r="F98">
        <f t="shared" si="3"/>
        <v>0</v>
      </c>
    </row>
    <row r="99" spans="1:6" x14ac:dyDescent="0.3">
      <c r="A99">
        <v>1800009412</v>
      </c>
      <c r="B99">
        <v>10834</v>
      </c>
      <c r="C99">
        <v>1</v>
      </c>
      <c r="D99">
        <f t="shared" si="2"/>
        <v>10834</v>
      </c>
      <c r="E99">
        <v>10834</v>
      </c>
      <c r="F99">
        <f t="shared" si="3"/>
        <v>0</v>
      </c>
    </row>
    <row r="100" spans="1:6" x14ac:dyDescent="0.3">
      <c r="A100">
        <v>1800009457</v>
      </c>
      <c r="B100">
        <v>3872</v>
      </c>
      <c r="C100">
        <v>1</v>
      </c>
      <c r="D100">
        <f t="shared" si="2"/>
        <v>3872</v>
      </c>
      <c r="E100">
        <v>3872</v>
      </c>
      <c r="F100">
        <f t="shared" si="3"/>
        <v>0</v>
      </c>
    </row>
    <row r="101" spans="1:6" x14ac:dyDescent="0.3">
      <c r="A101">
        <v>1800009468</v>
      </c>
      <c r="B101">
        <v>190878</v>
      </c>
      <c r="C101">
        <v>2</v>
      </c>
      <c r="D101">
        <f t="shared" si="2"/>
        <v>95439</v>
      </c>
      <c r="E101">
        <v>95439</v>
      </c>
      <c r="F101">
        <f t="shared" si="3"/>
        <v>0</v>
      </c>
    </row>
    <row r="102" spans="1:6" x14ac:dyDescent="0.3">
      <c r="A102">
        <v>1800009500</v>
      </c>
      <c r="B102">
        <v>1176</v>
      </c>
      <c r="C102">
        <v>2</v>
      </c>
      <c r="D102">
        <f t="shared" si="2"/>
        <v>588</v>
      </c>
      <c r="E102">
        <v>588</v>
      </c>
      <c r="F102">
        <f t="shared" si="3"/>
        <v>0</v>
      </c>
    </row>
    <row r="103" spans="1:6" x14ac:dyDescent="0.3">
      <c r="A103">
        <v>1800009556</v>
      </c>
      <c r="B103">
        <v>51221</v>
      </c>
      <c r="C103">
        <v>1</v>
      </c>
      <c r="D103">
        <f t="shared" si="2"/>
        <v>51221</v>
      </c>
      <c r="E103">
        <v>51221</v>
      </c>
      <c r="F103">
        <f t="shared" si="3"/>
        <v>0</v>
      </c>
    </row>
    <row r="104" spans="1:6" x14ac:dyDescent="0.3">
      <c r="A104">
        <v>1800009578</v>
      </c>
      <c r="B104">
        <v>71430</v>
      </c>
      <c r="C104">
        <v>2</v>
      </c>
      <c r="D104">
        <f t="shared" si="2"/>
        <v>35715</v>
      </c>
      <c r="E104">
        <v>35715</v>
      </c>
      <c r="F104">
        <f t="shared" si="3"/>
        <v>0</v>
      </c>
    </row>
    <row r="105" spans="1:6" x14ac:dyDescent="0.3">
      <c r="A105">
        <v>1800009610</v>
      </c>
      <c r="B105">
        <v>276990</v>
      </c>
      <c r="C105">
        <v>2</v>
      </c>
      <c r="D105">
        <f t="shared" si="2"/>
        <v>138495</v>
      </c>
      <c r="E105">
        <v>138495</v>
      </c>
      <c r="F105">
        <f t="shared" si="3"/>
        <v>0</v>
      </c>
    </row>
    <row r="106" spans="1:6" x14ac:dyDescent="0.3">
      <c r="A106">
        <v>1800009972</v>
      </c>
      <c r="B106">
        <v>9282</v>
      </c>
      <c r="C106">
        <v>1</v>
      </c>
      <c r="D106">
        <f t="shared" si="2"/>
        <v>9282</v>
      </c>
      <c r="E106">
        <v>9282</v>
      </c>
      <c r="F106">
        <f t="shared" si="3"/>
        <v>0</v>
      </c>
    </row>
    <row r="107" spans="1:6" x14ac:dyDescent="0.3">
      <c r="A107">
        <v>1800009980</v>
      </c>
      <c r="B107">
        <v>24284</v>
      </c>
      <c r="C107">
        <v>1</v>
      </c>
      <c r="D107">
        <f t="shared" si="2"/>
        <v>24284</v>
      </c>
      <c r="E107">
        <v>24284</v>
      </c>
      <c r="F107">
        <f t="shared" si="3"/>
        <v>0</v>
      </c>
    </row>
    <row r="108" spans="1:6" x14ac:dyDescent="0.3">
      <c r="A108">
        <v>1800010005</v>
      </c>
      <c r="B108">
        <v>5629</v>
      </c>
      <c r="C108">
        <v>1</v>
      </c>
      <c r="D108">
        <f t="shared" si="2"/>
        <v>5629</v>
      </c>
      <c r="E108">
        <v>5629</v>
      </c>
      <c r="F108">
        <f t="shared" si="3"/>
        <v>0</v>
      </c>
    </row>
    <row r="109" spans="1:6" x14ac:dyDescent="0.3">
      <c r="A109">
        <v>1800010039</v>
      </c>
      <c r="B109">
        <v>26854</v>
      </c>
      <c r="C109">
        <v>1</v>
      </c>
      <c r="D109">
        <f t="shared" si="2"/>
        <v>26854</v>
      </c>
      <c r="E109">
        <v>26854</v>
      </c>
      <c r="F109">
        <f t="shared" si="3"/>
        <v>0</v>
      </c>
    </row>
    <row r="110" spans="1:6" x14ac:dyDescent="0.3">
      <c r="A110">
        <v>1800010070</v>
      </c>
      <c r="B110">
        <v>1288</v>
      </c>
      <c r="C110">
        <v>1</v>
      </c>
      <c r="D110">
        <f t="shared" si="2"/>
        <v>1288</v>
      </c>
      <c r="E110">
        <v>1288</v>
      </c>
      <c r="F110">
        <f t="shared" si="3"/>
        <v>0</v>
      </c>
    </row>
    <row r="111" spans="1:6" x14ac:dyDescent="0.3">
      <c r="A111">
        <v>1800010121</v>
      </c>
      <c r="B111">
        <v>4401</v>
      </c>
      <c r="C111">
        <v>1</v>
      </c>
      <c r="D111">
        <f t="shared" si="2"/>
        <v>4401</v>
      </c>
      <c r="E111">
        <v>4401</v>
      </c>
      <c r="F111">
        <f t="shared" si="3"/>
        <v>0</v>
      </c>
    </row>
    <row r="112" spans="1:6" x14ac:dyDescent="0.3">
      <c r="A112">
        <v>1800010172</v>
      </c>
      <c r="B112">
        <v>139321</v>
      </c>
      <c r="C112">
        <v>1</v>
      </c>
      <c r="D112">
        <f t="shared" si="2"/>
        <v>139321</v>
      </c>
      <c r="E112">
        <v>139321</v>
      </c>
      <c r="F112">
        <f t="shared" si="3"/>
        <v>0</v>
      </c>
    </row>
    <row r="113" spans="1:6" x14ac:dyDescent="0.3">
      <c r="A113">
        <v>1800010260</v>
      </c>
      <c r="B113">
        <v>29564</v>
      </c>
      <c r="C113">
        <v>2</v>
      </c>
      <c r="D113">
        <f t="shared" si="2"/>
        <v>14782</v>
      </c>
      <c r="E113">
        <v>14782</v>
      </c>
      <c r="F113">
        <f t="shared" si="3"/>
        <v>0</v>
      </c>
    </row>
    <row r="114" spans="1:6" x14ac:dyDescent="0.3">
      <c r="A114">
        <v>1800010428</v>
      </c>
      <c r="B114">
        <v>235480</v>
      </c>
      <c r="C114">
        <v>2</v>
      </c>
      <c r="D114">
        <f t="shared" si="2"/>
        <v>117740</v>
      </c>
      <c r="E114">
        <v>117740</v>
      </c>
      <c r="F114">
        <f t="shared" si="3"/>
        <v>0</v>
      </c>
    </row>
    <row r="115" spans="1:6" x14ac:dyDescent="0.3">
      <c r="A115">
        <v>1800010505</v>
      </c>
      <c r="B115">
        <v>13884</v>
      </c>
      <c r="C115">
        <v>1</v>
      </c>
      <c r="D115">
        <f t="shared" si="2"/>
        <v>13884</v>
      </c>
      <c r="E115">
        <v>13884</v>
      </c>
      <c r="F115">
        <f t="shared" si="3"/>
        <v>0</v>
      </c>
    </row>
    <row r="116" spans="1:6" x14ac:dyDescent="0.3">
      <c r="A116">
        <v>1800010661</v>
      </c>
      <c r="B116">
        <v>2199</v>
      </c>
      <c r="C116">
        <v>1</v>
      </c>
      <c r="D116">
        <f t="shared" si="2"/>
        <v>2199</v>
      </c>
      <c r="E116">
        <v>2199</v>
      </c>
      <c r="F116">
        <f t="shared" si="3"/>
        <v>0</v>
      </c>
    </row>
    <row r="117" spans="1:6" x14ac:dyDescent="0.3">
      <c r="A117">
        <v>1800010674</v>
      </c>
      <c r="B117">
        <v>12430</v>
      </c>
      <c r="C117">
        <v>2</v>
      </c>
      <c r="D117">
        <f t="shared" si="2"/>
        <v>6215</v>
      </c>
      <c r="E117">
        <v>6215</v>
      </c>
      <c r="F117">
        <f t="shared" si="3"/>
        <v>0</v>
      </c>
    </row>
    <row r="118" spans="1:6" x14ac:dyDescent="0.3">
      <c r="A118">
        <v>1800010702</v>
      </c>
      <c r="B118">
        <v>20159</v>
      </c>
      <c r="C118">
        <v>1</v>
      </c>
      <c r="D118">
        <f t="shared" si="2"/>
        <v>20159</v>
      </c>
      <c r="E118">
        <v>20159</v>
      </c>
      <c r="F118">
        <f t="shared" si="3"/>
        <v>0</v>
      </c>
    </row>
    <row r="119" spans="1:6" x14ac:dyDescent="0.3">
      <c r="A119">
        <v>1800010742</v>
      </c>
      <c r="B119">
        <v>232</v>
      </c>
      <c r="C119">
        <v>1</v>
      </c>
      <c r="D119">
        <f t="shared" si="2"/>
        <v>232</v>
      </c>
      <c r="E119">
        <v>232</v>
      </c>
      <c r="F119">
        <f t="shared" si="3"/>
        <v>0</v>
      </c>
    </row>
    <row r="120" spans="1:6" x14ac:dyDescent="0.3">
      <c r="A120">
        <v>1800010772</v>
      </c>
      <c r="B120">
        <v>9351</v>
      </c>
      <c r="C120">
        <v>1</v>
      </c>
      <c r="D120">
        <f t="shared" si="2"/>
        <v>9351</v>
      </c>
      <c r="E120">
        <v>9351</v>
      </c>
      <c r="F120">
        <f t="shared" si="3"/>
        <v>0</v>
      </c>
    </row>
    <row r="121" spans="1:6" x14ac:dyDescent="0.3">
      <c r="A121">
        <v>1800010942</v>
      </c>
      <c r="B121">
        <v>16856</v>
      </c>
      <c r="C121">
        <v>1</v>
      </c>
      <c r="D121">
        <f t="shared" si="2"/>
        <v>16856</v>
      </c>
      <c r="E121">
        <v>16856</v>
      </c>
      <c r="F121">
        <f t="shared" si="3"/>
        <v>0</v>
      </c>
    </row>
    <row r="122" spans="1:6" x14ac:dyDescent="0.3">
      <c r="A122">
        <v>1800011194</v>
      </c>
      <c r="B122">
        <v>2466</v>
      </c>
      <c r="C122">
        <v>1</v>
      </c>
      <c r="D122">
        <f t="shared" si="2"/>
        <v>2466</v>
      </c>
      <c r="E122">
        <v>2466</v>
      </c>
      <c r="F122">
        <f t="shared" si="3"/>
        <v>0</v>
      </c>
    </row>
    <row r="123" spans="1:6" x14ac:dyDescent="0.3">
      <c r="A123">
        <v>1800011236</v>
      </c>
      <c r="B123">
        <v>35991</v>
      </c>
      <c r="C123">
        <v>1</v>
      </c>
      <c r="D123">
        <f t="shared" si="2"/>
        <v>35991</v>
      </c>
      <c r="E123">
        <v>35991</v>
      </c>
      <c r="F123">
        <f t="shared" si="3"/>
        <v>0</v>
      </c>
    </row>
    <row r="124" spans="1:6" x14ac:dyDescent="0.3">
      <c r="A124">
        <v>1800011268</v>
      </c>
      <c r="B124">
        <v>12698</v>
      </c>
      <c r="C124">
        <v>1</v>
      </c>
      <c r="D124">
        <f t="shared" si="2"/>
        <v>12698</v>
      </c>
      <c r="E124">
        <v>12698</v>
      </c>
      <c r="F124">
        <f t="shared" si="3"/>
        <v>0</v>
      </c>
    </row>
    <row r="125" spans="1:6" x14ac:dyDescent="0.3">
      <c r="A125">
        <v>1800011334</v>
      </c>
      <c r="B125">
        <v>278738</v>
      </c>
      <c r="C125">
        <v>2</v>
      </c>
      <c r="D125">
        <f t="shared" si="2"/>
        <v>139369</v>
      </c>
      <c r="E125">
        <v>139369</v>
      </c>
      <c r="F125">
        <f t="shared" si="3"/>
        <v>0</v>
      </c>
    </row>
    <row r="126" spans="1:6" x14ac:dyDescent="0.3">
      <c r="A126">
        <v>1800011597</v>
      </c>
      <c r="B126">
        <v>30209</v>
      </c>
      <c r="C126">
        <v>1</v>
      </c>
      <c r="D126">
        <f t="shared" si="2"/>
        <v>30209</v>
      </c>
      <c r="E126">
        <v>30209</v>
      </c>
      <c r="F126">
        <f t="shared" si="3"/>
        <v>0</v>
      </c>
    </row>
    <row r="127" spans="1:6" x14ac:dyDescent="0.3">
      <c r="A127">
        <v>1800011605</v>
      </c>
      <c r="B127">
        <v>1155</v>
      </c>
      <c r="C127">
        <v>1</v>
      </c>
      <c r="D127">
        <f t="shared" si="2"/>
        <v>1155</v>
      </c>
      <c r="E127">
        <v>1155</v>
      </c>
      <c r="F127">
        <f t="shared" si="3"/>
        <v>0</v>
      </c>
    </row>
    <row r="128" spans="1:6" x14ac:dyDescent="0.3">
      <c r="A128">
        <v>1800011650</v>
      </c>
      <c r="B128">
        <v>98139</v>
      </c>
      <c r="C128">
        <v>1</v>
      </c>
      <c r="D128">
        <f t="shared" si="2"/>
        <v>98139</v>
      </c>
      <c r="E128">
        <v>98139</v>
      </c>
      <c r="F128">
        <f t="shared" si="3"/>
        <v>0</v>
      </c>
    </row>
    <row r="129" spans="1:6" x14ac:dyDescent="0.3">
      <c r="A129">
        <v>1800011711</v>
      </c>
      <c r="B129">
        <v>1914</v>
      </c>
      <c r="C129">
        <v>1</v>
      </c>
      <c r="D129">
        <f t="shared" si="2"/>
        <v>1914</v>
      </c>
      <c r="E129">
        <v>1914</v>
      </c>
      <c r="F129">
        <f t="shared" si="3"/>
        <v>0</v>
      </c>
    </row>
    <row r="130" spans="1:6" x14ac:dyDescent="0.3">
      <c r="A130">
        <v>1800011792</v>
      </c>
      <c r="B130">
        <v>17254</v>
      </c>
      <c r="C130">
        <v>2</v>
      </c>
      <c r="D130">
        <f t="shared" ref="D130:D142" si="4">B130/C130</f>
        <v>8627</v>
      </c>
      <c r="E130">
        <v>8627</v>
      </c>
      <c r="F130">
        <f t="shared" si="3"/>
        <v>0</v>
      </c>
    </row>
    <row r="131" spans="1:6" x14ac:dyDescent="0.3">
      <c r="A131">
        <v>1800011834</v>
      </c>
      <c r="B131">
        <v>2215</v>
      </c>
      <c r="C131">
        <v>1</v>
      </c>
      <c r="D131">
        <f t="shared" si="4"/>
        <v>2215</v>
      </c>
      <c r="E131">
        <v>2215</v>
      </c>
      <c r="F131">
        <f t="shared" si="3"/>
        <v>0</v>
      </c>
    </row>
    <row r="132" spans="1:6" x14ac:dyDescent="0.3">
      <c r="A132">
        <v>1800011866</v>
      </c>
      <c r="B132">
        <v>4749</v>
      </c>
      <c r="C132">
        <v>1</v>
      </c>
      <c r="D132">
        <f t="shared" si="4"/>
        <v>4749</v>
      </c>
      <c r="E132">
        <v>4749</v>
      </c>
      <c r="F132">
        <f t="shared" si="3"/>
        <v>0</v>
      </c>
    </row>
    <row r="133" spans="1:6" x14ac:dyDescent="0.3">
      <c r="A133">
        <v>1800012221</v>
      </c>
      <c r="B133">
        <v>4220</v>
      </c>
      <c r="C133">
        <v>1</v>
      </c>
      <c r="D133">
        <f t="shared" si="4"/>
        <v>4220</v>
      </c>
      <c r="E133">
        <v>4220</v>
      </c>
      <c r="F133">
        <f t="shared" ref="F133:F142" si="5">D133-E133</f>
        <v>0</v>
      </c>
    </row>
    <row r="134" spans="1:6" x14ac:dyDescent="0.3">
      <c r="A134">
        <v>1800012252</v>
      </c>
      <c r="B134">
        <v>1496</v>
      </c>
      <c r="C134">
        <v>1</v>
      </c>
      <c r="D134">
        <f t="shared" si="4"/>
        <v>1496</v>
      </c>
      <c r="E134">
        <v>1496</v>
      </c>
      <c r="F134">
        <f t="shared" si="5"/>
        <v>0</v>
      </c>
    </row>
    <row r="135" spans="1:6" x14ac:dyDescent="0.3">
      <c r="A135">
        <v>1800012463</v>
      </c>
      <c r="B135">
        <v>6444</v>
      </c>
      <c r="C135">
        <v>1</v>
      </c>
      <c r="D135">
        <f t="shared" si="4"/>
        <v>6444</v>
      </c>
      <c r="E135">
        <v>6444</v>
      </c>
      <c r="F135">
        <f t="shared" si="5"/>
        <v>0</v>
      </c>
    </row>
    <row r="136" spans="1:6" x14ac:dyDescent="0.3">
      <c r="A136">
        <v>1800012467</v>
      </c>
      <c r="B136">
        <v>86562</v>
      </c>
      <c r="C136">
        <v>1</v>
      </c>
      <c r="D136">
        <f t="shared" si="4"/>
        <v>86562</v>
      </c>
      <c r="E136">
        <v>86562</v>
      </c>
      <c r="F136">
        <f t="shared" si="5"/>
        <v>0</v>
      </c>
    </row>
    <row r="137" spans="1:6" x14ac:dyDescent="0.3">
      <c r="A137">
        <v>1800012569</v>
      </c>
      <c r="B137">
        <v>12007</v>
      </c>
      <c r="C137">
        <v>1</v>
      </c>
      <c r="D137">
        <f t="shared" si="4"/>
        <v>12007</v>
      </c>
      <c r="E137">
        <v>12007</v>
      </c>
      <c r="F137">
        <f t="shared" si="5"/>
        <v>0</v>
      </c>
    </row>
    <row r="138" spans="1:6" x14ac:dyDescent="0.3">
      <c r="A138">
        <v>1800012589</v>
      </c>
      <c r="B138">
        <v>18546</v>
      </c>
      <c r="C138">
        <v>2</v>
      </c>
      <c r="D138">
        <f t="shared" si="4"/>
        <v>9273</v>
      </c>
      <c r="E138">
        <v>9273</v>
      </c>
      <c r="F138">
        <f t="shared" si="5"/>
        <v>0</v>
      </c>
    </row>
    <row r="139" spans="1:6" x14ac:dyDescent="0.3">
      <c r="A139">
        <v>1800012650</v>
      </c>
      <c r="B139">
        <v>49606</v>
      </c>
      <c r="C139">
        <v>1</v>
      </c>
      <c r="D139">
        <f t="shared" si="4"/>
        <v>49606</v>
      </c>
      <c r="E139">
        <v>49606</v>
      </c>
      <c r="F139">
        <f t="shared" si="5"/>
        <v>0</v>
      </c>
    </row>
    <row r="140" spans="1:6" x14ac:dyDescent="0.3">
      <c r="A140">
        <v>1800012690</v>
      </c>
      <c r="B140">
        <v>1159</v>
      </c>
      <c r="C140">
        <v>1</v>
      </c>
      <c r="D140">
        <f t="shared" si="4"/>
        <v>1159</v>
      </c>
      <c r="E140">
        <v>1159</v>
      </c>
      <c r="F140">
        <f t="shared" si="5"/>
        <v>0</v>
      </c>
    </row>
    <row r="141" spans="1:6" x14ac:dyDescent="0.3">
      <c r="A141">
        <v>1800012728</v>
      </c>
      <c r="B141">
        <v>283546</v>
      </c>
      <c r="C141">
        <v>2</v>
      </c>
      <c r="D141">
        <f t="shared" si="4"/>
        <v>141773</v>
      </c>
      <c r="E141">
        <v>141773</v>
      </c>
      <c r="F141">
        <f t="shared" si="5"/>
        <v>0</v>
      </c>
    </row>
    <row r="142" spans="1:6" x14ac:dyDescent="0.3">
      <c r="A142">
        <v>1800012790</v>
      </c>
      <c r="B142">
        <v>113740</v>
      </c>
      <c r="C142">
        <v>1</v>
      </c>
      <c r="D142">
        <f t="shared" si="4"/>
        <v>113740</v>
      </c>
      <c r="E142">
        <v>101809</v>
      </c>
      <c r="F142">
        <f t="shared" si="5"/>
        <v>11931</v>
      </c>
    </row>
    <row r="143" spans="1:6" x14ac:dyDescent="0.3">
      <c r="A143" t="s">
        <v>161</v>
      </c>
      <c r="B143">
        <v>7496749</v>
      </c>
      <c r="C143">
        <v>189</v>
      </c>
      <c r="D143">
        <f>SUM(D4:D142)</f>
        <v>4361931</v>
      </c>
      <c r="E143">
        <v>4350000</v>
      </c>
    </row>
  </sheetData>
  <autoFilter ref="A3:E143" xr:uid="{501F55C1-2DFE-479E-8D73-2E8C414B5A9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0"/>
  <sheetViews>
    <sheetView tabSelected="1" workbookViewId="0">
      <selection activeCell="T6" sqref="T6"/>
    </sheetView>
  </sheetViews>
  <sheetFormatPr defaultRowHeight="14.4" x14ac:dyDescent="0.3"/>
  <cols>
    <col min="4" max="4" width="14.88671875" customWidth="1"/>
    <col min="6" max="6" width="14.33203125" customWidth="1"/>
    <col min="7" max="7" width="15" customWidth="1"/>
    <col min="19" max="19" width="13.21875" customWidth="1"/>
  </cols>
  <sheetData>
    <row r="1" spans="1:20" ht="5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4">
        <v>1</v>
      </c>
      <c r="O1" s="4">
        <v>2</v>
      </c>
      <c r="P1" s="4"/>
      <c r="Q1" s="4" t="s">
        <v>13</v>
      </c>
      <c r="R1" s="4" t="s">
        <v>14</v>
      </c>
      <c r="S1" s="4" t="s">
        <v>15</v>
      </c>
      <c r="T1" s="13" t="s">
        <v>16</v>
      </c>
    </row>
    <row r="2" spans="1:20" x14ac:dyDescent="0.3">
      <c r="A2" s="4" t="s">
        <v>17</v>
      </c>
      <c r="B2" s="4" t="s">
        <v>18</v>
      </c>
      <c r="C2" s="6">
        <v>45708</v>
      </c>
      <c r="D2" s="4">
        <v>1800000110</v>
      </c>
      <c r="E2" s="4" t="s">
        <v>19</v>
      </c>
      <c r="F2" s="6">
        <v>45708</v>
      </c>
      <c r="G2" s="7">
        <v>246779410038</v>
      </c>
      <c r="H2" s="4" t="s">
        <v>20</v>
      </c>
      <c r="I2" s="8">
        <v>1800</v>
      </c>
      <c r="J2" s="4" t="s">
        <v>21</v>
      </c>
      <c r="K2" s="8">
        <v>155346.59</v>
      </c>
      <c r="L2" s="4" t="s">
        <v>22</v>
      </c>
      <c r="M2" s="4">
        <v>140453</v>
      </c>
      <c r="N2" s="9">
        <v>14893.59</v>
      </c>
      <c r="O2" s="10">
        <v>9.5873298538448753E-2</v>
      </c>
      <c r="P2" s="10"/>
      <c r="Q2" s="11">
        <v>15606</v>
      </c>
      <c r="R2" s="5">
        <v>139740.59</v>
      </c>
      <c r="S2" s="4">
        <v>1400000077</v>
      </c>
    </row>
    <row r="3" spans="1:20" x14ac:dyDescent="0.3">
      <c r="A3" s="4" t="s">
        <v>17</v>
      </c>
      <c r="B3" s="4" t="s">
        <v>18</v>
      </c>
      <c r="C3" s="6">
        <v>45708</v>
      </c>
      <c r="D3" s="4">
        <v>1800000179</v>
      </c>
      <c r="E3" s="4" t="s">
        <v>19</v>
      </c>
      <c r="F3" s="6">
        <v>45708</v>
      </c>
      <c r="G3" s="7">
        <v>246779410106</v>
      </c>
      <c r="H3" s="4" t="s">
        <v>20</v>
      </c>
      <c r="I3" s="8">
        <v>1800</v>
      </c>
      <c r="J3" s="4" t="s">
        <v>21</v>
      </c>
      <c r="K3" s="8">
        <v>155346.59</v>
      </c>
      <c r="L3" s="4" t="s">
        <v>23</v>
      </c>
      <c r="M3" s="4">
        <v>140453</v>
      </c>
      <c r="N3" s="9">
        <v>14893.59</v>
      </c>
      <c r="O3" s="10">
        <v>9.5873298538448753E-2</v>
      </c>
      <c r="P3" s="10"/>
      <c r="Q3" s="11">
        <v>15606</v>
      </c>
      <c r="R3" s="5">
        <v>139740.59</v>
      </c>
      <c r="S3" s="4">
        <v>1400000116</v>
      </c>
      <c r="T3">
        <v>140453</v>
      </c>
    </row>
    <row r="4" spans="1:20" x14ac:dyDescent="0.3">
      <c r="A4" s="4" t="s">
        <v>17</v>
      </c>
      <c r="B4" s="4" t="s">
        <v>18</v>
      </c>
      <c r="C4" s="6">
        <v>45708</v>
      </c>
      <c r="D4" s="4">
        <v>1800000222</v>
      </c>
      <c r="E4" s="4" t="s">
        <v>19</v>
      </c>
      <c r="F4" s="6">
        <v>45708</v>
      </c>
      <c r="G4" s="7">
        <v>246779410149</v>
      </c>
      <c r="H4" s="4" t="s">
        <v>20</v>
      </c>
      <c r="I4" s="8">
        <v>1800</v>
      </c>
      <c r="J4" s="4" t="s">
        <v>21</v>
      </c>
      <c r="K4" s="8">
        <v>155346.59</v>
      </c>
      <c r="L4" s="4" t="s">
        <v>24</v>
      </c>
      <c r="M4" s="4">
        <v>140453</v>
      </c>
      <c r="N4" s="9">
        <v>14893.59</v>
      </c>
      <c r="O4" s="10">
        <v>9.5873298538448753E-2</v>
      </c>
      <c r="P4" s="10"/>
      <c r="Q4" s="11">
        <v>15606</v>
      </c>
      <c r="R4" s="5">
        <v>139740.59</v>
      </c>
      <c r="S4" s="4">
        <v>1400000116</v>
      </c>
      <c r="T4">
        <v>140453</v>
      </c>
    </row>
    <row r="5" spans="1:20" x14ac:dyDescent="0.3">
      <c r="A5" s="4" t="s">
        <v>17</v>
      </c>
      <c r="B5" s="4" t="s">
        <v>18</v>
      </c>
      <c r="C5" s="6">
        <v>45708</v>
      </c>
      <c r="D5" s="4">
        <v>1800000265</v>
      </c>
      <c r="E5" s="4" t="s">
        <v>19</v>
      </c>
      <c r="F5" s="6">
        <v>45708</v>
      </c>
      <c r="G5" s="7">
        <v>246779410192</v>
      </c>
      <c r="H5" s="4" t="s">
        <v>20</v>
      </c>
      <c r="I5" s="8">
        <v>1800</v>
      </c>
      <c r="J5" s="4" t="s">
        <v>21</v>
      </c>
      <c r="K5" s="8">
        <v>155346.59</v>
      </c>
      <c r="L5" s="4" t="s">
        <v>25</v>
      </c>
      <c r="M5" s="4">
        <v>140453</v>
      </c>
      <c r="N5" s="9">
        <v>14893.59</v>
      </c>
      <c r="O5" s="10">
        <v>9.5873298538448753E-2</v>
      </c>
      <c r="P5" s="10"/>
      <c r="Q5" s="11">
        <v>15606</v>
      </c>
      <c r="R5" s="5">
        <v>139740.59</v>
      </c>
      <c r="S5" s="4">
        <v>1400000116</v>
      </c>
      <c r="T5">
        <v>140453</v>
      </c>
    </row>
    <row r="6" spans="1:20" x14ac:dyDescent="0.3">
      <c r="A6" s="4" t="s">
        <v>17</v>
      </c>
      <c r="B6" s="4" t="s">
        <v>18</v>
      </c>
      <c r="C6" s="6">
        <v>45708</v>
      </c>
      <c r="D6" s="4">
        <v>1800000308</v>
      </c>
      <c r="E6" s="4" t="s">
        <v>19</v>
      </c>
      <c r="F6" s="6">
        <v>45708</v>
      </c>
      <c r="G6" s="7">
        <v>246779410235</v>
      </c>
      <c r="H6" s="4" t="s">
        <v>20</v>
      </c>
      <c r="I6" s="8">
        <v>1800</v>
      </c>
      <c r="J6" s="4" t="s">
        <v>21</v>
      </c>
      <c r="K6" s="8">
        <v>155346.59</v>
      </c>
      <c r="L6" s="4" t="s">
        <v>26</v>
      </c>
      <c r="M6" s="4">
        <v>140453</v>
      </c>
      <c r="N6" s="9">
        <v>14893.59</v>
      </c>
      <c r="O6" s="10">
        <v>9.5873298538448753E-2</v>
      </c>
      <c r="P6" s="10"/>
      <c r="Q6" s="11">
        <v>15606</v>
      </c>
      <c r="R6" s="5">
        <v>139740.59</v>
      </c>
      <c r="S6" s="4">
        <v>1400000116</v>
      </c>
      <c r="T6">
        <v>78641</v>
      </c>
    </row>
    <row r="7" spans="1:20" x14ac:dyDescent="0.3">
      <c r="A7" s="14" t="s">
        <v>17</v>
      </c>
      <c r="B7" s="14" t="s">
        <v>18</v>
      </c>
      <c r="C7" s="15">
        <v>45708</v>
      </c>
      <c r="D7" s="14">
        <v>1800000308</v>
      </c>
      <c r="E7" s="14" t="s">
        <v>19</v>
      </c>
      <c r="F7" s="15">
        <v>45708</v>
      </c>
      <c r="G7" s="16">
        <v>246779410235</v>
      </c>
      <c r="H7" s="14" t="s">
        <v>20</v>
      </c>
      <c r="I7" s="17">
        <v>1800</v>
      </c>
      <c r="J7" s="14" t="s">
        <v>21</v>
      </c>
      <c r="K7" s="17">
        <v>155346.59</v>
      </c>
      <c r="L7" s="14" t="s">
        <v>26</v>
      </c>
      <c r="M7" s="14">
        <v>140453</v>
      </c>
      <c r="N7" s="18">
        <v>14893.59</v>
      </c>
      <c r="O7" s="19">
        <v>9.5873298538448753E-2</v>
      </c>
      <c r="P7" s="19"/>
      <c r="Q7" s="20">
        <v>15606</v>
      </c>
      <c r="R7" s="20">
        <v>139740.59</v>
      </c>
      <c r="S7" s="4">
        <v>1400000887</v>
      </c>
      <c r="T7">
        <v>61812</v>
      </c>
    </row>
    <row r="8" spans="1:20" x14ac:dyDescent="0.3">
      <c r="A8" s="4" t="s">
        <v>17</v>
      </c>
      <c r="B8" s="4" t="s">
        <v>18</v>
      </c>
      <c r="C8" s="6">
        <v>45708</v>
      </c>
      <c r="D8" s="4">
        <v>1800000080</v>
      </c>
      <c r="E8" s="4" t="s">
        <v>19</v>
      </c>
      <c r="F8" s="6">
        <v>45708</v>
      </c>
      <c r="G8" s="7">
        <v>246779410292</v>
      </c>
      <c r="H8" s="4" t="s">
        <v>20</v>
      </c>
      <c r="I8" s="8">
        <v>1800</v>
      </c>
      <c r="J8" s="4" t="s">
        <v>21</v>
      </c>
      <c r="K8" s="8">
        <v>155346.59</v>
      </c>
      <c r="L8" s="4" t="s">
        <v>27</v>
      </c>
      <c r="M8" s="4">
        <v>140453</v>
      </c>
      <c r="N8" s="9">
        <v>14893.59</v>
      </c>
      <c r="O8" s="10">
        <v>9.5873298538448753E-2</v>
      </c>
      <c r="P8" s="10"/>
      <c r="Q8" s="11">
        <v>15606</v>
      </c>
      <c r="R8" s="5">
        <v>139740.59</v>
      </c>
      <c r="S8" s="4">
        <v>1400000887</v>
      </c>
      <c r="T8">
        <v>38188</v>
      </c>
    </row>
    <row r="9" spans="1:20" x14ac:dyDescent="0.3">
      <c r="A9" s="14" t="s">
        <v>17</v>
      </c>
      <c r="B9" s="14" t="s">
        <v>18</v>
      </c>
      <c r="C9" s="15">
        <v>45708</v>
      </c>
      <c r="D9" s="14">
        <v>1800000080</v>
      </c>
      <c r="E9" s="14" t="s">
        <v>19</v>
      </c>
      <c r="F9" s="15">
        <v>45708</v>
      </c>
      <c r="G9" s="16">
        <v>246779410292</v>
      </c>
      <c r="H9" s="14" t="s">
        <v>20</v>
      </c>
      <c r="I9" s="17">
        <v>1800</v>
      </c>
      <c r="J9" s="14" t="s">
        <v>21</v>
      </c>
      <c r="K9" s="17">
        <v>155346.59</v>
      </c>
      <c r="L9" s="14" t="s">
        <v>27</v>
      </c>
      <c r="M9" s="14">
        <v>140453</v>
      </c>
      <c r="N9" s="18">
        <v>14893.59</v>
      </c>
      <c r="O9" s="19">
        <v>9.5873298538448753E-2</v>
      </c>
      <c r="P9" s="19"/>
      <c r="Q9" s="20">
        <v>15606</v>
      </c>
      <c r="R9" s="20">
        <v>139740.59</v>
      </c>
      <c r="S9" s="4">
        <v>1400000904</v>
      </c>
      <c r="T9">
        <v>102265</v>
      </c>
    </row>
    <row r="10" spans="1:20" x14ac:dyDescent="0.3">
      <c r="A10" s="4" t="s">
        <v>17</v>
      </c>
      <c r="B10" s="4" t="s">
        <v>18</v>
      </c>
      <c r="C10" s="6">
        <v>45716</v>
      </c>
      <c r="D10" s="4">
        <v>1800000372</v>
      </c>
      <c r="E10" s="4" t="s">
        <v>19</v>
      </c>
      <c r="F10" s="6">
        <v>45716</v>
      </c>
      <c r="G10" s="7">
        <v>246779410341</v>
      </c>
      <c r="H10" s="4" t="s">
        <v>20</v>
      </c>
      <c r="I10" s="8">
        <v>450</v>
      </c>
      <c r="J10" s="4" t="s">
        <v>21</v>
      </c>
      <c r="K10" s="8">
        <v>38836.65</v>
      </c>
      <c r="L10" s="4" t="s">
        <v>28</v>
      </c>
      <c r="M10" s="4">
        <v>35397</v>
      </c>
      <c r="N10" s="9">
        <v>3439.650000000001</v>
      </c>
      <c r="O10" s="10">
        <v>8.8567113795860394E-2</v>
      </c>
      <c r="P10" s="10"/>
      <c r="Q10" s="11">
        <v>3933</v>
      </c>
      <c r="R10" s="5">
        <v>34903.65</v>
      </c>
      <c r="S10" s="4">
        <v>1400000077</v>
      </c>
    </row>
    <row r="11" spans="1:20" x14ac:dyDescent="0.3">
      <c r="A11" s="4" t="s">
        <v>17</v>
      </c>
      <c r="B11" s="4" t="s">
        <v>18</v>
      </c>
      <c r="C11" s="6">
        <v>45716</v>
      </c>
      <c r="D11" s="4">
        <v>1800000388</v>
      </c>
      <c r="E11" s="4" t="s">
        <v>19</v>
      </c>
      <c r="F11" s="6">
        <v>45716</v>
      </c>
      <c r="G11" s="7">
        <v>246779410357</v>
      </c>
      <c r="H11" s="4" t="s">
        <v>20</v>
      </c>
      <c r="I11" s="8">
        <v>450</v>
      </c>
      <c r="J11" s="4" t="s">
        <v>21</v>
      </c>
      <c r="K11" s="8">
        <v>38836.65</v>
      </c>
      <c r="L11" s="4" t="s">
        <v>28</v>
      </c>
      <c r="M11" s="4">
        <v>35397</v>
      </c>
      <c r="N11" s="9">
        <v>3439.650000000001</v>
      </c>
      <c r="O11" s="10">
        <v>8.8567113795860394E-2</v>
      </c>
      <c r="P11" s="10"/>
      <c r="Q11" s="11">
        <v>3933</v>
      </c>
      <c r="R11" s="5">
        <v>34903.65</v>
      </c>
      <c r="S11" s="4">
        <v>1400000904</v>
      </c>
      <c r="T11">
        <v>35397</v>
      </c>
    </row>
    <row r="12" spans="1:20" x14ac:dyDescent="0.3">
      <c r="A12" s="4" t="s">
        <v>17</v>
      </c>
      <c r="B12" s="4" t="s">
        <v>18</v>
      </c>
      <c r="C12" s="6">
        <v>45716</v>
      </c>
      <c r="D12" s="4">
        <v>1800000376</v>
      </c>
      <c r="E12" s="4" t="s">
        <v>19</v>
      </c>
      <c r="F12" s="6">
        <v>45716</v>
      </c>
      <c r="G12" s="7">
        <v>246779410345</v>
      </c>
      <c r="H12" s="4" t="s">
        <v>20</v>
      </c>
      <c r="I12" s="8">
        <v>465</v>
      </c>
      <c r="J12" s="4" t="s">
        <v>21</v>
      </c>
      <c r="K12" s="8">
        <v>40131.199999999997</v>
      </c>
      <c r="L12" s="4" t="s">
        <v>28</v>
      </c>
      <c r="M12" s="4">
        <v>36577</v>
      </c>
      <c r="N12" s="9">
        <v>3554.1999999999971</v>
      </c>
      <c r="O12" s="10">
        <v>8.8564508412407233E-2</v>
      </c>
      <c r="P12" s="10"/>
      <c r="Q12" s="11">
        <v>4064</v>
      </c>
      <c r="R12" s="5">
        <v>36067.199999999997</v>
      </c>
      <c r="S12" s="4">
        <v>1400000904</v>
      </c>
      <c r="T12">
        <v>36577</v>
      </c>
    </row>
    <row r="13" spans="1:20" x14ac:dyDescent="0.3">
      <c r="A13" s="4" t="s">
        <v>17</v>
      </c>
      <c r="B13" s="4" t="s">
        <v>18</v>
      </c>
      <c r="C13" s="6">
        <v>45716</v>
      </c>
      <c r="D13" s="4">
        <v>1800000382</v>
      </c>
      <c r="E13" s="4" t="s">
        <v>19</v>
      </c>
      <c r="F13" s="6">
        <v>45716</v>
      </c>
      <c r="G13" s="7">
        <v>246779410351</v>
      </c>
      <c r="H13" s="4" t="s">
        <v>20</v>
      </c>
      <c r="I13" s="8">
        <v>465</v>
      </c>
      <c r="J13" s="4" t="s">
        <v>21</v>
      </c>
      <c r="K13" s="8">
        <v>40131.199999999997</v>
      </c>
      <c r="L13" s="4" t="s">
        <v>28</v>
      </c>
      <c r="M13" s="4">
        <v>36577</v>
      </c>
      <c r="N13" s="9">
        <v>3554.1999999999971</v>
      </c>
      <c r="O13" s="10">
        <v>8.8564508412407233E-2</v>
      </c>
      <c r="P13" s="10"/>
      <c r="Q13" s="11">
        <v>4064</v>
      </c>
      <c r="R13" s="5">
        <v>36067.199999999997</v>
      </c>
      <c r="S13" s="4">
        <v>1400000904</v>
      </c>
      <c r="T13">
        <v>36577</v>
      </c>
    </row>
    <row r="14" spans="1:20" x14ac:dyDescent="0.3">
      <c r="A14" s="4" t="s">
        <v>17</v>
      </c>
      <c r="B14" s="4" t="s">
        <v>18</v>
      </c>
      <c r="C14" s="6">
        <v>45719</v>
      </c>
      <c r="D14" s="4">
        <v>1800000429</v>
      </c>
      <c r="E14" s="4" t="s">
        <v>19</v>
      </c>
      <c r="F14" s="6">
        <v>45719</v>
      </c>
      <c r="G14" s="7">
        <v>246779410391</v>
      </c>
      <c r="H14" s="4" t="s">
        <v>20</v>
      </c>
      <c r="I14" s="8">
        <v>1894.32</v>
      </c>
      <c r="J14" s="4" t="s">
        <v>21</v>
      </c>
      <c r="K14" s="8">
        <v>164220.99</v>
      </c>
      <c r="L14" s="4" t="s">
        <v>29</v>
      </c>
      <c r="M14" s="4">
        <v>148891</v>
      </c>
      <c r="N14" s="9">
        <v>15329.989999999991</v>
      </c>
      <c r="O14" s="10">
        <v>9.3349759978916161E-2</v>
      </c>
      <c r="P14" s="10"/>
      <c r="Q14" s="11">
        <v>16543</v>
      </c>
      <c r="R14" s="5">
        <v>147677.99</v>
      </c>
      <c r="S14" s="4">
        <v>1400000077</v>
      </c>
    </row>
    <row r="15" spans="1:20" x14ac:dyDescent="0.3">
      <c r="A15" s="4" t="s">
        <v>17</v>
      </c>
      <c r="B15" s="4" t="s">
        <v>18</v>
      </c>
      <c r="C15" s="6">
        <v>45719</v>
      </c>
      <c r="D15" s="4">
        <v>1800000453</v>
      </c>
      <c r="E15" s="4" t="s">
        <v>19</v>
      </c>
      <c r="F15" s="6">
        <v>45719</v>
      </c>
      <c r="G15" s="7">
        <v>246779410415</v>
      </c>
      <c r="H15" s="4" t="s">
        <v>20</v>
      </c>
      <c r="I15" s="8">
        <v>1930.92</v>
      </c>
      <c r="J15" s="4" t="s">
        <v>21</v>
      </c>
      <c r="K15" s="8">
        <v>167393.89000000001</v>
      </c>
      <c r="L15" s="4" t="s">
        <v>30</v>
      </c>
      <c r="M15" s="4">
        <v>151767</v>
      </c>
      <c r="N15" s="9">
        <v>15626.89000000001</v>
      </c>
      <c r="O15" s="10">
        <v>9.3354004736971058E-2</v>
      </c>
      <c r="P15" s="10"/>
      <c r="Q15" s="11">
        <v>16863</v>
      </c>
      <c r="R15" s="5">
        <v>150530.89000000001</v>
      </c>
      <c r="S15" s="4">
        <v>1400000904</v>
      </c>
      <c r="T15">
        <v>151767</v>
      </c>
    </row>
    <row r="16" spans="1:20" x14ac:dyDescent="0.3">
      <c r="A16" s="4" t="s">
        <v>17</v>
      </c>
      <c r="B16" s="4" t="s">
        <v>18</v>
      </c>
      <c r="C16" s="6">
        <v>45722</v>
      </c>
      <c r="D16" s="4">
        <v>1800000922</v>
      </c>
      <c r="E16" s="4" t="s">
        <v>19</v>
      </c>
      <c r="F16" s="6">
        <v>45722</v>
      </c>
      <c r="G16" s="7">
        <v>246779410862</v>
      </c>
      <c r="H16" s="4" t="s">
        <v>20</v>
      </c>
      <c r="I16" s="8">
        <v>2306.52</v>
      </c>
      <c r="J16" s="4" t="s">
        <v>21</v>
      </c>
      <c r="K16" s="8">
        <v>199955.13</v>
      </c>
      <c r="L16" s="4" t="s">
        <v>31</v>
      </c>
      <c r="M16" s="4">
        <v>180778</v>
      </c>
      <c r="N16" s="9">
        <v>19177.13</v>
      </c>
      <c r="O16" s="10">
        <v>9.590716677286551E-2</v>
      </c>
      <c r="P16" s="10"/>
      <c r="Q16" s="11">
        <v>20087</v>
      </c>
      <c r="R16" s="5">
        <v>179868.13</v>
      </c>
      <c r="S16" s="4">
        <v>1400000904</v>
      </c>
      <c r="T16">
        <v>180778</v>
      </c>
    </row>
    <row r="17" spans="1:20" x14ac:dyDescent="0.3">
      <c r="A17" s="4" t="s">
        <v>17</v>
      </c>
      <c r="B17" s="4" t="s">
        <v>18</v>
      </c>
      <c r="C17" s="6">
        <v>45722</v>
      </c>
      <c r="D17" s="4">
        <v>1800000945</v>
      </c>
      <c r="E17" s="4" t="s">
        <v>19</v>
      </c>
      <c r="F17" s="6">
        <v>45722</v>
      </c>
      <c r="G17" s="7">
        <v>246779410885</v>
      </c>
      <c r="H17" s="4" t="s">
        <v>20</v>
      </c>
      <c r="I17" s="8">
        <v>2390.58</v>
      </c>
      <c r="J17" s="4" t="s">
        <v>21</v>
      </c>
      <c r="K17" s="8">
        <v>207242.39</v>
      </c>
      <c r="L17" s="4" t="s">
        <v>32</v>
      </c>
      <c r="M17" s="4">
        <v>187367</v>
      </c>
      <c r="N17" s="9">
        <v>19875.39000000001</v>
      </c>
      <c r="O17" s="10">
        <v>9.59040763812848E-2</v>
      </c>
      <c r="P17" s="10"/>
      <c r="Q17" s="11">
        <v>20819</v>
      </c>
      <c r="R17" s="5">
        <v>186423.39</v>
      </c>
      <c r="S17" s="4">
        <v>1400000904</v>
      </c>
      <c r="T17">
        <v>156639</v>
      </c>
    </row>
    <row r="18" spans="1:20" x14ac:dyDescent="0.3">
      <c r="A18" s="14" t="s">
        <v>17</v>
      </c>
      <c r="B18" s="14" t="s">
        <v>18</v>
      </c>
      <c r="C18" s="15">
        <v>45722</v>
      </c>
      <c r="D18" s="14">
        <v>1800000945</v>
      </c>
      <c r="E18" s="14" t="s">
        <v>19</v>
      </c>
      <c r="F18" s="15">
        <v>45722</v>
      </c>
      <c r="G18" s="16">
        <v>246779410885</v>
      </c>
      <c r="H18" s="14" t="s">
        <v>20</v>
      </c>
      <c r="I18" s="17">
        <v>2390.58</v>
      </c>
      <c r="J18" s="14" t="s">
        <v>21</v>
      </c>
      <c r="K18" s="17">
        <v>207242.39</v>
      </c>
      <c r="L18" s="14" t="s">
        <v>32</v>
      </c>
      <c r="M18" s="14">
        <v>187367</v>
      </c>
      <c r="N18" s="18">
        <v>19875.39000000001</v>
      </c>
      <c r="O18" s="19">
        <v>9.59040763812848E-2</v>
      </c>
      <c r="P18" s="19"/>
      <c r="Q18" s="20">
        <v>20819</v>
      </c>
      <c r="R18" s="20">
        <v>186423.39</v>
      </c>
      <c r="S18" s="4">
        <v>1400000922</v>
      </c>
      <c r="T18">
        <v>30728</v>
      </c>
    </row>
    <row r="19" spans="1:20" x14ac:dyDescent="0.3">
      <c r="A19" s="4" t="s">
        <v>17</v>
      </c>
      <c r="B19" s="4" t="s">
        <v>18</v>
      </c>
      <c r="C19" s="6">
        <v>45729</v>
      </c>
      <c r="D19" s="4">
        <v>1800001470</v>
      </c>
      <c r="E19" s="4" t="s">
        <v>19</v>
      </c>
      <c r="F19" s="6">
        <v>45729</v>
      </c>
      <c r="G19" s="7">
        <v>246779411302</v>
      </c>
      <c r="H19" s="4" t="s">
        <v>20</v>
      </c>
      <c r="I19" s="8">
        <v>35</v>
      </c>
      <c r="J19" s="4" t="s">
        <v>21</v>
      </c>
      <c r="K19" s="8">
        <v>3034.19</v>
      </c>
      <c r="L19" s="4" t="s">
        <v>33</v>
      </c>
      <c r="M19" s="4">
        <v>2987</v>
      </c>
      <c r="N19" s="9">
        <v>47.190000000000047</v>
      </c>
      <c r="O19" s="10">
        <v>1.5552750486950409E-2</v>
      </c>
      <c r="P19" s="10"/>
      <c r="Q19" s="11">
        <v>61</v>
      </c>
      <c r="R19" s="5">
        <v>2973.19</v>
      </c>
      <c r="S19" s="4">
        <v>1400000922</v>
      </c>
      <c r="T19">
        <v>2987</v>
      </c>
    </row>
    <row r="20" spans="1:20" x14ac:dyDescent="0.3">
      <c r="A20" s="4" t="s">
        <v>17</v>
      </c>
      <c r="B20" s="4" t="s">
        <v>18</v>
      </c>
      <c r="C20" s="6">
        <v>45730</v>
      </c>
      <c r="D20" s="4">
        <v>1800001793</v>
      </c>
      <c r="E20" s="4" t="s">
        <v>19</v>
      </c>
      <c r="F20" s="6">
        <v>45730</v>
      </c>
      <c r="G20" s="7">
        <v>246779411458</v>
      </c>
      <c r="H20" s="4" t="s">
        <v>20</v>
      </c>
      <c r="I20" s="8">
        <v>77.2</v>
      </c>
      <c r="J20" s="4" t="s">
        <v>21</v>
      </c>
      <c r="K20" s="8">
        <v>6692.57</v>
      </c>
      <c r="L20" s="4" t="s">
        <v>34</v>
      </c>
      <c r="M20" s="4">
        <v>6589</v>
      </c>
      <c r="N20" s="9">
        <v>103.56999999999969</v>
      </c>
      <c r="O20" s="10">
        <v>1.5475370448123769E-2</v>
      </c>
      <c r="P20" s="10"/>
      <c r="Q20" s="11">
        <v>134</v>
      </c>
      <c r="R20" s="5">
        <v>6558.57</v>
      </c>
      <c r="S20" s="4">
        <v>1400000922</v>
      </c>
      <c r="T20">
        <v>6589</v>
      </c>
    </row>
    <row r="21" spans="1:20" x14ac:dyDescent="0.3">
      <c r="A21" s="4" t="s">
        <v>17</v>
      </c>
      <c r="B21" s="4" t="s">
        <v>18</v>
      </c>
      <c r="C21" s="6">
        <v>45730</v>
      </c>
      <c r="D21" s="4">
        <v>1800001590</v>
      </c>
      <c r="E21" s="4" t="s">
        <v>19</v>
      </c>
      <c r="F21" s="6">
        <v>45730</v>
      </c>
      <c r="G21" s="7">
        <v>246779412247</v>
      </c>
      <c r="H21" s="4" t="s">
        <v>20</v>
      </c>
      <c r="I21" s="8">
        <v>77.2</v>
      </c>
      <c r="J21" s="4" t="s">
        <v>21</v>
      </c>
      <c r="K21" s="8">
        <v>6692.57</v>
      </c>
      <c r="L21" s="4" t="s">
        <v>34</v>
      </c>
      <c r="M21" s="4">
        <v>6589</v>
      </c>
      <c r="N21" s="9">
        <v>103.56999999999969</v>
      </c>
      <c r="O21" s="10">
        <v>1.5475370448123769E-2</v>
      </c>
      <c r="P21" s="10"/>
      <c r="Q21" s="11">
        <v>134</v>
      </c>
      <c r="R21" s="5">
        <v>6558.57</v>
      </c>
      <c r="S21" s="4">
        <v>1400000922</v>
      </c>
      <c r="T21">
        <v>6589</v>
      </c>
    </row>
    <row r="22" spans="1:20" x14ac:dyDescent="0.3">
      <c r="A22" s="4" t="s">
        <v>17</v>
      </c>
      <c r="B22" s="4" t="s">
        <v>18</v>
      </c>
      <c r="C22" s="6">
        <v>45733</v>
      </c>
      <c r="D22" s="4">
        <v>1800001962</v>
      </c>
      <c r="E22" s="4" t="s">
        <v>19</v>
      </c>
      <c r="F22" s="6">
        <v>45733</v>
      </c>
      <c r="G22" s="7">
        <v>246779411627</v>
      </c>
      <c r="H22" s="4" t="s">
        <v>20</v>
      </c>
      <c r="I22" s="8">
        <v>61.82</v>
      </c>
      <c r="J22" s="4" t="s">
        <v>21</v>
      </c>
      <c r="K22" s="8">
        <v>5359.25</v>
      </c>
      <c r="L22" s="4" t="s">
        <v>35</v>
      </c>
      <c r="M22" s="4">
        <v>5258</v>
      </c>
      <c r="N22" s="9">
        <v>101.25</v>
      </c>
      <c r="O22" s="10">
        <v>1.8892568922890329E-2</v>
      </c>
      <c r="P22" s="10"/>
      <c r="Q22" s="11">
        <v>107</v>
      </c>
      <c r="R22" s="5">
        <v>5252.25</v>
      </c>
      <c r="S22" s="4">
        <v>1400000922</v>
      </c>
      <c r="T22">
        <v>5258</v>
      </c>
    </row>
    <row r="23" spans="1:20" x14ac:dyDescent="0.3">
      <c r="A23" s="4" t="s">
        <v>17</v>
      </c>
      <c r="B23" s="4" t="s">
        <v>18</v>
      </c>
      <c r="C23" s="6">
        <v>45733</v>
      </c>
      <c r="D23" s="4">
        <v>1800001960</v>
      </c>
      <c r="E23" s="4" t="s">
        <v>19</v>
      </c>
      <c r="F23" s="6">
        <v>45733</v>
      </c>
      <c r="G23" s="7">
        <v>246779411625</v>
      </c>
      <c r="H23" s="4" t="s">
        <v>20</v>
      </c>
      <c r="I23" s="8">
        <v>69.819999999999993</v>
      </c>
      <c r="J23" s="4" t="s">
        <v>21</v>
      </c>
      <c r="K23" s="8">
        <v>6052.78</v>
      </c>
      <c r="L23" s="4" t="s">
        <v>35</v>
      </c>
      <c r="M23" s="4">
        <v>5939</v>
      </c>
      <c r="N23" s="9">
        <v>113.7799999999997</v>
      </c>
      <c r="O23" s="10">
        <v>1.8797973823598369E-2</v>
      </c>
      <c r="P23" s="10"/>
      <c r="Q23" s="11">
        <v>121</v>
      </c>
      <c r="R23" s="5">
        <v>5931.78</v>
      </c>
      <c r="S23" s="4">
        <v>1400000922</v>
      </c>
      <c r="T23">
        <v>5939</v>
      </c>
    </row>
    <row r="24" spans="1:20" x14ac:dyDescent="0.3">
      <c r="A24" s="4" t="s">
        <v>17</v>
      </c>
      <c r="B24" s="4" t="s">
        <v>18</v>
      </c>
      <c r="C24" s="6">
        <v>45733</v>
      </c>
      <c r="D24" s="4">
        <v>1800001961</v>
      </c>
      <c r="E24" s="4" t="s">
        <v>19</v>
      </c>
      <c r="F24" s="6">
        <v>45733</v>
      </c>
      <c r="G24" s="7">
        <v>246779411626</v>
      </c>
      <c r="H24" s="4" t="s">
        <v>20</v>
      </c>
      <c r="I24" s="8">
        <v>71.61</v>
      </c>
      <c r="J24" s="4" t="s">
        <v>21</v>
      </c>
      <c r="K24" s="8">
        <v>6207.96</v>
      </c>
      <c r="L24" s="4" t="s">
        <v>35</v>
      </c>
      <c r="M24" s="4">
        <v>6091</v>
      </c>
      <c r="N24" s="9">
        <v>116.96</v>
      </c>
      <c r="O24" s="10">
        <v>1.8840327579430289E-2</v>
      </c>
      <c r="P24" s="10"/>
      <c r="Q24" s="11">
        <v>124</v>
      </c>
      <c r="R24" s="5">
        <v>6083.96</v>
      </c>
      <c r="S24" s="4">
        <v>1400000922</v>
      </c>
      <c r="T24">
        <v>6091</v>
      </c>
    </row>
    <row r="25" spans="1:20" x14ac:dyDescent="0.3">
      <c r="A25" s="4" t="s">
        <v>17</v>
      </c>
      <c r="B25" s="4" t="s">
        <v>18</v>
      </c>
      <c r="C25" s="6">
        <v>45733</v>
      </c>
      <c r="D25" s="4">
        <v>1800002403</v>
      </c>
      <c r="E25" s="4" t="s">
        <v>19</v>
      </c>
      <c r="F25" s="6">
        <v>45733</v>
      </c>
      <c r="G25" s="7">
        <v>246779412068</v>
      </c>
      <c r="H25" s="4" t="s">
        <v>20</v>
      </c>
      <c r="I25" s="8">
        <v>122.18</v>
      </c>
      <c r="J25" s="4" t="s">
        <v>21</v>
      </c>
      <c r="K25" s="8">
        <v>10591.94</v>
      </c>
      <c r="L25" s="4" t="s">
        <v>36</v>
      </c>
      <c r="M25" s="4">
        <v>10392</v>
      </c>
      <c r="N25" s="9">
        <v>199.94000000000051</v>
      </c>
      <c r="O25" s="10">
        <v>1.8876617503497992E-2</v>
      </c>
      <c r="P25" s="10"/>
      <c r="Q25" s="11">
        <v>212</v>
      </c>
      <c r="R25" s="5">
        <v>10379.94</v>
      </c>
      <c r="S25" s="4">
        <v>1400000922</v>
      </c>
      <c r="T25">
        <v>10392</v>
      </c>
    </row>
    <row r="26" spans="1:20" x14ac:dyDescent="0.3">
      <c r="A26" s="4" t="s">
        <v>17</v>
      </c>
      <c r="B26" s="4" t="s">
        <v>18</v>
      </c>
      <c r="C26" s="6">
        <v>45733</v>
      </c>
      <c r="D26" s="4">
        <v>1800001959</v>
      </c>
      <c r="E26" s="4" t="s">
        <v>19</v>
      </c>
      <c r="F26" s="6">
        <v>45733</v>
      </c>
      <c r="G26" s="7">
        <v>246779411624</v>
      </c>
      <c r="H26" s="4" t="s">
        <v>20</v>
      </c>
      <c r="I26" s="8">
        <v>245.69</v>
      </c>
      <c r="J26" s="4" t="s">
        <v>21</v>
      </c>
      <c r="K26" s="8">
        <v>21299.18</v>
      </c>
      <c r="L26" s="4" t="s">
        <v>35</v>
      </c>
      <c r="M26" s="4">
        <v>20898</v>
      </c>
      <c r="N26" s="9">
        <v>401.18000000000029</v>
      </c>
      <c r="O26" s="10">
        <v>1.883546690529872E-2</v>
      </c>
      <c r="P26" s="10"/>
      <c r="Q26" s="11">
        <v>426</v>
      </c>
      <c r="R26" s="5">
        <v>20873.18</v>
      </c>
      <c r="S26" s="4">
        <v>1400000922</v>
      </c>
      <c r="T26">
        <v>20898</v>
      </c>
    </row>
    <row r="27" spans="1:20" x14ac:dyDescent="0.3">
      <c r="A27" s="4" t="s">
        <v>17</v>
      </c>
      <c r="B27" s="4" t="s">
        <v>18</v>
      </c>
      <c r="C27" s="6">
        <v>45735</v>
      </c>
      <c r="D27" s="4">
        <v>1800003353</v>
      </c>
      <c r="E27" s="4" t="s">
        <v>19</v>
      </c>
      <c r="F27" s="6">
        <v>45735</v>
      </c>
      <c r="G27" s="7">
        <v>246779413220</v>
      </c>
      <c r="H27" s="4" t="s">
        <v>20</v>
      </c>
      <c r="I27" s="8">
        <v>26.04</v>
      </c>
      <c r="J27" s="4" t="s">
        <v>21</v>
      </c>
      <c r="K27" s="8">
        <v>2257.44</v>
      </c>
      <c r="L27" s="4" t="s">
        <v>37</v>
      </c>
      <c r="M27" s="4">
        <v>2207</v>
      </c>
      <c r="N27" s="9">
        <v>50.440000000000047</v>
      </c>
      <c r="O27" s="10">
        <v>2.2343893968388991E-2</v>
      </c>
      <c r="P27" s="10"/>
      <c r="Q27" s="11">
        <v>45</v>
      </c>
      <c r="R27" s="5">
        <v>2212.44</v>
      </c>
      <c r="S27" s="4">
        <v>1400000922</v>
      </c>
      <c r="T27">
        <v>2207</v>
      </c>
    </row>
    <row r="28" spans="1:20" x14ac:dyDescent="0.3">
      <c r="A28" s="4" t="s">
        <v>17</v>
      </c>
      <c r="B28" s="4" t="s">
        <v>18</v>
      </c>
      <c r="C28" s="6">
        <v>45735</v>
      </c>
      <c r="D28" s="4">
        <v>1800003132</v>
      </c>
      <c r="E28" s="4" t="s">
        <v>19</v>
      </c>
      <c r="F28" s="6">
        <v>45735</v>
      </c>
      <c r="G28" s="7">
        <v>246779412999</v>
      </c>
      <c r="H28" s="4" t="s">
        <v>20</v>
      </c>
      <c r="I28" s="8">
        <v>186.08</v>
      </c>
      <c r="J28" s="4" t="s">
        <v>21</v>
      </c>
      <c r="K28" s="8">
        <v>16131.51</v>
      </c>
      <c r="L28" s="4" t="s">
        <v>38</v>
      </c>
      <c r="M28" s="4">
        <v>14486</v>
      </c>
      <c r="N28" s="9">
        <v>1645.51</v>
      </c>
      <c r="O28" s="10">
        <v>0.1020059498459847</v>
      </c>
      <c r="P28" s="10"/>
      <c r="Q28" s="11">
        <v>1610</v>
      </c>
      <c r="R28" s="5">
        <v>14521.51</v>
      </c>
      <c r="S28" s="4">
        <v>1400000922</v>
      </c>
      <c r="T28">
        <v>14486</v>
      </c>
    </row>
    <row r="29" spans="1:20" x14ac:dyDescent="0.3">
      <c r="A29" s="4" t="s">
        <v>17</v>
      </c>
      <c r="B29" s="4" t="s">
        <v>18</v>
      </c>
      <c r="C29" s="6">
        <v>45736</v>
      </c>
      <c r="D29" s="4">
        <v>1800004362</v>
      </c>
      <c r="E29" s="4" t="s">
        <v>19</v>
      </c>
      <c r="F29" s="6">
        <v>45736</v>
      </c>
      <c r="G29" s="7">
        <v>246779414230</v>
      </c>
      <c r="H29" s="4" t="s">
        <v>20</v>
      </c>
      <c r="I29" s="8">
        <v>1</v>
      </c>
      <c r="J29" s="4" t="s">
        <v>21</v>
      </c>
      <c r="K29" s="8">
        <v>86.69</v>
      </c>
      <c r="L29" s="4" t="s">
        <v>39</v>
      </c>
      <c r="M29" s="4">
        <v>84</v>
      </c>
      <c r="N29" s="9">
        <v>2.6899999999999982</v>
      </c>
      <c r="O29" s="10">
        <v>3.1030107278809529E-2</v>
      </c>
      <c r="P29" s="10"/>
      <c r="Q29" s="11">
        <v>2</v>
      </c>
      <c r="R29" s="5">
        <v>84.69</v>
      </c>
      <c r="S29" s="4">
        <v>1400000922</v>
      </c>
      <c r="T29">
        <v>84</v>
      </c>
    </row>
    <row r="30" spans="1:20" x14ac:dyDescent="0.3">
      <c r="A30" s="4" t="s">
        <v>17</v>
      </c>
      <c r="B30" s="4" t="s">
        <v>18</v>
      </c>
      <c r="C30" s="6">
        <v>45736</v>
      </c>
      <c r="D30" s="4">
        <v>1800004038</v>
      </c>
      <c r="E30" s="4" t="s">
        <v>19</v>
      </c>
      <c r="F30" s="6">
        <v>45736</v>
      </c>
      <c r="G30" s="7">
        <v>246779413894</v>
      </c>
      <c r="H30" s="4" t="s">
        <v>20</v>
      </c>
      <c r="I30" s="8">
        <v>2</v>
      </c>
      <c r="J30" s="4" t="s">
        <v>21</v>
      </c>
      <c r="K30" s="8">
        <v>173.38</v>
      </c>
      <c r="L30" s="4" t="s">
        <v>40</v>
      </c>
      <c r="M30" s="4">
        <v>170</v>
      </c>
      <c r="N30" s="9">
        <v>3.379999999999995</v>
      </c>
      <c r="O30" s="10">
        <v>1.949475141308107E-2</v>
      </c>
      <c r="P30" s="10"/>
      <c r="Q30" s="11">
        <v>3</v>
      </c>
      <c r="R30" s="5">
        <v>170.38</v>
      </c>
      <c r="S30" s="4">
        <v>1400000922</v>
      </c>
      <c r="T30">
        <v>170</v>
      </c>
    </row>
    <row r="31" spans="1:20" x14ac:dyDescent="0.3">
      <c r="A31" s="4" t="s">
        <v>17</v>
      </c>
      <c r="B31" s="4" t="s">
        <v>18</v>
      </c>
      <c r="C31" s="6">
        <v>45736</v>
      </c>
      <c r="D31" s="4">
        <v>1800004055</v>
      </c>
      <c r="E31" s="4" t="s">
        <v>19</v>
      </c>
      <c r="F31" s="6">
        <v>45736</v>
      </c>
      <c r="G31" s="7">
        <v>246779413911</v>
      </c>
      <c r="H31" s="4" t="s">
        <v>20</v>
      </c>
      <c r="I31" s="8">
        <v>1.99</v>
      </c>
      <c r="J31" s="4" t="s">
        <v>21</v>
      </c>
      <c r="K31" s="8">
        <v>172.52</v>
      </c>
      <c r="L31" s="4" t="s">
        <v>40</v>
      </c>
      <c r="M31" s="4">
        <v>169</v>
      </c>
      <c r="N31" s="9">
        <v>3.5200000000000098</v>
      </c>
      <c r="O31" s="10">
        <v>2.0403431486204559E-2</v>
      </c>
      <c r="P31" s="10"/>
      <c r="Q31" s="11">
        <v>3</v>
      </c>
      <c r="R31" s="5">
        <v>169.52</v>
      </c>
      <c r="S31" s="4">
        <v>1400000922</v>
      </c>
      <c r="T31">
        <v>169</v>
      </c>
    </row>
    <row r="32" spans="1:20" x14ac:dyDescent="0.3">
      <c r="A32" s="4" t="s">
        <v>17</v>
      </c>
      <c r="B32" s="4" t="s">
        <v>18</v>
      </c>
      <c r="C32" s="6">
        <v>45736</v>
      </c>
      <c r="D32" s="4">
        <v>1800004045</v>
      </c>
      <c r="E32" s="4" t="s">
        <v>19</v>
      </c>
      <c r="F32" s="6">
        <v>45736</v>
      </c>
      <c r="G32" s="7">
        <v>246779413901</v>
      </c>
      <c r="H32" s="4" t="s">
        <v>20</v>
      </c>
      <c r="I32" s="8">
        <v>1.75</v>
      </c>
      <c r="J32" s="4" t="s">
        <v>21</v>
      </c>
      <c r="K32" s="8">
        <v>151.71</v>
      </c>
      <c r="L32" s="4" t="s">
        <v>40</v>
      </c>
      <c r="M32" s="4">
        <v>148</v>
      </c>
      <c r="N32" s="9">
        <v>3.710000000000008</v>
      </c>
      <c r="O32" s="10">
        <v>2.4454551446839411E-2</v>
      </c>
      <c r="P32" s="10"/>
      <c r="Q32" s="11">
        <v>3</v>
      </c>
      <c r="R32" s="5">
        <v>148.71</v>
      </c>
      <c r="S32" s="4">
        <v>1400000922</v>
      </c>
      <c r="T32">
        <v>148</v>
      </c>
    </row>
    <row r="33" spans="1:20" x14ac:dyDescent="0.3">
      <c r="A33" s="4" t="s">
        <v>17</v>
      </c>
      <c r="B33" s="4" t="s">
        <v>18</v>
      </c>
      <c r="C33" s="6">
        <v>45736</v>
      </c>
      <c r="D33" s="4">
        <v>1800004037</v>
      </c>
      <c r="E33" s="4" t="s">
        <v>19</v>
      </c>
      <c r="F33" s="6">
        <v>45736</v>
      </c>
      <c r="G33" s="7">
        <v>246779413893</v>
      </c>
      <c r="H33" s="4" t="s">
        <v>20</v>
      </c>
      <c r="I33" s="8">
        <v>1.75</v>
      </c>
      <c r="J33" s="4" t="s">
        <v>21</v>
      </c>
      <c r="K33" s="8">
        <v>151.71</v>
      </c>
      <c r="L33" s="4" t="s">
        <v>40</v>
      </c>
      <c r="M33" s="4">
        <v>148</v>
      </c>
      <c r="N33" s="9">
        <v>3.710000000000008</v>
      </c>
      <c r="O33" s="10">
        <v>2.4454551446839411E-2</v>
      </c>
      <c r="P33" s="10"/>
      <c r="Q33" s="11">
        <v>3</v>
      </c>
      <c r="R33" s="5">
        <v>148.71</v>
      </c>
      <c r="S33" s="4">
        <v>1400000922</v>
      </c>
      <c r="T33">
        <v>148</v>
      </c>
    </row>
    <row r="34" spans="1:20" x14ac:dyDescent="0.3">
      <c r="A34" s="4" t="s">
        <v>17</v>
      </c>
      <c r="B34" s="4" t="s">
        <v>18</v>
      </c>
      <c r="C34" s="6">
        <v>45736</v>
      </c>
      <c r="D34" s="4">
        <v>1800004873</v>
      </c>
      <c r="E34" s="4" t="s">
        <v>19</v>
      </c>
      <c r="F34" s="6">
        <v>45736</v>
      </c>
      <c r="G34" s="7">
        <v>246779414741</v>
      </c>
      <c r="H34" s="4" t="s">
        <v>20</v>
      </c>
      <c r="I34" s="8">
        <v>1.97</v>
      </c>
      <c r="J34" s="4" t="s">
        <v>21</v>
      </c>
      <c r="K34" s="8">
        <v>170.78</v>
      </c>
      <c r="L34" s="4" t="s">
        <v>41</v>
      </c>
      <c r="M34" s="4">
        <v>167</v>
      </c>
      <c r="N34" s="9">
        <v>3.7800000000000011</v>
      </c>
      <c r="O34" s="10">
        <v>2.213373931373698E-2</v>
      </c>
      <c r="P34" s="10"/>
      <c r="Q34" s="11">
        <v>3</v>
      </c>
      <c r="R34" s="5">
        <v>167.78</v>
      </c>
      <c r="S34" s="4">
        <v>1400000922</v>
      </c>
      <c r="T34">
        <v>167</v>
      </c>
    </row>
    <row r="35" spans="1:20" x14ac:dyDescent="0.3">
      <c r="A35" s="4" t="s">
        <v>17</v>
      </c>
      <c r="B35" s="4" t="s">
        <v>18</v>
      </c>
      <c r="C35" s="6">
        <v>45736</v>
      </c>
      <c r="D35" s="4">
        <v>1800005034</v>
      </c>
      <c r="E35" s="4" t="s">
        <v>19</v>
      </c>
      <c r="F35" s="6">
        <v>45736</v>
      </c>
      <c r="G35" s="7">
        <v>246779414902</v>
      </c>
      <c r="H35" s="4" t="s">
        <v>20</v>
      </c>
      <c r="I35" s="8">
        <v>3.52</v>
      </c>
      <c r="J35" s="4" t="s">
        <v>21</v>
      </c>
      <c r="K35" s="8">
        <v>305.14999999999998</v>
      </c>
      <c r="L35" s="4" t="s">
        <v>42</v>
      </c>
      <c r="M35" s="4">
        <v>298</v>
      </c>
      <c r="N35" s="9">
        <v>7.1499999999999773</v>
      </c>
      <c r="O35" s="10">
        <v>2.3431099459282251E-2</v>
      </c>
      <c r="P35" s="10"/>
      <c r="Q35" s="11">
        <v>6</v>
      </c>
      <c r="R35" s="5">
        <v>299.14999999999998</v>
      </c>
      <c r="S35" s="4">
        <v>1400000922</v>
      </c>
      <c r="T35">
        <v>298</v>
      </c>
    </row>
    <row r="36" spans="1:20" x14ac:dyDescent="0.3">
      <c r="A36" s="4" t="s">
        <v>17</v>
      </c>
      <c r="B36" s="4" t="s">
        <v>18</v>
      </c>
      <c r="C36" s="6">
        <v>45736</v>
      </c>
      <c r="D36" s="4">
        <v>1800004605</v>
      </c>
      <c r="E36" s="4" t="s">
        <v>19</v>
      </c>
      <c r="F36" s="6">
        <v>45736</v>
      </c>
      <c r="G36" s="7">
        <v>246779414473</v>
      </c>
      <c r="H36" s="4" t="s">
        <v>20</v>
      </c>
      <c r="I36" s="8">
        <v>6.38</v>
      </c>
      <c r="J36" s="4" t="s">
        <v>21</v>
      </c>
      <c r="K36" s="8">
        <v>553.09</v>
      </c>
      <c r="L36" s="4" t="s">
        <v>43</v>
      </c>
      <c r="M36" s="4">
        <v>540</v>
      </c>
      <c r="N36" s="9">
        <v>13.09000000000003</v>
      </c>
      <c r="O36" s="10">
        <v>2.3667034298215539E-2</v>
      </c>
      <c r="P36" s="10"/>
      <c r="Q36" s="11">
        <v>11</v>
      </c>
      <c r="R36" s="5">
        <v>542.09</v>
      </c>
      <c r="S36" s="4">
        <v>1400000922</v>
      </c>
      <c r="T36">
        <v>540</v>
      </c>
    </row>
    <row r="37" spans="1:20" x14ac:dyDescent="0.3">
      <c r="A37" s="4" t="s">
        <v>17</v>
      </c>
      <c r="B37" s="4" t="s">
        <v>18</v>
      </c>
      <c r="C37" s="6">
        <v>45736</v>
      </c>
      <c r="D37" s="4">
        <v>1800005033</v>
      </c>
      <c r="E37" s="4" t="s">
        <v>19</v>
      </c>
      <c r="F37" s="6">
        <v>45736</v>
      </c>
      <c r="G37" s="7">
        <v>246779414901</v>
      </c>
      <c r="H37" s="4" t="s">
        <v>20</v>
      </c>
      <c r="I37" s="8">
        <v>6.13</v>
      </c>
      <c r="J37" s="4" t="s">
        <v>21</v>
      </c>
      <c r="K37" s="8">
        <v>531.41999999999996</v>
      </c>
      <c r="L37" s="4" t="s">
        <v>42</v>
      </c>
      <c r="M37" s="4">
        <v>518</v>
      </c>
      <c r="N37" s="9">
        <v>13.419999999999961</v>
      </c>
      <c r="O37" s="10">
        <v>2.525309548003455E-2</v>
      </c>
      <c r="P37" s="10"/>
      <c r="Q37" s="11">
        <v>11</v>
      </c>
      <c r="R37" s="5">
        <v>520.41999999999996</v>
      </c>
      <c r="S37" s="4">
        <v>1400000922</v>
      </c>
      <c r="T37">
        <v>518</v>
      </c>
    </row>
    <row r="38" spans="1:20" x14ac:dyDescent="0.3">
      <c r="A38" s="4" t="s">
        <v>17</v>
      </c>
      <c r="B38" s="4" t="s">
        <v>18</v>
      </c>
      <c r="C38" s="6">
        <v>45736</v>
      </c>
      <c r="D38" s="4">
        <v>1800004742</v>
      </c>
      <c r="E38" s="4" t="s">
        <v>19</v>
      </c>
      <c r="F38" s="6">
        <v>45736</v>
      </c>
      <c r="G38" s="7">
        <v>246779414610</v>
      </c>
      <c r="H38" s="4" t="s">
        <v>20</v>
      </c>
      <c r="I38" s="8">
        <v>7</v>
      </c>
      <c r="J38" s="4" t="s">
        <v>21</v>
      </c>
      <c r="K38" s="8">
        <v>606.84</v>
      </c>
      <c r="L38" s="4" t="s">
        <v>44</v>
      </c>
      <c r="M38" s="4">
        <v>592</v>
      </c>
      <c r="N38" s="9">
        <v>14.84000000000003</v>
      </c>
      <c r="O38" s="10">
        <v>2.4454551446839411E-2</v>
      </c>
      <c r="P38" s="10"/>
      <c r="Q38" s="11">
        <v>12</v>
      </c>
      <c r="R38" s="5">
        <v>594.84</v>
      </c>
      <c r="S38" s="4">
        <v>1400000922</v>
      </c>
      <c r="T38">
        <v>592</v>
      </c>
    </row>
    <row r="39" spans="1:20" x14ac:dyDescent="0.3">
      <c r="A39" s="4" t="s">
        <v>17</v>
      </c>
      <c r="B39" s="4" t="s">
        <v>18</v>
      </c>
      <c r="C39" s="6">
        <v>45736</v>
      </c>
      <c r="D39" s="4">
        <v>1800004361</v>
      </c>
      <c r="E39" s="4" t="s">
        <v>19</v>
      </c>
      <c r="F39" s="6">
        <v>45736</v>
      </c>
      <c r="G39" s="7">
        <v>246779414229</v>
      </c>
      <c r="H39" s="4" t="s">
        <v>20</v>
      </c>
      <c r="I39" s="8">
        <v>9.1</v>
      </c>
      <c r="J39" s="4" t="s">
        <v>21</v>
      </c>
      <c r="K39" s="8">
        <v>788.89</v>
      </c>
      <c r="L39" s="4" t="s">
        <v>45</v>
      </c>
      <c r="M39" s="4">
        <v>769</v>
      </c>
      <c r="N39" s="9">
        <v>19.88999999999999</v>
      </c>
      <c r="O39" s="10">
        <v>2.5212640545576679E-2</v>
      </c>
      <c r="P39" s="10"/>
      <c r="Q39" s="11">
        <v>16</v>
      </c>
      <c r="R39" s="5">
        <v>772.89</v>
      </c>
      <c r="S39" s="4">
        <v>1400000922</v>
      </c>
      <c r="T39">
        <v>769</v>
      </c>
    </row>
    <row r="40" spans="1:20" x14ac:dyDescent="0.3">
      <c r="A40" s="4" t="s">
        <v>17</v>
      </c>
      <c r="B40" s="4" t="s">
        <v>18</v>
      </c>
      <c r="C40" s="6">
        <v>45736</v>
      </c>
      <c r="D40" s="4">
        <v>1800004820</v>
      </c>
      <c r="E40" s="4" t="s">
        <v>19</v>
      </c>
      <c r="F40" s="6">
        <v>45736</v>
      </c>
      <c r="G40" s="7">
        <v>246779414688</v>
      </c>
      <c r="H40" s="4" t="s">
        <v>20</v>
      </c>
      <c r="I40" s="8">
        <v>9.9</v>
      </c>
      <c r="J40" s="4" t="s">
        <v>21</v>
      </c>
      <c r="K40" s="8">
        <v>858.24</v>
      </c>
      <c r="L40" s="4" t="s">
        <v>46</v>
      </c>
      <c r="M40" s="4">
        <v>837</v>
      </c>
      <c r="N40" s="9">
        <v>21.240000000000009</v>
      </c>
      <c r="O40" s="10">
        <v>2.474832214765102E-2</v>
      </c>
      <c r="P40" s="10"/>
      <c r="Q40" s="11">
        <v>17</v>
      </c>
      <c r="R40" s="5">
        <v>841.24</v>
      </c>
      <c r="S40" s="4">
        <v>1400000922</v>
      </c>
      <c r="T40">
        <v>837</v>
      </c>
    </row>
    <row r="41" spans="1:20" x14ac:dyDescent="0.3">
      <c r="A41" s="4" t="s">
        <v>17</v>
      </c>
      <c r="B41" s="4" t="s">
        <v>18</v>
      </c>
      <c r="C41" s="6">
        <v>45736</v>
      </c>
      <c r="D41" s="4">
        <v>1800004534</v>
      </c>
      <c r="E41" s="4" t="s">
        <v>19</v>
      </c>
      <c r="F41" s="6">
        <v>45736</v>
      </c>
      <c r="G41" s="7">
        <v>246779414402</v>
      </c>
      <c r="H41" s="4" t="s">
        <v>20</v>
      </c>
      <c r="I41" s="8">
        <v>10.5</v>
      </c>
      <c r="J41" s="4" t="s">
        <v>21</v>
      </c>
      <c r="K41" s="8">
        <v>910.26</v>
      </c>
      <c r="L41" s="4" t="s">
        <v>47</v>
      </c>
      <c r="M41" s="4">
        <v>888</v>
      </c>
      <c r="N41" s="9">
        <v>22.259999999999991</v>
      </c>
      <c r="O41" s="10">
        <v>2.4454551446839359E-2</v>
      </c>
      <c r="P41" s="10"/>
      <c r="Q41" s="11">
        <v>18</v>
      </c>
      <c r="R41" s="5">
        <v>892.26</v>
      </c>
      <c r="S41" s="4">
        <v>1400000922</v>
      </c>
      <c r="T41">
        <v>888</v>
      </c>
    </row>
    <row r="42" spans="1:20" x14ac:dyDescent="0.3">
      <c r="A42" s="4" t="s">
        <v>17</v>
      </c>
      <c r="B42" s="4" t="s">
        <v>18</v>
      </c>
      <c r="C42" s="6">
        <v>45736</v>
      </c>
      <c r="D42" s="4">
        <v>1800004282</v>
      </c>
      <c r="E42" s="4" t="s">
        <v>19</v>
      </c>
      <c r="F42" s="6">
        <v>45736</v>
      </c>
      <c r="G42" s="7">
        <v>246779414150</v>
      </c>
      <c r="H42" s="4" t="s">
        <v>20</v>
      </c>
      <c r="I42" s="8">
        <v>12.25</v>
      </c>
      <c r="J42" s="4" t="s">
        <v>21</v>
      </c>
      <c r="K42" s="8">
        <v>1061.97</v>
      </c>
      <c r="L42" s="4" t="s">
        <v>48</v>
      </c>
      <c r="M42" s="4">
        <v>1036</v>
      </c>
      <c r="N42" s="9">
        <v>25.970000000000031</v>
      </c>
      <c r="O42" s="10">
        <v>2.445455144683939E-2</v>
      </c>
      <c r="P42" s="10"/>
      <c r="Q42" s="11">
        <v>21</v>
      </c>
      <c r="R42" s="5">
        <v>1040.97</v>
      </c>
      <c r="S42" s="4">
        <v>1400000922</v>
      </c>
      <c r="T42">
        <v>1036</v>
      </c>
    </row>
    <row r="43" spans="1:20" x14ac:dyDescent="0.3">
      <c r="A43" s="4" t="s">
        <v>17</v>
      </c>
      <c r="B43" s="4" t="s">
        <v>18</v>
      </c>
      <c r="C43" s="6">
        <v>45736</v>
      </c>
      <c r="D43" s="4">
        <v>1800004283</v>
      </c>
      <c r="E43" s="4" t="s">
        <v>19</v>
      </c>
      <c r="F43" s="6">
        <v>45736</v>
      </c>
      <c r="G43" s="7">
        <v>246779414151</v>
      </c>
      <c r="H43" s="4" t="s">
        <v>20</v>
      </c>
      <c r="I43" s="8">
        <v>15</v>
      </c>
      <c r="J43" s="4" t="s">
        <v>21</v>
      </c>
      <c r="K43" s="8">
        <v>1300.3699999999999</v>
      </c>
      <c r="L43" s="4" t="s">
        <v>49</v>
      </c>
      <c r="M43" s="4">
        <v>1269</v>
      </c>
      <c r="N43" s="9">
        <v>31.369999999999891</v>
      </c>
      <c r="O43" s="10">
        <v>2.412390319678237E-2</v>
      </c>
      <c r="P43" s="10"/>
      <c r="Q43" s="11">
        <v>26</v>
      </c>
      <c r="R43" s="5">
        <v>1274.3699999999999</v>
      </c>
      <c r="S43" s="4">
        <v>1400000922</v>
      </c>
      <c r="T43">
        <v>1269</v>
      </c>
    </row>
    <row r="44" spans="1:20" x14ac:dyDescent="0.3">
      <c r="A44" s="4" t="s">
        <v>17</v>
      </c>
      <c r="B44" s="4" t="s">
        <v>18</v>
      </c>
      <c r="C44" s="6">
        <v>45736</v>
      </c>
      <c r="D44" s="4">
        <v>1800004535</v>
      </c>
      <c r="E44" s="4" t="s">
        <v>19</v>
      </c>
      <c r="F44" s="6">
        <v>45736</v>
      </c>
      <c r="G44" s="7">
        <v>246779414403</v>
      </c>
      <c r="H44" s="4" t="s">
        <v>20</v>
      </c>
      <c r="I44" s="8">
        <v>15</v>
      </c>
      <c r="J44" s="4" t="s">
        <v>21</v>
      </c>
      <c r="K44" s="8">
        <v>1300.3699999999999</v>
      </c>
      <c r="L44" s="4" t="s">
        <v>50</v>
      </c>
      <c r="M44" s="4">
        <v>1269</v>
      </c>
      <c r="N44" s="9">
        <v>31.369999999999891</v>
      </c>
      <c r="O44" s="10">
        <v>2.412390319678237E-2</v>
      </c>
      <c r="P44" s="10"/>
      <c r="Q44" s="11">
        <v>26</v>
      </c>
      <c r="R44" s="5">
        <v>1274.3699999999999</v>
      </c>
      <c r="S44" s="4">
        <v>1400000922</v>
      </c>
      <c r="T44">
        <v>1269</v>
      </c>
    </row>
    <row r="45" spans="1:20" x14ac:dyDescent="0.3">
      <c r="A45" s="4" t="s">
        <v>17</v>
      </c>
      <c r="B45" s="4" t="s">
        <v>18</v>
      </c>
      <c r="C45" s="6">
        <v>45736</v>
      </c>
      <c r="D45" s="4">
        <v>1800004057</v>
      </c>
      <c r="E45" s="4" t="s">
        <v>19</v>
      </c>
      <c r="F45" s="6">
        <v>45736</v>
      </c>
      <c r="G45" s="7">
        <v>246779413913</v>
      </c>
      <c r="H45" s="4" t="s">
        <v>20</v>
      </c>
      <c r="I45" s="8">
        <v>14.8</v>
      </c>
      <c r="J45" s="4" t="s">
        <v>21</v>
      </c>
      <c r="K45" s="8">
        <v>1283.03</v>
      </c>
      <c r="L45" s="4" t="s">
        <v>40</v>
      </c>
      <c r="M45" s="4">
        <v>1251</v>
      </c>
      <c r="N45" s="9">
        <v>32.029999999999973</v>
      </c>
      <c r="O45" s="10">
        <v>2.496434222114835E-2</v>
      </c>
      <c r="P45" s="10"/>
      <c r="Q45" s="11">
        <v>26</v>
      </c>
      <c r="R45" s="5">
        <v>1257.03</v>
      </c>
      <c r="S45" s="4">
        <v>1400000922</v>
      </c>
      <c r="T45">
        <v>1251</v>
      </c>
    </row>
    <row r="46" spans="1:20" x14ac:dyDescent="0.3">
      <c r="A46" s="4" t="s">
        <v>17</v>
      </c>
      <c r="B46" s="4" t="s">
        <v>18</v>
      </c>
      <c r="C46" s="6">
        <v>45736</v>
      </c>
      <c r="D46" s="4">
        <v>1800004604</v>
      </c>
      <c r="E46" s="4" t="s">
        <v>19</v>
      </c>
      <c r="F46" s="6">
        <v>45736</v>
      </c>
      <c r="G46" s="7">
        <v>246779414472</v>
      </c>
      <c r="H46" s="4" t="s">
        <v>20</v>
      </c>
      <c r="I46" s="8">
        <v>18.170000000000002</v>
      </c>
      <c r="J46" s="4" t="s">
        <v>21</v>
      </c>
      <c r="K46" s="8">
        <v>1575.18</v>
      </c>
      <c r="L46" s="4" t="s">
        <v>51</v>
      </c>
      <c r="M46" s="4">
        <v>1537</v>
      </c>
      <c r="N46" s="9">
        <v>38.180000000000057</v>
      </c>
      <c r="O46" s="10">
        <v>2.4238499727015361E-2</v>
      </c>
      <c r="P46" s="10"/>
      <c r="Q46" s="11">
        <v>31</v>
      </c>
      <c r="R46" s="5">
        <v>1544.18</v>
      </c>
      <c r="S46" s="4">
        <v>1400000922</v>
      </c>
      <c r="T46">
        <v>1537</v>
      </c>
    </row>
    <row r="47" spans="1:20" x14ac:dyDescent="0.3">
      <c r="A47" s="4" t="s">
        <v>17</v>
      </c>
      <c r="B47" s="4" t="s">
        <v>18</v>
      </c>
      <c r="C47" s="6">
        <v>45736</v>
      </c>
      <c r="D47" s="4">
        <v>1800004198</v>
      </c>
      <c r="E47" s="4" t="s">
        <v>19</v>
      </c>
      <c r="F47" s="6">
        <v>45736</v>
      </c>
      <c r="G47" s="7">
        <v>246779414066</v>
      </c>
      <c r="H47" s="4" t="s">
        <v>20</v>
      </c>
      <c r="I47" s="8">
        <v>21.13</v>
      </c>
      <c r="J47" s="4" t="s">
        <v>21</v>
      </c>
      <c r="K47" s="8">
        <v>1831.79</v>
      </c>
      <c r="L47" s="4" t="s">
        <v>51</v>
      </c>
      <c r="M47" s="4">
        <v>1788</v>
      </c>
      <c r="N47" s="9">
        <v>43.789999999999957</v>
      </c>
      <c r="O47" s="10">
        <v>2.390557869624791E-2</v>
      </c>
      <c r="P47" s="10"/>
      <c r="Q47" s="11">
        <v>36</v>
      </c>
      <c r="R47" s="5">
        <v>1795.79</v>
      </c>
      <c r="S47" s="4">
        <v>1400000922</v>
      </c>
      <c r="T47">
        <v>1788</v>
      </c>
    </row>
    <row r="48" spans="1:20" x14ac:dyDescent="0.3">
      <c r="A48" s="4" t="s">
        <v>17</v>
      </c>
      <c r="B48" s="4" t="s">
        <v>18</v>
      </c>
      <c r="C48" s="6">
        <v>45736</v>
      </c>
      <c r="D48" s="4">
        <v>1800005031</v>
      </c>
      <c r="E48" s="4" t="s">
        <v>19</v>
      </c>
      <c r="F48" s="6">
        <v>45736</v>
      </c>
      <c r="G48" s="7">
        <v>246779414899</v>
      </c>
      <c r="H48" s="4" t="s">
        <v>20</v>
      </c>
      <c r="I48" s="8">
        <v>51.6</v>
      </c>
      <c r="J48" s="4" t="s">
        <v>21</v>
      </c>
      <c r="K48" s="8">
        <v>4473.2700000000004</v>
      </c>
      <c r="L48" s="4" t="s">
        <v>42</v>
      </c>
      <c r="M48" s="4">
        <v>4384</v>
      </c>
      <c r="N48" s="9">
        <v>89.270000000000437</v>
      </c>
      <c r="O48" s="10">
        <v>1.9956318308530549E-2</v>
      </c>
      <c r="P48" s="10"/>
      <c r="Q48" s="11">
        <v>89</v>
      </c>
      <c r="R48" s="5">
        <v>4384.2700000000004</v>
      </c>
      <c r="S48" s="4">
        <v>1400000922</v>
      </c>
      <c r="T48">
        <v>4384</v>
      </c>
    </row>
    <row r="49" spans="1:20" x14ac:dyDescent="0.3">
      <c r="A49" s="4" t="s">
        <v>17</v>
      </c>
      <c r="B49" s="4" t="s">
        <v>18</v>
      </c>
      <c r="C49" s="6">
        <v>45736</v>
      </c>
      <c r="D49" s="4">
        <v>1800005028</v>
      </c>
      <c r="E49" s="4" t="s">
        <v>19</v>
      </c>
      <c r="F49" s="6">
        <v>45736</v>
      </c>
      <c r="G49" s="7">
        <v>246779414896</v>
      </c>
      <c r="H49" s="4" t="s">
        <v>20</v>
      </c>
      <c r="I49" s="8">
        <v>43</v>
      </c>
      <c r="J49" s="4" t="s">
        <v>21</v>
      </c>
      <c r="K49" s="8">
        <v>3727.72</v>
      </c>
      <c r="L49" s="4" t="s">
        <v>42</v>
      </c>
      <c r="M49" s="4">
        <v>3637</v>
      </c>
      <c r="N49" s="9">
        <v>90.7199999999998</v>
      </c>
      <c r="O49" s="10">
        <v>2.4336591804105401E-2</v>
      </c>
      <c r="P49" s="10"/>
      <c r="Q49" s="11">
        <v>74</v>
      </c>
      <c r="R49" s="5">
        <v>3653.72</v>
      </c>
      <c r="S49" s="4">
        <v>1400000922</v>
      </c>
      <c r="T49">
        <v>3637</v>
      </c>
    </row>
    <row r="50" spans="1:20" x14ac:dyDescent="0.3">
      <c r="A50" s="4" t="s">
        <v>17</v>
      </c>
      <c r="B50" s="4" t="s">
        <v>18</v>
      </c>
      <c r="C50" s="6">
        <v>45736</v>
      </c>
      <c r="D50" s="4">
        <v>1800005029</v>
      </c>
      <c r="E50" s="4" t="s">
        <v>19</v>
      </c>
      <c r="F50" s="6">
        <v>45736</v>
      </c>
      <c r="G50" s="7">
        <v>246779414897</v>
      </c>
      <c r="H50" s="4" t="s">
        <v>20</v>
      </c>
      <c r="I50" s="8">
        <v>47.3</v>
      </c>
      <c r="J50" s="4" t="s">
        <v>21</v>
      </c>
      <c r="K50" s="8">
        <v>4100.5</v>
      </c>
      <c r="L50" s="4" t="s">
        <v>42</v>
      </c>
      <c r="M50" s="4">
        <v>4000</v>
      </c>
      <c r="N50" s="9">
        <v>100.5</v>
      </c>
      <c r="O50" s="10">
        <v>2.4509206194366539E-2</v>
      </c>
      <c r="P50" s="10"/>
      <c r="Q50" s="11">
        <v>82</v>
      </c>
      <c r="R50" s="5">
        <v>4018.5</v>
      </c>
      <c r="S50" s="4">
        <v>1400000922</v>
      </c>
      <c r="T50">
        <v>4000</v>
      </c>
    </row>
    <row r="51" spans="1:20" x14ac:dyDescent="0.3">
      <c r="A51" s="4" t="s">
        <v>17</v>
      </c>
      <c r="B51" s="4" t="s">
        <v>18</v>
      </c>
      <c r="C51" s="6">
        <v>45736</v>
      </c>
      <c r="D51" s="4">
        <v>1800004821</v>
      </c>
      <c r="E51" s="4" t="s">
        <v>19</v>
      </c>
      <c r="F51" s="6">
        <v>45736</v>
      </c>
      <c r="G51" s="7">
        <v>246779414689</v>
      </c>
      <c r="H51" s="4" t="s">
        <v>20</v>
      </c>
      <c r="I51" s="8">
        <v>50.75</v>
      </c>
      <c r="J51" s="4" t="s">
        <v>21</v>
      </c>
      <c r="K51" s="8">
        <v>4399.58</v>
      </c>
      <c r="L51" s="4" t="s">
        <v>52</v>
      </c>
      <c r="M51" s="4">
        <v>4292</v>
      </c>
      <c r="N51" s="9">
        <v>107.5799999999999</v>
      </c>
      <c r="O51" s="10">
        <v>2.4452334086435511E-2</v>
      </c>
      <c r="P51" s="10"/>
      <c r="Q51" s="11">
        <v>88</v>
      </c>
      <c r="R51" s="5">
        <v>4311.58</v>
      </c>
      <c r="S51" s="4">
        <v>1400000922</v>
      </c>
      <c r="T51">
        <v>4292</v>
      </c>
    </row>
    <row r="52" spans="1:20" x14ac:dyDescent="0.3">
      <c r="A52" s="4" t="s">
        <v>17</v>
      </c>
      <c r="B52" s="4" t="s">
        <v>18</v>
      </c>
      <c r="C52" s="6">
        <v>45736</v>
      </c>
      <c r="D52" s="4">
        <v>1800005032</v>
      </c>
      <c r="E52" s="4" t="s">
        <v>19</v>
      </c>
      <c r="F52" s="6">
        <v>45736</v>
      </c>
      <c r="G52" s="7">
        <v>246779414900</v>
      </c>
      <c r="H52" s="4" t="s">
        <v>20</v>
      </c>
      <c r="I52" s="8">
        <v>51.6</v>
      </c>
      <c r="J52" s="4" t="s">
        <v>21</v>
      </c>
      <c r="K52" s="8">
        <v>4473.2700000000004</v>
      </c>
      <c r="L52" s="4" t="s">
        <v>42</v>
      </c>
      <c r="M52" s="4">
        <v>4364</v>
      </c>
      <c r="N52" s="9">
        <v>109.27000000000039</v>
      </c>
      <c r="O52" s="10">
        <v>2.4427320506028121E-2</v>
      </c>
      <c r="P52" s="10"/>
      <c r="Q52" s="11">
        <v>89</v>
      </c>
      <c r="R52" s="5">
        <v>4384.2700000000004</v>
      </c>
      <c r="S52" s="4">
        <v>1400000922</v>
      </c>
      <c r="T52">
        <v>4364</v>
      </c>
    </row>
    <row r="53" spans="1:20" x14ac:dyDescent="0.3">
      <c r="A53" s="4" t="s">
        <v>17</v>
      </c>
      <c r="B53" s="4" t="s">
        <v>18</v>
      </c>
      <c r="C53" s="6">
        <v>45736</v>
      </c>
      <c r="D53" s="4">
        <v>1800004606</v>
      </c>
      <c r="E53" s="4" t="s">
        <v>19</v>
      </c>
      <c r="F53" s="6">
        <v>45736</v>
      </c>
      <c r="G53" s="7">
        <v>246779414474</v>
      </c>
      <c r="H53" s="4" t="s">
        <v>20</v>
      </c>
      <c r="I53" s="8">
        <v>60</v>
      </c>
      <c r="J53" s="4" t="s">
        <v>21</v>
      </c>
      <c r="K53" s="8">
        <v>5201.4799999999996</v>
      </c>
      <c r="L53" s="4" t="s">
        <v>53</v>
      </c>
      <c r="M53" s="4">
        <v>5074</v>
      </c>
      <c r="N53" s="9">
        <v>127.47999999999961</v>
      </c>
      <c r="O53" s="10">
        <v>2.450840914508939E-2</v>
      </c>
      <c r="P53" s="10"/>
      <c r="Q53" s="11">
        <v>104</v>
      </c>
      <c r="R53" s="5">
        <v>5097.4799999999996</v>
      </c>
      <c r="S53" s="4">
        <v>1400000922</v>
      </c>
      <c r="T53">
        <v>3681</v>
      </c>
    </row>
    <row r="54" spans="1:20" x14ac:dyDescent="0.3">
      <c r="A54" s="14" t="s">
        <v>17</v>
      </c>
      <c r="B54" s="14" t="s">
        <v>18</v>
      </c>
      <c r="C54" s="15">
        <v>45736</v>
      </c>
      <c r="D54" s="14">
        <v>1800004606</v>
      </c>
      <c r="E54" s="14" t="s">
        <v>19</v>
      </c>
      <c r="F54" s="15">
        <v>45736</v>
      </c>
      <c r="G54" s="16">
        <v>246779414474</v>
      </c>
      <c r="H54" s="14" t="s">
        <v>20</v>
      </c>
      <c r="I54" s="17">
        <v>60</v>
      </c>
      <c r="J54" s="14" t="s">
        <v>21</v>
      </c>
      <c r="K54" s="17">
        <v>5201.4799999999996</v>
      </c>
      <c r="L54" s="14" t="s">
        <v>53</v>
      </c>
      <c r="M54" s="14">
        <v>5074</v>
      </c>
      <c r="N54" s="18">
        <v>127.47999999999961</v>
      </c>
      <c r="O54" s="19">
        <v>2.450840914508939E-2</v>
      </c>
      <c r="P54" s="19"/>
      <c r="Q54" s="20">
        <v>104</v>
      </c>
      <c r="R54" s="20">
        <v>5097.4799999999996</v>
      </c>
      <c r="S54" s="4">
        <v>1400000941</v>
      </c>
      <c r="T54">
        <v>1393</v>
      </c>
    </row>
    <row r="55" spans="1:20" x14ac:dyDescent="0.3">
      <c r="A55" s="4" t="s">
        <v>17</v>
      </c>
      <c r="B55" s="4" t="s">
        <v>18</v>
      </c>
      <c r="C55" s="6">
        <v>45736</v>
      </c>
      <c r="D55" s="4">
        <v>1800005027</v>
      </c>
      <c r="E55" s="4" t="s">
        <v>19</v>
      </c>
      <c r="F55" s="6">
        <v>45736</v>
      </c>
      <c r="G55" s="7">
        <v>246779414895</v>
      </c>
      <c r="H55" s="4" t="s">
        <v>20</v>
      </c>
      <c r="I55" s="8">
        <v>60</v>
      </c>
      <c r="J55" s="4" t="s">
        <v>21</v>
      </c>
      <c r="K55" s="8">
        <v>5201.4799999999996</v>
      </c>
      <c r="L55" s="4" t="s">
        <v>42</v>
      </c>
      <c r="M55" s="4">
        <v>5074</v>
      </c>
      <c r="N55" s="9">
        <v>127.47999999999961</v>
      </c>
      <c r="O55" s="10">
        <v>2.450840914508939E-2</v>
      </c>
      <c r="P55" s="10"/>
      <c r="Q55" s="11">
        <v>104</v>
      </c>
      <c r="R55" s="5">
        <v>5097.4799999999996</v>
      </c>
      <c r="S55" s="4">
        <v>1400000941</v>
      </c>
      <c r="T55">
        <v>5074</v>
      </c>
    </row>
    <row r="56" spans="1:20" x14ac:dyDescent="0.3">
      <c r="A56" s="4" t="s">
        <v>17</v>
      </c>
      <c r="B56" s="4" t="s">
        <v>18</v>
      </c>
      <c r="C56" s="6">
        <v>45736</v>
      </c>
      <c r="D56" s="4">
        <v>1800004822</v>
      </c>
      <c r="E56" s="4" t="s">
        <v>19</v>
      </c>
      <c r="F56" s="6">
        <v>45736</v>
      </c>
      <c r="G56" s="7">
        <v>246779414690</v>
      </c>
      <c r="H56" s="4" t="s">
        <v>20</v>
      </c>
      <c r="I56" s="8">
        <v>60</v>
      </c>
      <c r="J56" s="4" t="s">
        <v>21</v>
      </c>
      <c r="K56" s="8">
        <v>5201.4799999999996</v>
      </c>
      <c r="L56" s="4" t="s">
        <v>54</v>
      </c>
      <c r="M56" s="4">
        <v>5074</v>
      </c>
      <c r="N56" s="9">
        <v>127.47999999999961</v>
      </c>
      <c r="O56" s="10">
        <v>2.450840914508939E-2</v>
      </c>
      <c r="P56" s="10"/>
      <c r="Q56" s="11">
        <v>104</v>
      </c>
      <c r="R56" s="5">
        <v>5097.4799999999996</v>
      </c>
      <c r="S56" s="4">
        <v>1400000941</v>
      </c>
      <c r="T56">
        <v>5074</v>
      </c>
    </row>
    <row r="57" spans="1:20" x14ac:dyDescent="0.3">
      <c r="A57" s="4" t="s">
        <v>17</v>
      </c>
      <c r="B57" s="4" t="s">
        <v>18</v>
      </c>
      <c r="C57" s="6">
        <v>45736</v>
      </c>
      <c r="D57" s="4">
        <v>1800005030</v>
      </c>
      <c r="E57" s="4" t="s">
        <v>19</v>
      </c>
      <c r="F57" s="6">
        <v>45736</v>
      </c>
      <c r="G57" s="7">
        <v>246779414898</v>
      </c>
      <c r="H57" s="4" t="s">
        <v>20</v>
      </c>
      <c r="I57" s="8">
        <v>94.6</v>
      </c>
      <c r="J57" s="4" t="s">
        <v>21</v>
      </c>
      <c r="K57" s="8">
        <v>8200.99</v>
      </c>
      <c r="L57" s="4" t="s">
        <v>42</v>
      </c>
      <c r="M57" s="4">
        <v>8001</v>
      </c>
      <c r="N57" s="9">
        <v>199.98999999999981</v>
      </c>
      <c r="O57" s="10">
        <v>2.4386080217144491E-2</v>
      </c>
      <c r="P57" s="10"/>
      <c r="Q57" s="11">
        <v>163</v>
      </c>
      <c r="R57" s="5">
        <v>8037.99</v>
      </c>
      <c r="S57" s="4">
        <v>1400000941</v>
      </c>
      <c r="T57">
        <v>8001</v>
      </c>
    </row>
    <row r="58" spans="1:20" x14ac:dyDescent="0.3">
      <c r="A58" s="4" t="s">
        <v>17</v>
      </c>
      <c r="B58" s="4" t="s">
        <v>18</v>
      </c>
      <c r="C58" s="6">
        <v>45736</v>
      </c>
      <c r="D58" s="4">
        <v>1800004872</v>
      </c>
      <c r="E58" s="4" t="s">
        <v>19</v>
      </c>
      <c r="F58" s="6">
        <v>45736</v>
      </c>
      <c r="G58" s="7">
        <v>246779414740</v>
      </c>
      <c r="H58" s="4" t="s">
        <v>20</v>
      </c>
      <c r="I58" s="8">
        <v>111.18</v>
      </c>
      <c r="J58" s="4" t="s">
        <v>21</v>
      </c>
      <c r="K58" s="8">
        <v>9638.33</v>
      </c>
      <c r="L58" s="4" t="s">
        <v>42</v>
      </c>
      <c r="M58" s="4">
        <v>9403</v>
      </c>
      <c r="N58" s="9">
        <v>235.3299999999999</v>
      </c>
      <c r="O58" s="10">
        <v>2.4416055478490559E-2</v>
      </c>
      <c r="P58" s="10"/>
      <c r="Q58" s="11">
        <v>192</v>
      </c>
      <c r="R58" s="5">
        <v>9446.33</v>
      </c>
      <c r="S58" s="4">
        <v>1400000941</v>
      </c>
      <c r="T58">
        <v>9403</v>
      </c>
    </row>
    <row r="59" spans="1:20" x14ac:dyDescent="0.3">
      <c r="A59" s="4" t="s">
        <v>17</v>
      </c>
      <c r="B59" s="4" t="s">
        <v>18</v>
      </c>
      <c r="C59" s="6">
        <v>45736</v>
      </c>
      <c r="D59" s="4">
        <v>1800004028</v>
      </c>
      <c r="E59" s="4" t="s">
        <v>19</v>
      </c>
      <c r="F59" s="6">
        <v>45736</v>
      </c>
      <c r="G59" s="7">
        <v>246779413884</v>
      </c>
      <c r="H59" s="4" t="s">
        <v>20</v>
      </c>
      <c r="I59" s="8">
        <v>128.52000000000001</v>
      </c>
      <c r="J59" s="4" t="s">
        <v>21</v>
      </c>
      <c r="K59" s="8">
        <v>11141.56</v>
      </c>
      <c r="L59" s="4" t="s">
        <v>40</v>
      </c>
      <c r="M59" s="4">
        <v>10870</v>
      </c>
      <c r="N59" s="9">
        <v>271.55999999999949</v>
      </c>
      <c r="O59" s="10">
        <v>2.437360656855948E-2</v>
      </c>
      <c r="P59" s="10"/>
      <c r="Q59" s="11">
        <v>222</v>
      </c>
      <c r="R59" s="5">
        <v>10919.56</v>
      </c>
      <c r="S59" s="4">
        <v>1400000941</v>
      </c>
      <c r="T59">
        <v>10870</v>
      </c>
    </row>
    <row r="60" spans="1:20" x14ac:dyDescent="0.3">
      <c r="A60" s="4" t="s">
        <v>17</v>
      </c>
      <c r="B60" s="4" t="s">
        <v>18</v>
      </c>
      <c r="C60" s="6">
        <v>45736</v>
      </c>
      <c r="D60" s="4">
        <v>1800004194</v>
      </c>
      <c r="E60" s="4" t="s">
        <v>19</v>
      </c>
      <c r="F60" s="6">
        <v>45736</v>
      </c>
      <c r="G60" s="7">
        <v>246779414062</v>
      </c>
      <c r="H60" s="4" t="s">
        <v>20</v>
      </c>
      <c r="I60" s="8">
        <v>251.5</v>
      </c>
      <c r="J60" s="4" t="s">
        <v>21</v>
      </c>
      <c r="K60" s="8">
        <v>21802.85</v>
      </c>
      <c r="L60" s="4" t="s">
        <v>51</v>
      </c>
      <c r="M60" s="4">
        <v>21271</v>
      </c>
      <c r="N60" s="9">
        <v>531.84999999999854</v>
      </c>
      <c r="O60" s="10">
        <v>2.4393599919276539E-2</v>
      </c>
      <c r="P60" s="10"/>
      <c r="Q60" s="11">
        <v>434</v>
      </c>
      <c r="R60" s="5">
        <v>21368.85</v>
      </c>
      <c r="S60" s="4">
        <v>1400000941</v>
      </c>
      <c r="T60">
        <v>21271</v>
      </c>
    </row>
    <row r="61" spans="1:20" x14ac:dyDescent="0.3">
      <c r="A61" s="4" t="s">
        <v>17</v>
      </c>
      <c r="B61" s="4" t="s">
        <v>18</v>
      </c>
      <c r="C61" s="6">
        <v>45736</v>
      </c>
      <c r="D61" s="4">
        <v>1800004192</v>
      </c>
      <c r="E61" s="4" t="s">
        <v>19</v>
      </c>
      <c r="F61" s="6">
        <v>45736</v>
      </c>
      <c r="G61" s="7">
        <v>246779414060</v>
      </c>
      <c r="H61" s="4" t="s">
        <v>20</v>
      </c>
      <c r="I61" s="8">
        <v>273</v>
      </c>
      <c r="J61" s="4" t="s">
        <v>21</v>
      </c>
      <c r="K61" s="8">
        <v>23666.71</v>
      </c>
      <c r="L61" s="4" t="s">
        <v>51</v>
      </c>
      <c r="M61" s="4">
        <v>23090</v>
      </c>
      <c r="N61" s="9">
        <v>576.70999999999913</v>
      </c>
      <c r="O61" s="10">
        <v>2.4367983551579379E-2</v>
      </c>
      <c r="P61" s="10"/>
      <c r="Q61" s="11">
        <v>471</v>
      </c>
      <c r="R61" s="5">
        <v>23195.71</v>
      </c>
      <c r="S61" s="4">
        <v>1400000941</v>
      </c>
      <c r="T61">
        <v>23090</v>
      </c>
    </row>
    <row r="62" spans="1:20" x14ac:dyDescent="0.3">
      <c r="A62" s="4" t="s">
        <v>17</v>
      </c>
      <c r="B62" s="4" t="s">
        <v>18</v>
      </c>
      <c r="C62" s="6">
        <v>45736</v>
      </c>
      <c r="D62" s="4">
        <v>1800004193</v>
      </c>
      <c r="E62" s="4" t="s">
        <v>19</v>
      </c>
      <c r="F62" s="6">
        <v>45736</v>
      </c>
      <c r="G62" s="7">
        <v>246779414061</v>
      </c>
      <c r="H62" s="4" t="s">
        <v>20</v>
      </c>
      <c r="I62" s="8">
        <v>277.3</v>
      </c>
      <c r="J62" s="4" t="s">
        <v>21</v>
      </c>
      <c r="K62" s="8">
        <v>24039.49</v>
      </c>
      <c r="L62" s="4" t="s">
        <v>51</v>
      </c>
      <c r="M62" s="4">
        <v>23453</v>
      </c>
      <c r="N62" s="9">
        <v>586.4900000000016</v>
      </c>
      <c r="O62" s="10">
        <v>2.4396940201310491E-2</v>
      </c>
      <c r="P62" s="10"/>
      <c r="Q62" s="11">
        <v>479</v>
      </c>
      <c r="R62" s="5">
        <v>23560.49</v>
      </c>
      <c r="S62" s="4">
        <v>1400000941</v>
      </c>
      <c r="T62">
        <v>23453</v>
      </c>
    </row>
    <row r="63" spans="1:20" x14ac:dyDescent="0.3">
      <c r="A63" s="4" t="s">
        <v>17</v>
      </c>
      <c r="B63" s="4" t="s">
        <v>18</v>
      </c>
      <c r="C63" s="6">
        <v>45736</v>
      </c>
      <c r="D63" s="4">
        <v>1800004197</v>
      </c>
      <c r="E63" s="4" t="s">
        <v>19</v>
      </c>
      <c r="F63" s="6">
        <v>45736</v>
      </c>
      <c r="G63" s="7">
        <v>246779414065</v>
      </c>
      <c r="H63" s="4" t="s">
        <v>20</v>
      </c>
      <c r="I63" s="8">
        <v>277.3</v>
      </c>
      <c r="J63" s="4" t="s">
        <v>21</v>
      </c>
      <c r="K63" s="8">
        <v>24039.49</v>
      </c>
      <c r="L63" s="4" t="s">
        <v>51</v>
      </c>
      <c r="M63" s="4">
        <v>23453</v>
      </c>
      <c r="N63" s="9">
        <v>586.4900000000016</v>
      </c>
      <c r="O63" s="10">
        <v>2.4396940201310491E-2</v>
      </c>
      <c r="P63" s="10"/>
      <c r="Q63" s="11">
        <v>479</v>
      </c>
      <c r="R63" s="5">
        <v>23560.49</v>
      </c>
      <c r="S63" s="4">
        <v>1400000941</v>
      </c>
      <c r="T63">
        <v>23453</v>
      </c>
    </row>
    <row r="64" spans="1:20" x14ac:dyDescent="0.3">
      <c r="A64" s="4" t="s">
        <v>17</v>
      </c>
      <c r="B64" s="4" t="s">
        <v>18</v>
      </c>
      <c r="C64" s="6">
        <v>45736</v>
      </c>
      <c r="D64" s="4">
        <v>1800004196</v>
      </c>
      <c r="E64" s="4" t="s">
        <v>19</v>
      </c>
      <c r="F64" s="6">
        <v>45736</v>
      </c>
      <c r="G64" s="7">
        <v>246779414064</v>
      </c>
      <c r="H64" s="4" t="s">
        <v>20</v>
      </c>
      <c r="I64" s="8">
        <v>353.2</v>
      </c>
      <c r="J64" s="4" t="s">
        <v>21</v>
      </c>
      <c r="K64" s="8">
        <v>30619.35</v>
      </c>
      <c r="L64" s="4" t="s">
        <v>51</v>
      </c>
      <c r="M64" s="4">
        <v>29873</v>
      </c>
      <c r="N64" s="9">
        <v>746.34999999999854</v>
      </c>
      <c r="O64" s="10">
        <v>2.4375109203820411E-2</v>
      </c>
      <c r="P64" s="10"/>
      <c r="Q64" s="11">
        <v>610</v>
      </c>
      <c r="R64" s="5">
        <v>30009.35</v>
      </c>
      <c r="S64" s="4">
        <v>1400000941</v>
      </c>
      <c r="T64">
        <v>18918</v>
      </c>
    </row>
    <row r="65" spans="1:20" x14ac:dyDescent="0.3">
      <c r="A65" s="14" t="s">
        <v>17</v>
      </c>
      <c r="B65" s="14" t="s">
        <v>18</v>
      </c>
      <c r="C65" s="15">
        <v>45736</v>
      </c>
      <c r="D65" s="14">
        <v>1800004196</v>
      </c>
      <c r="E65" s="14" t="s">
        <v>19</v>
      </c>
      <c r="F65" s="15">
        <v>45736</v>
      </c>
      <c r="G65" s="16">
        <v>246779414064</v>
      </c>
      <c r="H65" s="14" t="s">
        <v>20</v>
      </c>
      <c r="I65" s="17">
        <v>353.2</v>
      </c>
      <c r="J65" s="14" t="s">
        <v>21</v>
      </c>
      <c r="K65" s="17">
        <v>30619.35</v>
      </c>
      <c r="L65" s="14" t="s">
        <v>51</v>
      </c>
      <c r="M65" s="14">
        <v>29873</v>
      </c>
      <c r="N65" s="18">
        <v>746.34999999999854</v>
      </c>
      <c r="O65" s="19">
        <v>2.4375109203820411E-2</v>
      </c>
      <c r="P65" s="19"/>
      <c r="Q65" s="20">
        <v>610</v>
      </c>
      <c r="R65" s="20">
        <v>30009.35</v>
      </c>
      <c r="S65" s="4">
        <v>1400000955</v>
      </c>
      <c r="T65">
        <v>10955</v>
      </c>
    </row>
    <row r="66" spans="1:20" x14ac:dyDescent="0.3">
      <c r="A66" s="4" t="s">
        <v>17</v>
      </c>
      <c r="B66" s="4" t="s">
        <v>18</v>
      </c>
      <c r="C66" s="6">
        <v>45736</v>
      </c>
      <c r="D66" s="4">
        <v>1800004195</v>
      </c>
      <c r="E66" s="4" t="s">
        <v>19</v>
      </c>
      <c r="F66" s="6">
        <v>45736</v>
      </c>
      <c r="G66" s="7">
        <v>246779414063</v>
      </c>
      <c r="H66" s="4" t="s">
        <v>20</v>
      </c>
      <c r="I66" s="8">
        <v>554.6</v>
      </c>
      <c r="J66" s="4" t="s">
        <v>21</v>
      </c>
      <c r="K66" s="8">
        <v>48078.97</v>
      </c>
      <c r="L66" s="4" t="s">
        <v>51</v>
      </c>
      <c r="M66" s="4">
        <v>46907</v>
      </c>
      <c r="N66" s="9">
        <v>1171.9700000000009</v>
      </c>
      <c r="O66" s="10">
        <v>2.43759381700565E-2</v>
      </c>
      <c r="P66" s="10"/>
      <c r="Q66" s="11">
        <v>957</v>
      </c>
      <c r="R66" s="5">
        <v>47121.97</v>
      </c>
      <c r="S66" s="4">
        <v>1400000955</v>
      </c>
      <c r="T66">
        <v>46907</v>
      </c>
    </row>
    <row r="67" spans="1:20" x14ac:dyDescent="0.3">
      <c r="A67" s="4" t="s">
        <v>17</v>
      </c>
      <c r="B67" s="4" t="s">
        <v>18</v>
      </c>
      <c r="C67" s="6">
        <v>45736</v>
      </c>
      <c r="D67" s="4">
        <v>1800003941</v>
      </c>
      <c r="E67" s="4" t="s">
        <v>19</v>
      </c>
      <c r="F67" s="6">
        <v>45736</v>
      </c>
      <c r="G67" s="7">
        <v>246779413809</v>
      </c>
      <c r="H67" s="4" t="s">
        <v>20</v>
      </c>
      <c r="I67" s="8">
        <v>420</v>
      </c>
      <c r="J67" s="4" t="s">
        <v>21</v>
      </c>
      <c r="K67" s="8">
        <v>36410.33</v>
      </c>
      <c r="L67" s="4" t="s">
        <v>55</v>
      </c>
      <c r="M67" s="4">
        <v>32623</v>
      </c>
      <c r="N67" s="9">
        <v>3787.3300000000022</v>
      </c>
      <c r="O67" s="10">
        <v>0.10401800807627951</v>
      </c>
      <c r="P67" s="10"/>
      <c r="Q67" s="11">
        <v>3625</v>
      </c>
      <c r="R67" s="5">
        <v>32785.33</v>
      </c>
      <c r="S67" s="4">
        <v>1400000955</v>
      </c>
      <c r="T67">
        <v>32623</v>
      </c>
    </row>
    <row r="68" spans="1:20" x14ac:dyDescent="0.3">
      <c r="A68" s="4" t="s">
        <v>17</v>
      </c>
      <c r="B68" s="4" t="s">
        <v>18</v>
      </c>
      <c r="C68" s="6">
        <v>45736</v>
      </c>
      <c r="D68" s="4">
        <v>1800003930</v>
      </c>
      <c r="E68" s="4" t="s">
        <v>19</v>
      </c>
      <c r="F68" s="6">
        <v>45736</v>
      </c>
      <c r="G68" s="7">
        <v>246779413798</v>
      </c>
      <c r="H68" s="4" t="s">
        <v>20</v>
      </c>
      <c r="I68" s="8">
        <v>465</v>
      </c>
      <c r="J68" s="4" t="s">
        <v>21</v>
      </c>
      <c r="K68" s="8">
        <v>40311.440000000002</v>
      </c>
      <c r="L68" s="4" t="s">
        <v>56</v>
      </c>
      <c r="M68" s="4">
        <v>36118</v>
      </c>
      <c r="N68" s="9">
        <v>4193.4400000000023</v>
      </c>
      <c r="O68" s="10">
        <v>0.1040260531501728</v>
      </c>
      <c r="P68" s="10"/>
      <c r="Q68" s="11">
        <v>4013</v>
      </c>
      <c r="R68" s="5">
        <v>36298.44</v>
      </c>
      <c r="S68" s="4">
        <v>1400000955</v>
      </c>
      <c r="T68">
        <v>36118</v>
      </c>
    </row>
    <row r="69" spans="1:20" x14ac:dyDescent="0.3">
      <c r="A69" s="4" t="s">
        <v>17</v>
      </c>
      <c r="B69" s="4" t="s">
        <v>18</v>
      </c>
      <c r="C69" s="6">
        <v>45737</v>
      </c>
      <c r="D69" s="4">
        <v>1800004451</v>
      </c>
      <c r="E69" s="4" t="s">
        <v>19</v>
      </c>
      <c r="F69" s="6">
        <v>45737</v>
      </c>
      <c r="G69" s="7">
        <v>246779414319</v>
      </c>
      <c r="H69" s="4" t="s">
        <v>20</v>
      </c>
      <c r="I69" s="8">
        <v>13.25</v>
      </c>
      <c r="J69" s="4" t="s">
        <v>21</v>
      </c>
      <c r="K69" s="8">
        <v>1148.6600000000001</v>
      </c>
      <c r="L69" s="4" t="s">
        <v>57</v>
      </c>
      <c r="M69" s="4">
        <v>1119</v>
      </c>
      <c r="N69" s="9">
        <v>29.660000000000078</v>
      </c>
      <c r="O69" s="10">
        <v>2.582139188271558E-2</v>
      </c>
      <c r="P69" s="10"/>
      <c r="Q69" s="11">
        <v>23</v>
      </c>
      <c r="R69" s="5">
        <v>1125.6600000000001</v>
      </c>
      <c r="S69" s="4">
        <v>1400000955</v>
      </c>
      <c r="T69">
        <v>1119</v>
      </c>
    </row>
    <row r="70" spans="1:20" x14ac:dyDescent="0.3">
      <c r="A70" s="4" t="s">
        <v>17</v>
      </c>
      <c r="B70" s="4" t="s">
        <v>18</v>
      </c>
      <c r="C70" s="6">
        <v>45737</v>
      </c>
      <c r="D70" s="4">
        <v>1800004453</v>
      </c>
      <c r="E70" s="4" t="s">
        <v>19</v>
      </c>
      <c r="F70" s="6">
        <v>45737</v>
      </c>
      <c r="G70" s="7">
        <v>246779414321</v>
      </c>
      <c r="H70" s="4" t="s">
        <v>20</v>
      </c>
      <c r="I70" s="8">
        <v>30</v>
      </c>
      <c r="J70" s="4" t="s">
        <v>21</v>
      </c>
      <c r="K70" s="8">
        <v>2600.7399999999998</v>
      </c>
      <c r="L70" s="4" t="s">
        <v>58</v>
      </c>
      <c r="M70" s="4">
        <v>2535</v>
      </c>
      <c r="N70" s="9">
        <v>65.739999999999782</v>
      </c>
      <c r="O70" s="10">
        <v>2.527742104170343E-2</v>
      </c>
      <c r="P70" s="10"/>
      <c r="Q70" s="11">
        <v>52</v>
      </c>
      <c r="R70" s="5">
        <v>2548.7399999999998</v>
      </c>
      <c r="S70" s="4">
        <v>1400000955</v>
      </c>
      <c r="T70">
        <v>2535</v>
      </c>
    </row>
    <row r="71" spans="1:20" x14ac:dyDescent="0.3">
      <c r="A71" s="4" t="s">
        <v>17</v>
      </c>
      <c r="B71" s="4" t="s">
        <v>18</v>
      </c>
      <c r="C71" s="6">
        <v>45737</v>
      </c>
      <c r="D71" s="4">
        <v>1800004452</v>
      </c>
      <c r="E71" s="4" t="s">
        <v>19</v>
      </c>
      <c r="F71" s="6">
        <v>45737</v>
      </c>
      <c r="G71" s="7">
        <v>246779414320</v>
      </c>
      <c r="H71" s="4" t="s">
        <v>20</v>
      </c>
      <c r="I71" s="8">
        <v>38.5</v>
      </c>
      <c r="J71" s="4" t="s">
        <v>21</v>
      </c>
      <c r="K71" s="8">
        <v>3337.61</v>
      </c>
      <c r="L71" s="4" t="s">
        <v>59</v>
      </c>
      <c r="M71" s="4">
        <v>3253</v>
      </c>
      <c r="N71" s="9">
        <v>84.610000000000127</v>
      </c>
      <c r="O71" s="10">
        <v>2.535047534013864E-2</v>
      </c>
      <c r="P71" s="10"/>
      <c r="Q71" s="11">
        <v>66</v>
      </c>
      <c r="R71" s="5">
        <v>3271.61</v>
      </c>
      <c r="S71" s="4">
        <v>1400000955</v>
      </c>
      <c r="T71">
        <v>3253</v>
      </c>
    </row>
    <row r="72" spans="1:20" x14ac:dyDescent="0.3">
      <c r="A72" s="4" t="s">
        <v>17</v>
      </c>
      <c r="B72" s="4" t="s">
        <v>18</v>
      </c>
      <c r="C72" s="6">
        <v>45750</v>
      </c>
      <c r="D72" s="4">
        <v>1800005194</v>
      </c>
      <c r="E72" s="4" t="s">
        <v>19</v>
      </c>
      <c r="F72" s="6">
        <v>45750</v>
      </c>
      <c r="G72" s="7">
        <v>256779410140</v>
      </c>
      <c r="H72" s="4" t="s">
        <v>20</v>
      </c>
      <c r="I72" s="8">
        <v>1</v>
      </c>
      <c r="J72" s="4" t="s">
        <v>21</v>
      </c>
      <c r="K72" s="8">
        <v>86.92</v>
      </c>
      <c r="L72" s="4" t="s">
        <v>60</v>
      </c>
      <c r="M72" s="4">
        <v>84</v>
      </c>
      <c r="N72" s="9">
        <v>2.9200000000000021</v>
      </c>
      <c r="O72" s="10">
        <v>3.3594109526000941E-2</v>
      </c>
      <c r="P72" s="10"/>
      <c r="Q72" s="11">
        <v>2</v>
      </c>
      <c r="R72" s="5">
        <v>84.92</v>
      </c>
      <c r="S72" s="4">
        <v>1400000955</v>
      </c>
      <c r="T72">
        <v>84</v>
      </c>
    </row>
    <row r="73" spans="1:20" x14ac:dyDescent="0.3">
      <c r="A73" s="4" t="s">
        <v>17</v>
      </c>
      <c r="B73" s="4" t="s">
        <v>18</v>
      </c>
      <c r="C73" s="6">
        <v>45750</v>
      </c>
      <c r="D73" s="4">
        <v>1800005193</v>
      </c>
      <c r="E73" s="4" t="s">
        <v>19</v>
      </c>
      <c r="F73" s="6">
        <v>45750</v>
      </c>
      <c r="G73" s="7">
        <v>256779410139</v>
      </c>
      <c r="H73" s="4" t="s">
        <v>20</v>
      </c>
      <c r="I73" s="8">
        <v>3.5</v>
      </c>
      <c r="J73" s="4" t="s">
        <v>21</v>
      </c>
      <c r="K73" s="8">
        <v>304.23</v>
      </c>
      <c r="L73" s="4" t="s">
        <v>61</v>
      </c>
      <c r="M73" s="4">
        <v>294</v>
      </c>
      <c r="N73" s="9">
        <v>10.23000000000002</v>
      </c>
      <c r="O73" s="10">
        <v>3.3625875160240667E-2</v>
      </c>
      <c r="P73" s="10"/>
      <c r="Q73" s="11">
        <v>6</v>
      </c>
      <c r="R73" s="5">
        <v>298.23</v>
      </c>
      <c r="S73" s="4">
        <v>1400000955</v>
      </c>
      <c r="T73">
        <v>294</v>
      </c>
    </row>
    <row r="74" spans="1:20" x14ac:dyDescent="0.3">
      <c r="A74" s="4" t="s">
        <v>17</v>
      </c>
      <c r="B74" s="4" t="s">
        <v>18</v>
      </c>
      <c r="C74" s="6">
        <v>45750</v>
      </c>
      <c r="D74" s="4">
        <v>1800005142</v>
      </c>
      <c r="E74" s="4" t="s">
        <v>19</v>
      </c>
      <c r="F74" s="6">
        <v>45750</v>
      </c>
      <c r="G74" s="7">
        <v>256779410088</v>
      </c>
      <c r="H74" s="4" t="s">
        <v>20</v>
      </c>
      <c r="I74" s="8">
        <v>5.25</v>
      </c>
      <c r="J74" s="4" t="s">
        <v>21</v>
      </c>
      <c r="K74" s="8">
        <v>456.34</v>
      </c>
      <c r="L74" s="4" t="s">
        <v>62</v>
      </c>
      <c r="M74" s="4">
        <v>441</v>
      </c>
      <c r="N74" s="9">
        <v>15.33999999999997</v>
      </c>
      <c r="O74" s="10">
        <v>3.3615286847525912E-2</v>
      </c>
      <c r="P74" s="10"/>
      <c r="Q74" s="11">
        <v>9</v>
      </c>
      <c r="R74" s="5">
        <v>447.34</v>
      </c>
      <c r="S74" s="4">
        <v>1400000955</v>
      </c>
      <c r="T74">
        <v>441</v>
      </c>
    </row>
    <row r="75" spans="1:20" x14ac:dyDescent="0.3">
      <c r="A75" s="4" t="s">
        <v>17</v>
      </c>
      <c r="B75" s="4" t="s">
        <v>18</v>
      </c>
      <c r="C75" s="6">
        <v>45750</v>
      </c>
      <c r="D75" s="4">
        <v>1800005143</v>
      </c>
      <c r="E75" s="4" t="s">
        <v>19</v>
      </c>
      <c r="F75" s="6">
        <v>45750</v>
      </c>
      <c r="G75" s="7">
        <v>256779410089</v>
      </c>
      <c r="H75" s="4" t="s">
        <v>20</v>
      </c>
      <c r="I75" s="8">
        <v>30</v>
      </c>
      <c r="J75" s="4" t="s">
        <v>21</v>
      </c>
      <c r="K75" s="8">
        <v>2607.65</v>
      </c>
      <c r="L75" s="4" t="s">
        <v>63</v>
      </c>
      <c r="M75" s="4">
        <v>2518</v>
      </c>
      <c r="N75" s="9">
        <v>89.650000000000091</v>
      </c>
      <c r="O75" s="10">
        <v>3.4379613828542967E-2</v>
      </c>
      <c r="P75" s="10"/>
      <c r="Q75" s="11">
        <v>51</v>
      </c>
      <c r="R75" s="5">
        <v>2556.65</v>
      </c>
      <c r="S75" s="4">
        <v>1400000955</v>
      </c>
      <c r="T75">
        <v>2518</v>
      </c>
    </row>
    <row r="76" spans="1:20" x14ac:dyDescent="0.3">
      <c r="A76" s="4" t="s">
        <v>17</v>
      </c>
      <c r="B76" s="4" t="s">
        <v>18</v>
      </c>
      <c r="C76" s="6">
        <v>45751</v>
      </c>
      <c r="D76" s="4">
        <v>1800005896</v>
      </c>
      <c r="E76" s="4" t="s">
        <v>19</v>
      </c>
      <c r="F76" s="6">
        <v>45751</v>
      </c>
      <c r="G76" s="7">
        <v>256779410788</v>
      </c>
      <c r="H76" s="4" t="s">
        <v>20</v>
      </c>
      <c r="I76" s="8">
        <v>1394.64</v>
      </c>
      <c r="J76" s="4" t="s">
        <v>21</v>
      </c>
      <c r="K76" s="8">
        <v>121224.65</v>
      </c>
      <c r="L76" s="4" t="s">
        <v>64</v>
      </c>
      <c r="M76" s="4">
        <v>106977</v>
      </c>
      <c r="N76" s="9">
        <v>14247.649999999991</v>
      </c>
      <c r="O76" s="10">
        <v>0.1175309642057122</v>
      </c>
      <c r="P76" s="10"/>
      <c r="Q76" s="11">
        <v>11886</v>
      </c>
      <c r="R76" s="5">
        <v>109338.65</v>
      </c>
      <c r="S76" s="4">
        <v>1400000955</v>
      </c>
      <c r="T76">
        <v>13153</v>
      </c>
    </row>
    <row r="77" spans="1:20" x14ac:dyDescent="0.3">
      <c r="A77" s="14" t="s">
        <v>17</v>
      </c>
      <c r="B77" s="14" t="s">
        <v>18</v>
      </c>
      <c r="C77" s="15">
        <v>45751</v>
      </c>
      <c r="D77" s="14">
        <v>1800005896</v>
      </c>
      <c r="E77" s="14" t="s">
        <v>19</v>
      </c>
      <c r="F77" s="15">
        <v>45751</v>
      </c>
      <c r="G77" s="16">
        <v>256779410788</v>
      </c>
      <c r="H77" s="14" t="s">
        <v>20</v>
      </c>
      <c r="I77" s="17">
        <v>1394.64</v>
      </c>
      <c r="J77" s="14" t="s">
        <v>21</v>
      </c>
      <c r="K77" s="17">
        <v>121224.65</v>
      </c>
      <c r="L77" s="14" t="s">
        <v>64</v>
      </c>
      <c r="M77" s="14">
        <v>106977</v>
      </c>
      <c r="N77" s="18">
        <v>14247.649999999991</v>
      </c>
      <c r="O77" s="19">
        <v>0.1175309642057122</v>
      </c>
      <c r="P77" s="19"/>
      <c r="Q77" s="20">
        <v>11886</v>
      </c>
      <c r="R77" s="20">
        <v>109338.65</v>
      </c>
      <c r="S77" s="4">
        <v>1400000966</v>
      </c>
      <c r="T77">
        <v>93824</v>
      </c>
    </row>
    <row r="78" spans="1:20" x14ac:dyDescent="0.3">
      <c r="A78" s="4" t="s">
        <v>17</v>
      </c>
      <c r="B78" s="4" t="s">
        <v>18</v>
      </c>
      <c r="C78" s="6">
        <v>45751</v>
      </c>
      <c r="D78" s="4">
        <v>1800005913</v>
      </c>
      <c r="E78" s="4" t="s">
        <v>19</v>
      </c>
      <c r="F78" s="6">
        <v>45751</v>
      </c>
      <c r="G78" s="7">
        <v>256779410804</v>
      </c>
      <c r="H78" s="4" t="s">
        <v>20</v>
      </c>
      <c r="I78" s="8">
        <v>2592.75</v>
      </c>
      <c r="J78" s="4" t="s">
        <v>21</v>
      </c>
      <c r="K78" s="8">
        <v>225366.55</v>
      </c>
      <c r="L78" s="4" t="s">
        <v>65</v>
      </c>
      <c r="M78" s="4">
        <v>198877</v>
      </c>
      <c r="N78" s="9">
        <v>26489.549999999988</v>
      </c>
      <c r="O78" s="10">
        <v>0.11753984786118429</v>
      </c>
      <c r="P78" s="10"/>
      <c r="Q78" s="11">
        <v>22098</v>
      </c>
      <c r="R78" s="5">
        <v>203268.55</v>
      </c>
      <c r="S78" s="4">
        <v>1400000966</v>
      </c>
      <c r="T78">
        <v>56176</v>
      </c>
    </row>
    <row r="79" spans="1:20" x14ac:dyDescent="0.3">
      <c r="A79" s="14" t="s">
        <v>17</v>
      </c>
      <c r="B79" s="14" t="s">
        <v>18</v>
      </c>
      <c r="C79" s="15">
        <v>45751</v>
      </c>
      <c r="D79" s="14">
        <v>1800005913</v>
      </c>
      <c r="E79" s="14" t="s">
        <v>19</v>
      </c>
      <c r="F79" s="15">
        <v>45751</v>
      </c>
      <c r="G79" s="16">
        <v>256779410804</v>
      </c>
      <c r="H79" s="14" t="s">
        <v>20</v>
      </c>
      <c r="I79" s="17">
        <v>2592.75</v>
      </c>
      <c r="J79" s="14" t="s">
        <v>21</v>
      </c>
      <c r="K79" s="17">
        <v>225366.55</v>
      </c>
      <c r="L79" s="14" t="s">
        <v>65</v>
      </c>
      <c r="M79" s="14">
        <v>198877</v>
      </c>
      <c r="N79" s="18">
        <v>26489.549999999988</v>
      </c>
      <c r="O79" s="19">
        <v>0.11753984786118429</v>
      </c>
      <c r="P79" s="19"/>
      <c r="Q79" s="20">
        <v>22098</v>
      </c>
      <c r="R79" s="20">
        <v>203268.55</v>
      </c>
      <c r="S79" s="4">
        <v>1400001257</v>
      </c>
      <c r="T79">
        <v>100000</v>
      </c>
    </row>
    <row r="80" spans="1:20" x14ac:dyDescent="0.3">
      <c r="A80" s="14" t="s">
        <v>17</v>
      </c>
      <c r="B80" s="14" t="s">
        <v>18</v>
      </c>
      <c r="C80" s="15">
        <v>45751</v>
      </c>
      <c r="D80" s="14">
        <v>1800005913</v>
      </c>
      <c r="E80" s="14" t="s">
        <v>19</v>
      </c>
      <c r="F80" s="15">
        <v>45751</v>
      </c>
      <c r="G80" s="16">
        <v>256779410804</v>
      </c>
      <c r="H80" s="14" t="s">
        <v>20</v>
      </c>
      <c r="I80" s="17">
        <v>2592.75</v>
      </c>
      <c r="J80" s="14" t="s">
        <v>21</v>
      </c>
      <c r="K80" s="17">
        <v>225366.55</v>
      </c>
      <c r="L80" s="14" t="s">
        <v>65</v>
      </c>
      <c r="M80" s="14">
        <v>198877</v>
      </c>
      <c r="N80" s="18">
        <v>26489.549999999988</v>
      </c>
      <c r="O80" s="19">
        <v>0.11753984786118429</v>
      </c>
      <c r="P80" s="19"/>
      <c r="Q80" s="20">
        <v>22098</v>
      </c>
      <c r="R80" s="20">
        <v>203268.55</v>
      </c>
      <c r="S80" s="4">
        <v>1400001259</v>
      </c>
      <c r="T80">
        <v>42701</v>
      </c>
    </row>
    <row r="81" spans="1:20" x14ac:dyDescent="0.3">
      <c r="A81" s="4" t="s">
        <v>17</v>
      </c>
      <c r="B81" s="4" t="s">
        <v>18</v>
      </c>
      <c r="C81" s="6">
        <v>45762</v>
      </c>
      <c r="D81" s="4">
        <v>1800006278</v>
      </c>
      <c r="E81" s="4" t="s">
        <v>19</v>
      </c>
      <c r="F81" s="6">
        <v>45762</v>
      </c>
      <c r="G81" s="7">
        <v>256779411169</v>
      </c>
      <c r="H81" s="4" t="s">
        <v>20</v>
      </c>
      <c r="I81" s="8">
        <v>50</v>
      </c>
      <c r="J81" s="4" t="s">
        <v>21</v>
      </c>
      <c r="K81" s="8">
        <v>4346.09</v>
      </c>
      <c r="L81" s="4" t="s">
        <v>66</v>
      </c>
      <c r="M81" s="4">
        <v>4199</v>
      </c>
      <c r="N81" s="9">
        <v>147.09000000000009</v>
      </c>
      <c r="O81" s="10">
        <v>3.3844213994648098E-2</v>
      </c>
      <c r="P81" s="10"/>
      <c r="Q81" s="11">
        <v>86</v>
      </c>
      <c r="R81" s="5">
        <v>4260.09</v>
      </c>
      <c r="S81" s="4">
        <v>1400001259</v>
      </c>
      <c r="T81">
        <v>4199</v>
      </c>
    </row>
    <row r="82" spans="1:20" x14ac:dyDescent="0.3">
      <c r="A82" s="4" t="s">
        <v>17</v>
      </c>
      <c r="B82" s="4" t="s">
        <v>18</v>
      </c>
      <c r="C82" s="6">
        <v>45762</v>
      </c>
      <c r="D82" s="4">
        <v>1800006277</v>
      </c>
      <c r="E82" s="4" t="s">
        <v>19</v>
      </c>
      <c r="F82" s="6">
        <v>45762</v>
      </c>
      <c r="G82" s="7">
        <v>256779411168</v>
      </c>
      <c r="H82" s="4" t="s">
        <v>20</v>
      </c>
      <c r="I82" s="8">
        <v>60.51</v>
      </c>
      <c r="J82" s="4" t="s">
        <v>21</v>
      </c>
      <c r="K82" s="8">
        <v>5259.64</v>
      </c>
      <c r="L82" s="4" t="s">
        <v>66</v>
      </c>
      <c r="M82" s="4">
        <v>5081</v>
      </c>
      <c r="N82" s="9">
        <v>178.6400000000003</v>
      </c>
      <c r="O82" s="10">
        <v>3.3964301739282603E-2</v>
      </c>
      <c r="P82" s="10"/>
      <c r="Q82" s="11">
        <v>104</v>
      </c>
      <c r="R82" s="5">
        <v>5155.6400000000003</v>
      </c>
      <c r="S82" s="4">
        <v>1400001259</v>
      </c>
      <c r="T82">
        <v>5081</v>
      </c>
    </row>
    <row r="83" spans="1:20" x14ac:dyDescent="0.3">
      <c r="A83" s="4" t="s">
        <v>17</v>
      </c>
      <c r="B83" s="4" t="s">
        <v>18</v>
      </c>
      <c r="C83" s="6">
        <v>45762</v>
      </c>
      <c r="D83" s="4">
        <v>1800006276</v>
      </c>
      <c r="E83" s="4" t="s">
        <v>19</v>
      </c>
      <c r="F83" s="6">
        <v>45762</v>
      </c>
      <c r="G83" s="7">
        <v>256779411167</v>
      </c>
      <c r="H83" s="4" t="s">
        <v>20</v>
      </c>
      <c r="I83" s="8">
        <v>68.819999999999993</v>
      </c>
      <c r="J83" s="4" t="s">
        <v>21</v>
      </c>
      <c r="K83" s="8">
        <v>5981.96</v>
      </c>
      <c r="L83" s="4" t="s">
        <v>66</v>
      </c>
      <c r="M83" s="4">
        <v>5779</v>
      </c>
      <c r="N83" s="9">
        <v>202.96</v>
      </c>
      <c r="O83" s="10">
        <v>3.392867889454293E-2</v>
      </c>
      <c r="P83" s="10"/>
      <c r="Q83" s="11">
        <v>118</v>
      </c>
      <c r="R83" s="5">
        <v>5863.96</v>
      </c>
      <c r="S83" s="4">
        <v>1400001259</v>
      </c>
      <c r="T83">
        <v>5779</v>
      </c>
    </row>
    <row r="84" spans="1:20" x14ac:dyDescent="0.3">
      <c r="A84" s="4" t="s">
        <v>17</v>
      </c>
      <c r="B84" s="4" t="s">
        <v>18</v>
      </c>
      <c r="C84" s="6">
        <v>45762</v>
      </c>
      <c r="D84" s="4">
        <v>1800006279</v>
      </c>
      <c r="E84" s="4" t="s">
        <v>19</v>
      </c>
      <c r="F84" s="6">
        <v>45762</v>
      </c>
      <c r="G84" s="7">
        <v>256779411170</v>
      </c>
      <c r="H84" s="4" t="s">
        <v>20</v>
      </c>
      <c r="I84" s="8">
        <v>120</v>
      </c>
      <c r="J84" s="4" t="s">
        <v>21</v>
      </c>
      <c r="K84" s="8">
        <v>10430.620000000001</v>
      </c>
      <c r="L84" s="4" t="s">
        <v>67</v>
      </c>
      <c r="M84" s="4">
        <v>10077</v>
      </c>
      <c r="N84" s="9">
        <v>353.6200000000008</v>
      </c>
      <c r="O84" s="10">
        <v>3.3902107449029953E-2</v>
      </c>
      <c r="P84" s="10"/>
      <c r="Q84" s="11">
        <v>206</v>
      </c>
      <c r="R84" s="5">
        <v>10224.620000000001</v>
      </c>
      <c r="S84" s="4">
        <v>1400001259</v>
      </c>
      <c r="T84">
        <v>10077</v>
      </c>
    </row>
    <row r="85" spans="1:20" x14ac:dyDescent="0.3">
      <c r="A85" s="4" t="s">
        <v>17</v>
      </c>
      <c r="B85" s="4" t="s">
        <v>18</v>
      </c>
      <c r="C85" s="6">
        <v>45763</v>
      </c>
      <c r="D85" s="4">
        <v>1800006923</v>
      </c>
      <c r="E85" s="4" t="s">
        <v>19</v>
      </c>
      <c r="F85" s="6">
        <v>45763</v>
      </c>
      <c r="G85" s="7">
        <v>256779411814</v>
      </c>
      <c r="H85" s="4" t="s">
        <v>20</v>
      </c>
      <c r="I85" s="8">
        <v>1</v>
      </c>
      <c r="J85" s="4" t="s">
        <v>21</v>
      </c>
      <c r="K85" s="8">
        <v>86.92</v>
      </c>
      <c r="L85" s="4" t="s">
        <v>68</v>
      </c>
      <c r="M85" s="4">
        <v>84</v>
      </c>
      <c r="N85" s="9">
        <v>2.9200000000000021</v>
      </c>
      <c r="O85" s="10">
        <v>3.3594109526000941E-2</v>
      </c>
      <c r="P85" s="10"/>
      <c r="Q85" s="11">
        <v>2</v>
      </c>
      <c r="R85" s="5">
        <v>84.92</v>
      </c>
      <c r="S85" s="4">
        <v>1400001259</v>
      </c>
      <c r="T85">
        <v>84</v>
      </c>
    </row>
    <row r="86" spans="1:20" x14ac:dyDescent="0.3">
      <c r="A86" s="4" t="s">
        <v>17</v>
      </c>
      <c r="B86" s="4" t="s">
        <v>18</v>
      </c>
      <c r="C86" s="6">
        <v>45763</v>
      </c>
      <c r="D86" s="4">
        <v>1800007004</v>
      </c>
      <c r="E86" s="4" t="s">
        <v>19</v>
      </c>
      <c r="F86" s="6">
        <v>45763</v>
      </c>
      <c r="G86" s="7">
        <v>256779411895</v>
      </c>
      <c r="H86" s="4" t="s">
        <v>20</v>
      </c>
      <c r="I86" s="8">
        <v>1</v>
      </c>
      <c r="J86" s="4" t="s">
        <v>21</v>
      </c>
      <c r="K86" s="8">
        <v>86.92</v>
      </c>
      <c r="L86" s="4" t="s">
        <v>69</v>
      </c>
      <c r="M86" s="4">
        <v>84</v>
      </c>
      <c r="N86" s="9">
        <v>2.9200000000000021</v>
      </c>
      <c r="O86" s="10">
        <v>3.3594109526000941E-2</v>
      </c>
      <c r="P86" s="10"/>
      <c r="Q86" s="11">
        <v>2</v>
      </c>
      <c r="R86" s="5">
        <v>84.92</v>
      </c>
      <c r="S86" s="4">
        <v>1400001259</v>
      </c>
      <c r="T86">
        <v>84</v>
      </c>
    </row>
    <row r="87" spans="1:20" x14ac:dyDescent="0.3">
      <c r="A87" s="4" t="s">
        <v>17</v>
      </c>
      <c r="B87" s="4" t="s">
        <v>18</v>
      </c>
      <c r="C87" s="6">
        <v>45763</v>
      </c>
      <c r="D87" s="4">
        <v>1800006922</v>
      </c>
      <c r="E87" s="4" t="s">
        <v>19</v>
      </c>
      <c r="F87" s="6">
        <v>45763</v>
      </c>
      <c r="G87" s="7">
        <v>256779411813</v>
      </c>
      <c r="H87" s="4" t="s">
        <v>20</v>
      </c>
      <c r="I87" s="8">
        <v>1.75</v>
      </c>
      <c r="J87" s="4" t="s">
        <v>21</v>
      </c>
      <c r="K87" s="8">
        <v>152.11000000000001</v>
      </c>
      <c r="L87" s="4" t="s">
        <v>70</v>
      </c>
      <c r="M87" s="4">
        <v>147</v>
      </c>
      <c r="N87" s="9">
        <v>5.1100000000000136</v>
      </c>
      <c r="O87" s="10">
        <v>3.3594109526000997E-2</v>
      </c>
      <c r="P87" s="10"/>
      <c r="Q87" s="11">
        <v>3</v>
      </c>
      <c r="R87" s="5">
        <v>149.11000000000001</v>
      </c>
      <c r="S87" s="4">
        <v>1400001259</v>
      </c>
      <c r="T87">
        <v>147</v>
      </c>
    </row>
    <row r="88" spans="1:20" x14ac:dyDescent="0.3">
      <c r="A88" s="4" t="s">
        <v>17</v>
      </c>
      <c r="B88" s="4" t="s">
        <v>18</v>
      </c>
      <c r="C88" s="6">
        <v>45763</v>
      </c>
      <c r="D88" s="4">
        <v>1800007003</v>
      </c>
      <c r="E88" s="4" t="s">
        <v>19</v>
      </c>
      <c r="F88" s="6">
        <v>45763</v>
      </c>
      <c r="G88" s="7">
        <v>256779411894</v>
      </c>
      <c r="H88" s="4" t="s">
        <v>20</v>
      </c>
      <c r="I88" s="8">
        <v>7.07</v>
      </c>
      <c r="J88" s="4" t="s">
        <v>21</v>
      </c>
      <c r="K88" s="8">
        <v>614.54</v>
      </c>
      <c r="L88" s="4" t="s">
        <v>71</v>
      </c>
      <c r="M88" s="4">
        <v>594</v>
      </c>
      <c r="N88" s="9">
        <v>20.53999999999996</v>
      </c>
      <c r="O88" s="10">
        <v>3.3423373580238822E-2</v>
      </c>
      <c r="P88" s="10"/>
      <c r="Q88" s="11">
        <v>12</v>
      </c>
      <c r="R88" s="5">
        <v>602.54</v>
      </c>
      <c r="S88" s="4">
        <v>1400001259</v>
      </c>
      <c r="T88">
        <v>594</v>
      </c>
    </row>
    <row r="89" spans="1:20" x14ac:dyDescent="0.3">
      <c r="A89" s="4" t="s">
        <v>17</v>
      </c>
      <c r="B89" s="4" t="s">
        <v>18</v>
      </c>
      <c r="C89" s="6">
        <v>45763</v>
      </c>
      <c r="D89" s="4">
        <v>1800007214</v>
      </c>
      <c r="E89" s="4" t="s">
        <v>19</v>
      </c>
      <c r="F89" s="6">
        <v>45763</v>
      </c>
      <c r="G89" s="7">
        <v>256779412105</v>
      </c>
      <c r="H89" s="4" t="s">
        <v>20</v>
      </c>
      <c r="I89" s="8">
        <v>12.85</v>
      </c>
      <c r="J89" s="4" t="s">
        <v>21</v>
      </c>
      <c r="K89" s="8">
        <v>1116.95</v>
      </c>
      <c r="L89" s="4" t="s">
        <v>72</v>
      </c>
      <c r="M89" s="4">
        <v>1078</v>
      </c>
      <c r="N89" s="9">
        <v>38.950000000000053</v>
      </c>
      <c r="O89" s="10">
        <v>3.4871748959219337E-2</v>
      </c>
      <c r="P89" s="10"/>
      <c r="Q89" s="11">
        <v>22</v>
      </c>
      <c r="R89" s="5">
        <v>1094.95</v>
      </c>
      <c r="S89" s="4">
        <v>1400001259</v>
      </c>
      <c r="T89">
        <v>1078</v>
      </c>
    </row>
    <row r="90" spans="1:20" x14ac:dyDescent="0.3">
      <c r="A90" s="4" t="s">
        <v>17</v>
      </c>
      <c r="B90" s="4" t="s">
        <v>18</v>
      </c>
      <c r="C90" s="6">
        <v>45763</v>
      </c>
      <c r="D90" s="4">
        <v>1800006924</v>
      </c>
      <c r="E90" s="4" t="s">
        <v>19</v>
      </c>
      <c r="F90" s="6">
        <v>45763</v>
      </c>
      <c r="G90" s="7">
        <v>256779411815</v>
      </c>
      <c r="H90" s="4" t="s">
        <v>20</v>
      </c>
      <c r="I90" s="8">
        <v>15</v>
      </c>
      <c r="J90" s="4" t="s">
        <v>21</v>
      </c>
      <c r="K90" s="8">
        <v>1303.83</v>
      </c>
      <c r="L90" s="4" t="s">
        <v>73</v>
      </c>
      <c r="M90" s="4">
        <v>1259</v>
      </c>
      <c r="N90" s="9">
        <v>44.829999999999927</v>
      </c>
      <c r="O90" s="10">
        <v>3.4383316843453457E-2</v>
      </c>
      <c r="P90" s="10"/>
      <c r="Q90" s="11">
        <v>26</v>
      </c>
      <c r="R90" s="5">
        <v>1277.83</v>
      </c>
      <c r="S90" s="4">
        <v>1400001259</v>
      </c>
      <c r="T90">
        <v>1259</v>
      </c>
    </row>
    <row r="91" spans="1:20" x14ac:dyDescent="0.3">
      <c r="A91" s="4" t="s">
        <v>17</v>
      </c>
      <c r="B91" s="4" t="s">
        <v>18</v>
      </c>
      <c r="C91" s="6">
        <v>45763</v>
      </c>
      <c r="D91" s="4">
        <v>1800007133</v>
      </c>
      <c r="E91" s="4" t="s">
        <v>19</v>
      </c>
      <c r="F91" s="6">
        <v>45763</v>
      </c>
      <c r="G91" s="7">
        <v>256779412024</v>
      </c>
      <c r="H91" s="4" t="s">
        <v>20</v>
      </c>
      <c r="I91" s="8">
        <v>489.55</v>
      </c>
      <c r="J91" s="4" t="s">
        <v>21</v>
      </c>
      <c r="K91" s="8">
        <v>42552.58</v>
      </c>
      <c r="L91" s="4" t="s">
        <v>74</v>
      </c>
      <c r="M91" s="4">
        <v>41567</v>
      </c>
      <c r="N91" s="9">
        <v>985.58000000000175</v>
      </c>
      <c r="O91" s="10">
        <v>2.316146283022091E-2</v>
      </c>
      <c r="P91" s="10"/>
      <c r="Q91" s="11">
        <v>848</v>
      </c>
      <c r="R91" s="5">
        <v>41704.58</v>
      </c>
      <c r="S91" s="4">
        <v>1400001259</v>
      </c>
      <c r="T91">
        <v>28917</v>
      </c>
    </row>
    <row r="92" spans="1:20" x14ac:dyDescent="0.3">
      <c r="A92" s="14" t="s">
        <v>17</v>
      </c>
      <c r="B92" s="14" t="s">
        <v>18</v>
      </c>
      <c r="C92" s="15">
        <v>45763</v>
      </c>
      <c r="D92" s="14">
        <v>1800007133</v>
      </c>
      <c r="E92" s="14" t="s">
        <v>19</v>
      </c>
      <c r="F92" s="15">
        <v>45763</v>
      </c>
      <c r="G92" s="16">
        <v>256779412024</v>
      </c>
      <c r="H92" s="14" t="s">
        <v>20</v>
      </c>
      <c r="I92" s="17">
        <v>489.55</v>
      </c>
      <c r="J92" s="14" t="s">
        <v>21</v>
      </c>
      <c r="K92" s="17">
        <v>42552.58</v>
      </c>
      <c r="L92" s="14" t="s">
        <v>74</v>
      </c>
      <c r="M92" s="14">
        <v>41567</v>
      </c>
      <c r="N92" s="18">
        <v>985.58000000000175</v>
      </c>
      <c r="O92" s="19">
        <v>2.316146283022091E-2</v>
      </c>
      <c r="P92" s="19"/>
      <c r="Q92" s="20">
        <v>848</v>
      </c>
      <c r="R92" s="20">
        <v>41704.58</v>
      </c>
      <c r="S92" s="4">
        <v>1400001341</v>
      </c>
      <c r="T92">
        <v>12650</v>
      </c>
    </row>
    <row r="93" spans="1:20" x14ac:dyDescent="0.3">
      <c r="A93" s="4" t="s">
        <v>17</v>
      </c>
      <c r="B93" s="4" t="s">
        <v>18</v>
      </c>
      <c r="C93" s="6">
        <v>45763</v>
      </c>
      <c r="D93" s="4">
        <v>1800006833</v>
      </c>
      <c r="E93" s="4" t="s">
        <v>19</v>
      </c>
      <c r="F93" s="6">
        <v>45763</v>
      </c>
      <c r="G93" s="7">
        <v>256779411724</v>
      </c>
      <c r="H93" s="4" t="s">
        <v>20</v>
      </c>
      <c r="I93" s="8">
        <v>620</v>
      </c>
      <c r="J93" s="4" t="s">
        <v>21</v>
      </c>
      <c r="K93" s="8">
        <v>53891.53</v>
      </c>
      <c r="L93" s="4" t="s">
        <v>75</v>
      </c>
      <c r="M93" s="4">
        <v>52814</v>
      </c>
      <c r="N93" s="9">
        <v>1077.5299999999991</v>
      </c>
      <c r="O93" s="10">
        <v>1.999442212904326E-2</v>
      </c>
      <c r="P93" s="10"/>
      <c r="Q93" s="11">
        <v>1078</v>
      </c>
      <c r="R93" s="5">
        <v>52813.53</v>
      </c>
      <c r="S93" s="4">
        <v>1400001341</v>
      </c>
      <c r="T93">
        <v>52814</v>
      </c>
    </row>
    <row r="94" spans="1:20" x14ac:dyDescent="0.3">
      <c r="A94" s="4" t="s">
        <v>17</v>
      </c>
      <c r="B94" s="4" t="s">
        <v>18</v>
      </c>
      <c r="C94" s="6">
        <v>45763</v>
      </c>
      <c r="D94" s="4">
        <v>1800007220</v>
      </c>
      <c r="E94" s="4" t="s">
        <v>19</v>
      </c>
      <c r="F94" s="6">
        <v>45763</v>
      </c>
      <c r="G94" s="7">
        <v>256779412111</v>
      </c>
      <c r="H94" s="4" t="s">
        <v>20</v>
      </c>
      <c r="I94" s="8">
        <v>1082.6400000000001</v>
      </c>
      <c r="J94" s="4" t="s">
        <v>21</v>
      </c>
      <c r="K94" s="8">
        <v>94105.04</v>
      </c>
      <c r="L94" s="4" t="s">
        <v>76</v>
      </c>
      <c r="M94" s="4">
        <v>83452</v>
      </c>
      <c r="N94" s="9">
        <v>10653.03999999999</v>
      </c>
      <c r="O94" s="10">
        <v>0.11320371363744169</v>
      </c>
      <c r="P94" s="10"/>
      <c r="Q94" s="11">
        <v>9272</v>
      </c>
      <c r="R94" s="5">
        <v>84833.04</v>
      </c>
      <c r="S94" s="4">
        <v>1400001341</v>
      </c>
      <c r="T94">
        <v>83452</v>
      </c>
    </row>
    <row r="95" spans="1:20" x14ac:dyDescent="0.3">
      <c r="A95" s="4" t="s">
        <v>17</v>
      </c>
      <c r="B95" s="4" t="s">
        <v>18</v>
      </c>
      <c r="C95" s="6">
        <v>45768</v>
      </c>
      <c r="D95" s="4">
        <v>1800007269</v>
      </c>
      <c r="E95" s="4" t="s">
        <v>19</v>
      </c>
      <c r="F95" s="6">
        <v>45768</v>
      </c>
      <c r="G95" s="7">
        <v>256779412160</v>
      </c>
      <c r="H95" s="4" t="s">
        <v>20</v>
      </c>
      <c r="I95" s="8">
        <v>188.79</v>
      </c>
      <c r="J95" s="4" t="s">
        <v>21</v>
      </c>
      <c r="K95" s="8">
        <v>16200.07</v>
      </c>
      <c r="L95" s="4" t="s">
        <v>77</v>
      </c>
      <c r="M95" s="4">
        <v>14552</v>
      </c>
      <c r="N95" s="9">
        <v>1648.07</v>
      </c>
      <c r="O95" s="10">
        <v>0.101732276465472</v>
      </c>
      <c r="P95" s="10"/>
      <c r="Q95" s="11">
        <v>1617</v>
      </c>
      <c r="R95" s="5">
        <v>14583.07</v>
      </c>
      <c r="S95" s="4">
        <v>1400001341</v>
      </c>
      <c r="T95">
        <v>14552</v>
      </c>
    </row>
    <row r="96" spans="1:20" x14ac:dyDescent="0.3">
      <c r="A96" s="4" t="s">
        <v>17</v>
      </c>
      <c r="B96" s="4" t="s">
        <v>18</v>
      </c>
      <c r="C96" s="6">
        <v>45769</v>
      </c>
      <c r="D96" s="4">
        <v>1800007770</v>
      </c>
      <c r="E96" s="4" t="s">
        <v>19</v>
      </c>
      <c r="F96" s="6">
        <v>45769</v>
      </c>
      <c r="G96" s="7">
        <v>256779412661</v>
      </c>
      <c r="H96" s="4" t="s">
        <v>20</v>
      </c>
      <c r="I96" s="8">
        <v>6.05</v>
      </c>
      <c r="J96" s="4" t="s">
        <v>21</v>
      </c>
      <c r="K96" s="8">
        <v>525.88</v>
      </c>
      <c r="L96" s="4" t="s">
        <v>78</v>
      </c>
      <c r="M96" s="4">
        <v>515</v>
      </c>
      <c r="N96" s="9">
        <v>10.88</v>
      </c>
      <c r="O96" s="10">
        <v>2.0689130600136909E-2</v>
      </c>
      <c r="P96" s="10"/>
      <c r="Q96" s="11">
        <v>11</v>
      </c>
      <c r="R96" s="5">
        <v>514.88</v>
      </c>
      <c r="S96" s="4">
        <v>1400001341</v>
      </c>
      <c r="T96">
        <v>515</v>
      </c>
    </row>
    <row r="97" spans="1:20" x14ac:dyDescent="0.3">
      <c r="A97" s="4" t="s">
        <v>17</v>
      </c>
      <c r="B97" s="4" t="s">
        <v>18</v>
      </c>
      <c r="C97" s="6">
        <v>45769</v>
      </c>
      <c r="D97" s="4">
        <v>1800007676</v>
      </c>
      <c r="E97" s="4" t="s">
        <v>19</v>
      </c>
      <c r="F97" s="6">
        <v>45769</v>
      </c>
      <c r="G97" s="7">
        <v>256779412567</v>
      </c>
      <c r="H97" s="4" t="s">
        <v>20</v>
      </c>
      <c r="I97" s="8">
        <v>17.75</v>
      </c>
      <c r="J97" s="4" t="s">
        <v>21</v>
      </c>
      <c r="K97" s="8">
        <v>1542.86</v>
      </c>
      <c r="L97" s="4" t="s">
        <v>79</v>
      </c>
      <c r="M97" s="4">
        <v>1512</v>
      </c>
      <c r="N97" s="9">
        <v>30.8599999999999</v>
      </c>
      <c r="O97" s="10">
        <v>2.0001814811453991E-2</v>
      </c>
      <c r="P97" s="10"/>
      <c r="Q97" s="11">
        <v>31</v>
      </c>
      <c r="R97" s="5">
        <v>1511.86</v>
      </c>
      <c r="S97" s="4">
        <v>1400001341</v>
      </c>
      <c r="T97">
        <v>1512</v>
      </c>
    </row>
    <row r="98" spans="1:20" x14ac:dyDescent="0.3">
      <c r="A98" s="4" t="s">
        <v>17</v>
      </c>
      <c r="B98" s="4" t="s">
        <v>18</v>
      </c>
      <c r="C98" s="6">
        <v>45769</v>
      </c>
      <c r="D98" s="4">
        <v>1800007727</v>
      </c>
      <c r="E98" s="4" t="s">
        <v>19</v>
      </c>
      <c r="F98" s="6">
        <v>45769</v>
      </c>
      <c r="G98" s="7">
        <v>256779412618</v>
      </c>
      <c r="H98" s="4" t="s">
        <v>20</v>
      </c>
      <c r="I98" s="8">
        <v>43.02</v>
      </c>
      <c r="J98" s="4" t="s">
        <v>21</v>
      </c>
      <c r="K98" s="8">
        <v>3739.38</v>
      </c>
      <c r="L98" s="4" t="s">
        <v>80</v>
      </c>
      <c r="M98" s="4">
        <v>3664</v>
      </c>
      <c r="N98" s="9">
        <v>75.380000000000109</v>
      </c>
      <c r="O98" s="10">
        <v>2.015842198439316E-2</v>
      </c>
      <c r="P98" s="10"/>
      <c r="Q98" s="11">
        <v>75</v>
      </c>
      <c r="R98" s="5">
        <v>3664.38</v>
      </c>
      <c r="S98" s="4">
        <v>1400001341</v>
      </c>
      <c r="T98">
        <v>3664</v>
      </c>
    </row>
    <row r="99" spans="1:20" x14ac:dyDescent="0.3">
      <c r="A99" s="4" t="s">
        <v>17</v>
      </c>
      <c r="B99" s="4" t="s">
        <v>18</v>
      </c>
      <c r="C99" s="6">
        <v>45770</v>
      </c>
      <c r="D99" s="4">
        <v>1800008001</v>
      </c>
      <c r="E99" s="4" t="s">
        <v>19</v>
      </c>
      <c r="F99" s="6">
        <v>45770</v>
      </c>
      <c r="G99" s="7">
        <v>256779412892</v>
      </c>
      <c r="H99" s="4" t="s">
        <v>20</v>
      </c>
      <c r="I99" s="8">
        <v>189.2</v>
      </c>
      <c r="J99" s="4" t="s">
        <v>21</v>
      </c>
      <c r="K99" s="8">
        <v>16445.61</v>
      </c>
      <c r="L99" s="4" t="s">
        <v>81</v>
      </c>
      <c r="M99" s="4">
        <v>16117</v>
      </c>
      <c r="N99" s="9">
        <v>328.61000000000058</v>
      </c>
      <c r="O99" s="10">
        <v>1.998162427541457E-2</v>
      </c>
      <c r="P99" s="10"/>
      <c r="Q99" s="11">
        <v>329</v>
      </c>
      <c r="R99" s="5">
        <v>16116.61</v>
      </c>
      <c r="S99" s="4">
        <v>1400001341</v>
      </c>
      <c r="T99">
        <v>16117</v>
      </c>
    </row>
    <row r="100" spans="1:20" x14ac:dyDescent="0.3">
      <c r="A100" s="4" t="s">
        <v>17</v>
      </c>
      <c r="B100" s="4" t="s">
        <v>18</v>
      </c>
      <c r="C100" s="6">
        <v>45771</v>
      </c>
      <c r="D100" s="4">
        <v>1800007888</v>
      </c>
      <c r="E100" s="4" t="s">
        <v>19</v>
      </c>
      <c r="F100" s="6">
        <v>45771</v>
      </c>
      <c r="G100" s="7">
        <v>256779412779</v>
      </c>
      <c r="H100" s="4" t="s">
        <v>20</v>
      </c>
      <c r="I100" s="8">
        <v>1820.14</v>
      </c>
      <c r="J100" s="4" t="s">
        <v>21</v>
      </c>
      <c r="K100" s="8">
        <v>158209.88</v>
      </c>
      <c r="L100" s="4" t="s">
        <v>82</v>
      </c>
      <c r="M100" s="4">
        <v>140371</v>
      </c>
      <c r="N100" s="9">
        <v>17838.88</v>
      </c>
      <c r="O100" s="10">
        <v>0.1127545258235453</v>
      </c>
      <c r="P100" s="10"/>
      <c r="Q100" s="11">
        <v>15597</v>
      </c>
      <c r="R100" s="5">
        <v>142612.88</v>
      </c>
      <c r="S100" s="4">
        <v>1400001341</v>
      </c>
      <c r="T100">
        <v>140371</v>
      </c>
    </row>
    <row r="101" spans="1:20" x14ac:dyDescent="0.3">
      <c r="A101" s="4" t="s">
        <v>17</v>
      </c>
      <c r="B101" s="4" t="s">
        <v>18</v>
      </c>
      <c r="C101" s="6">
        <v>45787</v>
      </c>
      <c r="D101" s="4">
        <v>1800008362</v>
      </c>
      <c r="E101" s="4" t="s">
        <v>19</v>
      </c>
      <c r="F101" s="6">
        <v>45787</v>
      </c>
      <c r="G101" s="7">
        <v>256779413245</v>
      </c>
      <c r="H101" s="4" t="s">
        <v>20</v>
      </c>
      <c r="I101" s="8">
        <v>396.79</v>
      </c>
      <c r="J101" s="4" t="s">
        <v>21</v>
      </c>
      <c r="K101" s="8">
        <v>34117.47</v>
      </c>
      <c r="L101" s="4" t="s">
        <v>83</v>
      </c>
      <c r="M101" s="4">
        <v>33169</v>
      </c>
      <c r="N101" s="9">
        <v>948.47000000000116</v>
      </c>
      <c r="O101" s="10">
        <v>2.780012703169377E-2</v>
      </c>
      <c r="P101" s="10"/>
      <c r="Q101" s="11">
        <v>677</v>
      </c>
      <c r="R101" s="5">
        <v>33440.47</v>
      </c>
      <c r="S101" s="4">
        <v>1400001341</v>
      </c>
      <c r="T101">
        <v>33169</v>
      </c>
    </row>
    <row r="102" spans="1:20" x14ac:dyDescent="0.3">
      <c r="A102" s="4" t="s">
        <v>17</v>
      </c>
      <c r="B102" s="4" t="s">
        <v>18</v>
      </c>
      <c r="C102" s="6">
        <v>45787</v>
      </c>
      <c r="D102" s="4">
        <v>1800008303</v>
      </c>
      <c r="E102" s="4" t="s">
        <v>19</v>
      </c>
      <c r="F102" s="6">
        <v>45787</v>
      </c>
      <c r="G102" s="7">
        <v>256779413186</v>
      </c>
      <c r="H102" s="4" t="s">
        <v>20</v>
      </c>
      <c r="I102" s="8">
        <v>450</v>
      </c>
      <c r="J102" s="4" t="s">
        <v>21</v>
      </c>
      <c r="K102" s="8">
        <v>38692.67</v>
      </c>
      <c r="L102" s="4" t="s">
        <v>84</v>
      </c>
      <c r="M102" s="4">
        <v>34824</v>
      </c>
      <c r="N102" s="9">
        <v>3868.6699999999978</v>
      </c>
      <c r="O102" s="10">
        <v>9.9984570721017657E-2</v>
      </c>
      <c r="P102" s="10"/>
      <c r="Q102" s="11">
        <v>3869</v>
      </c>
      <c r="R102" s="5">
        <v>34823.67</v>
      </c>
      <c r="S102" s="4">
        <v>1400001341</v>
      </c>
      <c r="T102">
        <v>34824</v>
      </c>
    </row>
    <row r="103" spans="1:20" x14ac:dyDescent="0.3">
      <c r="A103" s="4" t="s">
        <v>17</v>
      </c>
      <c r="B103" s="4" t="s">
        <v>18</v>
      </c>
      <c r="C103" s="6">
        <v>45787</v>
      </c>
      <c r="D103" s="4">
        <v>1800008231</v>
      </c>
      <c r="E103" s="4" t="s">
        <v>19</v>
      </c>
      <c r="F103" s="6">
        <v>45787</v>
      </c>
      <c r="G103" s="7">
        <v>256779413115</v>
      </c>
      <c r="H103" s="4" t="s">
        <v>20</v>
      </c>
      <c r="I103" s="8">
        <v>1800</v>
      </c>
      <c r="J103" s="4" t="s">
        <v>21</v>
      </c>
      <c r="K103" s="8">
        <v>154770.66</v>
      </c>
      <c r="L103" s="4" t="s">
        <v>85</v>
      </c>
      <c r="M103" s="4">
        <v>139294</v>
      </c>
      <c r="N103" s="9">
        <v>15476.66</v>
      </c>
      <c r="O103" s="10">
        <v>9.9997376763787157E-2</v>
      </c>
      <c r="P103" s="10"/>
      <c r="Q103" s="11">
        <v>15477</v>
      </c>
      <c r="R103" s="5">
        <v>139293.66</v>
      </c>
      <c r="S103" s="4">
        <v>1400001341</v>
      </c>
      <c r="T103">
        <v>56360</v>
      </c>
    </row>
    <row r="104" spans="1:20" x14ac:dyDescent="0.3">
      <c r="A104" s="14" t="s">
        <v>17</v>
      </c>
      <c r="B104" s="14" t="s">
        <v>18</v>
      </c>
      <c r="C104" s="15">
        <v>45787</v>
      </c>
      <c r="D104" s="14">
        <v>1800008231</v>
      </c>
      <c r="E104" s="14" t="s">
        <v>19</v>
      </c>
      <c r="F104" s="15">
        <v>45787</v>
      </c>
      <c r="G104" s="16">
        <v>256779413115</v>
      </c>
      <c r="H104" s="14" t="s">
        <v>20</v>
      </c>
      <c r="I104" s="17">
        <v>1800</v>
      </c>
      <c r="J104" s="14" t="s">
        <v>21</v>
      </c>
      <c r="K104" s="17">
        <v>154770.66</v>
      </c>
      <c r="L104" s="14" t="s">
        <v>85</v>
      </c>
      <c r="M104" s="14">
        <v>139294</v>
      </c>
      <c r="N104" s="18">
        <v>15476.66</v>
      </c>
      <c r="O104" s="19">
        <v>9.9997376763787157E-2</v>
      </c>
      <c r="P104" s="19"/>
      <c r="Q104" s="20">
        <v>15477</v>
      </c>
      <c r="R104" s="20">
        <v>139293.66</v>
      </c>
      <c r="S104" s="4">
        <v>1400001345</v>
      </c>
      <c r="T104">
        <v>82934</v>
      </c>
    </row>
    <row r="105" spans="1:20" x14ac:dyDescent="0.3">
      <c r="A105" s="4" t="s">
        <v>17</v>
      </c>
      <c r="B105" s="4" t="s">
        <v>18</v>
      </c>
      <c r="C105" s="6">
        <v>45793</v>
      </c>
      <c r="D105" s="4">
        <v>1800008552</v>
      </c>
      <c r="E105" s="4" t="s">
        <v>19</v>
      </c>
      <c r="F105" s="6">
        <v>45793</v>
      </c>
      <c r="G105" s="7">
        <v>256779413316</v>
      </c>
      <c r="H105" s="4" t="s">
        <v>20</v>
      </c>
      <c r="I105" s="8">
        <v>546</v>
      </c>
      <c r="J105" s="4" t="s">
        <v>21</v>
      </c>
      <c r="K105" s="8">
        <v>46947.1</v>
      </c>
      <c r="L105" s="4" t="s">
        <v>86</v>
      </c>
      <c r="M105" s="4">
        <v>46008</v>
      </c>
      <c r="N105" s="9">
        <v>939.09999999999854</v>
      </c>
      <c r="O105" s="10">
        <v>2.0003365490094141E-2</v>
      </c>
      <c r="P105" s="10"/>
      <c r="Q105" s="11">
        <v>939</v>
      </c>
      <c r="R105" s="5">
        <v>46008.1</v>
      </c>
      <c r="S105" s="4">
        <v>1400001345</v>
      </c>
      <c r="T105">
        <v>17066</v>
      </c>
    </row>
    <row r="106" spans="1:20" x14ac:dyDescent="0.3">
      <c r="A106" s="14" t="s">
        <v>17</v>
      </c>
      <c r="B106" s="14" t="s">
        <v>18</v>
      </c>
      <c r="C106" s="15">
        <v>45793</v>
      </c>
      <c r="D106" s="14">
        <v>1800008552</v>
      </c>
      <c r="E106" s="14" t="s">
        <v>19</v>
      </c>
      <c r="F106" s="15">
        <v>45793</v>
      </c>
      <c r="G106" s="16">
        <v>256779413316</v>
      </c>
      <c r="H106" s="14" t="s">
        <v>20</v>
      </c>
      <c r="I106" s="17">
        <v>546</v>
      </c>
      <c r="J106" s="14" t="s">
        <v>21</v>
      </c>
      <c r="K106" s="17">
        <v>46947.1</v>
      </c>
      <c r="L106" s="14" t="s">
        <v>86</v>
      </c>
      <c r="M106" s="14">
        <v>46008</v>
      </c>
      <c r="N106" s="18">
        <v>939.09999999999854</v>
      </c>
      <c r="O106" s="19">
        <v>2.0003365490094141E-2</v>
      </c>
      <c r="P106" s="19"/>
      <c r="Q106" s="20">
        <v>939</v>
      </c>
      <c r="R106" s="20">
        <v>46008.1</v>
      </c>
      <c r="S106" s="4">
        <v>1400001406</v>
      </c>
      <c r="T106">
        <v>28942</v>
      </c>
    </row>
    <row r="107" spans="1:20" x14ac:dyDescent="0.3">
      <c r="A107" s="4" t="s">
        <v>17</v>
      </c>
      <c r="B107" s="4" t="s">
        <v>18</v>
      </c>
      <c r="C107" s="6">
        <v>45797</v>
      </c>
      <c r="D107" s="4">
        <v>1800008727</v>
      </c>
      <c r="E107" s="4" t="s">
        <v>19</v>
      </c>
      <c r="F107" s="6">
        <v>45797</v>
      </c>
      <c r="G107" s="7">
        <v>256779413491</v>
      </c>
      <c r="H107" s="4" t="s">
        <v>20</v>
      </c>
      <c r="I107" s="8">
        <v>88.75</v>
      </c>
      <c r="J107" s="4" t="s">
        <v>21</v>
      </c>
      <c r="K107" s="8">
        <v>7631.05</v>
      </c>
      <c r="L107" s="4" t="s">
        <v>87</v>
      </c>
      <c r="M107" s="4">
        <v>7478</v>
      </c>
      <c r="N107" s="9">
        <v>153.05000000000021</v>
      </c>
      <c r="O107" s="10">
        <v>2.0056217689570919E-2</v>
      </c>
      <c r="P107" s="10"/>
      <c r="Q107" s="11">
        <v>153</v>
      </c>
      <c r="R107" s="5">
        <v>7478.05</v>
      </c>
      <c r="S107" s="4">
        <v>1400001406</v>
      </c>
      <c r="T107">
        <v>7478</v>
      </c>
    </row>
    <row r="108" spans="1:20" x14ac:dyDescent="0.3">
      <c r="A108" s="4" t="s">
        <v>17</v>
      </c>
      <c r="B108" s="4" t="s">
        <v>18</v>
      </c>
      <c r="C108" s="6">
        <v>45805</v>
      </c>
      <c r="D108" s="4">
        <v>1800009127</v>
      </c>
      <c r="E108" s="4" t="s">
        <v>19</v>
      </c>
      <c r="F108" s="6">
        <v>45805</v>
      </c>
      <c r="G108" s="7">
        <v>256779413891</v>
      </c>
      <c r="H108" s="4" t="s">
        <v>20</v>
      </c>
      <c r="I108" s="8">
        <v>1501.8</v>
      </c>
      <c r="J108" s="4" t="s">
        <v>21</v>
      </c>
      <c r="K108" s="8">
        <v>129130.32</v>
      </c>
      <c r="L108" s="4" t="s">
        <v>88</v>
      </c>
      <c r="M108" s="4">
        <v>116217</v>
      </c>
      <c r="N108" s="9">
        <v>12913.320000000011</v>
      </c>
      <c r="O108" s="10">
        <v>0.1000022303050128</v>
      </c>
      <c r="P108" s="10"/>
      <c r="Q108" s="11">
        <v>12913</v>
      </c>
      <c r="R108" s="5">
        <v>116217.32</v>
      </c>
      <c r="S108" s="4">
        <v>1400001406</v>
      </c>
      <c r="T108">
        <v>63580</v>
      </c>
    </row>
    <row r="109" spans="1:20" x14ac:dyDescent="0.3">
      <c r="A109" s="14" t="s">
        <v>17</v>
      </c>
      <c r="B109" s="14" t="s">
        <v>18</v>
      </c>
      <c r="C109" s="15">
        <v>45805</v>
      </c>
      <c r="D109" s="14">
        <v>1800009127</v>
      </c>
      <c r="E109" s="14" t="s">
        <v>19</v>
      </c>
      <c r="F109" s="15">
        <v>45805</v>
      </c>
      <c r="G109" s="16">
        <v>256779413891</v>
      </c>
      <c r="H109" s="14" t="s">
        <v>20</v>
      </c>
      <c r="I109" s="17">
        <v>1501.8</v>
      </c>
      <c r="J109" s="14" t="s">
        <v>21</v>
      </c>
      <c r="K109" s="17">
        <v>129130.32</v>
      </c>
      <c r="L109" s="14" t="s">
        <v>88</v>
      </c>
      <c r="M109" s="14">
        <v>116217</v>
      </c>
      <c r="N109" s="18">
        <v>12913.320000000011</v>
      </c>
      <c r="O109" s="19">
        <v>0.1000022303050128</v>
      </c>
      <c r="P109" s="19"/>
      <c r="Q109" s="20">
        <v>12913</v>
      </c>
      <c r="R109" s="20">
        <v>116217.32</v>
      </c>
      <c r="S109" s="4">
        <v>1400001615</v>
      </c>
      <c r="T109">
        <v>52637</v>
      </c>
    </row>
    <row r="110" spans="1:20" x14ac:dyDescent="0.3">
      <c r="A110" s="4" t="s">
        <v>17</v>
      </c>
      <c r="B110" s="4" t="s">
        <v>18</v>
      </c>
      <c r="C110" s="6">
        <v>45810</v>
      </c>
      <c r="D110" s="4">
        <v>1800009234</v>
      </c>
      <c r="E110" s="4" t="s">
        <v>19</v>
      </c>
      <c r="F110" s="6">
        <v>45810</v>
      </c>
      <c r="G110" s="7">
        <v>256779413998</v>
      </c>
      <c r="H110" s="4" t="s">
        <v>20</v>
      </c>
      <c r="I110" s="8">
        <v>190.21</v>
      </c>
      <c r="J110" s="4" t="s">
        <v>21</v>
      </c>
      <c r="K110" s="8">
        <v>16261.2</v>
      </c>
      <c r="L110" s="4" t="s">
        <v>89</v>
      </c>
      <c r="M110" s="4">
        <v>15936</v>
      </c>
      <c r="N110" s="9">
        <v>325.20000000000073</v>
      </c>
      <c r="O110" s="10">
        <v>1.9998524094162841E-2</v>
      </c>
      <c r="P110" s="10"/>
      <c r="Q110" s="11">
        <v>325</v>
      </c>
      <c r="R110" s="5">
        <v>15936.2</v>
      </c>
      <c r="S110" s="4">
        <v>1400001615</v>
      </c>
      <c r="T110">
        <v>15936</v>
      </c>
    </row>
    <row r="111" spans="1:20" x14ac:dyDescent="0.3">
      <c r="A111" s="4" t="s">
        <v>17</v>
      </c>
      <c r="B111" s="4" t="s">
        <v>18</v>
      </c>
      <c r="C111" s="6">
        <v>45810</v>
      </c>
      <c r="D111" s="4">
        <v>1800009158</v>
      </c>
      <c r="E111" s="4" t="s">
        <v>19</v>
      </c>
      <c r="F111" s="6">
        <v>45810</v>
      </c>
      <c r="G111" s="7">
        <v>256779413922</v>
      </c>
      <c r="H111" s="4" t="s">
        <v>20</v>
      </c>
      <c r="I111" s="8">
        <v>368.88</v>
      </c>
      <c r="J111" s="4" t="s">
        <v>21</v>
      </c>
      <c r="K111" s="8">
        <v>31535.84</v>
      </c>
      <c r="L111" s="4" t="s">
        <v>90</v>
      </c>
      <c r="M111" s="4">
        <v>30905</v>
      </c>
      <c r="N111" s="9">
        <v>630.84000000000015</v>
      </c>
      <c r="O111" s="10">
        <v>2.0003906666193141E-2</v>
      </c>
      <c r="P111" s="10"/>
      <c r="Q111" s="11">
        <v>631</v>
      </c>
      <c r="R111" s="5">
        <v>30904.84</v>
      </c>
      <c r="S111" s="4">
        <v>1400001615</v>
      </c>
      <c r="T111">
        <v>30905</v>
      </c>
    </row>
    <row r="112" spans="1:20" x14ac:dyDescent="0.3">
      <c r="A112" s="4" t="s">
        <v>17</v>
      </c>
      <c r="B112" s="4" t="s">
        <v>18</v>
      </c>
      <c r="C112" s="6">
        <v>45812</v>
      </c>
      <c r="D112" s="4">
        <v>1800009500</v>
      </c>
      <c r="E112" s="4" t="s">
        <v>19</v>
      </c>
      <c r="F112" s="6">
        <v>45812</v>
      </c>
      <c r="G112" s="7">
        <v>256779414264</v>
      </c>
      <c r="H112" s="4" t="s">
        <v>20</v>
      </c>
      <c r="I112" s="8">
        <v>7.02</v>
      </c>
      <c r="J112" s="4" t="s">
        <v>21</v>
      </c>
      <c r="K112" s="8">
        <v>600.15</v>
      </c>
      <c r="L112" s="4" t="s">
        <v>91</v>
      </c>
      <c r="M112" s="4">
        <v>588</v>
      </c>
      <c r="N112" s="9">
        <v>12.149999999999981</v>
      </c>
      <c r="O112" s="10">
        <v>2.024493876530864E-2</v>
      </c>
      <c r="P112" s="10"/>
      <c r="Q112" s="11">
        <v>12</v>
      </c>
      <c r="R112" s="5">
        <v>588.15</v>
      </c>
      <c r="S112" s="4">
        <v>1400001615</v>
      </c>
      <c r="T112">
        <v>522</v>
      </c>
    </row>
    <row r="113" spans="1:20" x14ac:dyDescent="0.3">
      <c r="A113" s="14" t="s">
        <v>17</v>
      </c>
      <c r="B113" s="14" t="s">
        <v>18</v>
      </c>
      <c r="C113" s="15">
        <v>45812</v>
      </c>
      <c r="D113" s="14">
        <v>1800009500</v>
      </c>
      <c r="E113" s="14" t="s">
        <v>19</v>
      </c>
      <c r="F113" s="15">
        <v>45812</v>
      </c>
      <c r="G113" s="16">
        <v>256779414264</v>
      </c>
      <c r="H113" s="14" t="s">
        <v>20</v>
      </c>
      <c r="I113" s="17">
        <v>7.02</v>
      </c>
      <c r="J113" s="14" t="s">
        <v>21</v>
      </c>
      <c r="K113" s="17">
        <v>600.15</v>
      </c>
      <c r="L113" s="14" t="s">
        <v>91</v>
      </c>
      <c r="M113" s="14">
        <v>588</v>
      </c>
      <c r="N113" s="18">
        <v>12.149999999999981</v>
      </c>
      <c r="O113" s="19">
        <v>2.024493876530864E-2</v>
      </c>
      <c r="P113" s="19"/>
      <c r="Q113" s="20">
        <v>12</v>
      </c>
      <c r="R113" s="20">
        <v>588.15</v>
      </c>
      <c r="S113" s="4">
        <v>1400001658</v>
      </c>
      <c r="T113">
        <v>66</v>
      </c>
    </row>
    <row r="114" spans="1:20" x14ac:dyDescent="0.3">
      <c r="A114" s="4" t="s">
        <v>17</v>
      </c>
      <c r="B114" s="4" t="s">
        <v>18</v>
      </c>
      <c r="C114" s="6">
        <v>45812</v>
      </c>
      <c r="D114" s="4">
        <v>1800009457</v>
      </c>
      <c r="E114" s="4" t="s">
        <v>19</v>
      </c>
      <c r="F114" s="6">
        <v>45812</v>
      </c>
      <c r="G114" s="7">
        <v>256779414221</v>
      </c>
      <c r="H114" s="4" t="s">
        <v>20</v>
      </c>
      <c r="I114" s="8">
        <v>46.22</v>
      </c>
      <c r="J114" s="4" t="s">
        <v>21</v>
      </c>
      <c r="K114" s="8">
        <v>3951.38</v>
      </c>
      <c r="L114" s="4" t="s">
        <v>92</v>
      </c>
      <c r="M114" s="4">
        <v>3872</v>
      </c>
      <c r="N114" s="9">
        <v>79.380000000000109</v>
      </c>
      <c r="O114" s="10">
        <v>2.0089184031907872E-2</v>
      </c>
      <c r="P114" s="10"/>
      <c r="Q114" s="11">
        <v>79</v>
      </c>
      <c r="R114" s="5">
        <v>3872.38</v>
      </c>
      <c r="S114" s="4">
        <v>1400001658</v>
      </c>
      <c r="T114">
        <v>3872</v>
      </c>
    </row>
    <row r="115" spans="1:20" x14ac:dyDescent="0.3">
      <c r="A115" s="4" t="s">
        <v>17</v>
      </c>
      <c r="B115" s="4" t="s">
        <v>18</v>
      </c>
      <c r="C115" s="6">
        <v>45812</v>
      </c>
      <c r="D115" s="4">
        <v>1800009412</v>
      </c>
      <c r="E115" s="4" t="s">
        <v>19</v>
      </c>
      <c r="F115" s="6">
        <v>45812</v>
      </c>
      <c r="G115" s="7">
        <v>256779414176</v>
      </c>
      <c r="H115" s="4" t="s">
        <v>20</v>
      </c>
      <c r="I115" s="8">
        <v>129.31</v>
      </c>
      <c r="J115" s="4" t="s">
        <v>21</v>
      </c>
      <c r="K115" s="8">
        <v>11054.81</v>
      </c>
      <c r="L115" s="4" t="s">
        <v>93</v>
      </c>
      <c r="M115" s="4">
        <v>10834</v>
      </c>
      <c r="N115" s="9">
        <v>220.80999999999949</v>
      </c>
      <c r="O115" s="10">
        <v>1.9974110816920371E-2</v>
      </c>
      <c r="P115" s="10"/>
      <c r="Q115" s="11">
        <v>221</v>
      </c>
      <c r="R115" s="5">
        <v>10833.81</v>
      </c>
      <c r="S115" s="4">
        <v>1400001658</v>
      </c>
      <c r="T115">
        <v>10834</v>
      </c>
    </row>
    <row r="116" spans="1:20" x14ac:dyDescent="0.3">
      <c r="A116" s="4" t="s">
        <v>17</v>
      </c>
      <c r="B116" s="4" t="s">
        <v>18</v>
      </c>
      <c r="C116" s="6">
        <v>45812</v>
      </c>
      <c r="D116" s="4">
        <v>1800009556</v>
      </c>
      <c r="E116" s="4" t="s">
        <v>19</v>
      </c>
      <c r="F116" s="6">
        <v>45812</v>
      </c>
      <c r="G116" s="7">
        <v>256779414320</v>
      </c>
      <c r="H116" s="4" t="s">
        <v>20</v>
      </c>
      <c r="I116" s="8">
        <v>611.36</v>
      </c>
      <c r="J116" s="4" t="s">
        <v>21</v>
      </c>
      <c r="K116" s="8">
        <v>52265.64</v>
      </c>
      <c r="L116" s="4" t="s">
        <v>94</v>
      </c>
      <c r="M116" s="4">
        <v>51221</v>
      </c>
      <c r="N116" s="9">
        <v>1044.639999999999</v>
      </c>
      <c r="O116" s="10">
        <v>1.9987127298163751E-2</v>
      </c>
      <c r="P116" s="10"/>
      <c r="Q116" s="11">
        <v>1045</v>
      </c>
      <c r="R116" s="5">
        <v>51220.639999999999</v>
      </c>
      <c r="S116" s="4">
        <v>1400001658</v>
      </c>
      <c r="T116">
        <v>51221</v>
      </c>
    </row>
    <row r="117" spans="1:20" x14ac:dyDescent="0.3">
      <c r="A117" s="4" t="s">
        <v>17</v>
      </c>
      <c r="B117" s="4" t="s">
        <v>18</v>
      </c>
      <c r="C117" s="6">
        <v>45815</v>
      </c>
      <c r="D117" s="4">
        <v>1800009468</v>
      </c>
      <c r="E117" s="4" t="s">
        <v>19</v>
      </c>
      <c r="F117" s="6">
        <v>45815</v>
      </c>
      <c r="G117" s="7">
        <v>256779414232</v>
      </c>
      <c r="H117" s="4" t="s">
        <v>20</v>
      </c>
      <c r="I117" s="8">
        <v>1240.4000000000001</v>
      </c>
      <c r="J117" s="4" t="s">
        <v>21</v>
      </c>
      <c r="K117" s="8">
        <v>106042.76</v>
      </c>
      <c r="L117" s="4" t="s">
        <v>95</v>
      </c>
      <c r="M117" s="4">
        <v>95439</v>
      </c>
      <c r="N117" s="9">
        <v>10603.759999999989</v>
      </c>
      <c r="O117" s="10">
        <v>9.9995134038382213E-2</v>
      </c>
      <c r="P117" s="10"/>
      <c r="Q117" s="11">
        <v>10604</v>
      </c>
      <c r="R117" s="5">
        <v>95438.76</v>
      </c>
      <c r="S117" s="4">
        <v>1400001658</v>
      </c>
      <c r="T117">
        <v>34007</v>
      </c>
    </row>
    <row r="118" spans="1:20" x14ac:dyDescent="0.3">
      <c r="A118" s="14" t="s">
        <v>17</v>
      </c>
      <c r="B118" s="14" t="s">
        <v>18</v>
      </c>
      <c r="C118" s="15">
        <v>45815</v>
      </c>
      <c r="D118" s="14">
        <v>1800009468</v>
      </c>
      <c r="E118" s="14" t="s">
        <v>19</v>
      </c>
      <c r="F118" s="15">
        <v>45815</v>
      </c>
      <c r="G118" s="16">
        <v>256779414232</v>
      </c>
      <c r="H118" s="14" t="s">
        <v>20</v>
      </c>
      <c r="I118" s="17">
        <v>1240.4000000000001</v>
      </c>
      <c r="J118" s="14" t="s">
        <v>21</v>
      </c>
      <c r="K118" s="17">
        <v>106042.76</v>
      </c>
      <c r="L118" s="14" t="s">
        <v>95</v>
      </c>
      <c r="M118" s="14">
        <v>95439</v>
      </c>
      <c r="N118" s="18">
        <v>10603.759999999989</v>
      </c>
      <c r="O118" s="19">
        <v>9.9995134038382213E-2</v>
      </c>
      <c r="P118" s="19"/>
      <c r="Q118" s="20">
        <v>10604</v>
      </c>
      <c r="R118" s="20">
        <v>95438.76</v>
      </c>
      <c r="S118" s="4">
        <v>1400001934</v>
      </c>
      <c r="T118">
        <v>61432</v>
      </c>
    </row>
    <row r="119" spans="1:20" x14ac:dyDescent="0.3">
      <c r="A119" s="4" t="s">
        <v>17</v>
      </c>
      <c r="B119" s="4" t="s">
        <v>18</v>
      </c>
      <c r="C119" s="6">
        <v>45818</v>
      </c>
      <c r="D119" s="4">
        <v>1800009610</v>
      </c>
      <c r="E119" s="4" t="s">
        <v>19</v>
      </c>
      <c r="F119" s="6">
        <v>45818</v>
      </c>
      <c r="G119" s="7">
        <v>256779414374</v>
      </c>
      <c r="H119" s="4" t="s">
        <v>20</v>
      </c>
      <c r="I119" s="8">
        <v>1800</v>
      </c>
      <c r="J119" s="4" t="s">
        <v>21</v>
      </c>
      <c r="K119" s="8">
        <v>153883.4</v>
      </c>
      <c r="L119" s="4" t="s">
        <v>96</v>
      </c>
      <c r="M119" s="4">
        <v>138495</v>
      </c>
      <c r="N119" s="9">
        <v>15388.399999999991</v>
      </c>
      <c r="O119" s="10">
        <v>0.1000003899056038</v>
      </c>
      <c r="P119" s="10"/>
      <c r="Q119" s="11">
        <v>15388</v>
      </c>
      <c r="R119" s="5">
        <v>138495.4</v>
      </c>
      <c r="S119" s="4">
        <v>1400001934</v>
      </c>
      <c r="T119">
        <v>38568</v>
      </c>
    </row>
    <row r="120" spans="1:20" x14ac:dyDescent="0.3">
      <c r="A120" s="14" t="s">
        <v>17</v>
      </c>
      <c r="B120" s="14" t="s">
        <v>18</v>
      </c>
      <c r="C120" s="15">
        <v>45818</v>
      </c>
      <c r="D120" s="14">
        <v>1800009610</v>
      </c>
      <c r="E120" s="14" t="s">
        <v>19</v>
      </c>
      <c r="F120" s="15">
        <v>45818</v>
      </c>
      <c r="G120" s="16">
        <v>256779414374</v>
      </c>
      <c r="H120" s="14" t="s">
        <v>20</v>
      </c>
      <c r="I120" s="17">
        <v>1800</v>
      </c>
      <c r="J120" s="14" t="s">
        <v>21</v>
      </c>
      <c r="K120" s="17">
        <v>153883.4</v>
      </c>
      <c r="L120" s="14" t="s">
        <v>96</v>
      </c>
      <c r="M120" s="14">
        <v>138495</v>
      </c>
      <c r="N120" s="18">
        <v>15388.399999999991</v>
      </c>
      <c r="O120" s="19">
        <v>0.1000003899056038</v>
      </c>
      <c r="P120" s="19"/>
      <c r="Q120" s="20">
        <v>15388</v>
      </c>
      <c r="R120" s="20">
        <v>138495.4</v>
      </c>
      <c r="S120" s="4">
        <v>1400002027</v>
      </c>
      <c r="T120">
        <v>99927</v>
      </c>
    </row>
    <row r="121" spans="1:20" x14ac:dyDescent="0.3">
      <c r="A121" s="4" t="s">
        <v>17</v>
      </c>
      <c r="B121" s="4" t="s">
        <v>18</v>
      </c>
      <c r="C121" s="6">
        <v>45821</v>
      </c>
      <c r="D121" s="4">
        <v>1800009578</v>
      </c>
      <c r="E121" s="4" t="s">
        <v>19</v>
      </c>
      <c r="F121" s="6">
        <v>45821</v>
      </c>
      <c r="G121" s="7">
        <v>256779414342</v>
      </c>
      <c r="H121" s="4" t="s">
        <v>20</v>
      </c>
      <c r="I121" s="8">
        <v>465</v>
      </c>
      <c r="J121" s="4" t="s">
        <v>21</v>
      </c>
      <c r="K121" s="8">
        <v>39753.21</v>
      </c>
      <c r="L121" s="4" t="s">
        <v>97</v>
      </c>
      <c r="M121" s="4">
        <v>35715</v>
      </c>
      <c r="N121" s="9">
        <v>4038.2099999999991</v>
      </c>
      <c r="O121" s="10">
        <v>0.10158198545475949</v>
      </c>
      <c r="P121" s="10"/>
      <c r="Q121" s="11">
        <v>3968</v>
      </c>
      <c r="R121" s="5">
        <v>35785.21</v>
      </c>
      <c r="S121" s="4">
        <v>1400002027</v>
      </c>
      <c r="T121">
        <v>73</v>
      </c>
    </row>
    <row r="122" spans="1:20" x14ac:dyDescent="0.3">
      <c r="A122" s="14" t="s">
        <v>17</v>
      </c>
      <c r="B122" s="14" t="s">
        <v>18</v>
      </c>
      <c r="C122" s="15">
        <v>45821</v>
      </c>
      <c r="D122" s="14">
        <v>1800009578</v>
      </c>
      <c r="E122" s="14" t="s">
        <v>19</v>
      </c>
      <c r="F122" s="15">
        <v>45821</v>
      </c>
      <c r="G122" s="16">
        <v>256779414342</v>
      </c>
      <c r="H122" s="14" t="s">
        <v>20</v>
      </c>
      <c r="I122" s="17">
        <v>465</v>
      </c>
      <c r="J122" s="14" t="s">
        <v>21</v>
      </c>
      <c r="K122" s="17">
        <v>39753.21</v>
      </c>
      <c r="L122" s="14" t="s">
        <v>97</v>
      </c>
      <c r="M122" s="14">
        <v>35715</v>
      </c>
      <c r="N122" s="18">
        <v>4038.2099999999991</v>
      </c>
      <c r="O122" s="19">
        <v>0.10158198545475949</v>
      </c>
      <c r="P122" s="19"/>
      <c r="Q122" s="20">
        <v>3968</v>
      </c>
      <c r="R122" s="20">
        <v>35785.21</v>
      </c>
      <c r="S122" s="4">
        <v>1400002099</v>
      </c>
      <c r="T122">
        <v>35642</v>
      </c>
    </row>
    <row r="123" spans="1:20" x14ac:dyDescent="0.3">
      <c r="A123" s="4" t="s">
        <v>17</v>
      </c>
      <c r="B123" s="4" t="s">
        <v>18</v>
      </c>
      <c r="C123" s="6">
        <v>45827</v>
      </c>
      <c r="D123" s="4">
        <v>1800009972</v>
      </c>
      <c r="E123" s="4" t="s">
        <v>19</v>
      </c>
      <c r="F123" s="6">
        <v>45827</v>
      </c>
      <c r="G123" s="7">
        <v>256779414736</v>
      </c>
      <c r="H123" s="4" t="s">
        <v>20</v>
      </c>
      <c r="I123" s="8">
        <v>110</v>
      </c>
      <c r="J123" s="4" t="s">
        <v>21</v>
      </c>
      <c r="K123" s="8">
        <v>9403.99</v>
      </c>
      <c r="L123" s="4" t="s">
        <v>98</v>
      </c>
      <c r="M123" s="4">
        <v>9282</v>
      </c>
      <c r="N123" s="9">
        <v>121.9899999999998</v>
      </c>
      <c r="O123" s="10">
        <v>1.2972153309393121E-2</v>
      </c>
      <c r="P123" s="10"/>
      <c r="Q123" s="11">
        <v>189</v>
      </c>
      <c r="R123" s="5">
        <v>9214.99</v>
      </c>
      <c r="S123" s="4">
        <v>1400002099</v>
      </c>
      <c r="T123">
        <v>9282</v>
      </c>
    </row>
    <row r="124" spans="1:20" x14ac:dyDescent="0.3">
      <c r="A124" s="4" t="s">
        <v>17</v>
      </c>
      <c r="B124" s="4" t="s">
        <v>18</v>
      </c>
      <c r="C124" s="6">
        <v>45827</v>
      </c>
      <c r="D124" s="4">
        <v>1800009980</v>
      </c>
      <c r="E124" s="4" t="s">
        <v>19</v>
      </c>
      <c r="F124" s="6">
        <v>45827</v>
      </c>
      <c r="G124" s="7">
        <v>256779414744</v>
      </c>
      <c r="H124" s="4" t="s">
        <v>20</v>
      </c>
      <c r="I124" s="8">
        <v>287.81</v>
      </c>
      <c r="J124" s="4" t="s">
        <v>21</v>
      </c>
      <c r="K124" s="8">
        <v>24605.1</v>
      </c>
      <c r="L124" s="4" t="s">
        <v>99</v>
      </c>
      <c r="M124" s="4">
        <v>24284</v>
      </c>
      <c r="N124" s="9">
        <v>321.09999999999849</v>
      </c>
      <c r="O124" s="10">
        <v>1.3050140011623549E-2</v>
      </c>
      <c r="P124" s="10"/>
      <c r="Q124" s="11">
        <v>496</v>
      </c>
      <c r="R124" s="5">
        <v>24109.1</v>
      </c>
      <c r="S124" s="4">
        <v>1400002099</v>
      </c>
      <c r="T124">
        <v>24284</v>
      </c>
    </row>
    <row r="125" spans="1:20" x14ac:dyDescent="0.3">
      <c r="A125" s="4" t="s">
        <v>17</v>
      </c>
      <c r="B125" s="4" t="s">
        <v>18</v>
      </c>
      <c r="C125" s="6">
        <v>45842</v>
      </c>
      <c r="D125" s="4">
        <v>1800010070</v>
      </c>
      <c r="E125" s="4" t="s">
        <v>19</v>
      </c>
      <c r="F125" s="6">
        <v>45842</v>
      </c>
      <c r="G125" s="7">
        <v>256779414834</v>
      </c>
      <c r="H125" s="4" t="s">
        <v>20</v>
      </c>
      <c r="I125" s="8">
        <v>15.28</v>
      </c>
      <c r="J125" s="4" t="s">
        <v>21</v>
      </c>
      <c r="K125" s="8">
        <v>1314.09</v>
      </c>
      <c r="L125" s="4" t="s">
        <v>100</v>
      </c>
      <c r="M125" s="4">
        <v>1288</v>
      </c>
      <c r="N125" s="9">
        <v>26.089999999999922</v>
      </c>
      <c r="O125" s="10">
        <v>1.985404348256202E-2</v>
      </c>
      <c r="P125" s="10"/>
      <c r="Q125" s="11">
        <v>26</v>
      </c>
      <c r="R125" s="5">
        <v>1288.0899999999999</v>
      </c>
      <c r="S125" s="4">
        <v>1400002099</v>
      </c>
      <c r="T125">
        <v>1288</v>
      </c>
    </row>
    <row r="126" spans="1:20" x14ac:dyDescent="0.3">
      <c r="A126" s="4" t="s">
        <v>17</v>
      </c>
      <c r="B126" s="4" t="s">
        <v>18</v>
      </c>
      <c r="C126" s="6">
        <v>45842</v>
      </c>
      <c r="D126" s="4">
        <v>1800010121</v>
      </c>
      <c r="E126" s="4" t="s">
        <v>19</v>
      </c>
      <c r="F126" s="6">
        <v>45842</v>
      </c>
      <c r="G126" s="7">
        <v>256779414881</v>
      </c>
      <c r="H126" s="4" t="s">
        <v>20</v>
      </c>
      <c r="I126" s="8">
        <v>52.22</v>
      </c>
      <c r="J126" s="4" t="s">
        <v>21</v>
      </c>
      <c r="K126" s="8">
        <v>4490.95</v>
      </c>
      <c r="L126" s="4" t="s">
        <v>101</v>
      </c>
      <c r="M126" s="4">
        <v>4401</v>
      </c>
      <c r="N126" s="9">
        <v>89.949999999999818</v>
      </c>
      <c r="O126" s="10">
        <v>2.002916977476922E-2</v>
      </c>
      <c r="P126" s="10"/>
      <c r="Q126" s="11">
        <v>90</v>
      </c>
      <c r="R126" s="5">
        <v>4400.95</v>
      </c>
      <c r="S126" s="4">
        <v>1400002099</v>
      </c>
      <c r="T126">
        <v>4401</v>
      </c>
    </row>
    <row r="127" spans="1:20" x14ac:dyDescent="0.3">
      <c r="A127" s="4" t="s">
        <v>17</v>
      </c>
      <c r="B127" s="4" t="s">
        <v>18</v>
      </c>
      <c r="C127" s="6">
        <v>45842</v>
      </c>
      <c r="D127" s="4">
        <v>1800010005</v>
      </c>
      <c r="E127" s="4" t="s">
        <v>19</v>
      </c>
      <c r="F127" s="6">
        <v>45842</v>
      </c>
      <c r="G127" s="7">
        <v>256779414769</v>
      </c>
      <c r="H127" s="4" t="s">
        <v>20</v>
      </c>
      <c r="I127" s="8">
        <v>66.790000000000006</v>
      </c>
      <c r="J127" s="4" t="s">
        <v>21</v>
      </c>
      <c r="K127" s="8">
        <v>5743.98</v>
      </c>
      <c r="L127" s="4" t="s">
        <v>102</v>
      </c>
      <c r="M127" s="4">
        <v>5629</v>
      </c>
      <c r="N127" s="9">
        <v>114.97999999999961</v>
      </c>
      <c r="O127" s="10">
        <v>2.0017479169495641E-2</v>
      </c>
      <c r="P127" s="10"/>
      <c r="Q127" s="11">
        <v>115</v>
      </c>
      <c r="R127" s="5">
        <v>5628.98</v>
      </c>
      <c r="S127" s="4">
        <v>1400002099</v>
      </c>
      <c r="T127">
        <v>5629</v>
      </c>
    </row>
    <row r="128" spans="1:20" x14ac:dyDescent="0.3">
      <c r="A128" s="4" t="s">
        <v>17</v>
      </c>
      <c r="B128" s="4" t="s">
        <v>18</v>
      </c>
      <c r="C128" s="6">
        <v>45842</v>
      </c>
      <c r="D128" s="4">
        <v>1800010505</v>
      </c>
      <c r="E128" s="4" t="s">
        <v>19</v>
      </c>
      <c r="F128" s="6">
        <v>45842</v>
      </c>
      <c r="G128" s="7">
        <v>256779415265</v>
      </c>
      <c r="H128" s="4" t="s">
        <v>20</v>
      </c>
      <c r="I128" s="8">
        <v>164.73</v>
      </c>
      <c r="J128" s="4" t="s">
        <v>21</v>
      </c>
      <c r="K128" s="8">
        <v>14166.89</v>
      </c>
      <c r="L128" s="4" t="s">
        <v>103</v>
      </c>
      <c r="M128" s="4">
        <v>13884</v>
      </c>
      <c r="N128" s="9">
        <v>282.88999999999942</v>
      </c>
      <c r="O128" s="10">
        <v>1.9968391086540482E-2</v>
      </c>
      <c r="P128" s="10"/>
      <c r="Q128" s="11">
        <v>283</v>
      </c>
      <c r="R128" s="5">
        <v>13883.89</v>
      </c>
      <c r="S128" s="4">
        <v>1400002099</v>
      </c>
      <c r="T128">
        <v>13884</v>
      </c>
    </row>
    <row r="129" spans="1:20" x14ac:dyDescent="0.3">
      <c r="A129" s="4" t="s">
        <v>17</v>
      </c>
      <c r="B129" s="4" t="s">
        <v>18</v>
      </c>
      <c r="C129" s="6">
        <v>45842</v>
      </c>
      <c r="D129" s="4">
        <v>1800010260</v>
      </c>
      <c r="E129" s="4" t="s">
        <v>19</v>
      </c>
      <c r="F129" s="6">
        <v>45842</v>
      </c>
      <c r="G129" s="7">
        <v>256779415020</v>
      </c>
      <c r="H129" s="4" t="s">
        <v>20</v>
      </c>
      <c r="I129" s="8">
        <v>175.39</v>
      </c>
      <c r="J129" s="4" t="s">
        <v>21</v>
      </c>
      <c r="K129" s="8">
        <v>15083.66</v>
      </c>
      <c r="L129" s="4" t="s">
        <v>104</v>
      </c>
      <c r="M129" s="4">
        <v>14782</v>
      </c>
      <c r="N129" s="9">
        <v>301.65999999999991</v>
      </c>
      <c r="O129" s="10">
        <v>1.99991248808313E-2</v>
      </c>
      <c r="P129" s="10"/>
      <c r="Q129" s="11">
        <v>302</v>
      </c>
      <c r="R129" s="5">
        <v>14781.66</v>
      </c>
      <c r="S129" s="4">
        <v>1400002099</v>
      </c>
      <c r="T129">
        <v>5590</v>
      </c>
    </row>
    <row r="130" spans="1:20" x14ac:dyDescent="0.3">
      <c r="A130" s="14" t="s">
        <v>17</v>
      </c>
      <c r="B130" s="14" t="s">
        <v>18</v>
      </c>
      <c r="C130" s="15">
        <v>45842</v>
      </c>
      <c r="D130" s="14">
        <v>1800010260</v>
      </c>
      <c r="E130" s="14" t="s">
        <v>19</v>
      </c>
      <c r="F130" s="15">
        <v>45842</v>
      </c>
      <c r="G130" s="16">
        <v>256779415020</v>
      </c>
      <c r="H130" s="14" t="s">
        <v>20</v>
      </c>
      <c r="I130" s="17">
        <v>175.39</v>
      </c>
      <c r="J130" s="14" t="s">
        <v>21</v>
      </c>
      <c r="K130" s="17">
        <v>15083.66</v>
      </c>
      <c r="L130" s="14" t="s">
        <v>104</v>
      </c>
      <c r="M130" s="14">
        <v>14782</v>
      </c>
      <c r="N130" s="18">
        <v>301.65999999999991</v>
      </c>
      <c r="O130" s="19">
        <v>1.99991248808313E-2</v>
      </c>
      <c r="P130" s="19"/>
      <c r="Q130" s="20">
        <v>302</v>
      </c>
      <c r="R130" s="20">
        <v>14781.66</v>
      </c>
      <c r="S130" s="4">
        <v>1400002218</v>
      </c>
      <c r="T130">
        <v>9192</v>
      </c>
    </row>
    <row r="131" spans="1:20" x14ac:dyDescent="0.3">
      <c r="A131" s="4" t="s">
        <v>17</v>
      </c>
      <c r="B131" s="4" t="s">
        <v>18</v>
      </c>
      <c r="C131" s="6">
        <v>45842</v>
      </c>
      <c r="D131" s="4">
        <v>1800010039</v>
      </c>
      <c r="E131" s="4" t="s">
        <v>19</v>
      </c>
      <c r="F131" s="6">
        <v>45842</v>
      </c>
      <c r="G131" s="7">
        <v>256779414803</v>
      </c>
      <c r="H131" s="4" t="s">
        <v>20</v>
      </c>
      <c r="I131" s="8">
        <v>318.63</v>
      </c>
      <c r="J131" s="4" t="s">
        <v>21</v>
      </c>
      <c r="K131" s="8">
        <v>27402.39</v>
      </c>
      <c r="L131" s="4" t="s">
        <v>105</v>
      </c>
      <c r="M131" s="4">
        <v>26854</v>
      </c>
      <c r="N131" s="9">
        <v>548.38999999999942</v>
      </c>
      <c r="O131" s="10">
        <v>2.0012487961816448E-2</v>
      </c>
      <c r="P131" s="10"/>
      <c r="Q131" s="11">
        <v>548</v>
      </c>
      <c r="R131" s="5">
        <v>26854.39</v>
      </c>
      <c r="S131" s="4">
        <v>1400002218</v>
      </c>
      <c r="T131">
        <v>26854</v>
      </c>
    </row>
    <row r="132" spans="1:20" x14ac:dyDescent="0.3">
      <c r="A132" s="4" t="s">
        <v>17</v>
      </c>
      <c r="B132" s="4" t="s">
        <v>18</v>
      </c>
      <c r="C132" s="6">
        <v>45842</v>
      </c>
      <c r="D132" s="4">
        <v>1800010428</v>
      </c>
      <c r="E132" s="4" t="s">
        <v>19</v>
      </c>
      <c r="F132" s="6">
        <v>45842</v>
      </c>
      <c r="G132" s="7">
        <v>256779415188</v>
      </c>
      <c r="H132" s="4" t="s">
        <v>20</v>
      </c>
      <c r="I132" s="8">
        <v>1521.18</v>
      </c>
      <c r="J132" s="4" t="s">
        <v>21</v>
      </c>
      <c r="K132" s="8">
        <v>130822.5</v>
      </c>
      <c r="L132" s="4" t="s">
        <v>106</v>
      </c>
      <c r="M132" s="4">
        <v>117740</v>
      </c>
      <c r="N132" s="9">
        <v>13082.5</v>
      </c>
      <c r="O132" s="10">
        <v>0.10000191098626</v>
      </c>
      <c r="P132" s="10"/>
      <c r="Q132" s="11">
        <v>13082</v>
      </c>
      <c r="R132" s="5">
        <v>117740.5</v>
      </c>
      <c r="S132" s="4">
        <v>1400002218</v>
      </c>
      <c r="T132">
        <v>63954</v>
      </c>
    </row>
    <row r="133" spans="1:20" x14ac:dyDescent="0.3">
      <c r="A133" s="14" t="s">
        <v>17</v>
      </c>
      <c r="B133" s="14" t="s">
        <v>18</v>
      </c>
      <c r="C133" s="15">
        <v>45842</v>
      </c>
      <c r="D133" s="14">
        <v>1800010428</v>
      </c>
      <c r="E133" s="14" t="s">
        <v>19</v>
      </c>
      <c r="F133" s="15">
        <v>45842</v>
      </c>
      <c r="G133" s="16">
        <v>256779415188</v>
      </c>
      <c r="H133" s="14" t="s">
        <v>20</v>
      </c>
      <c r="I133" s="17">
        <v>1521.18</v>
      </c>
      <c r="J133" s="14" t="s">
        <v>21</v>
      </c>
      <c r="K133" s="17">
        <v>130822.5</v>
      </c>
      <c r="L133" s="14" t="s">
        <v>106</v>
      </c>
      <c r="M133" s="14">
        <v>117740</v>
      </c>
      <c r="N133" s="18">
        <v>13082.5</v>
      </c>
      <c r="O133" s="19">
        <v>0.10000191098626</v>
      </c>
      <c r="P133" s="19"/>
      <c r="Q133" s="20">
        <v>13082</v>
      </c>
      <c r="R133" s="20">
        <v>117740.5</v>
      </c>
      <c r="S133" s="4">
        <v>1400002412</v>
      </c>
      <c r="T133">
        <v>53786</v>
      </c>
    </row>
    <row r="134" spans="1:20" x14ac:dyDescent="0.3">
      <c r="A134" s="4" t="s">
        <v>17</v>
      </c>
      <c r="B134" s="4" t="s">
        <v>18</v>
      </c>
      <c r="C134" s="6">
        <v>45842</v>
      </c>
      <c r="D134" s="4">
        <v>1800010172</v>
      </c>
      <c r="E134" s="4" t="s">
        <v>19</v>
      </c>
      <c r="F134" s="6">
        <v>45842</v>
      </c>
      <c r="G134" s="7">
        <v>256779414932</v>
      </c>
      <c r="H134" s="4" t="s">
        <v>20</v>
      </c>
      <c r="I134" s="8">
        <v>1800</v>
      </c>
      <c r="J134" s="4" t="s">
        <v>21</v>
      </c>
      <c r="K134" s="8">
        <v>154801.21</v>
      </c>
      <c r="L134" s="4" t="s">
        <v>107</v>
      </c>
      <c r="M134" s="4">
        <v>139321</v>
      </c>
      <c r="N134" s="9">
        <v>15480.20999999999</v>
      </c>
      <c r="O134" s="10">
        <v>0.1000005749309065</v>
      </c>
      <c r="P134" s="10"/>
      <c r="Q134" s="11">
        <v>15480</v>
      </c>
      <c r="R134" s="5">
        <v>139321.21</v>
      </c>
      <c r="S134" s="4">
        <v>1400002412</v>
      </c>
      <c r="T134">
        <v>139321</v>
      </c>
    </row>
    <row r="135" spans="1:20" x14ac:dyDescent="0.3">
      <c r="A135" s="4" t="s">
        <v>17</v>
      </c>
      <c r="B135" s="4" t="s">
        <v>18</v>
      </c>
      <c r="C135" s="6">
        <v>45856</v>
      </c>
      <c r="D135" s="4">
        <v>1800010742</v>
      </c>
      <c r="E135" s="4" t="s">
        <v>19</v>
      </c>
      <c r="F135" s="6">
        <v>45856</v>
      </c>
      <c r="G135" s="7">
        <v>256779415526</v>
      </c>
      <c r="H135" s="4" t="s">
        <v>20</v>
      </c>
      <c r="I135" s="8">
        <v>2.75</v>
      </c>
      <c r="J135" s="4" t="s">
        <v>21</v>
      </c>
      <c r="K135" s="8">
        <v>236.5</v>
      </c>
      <c r="L135" s="4" t="s">
        <v>108</v>
      </c>
      <c r="M135" s="4">
        <v>232</v>
      </c>
      <c r="N135" s="9">
        <v>4.5</v>
      </c>
      <c r="O135" s="10">
        <v>1.902748414376321E-2</v>
      </c>
      <c r="P135" s="10"/>
      <c r="Q135" s="11">
        <v>5</v>
      </c>
      <c r="R135" s="5">
        <v>231.5</v>
      </c>
      <c r="S135" s="4">
        <v>1400002412</v>
      </c>
      <c r="T135">
        <v>232</v>
      </c>
    </row>
    <row r="136" spans="1:20" x14ac:dyDescent="0.3">
      <c r="A136" s="4" t="s">
        <v>17</v>
      </c>
      <c r="B136" s="4" t="s">
        <v>18</v>
      </c>
      <c r="C136" s="6">
        <v>45856</v>
      </c>
      <c r="D136" s="4">
        <v>1800010661</v>
      </c>
      <c r="E136" s="4" t="s">
        <v>19</v>
      </c>
      <c r="F136" s="6">
        <v>45856</v>
      </c>
      <c r="G136" s="7">
        <v>256779415445</v>
      </c>
      <c r="H136" s="4" t="s">
        <v>20</v>
      </c>
      <c r="I136" s="8">
        <v>26.09</v>
      </c>
      <c r="J136" s="4" t="s">
        <v>21</v>
      </c>
      <c r="K136" s="8">
        <v>2243.7600000000002</v>
      </c>
      <c r="L136" s="4" t="s">
        <v>109</v>
      </c>
      <c r="M136" s="4">
        <v>2199</v>
      </c>
      <c r="N136" s="9">
        <v>44.760000000000218</v>
      </c>
      <c r="O136" s="10">
        <v>1.9948657610439711E-2</v>
      </c>
      <c r="P136" s="10"/>
      <c r="Q136" s="11">
        <v>45</v>
      </c>
      <c r="R136" s="5">
        <v>2198.7600000000002</v>
      </c>
      <c r="S136" s="4">
        <v>1400002412</v>
      </c>
      <c r="T136">
        <v>2199</v>
      </c>
    </row>
    <row r="137" spans="1:20" x14ac:dyDescent="0.3">
      <c r="A137" s="4" t="s">
        <v>17</v>
      </c>
      <c r="B137" s="4" t="s">
        <v>18</v>
      </c>
      <c r="C137" s="6">
        <v>45856</v>
      </c>
      <c r="D137" s="4">
        <v>1800010674</v>
      </c>
      <c r="E137" s="4" t="s">
        <v>19</v>
      </c>
      <c r="F137" s="6">
        <v>45856</v>
      </c>
      <c r="G137" s="7">
        <v>256779415458</v>
      </c>
      <c r="H137" s="4" t="s">
        <v>20</v>
      </c>
      <c r="I137" s="8">
        <v>73.739999999999995</v>
      </c>
      <c r="J137" s="4" t="s">
        <v>21</v>
      </c>
      <c r="K137" s="8">
        <v>6341.69</v>
      </c>
      <c r="L137" s="4" t="s">
        <v>110</v>
      </c>
      <c r="M137" s="4">
        <v>6215</v>
      </c>
      <c r="N137" s="9">
        <v>126.6899999999996</v>
      </c>
      <c r="O137" s="10">
        <v>1.9977324656361251E-2</v>
      </c>
      <c r="P137" s="10"/>
      <c r="Q137" s="11">
        <v>127</v>
      </c>
      <c r="R137" s="5">
        <v>6214.69</v>
      </c>
      <c r="S137" s="4">
        <v>1400002412</v>
      </c>
      <c r="T137">
        <v>4462</v>
      </c>
    </row>
    <row r="138" spans="1:20" x14ac:dyDescent="0.3">
      <c r="A138" s="14" t="s">
        <v>17</v>
      </c>
      <c r="B138" s="14" t="s">
        <v>18</v>
      </c>
      <c r="C138" s="15">
        <v>45856</v>
      </c>
      <c r="D138" s="14">
        <v>1800010674</v>
      </c>
      <c r="E138" s="14" t="s">
        <v>19</v>
      </c>
      <c r="F138" s="15">
        <v>45856</v>
      </c>
      <c r="G138" s="16">
        <v>256779415458</v>
      </c>
      <c r="H138" s="14" t="s">
        <v>20</v>
      </c>
      <c r="I138" s="17">
        <v>73.739999999999995</v>
      </c>
      <c r="J138" s="14" t="s">
        <v>21</v>
      </c>
      <c r="K138" s="17">
        <v>6341.69</v>
      </c>
      <c r="L138" s="14" t="s">
        <v>110</v>
      </c>
      <c r="M138" s="14">
        <v>6215</v>
      </c>
      <c r="N138" s="18">
        <v>126.6899999999996</v>
      </c>
      <c r="O138" s="19">
        <v>1.9977324656361251E-2</v>
      </c>
      <c r="P138" s="19"/>
      <c r="Q138" s="20">
        <v>127</v>
      </c>
      <c r="R138" s="20">
        <v>6214.69</v>
      </c>
      <c r="S138" s="4">
        <v>1400002418</v>
      </c>
      <c r="T138">
        <v>1753</v>
      </c>
    </row>
    <row r="139" spans="1:20" x14ac:dyDescent="0.3">
      <c r="A139" s="4" t="s">
        <v>17</v>
      </c>
      <c r="B139" s="4" t="s">
        <v>18</v>
      </c>
      <c r="C139" s="6">
        <v>45856</v>
      </c>
      <c r="D139" s="4">
        <v>1800010772</v>
      </c>
      <c r="E139" s="4" t="s">
        <v>19</v>
      </c>
      <c r="F139" s="6">
        <v>45856</v>
      </c>
      <c r="G139" s="7">
        <v>256779415434</v>
      </c>
      <c r="H139" s="4" t="s">
        <v>20</v>
      </c>
      <c r="I139" s="8">
        <v>110.95</v>
      </c>
      <c r="J139" s="4" t="s">
        <v>21</v>
      </c>
      <c r="K139" s="8">
        <v>9541.77</v>
      </c>
      <c r="L139" s="4" t="s">
        <v>111</v>
      </c>
      <c r="M139" s="4">
        <v>9351</v>
      </c>
      <c r="N139" s="9">
        <v>190.77000000000041</v>
      </c>
      <c r="O139" s="10">
        <v>1.9993145925755958E-2</v>
      </c>
      <c r="P139" s="10"/>
      <c r="Q139" s="11">
        <v>191</v>
      </c>
      <c r="R139" s="5">
        <v>9350.77</v>
      </c>
      <c r="S139" s="4">
        <v>1400002418</v>
      </c>
      <c r="T139">
        <v>9351</v>
      </c>
    </row>
    <row r="140" spans="1:20" x14ac:dyDescent="0.3">
      <c r="A140" s="4" t="s">
        <v>17</v>
      </c>
      <c r="B140" s="4" t="s">
        <v>18</v>
      </c>
      <c r="C140" s="6">
        <v>45856</v>
      </c>
      <c r="D140" s="4">
        <v>1800010942</v>
      </c>
      <c r="E140" s="4" t="s">
        <v>19</v>
      </c>
      <c r="F140" s="6">
        <v>45856</v>
      </c>
      <c r="G140" s="7">
        <v>256779415702</v>
      </c>
      <c r="H140" s="4" t="s">
        <v>20</v>
      </c>
      <c r="I140" s="8">
        <v>200</v>
      </c>
      <c r="J140" s="4" t="s">
        <v>21</v>
      </c>
      <c r="K140" s="8">
        <v>17200.13</v>
      </c>
      <c r="L140" s="4" t="s">
        <v>112</v>
      </c>
      <c r="M140" s="4">
        <v>16856</v>
      </c>
      <c r="N140" s="9">
        <v>344.13000000000102</v>
      </c>
      <c r="O140" s="10">
        <v>2.0007406920761701E-2</v>
      </c>
      <c r="P140" s="10"/>
      <c r="Q140" s="11">
        <v>344</v>
      </c>
      <c r="R140" s="5">
        <v>16856.13</v>
      </c>
      <c r="S140" s="4">
        <v>1400002418</v>
      </c>
      <c r="T140">
        <v>16856</v>
      </c>
    </row>
    <row r="141" spans="1:20" x14ac:dyDescent="0.3">
      <c r="A141" s="4" t="s">
        <v>17</v>
      </c>
      <c r="B141" s="4" t="s">
        <v>18</v>
      </c>
      <c r="C141" s="6">
        <v>45856</v>
      </c>
      <c r="D141" s="4">
        <v>1800010702</v>
      </c>
      <c r="E141" s="4" t="s">
        <v>19</v>
      </c>
      <c r="F141" s="6">
        <v>45856</v>
      </c>
      <c r="G141" s="7">
        <v>256779415486</v>
      </c>
      <c r="H141" s="4" t="s">
        <v>20</v>
      </c>
      <c r="I141" s="8">
        <v>239.19</v>
      </c>
      <c r="J141" s="4" t="s">
        <v>21</v>
      </c>
      <c r="K141" s="8">
        <v>20570.5</v>
      </c>
      <c r="L141" s="4" t="s">
        <v>113</v>
      </c>
      <c r="M141" s="4">
        <v>20159</v>
      </c>
      <c r="N141" s="9">
        <v>411.5</v>
      </c>
      <c r="O141" s="10">
        <v>2.0004375197491549E-2</v>
      </c>
      <c r="P141" s="10"/>
      <c r="Q141" s="11">
        <v>411</v>
      </c>
      <c r="R141" s="5">
        <v>20159.5</v>
      </c>
      <c r="S141" s="4">
        <v>1400002418</v>
      </c>
      <c r="T141">
        <v>20159</v>
      </c>
    </row>
    <row r="142" spans="1:20" x14ac:dyDescent="0.3">
      <c r="A142" s="4" t="s">
        <v>17</v>
      </c>
      <c r="B142" s="4" t="s">
        <v>18</v>
      </c>
      <c r="C142" s="6">
        <v>45862</v>
      </c>
      <c r="D142" s="4">
        <v>1800011194</v>
      </c>
      <c r="E142" s="4" t="s">
        <v>19</v>
      </c>
      <c r="F142" s="6">
        <v>45862</v>
      </c>
      <c r="G142" s="7">
        <v>256779415946</v>
      </c>
      <c r="H142" s="4" t="s">
        <v>20</v>
      </c>
      <c r="I142" s="8">
        <v>29.25</v>
      </c>
      <c r="J142" s="4" t="s">
        <v>21</v>
      </c>
      <c r="K142" s="8">
        <v>2515.52</v>
      </c>
      <c r="L142" s="4" t="s">
        <v>114</v>
      </c>
      <c r="M142" s="4">
        <v>2466</v>
      </c>
      <c r="N142" s="9">
        <v>49.519999999999982</v>
      </c>
      <c r="O142" s="10">
        <v>1.9685790611881429E-2</v>
      </c>
      <c r="P142" s="10"/>
      <c r="Q142" s="11">
        <v>50</v>
      </c>
      <c r="R142" s="5">
        <v>2465.52</v>
      </c>
      <c r="S142" s="4">
        <v>1400002418</v>
      </c>
      <c r="T142">
        <v>2466</v>
      </c>
    </row>
    <row r="143" spans="1:20" x14ac:dyDescent="0.3">
      <c r="A143" s="4" t="s">
        <v>17</v>
      </c>
      <c r="B143" s="4" t="s">
        <v>18</v>
      </c>
      <c r="C143" s="6">
        <v>45863</v>
      </c>
      <c r="D143" s="4">
        <v>1800011268</v>
      </c>
      <c r="E143" s="4" t="s">
        <v>19</v>
      </c>
      <c r="F143" s="6">
        <v>45863</v>
      </c>
      <c r="G143" s="7">
        <v>256779416000</v>
      </c>
      <c r="H143" s="4" t="s">
        <v>20</v>
      </c>
      <c r="I143" s="8">
        <v>151.58000000000001</v>
      </c>
      <c r="J143" s="4" t="s">
        <v>21</v>
      </c>
      <c r="K143" s="8">
        <v>13035.98</v>
      </c>
      <c r="L143" s="4" t="s">
        <v>115</v>
      </c>
      <c r="M143" s="4">
        <v>12698</v>
      </c>
      <c r="N143" s="9">
        <v>337.97999999999962</v>
      </c>
      <c r="O143" s="10">
        <v>2.5926704398134971E-2</v>
      </c>
      <c r="P143" s="10"/>
      <c r="Q143" s="11">
        <v>259</v>
      </c>
      <c r="R143" s="5">
        <v>12776.98</v>
      </c>
      <c r="S143" s="4">
        <v>1400002418</v>
      </c>
      <c r="T143">
        <v>12698</v>
      </c>
    </row>
    <row r="144" spans="1:20" x14ac:dyDescent="0.3">
      <c r="A144" s="4" t="s">
        <v>17</v>
      </c>
      <c r="B144" s="4" t="s">
        <v>18</v>
      </c>
      <c r="C144" s="6">
        <v>45863</v>
      </c>
      <c r="D144" s="4">
        <v>1800011236</v>
      </c>
      <c r="E144" s="4" t="s">
        <v>19</v>
      </c>
      <c r="F144" s="6">
        <v>45863</v>
      </c>
      <c r="G144" s="7">
        <v>256779415968</v>
      </c>
      <c r="H144" s="4" t="s">
        <v>20</v>
      </c>
      <c r="I144" s="8">
        <v>465</v>
      </c>
      <c r="J144" s="4" t="s">
        <v>21</v>
      </c>
      <c r="K144" s="8">
        <v>39990.31</v>
      </c>
      <c r="L144" s="4" t="s">
        <v>116</v>
      </c>
      <c r="M144" s="4">
        <v>35991</v>
      </c>
      <c r="N144" s="9">
        <v>3999.3099999999981</v>
      </c>
      <c r="O144" s="10">
        <v>0.1000069766901031</v>
      </c>
      <c r="P144" s="10"/>
      <c r="Q144" s="11">
        <v>3999</v>
      </c>
      <c r="R144" s="5">
        <v>35991.31</v>
      </c>
      <c r="S144" s="4">
        <v>1400002418</v>
      </c>
      <c r="T144">
        <v>35991</v>
      </c>
    </row>
    <row r="145" spans="1:22" x14ac:dyDescent="0.3">
      <c r="A145" s="4" t="s">
        <v>17</v>
      </c>
      <c r="B145" s="4" t="s">
        <v>18</v>
      </c>
      <c r="C145" s="6">
        <v>45870</v>
      </c>
      <c r="D145" s="4">
        <v>1800011334</v>
      </c>
      <c r="E145" s="4" t="s">
        <v>19</v>
      </c>
      <c r="F145" s="6">
        <v>45870</v>
      </c>
      <c r="G145" s="7">
        <v>256779416043</v>
      </c>
      <c r="H145" s="4" t="s">
        <v>20</v>
      </c>
      <c r="I145" s="8">
        <v>1800</v>
      </c>
      <c r="J145" s="4" t="s">
        <v>21</v>
      </c>
      <c r="K145" s="8">
        <v>154854.22</v>
      </c>
      <c r="L145" s="4" t="s">
        <v>117</v>
      </c>
      <c r="M145" s="4">
        <v>139369</v>
      </c>
      <c r="N145" s="9">
        <v>15485.22</v>
      </c>
      <c r="O145" s="10">
        <v>9.9998695547334787E-2</v>
      </c>
      <c r="P145" s="10"/>
      <c r="Q145" s="11">
        <v>15485</v>
      </c>
      <c r="R145" s="5">
        <v>139369.22</v>
      </c>
      <c r="S145" s="4">
        <v>1400002418</v>
      </c>
      <c r="T145">
        <v>726</v>
      </c>
    </row>
    <row r="146" spans="1:22" x14ac:dyDescent="0.3">
      <c r="A146" s="14" t="s">
        <v>17</v>
      </c>
      <c r="B146" s="14" t="s">
        <v>18</v>
      </c>
      <c r="C146" s="15">
        <v>45870</v>
      </c>
      <c r="D146" s="14">
        <v>1800011334</v>
      </c>
      <c r="E146" s="14" t="s">
        <v>19</v>
      </c>
      <c r="F146" s="15">
        <v>45870</v>
      </c>
      <c r="G146" s="16">
        <v>256779416043</v>
      </c>
      <c r="H146" s="14" t="s">
        <v>20</v>
      </c>
      <c r="I146" s="17">
        <v>1800</v>
      </c>
      <c r="J146" s="14" t="s">
        <v>21</v>
      </c>
      <c r="K146" s="17">
        <v>154854.22</v>
      </c>
      <c r="L146" s="14" t="s">
        <v>117</v>
      </c>
      <c r="M146" s="14">
        <v>139369</v>
      </c>
      <c r="N146" s="18">
        <v>15485.22</v>
      </c>
      <c r="O146" s="19">
        <v>9.9998695547334787E-2</v>
      </c>
      <c r="P146" s="19"/>
      <c r="Q146" s="20">
        <v>15485</v>
      </c>
      <c r="R146" s="20">
        <v>139369.22</v>
      </c>
      <c r="S146" s="4">
        <v>1400002489</v>
      </c>
      <c r="T146">
        <v>138643</v>
      </c>
    </row>
    <row r="147" spans="1:22" x14ac:dyDescent="0.3">
      <c r="A147" s="4" t="s">
        <v>17</v>
      </c>
      <c r="B147" s="4" t="s">
        <v>18</v>
      </c>
      <c r="C147" s="6">
        <v>45877</v>
      </c>
      <c r="D147" s="4">
        <v>1800011605</v>
      </c>
      <c r="E147" s="4" t="s">
        <v>19</v>
      </c>
      <c r="F147" s="6">
        <v>45877</v>
      </c>
      <c r="G147" s="7">
        <v>256779416455</v>
      </c>
      <c r="H147" s="4" t="s">
        <v>20</v>
      </c>
      <c r="I147" s="8">
        <v>13.71</v>
      </c>
      <c r="J147" s="4" t="s">
        <v>21</v>
      </c>
      <c r="K147" s="8">
        <v>1179.47</v>
      </c>
      <c r="L147" s="4" t="s">
        <v>118</v>
      </c>
      <c r="M147" s="4">
        <v>1155</v>
      </c>
      <c r="N147" s="9">
        <v>24.470000000000031</v>
      </c>
      <c r="O147" s="10">
        <v>2.0746606526660299E-2</v>
      </c>
      <c r="P147" s="10"/>
      <c r="Q147" s="11">
        <v>24</v>
      </c>
      <c r="R147" s="5">
        <v>1155.47</v>
      </c>
      <c r="S147" s="4">
        <v>1400002489</v>
      </c>
      <c r="T147">
        <v>1155</v>
      </c>
    </row>
    <row r="148" spans="1:22" x14ac:dyDescent="0.3">
      <c r="A148" s="4" t="s">
        <v>17</v>
      </c>
      <c r="B148" s="4" t="s">
        <v>18</v>
      </c>
      <c r="C148" s="6">
        <v>45877</v>
      </c>
      <c r="D148" s="4">
        <v>1800011711</v>
      </c>
      <c r="E148" s="4" t="s">
        <v>19</v>
      </c>
      <c r="F148" s="6">
        <v>45877</v>
      </c>
      <c r="G148" s="7">
        <v>256779416229</v>
      </c>
      <c r="H148" s="4" t="s">
        <v>20</v>
      </c>
      <c r="I148" s="8">
        <v>22.7</v>
      </c>
      <c r="J148" s="4" t="s">
        <v>21</v>
      </c>
      <c r="K148" s="8">
        <v>1952.88</v>
      </c>
      <c r="L148" s="4" t="s">
        <v>119</v>
      </c>
      <c r="M148" s="4">
        <v>1914</v>
      </c>
      <c r="N148" s="9">
        <v>38.880000000000109</v>
      </c>
      <c r="O148" s="10">
        <v>1.990905739215933E-2</v>
      </c>
      <c r="P148" s="10"/>
      <c r="Q148" s="11">
        <v>39</v>
      </c>
      <c r="R148" s="5">
        <v>1913.88</v>
      </c>
      <c r="S148" s="4">
        <v>1400002489</v>
      </c>
      <c r="T148">
        <v>1914</v>
      </c>
    </row>
    <row r="149" spans="1:22" x14ac:dyDescent="0.3">
      <c r="A149" s="4" t="s">
        <v>17</v>
      </c>
      <c r="B149" s="4" t="s">
        <v>18</v>
      </c>
      <c r="C149" s="6">
        <v>45877</v>
      </c>
      <c r="D149" s="4">
        <v>1800011834</v>
      </c>
      <c r="E149" s="4" t="s">
        <v>19</v>
      </c>
      <c r="F149" s="6">
        <v>45877</v>
      </c>
      <c r="G149" s="7">
        <v>256779416143</v>
      </c>
      <c r="H149" s="4" t="s">
        <v>20</v>
      </c>
      <c r="I149" s="8">
        <v>26.27</v>
      </c>
      <c r="J149" s="4" t="s">
        <v>21</v>
      </c>
      <c r="K149" s="8">
        <v>2260.0100000000002</v>
      </c>
      <c r="L149" s="4" t="s">
        <v>120</v>
      </c>
      <c r="M149" s="4">
        <v>2215</v>
      </c>
      <c r="N149" s="9">
        <v>45.010000000000218</v>
      </c>
      <c r="O149" s="10">
        <v>1.99158410803493E-2</v>
      </c>
      <c r="P149" s="10"/>
      <c r="Q149" s="11">
        <v>45</v>
      </c>
      <c r="R149" s="5">
        <v>2215.0100000000002</v>
      </c>
      <c r="S149" s="4">
        <v>1400002489</v>
      </c>
      <c r="T149">
        <v>2215</v>
      </c>
    </row>
    <row r="150" spans="1:22" x14ac:dyDescent="0.3">
      <c r="A150" s="4" t="s">
        <v>17</v>
      </c>
      <c r="B150" s="4" t="s">
        <v>18</v>
      </c>
      <c r="C150" s="6">
        <v>45877</v>
      </c>
      <c r="D150" s="4">
        <v>1800011866</v>
      </c>
      <c r="E150" s="4" t="s">
        <v>19</v>
      </c>
      <c r="F150" s="6">
        <v>45877</v>
      </c>
      <c r="G150" s="7">
        <v>256779416517</v>
      </c>
      <c r="H150" s="4" t="s">
        <v>20</v>
      </c>
      <c r="I150" s="8">
        <v>56.33</v>
      </c>
      <c r="J150" s="4" t="s">
        <v>21</v>
      </c>
      <c r="K150" s="8">
        <v>4846.08</v>
      </c>
      <c r="L150" s="4" t="s">
        <v>121</v>
      </c>
      <c r="M150" s="4">
        <v>4749</v>
      </c>
      <c r="N150" s="9">
        <v>97.079999999999927</v>
      </c>
      <c r="O150" s="10">
        <v>2.003268621236132E-2</v>
      </c>
      <c r="P150" s="10"/>
      <c r="Q150" s="11">
        <v>97</v>
      </c>
      <c r="R150" s="5">
        <v>4749.08</v>
      </c>
      <c r="S150" s="4">
        <v>1400002489</v>
      </c>
      <c r="T150">
        <v>4749</v>
      </c>
    </row>
    <row r="151" spans="1:22" x14ac:dyDescent="0.3">
      <c r="A151" s="4" t="s">
        <v>17</v>
      </c>
      <c r="B151" s="4" t="s">
        <v>18</v>
      </c>
      <c r="C151" s="6">
        <v>45877</v>
      </c>
      <c r="D151" s="4">
        <v>1800011792</v>
      </c>
      <c r="E151" s="4" t="s">
        <v>19</v>
      </c>
      <c r="F151" s="6">
        <v>45877</v>
      </c>
      <c r="G151" s="7">
        <v>256779416183</v>
      </c>
      <c r="H151" s="4" t="s">
        <v>20</v>
      </c>
      <c r="I151" s="8">
        <v>102.33</v>
      </c>
      <c r="J151" s="4" t="s">
        <v>21</v>
      </c>
      <c r="K151" s="8">
        <v>8803.4599999999991</v>
      </c>
      <c r="L151" s="4" t="s">
        <v>122</v>
      </c>
      <c r="M151" s="4">
        <v>8627</v>
      </c>
      <c r="N151" s="9">
        <v>176.4599999999991</v>
      </c>
      <c r="O151" s="10">
        <v>2.004439163692448E-2</v>
      </c>
      <c r="P151" s="10"/>
      <c r="Q151" s="11">
        <v>176</v>
      </c>
      <c r="R151" s="5">
        <v>8627.4599999999991</v>
      </c>
      <c r="S151" s="4">
        <v>1400002489</v>
      </c>
      <c r="T151">
        <v>1324</v>
      </c>
    </row>
    <row r="152" spans="1:22" x14ac:dyDescent="0.3">
      <c r="A152" s="14" t="s">
        <v>17</v>
      </c>
      <c r="B152" s="14" t="s">
        <v>18</v>
      </c>
      <c r="C152" s="15">
        <v>45877</v>
      </c>
      <c r="D152" s="14">
        <v>1800011792</v>
      </c>
      <c r="E152" s="14" t="s">
        <v>19</v>
      </c>
      <c r="F152" s="15">
        <v>45877</v>
      </c>
      <c r="G152" s="16">
        <v>256779416183</v>
      </c>
      <c r="H152" s="14" t="s">
        <v>20</v>
      </c>
      <c r="I152" s="17">
        <v>102.33</v>
      </c>
      <c r="J152" s="14" t="s">
        <v>21</v>
      </c>
      <c r="K152" s="17">
        <v>8803.4599999999991</v>
      </c>
      <c r="L152" s="14" t="s">
        <v>122</v>
      </c>
      <c r="M152" s="14">
        <v>8627</v>
      </c>
      <c r="N152" s="18">
        <v>176.4599999999991</v>
      </c>
      <c r="O152" s="19">
        <v>2.004439163692448E-2</v>
      </c>
      <c r="P152" s="19"/>
      <c r="Q152" s="20">
        <v>176</v>
      </c>
      <c r="R152" s="20">
        <v>8627.4599999999991</v>
      </c>
      <c r="S152" s="4">
        <v>1400002521</v>
      </c>
      <c r="T152">
        <v>7303</v>
      </c>
    </row>
    <row r="153" spans="1:22" x14ac:dyDescent="0.3">
      <c r="A153" s="4" t="s">
        <v>17</v>
      </c>
      <c r="B153" s="4" t="s">
        <v>18</v>
      </c>
      <c r="C153" s="6">
        <v>45877</v>
      </c>
      <c r="D153" s="4">
        <v>1800011597</v>
      </c>
      <c r="E153" s="4" t="s">
        <v>19</v>
      </c>
      <c r="F153" s="6">
        <v>45877</v>
      </c>
      <c r="G153" s="7">
        <v>256779416447</v>
      </c>
      <c r="H153" s="4" t="s">
        <v>20</v>
      </c>
      <c r="I153" s="8">
        <v>358.32</v>
      </c>
      <c r="J153" s="4" t="s">
        <v>21</v>
      </c>
      <c r="K153" s="8">
        <v>30826.31</v>
      </c>
      <c r="L153" s="4" t="s">
        <v>123</v>
      </c>
      <c r="M153" s="4">
        <v>30209</v>
      </c>
      <c r="N153" s="9">
        <v>617.31000000000131</v>
      </c>
      <c r="O153" s="10">
        <v>2.002542633224675E-2</v>
      </c>
      <c r="P153" s="10"/>
      <c r="Q153" s="11">
        <v>617</v>
      </c>
      <c r="R153" s="5">
        <v>30209.31</v>
      </c>
      <c r="S153" s="4">
        <v>1400002521</v>
      </c>
      <c r="T153">
        <v>30209</v>
      </c>
    </row>
    <row r="154" spans="1:22" x14ac:dyDescent="0.3">
      <c r="A154" s="4" t="s">
        <v>17</v>
      </c>
      <c r="B154" s="4" t="s">
        <v>18</v>
      </c>
      <c r="C154" s="6">
        <v>45877</v>
      </c>
      <c r="D154" s="4">
        <v>1800011650</v>
      </c>
      <c r="E154" s="4" t="s">
        <v>19</v>
      </c>
      <c r="F154" s="6">
        <v>45877</v>
      </c>
      <c r="G154" s="7">
        <v>256779416081</v>
      </c>
      <c r="H154" s="4" t="s">
        <v>20</v>
      </c>
      <c r="I154" s="8">
        <v>1267.5</v>
      </c>
      <c r="J154" s="4" t="s">
        <v>21</v>
      </c>
      <c r="K154" s="8">
        <v>109043.18</v>
      </c>
      <c r="L154" s="4" t="s">
        <v>124</v>
      </c>
      <c r="M154" s="4">
        <v>98139</v>
      </c>
      <c r="N154" s="9">
        <v>10904.179999999989</v>
      </c>
      <c r="O154" s="10">
        <v>9.9998734446299101E-2</v>
      </c>
      <c r="P154" s="10"/>
      <c r="Q154" s="11">
        <v>10904</v>
      </c>
      <c r="R154" s="5">
        <v>98139.18</v>
      </c>
      <c r="S154" s="4">
        <v>1400002521</v>
      </c>
      <c r="T154">
        <v>98139</v>
      </c>
    </row>
    <row r="155" spans="1:22" x14ac:dyDescent="0.3">
      <c r="A155" s="4" t="s">
        <v>17</v>
      </c>
      <c r="B155" s="4" t="s">
        <v>18</v>
      </c>
      <c r="C155" s="6">
        <v>45889</v>
      </c>
      <c r="D155" s="4">
        <v>1800012252</v>
      </c>
      <c r="E155" s="4" t="s">
        <v>19</v>
      </c>
      <c r="F155" s="6">
        <v>45889</v>
      </c>
      <c r="G155" s="7">
        <v>256779416848</v>
      </c>
      <c r="H155" s="4" t="s">
        <v>20</v>
      </c>
      <c r="I155" s="8">
        <v>17.75</v>
      </c>
      <c r="J155" s="4" t="s">
        <v>21</v>
      </c>
      <c r="K155" s="8">
        <v>1527.03</v>
      </c>
      <c r="L155" s="4" t="s">
        <v>125</v>
      </c>
      <c r="M155" s="4">
        <v>1496</v>
      </c>
      <c r="N155" s="9">
        <v>31.029999999999969</v>
      </c>
      <c r="O155" s="10">
        <v>2.0320491411432631E-2</v>
      </c>
      <c r="P155" s="10"/>
      <c r="Q155" s="11">
        <v>31</v>
      </c>
      <c r="R155" s="5">
        <v>1496.03</v>
      </c>
      <c r="S155" s="4">
        <v>1400002521</v>
      </c>
      <c r="T155">
        <v>1496</v>
      </c>
    </row>
    <row r="156" spans="1:22" x14ac:dyDescent="0.3">
      <c r="A156" s="4" t="s">
        <v>17</v>
      </c>
      <c r="B156" s="4" t="s">
        <v>18</v>
      </c>
      <c r="C156" s="6">
        <v>45889</v>
      </c>
      <c r="D156" s="4">
        <v>1800012221</v>
      </c>
      <c r="E156" s="4" t="s">
        <v>19</v>
      </c>
      <c r="F156" s="6">
        <v>45889</v>
      </c>
      <c r="G156" s="7">
        <v>256779416883</v>
      </c>
      <c r="H156" s="4" t="s">
        <v>20</v>
      </c>
      <c r="I156" s="8">
        <v>50.05</v>
      </c>
      <c r="J156" s="4" t="s">
        <v>21</v>
      </c>
      <c r="K156" s="8">
        <v>4305.8100000000004</v>
      </c>
      <c r="L156" s="4" t="s">
        <v>126</v>
      </c>
      <c r="M156" s="4">
        <v>4220</v>
      </c>
      <c r="N156" s="9">
        <v>85.8100000000004</v>
      </c>
      <c r="O156" s="10">
        <v>1.9928886783206971E-2</v>
      </c>
      <c r="P156" s="10"/>
      <c r="Q156" s="11">
        <v>86</v>
      </c>
      <c r="R156" s="5">
        <v>4219.8100000000004</v>
      </c>
      <c r="S156" s="4">
        <v>1400002521</v>
      </c>
      <c r="T156">
        <v>4220</v>
      </c>
    </row>
    <row r="157" spans="1:22" x14ac:dyDescent="0.3">
      <c r="A157" s="4" t="s">
        <v>17</v>
      </c>
      <c r="B157" s="4" t="s">
        <v>18</v>
      </c>
      <c r="C157" s="6">
        <v>45904</v>
      </c>
      <c r="D157" s="4">
        <v>1800012690</v>
      </c>
      <c r="E157" s="4" t="s">
        <v>19</v>
      </c>
      <c r="F157" s="6">
        <v>45904</v>
      </c>
      <c r="G157" s="7">
        <v>256779417330</v>
      </c>
      <c r="H157" s="4" t="s">
        <v>20</v>
      </c>
      <c r="I157" s="8">
        <v>13.52</v>
      </c>
      <c r="J157" s="4" t="s">
        <v>21</v>
      </c>
      <c r="K157" s="8">
        <v>1183.19</v>
      </c>
      <c r="L157" s="4" t="s">
        <v>127</v>
      </c>
      <c r="M157" s="4">
        <v>1159</v>
      </c>
      <c r="N157" s="9">
        <v>24.190000000000051</v>
      </c>
      <c r="O157" s="10">
        <v>2.0444729925033218E-2</v>
      </c>
      <c r="P157" s="10"/>
      <c r="Q157" s="11">
        <v>24</v>
      </c>
      <c r="R157" s="5">
        <v>1159.19</v>
      </c>
      <c r="S157" s="4">
        <v>1400002521</v>
      </c>
      <c r="T157">
        <v>1159</v>
      </c>
    </row>
    <row r="158" spans="1:22" x14ac:dyDescent="0.3">
      <c r="A158" s="4" t="s">
        <v>17</v>
      </c>
      <c r="B158" s="4" t="s">
        <v>18</v>
      </c>
      <c r="C158" s="6">
        <v>45904</v>
      </c>
      <c r="D158" s="4">
        <v>1800012463</v>
      </c>
      <c r="E158" s="4" t="s">
        <v>19</v>
      </c>
      <c r="F158" s="6">
        <v>45904</v>
      </c>
      <c r="G158" s="7">
        <v>256779417163</v>
      </c>
      <c r="H158" s="4" t="s">
        <v>20</v>
      </c>
      <c r="I158" s="8">
        <v>75.13</v>
      </c>
      <c r="J158" s="4" t="s">
        <v>21</v>
      </c>
      <c r="K158" s="8">
        <v>6574.95</v>
      </c>
      <c r="L158" s="4" t="s">
        <v>128</v>
      </c>
      <c r="M158" s="4">
        <v>6444</v>
      </c>
      <c r="N158" s="9">
        <v>130.94999999999979</v>
      </c>
      <c r="O158" s="10">
        <v>1.9916501266169302E-2</v>
      </c>
      <c r="P158" s="10"/>
      <c r="Q158" s="11">
        <v>131</v>
      </c>
      <c r="R158" s="5">
        <v>6443.95</v>
      </c>
      <c r="S158" s="4">
        <v>1400002521</v>
      </c>
      <c r="T158">
        <v>6444</v>
      </c>
    </row>
    <row r="159" spans="1:22" x14ac:dyDescent="0.3">
      <c r="A159" s="4" t="s">
        <v>17</v>
      </c>
      <c r="B159" s="4" t="s">
        <v>18</v>
      </c>
      <c r="C159" s="6">
        <v>45904</v>
      </c>
      <c r="D159" s="4">
        <v>1800012589</v>
      </c>
      <c r="E159" s="4" t="s">
        <v>19</v>
      </c>
      <c r="F159" s="6">
        <v>45904</v>
      </c>
      <c r="G159" s="7">
        <v>256779417247</v>
      </c>
      <c r="H159" s="4" t="s">
        <v>20</v>
      </c>
      <c r="I159" s="8">
        <v>108.12</v>
      </c>
      <c r="J159" s="4" t="s">
        <v>21</v>
      </c>
      <c r="K159" s="8">
        <v>9462.0499999999993</v>
      </c>
      <c r="L159" s="4" t="s">
        <v>129</v>
      </c>
      <c r="M159" s="4">
        <v>9273</v>
      </c>
      <c r="N159" s="9">
        <v>189.0499999999993</v>
      </c>
      <c r="O159" s="10">
        <v>1.997981409948154E-2</v>
      </c>
      <c r="P159" s="10"/>
      <c r="Q159" s="11">
        <v>189</v>
      </c>
      <c r="R159" s="5">
        <v>9273.0499999999993</v>
      </c>
      <c r="S159" s="4">
        <v>1400002521</v>
      </c>
      <c r="T159">
        <v>1030</v>
      </c>
    </row>
    <row r="160" spans="1:22" x14ac:dyDescent="0.3">
      <c r="A160" s="14" t="s">
        <v>17</v>
      </c>
      <c r="B160" s="14" t="s">
        <v>18</v>
      </c>
      <c r="C160" s="15">
        <v>45904</v>
      </c>
      <c r="D160" s="14">
        <v>1800012589</v>
      </c>
      <c r="E160" s="14" t="s">
        <v>19</v>
      </c>
      <c r="F160" s="15">
        <v>45904</v>
      </c>
      <c r="G160" s="16">
        <v>256779417247</v>
      </c>
      <c r="H160" s="14" t="s">
        <v>20</v>
      </c>
      <c r="I160" s="17">
        <v>108.12</v>
      </c>
      <c r="J160" s="14" t="s">
        <v>21</v>
      </c>
      <c r="K160" s="17">
        <v>9462.0499999999993</v>
      </c>
      <c r="L160" s="14" t="s">
        <v>129</v>
      </c>
      <c r="M160" s="14">
        <v>9273</v>
      </c>
      <c r="N160" s="18">
        <v>189.0499999999993</v>
      </c>
      <c r="O160" s="19">
        <v>1.997981409948154E-2</v>
      </c>
      <c r="P160" s="19"/>
      <c r="Q160" s="20">
        <v>189</v>
      </c>
      <c r="R160" s="20">
        <v>9273.0499999999993</v>
      </c>
      <c r="S160" s="4">
        <v>1400002594</v>
      </c>
      <c r="T160">
        <v>8243</v>
      </c>
      <c r="U160">
        <f>T160/0.98</f>
        <v>8411.224489795919</v>
      </c>
      <c r="V160">
        <f>U160*2%</f>
        <v>168.22448979591837</v>
      </c>
    </row>
    <row r="161" spans="1:20" x14ac:dyDescent="0.3">
      <c r="A161" s="4" t="s">
        <v>17</v>
      </c>
      <c r="B161" s="4" t="s">
        <v>18</v>
      </c>
      <c r="C161" s="6">
        <v>45904</v>
      </c>
      <c r="D161" s="4">
        <v>1800012569</v>
      </c>
      <c r="E161" s="4" t="s">
        <v>19</v>
      </c>
      <c r="F161" s="6">
        <v>45904</v>
      </c>
      <c r="G161" s="7">
        <v>256779417188</v>
      </c>
      <c r="H161" s="4" t="s">
        <v>20</v>
      </c>
      <c r="I161" s="8">
        <v>140</v>
      </c>
      <c r="J161" s="4" t="s">
        <v>21</v>
      </c>
      <c r="K161" s="8">
        <v>12252.01</v>
      </c>
      <c r="L161" s="4" t="s">
        <v>130</v>
      </c>
      <c r="M161" s="4">
        <v>12007</v>
      </c>
      <c r="N161" s="9">
        <v>245.01000000000019</v>
      </c>
      <c r="O161" s="10">
        <v>1.9997535098322659E-2</v>
      </c>
      <c r="P161" s="10"/>
      <c r="Q161" s="11">
        <v>245</v>
      </c>
      <c r="R161" s="5">
        <v>12007.01</v>
      </c>
      <c r="S161" s="4">
        <v>1400002594</v>
      </c>
      <c r="T161">
        <v>12007</v>
      </c>
    </row>
    <row r="162" spans="1:20" x14ac:dyDescent="0.3">
      <c r="A162" s="4" t="s">
        <v>17</v>
      </c>
      <c r="B162" s="4" t="s">
        <v>18</v>
      </c>
      <c r="C162" s="6">
        <v>45904</v>
      </c>
      <c r="D162" s="4">
        <v>1800012650</v>
      </c>
      <c r="E162" s="4" t="s">
        <v>19</v>
      </c>
      <c r="F162" s="6">
        <v>45904</v>
      </c>
      <c r="G162" s="7">
        <v>256779417290</v>
      </c>
      <c r="H162" s="4" t="s">
        <v>20</v>
      </c>
      <c r="I162" s="8">
        <v>578.4</v>
      </c>
      <c r="J162" s="4" t="s">
        <v>21</v>
      </c>
      <c r="K162" s="8">
        <v>50618.29</v>
      </c>
      <c r="L162" s="4" t="s">
        <v>131</v>
      </c>
      <c r="M162" s="4">
        <v>49606</v>
      </c>
      <c r="N162" s="9">
        <v>1012.290000000001</v>
      </c>
      <c r="O162" s="10">
        <v>1.9998502517568271E-2</v>
      </c>
      <c r="P162" s="10"/>
      <c r="Q162" s="11">
        <v>1012</v>
      </c>
      <c r="R162" s="5">
        <v>49606.29</v>
      </c>
      <c r="S162" s="4">
        <v>1400002594</v>
      </c>
      <c r="T162">
        <v>49606</v>
      </c>
    </row>
    <row r="163" spans="1:20" x14ac:dyDescent="0.3">
      <c r="A163" s="4" t="s">
        <v>17</v>
      </c>
      <c r="B163" s="4" t="s">
        <v>18</v>
      </c>
      <c r="C163" s="6">
        <v>45904</v>
      </c>
      <c r="D163" s="4">
        <v>1800012728</v>
      </c>
      <c r="E163" s="4" t="s">
        <v>19</v>
      </c>
      <c r="F163" s="6">
        <v>45904</v>
      </c>
      <c r="G163" s="7">
        <v>256779417362</v>
      </c>
      <c r="H163" s="4" t="s">
        <v>20</v>
      </c>
      <c r="I163" s="8">
        <v>1800</v>
      </c>
      <c r="J163" s="4" t="s">
        <v>21</v>
      </c>
      <c r="K163" s="8">
        <v>157525.79</v>
      </c>
      <c r="L163" s="4" t="s">
        <v>132</v>
      </c>
      <c r="M163" s="4">
        <v>141773</v>
      </c>
      <c r="N163" s="9">
        <v>15752.79000000001</v>
      </c>
      <c r="O163" s="10">
        <v>0.1000013394632079</v>
      </c>
      <c r="P163" s="10"/>
      <c r="Q163" s="11">
        <v>15753</v>
      </c>
      <c r="R163" s="5">
        <v>141772.79</v>
      </c>
      <c r="S163" s="4">
        <v>1400002594</v>
      </c>
      <c r="T163">
        <v>130144</v>
      </c>
    </row>
    <row r="164" spans="1:20" x14ac:dyDescent="0.3">
      <c r="A164" s="14" t="s">
        <v>17</v>
      </c>
      <c r="B164" s="14" t="s">
        <v>18</v>
      </c>
      <c r="C164" s="15">
        <v>45904</v>
      </c>
      <c r="D164" s="14">
        <v>1800012728</v>
      </c>
      <c r="E164" s="14" t="s">
        <v>19</v>
      </c>
      <c r="F164" s="15">
        <v>45904</v>
      </c>
      <c r="G164" s="16">
        <v>256779417362</v>
      </c>
      <c r="H164" s="14" t="s">
        <v>20</v>
      </c>
      <c r="I164" s="17">
        <v>1800</v>
      </c>
      <c r="J164" s="14" t="s">
        <v>21</v>
      </c>
      <c r="K164" s="17">
        <v>157525.79</v>
      </c>
      <c r="L164" s="14" t="s">
        <v>132</v>
      </c>
      <c r="M164" s="14">
        <v>141773</v>
      </c>
      <c r="N164" s="18">
        <v>15752.79000000001</v>
      </c>
      <c r="O164" s="19">
        <v>0.1000013394632079</v>
      </c>
      <c r="P164" s="19"/>
      <c r="Q164" s="20">
        <v>15753</v>
      </c>
      <c r="R164" s="20">
        <v>141772.79</v>
      </c>
      <c r="S164" s="4">
        <v>1400002602</v>
      </c>
      <c r="T164">
        <v>11629</v>
      </c>
    </row>
    <row r="165" spans="1:20" x14ac:dyDescent="0.3">
      <c r="A165" s="4" t="s">
        <v>17</v>
      </c>
      <c r="B165" s="4" t="s">
        <v>18</v>
      </c>
      <c r="C165" s="6">
        <v>45906</v>
      </c>
      <c r="D165" s="4">
        <v>1800012467</v>
      </c>
      <c r="E165" s="4" t="s">
        <v>19</v>
      </c>
      <c r="F165" s="6">
        <v>45906</v>
      </c>
      <c r="G165" s="7">
        <v>256779417075</v>
      </c>
      <c r="H165" s="4" t="s">
        <v>20</v>
      </c>
      <c r="I165" s="8">
        <v>1099.02</v>
      </c>
      <c r="J165" s="4" t="s">
        <v>21</v>
      </c>
      <c r="K165" s="8">
        <v>96180</v>
      </c>
      <c r="L165" s="4" t="s">
        <v>133</v>
      </c>
      <c r="M165" s="4">
        <v>86562</v>
      </c>
      <c r="N165" s="9">
        <v>9618</v>
      </c>
      <c r="O165" s="10">
        <v>0.1</v>
      </c>
      <c r="P165" s="10"/>
      <c r="Q165" s="11">
        <v>9618</v>
      </c>
      <c r="R165" s="5">
        <v>86562</v>
      </c>
      <c r="S165" s="4">
        <v>1400002602</v>
      </c>
      <c r="T165">
        <v>86562</v>
      </c>
    </row>
    <row r="166" spans="1:20" x14ac:dyDescent="0.3">
      <c r="A166" s="4" t="s">
        <v>17</v>
      </c>
      <c r="B166" s="4" t="s">
        <v>18</v>
      </c>
      <c r="C166" s="6">
        <v>45917</v>
      </c>
      <c r="D166" s="4">
        <v>1800012790</v>
      </c>
      <c r="E166" s="4" t="s">
        <v>19</v>
      </c>
      <c r="F166" s="6">
        <v>45917</v>
      </c>
      <c r="G166" s="7">
        <v>256779417444</v>
      </c>
      <c r="H166" s="4" t="s">
        <v>20</v>
      </c>
      <c r="I166" s="8">
        <v>1326.2</v>
      </c>
      <c r="J166" s="4" t="s">
        <v>21</v>
      </c>
      <c r="K166" s="8">
        <v>116061.5</v>
      </c>
      <c r="L166" s="4" t="s">
        <v>134</v>
      </c>
      <c r="M166" s="4">
        <v>113740</v>
      </c>
      <c r="N166" s="9">
        <v>2321.5</v>
      </c>
      <c r="O166" s="10">
        <v>2.0002326352838801E-2</v>
      </c>
      <c r="P166" s="10"/>
      <c r="Q166" s="11">
        <v>2321</v>
      </c>
      <c r="R166" s="5">
        <v>113740.5</v>
      </c>
      <c r="S166" s="4">
        <v>1400002602</v>
      </c>
      <c r="T166">
        <v>101809</v>
      </c>
    </row>
    <row r="167" spans="1:20" x14ac:dyDescent="0.3">
      <c r="A167" s="4" t="s">
        <v>17</v>
      </c>
      <c r="B167" s="4" t="s">
        <v>18</v>
      </c>
      <c r="C167" s="6">
        <v>45918</v>
      </c>
      <c r="D167" s="4">
        <v>1800012995</v>
      </c>
      <c r="E167" s="4" t="s">
        <v>19</v>
      </c>
      <c r="F167" s="6">
        <v>45918</v>
      </c>
      <c r="G167" s="7">
        <v>256779417530</v>
      </c>
      <c r="H167" s="4" t="s">
        <v>20</v>
      </c>
      <c r="I167" s="8">
        <v>41.3</v>
      </c>
      <c r="J167" s="4" t="s">
        <v>21</v>
      </c>
      <c r="K167" s="8">
        <v>3614.34</v>
      </c>
      <c r="L167" s="4" t="s">
        <v>135</v>
      </c>
      <c r="M167" s="4">
        <v>3542</v>
      </c>
      <c r="N167" s="9">
        <v>72.340000000000146</v>
      </c>
      <c r="O167" s="10">
        <v>2.001471914651088E-2</v>
      </c>
      <c r="P167" s="10"/>
      <c r="Q167" s="11">
        <v>72</v>
      </c>
      <c r="R167" s="5">
        <v>3542.34</v>
      </c>
      <c r="S167" s="12"/>
    </row>
    <row r="168" spans="1:20" x14ac:dyDescent="0.3">
      <c r="A168" s="4" t="s">
        <v>17</v>
      </c>
      <c r="B168" s="4" t="s">
        <v>18</v>
      </c>
      <c r="C168" s="6">
        <v>45918</v>
      </c>
      <c r="D168" s="4">
        <v>1800012932</v>
      </c>
      <c r="E168" s="4" t="s">
        <v>19</v>
      </c>
      <c r="F168" s="6">
        <v>45918</v>
      </c>
      <c r="G168" s="7">
        <v>256779417571</v>
      </c>
      <c r="H168" s="4" t="s">
        <v>20</v>
      </c>
      <c r="I168" s="8">
        <v>156.84</v>
      </c>
      <c r="J168" s="4" t="s">
        <v>21</v>
      </c>
      <c r="K168" s="8">
        <v>13725.75</v>
      </c>
      <c r="L168" s="4" t="s">
        <v>136</v>
      </c>
      <c r="M168" s="4">
        <v>13451</v>
      </c>
      <c r="N168" s="9">
        <v>274.75</v>
      </c>
      <c r="O168" s="10">
        <v>2.0017121104493382E-2</v>
      </c>
      <c r="P168" s="10"/>
      <c r="Q168" s="11">
        <v>275</v>
      </c>
      <c r="R168" s="5">
        <v>13450.75</v>
      </c>
      <c r="S168" s="12"/>
    </row>
    <row r="169" spans="1:20" x14ac:dyDescent="0.3">
      <c r="A169" s="4" t="s">
        <v>17</v>
      </c>
      <c r="B169" s="4" t="s">
        <v>18</v>
      </c>
      <c r="C169" s="6">
        <v>45935</v>
      </c>
      <c r="D169" s="4">
        <v>1800013308</v>
      </c>
      <c r="E169" s="4" t="s">
        <v>19</v>
      </c>
      <c r="F169" s="6">
        <v>45935</v>
      </c>
      <c r="G169" s="7">
        <v>256779417904</v>
      </c>
      <c r="H169" s="4" t="s">
        <v>20</v>
      </c>
      <c r="I169" s="8">
        <v>29.9</v>
      </c>
      <c r="J169" s="4" t="s">
        <v>21</v>
      </c>
      <c r="K169" s="8">
        <v>2636.9</v>
      </c>
      <c r="L169" s="4" t="s">
        <v>137</v>
      </c>
      <c r="M169" s="4">
        <v>2584</v>
      </c>
      <c r="N169" s="9">
        <v>52.900000000000091</v>
      </c>
      <c r="O169" s="10">
        <v>2.0061435776859229E-2</v>
      </c>
      <c r="P169" s="10"/>
      <c r="Q169" s="11">
        <v>53</v>
      </c>
      <c r="R169" s="5">
        <v>2583.9</v>
      </c>
      <c r="S169" s="12"/>
    </row>
    <row r="170" spans="1:20" x14ac:dyDescent="0.3">
      <c r="A170" s="4" t="s">
        <v>17</v>
      </c>
      <c r="B170" s="4" t="s">
        <v>18</v>
      </c>
      <c r="C170" s="6">
        <v>45935</v>
      </c>
      <c r="D170" s="4">
        <v>1800013513</v>
      </c>
      <c r="E170" s="4" t="s">
        <v>19</v>
      </c>
      <c r="F170" s="6">
        <v>45935</v>
      </c>
      <c r="G170" s="7">
        <v>256779418403</v>
      </c>
      <c r="H170" s="4" t="s">
        <v>20</v>
      </c>
      <c r="I170" s="8">
        <v>51.34</v>
      </c>
      <c r="J170" s="4" t="s">
        <v>21</v>
      </c>
      <c r="K170" s="8">
        <v>4527.71</v>
      </c>
      <c r="L170" s="4" t="s">
        <v>138</v>
      </c>
      <c r="M170" s="4">
        <v>4437</v>
      </c>
      <c r="N170" s="9">
        <v>90.710000000000036</v>
      </c>
      <c r="O170" s="10">
        <v>2.003441033105036E-2</v>
      </c>
      <c r="P170" s="10"/>
      <c r="Q170" s="11">
        <v>91</v>
      </c>
      <c r="R170" s="5">
        <v>4436.71</v>
      </c>
      <c r="S170" s="12"/>
    </row>
    <row r="171" spans="1:20" x14ac:dyDescent="0.3">
      <c r="A171" s="4" t="s">
        <v>17</v>
      </c>
      <c r="B171" s="4" t="s">
        <v>18</v>
      </c>
      <c r="C171" s="6">
        <v>45935</v>
      </c>
      <c r="D171" s="4">
        <v>1800013386</v>
      </c>
      <c r="E171" s="4" t="s">
        <v>19</v>
      </c>
      <c r="F171" s="6">
        <v>45935</v>
      </c>
      <c r="G171" s="7">
        <v>256779417982</v>
      </c>
      <c r="H171" s="4" t="s">
        <v>20</v>
      </c>
      <c r="I171" s="8">
        <v>156.08000000000001</v>
      </c>
      <c r="J171" s="4" t="s">
        <v>21</v>
      </c>
      <c r="K171" s="8">
        <v>13764.82</v>
      </c>
      <c r="L171" s="4" t="s">
        <v>139</v>
      </c>
      <c r="M171" s="4">
        <v>13490</v>
      </c>
      <c r="N171" s="9">
        <v>274.81999999999971</v>
      </c>
      <c r="O171" s="10">
        <v>1.996539003052708E-2</v>
      </c>
      <c r="P171" s="10"/>
      <c r="Q171" s="11">
        <v>275</v>
      </c>
      <c r="R171" s="5">
        <v>13489.82</v>
      </c>
      <c r="S171" s="12"/>
    </row>
    <row r="172" spans="1:20" x14ac:dyDescent="0.3">
      <c r="A172" s="4" t="s">
        <v>17</v>
      </c>
      <c r="B172" s="4" t="s">
        <v>18</v>
      </c>
      <c r="C172" s="6">
        <v>45935</v>
      </c>
      <c r="D172" s="4">
        <v>1800013347</v>
      </c>
      <c r="E172" s="4" t="s">
        <v>19</v>
      </c>
      <c r="F172" s="6">
        <v>45935</v>
      </c>
      <c r="G172" s="7">
        <v>256779417943</v>
      </c>
      <c r="H172" s="4" t="s">
        <v>20</v>
      </c>
      <c r="I172" s="8">
        <v>270.85000000000002</v>
      </c>
      <c r="J172" s="4" t="s">
        <v>21</v>
      </c>
      <c r="K172" s="8">
        <v>23886.47</v>
      </c>
      <c r="L172" s="4" t="s">
        <v>140</v>
      </c>
      <c r="M172" s="4">
        <v>23408</v>
      </c>
      <c r="N172" s="9">
        <v>478.47000000000122</v>
      </c>
      <c r="O172" s="10">
        <v>2.003100499990167E-2</v>
      </c>
      <c r="P172" s="10"/>
      <c r="Q172" s="11">
        <v>478</v>
      </c>
      <c r="R172" s="5">
        <v>23408.47</v>
      </c>
      <c r="S172" s="12"/>
    </row>
    <row r="173" spans="1:20" x14ac:dyDescent="0.3">
      <c r="A173" s="4" t="s">
        <v>17</v>
      </c>
      <c r="B173" s="4" t="s">
        <v>18</v>
      </c>
      <c r="C173" s="6">
        <v>45935</v>
      </c>
      <c r="D173" s="4">
        <v>1800013449</v>
      </c>
      <c r="E173" s="4" t="s">
        <v>19</v>
      </c>
      <c r="F173" s="6">
        <v>45935</v>
      </c>
      <c r="G173" s="7">
        <v>256779418025</v>
      </c>
      <c r="H173" s="4" t="s">
        <v>20</v>
      </c>
      <c r="I173" s="8">
        <v>1800</v>
      </c>
      <c r="J173" s="4" t="s">
        <v>21</v>
      </c>
      <c r="K173" s="8">
        <v>158743.39000000001</v>
      </c>
      <c r="L173" s="4" t="s">
        <v>141</v>
      </c>
      <c r="M173" s="4">
        <v>142869</v>
      </c>
      <c r="N173" s="9">
        <v>15874.39000000001</v>
      </c>
      <c r="O173" s="10">
        <v>0.1000003212732197</v>
      </c>
      <c r="P173" s="10"/>
      <c r="Q173" s="11">
        <v>15874</v>
      </c>
      <c r="R173" s="5">
        <v>142869.39000000001</v>
      </c>
      <c r="S173" s="4"/>
    </row>
    <row r="174" spans="1:20" x14ac:dyDescent="0.3">
      <c r="A174" s="4" t="s">
        <v>17</v>
      </c>
      <c r="B174" s="4" t="s">
        <v>18</v>
      </c>
      <c r="C174" s="6">
        <v>45936</v>
      </c>
      <c r="D174" s="4">
        <v>1800013278</v>
      </c>
      <c r="E174" s="4" t="s">
        <v>19</v>
      </c>
      <c r="F174" s="6">
        <v>45936</v>
      </c>
      <c r="G174" s="7">
        <v>256779418014</v>
      </c>
      <c r="H174" s="4" t="s">
        <v>20</v>
      </c>
      <c r="I174" s="8">
        <v>1329.96</v>
      </c>
      <c r="J174" s="4" t="s">
        <v>21</v>
      </c>
      <c r="K174" s="8">
        <v>117290.2</v>
      </c>
      <c r="L174" s="4" t="s">
        <v>142</v>
      </c>
      <c r="M174" s="4">
        <v>105561</v>
      </c>
      <c r="N174" s="9">
        <v>11729.2</v>
      </c>
      <c r="O174" s="10">
        <v>0.1000015346550692</v>
      </c>
      <c r="P174" s="10"/>
      <c r="Q174" s="11">
        <v>11729</v>
      </c>
      <c r="R174" s="5">
        <v>105561.2</v>
      </c>
      <c r="S174" s="4"/>
    </row>
    <row r="175" spans="1:20" x14ac:dyDescent="0.3">
      <c r="A175" s="4" t="s">
        <v>17</v>
      </c>
      <c r="B175" s="4" t="s">
        <v>18</v>
      </c>
      <c r="C175" s="6">
        <v>45937</v>
      </c>
      <c r="D175" s="4">
        <v>1800013761</v>
      </c>
      <c r="E175" s="4" t="s">
        <v>19</v>
      </c>
      <c r="F175" s="6">
        <v>45937</v>
      </c>
      <c r="G175" s="7">
        <v>256779418182</v>
      </c>
      <c r="H175" s="4" t="s">
        <v>20</v>
      </c>
      <c r="I175" s="8">
        <v>559.99</v>
      </c>
      <c r="J175" s="4" t="s">
        <v>21</v>
      </c>
      <c r="K175" s="8">
        <v>49385.95</v>
      </c>
      <c r="L175" s="4" t="s">
        <v>143</v>
      </c>
      <c r="M175" s="4">
        <v>48398</v>
      </c>
      <c r="N175" s="9">
        <v>987.94999999999709</v>
      </c>
      <c r="O175" s="10">
        <v>2.000467744368585E-2</v>
      </c>
      <c r="P175" s="10"/>
      <c r="Q175" s="11">
        <v>988</v>
      </c>
      <c r="R175" s="5">
        <v>48397.95</v>
      </c>
      <c r="S175" s="12"/>
    </row>
    <row r="176" spans="1:20" x14ac:dyDescent="0.3">
      <c r="A176" s="4" t="s">
        <v>17</v>
      </c>
      <c r="B176" s="4" t="s">
        <v>18</v>
      </c>
      <c r="C176" s="6">
        <v>45948</v>
      </c>
      <c r="D176" s="4">
        <v>1800014006</v>
      </c>
      <c r="E176" s="4" t="s">
        <v>19</v>
      </c>
      <c r="F176" s="6">
        <v>45948</v>
      </c>
      <c r="G176" s="7">
        <v>256779418430</v>
      </c>
      <c r="H176" s="4" t="s">
        <v>20</v>
      </c>
      <c r="I176" s="8">
        <v>46.92</v>
      </c>
      <c r="J176" s="4" t="s">
        <v>21</v>
      </c>
      <c r="K176" s="8">
        <v>4137.91</v>
      </c>
      <c r="L176" s="4" t="s">
        <v>144</v>
      </c>
      <c r="M176" s="4">
        <v>4055</v>
      </c>
      <c r="N176" s="9">
        <v>82.909999999999854</v>
      </c>
      <c r="O176" s="10">
        <v>2.0036685186483001E-2</v>
      </c>
      <c r="P176" s="10"/>
      <c r="Q176" s="11">
        <v>83</v>
      </c>
      <c r="R176" s="5">
        <v>4054.91</v>
      </c>
      <c r="S176" s="12"/>
    </row>
    <row r="177" spans="1:19" x14ac:dyDescent="0.3">
      <c r="A177" s="4" t="s">
        <v>17</v>
      </c>
      <c r="B177" s="4" t="s">
        <v>18</v>
      </c>
      <c r="C177" s="6">
        <v>45950</v>
      </c>
      <c r="D177" s="4">
        <v>1800013929</v>
      </c>
      <c r="E177" s="4" t="s">
        <v>19</v>
      </c>
      <c r="F177" s="6">
        <v>45950</v>
      </c>
      <c r="G177" s="7">
        <v>256779418706</v>
      </c>
      <c r="H177" s="4" t="s">
        <v>20</v>
      </c>
      <c r="I177" s="8">
        <v>54.34</v>
      </c>
      <c r="J177" s="4" t="s">
        <v>21</v>
      </c>
      <c r="K177" s="8">
        <v>4792.29</v>
      </c>
      <c r="L177" s="4" t="s">
        <v>145</v>
      </c>
      <c r="M177" s="4">
        <v>4696</v>
      </c>
      <c r="N177" s="9">
        <v>96.289999999999964</v>
      </c>
      <c r="O177" s="10">
        <v>2.009269055086399E-2</v>
      </c>
      <c r="P177" s="10"/>
      <c r="Q177" s="11">
        <v>96</v>
      </c>
      <c r="R177" s="5">
        <v>4696.29</v>
      </c>
      <c r="S177" s="12"/>
    </row>
    <row r="178" spans="1:19" x14ac:dyDescent="0.3">
      <c r="A178" s="4" t="s">
        <v>17</v>
      </c>
      <c r="B178" s="4" t="s">
        <v>18</v>
      </c>
      <c r="C178" s="6">
        <v>45950</v>
      </c>
      <c r="D178" s="4">
        <v>1800013810</v>
      </c>
      <c r="E178" s="4" t="s">
        <v>19</v>
      </c>
      <c r="F178" s="6">
        <v>45950</v>
      </c>
      <c r="G178" s="7">
        <v>256779418628</v>
      </c>
      <c r="H178" s="4" t="s">
        <v>20</v>
      </c>
      <c r="I178" s="8">
        <v>235</v>
      </c>
      <c r="J178" s="4" t="s">
        <v>21</v>
      </c>
      <c r="K178" s="8">
        <v>20724.830000000002</v>
      </c>
      <c r="L178" s="4" t="s">
        <v>146</v>
      </c>
      <c r="M178" s="4">
        <v>20311</v>
      </c>
      <c r="N178" s="9">
        <v>413.83000000000169</v>
      </c>
      <c r="O178" s="10">
        <v>1.996783568309133E-2</v>
      </c>
      <c r="P178" s="10"/>
      <c r="Q178" s="11">
        <v>414</v>
      </c>
      <c r="R178" s="5">
        <v>20310.830000000002</v>
      </c>
      <c r="S178" s="12"/>
    </row>
    <row r="179" spans="1:19" x14ac:dyDescent="0.3">
      <c r="A179" s="4" t="s">
        <v>17</v>
      </c>
      <c r="B179" s="4" t="s">
        <v>18</v>
      </c>
      <c r="C179" s="6">
        <v>45951</v>
      </c>
      <c r="D179" s="4">
        <v>1800013950</v>
      </c>
      <c r="E179" s="4" t="s">
        <v>19</v>
      </c>
      <c r="F179" s="6">
        <v>45951</v>
      </c>
      <c r="G179" s="7">
        <v>256779418482</v>
      </c>
      <c r="H179" s="4" t="s">
        <v>20</v>
      </c>
      <c r="I179" s="8">
        <v>13.59</v>
      </c>
      <c r="J179" s="4" t="s">
        <v>21</v>
      </c>
      <c r="K179" s="8">
        <v>1198.51</v>
      </c>
      <c r="L179" s="4" t="s">
        <v>147</v>
      </c>
      <c r="M179" s="4">
        <v>1175</v>
      </c>
      <c r="N179" s="9">
        <v>23.509999999999991</v>
      </c>
      <c r="O179" s="10">
        <v>1.9616023228842469E-2</v>
      </c>
      <c r="P179" s="10"/>
      <c r="Q179" s="11">
        <v>24</v>
      </c>
      <c r="R179" s="5">
        <v>1174.51</v>
      </c>
      <c r="S179" s="12"/>
    </row>
    <row r="180" spans="1:19" x14ac:dyDescent="0.3">
      <c r="A180" s="4" t="s">
        <v>17</v>
      </c>
      <c r="B180" s="4" t="s">
        <v>18</v>
      </c>
      <c r="C180" s="6">
        <v>45958</v>
      </c>
      <c r="D180" s="4">
        <v>1800014196</v>
      </c>
      <c r="E180" s="4" t="s">
        <v>19</v>
      </c>
      <c r="F180" s="6">
        <v>45958</v>
      </c>
      <c r="G180" s="7">
        <v>256779418736</v>
      </c>
      <c r="H180" s="4" t="s">
        <v>20</v>
      </c>
      <c r="I180" s="8">
        <v>246.92</v>
      </c>
      <c r="J180" s="4" t="s">
        <v>21</v>
      </c>
      <c r="K180" s="8">
        <v>21776.06</v>
      </c>
      <c r="L180" s="4" t="s">
        <v>148</v>
      </c>
      <c r="M180" s="4">
        <v>21340</v>
      </c>
      <c r="N180" s="9">
        <v>436.06000000000131</v>
      </c>
      <c r="O180" s="10">
        <v>2.0024742767975529E-2</v>
      </c>
      <c r="P180" s="10"/>
      <c r="Q180" s="11">
        <v>436</v>
      </c>
      <c r="R180" s="5">
        <v>21340.06</v>
      </c>
      <c r="S180" s="12"/>
    </row>
    <row r="181" spans="1:19" x14ac:dyDescent="0.3">
      <c r="A181" s="4" t="s">
        <v>17</v>
      </c>
      <c r="B181" s="4" t="s">
        <v>18</v>
      </c>
      <c r="C181" s="6">
        <v>45964</v>
      </c>
      <c r="D181" s="4">
        <v>1800014414</v>
      </c>
      <c r="E181" s="4" t="s">
        <v>19</v>
      </c>
      <c r="F181" s="6">
        <v>45964</v>
      </c>
      <c r="G181" s="7">
        <v>256779419136</v>
      </c>
      <c r="H181" s="4" t="s">
        <v>20</v>
      </c>
      <c r="I181" s="8">
        <v>459.88</v>
      </c>
      <c r="J181" s="4" t="s">
        <v>21</v>
      </c>
      <c r="K181" s="8">
        <v>40471</v>
      </c>
      <c r="L181" s="4" t="s">
        <v>149</v>
      </c>
      <c r="M181" s="4">
        <v>39662</v>
      </c>
      <c r="N181" s="9">
        <v>809</v>
      </c>
      <c r="O181" s="10">
        <v>1.9989622198611352E-2</v>
      </c>
      <c r="P181" s="10"/>
      <c r="Q181" s="11">
        <v>809</v>
      </c>
      <c r="R181" s="5">
        <v>39662</v>
      </c>
      <c r="S181" s="12"/>
    </row>
    <row r="182" spans="1:19" x14ac:dyDescent="0.3">
      <c r="A182" s="4" t="s">
        <v>17</v>
      </c>
      <c r="B182" s="4" t="s">
        <v>18</v>
      </c>
      <c r="C182" s="6">
        <v>45966</v>
      </c>
      <c r="D182" s="4">
        <v>1800014622</v>
      </c>
      <c r="E182" s="4" t="s">
        <v>19</v>
      </c>
      <c r="F182" s="6">
        <v>45966</v>
      </c>
      <c r="G182" s="7">
        <v>256779419204</v>
      </c>
      <c r="H182" s="4" t="s">
        <v>20</v>
      </c>
      <c r="I182" s="8">
        <v>13.3</v>
      </c>
      <c r="J182" s="4" t="s">
        <v>21</v>
      </c>
      <c r="K182" s="8">
        <v>1170.45</v>
      </c>
      <c r="L182" s="4" t="s">
        <v>150</v>
      </c>
      <c r="M182" s="4">
        <v>1147</v>
      </c>
      <c r="N182" s="9">
        <v>23.450000000000049</v>
      </c>
      <c r="O182" s="10">
        <v>2.00350292622496E-2</v>
      </c>
      <c r="P182" s="10"/>
      <c r="Q182" s="11">
        <v>23</v>
      </c>
      <c r="R182" s="5">
        <v>1147.45</v>
      </c>
      <c r="S182" s="12"/>
    </row>
    <row r="183" spans="1:19" x14ac:dyDescent="0.3">
      <c r="A183" s="4" t="s">
        <v>17</v>
      </c>
      <c r="B183" s="4" t="s">
        <v>18</v>
      </c>
      <c r="C183" s="6">
        <v>45966</v>
      </c>
      <c r="D183" s="4">
        <v>1800014291</v>
      </c>
      <c r="E183" s="4" t="s">
        <v>19</v>
      </c>
      <c r="F183" s="6">
        <v>45966</v>
      </c>
      <c r="G183" s="7">
        <v>256779418828</v>
      </c>
      <c r="H183" s="4" t="s">
        <v>20</v>
      </c>
      <c r="I183" s="8">
        <v>13.53</v>
      </c>
      <c r="J183" s="4" t="s">
        <v>21</v>
      </c>
      <c r="K183" s="8">
        <v>1190.69</v>
      </c>
      <c r="L183" s="4" t="s">
        <v>151</v>
      </c>
      <c r="M183" s="4">
        <v>1167</v>
      </c>
      <c r="N183" s="9">
        <v>23.690000000000051</v>
      </c>
      <c r="O183" s="10">
        <v>1.9896026673609461E-2</v>
      </c>
      <c r="P183" s="10"/>
      <c r="Q183" s="11">
        <v>24</v>
      </c>
      <c r="R183" s="5">
        <v>1166.69</v>
      </c>
      <c r="S183" s="12"/>
    </row>
    <row r="184" spans="1:19" x14ac:dyDescent="0.3">
      <c r="A184" s="4" t="s">
        <v>17</v>
      </c>
      <c r="B184" s="4" t="s">
        <v>18</v>
      </c>
      <c r="C184" s="6">
        <v>45966</v>
      </c>
      <c r="D184" s="4">
        <v>1800014599</v>
      </c>
      <c r="E184" s="4" t="s">
        <v>19</v>
      </c>
      <c r="F184" s="6">
        <v>45966</v>
      </c>
      <c r="G184" s="7">
        <v>256779419098</v>
      </c>
      <c r="H184" s="4" t="s">
        <v>20</v>
      </c>
      <c r="I184" s="8">
        <v>35</v>
      </c>
      <c r="J184" s="4" t="s">
        <v>21</v>
      </c>
      <c r="K184" s="8">
        <v>3080.12</v>
      </c>
      <c r="L184" s="4" t="s">
        <v>152</v>
      </c>
      <c r="M184" s="4">
        <v>3018</v>
      </c>
      <c r="N184" s="9">
        <v>62.119999999999891</v>
      </c>
      <c r="O184" s="10">
        <v>2.0168045400828501E-2</v>
      </c>
      <c r="P184" s="10"/>
      <c r="Q184" s="11">
        <v>62</v>
      </c>
      <c r="R184" s="5">
        <v>3018.12</v>
      </c>
      <c r="S184" s="12"/>
    </row>
    <row r="185" spans="1:19" x14ac:dyDescent="0.3">
      <c r="A185" s="4" t="s">
        <v>17</v>
      </c>
      <c r="B185" s="4" t="s">
        <v>18</v>
      </c>
      <c r="C185" s="6">
        <v>45966</v>
      </c>
      <c r="D185" s="4">
        <v>1800014705</v>
      </c>
      <c r="E185" s="4" t="s">
        <v>19</v>
      </c>
      <c r="F185" s="6">
        <v>45966</v>
      </c>
      <c r="G185" s="7">
        <v>256779419087</v>
      </c>
      <c r="H185" s="4" t="s">
        <v>20</v>
      </c>
      <c r="I185" s="8">
        <v>140</v>
      </c>
      <c r="J185" s="4" t="s">
        <v>21</v>
      </c>
      <c r="K185" s="8">
        <v>12320.47</v>
      </c>
      <c r="L185" s="4" t="s">
        <v>153</v>
      </c>
      <c r="M185" s="4">
        <v>12074</v>
      </c>
      <c r="N185" s="9">
        <v>246.46999999999929</v>
      </c>
      <c r="O185" s="10">
        <v>2.0004918643525719E-2</v>
      </c>
      <c r="P185" s="10"/>
      <c r="Q185" s="11">
        <v>246</v>
      </c>
      <c r="R185" s="5">
        <v>12074.47</v>
      </c>
      <c r="S185" s="12"/>
    </row>
    <row r="186" spans="1:19" x14ac:dyDescent="0.3">
      <c r="A186" s="4" t="s">
        <v>17</v>
      </c>
      <c r="B186" s="4" t="s">
        <v>18</v>
      </c>
      <c r="C186" s="6">
        <v>45966</v>
      </c>
      <c r="D186" s="4">
        <v>1800014734</v>
      </c>
      <c r="E186" s="4" t="s">
        <v>19</v>
      </c>
      <c r="F186" s="6">
        <v>45966</v>
      </c>
      <c r="G186" s="7">
        <v>256779419235</v>
      </c>
      <c r="H186" s="4" t="s">
        <v>20</v>
      </c>
      <c r="I186" s="8">
        <v>146.19</v>
      </c>
      <c r="J186" s="4" t="s">
        <v>21</v>
      </c>
      <c r="K186" s="8">
        <v>12865.22</v>
      </c>
      <c r="L186" s="4" t="s">
        <v>154</v>
      </c>
      <c r="M186" s="4">
        <v>12608</v>
      </c>
      <c r="N186" s="9">
        <v>257.21999999999929</v>
      </c>
      <c r="O186" s="10">
        <v>1.999343967689626E-2</v>
      </c>
      <c r="P186" s="10"/>
      <c r="Q186" s="11">
        <v>257</v>
      </c>
      <c r="R186" s="5">
        <v>12608.22</v>
      </c>
      <c r="S186" s="12"/>
    </row>
    <row r="187" spans="1:19" x14ac:dyDescent="0.3">
      <c r="A187" s="4" t="s">
        <v>17</v>
      </c>
      <c r="B187" s="4" t="s">
        <v>18</v>
      </c>
      <c r="C187" s="6">
        <v>45966</v>
      </c>
      <c r="D187" s="4">
        <v>1800014766</v>
      </c>
      <c r="E187" s="4" t="s">
        <v>19</v>
      </c>
      <c r="F187" s="6">
        <v>45966</v>
      </c>
      <c r="G187" s="7">
        <v>256779419267</v>
      </c>
      <c r="H187" s="4" t="s">
        <v>20</v>
      </c>
      <c r="I187" s="8">
        <v>197.23</v>
      </c>
      <c r="J187" s="4" t="s">
        <v>21</v>
      </c>
      <c r="K187" s="8">
        <v>17356.91</v>
      </c>
      <c r="L187" s="4" t="s">
        <v>155</v>
      </c>
      <c r="M187" s="4">
        <v>17010</v>
      </c>
      <c r="N187" s="9">
        <v>346.90999999999991</v>
      </c>
      <c r="O187" s="10">
        <v>1.9986852498514989E-2</v>
      </c>
      <c r="P187" s="10"/>
      <c r="Q187" s="11">
        <v>347</v>
      </c>
      <c r="R187" s="5">
        <v>17009.91</v>
      </c>
      <c r="S187" s="12"/>
    </row>
    <row r="188" spans="1:19" x14ac:dyDescent="0.3">
      <c r="A188" s="4" t="s">
        <v>17</v>
      </c>
      <c r="B188" s="4" t="s">
        <v>18</v>
      </c>
      <c r="C188" s="6">
        <v>45966</v>
      </c>
      <c r="D188" s="4">
        <v>1800014530</v>
      </c>
      <c r="E188" s="4" t="s">
        <v>19</v>
      </c>
      <c r="F188" s="6">
        <v>45966</v>
      </c>
      <c r="G188" s="7">
        <v>256779419179</v>
      </c>
      <c r="H188" s="4" t="s">
        <v>20</v>
      </c>
      <c r="I188" s="8">
        <v>322.64</v>
      </c>
      <c r="J188" s="4" t="s">
        <v>21</v>
      </c>
      <c r="K188" s="8">
        <v>28393.41</v>
      </c>
      <c r="L188" s="4" t="s">
        <v>156</v>
      </c>
      <c r="M188" s="4">
        <v>27825</v>
      </c>
      <c r="N188" s="9">
        <v>568.40999999999985</v>
      </c>
      <c r="O188" s="10">
        <v>2.001908189259409E-2</v>
      </c>
      <c r="P188" s="10"/>
      <c r="Q188" s="11">
        <v>568</v>
      </c>
      <c r="R188" s="5">
        <v>27825.41</v>
      </c>
      <c r="S188" s="12"/>
    </row>
    <row r="189" spans="1:19" x14ac:dyDescent="0.3">
      <c r="A189" s="4" t="s">
        <v>17</v>
      </c>
      <c r="B189" s="4" t="s">
        <v>18</v>
      </c>
      <c r="C189" s="6">
        <v>45966</v>
      </c>
      <c r="D189" s="4">
        <v>1800014539</v>
      </c>
      <c r="E189" s="4" t="s">
        <v>19</v>
      </c>
      <c r="F189" s="6">
        <v>45966</v>
      </c>
      <c r="G189" s="7">
        <v>256779418871</v>
      </c>
      <c r="H189" s="4" t="s">
        <v>20</v>
      </c>
      <c r="I189" s="8">
        <v>1068.54</v>
      </c>
      <c r="J189" s="4" t="s">
        <v>21</v>
      </c>
      <c r="K189" s="8">
        <v>94035.14</v>
      </c>
      <c r="L189" s="4" t="s">
        <v>157</v>
      </c>
      <c r="M189" s="4">
        <v>84631</v>
      </c>
      <c r="N189" s="9">
        <v>9404.14</v>
      </c>
      <c r="O189" s="10">
        <v>0.1000066570858511</v>
      </c>
      <c r="P189" s="10"/>
      <c r="Q189" s="11">
        <v>9404</v>
      </c>
      <c r="R189" s="5">
        <v>84631.14</v>
      </c>
      <c r="S189" s="4"/>
    </row>
    <row r="190" spans="1:19" x14ac:dyDescent="0.3">
      <c r="A190" s="4" t="s">
        <v>17</v>
      </c>
      <c r="B190" s="4" t="s">
        <v>18</v>
      </c>
      <c r="C190" s="6">
        <v>45966</v>
      </c>
      <c r="D190" s="4">
        <v>1800014252</v>
      </c>
      <c r="E190" s="4" t="s">
        <v>19</v>
      </c>
      <c r="F190" s="6">
        <v>45966</v>
      </c>
      <c r="G190" s="7">
        <v>256779418791</v>
      </c>
      <c r="H190" s="4" t="s">
        <v>20</v>
      </c>
      <c r="I190" s="8">
        <v>1800</v>
      </c>
      <c r="J190" s="4" t="s">
        <v>21</v>
      </c>
      <c r="K190" s="8">
        <v>158406.1</v>
      </c>
      <c r="L190" s="4" t="s">
        <v>158</v>
      </c>
      <c r="M190" s="4">
        <v>142565</v>
      </c>
      <c r="N190" s="9">
        <v>15841.100000000009</v>
      </c>
      <c r="O190" s="10">
        <v>0.1000030933152196</v>
      </c>
      <c r="P190" s="10"/>
      <c r="Q190" s="11">
        <v>15841</v>
      </c>
      <c r="R190" s="5">
        <v>142565.1</v>
      </c>
      <c r="S190" s="4"/>
    </row>
  </sheetData>
  <autoFilter ref="A1:T190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2" workbookViewId="0">
      <selection activeCell="D2" sqref="D2:D25"/>
    </sheetView>
  </sheetViews>
  <sheetFormatPr defaultRowHeight="14.4" x14ac:dyDescent="0.3"/>
  <cols>
    <col min="1" max="1" width="11.21875" bestFit="1" customWidth="1"/>
    <col min="2" max="2" width="16.5546875" bestFit="1" customWidth="1"/>
    <col min="3" max="3" width="8.77734375" bestFit="1" customWidth="1"/>
    <col min="4" max="4" width="11.109375" bestFit="1" customWidth="1"/>
    <col min="5" max="5" width="23" bestFit="1" customWidth="1"/>
  </cols>
  <sheetData>
    <row r="1" spans="1:5" ht="57.6" customHeight="1" x14ac:dyDescent="0.3">
      <c r="A1" s="1" t="s">
        <v>2</v>
      </c>
      <c r="B1" s="1" t="s">
        <v>3</v>
      </c>
      <c r="C1" s="2" t="s">
        <v>4</v>
      </c>
      <c r="D1" s="2" t="s">
        <v>10</v>
      </c>
      <c r="E1" s="1" t="s">
        <v>11</v>
      </c>
    </row>
    <row r="2" spans="1:5" x14ac:dyDescent="0.3">
      <c r="A2" s="6">
        <v>45839</v>
      </c>
      <c r="B2" s="4">
        <v>1400000116</v>
      </c>
      <c r="C2" s="4" t="s">
        <v>159</v>
      </c>
      <c r="D2" s="8">
        <v>-500000</v>
      </c>
      <c r="E2" s="4"/>
    </row>
    <row r="3" spans="1:5" x14ac:dyDescent="0.3">
      <c r="A3" s="6">
        <v>45890</v>
      </c>
      <c r="B3" s="4">
        <v>1400000887</v>
      </c>
      <c r="C3" s="4" t="s">
        <v>159</v>
      </c>
      <c r="D3" s="8">
        <v>-100000</v>
      </c>
      <c r="E3" s="4"/>
    </row>
    <row r="4" spans="1:5" x14ac:dyDescent="0.3">
      <c r="A4" s="6">
        <v>45890</v>
      </c>
      <c r="B4" s="4">
        <v>1400000904</v>
      </c>
      <c r="C4" s="4" t="s">
        <v>159</v>
      </c>
      <c r="D4" s="8">
        <v>-700000</v>
      </c>
      <c r="E4" s="4"/>
    </row>
    <row r="5" spans="1:5" x14ac:dyDescent="0.3">
      <c r="A5" s="6">
        <v>45890</v>
      </c>
      <c r="B5" s="4">
        <v>1400000922</v>
      </c>
      <c r="C5" s="4" t="s">
        <v>159</v>
      </c>
      <c r="D5" s="8">
        <v>-150000</v>
      </c>
      <c r="E5" s="4"/>
    </row>
    <row r="6" spans="1:5" x14ac:dyDescent="0.3">
      <c r="A6" s="6">
        <v>45890</v>
      </c>
      <c r="B6" s="4">
        <v>1400000941</v>
      </c>
      <c r="C6" s="4" t="s">
        <v>159</v>
      </c>
      <c r="D6" s="8">
        <v>-150000</v>
      </c>
      <c r="E6" s="4"/>
    </row>
    <row r="7" spans="1:5" x14ac:dyDescent="0.3">
      <c r="A7" s="6">
        <v>45890</v>
      </c>
      <c r="B7" s="4">
        <v>1400000955</v>
      </c>
      <c r="C7" s="4" t="s">
        <v>159</v>
      </c>
      <c r="D7" s="8">
        <v>-150000</v>
      </c>
      <c r="E7" s="4"/>
    </row>
    <row r="8" spans="1:5" x14ac:dyDescent="0.3">
      <c r="A8" s="6">
        <v>45890</v>
      </c>
      <c r="B8" s="4">
        <v>1400000966</v>
      </c>
      <c r="C8" s="4" t="s">
        <v>159</v>
      </c>
      <c r="D8" s="8">
        <v>-150000</v>
      </c>
      <c r="E8" s="4"/>
    </row>
    <row r="9" spans="1:5" x14ac:dyDescent="0.3">
      <c r="A9" s="6">
        <v>45931</v>
      </c>
      <c r="B9" s="4">
        <v>1400001257</v>
      </c>
      <c r="C9" s="4" t="s">
        <v>159</v>
      </c>
      <c r="D9" s="8">
        <v>-100000</v>
      </c>
      <c r="E9" s="4"/>
    </row>
    <row r="10" spans="1:5" x14ac:dyDescent="0.3">
      <c r="A10" s="6">
        <v>45931</v>
      </c>
      <c r="B10" s="4">
        <v>1400001259</v>
      </c>
      <c r="C10" s="4" t="s">
        <v>159</v>
      </c>
      <c r="D10" s="8">
        <v>-100000</v>
      </c>
      <c r="E10" s="4"/>
    </row>
    <row r="11" spans="1:5" x14ac:dyDescent="0.3">
      <c r="A11" s="6">
        <v>45931</v>
      </c>
      <c r="B11" s="4">
        <v>1400001341</v>
      </c>
      <c r="C11" s="4" t="s">
        <v>159</v>
      </c>
      <c r="D11" s="8">
        <v>-450000</v>
      </c>
      <c r="E11" s="4"/>
    </row>
    <row r="12" spans="1:5" x14ac:dyDescent="0.3">
      <c r="A12" s="6">
        <v>45931</v>
      </c>
      <c r="B12" s="4">
        <v>1400001345</v>
      </c>
      <c r="C12" s="4" t="s">
        <v>159</v>
      </c>
      <c r="D12" s="8">
        <v>-100000</v>
      </c>
      <c r="E12" s="4"/>
    </row>
    <row r="13" spans="1:5" x14ac:dyDescent="0.3">
      <c r="A13" s="6">
        <v>45944</v>
      </c>
      <c r="B13" s="4">
        <v>1400001406</v>
      </c>
      <c r="C13" s="4" t="s">
        <v>159</v>
      </c>
      <c r="D13" s="8">
        <v>-100000</v>
      </c>
      <c r="E13" s="4"/>
    </row>
    <row r="14" spans="1:5" x14ac:dyDescent="0.3">
      <c r="A14" s="6">
        <v>45972</v>
      </c>
      <c r="B14" s="4">
        <v>1400001615</v>
      </c>
      <c r="C14" s="4" t="s">
        <v>159</v>
      </c>
      <c r="D14" s="8">
        <v>-100000</v>
      </c>
      <c r="E14" s="4"/>
    </row>
    <row r="15" spans="1:5" x14ac:dyDescent="0.3">
      <c r="A15" s="6">
        <v>45972</v>
      </c>
      <c r="B15" s="4">
        <v>1400001658</v>
      </c>
      <c r="C15" s="4" t="s">
        <v>159</v>
      </c>
      <c r="D15" s="8">
        <v>-100000</v>
      </c>
      <c r="E15" s="4"/>
    </row>
    <row r="16" spans="1:5" x14ac:dyDescent="0.3">
      <c r="A16" s="6">
        <v>45977</v>
      </c>
      <c r="B16" s="4">
        <v>1400001934</v>
      </c>
      <c r="C16" s="4" t="s">
        <v>159</v>
      </c>
      <c r="D16" s="8">
        <v>-100000</v>
      </c>
      <c r="E16" s="4"/>
    </row>
    <row r="17" spans="1:5" x14ac:dyDescent="0.3">
      <c r="A17" s="6">
        <v>45986</v>
      </c>
      <c r="B17" s="4">
        <v>1400002027</v>
      </c>
      <c r="C17" s="4" t="s">
        <v>159</v>
      </c>
      <c r="D17" s="8">
        <v>-100000</v>
      </c>
      <c r="E17" s="4"/>
    </row>
    <row r="18" spans="1:5" x14ac:dyDescent="0.3">
      <c r="A18" s="6">
        <v>45994</v>
      </c>
      <c r="B18" s="4">
        <v>1400002099</v>
      </c>
      <c r="C18" s="4" t="s">
        <v>159</v>
      </c>
      <c r="D18" s="8">
        <v>-100000</v>
      </c>
      <c r="E18" s="4"/>
    </row>
    <row r="19" spans="1:5" x14ac:dyDescent="0.3">
      <c r="A19" s="6">
        <v>46009</v>
      </c>
      <c r="B19" s="4">
        <v>1400002218</v>
      </c>
      <c r="C19" s="4" t="s">
        <v>159</v>
      </c>
      <c r="D19" s="8">
        <v>-100000</v>
      </c>
      <c r="E19" s="4"/>
    </row>
    <row r="20" spans="1:5" x14ac:dyDescent="0.3">
      <c r="A20" s="6">
        <v>46030</v>
      </c>
      <c r="B20" s="4">
        <v>1400002412</v>
      </c>
      <c r="C20" s="4" t="s">
        <v>159</v>
      </c>
      <c r="D20" s="8">
        <v>-200000</v>
      </c>
      <c r="E20" s="4"/>
    </row>
    <row r="21" spans="1:5" x14ac:dyDescent="0.3">
      <c r="A21" s="6">
        <v>46031</v>
      </c>
      <c r="B21" s="4">
        <v>1400002418</v>
      </c>
      <c r="C21" s="4" t="s">
        <v>159</v>
      </c>
      <c r="D21" s="8">
        <v>-100000</v>
      </c>
      <c r="E21" s="4"/>
    </row>
    <row r="22" spans="1:5" x14ac:dyDescent="0.3">
      <c r="A22" s="6">
        <v>46041</v>
      </c>
      <c r="B22" s="4">
        <v>1400002489</v>
      </c>
      <c r="C22" s="4" t="s">
        <v>159</v>
      </c>
      <c r="D22" s="8">
        <v>-150000</v>
      </c>
      <c r="E22" s="4"/>
    </row>
    <row r="23" spans="1:5" x14ac:dyDescent="0.3">
      <c r="A23" s="6">
        <v>46045</v>
      </c>
      <c r="B23" s="4">
        <v>1400002521</v>
      </c>
      <c r="C23" s="4" t="s">
        <v>159</v>
      </c>
      <c r="D23" s="8">
        <v>-150000</v>
      </c>
      <c r="E23" s="4"/>
    </row>
    <row r="24" spans="1:5" x14ac:dyDescent="0.3">
      <c r="A24" s="6">
        <v>46055</v>
      </c>
      <c r="B24" s="4">
        <v>1400002594</v>
      </c>
      <c r="C24" s="4" t="s">
        <v>159</v>
      </c>
      <c r="D24" s="8">
        <v>-200000</v>
      </c>
      <c r="E24" s="4"/>
    </row>
    <row r="25" spans="1:5" x14ac:dyDescent="0.3">
      <c r="A25" s="6">
        <v>46055</v>
      </c>
      <c r="B25" s="4">
        <v>1400002602</v>
      </c>
      <c r="C25" s="4" t="s">
        <v>159</v>
      </c>
      <c r="D25" s="8">
        <v>-200000</v>
      </c>
      <c r="E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karan.vakharia</dc:creator>
  <cp:lastModifiedBy>karan.vakharia</cp:lastModifiedBy>
  <dcterms:created xsi:type="dcterms:W3CDTF">2026-03-22T07:38:35Z</dcterms:created>
  <dcterms:modified xsi:type="dcterms:W3CDTF">2026-03-24T07:36:37Z</dcterms:modified>
</cp:coreProperties>
</file>